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tables/table9.xml" ContentType="application/vnd.openxmlformats-officedocument.spreadsheetml.table+xml"/>
  <Override PartName="/xl/worksheets/sheet19.xml" ContentType="application/vnd.openxmlformats-officedocument.spreadsheetml.worksheet+xml"/>
  <Override PartName="/xl/tables/table10.xml" ContentType="application/vnd.openxmlformats-officedocument.spreadsheetml.table+xml"/>
  <Override PartName="/xl/worksheets/sheet20.xml" ContentType="application/vnd.openxmlformats-officedocument.spreadsheetml.worksheet+xml"/>
  <Override PartName="/xl/tables/table11.xml" ContentType="application/vnd.openxmlformats-officedocument.spreadsheetml.table+xml"/>
  <Override PartName="/xl/worksheets/sheet21.xml" ContentType="application/vnd.openxmlformats-officedocument.spreadsheetml.worksheet+xml"/>
  <Override PartName="/xl/tables/table12.xml" ContentType="application/vnd.openxmlformats-officedocument.spreadsheetml.table+xml"/>
  <Override PartName="/xl/worksheets/sheet22.xml" ContentType="application/vnd.openxmlformats-officedocument.spreadsheetml.worksheet+xml"/>
  <Override PartName="/xl/tables/table13.xml" ContentType="application/vnd.openxmlformats-officedocument.spreadsheetml.table+xml"/>
  <Override PartName="/xl/worksheets/sheet23.xml" ContentType="application/vnd.openxmlformats-officedocument.spreadsheetml.worksheet+xml"/>
  <Override PartName="/xl/tables/table14.xml" ContentType="application/vnd.openxmlformats-officedocument.spreadsheetml.table+xml"/>
  <Override PartName="/xl/worksheets/sheet24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PlannedOrders" sheetId="9" state="visible" r:id="rId9"/>
    <sheet name="T_OpeningStock" sheetId="10" state="visible" r:id="rId10"/>
    <sheet name="T_StockCount" sheetId="11" state="visible" r:id="rId11"/>
    <sheet name="T_SelfStock" sheetId="12" state="visible" r:id="rId12"/>
    <sheet name="T_TTAFStock" sheetId="13" state="visible" r:id="rId13"/>
    <sheet name="M_RawMaterials" sheetId="14" state="visible" r:id="rId14"/>
    <sheet name="M_BOM" sheetId="15" state="visible" r:id="rId15"/>
    <sheet name="PP_Grid" sheetId="16" state="visible" r:id="rId16"/>
    <sheet name="Cal_Weeks" sheetId="17" state="hidden" r:id="rId17"/>
    <sheet name="M_Intermediates" sheetId="18" state="hidden" r:id="rId18"/>
    <sheet name="M_ProductMap" sheetId="19" state="hidden" r:id="rId19"/>
    <sheet name="Grid_Requirement" sheetId="20" state="hidden" r:id="rId20"/>
    <sheet name="Grid_Incoming" sheetId="21" state="hidden" r:id="rId21"/>
    <sheet name="Grid_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0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2" borderId="0" pivotButton="0" quotePrefix="0" xfId="0"/>
    <xf numFmtId="165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221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453" authorId="0" shapeId="0">
      <text>
        <t>MOQ(最小発注量)を入力してください（手書きでOK）</t>
      </text>
    </comment>
    <comment ref="C475" authorId="0" shapeId="0">
      <text>
        <t>MOQ(最小発注量)を入力してください（手書きでOK）</t>
      </text>
    </comment>
    <comment ref="C485" authorId="0" shapeId="0">
      <text>
        <t>MOQ(最小発注量)を入力してください（手書きでOK）</t>
      </text>
    </comment>
    <comment ref="C507" authorId="0" shapeId="0">
      <text>
        <t>MOQ(最小発注量)を入力してください（手書きでOK）</t>
      </text>
    </comment>
    <comment ref="C555" authorId="0" shapeId="0">
      <text>
        <t>MOQ(最小発注量)を入力してください（手書きでOK）</t>
      </text>
    </comment>
    <comment ref="C589" authorId="0" shapeId="0">
      <text>
        <t>MOQ(最小発注量)を入力してください（手書きでOK）</t>
      </text>
    </comment>
    <comment ref="C653" authorId="0" shapeId="0">
      <text>
        <t>MOQ(最小発注量)を入力してください（手書きでOK）</t>
      </text>
    </comment>
    <comment ref="C681" authorId="0" shapeId="0">
      <text>
        <t>MOQ(最小発注量)を入力してください（手書きでOK）</t>
      </text>
    </comment>
    <comment ref="C709" authorId="0" shapeId="0">
      <text>
        <t>MOQ(最小発注量)を入力してください（手書きでOK）</t>
      </text>
    </comment>
    <comment ref="C723" authorId="0" shapeId="0">
      <text>
        <t>MOQ(最小発注量)を入力してください（手書きでOK）</t>
      </text>
    </comment>
    <comment ref="C773" authorId="0" shapeId="0">
      <text>
        <t>MOQ(最小発注量)を入力してください（手書きでOK）</t>
      </text>
    </comment>
    <comment ref="C835" authorId="0" shapeId="0">
      <text>
        <t>MOQ(最小発注量)を入力してください（手書きでOK）</t>
      </text>
    </comment>
    <comment ref="C849" authorId="0" shapeId="0">
      <text>
        <t>MOQ(最小発注量)を入力してください（手書きでOK）</t>
      </text>
    </comment>
    <comment ref="C895" authorId="0" shapeId="0">
      <text>
        <t>MOQ(最小発注量)を入力してください（手書きでOK）</t>
      </text>
    </comment>
    <comment ref="C923" authorId="0" shapeId="0">
      <text>
        <t>MOQ(最小発注量)を入力してください（手書きでOK）</t>
      </text>
    </comment>
    <comment ref="C959" authorId="0" shapeId="0">
      <text>
        <t>MOQ(最小発注量)を入力してください（手書きでOK）</t>
      </text>
    </comment>
    <comment ref="C973" authorId="0" shapeId="0">
      <text>
        <t>MOQ(最小発注量)を入力してください（手書きでOK）</t>
      </text>
    </comment>
    <comment ref="C1003" authorId="0" shapeId="0">
      <text>
        <t>MOQ(最小発注量)を入力してください（手書きでOK）</t>
      </text>
    </comment>
    <comment ref="C1017" authorId="0" shapeId="0">
      <text>
        <t>MOQ(最小発注量)を入力してください（手書きでOK）</t>
      </text>
    </comment>
    <comment ref="C1029" authorId="0" shapeId="0">
      <text>
        <t>MOQ(最小発注量)を入力してください（手書きでOK）</t>
      </text>
    </comment>
    <comment ref="C1039" authorId="0" shapeId="0">
      <text>
        <t>MOQ(最小発注量)を入力してください（手書きでOK）</t>
      </text>
    </comment>
    <comment ref="C1049" authorId="0" shapeId="0">
      <text>
        <t>MOQ(最小発注量)を入力してください（手書きでOK）</t>
      </text>
    </comment>
    <comment ref="C1059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79" authorId="0" shapeId="0">
      <text>
        <t>MOQ(最小発注量)を入力してください（手書きでOK）</t>
      </text>
    </comment>
    <comment ref="C1089" authorId="0" shapeId="0">
      <text>
        <t>MOQ(最小発注量)を入力してください（手書きでOK）</t>
      </text>
    </comment>
    <comment ref="C1099" authorId="0" shapeId="0">
      <text>
        <t>MOQ(最小発注量)を入力してください（手書きでOK）</t>
      </text>
    </comment>
    <comment ref="C1113" authorId="0" shapeId="0">
      <text>
        <t>MOQ(最小発注量)を入力してください（手書きでOK）</t>
      </text>
    </comment>
    <comment ref="C1131" authorId="0" shapeId="0">
      <text>
        <t>MOQ(最小発注量)を入力してください（手書きでOK）</t>
      </text>
    </comment>
    <comment ref="C117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hipments" displayName="T_Shipments" ref="A1:I245" headerRowCount="1">
  <autoFilter ref="A1:I245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2.xml><?xml version="1.0" encoding="utf-8"?>
<table xmlns="http://schemas.openxmlformats.org/spreadsheetml/2006/main" id="2" name="T_PlannedOrders" displayName="T_PlannedOrders" ref="A1:G2" headerRowCount="1">
  <autoFilter ref="A1:G2"/>
  <tableColumns count="7">
    <tableColumn id="1" name="Part Name"/>
    <tableColumn id="2" name="Qty"/>
    <tableColumn id="3" name="Target_Delivery_Date"/>
    <tableColumn id="4" name="WeekIndex"/>
    <tableColumn id="5" name="Order_Month"/>
    <tableColumn id="6" name="IsReconciled"/>
    <tableColumn id="7" name="EffectiveQty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45" headerRowCount="1">
  <autoFilter ref="A1:C45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I45" headerRowCount="1">
  <autoFilter ref="A1:I45"/>
  <tableColumns count="9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455" headerRowCount="1">
  <autoFilter ref="A1:D455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27" headerRowCount="1">
  <autoFilter ref="A1:DA127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27" headerRowCount="1">
  <autoFilter ref="A1:D127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9" headerRowCount="1">
  <autoFilter ref="A1:B169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5.xml><?xml version="1.0" encoding="utf-8"?>
<table xmlns="http://schemas.openxmlformats.org/spreadsheetml/2006/main" id="15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PlannedOrders'!A1" TargetMode="External" Id="rId8" /><Relationship Type="http://schemas.openxmlformats.org/officeDocument/2006/relationships/hyperlink" Target="#'T_OpeningStock'!A1" TargetMode="External" Id="rId9" /><Relationship Type="http://schemas.openxmlformats.org/officeDocument/2006/relationships/hyperlink" Target="#'T_StockCount'!A1" TargetMode="External" Id="rId10" /><Relationship Type="http://schemas.openxmlformats.org/officeDocument/2006/relationships/hyperlink" Target="#'T_SelfStock'!A1" TargetMode="External" Id="rId11" /><Relationship Type="http://schemas.openxmlformats.org/officeDocument/2006/relationships/hyperlink" Target="#'T_TTAFStock'!A1" TargetMode="External" Id="rId12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T_PlannedOrders - 計画中の発注の入力（PO Noが出る前の予定分。Material_DetailのOrder行に反映）</t>
        </is>
      </c>
    </row>
    <row r="11">
      <c r="A11" s="3" t="inlineStr">
        <is>
          <t>▶ T_OpeningStock - 期首在庫の入力</t>
        </is>
      </c>
    </row>
    <row r="12">
      <c r="A12" s="3" t="inlineStr">
        <is>
          <t>▶ T_StockCount - 棚卸実績の入力</t>
        </is>
      </c>
    </row>
    <row r="13">
      <c r="A13" s="3" t="inlineStr">
        <is>
          <t>▶ T_SelfStock - 自社倉庫の在庫実績（材料×週。RefreshSelfStockで自動更新）</t>
        </is>
      </c>
    </row>
    <row r="14">
      <c r="A14" s="3" t="inlineStr">
        <is>
          <t>▶ T_TTAFStock - TTAF倉庫の在庫実績（材料×週。RefreshTTAFStockで自動更新）</t>
        </is>
      </c>
    </row>
    <row r="16">
      <c r="A16" t="inlineStr"/>
    </row>
    <row r="17">
      <c r="A17" t="inlineStr">
        <is>
          <t>このブックはPower BI等に読み込ませる中間テーブルではなく、これ自体が完成品です。</t>
        </is>
      </c>
    </row>
    <row r="18">
      <c r="A18" t="inlineStr">
        <is>
          <t>Dashboard と PO_Draft_* が最終的な閲覧・発注画面、それ以外は計算の土台です。</t>
        </is>
      </c>
    </row>
    <row r="19">
      <c r="A19" t="inlineStr"/>
    </row>
    <row r="20">
      <c r="A20" t="inlineStr">
        <is>
          <t>【週番号のルール】すべてExcelの数式で計算（Cal_WeeksのB1=AnchorYearを変えると全体が再計算）</t>
        </is>
      </c>
    </row>
    <row r="21">
      <c r="A21" t="inlineStr">
        <is>
          <t xml:space="preserve">  Week1=1月1日を含む月〜日の週。年が変わると再び1にリセットされます（2026-W52の次は2027-W01）。</t>
        </is>
      </c>
    </row>
    <row r="22">
      <c r="A22" t="inlineStr">
        <is>
          <t xml:space="preserve">  各シートの週見出しは3段: 1段目=月-年(Aug-26等) / 2段目=その週月曜の日付 / 3段目=週No。</t>
        </is>
      </c>
    </row>
    <row r="23">
      <c r="A23" t="inlineStr"/>
    </row>
    <row r="24">
      <c r="A24" t="inlineStr">
        <is>
          <t>【普段見るシート】</t>
        </is>
      </c>
    </row>
    <row r="25">
      <c r="A25" t="inlineStr">
        <is>
          <t xml:space="preserve">  Dashboard           : 原材料×週の在庫を2年分、横軸で見渡せるメイン画面（まずここ）。</t>
        </is>
      </c>
    </row>
    <row r="26">
      <c r="A26" t="inlineStr">
        <is>
          <t xml:space="preserve">                        自社在庫(実績)・TTAF在庫(実績)・実績週の列で内訳も確認できます。</t>
        </is>
      </c>
    </row>
    <row r="27">
      <c r="A27" t="inlineStr">
        <is>
          <t xml:space="preserve">                        基準在庫(下限/上限)を入力すると、各週のセルが赤(下限未満)/</t>
        </is>
      </c>
    </row>
    <row r="28">
      <c r="A28" t="inlineStr">
        <is>
          <t xml:space="preserve">                        緑(範囲内)/青(上限超)に自動で色分けされます。</t>
        </is>
      </c>
    </row>
    <row r="29">
      <c r="A29" t="inlineStr">
        <is>
          <t xml:space="preserve">                        C1に'W23'のように入力すると（現在年の週Noとして検索）、</t>
        </is>
      </c>
    </row>
    <row r="30">
      <c r="A30" t="inlineStr">
        <is>
          <t xml:space="preserve">                        該当する週の列が太枠でハイライトされます。VBA(JumpToSelectedWeek、</t>
        </is>
      </c>
    </row>
    <row r="31">
      <c r="A31" t="inlineStr">
        <is>
          <t xml:space="preserve">                        要ボタン設定・詳細はdocs/SOH_System_Guide.md)を導入していれば、</t>
        </is>
      </c>
    </row>
    <row r="32">
      <c r="A32" t="inlineStr">
        <is>
          <t xml:space="preserve">                        実績週のすぐ右にその週の列が来るよう自動でスクロールもされます。</t>
        </is>
      </c>
    </row>
    <row r="33">
      <c r="A33" t="inlineStr">
        <is>
          <t xml:space="preserve">  Material_Detail     : 材料ごとに「どの中間体が・何バッチ・いくら使うか」をブロック表示（トレーサビリティ）。</t>
        </is>
      </c>
    </row>
    <row r="34">
      <c r="A34" t="inlineStr">
        <is>
          <t xml:space="preserve">                        Dashboardと同様にC1に'W23'のように入力すると該当週が求まり、</t>
        </is>
      </c>
    </row>
    <row r="35">
      <c r="A35" t="inlineStr">
        <is>
          <t xml:space="preserve">                        VBA導入時はその週列のすぐ右に自動でスクロールします。</t>
        </is>
      </c>
    </row>
    <row r="36">
      <c r="A36" t="inlineStr">
        <is>
          <t xml:space="preserve">                        材料名の右のC列にMOQ(最小発注量)を手入力できます。</t>
        </is>
      </c>
    </row>
    <row r="37">
      <c r="A37" t="inlineStr">
        <is>
          <t xml:space="preserve">                        合計使用量の下にTTAF在庫実績・自社在庫実績・Order(発注予定)・</t>
        </is>
      </c>
    </row>
    <row r="38">
      <c r="A38" t="inlineStr">
        <is>
          <t xml:space="preserve">                        合計在庫(週末時点)の週次推移も表示されます。</t>
        </is>
      </c>
    </row>
    <row r="39">
      <c r="A39" t="inlineStr">
        <is>
          <t xml:space="preserve">                        HideInactiveIntermediatesマクロ(要ボタン設定)で、指定期間ずっと生産予定の無い</t>
        </is>
      </c>
    </row>
    <row r="40">
      <c r="A40" t="inlineStr">
        <is>
          <t xml:space="preserve">                        中間体の行を折りたためます（在庫関連の行は常に表示されたままです）。</t>
        </is>
      </c>
    </row>
    <row r="41">
      <c r="A41" t="inlineStr">
        <is>
          <t xml:space="preserve">  PO_Draft_*          : 要発注分を注文書ひな形に自動転記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T_PlannedOrders     : PO Noがまだ出ていない「計画中の発注」の入力（材料名・数量・納品予定日・</t>
        </is>
      </c>
    </row>
    <row r="47">
      <c r="A47" t="inlineStr">
        <is>
          <t xml:space="preserve">                        発注月）。Material_Detailの「Order」行に反映されます。同じ材料・発注月の</t>
        </is>
      </c>
    </row>
    <row r="48">
      <c r="A48" t="inlineStr">
        <is>
          <t xml:space="preserve">                        実データがT_Shipments(RefreshShipmentsで毎週更新)に現れたら</t>
        </is>
      </c>
    </row>
    <row r="49">
      <c r="A49" t="inlineStr">
        <is>
          <t xml:space="preserve">                        自動的に消え（二重計上防止）、手動削除は不要です。</t>
        </is>
      </c>
    </row>
    <row r="50">
      <c r="A50" t="inlineStr">
        <is>
          <t xml:space="preserve">  T_OpeningStock/T_StockCount : 入力用</t>
        </is>
      </c>
    </row>
    <row r="51">
      <c r="A51" t="inlineStr">
        <is>
          <t xml:space="preserve">  T_SelfStock/T_TTAFStock : 材料×週のグリッドで自社/TTAF在庫実績を表示（出力・閲覧用）。</t>
        </is>
      </c>
    </row>
    <row r="52">
      <c r="A52" t="inlineStr">
        <is>
          <t xml:space="preserve">                        RefreshSelfStock/RefreshTTAFStockで更新されます。手入力はしないでください</t>
        </is>
      </c>
    </row>
    <row r="53">
      <c r="A53" t="inlineStr">
        <is>
          <t xml:space="preserve">                        （生データは非表示のT_SelfStock_Log/T_TTAFStock_Logに安全に保存されています）。</t>
        </is>
      </c>
    </row>
    <row r="54">
      <c r="A54" t="inlineStr"/>
    </row>
    <row r="55">
      <c r="A55" t="inlineStr">
        <is>
          <t xml:space="preserve">  M_RawMaterials・M_BOM・PP_Grid・Grid_Stock・その他非表示シートは内部計算用です。通常は開く必要はありません。</t>
        </is>
      </c>
    </row>
    <row r="56">
      <c r="A56" t="inlineStr"/>
    </row>
    <row r="57">
      <c r="A57" t="inlineStr">
        <is>
          <t>【重要】原単位・バッチ数・自社/TTAF在庫・発注実績はPythonを使わず、Excel(VBA)マクロだけで更新できます。</t>
        </is>
      </c>
    </row>
    <row r="58">
      <c r="A58" t="inlineStr">
        <is>
          <t xml:space="preserve">  macros/フォルダのRefreshData_*.bas(7ファイル)を導入し、RefreshWeeklyBatches / RefreshBOM / RefreshSelfStock /</t>
        </is>
      </c>
    </row>
    <row r="59">
      <c r="A59" t="inlineStr">
        <is>
          <t xml:space="preserve">  RefreshTTAFStock / RefreshShipments を実行してください（対象ファイルを選ぶだけです。</t>
        </is>
      </c>
    </row>
    <row r="60">
      <c r="A60" t="inlineStr">
        <is>
          <t xml:space="preserve">  詳細はdocs/SOH_System_Guide.md、未検証のため要動作確認）。</t>
        </is>
      </c>
    </row>
    <row r="61">
      <c r="A61" t="inlineStr">
        <is>
          <t xml:space="preserve">  T_Shipments・T_OpeningStock・T_StockCount・T_PlannedOrders等の入力内容は上書きされません</t>
        </is>
      </c>
    </row>
    <row r="62">
      <c r="A62" t="inlineStr">
        <is>
          <t xml:space="preserve">  （T_ShipmentsはRefreshShipmentsを実行した場合のみ更新されます）。</t>
        </is>
      </c>
    </row>
    <row r="63">
      <c r="A63" t="inlineStr">
        <is>
          <t xml:space="preserve">  Material_Detailの中間体の行を隠す/戻すHideInactiveIntermediates / ShowAllIntermediatesは、</t>
        </is>
      </c>
    </row>
    <row r="64">
      <c r="A64" t="inlineStr">
        <is>
          <t xml:space="preserve">  ボタンへの割り当てが必要な一度だけの手動設定です（詳細はdocs/SOH_System_Guide.md）。</t>
        </is>
      </c>
    </row>
    <row r="65">
      <c r="A65" t="inlineStr"/>
    </row>
    <row r="66">
      <c r="A66" t="inlineStr">
        <is>
          <t>【毎月の運用】</t>
        </is>
      </c>
    </row>
    <row r="67">
      <c r="A67" t="inlineStr">
        <is>
          <t xml:space="preserve">  1. 「Powder &amp; Slurry &amp; Pgm Plan」の新しい月版でRefreshWeeklyBatchesを実行</t>
        </is>
      </c>
    </row>
    <row r="68">
      <c r="A68" t="inlineStr">
        <is>
          <t xml:space="preserve">  2. 「Usage from Production Engineering」が更新されていればRefreshBOMを実行</t>
        </is>
      </c>
    </row>
    <row r="69">
      <c r="A69" t="inlineStr">
        <is>
          <t xml:space="preserve">  3. 自社倉庫の現物確認を毎週月曜の朝に実施したらRefreshSelfStockを実行</t>
        </is>
      </c>
    </row>
    <row r="70">
      <c r="A70" t="inlineStr">
        <is>
          <t xml:space="preserve">  4. CSA Reportが毎週月曜に届いたらRefreshTTAFStockとRefreshShipmentsを実行</t>
        </is>
      </c>
    </row>
    <row r="71">
      <c r="A71" t="inlineStr">
        <is>
          <t xml:space="preserve">  5. 新しく発注したらT_PlannedOrdersに追記（材料名・数量・納品予定日・発注月）</t>
        </is>
      </c>
    </row>
    <row r="72">
      <c r="A72" t="inlineStr">
        <is>
          <t xml:space="preserve">  6. 棚卸を実施したらT_StockCountに実測値を追記（Date列に実施日を入力。WeekIndex列は自動計算）</t>
        </is>
      </c>
    </row>
    <row r="73">
      <c r="A73" t="inlineStr">
        <is>
          <t xml:space="preserve">  7. Dashboardで赤色(基準在庫の下限未満)の週を確認し、PO_Draft_*から注文書を出力</t>
        </is>
      </c>
    </row>
    <row r="74">
      <c r="A74" t="inlineStr">
        <is>
          <t xml:space="preserve">  8. 月初は、前月最終週と当月頭のDashboardを見比べて在庫差異を確認（Plan Increase and Decrease /</t>
        </is>
      </c>
    </row>
    <row r="75">
      <c r="A75" t="inlineStr">
        <is>
          <t xml:space="preserve">     Inventory Releasesの報告フォーマットに転記）</t>
        </is>
      </c>
    </row>
    <row r="76">
      <c r="A76" t="inlineStr"/>
    </row>
    <row r="77">
      <c r="A77" t="inlineStr">
        <is>
          <t>【前提・要確認事項】詳細はdocs/SOH_System_Guide.mdを参照</t>
        </is>
      </c>
    </row>
    <row r="78">
      <c r="A78" t="inlineStr">
        <is>
          <t xml:space="preserve">  - M_RawMaterials の基準在庫(下限/上限)とLeadTime_Weeksは仮値(0)です。実際の水準に置き換えてください</t>
        </is>
      </c>
    </row>
    <row r="79">
      <c r="A79" t="inlineStr">
        <is>
          <t xml:space="preserve">    （Dashboardの週次セルの赤/緑/青の色分けに使われます）。</t>
        </is>
      </c>
    </row>
    <row r="80">
      <c r="A80" t="inlineStr">
        <is>
          <t xml:space="preserve">  - Categoryの割り当て(Chemical/Hazardous Chemical/Substrate)は入手データから機械的に推定した部分があります。要レビュー。</t>
        </is>
      </c>
    </row>
    <row r="81">
      <c r="A81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4">
      <c r="A4" s="5" t="inlineStr">
        <is>
          <t>【毎月・毎週の定型作業】上から順に実行</t>
        </is>
      </c>
      <c r="B4" s="5" t="n"/>
      <c r="C4" s="5" t="n"/>
    </row>
    <row r="5">
      <c r="A5" s="6" t="n">
        <v>1</v>
      </c>
      <c r="B5" s="7" t="inlineStr">
        <is>
          <t>RefreshWeeklyBatches</t>
        </is>
      </c>
      <c r="C5" s="8" t="inlineStr">
        <is>
          <t>「Powder &amp; Slurry &amp; Pgm Plan」の新しい月版が出たら実行</t>
        </is>
      </c>
    </row>
    <row r="6">
      <c r="A6" s="6" t="n">
        <v>2</v>
      </c>
      <c r="B6" s="7" t="inlineStr">
        <is>
          <t>RefreshBOM</t>
        </is>
      </c>
      <c r="C6" s="8" t="inlineStr">
        <is>
          <t>「Usage from Production Engineering」が更新されたら実行</t>
        </is>
      </c>
    </row>
    <row r="7">
      <c r="A7" s="6" t="n">
        <v>3</v>
      </c>
      <c r="B7" s="7" t="inlineStr">
        <is>
          <t>RefreshSelfStock</t>
        </is>
      </c>
      <c r="C7" s="8" t="inlineStr">
        <is>
          <t>自社倉庫の現物確認（daily check）を毎週月曜の朝に実施したら実行</t>
        </is>
      </c>
    </row>
    <row r="8">
      <c r="A8" s="6" t="n">
        <v>4</v>
      </c>
      <c r="B8" s="7" t="inlineStr">
        <is>
          <t>RefreshTTAFStock</t>
        </is>
      </c>
      <c r="C8" s="8" t="inlineStr">
        <is>
          <t>CSA Reportが毎週月曜に届いたら実行（TTAF在庫）</t>
        </is>
      </c>
    </row>
    <row r="9">
      <c r="A9" s="6" t="n">
        <v>5</v>
      </c>
      <c r="B9" s="7" t="inlineStr">
        <is>
          <t>RefreshShipments</t>
        </is>
      </c>
      <c r="C9" s="8" t="inlineStr">
        <is>
          <t>CSA Reportが毎週月曜に届いたら実行（発注・着荷）</t>
        </is>
      </c>
    </row>
    <row r="11">
      <c r="A11" s="5" t="inlineStr">
        <is>
          <t>【任意】Material_Detailの表示調整</t>
        </is>
      </c>
      <c r="B11" s="5" t="n"/>
      <c r="C11" s="5" t="n"/>
    </row>
    <row r="12">
      <c r="A12" s="6" t="n">
        <v>6</v>
      </c>
      <c r="B12" s="7" t="inlineStr">
        <is>
          <t>HideInactiveIntermediates</t>
        </is>
      </c>
      <c r="C12" s="8" t="inlineStr">
        <is>
          <t>しばらく生産予定の無い中間体の行を折りたたむ</t>
        </is>
      </c>
    </row>
    <row r="13">
      <c r="A13" s="6" t="n">
        <v>7</v>
      </c>
      <c r="B13" s="7" t="inlineStr">
        <is>
          <t>ShowAllIntermediates</t>
        </is>
      </c>
      <c r="C13" s="8" t="inlineStr">
        <is>
          <t>折りたたんだ行をすべて再表示する</t>
        </is>
      </c>
    </row>
    <row r="15">
      <c r="A15" s="5" t="inlineStr">
        <is>
          <t>【まれに使う】材料・中間体の追加/削除（取り消せません。事前にバックアップ推奨）</t>
        </is>
      </c>
      <c r="B15" s="5" t="n"/>
      <c r="C15" s="5" t="n"/>
    </row>
    <row r="16">
      <c r="A16" s="6" t="n">
        <v>8</v>
      </c>
      <c r="B16" s="7" t="inlineStr">
        <is>
          <t>AddMaterial</t>
        </is>
      </c>
      <c r="C16" s="8" t="inlineStr">
        <is>
          <t>新しい材料(TTAF供給品)をシステムに追加する</t>
        </is>
      </c>
    </row>
    <row r="17">
      <c r="A17" s="6" t="n">
        <v>9</v>
      </c>
      <c r="B17" s="7" t="inlineStr">
        <is>
          <t>RemoveMaterial</t>
        </is>
      </c>
      <c r="C17" s="8" t="inlineStr">
        <is>
          <t>使わなくなった材料をシステムから削除する</t>
        </is>
      </c>
    </row>
    <row r="18">
      <c r="A18" s="6" t="n">
        <v>10</v>
      </c>
      <c r="B18" s="7" t="inlineStr">
        <is>
          <t>RemoveIntermediate</t>
        </is>
      </c>
      <c r="C18" s="8" t="inlineStr">
        <is>
          <t>生産中止になった中間体をシステムから削除する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H50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</cols>
  <sheetData>
    <row r="1">
      <c r="A1" s="9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>
        <f>'Cal_Weeks'!G4</f>
        <v/>
      </c>
      <c r="J3" s="13">
        <f>IF(TEXT('Cal_Weeks'!B5,"mmm-yy")&lt;&gt;TEXT('Cal_Weeks'!B4,"mmm-yy"),'Cal_Weeks'!G5,"")</f>
        <v/>
      </c>
      <c r="K3" s="13">
        <f>IF(TEXT('Cal_Weeks'!B6,"mmm-yy")&lt;&gt;TEXT('Cal_Weeks'!B5,"mmm-yy"),'Cal_Weeks'!G6,"")</f>
        <v/>
      </c>
      <c r="L3" s="13">
        <f>IF(TEXT('Cal_Weeks'!B7,"mmm-yy")&lt;&gt;TEXT('Cal_Weeks'!B6,"mmm-yy"),'Cal_Weeks'!G7,"")</f>
        <v/>
      </c>
      <c r="M3" s="13">
        <f>IF(TEXT('Cal_Weeks'!B8,"mmm-yy")&lt;&gt;TEXT('Cal_Weeks'!B7,"mmm-yy"),'Cal_Weeks'!G8,"")</f>
        <v/>
      </c>
      <c r="N3" s="13">
        <f>IF(TEXT('Cal_Weeks'!B9,"mmm-yy")&lt;&gt;TEXT('Cal_Weeks'!B8,"mmm-yy"),'Cal_Weeks'!G9,"")</f>
        <v/>
      </c>
      <c r="O3" s="13">
        <f>IF(TEXT('Cal_Weeks'!B10,"mmm-yy")&lt;&gt;TEXT('Cal_Weeks'!B9,"mmm-yy"),'Cal_Weeks'!G10,"")</f>
        <v/>
      </c>
      <c r="P3" s="13">
        <f>IF(TEXT('Cal_Weeks'!B11,"mmm-yy")&lt;&gt;TEXT('Cal_Weeks'!B10,"mmm-yy"),'Cal_Weeks'!G11,"")</f>
        <v/>
      </c>
      <c r="Q3" s="13">
        <f>IF(TEXT('Cal_Weeks'!B12,"mmm-yy")&lt;&gt;TEXT('Cal_Weeks'!B11,"mmm-yy"),'Cal_Weeks'!G12,"")</f>
        <v/>
      </c>
      <c r="R3" s="13">
        <f>IF(TEXT('Cal_Weeks'!B13,"mmm-yy")&lt;&gt;TEXT('Cal_Weeks'!B12,"mmm-yy"),'Cal_Weeks'!G13,"")</f>
        <v/>
      </c>
      <c r="S3" s="13">
        <f>IF(TEXT('Cal_Weeks'!B14,"mmm-yy")&lt;&gt;TEXT('Cal_Weeks'!B13,"mmm-yy"),'Cal_Weeks'!G14,"")</f>
        <v/>
      </c>
      <c r="T3" s="13">
        <f>IF(TEXT('Cal_Weeks'!B15,"mmm-yy")&lt;&gt;TEXT('Cal_Weeks'!B14,"mmm-yy"),'Cal_Weeks'!G15,"")</f>
        <v/>
      </c>
      <c r="U3" s="13">
        <f>IF(TEXT('Cal_Weeks'!B16,"mmm-yy")&lt;&gt;TEXT('Cal_Weeks'!B15,"mmm-yy"),'Cal_Weeks'!G16,"")</f>
        <v/>
      </c>
      <c r="V3" s="13">
        <f>IF(TEXT('Cal_Weeks'!B17,"mmm-yy")&lt;&gt;TEXT('Cal_Weeks'!B16,"mmm-yy"),'Cal_Weeks'!G17,"")</f>
        <v/>
      </c>
      <c r="W3" s="13">
        <f>IF(TEXT('Cal_Weeks'!B18,"mmm-yy")&lt;&gt;TEXT('Cal_Weeks'!B17,"mmm-yy"),'Cal_Weeks'!G18,"")</f>
        <v/>
      </c>
      <c r="X3" s="13">
        <f>IF(TEXT('Cal_Weeks'!B19,"mmm-yy")&lt;&gt;TEXT('Cal_Weeks'!B18,"mmm-yy"),'Cal_Weeks'!G19,"")</f>
        <v/>
      </c>
      <c r="Y3" s="13">
        <f>IF(TEXT('Cal_Weeks'!B20,"mmm-yy")&lt;&gt;TEXT('Cal_Weeks'!B19,"mmm-yy"),'Cal_Weeks'!G20,"")</f>
        <v/>
      </c>
      <c r="Z3" s="13">
        <f>IF(TEXT('Cal_Weeks'!B21,"mmm-yy")&lt;&gt;TEXT('Cal_Weeks'!B20,"mmm-yy"),'Cal_Weeks'!G21,"")</f>
        <v/>
      </c>
      <c r="AA3" s="13">
        <f>IF(TEXT('Cal_Weeks'!B22,"mmm-yy")&lt;&gt;TEXT('Cal_Weeks'!B21,"mmm-yy"),'Cal_Weeks'!G22,"")</f>
        <v/>
      </c>
      <c r="AB3" s="13">
        <f>IF(TEXT('Cal_Weeks'!B23,"mmm-yy")&lt;&gt;TEXT('Cal_Weeks'!B22,"mmm-yy"),'Cal_Weeks'!G23,"")</f>
        <v/>
      </c>
      <c r="AC3" s="13">
        <f>IF(TEXT('Cal_Weeks'!B24,"mmm-yy")&lt;&gt;TEXT('Cal_Weeks'!B23,"mmm-yy"),'Cal_Weeks'!G24,"")</f>
        <v/>
      </c>
      <c r="AD3" s="13">
        <f>IF(TEXT('Cal_Weeks'!B25,"mmm-yy")&lt;&gt;TEXT('Cal_Weeks'!B24,"mmm-yy"),'Cal_Weeks'!G25,"")</f>
        <v/>
      </c>
      <c r="AE3" s="13">
        <f>IF(TEXT('Cal_Weeks'!B26,"mmm-yy")&lt;&gt;TEXT('Cal_Weeks'!B25,"mmm-yy"),'Cal_Weeks'!G26,"")</f>
        <v/>
      </c>
      <c r="AF3" s="13">
        <f>IF(TEXT('Cal_Weeks'!B27,"mmm-yy")&lt;&gt;TEXT('Cal_Weeks'!B26,"mmm-yy"),'Cal_Weeks'!G27,"")</f>
        <v/>
      </c>
      <c r="AG3" s="13">
        <f>IF(TEXT('Cal_Weeks'!B28,"mmm-yy")&lt;&gt;TEXT('Cal_Weeks'!B27,"mmm-yy"),'Cal_Weeks'!G28,"")</f>
        <v/>
      </c>
      <c r="AH3" s="13">
        <f>IF(TEXT('Cal_Weeks'!B29,"mmm-yy")&lt;&gt;TEXT('Cal_Weeks'!B28,"mmm-yy"),'Cal_Weeks'!G29,"")</f>
        <v/>
      </c>
      <c r="AI3" s="13">
        <f>IF(TEXT('Cal_Weeks'!B30,"mmm-yy")&lt;&gt;TEXT('Cal_Weeks'!B29,"mmm-yy"),'Cal_Weeks'!G30,"")</f>
        <v/>
      </c>
      <c r="AJ3" s="13">
        <f>IF(TEXT('Cal_Weeks'!B31,"mmm-yy")&lt;&gt;TEXT('Cal_Weeks'!B30,"mmm-yy"),'Cal_Weeks'!G31,"")</f>
        <v/>
      </c>
      <c r="AK3" s="13">
        <f>IF(TEXT('Cal_Weeks'!B32,"mmm-yy")&lt;&gt;TEXT('Cal_Weeks'!B31,"mmm-yy"),'Cal_Weeks'!G32,"")</f>
        <v/>
      </c>
      <c r="AL3" s="13">
        <f>IF(TEXT('Cal_Weeks'!B33,"mmm-yy")&lt;&gt;TEXT('Cal_Weeks'!B32,"mmm-yy"),'Cal_Weeks'!G33,"")</f>
        <v/>
      </c>
      <c r="AM3" s="13">
        <f>IF(TEXT('Cal_Weeks'!B34,"mmm-yy")&lt;&gt;TEXT('Cal_Weeks'!B33,"mmm-yy"),'Cal_Weeks'!G34,"")</f>
        <v/>
      </c>
      <c r="AN3" s="13">
        <f>IF(TEXT('Cal_Weeks'!B35,"mmm-yy")&lt;&gt;TEXT('Cal_Weeks'!B34,"mmm-yy"),'Cal_Weeks'!G35,"")</f>
        <v/>
      </c>
      <c r="AO3" s="13">
        <f>IF(TEXT('Cal_Weeks'!B36,"mmm-yy")&lt;&gt;TEXT('Cal_Weeks'!B35,"mmm-yy"),'Cal_Weeks'!G36,"")</f>
        <v/>
      </c>
      <c r="AP3" s="13">
        <f>IF(TEXT('Cal_Weeks'!B37,"mmm-yy")&lt;&gt;TEXT('Cal_Weeks'!B36,"mmm-yy"),'Cal_Weeks'!G37,"")</f>
        <v/>
      </c>
      <c r="AQ3" s="13">
        <f>IF(TEXT('Cal_Weeks'!B38,"mmm-yy")&lt;&gt;TEXT('Cal_Weeks'!B37,"mmm-yy"),'Cal_Weeks'!G38,"")</f>
        <v/>
      </c>
      <c r="AR3" s="13">
        <f>IF(TEXT('Cal_Weeks'!B39,"mmm-yy")&lt;&gt;TEXT('Cal_Weeks'!B38,"mmm-yy"),'Cal_Weeks'!G39,"")</f>
        <v/>
      </c>
      <c r="AS3" s="13">
        <f>IF(TEXT('Cal_Weeks'!B40,"mmm-yy")&lt;&gt;TEXT('Cal_Weeks'!B39,"mmm-yy"),'Cal_Weeks'!G40,"")</f>
        <v/>
      </c>
      <c r="AT3" s="13">
        <f>IF(TEXT('Cal_Weeks'!B41,"mmm-yy")&lt;&gt;TEXT('Cal_Weeks'!B40,"mmm-yy"),'Cal_Weeks'!G41,"")</f>
        <v/>
      </c>
      <c r="AU3" s="13">
        <f>IF(TEXT('Cal_Weeks'!B42,"mmm-yy")&lt;&gt;TEXT('Cal_Weeks'!B41,"mmm-yy"),'Cal_Weeks'!G42,"")</f>
        <v/>
      </c>
      <c r="AV3" s="13">
        <f>IF(TEXT('Cal_Weeks'!B43,"mmm-yy")&lt;&gt;TEXT('Cal_Weeks'!B42,"mmm-yy"),'Cal_Weeks'!G43,"")</f>
        <v/>
      </c>
      <c r="AW3" s="13">
        <f>IF(TEXT('Cal_Weeks'!B44,"mmm-yy")&lt;&gt;TEXT('Cal_Weeks'!B43,"mmm-yy"),'Cal_Weeks'!G44,"")</f>
        <v/>
      </c>
      <c r="AX3" s="13">
        <f>IF(TEXT('Cal_Weeks'!B45,"mmm-yy")&lt;&gt;TEXT('Cal_Weeks'!B44,"mmm-yy"),'Cal_Weeks'!G45,"")</f>
        <v/>
      </c>
      <c r="AY3" s="13">
        <f>IF(TEXT('Cal_Weeks'!B46,"mmm-yy")&lt;&gt;TEXT('Cal_Weeks'!B45,"mmm-yy"),'Cal_Weeks'!G46,"")</f>
        <v/>
      </c>
      <c r="AZ3" s="13">
        <f>IF(TEXT('Cal_Weeks'!B47,"mmm-yy")&lt;&gt;TEXT('Cal_Weeks'!B46,"mmm-yy"),'Cal_Weeks'!G47,"")</f>
        <v/>
      </c>
      <c r="BA3" s="13">
        <f>IF(TEXT('Cal_Weeks'!B48,"mmm-yy")&lt;&gt;TEXT('Cal_Weeks'!B47,"mmm-yy"),'Cal_Weeks'!G48,"")</f>
        <v/>
      </c>
      <c r="BB3" s="13">
        <f>IF(TEXT('Cal_Weeks'!B49,"mmm-yy")&lt;&gt;TEXT('Cal_Weeks'!B48,"mmm-yy"),'Cal_Weeks'!G49,"")</f>
        <v/>
      </c>
      <c r="BC3" s="13">
        <f>IF(TEXT('Cal_Weeks'!B50,"mmm-yy")&lt;&gt;TEXT('Cal_Weeks'!B49,"mmm-yy"),'Cal_Weeks'!G50,"")</f>
        <v/>
      </c>
      <c r="BD3" s="13">
        <f>IF(TEXT('Cal_Weeks'!B51,"mmm-yy")&lt;&gt;TEXT('Cal_Weeks'!B50,"mmm-yy"),'Cal_Weeks'!G51,"")</f>
        <v/>
      </c>
      <c r="BE3" s="13">
        <f>IF(TEXT('Cal_Weeks'!B52,"mmm-yy")&lt;&gt;TEXT('Cal_Weeks'!B51,"mmm-yy"),'Cal_Weeks'!G52,"")</f>
        <v/>
      </c>
      <c r="BF3" s="13">
        <f>IF(TEXT('Cal_Weeks'!B53,"mmm-yy")&lt;&gt;TEXT('Cal_Weeks'!B52,"mmm-yy"),'Cal_Weeks'!G53,"")</f>
        <v/>
      </c>
      <c r="BG3" s="13">
        <f>IF(TEXT('Cal_Weeks'!B54,"mmm-yy")&lt;&gt;TEXT('Cal_Weeks'!B53,"mmm-yy"),'Cal_Weeks'!G54,"")</f>
        <v/>
      </c>
      <c r="BH3" s="13">
        <f>IF(TEXT('Cal_Weeks'!B55,"mmm-yy")&lt;&gt;TEXT('Cal_Weeks'!B54,"mmm-yy"),'Cal_Weeks'!G55,"")</f>
        <v/>
      </c>
      <c r="BI3" s="13">
        <f>IF(TEXT('Cal_Weeks'!B56,"mmm-yy")&lt;&gt;TEXT('Cal_Weeks'!B55,"mmm-yy"),'Cal_Weeks'!G56,"")</f>
        <v/>
      </c>
      <c r="BJ3" s="13">
        <f>IF(TEXT('Cal_Weeks'!B57,"mmm-yy")&lt;&gt;TEXT('Cal_Weeks'!B56,"mmm-yy"),'Cal_Weeks'!G57,"")</f>
        <v/>
      </c>
      <c r="BK3" s="13">
        <f>IF(TEXT('Cal_Weeks'!B58,"mmm-yy")&lt;&gt;TEXT('Cal_Weeks'!B57,"mmm-yy"),'Cal_Weeks'!G58,"")</f>
        <v/>
      </c>
      <c r="BL3" s="13">
        <f>IF(TEXT('Cal_Weeks'!B59,"mmm-yy")&lt;&gt;TEXT('Cal_Weeks'!B58,"mmm-yy"),'Cal_Weeks'!G59,"")</f>
        <v/>
      </c>
      <c r="BM3" s="13">
        <f>IF(TEXT('Cal_Weeks'!B60,"mmm-yy")&lt;&gt;TEXT('Cal_Weeks'!B59,"mmm-yy"),'Cal_Weeks'!G60,"")</f>
        <v/>
      </c>
      <c r="BN3" s="13">
        <f>IF(TEXT('Cal_Weeks'!B61,"mmm-yy")&lt;&gt;TEXT('Cal_Weeks'!B60,"mmm-yy"),'Cal_Weeks'!G61,"")</f>
        <v/>
      </c>
      <c r="BO3" s="13">
        <f>IF(TEXT('Cal_Weeks'!B62,"mmm-yy")&lt;&gt;TEXT('Cal_Weeks'!B61,"mmm-yy"),'Cal_Weeks'!G62,"")</f>
        <v/>
      </c>
      <c r="BP3" s="13">
        <f>IF(TEXT('Cal_Weeks'!B63,"mmm-yy")&lt;&gt;TEXT('Cal_Weeks'!B62,"mmm-yy"),'Cal_Weeks'!G63,"")</f>
        <v/>
      </c>
      <c r="BQ3" s="13">
        <f>IF(TEXT('Cal_Weeks'!B64,"mmm-yy")&lt;&gt;TEXT('Cal_Weeks'!B63,"mmm-yy"),'Cal_Weeks'!G64,"")</f>
        <v/>
      </c>
      <c r="BR3" s="13">
        <f>IF(TEXT('Cal_Weeks'!B65,"mmm-yy")&lt;&gt;TEXT('Cal_Weeks'!B64,"mmm-yy"),'Cal_Weeks'!G65,"")</f>
        <v/>
      </c>
      <c r="BS3" s="13">
        <f>IF(TEXT('Cal_Weeks'!B66,"mmm-yy")&lt;&gt;TEXT('Cal_Weeks'!B65,"mmm-yy"),'Cal_Weeks'!G66,"")</f>
        <v/>
      </c>
      <c r="BT3" s="13">
        <f>IF(TEXT('Cal_Weeks'!B67,"mmm-yy")&lt;&gt;TEXT('Cal_Weeks'!B66,"mmm-yy"),'Cal_Weeks'!G67,"")</f>
        <v/>
      </c>
      <c r="BU3" s="13">
        <f>IF(TEXT('Cal_Weeks'!B68,"mmm-yy")&lt;&gt;TEXT('Cal_Weeks'!B67,"mmm-yy"),'Cal_Weeks'!G68,"")</f>
        <v/>
      </c>
      <c r="BV3" s="13">
        <f>IF(TEXT('Cal_Weeks'!B69,"mmm-yy")&lt;&gt;TEXT('Cal_Weeks'!B68,"mmm-yy"),'Cal_Weeks'!G69,"")</f>
        <v/>
      </c>
      <c r="BW3" s="13">
        <f>IF(TEXT('Cal_Weeks'!B70,"mmm-yy")&lt;&gt;TEXT('Cal_Weeks'!B69,"mmm-yy"),'Cal_Weeks'!G70,"")</f>
        <v/>
      </c>
      <c r="BX3" s="13">
        <f>IF(TEXT('Cal_Weeks'!B71,"mmm-yy")&lt;&gt;TEXT('Cal_Weeks'!B70,"mmm-yy"),'Cal_Weeks'!G71,"")</f>
        <v/>
      </c>
      <c r="BY3" s="13">
        <f>IF(TEXT('Cal_Weeks'!B72,"mmm-yy")&lt;&gt;TEXT('Cal_Weeks'!B71,"mmm-yy"),'Cal_Weeks'!G72,"")</f>
        <v/>
      </c>
      <c r="BZ3" s="13">
        <f>IF(TEXT('Cal_Weeks'!B73,"mmm-yy")&lt;&gt;TEXT('Cal_Weeks'!B72,"mmm-yy"),'Cal_Weeks'!G73,"")</f>
        <v/>
      </c>
      <c r="CA3" s="13">
        <f>IF(TEXT('Cal_Weeks'!B74,"mmm-yy")&lt;&gt;TEXT('Cal_Weeks'!B73,"mmm-yy"),'Cal_Weeks'!G74,"")</f>
        <v/>
      </c>
      <c r="CB3" s="13">
        <f>IF(TEXT('Cal_Weeks'!B75,"mmm-yy")&lt;&gt;TEXT('Cal_Weeks'!B74,"mmm-yy"),'Cal_Weeks'!G75,"")</f>
        <v/>
      </c>
      <c r="CC3" s="13">
        <f>IF(TEXT('Cal_Weeks'!B76,"mmm-yy")&lt;&gt;TEXT('Cal_Weeks'!B75,"mmm-yy"),'Cal_Weeks'!G76,"")</f>
        <v/>
      </c>
      <c r="CD3" s="13">
        <f>IF(TEXT('Cal_Weeks'!B77,"mmm-yy")&lt;&gt;TEXT('Cal_Weeks'!B76,"mmm-yy"),'Cal_Weeks'!G77,"")</f>
        <v/>
      </c>
      <c r="CE3" s="13">
        <f>IF(TEXT('Cal_Weeks'!B78,"mmm-yy")&lt;&gt;TEXT('Cal_Weeks'!B77,"mmm-yy"),'Cal_Weeks'!G78,"")</f>
        <v/>
      </c>
      <c r="CF3" s="13">
        <f>IF(TEXT('Cal_Weeks'!B79,"mmm-yy")&lt;&gt;TEXT('Cal_Weeks'!B78,"mmm-yy"),'Cal_Weeks'!G79,"")</f>
        <v/>
      </c>
      <c r="CG3" s="13">
        <f>IF(TEXT('Cal_Weeks'!B80,"mmm-yy")&lt;&gt;TEXT('Cal_Weeks'!B79,"mmm-yy"),'Cal_Weeks'!G80,"")</f>
        <v/>
      </c>
      <c r="CH3" s="13">
        <f>IF(TEXT('Cal_Weeks'!B81,"mmm-yy")&lt;&gt;TEXT('Cal_Weeks'!B80,"mmm-yy"),'Cal_Weeks'!G81,"")</f>
        <v/>
      </c>
      <c r="CI3" s="13">
        <f>IF(TEXT('Cal_Weeks'!B82,"mmm-yy")&lt;&gt;TEXT('Cal_Weeks'!B81,"mmm-yy"),'Cal_Weeks'!G82,"")</f>
        <v/>
      </c>
      <c r="CJ3" s="13">
        <f>IF(TEXT('Cal_Weeks'!B83,"mmm-yy")&lt;&gt;TEXT('Cal_Weeks'!B82,"mmm-yy"),'Cal_Weeks'!G83,"")</f>
        <v/>
      </c>
      <c r="CK3" s="13">
        <f>IF(TEXT('Cal_Weeks'!B84,"mmm-yy")&lt;&gt;TEXT('Cal_Weeks'!B83,"mmm-yy"),'Cal_Weeks'!G84,"")</f>
        <v/>
      </c>
      <c r="CL3" s="13">
        <f>IF(TEXT('Cal_Weeks'!B85,"mmm-yy")&lt;&gt;TEXT('Cal_Weeks'!B84,"mmm-yy"),'Cal_Weeks'!G85,"")</f>
        <v/>
      </c>
      <c r="CM3" s="13">
        <f>IF(TEXT('Cal_Weeks'!B86,"mmm-yy")&lt;&gt;TEXT('Cal_Weeks'!B85,"mmm-yy"),'Cal_Weeks'!G86,"")</f>
        <v/>
      </c>
      <c r="CN3" s="13">
        <f>IF(TEXT('Cal_Weeks'!B87,"mmm-yy")&lt;&gt;TEXT('Cal_Weeks'!B86,"mmm-yy"),'Cal_Weeks'!G87,"")</f>
        <v/>
      </c>
      <c r="CO3" s="13">
        <f>IF(TEXT('Cal_Weeks'!B88,"mmm-yy")&lt;&gt;TEXT('Cal_Weeks'!B87,"mmm-yy"),'Cal_Weeks'!G88,"")</f>
        <v/>
      </c>
      <c r="CP3" s="13">
        <f>IF(TEXT('Cal_Weeks'!B89,"mmm-yy")&lt;&gt;TEXT('Cal_Weeks'!B88,"mmm-yy"),'Cal_Weeks'!G89,"")</f>
        <v/>
      </c>
      <c r="CQ3" s="13">
        <f>IF(TEXT('Cal_Weeks'!B90,"mmm-yy")&lt;&gt;TEXT('Cal_Weeks'!B89,"mmm-yy"),'Cal_Weeks'!G90,"")</f>
        <v/>
      </c>
      <c r="CR3" s="13">
        <f>IF(TEXT('Cal_Weeks'!B91,"mmm-yy")&lt;&gt;TEXT('Cal_Weeks'!B90,"mmm-yy"),'Cal_Weeks'!G91,"")</f>
        <v/>
      </c>
      <c r="CS3" s="13">
        <f>IF(TEXT('Cal_Weeks'!B92,"mmm-yy")&lt;&gt;TEXT('Cal_Weeks'!B91,"mmm-yy"),'Cal_Weeks'!G92,"")</f>
        <v/>
      </c>
      <c r="CT3" s="13">
        <f>IF(TEXT('Cal_Weeks'!B93,"mmm-yy")&lt;&gt;TEXT('Cal_Weeks'!B92,"mmm-yy"),'Cal_Weeks'!G93,"")</f>
        <v/>
      </c>
      <c r="CU3" s="13">
        <f>IF(TEXT('Cal_Weeks'!B94,"mmm-yy")&lt;&gt;TEXT('Cal_Weeks'!B93,"mmm-yy"),'Cal_Weeks'!G94,"")</f>
        <v/>
      </c>
      <c r="CV3" s="13">
        <f>IF(TEXT('Cal_Weeks'!B95,"mmm-yy")&lt;&gt;TEXT('Cal_Weeks'!B94,"mmm-yy"),'Cal_Weeks'!G95,"")</f>
        <v/>
      </c>
      <c r="CW3" s="13">
        <f>IF(TEXT('Cal_Weeks'!B96,"mmm-yy")&lt;&gt;TEXT('Cal_Weeks'!B95,"mmm-yy"),'Cal_Weeks'!G96,"")</f>
        <v/>
      </c>
      <c r="CX3" s="13">
        <f>IF(TEXT('Cal_Weeks'!B97,"mmm-yy")&lt;&gt;TEXT('Cal_Weeks'!B96,"mmm-yy"),'Cal_Weeks'!G97,"")</f>
        <v/>
      </c>
      <c r="CY3" s="13">
        <f>IF(TEXT('Cal_Weeks'!B98,"mmm-yy")&lt;&gt;TEXT('Cal_Weeks'!B97,"mmm-yy"),'Cal_Weeks'!G98,"")</f>
        <v/>
      </c>
      <c r="CZ3" s="13">
        <f>IF(TEXT('Cal_Weeks'!B99,"mmm-yy")&lt;&gt;TEXT('Cal_Weeks'!B98,"mmm-yy"),'Cal_Weeks'!G99,"")</f>
        <v/>
      </c>
      <c r="DA3" s="13">
        <f>IF(TEXT('Cal_Weeks'!B100,"mmm-yy")&lt;&gt;TEXT('Cal_Weeks'!B99,"mmm-yy"),'Cal_Weeks'!G100,"")</f>
        <v/>
      </c>
      <c r="DB3" s="13">
        <f>IF(TEXT('Cal_Weeks'!B101,"mmm-yy")&lt;&gt;TEXT('Cal_Weeks'!B100,"mmm-yy"),'Cal_Weeks'!G101,"")</f>
        <v/>
      </c>
      <c r="DC3" s="13">
        <f>IF(TEXT('Cal_Weeks'!B102,"mmm-yy")&lt;&gt;TEXT('Cal_Weeks'!B101,"mmm-yy"),'Cal_Weeks'!G102,"")</f>
        <v/>
      </c>
      <c r="DD3" s="13">
        <f>IF(TEXT('Cal_Weeks'!B103,"mmm-yy")&lt;&gt;TEXT('Cal_Weeks'!B102,"mmm-yy"),'Cal_Weeks'!G103,"")</f>
        <v/>
      </c>
      <c r="DE3" s="13">
        <f>IF(TEXT('Cal_Weeks'!B104,"mmm-yy")&lt;&gt;TEXT('Cal_Weeks'!B103,"mmm-yy"),'Cal_Weeks'!G104,"")</f>
        <v/>
      </c>
      <c r="DF3" s="13">
        <f>IF(TEXT('Cal_Weeks'!B105,"mmm-yy")&lt;&gt;TEXT('Cal_Weeks'!B104,"mmm-yy"),'Cal_Weeks'!G105,"")</f>
        <v/>
      </c>
      <c r="DG3" s="13">
        <f>IF(TEXT('Cal_Weeks'!B106,"mmm-yy")&lt;&gt;TEXT('Cal_Weeks'!B105,"mmm-yy"),'Cal_Weeks'!G106,"")</f>
        <v/>
      </c>
      <c r="DH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5">
        <f>'Cal_Weeks'!B4</f>
        <v/>
      </c>
      <c r="J4" s="15">
        <f>'Cal_Weeks'!B5</f>
        <v/>
      </c>
      <c r="K4" s="15">
        <f>'Cal_Weeks'!B6</f>
        <v/>
      </c>
      <c r="L4" s="15">
        <f>'Cal_Weeks'!B7</f>
        <v/>
      </c>
      <c r="M4" s="15">
        <f>'Cal_Weeks'!B8</f>
        <v/>
      </c>
      <c r="N4" s="15">
        <f>'Cal_Weeks'!B9</f>
        <v/>
      </c>
      <c r="O4" s="15">
        <f>'Cal_Weeks'!B10</f>
        <v/>
      </c>
      <c r="P4" s="15">
        <f>'Cal_Weeks'!B11</f>
        <v/>
      </c>
      <c r="Q4" s="15">
        <f>'Cal_Weeks'!B12</f>
        <v/>
      </c>
      <c r="R4" s="15">
        <f>'Cal_Weeks'!B13</f>
        <v/>
      </c>
      <c r="S4" s="15">
        <f>'Cal_Weeks'!B14</f>
        <v/>
      </c>
      <c r="T4" s="15">
        <f>'Cal_Weeks'!B15</f>
        <v/>
      </c>
      <c r="U4" s="15">
        <f>'Cal_Weeks'!B16</f>
        <v/>
      </c>
      <c r="V4" s="15">
        <f>'Cal_Weeks'!B17</f>
        <v/>
      </c>
      <c r="W4" s="15">
        <f>'Cal_Weeks'!B18</f>
        <v/>
      </c>
      <c r="X4" s="15">
        <f>'Cal_Weeks'!B19</f>
        <v/>
      </c>
      <c r="Y4" s="15">
        <f>'Cal_Weeks'!B20</f>
        <v/>
      </c>
      <c r="Z4" s="15">
        <f>'Cal_Weeks'!B21</f>
        <v/>
      </c>
      <c r="AA4" s="15">
        <f>'Cal_Weeks'!B22</f>
        <v/>
      </c>
      <c r="AB4" s="15">
        <f>'Cal_Weeks'!B23</f>
        <v/>
      </c>
      <c r="AC4" s="15">
        <f>'Cal_Weeks'!B24</f>
        <v/>
      </c>
      <c r="AD4" s="15">
        <f>'Cal_Weeks'!B25</f>
        <v/>
      </c>
      <c r="AE4" s="15">
        <f>'Cal_Weeks'!B26</f>
        <v/>
      </c>
      <c r="AF4" s="15">
        <f>'Cal_Weeks'!B27</f>
        <v/>
      </c>
      <c r="AG4" s="15">
        <f>'Cal_Weeks'!B28</f>
        <v/>
      </c>
      <c r="AH4" s="15">
        <f>'Cal_Weeks'!B29</f>
        <v/>
      </c>
      <c r="AI4" s="15">
        <f>'Cal_Weeks'!B30</f>
        <v/>
      </c>
      <c r="AJ4" s="15">
        <f>'Cal_Weeks'!B31</f>
        <v/>
      </c>
      <c r="AK4" s="15">
        <f>'Cal_Weeks'!B32</f>
        <v/>
      </c>
      <c r="AL4" s="15">
        <f>'Cal_Weeks'!B33</f>
        <v/>
      </c>
      <c r="AM4" s="15">
        <f>'Cal_Weeks'!B34</f>
        <v/>
      </c>
      <c r="AN4" s="15">
        <f>'Cal_Weeks'!B35</f>
        <v/>
      </c>
      <c r="AO4" s="15">
        <f>'Cal_Weeks'!B36</f>
        <v/>
      </c>
      <c r="AP4" s="15">
        <f>'Cal_Weeks'!B37</f>
        <v/>
      </c>
      <c r="AQ4" s="15">
        <f>'Cal_Weeks'!B38</f>
        <v/>
      </c>
      <c r="AR4" s="15">
        <f>'Cal_Weeks'!B39</f>
        <v/>
      </c>
      <c r="AS4" s="15">
        <f>'Cal_Weeks'!B40</f>
        <v/>
      </c>
      <c r="AT4" s="15">
        <f>'Cal_Weeks'!B41</f>
        <v/>
      </c>
      <c r="AU4" s="15">
        <f>'Cal_Weeks'!B42</f>
        <v/>
      </c>
      <c r="AV4" s="15">
        <f>'Cal_Weeks'!B43</f>
        <v/>
      </c>
      <c r="AW4" s="15">
        <f>'Cal_Weeks'!B44</f>
        <v/>
      </c>
      <c r="AX4" s="15">
        <f>'Cal_Weeks'!B45</f>
        <v/>
      </c>
      <c r="AY4" s="15">
        <f>'Cal_Weeks'!B46</f>
        <v/>
      </c>
      <c r="AZ4" s="15">
        <f>'Cal_Weeks'!B47</f>
        <v/>
      </c>
      <c r="BA4" s="15">
        <f>'Cal_Weeks'!B48</f>
        <v/>
      </c>
      <c r="BB4" s="15">
        <f>'Cal_Weeks'!B49</f>
        <v/>
      </c>
      <c r="BC4" s="15">
        <f>'Cal_Weeks'!B50</f>
        <v/>
      </c>
      <c r="BD4" s="15">
        <f>'Cal_Weeks'!B51</f>
        <v/>
      </c>
      <c r="BE4" s="15">
        <f>'Cal_Weeks'!B52</f>
        <v/>
      </c>
      <c r="BF4" s="15">
        <f>'Cal_Weeks'!B53</f>
        <v/>
      </c>
      <c r="BG4" s="15">
        <f>'Cal_Weeks'!B54</f>
        <v/>
      </c>
      <c r="BH4" s="15">
        <f>'Cal_Weeks'!B55</f>
        <v/>
      </c>
      <c r="BI4" s="15">
        <f>'Cal_Weeks'!B56</f>
        <v/>
      </c>
      <c r="BJ4" s="15">
        <f>'Cal_Weeks'!B57</f>
        <v/>
      </c>
      <c r="BK4" s="15">
        <f>'Cal_Weeks'!B58</f>
        <v/>
      </c>
      <c r="BL4" s="15">
        <f>'Cal_Weeks'!B59</f>
        <v/>
      </c>
      <c r="BM4" s="15">
        <f>'Cal_Weeks'!B60</f>
        <v/>
      </c>
      <c r="BN4" s="15">
        <f>'Cal_Weeks'!B61</f>
        <v/>
      </c>
      <c r="BO4" s="15">
        <f>'Cal_Weeks'!B62</f>
        <v/>
      </c>
      <c r="BP4" s="15">
        <f>'Cal_Weeks'!B63</f>
        <v/>
      </c>
      <c r="BQ4" s="15">
        <f>'Cal_Weeks'!B64</f>
        <v/>
      </c>
      <c r="BR4" s="15">
        <f>'Cal_Weeks'!B65</f>
        <v/>
      </c>
      <c r="BS4" s="15">
        <f>'Cal_Weeks'!B66</f>
        <v/>
      </c>
      <c r="BT4" s="15">
        <f>'Cal_Weeks'!B67</f>
        <v/>
      </c>
      <c r="BU4" s="15">
        <f>'Cal_Weeks'!B68</f>
        <v/>
      </c>
      <c r="BV4" s="15">
        <f>'Cal_Weeks'!B69</f>
        <v/>
      </c>
      <c r="BW4" s="15">
        <f>'Cal_Weeks'!B70</f>
        <v/>
      </c>
      <c r="BX4" s="15">
        <f>'Cal_Weeks'!B71</f>
        <v/>
      </c>
      <c r="BY4" s="15">
        <f>'Cal_Weeks'!B72</f>
        <v/>
      </c>
      <c r="BZ4" s="15">
        <f>'Cal_Weeks'!B73</f>
        <v/>
      </c>
      <c r="CA4" s="15">
        <f>'Cal_Weeks'!B74</f>
        <v/>
      </c>
      <c r="CB4" s="15">
        <f>'Cal_Weeks'!B75</f>
        <v/>
      </c>
      <c r="CC4" s="15">
        <f>'Cal_Weeks'!B76</f>
        <v/>
      </c>
      <c r="CD4" s="15">
        <f>'Cal_Weeks'!B77</f>
        <v/>
      </c>
      <c r="CE4" s="15">
        <f>'Cal_Weeks'!B78</f>
        <v/>
      </c>
      <c r="CF4" s="15">
        <f>'Cal_Weeks'!B79</f>
        <v/>
      </c>
      <c r="CG4" s="15">
        <f>'Cal_Weeks'!B80</f>
        <v/>
      </c>
      <c r="CH4" s="15">
        <f>'Cal_Weeks'!B81</f>
        <v/>
      </c>
      <c r="CI4" s="15">
        <f>'Cal_Weeks'!B82</f>
        <v/>
      </c>
      <c r="CJ4" s="15">
        <f>'Cal_Weeks'!B83</f>
        <v/>
      </c>
      <c r="CK4" s="15">
        <f>'Cal_Weeks'!B84</f>
        <v/>
      </c>
      <c r="CL4" s="15">
        <f>'Cal_Weeks'!B85</f>
        <v/>
      </c>
      <c r="CM4" s="15">
        <f>'Cal_Weeks'!B86</f>
        <v/>
      </c>
      <c r="CN4" s="15">
        <f>'Cal_Weeks'!B87</f>
        <v/>
      </c>
      <c r="CO4" s="15">
        <f>'Cal_Weeks'!B88</f>
        <v/>
      </c>
      <c r="CP4" s="15">
        <f>'Cal_Weeks'!B89</f>
        <v/>
      </c>
      <c r="CQ4" s="15">
        <f>'Cal_Weeks'!B90</f>
        <v/>
      </c>
      <c r="CR4" s="15">
        <f>'Cal_Weeks'!B91</f>
        <v/>
      </c>
      <c r="CS4" s="15">
        <f>'Cal_Weeks'!B92</f>
        <v/>
      </c>
      <c r="CT4" s="15">
        <f>'Cal_Weeks'!B93</f>
        <v/>
      </c>
      <c r="CU4" s="15">
        <f>'Cal_Weeks'!B94</f>
        <v/>
      </c>
      <c r="CV4" s="15">
        <f>'Cal_Weeks'!B95</f>
        <v/>
      </c>
      <c r="CW4" s="15">
        <f>'Cal_Weeks'!B96</f>
        <v/>
      </c>
      <c r="CX4" s="15">
        <f>'Cal_Weeks'!B97</f>
        <v/>
      </c>
      <c r="CY4" s="15">
        <f>'Cal_Weeks'!B98</f>
        <v/>
      </c>
      <c r="CZ4" s="15">
        <f>'Cal_Weeks'!B99</f>
        <v/>
      </c>
      <c r="DA4" s="15">
        <f>'Cal_Weeks'!B100</f>
        <v/>
      </c>
      <c r="DB4" s="15">
        <f>'Cal_Weeks'!B101</f>
        <v/>
      </c>
      <c r="DC4" s="15">
        <f>'Cal_Weeks'!B102</f>
        <v/>
      </c>
      <c r="DD4" s="15">
        <f>'Cal_Weeks'!B103</f>
        <v/>
      </c>
      <c r="DE4" s="15">
        <f>'Cal_Weeks'!B104</f>
        <v/>
      </c>
      <c r="DF4" s="15">
        <f>'Cal_Weeks'!B105</f>
        <v/>
      </c>
      <c r="DG4" s="15">
        <f>'Cal_Weeks'!B106</f>
        <v/>
      </c>
      <c r="DH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>
        <f>'Cal_Weeks'!D4</f>
        <v/>
      </c>
      <c r="J5" s="14">
        <f>'Cal_Weeks'!D5</f>
        <v/>
      </c>
      <c r="K5" s="14">
        <f>'Cal_Weeks'!D6</f>
        <v/>
      </c>
      <c r="L5" s="14">
        <f>'Cal_Weeks'!D7</f>
        <v/>
      </c>
      <c r="M5" s="14">
        <f>'Cal_Weeks'!D8</f>
        <v/>
      </c>
      <c r="N5" s="14">
        <f>'Cal_Weeks'!D9</f>
        <v/>
      </c>
      <c r="O5" s="14">
        <f>'Cal_Weeks'!D10</f>
        <v/>
      </c>
      <c r="P5" s="14">
        <f>'Cal_Weeks'!D11</f>
        <v/>
      </c>
      <c r="Q5" s="14">
        <f>'Cal_Weeks'!D12</f>
        <v/>
      </c>
      <c r="R5" s="14">
        <f>'Cal_Weeks'!D13</f>
        <v/>
      </c>
      <c r="S5" s="14">
        <f>'Cal_Weeks'!D14</f>
        <v/>
      </c>
      <c r="T5" s="14">
        <f>'Cal_Weeks'!D15</f>
        <v/>
      </c>
      <c r="U5" s="14">
        <f>'Cal_Weeks'!D16</f>
        <v/>
      </c>
      <c r="V5" s="14">
        <f>'Cal_Weeks'!D17</f>
        <v/>
      </c>
      <c r="W5" s="14">
        <f>'Cal_Weeks'!D18</f>
        <v/>
      </c>
      <c r="X5" s="14">
        <f>'Cal_Weeks'!D19</f>
        <v/>
      </c>
      <c r="Y5" s="14">
        <f>'Cal_Weeks'!D20</f>
        <v/>
      </c>
      <c r="Z5" s="14">
        <f>'Cal_Weeks'!D21</f>
        <v/>
      </c>
      <c r="AA5" s="14">
        <f>'Cal_Weeks'!D22</f>
        <v/>
      </c>
      <c r="AB5" s="14">
        <f>'Cal_Weeks'!D23</f>
        <v/>
      </c>
      <c r="AC5" s="14">
        <f>'Cal_Weeks'!D24</f>
        <v/>
      </c>
      <c r="AD5" s="14">
        <f>'Cal_Weeks'!D25</f>
        <v/>
      </c>
      <c r="AE5" s="14">
        <f>'Cal_Weeks'!D26</f>
        <v/>
      </c>
      <c r="AF5" s="14">
        <f>'Cal_Weeks'!D27</f>
        <v/>
      </c>
      <c r="AG5" s="14">
        <f>'Cal_Weeks'!D28</f>
        <v/>
      </c>
      <c r="AH5" s="14">
        <f>'Cal_Weeks'!D29</f>
        <v/>
      </c>
      <c r="AI5" s="14">
        <f>'Cal_Weeks'!D30</f>
        <v/>
      </c>
      <c r="AJ5" s="14">
        <f>'Cal_Weeks'!D31</f>
        <v/>
      </c>
      <c r="AK5" s="14">
        <f>'Cal_Weeks'!D32</f>
        <v/>
      </c>
      <c r="AL5" s="14">
        <f>'Cal_Weeks'!D33</f>
        <v/>
      </c>
      <c r="AM5" s="14">
        <f>'Cal_Weeks'!D34</f>
        <v/>
      </c>
      <c r="AN5" s="14">
        <f>'Cal_Weeks'!D35</f>
        <v/>
      </c>
      <c r="AO5" s="14">
        <f>'Cal_Weeks'!D36</f>
        <v/>
      </c>
      <c r="AP5" s="14">
        <f>'Cal_Weeks'!D37</f>
        <v/>
      </c>
      <c r="AQ5" s="14">
        <f>'Cal_Weeks'!D38</f>
        <v/>
      </c>
      <c r="AR5" s="14">
        <f>'Cal_Weeks'!D39</f>
        <v/>
      </c>
      <c r="AS5" s="14">
        <f>'Cal_Weeks'!D40</f>
        <v/>
      </c>
      <c r="AT5" s="14">
        <f>'Cal_Weeks'!D41</f>
        <v/>
      </c>
      <c r="AU5" s="14">
        <f>'Cal_Weeks'!D42</f>
        <v/>
      </c>
      <c r="AV5" s="14">
        <f>'Cal_Weeks'!D43</f>
        <v/>
      </c>
      <c r="AW5" s="14">
        <f>'Cal_Weeks'!D44</f>
        <v/>
      </c>
      <c r="AX5" s="14">
        <f>'Cal_Weeks'!D45</f>
        <v/>
      </c>
      <c r="AY5" s="14">
        <f>'Cal_Weeks'!D46</f>
        <v/>
      </c>
      <c r="AZ5" s="14">
        <f>'Cal_Weeks'!D47</f>
        <v/>
      </c>
      <c r="BA5" s="14">
        <f>'Cal_Weeks'!D48</f>
        <v/>
      </c>
      <c r="BB5" s="14">
        <f>'Cal_Weeks'!D49</f>
        <v/>
      </c>
      <c r="BC5" s="14">
        <f>'Cal_Weeks'!D50</f>
        <v/>
      </c>
      <c r="BD5" s="14">
        <f>'Cal_Weeks'!D51</f>
        <v/>
      </c>
      <c r="BE5" s="14">
        <f>'Cal_Weeks'!D52</f>
        <v/>
      </c>
      <c r="BF5" s="14">
        <f>'Cal_Weeks'!D53</f>
        <v/>
      </c>
      <c r="BG5" s="14">
        <f>'Cal_Weeks'!D54</f>
        <v/>
      </c>
      <c r="BH5" s="14">
        <f>'Cal_Weeks'!D55</f>
        <v/>
      </c>
      <c r="BI5" s="14">
        <f>'Cal_Weeks'!D56</f>
        <v/>
      </c>
      <c r="BJ5" s="14">
        <f>'Cal_Weeks'!D57</f>
        <v/>
      </c>
      <c r="BK5" s="14">
        <f>'Cal_Weeks'!D58</f>
        <v/>
      </c>
      <c r="BL5" s="14">
        <f>'Cal_Weeks'!D59</f>
        <v/>
      </c>
      <c r="BM5" s="14">
        <f>'Cal_Weeks'!D60</f>
        <v/>
      </c>
      <c r="BN5" s="14">
        <f>'Cal_Weeks'!D61</f>
        <v/>
      </c>
      <c r="BO5" s="14">
        <f>'Cal_Weeks'!D62</f>
        <v/>
      </c>
      <c r="BP5" s="14">
        <f>'Cal_Weeks'!D63</f>
        <v/>
      </c>
      <c r="BQ5" s="14">
        <f>'Cal_Weeks'!D64</f>
        <v/>
      </c>
      <c r="BR5" s="14">
        <f>'Cal_Weeks'!D65</f>
        <v/>
      </c>
      <c r="BS5" s="14">
        <f>'Cal_Weeks'!D66</f>
        <v/>
      </c>
      <c r="BT5" s="14">
        <f>'Cal_Weeks'!D67</f>
        <v/>
      </c>
      <c r="BU5" s="14">
        <f>'Cal_Weeks'!D68</f>
        <v/>
      </c>
      <c r="BV5" s="14">
        <f>'Cal_Weeks'!D69</f>
        <v/>
      </c>
      <c r="BW5" s="14">
        <f>'Cal_Weeks'!D70</f>
        <v/>
      </c>
      <c r="BX5" s="14">
        <f>'Cal_Weeks'!D71</f>
        <v/>
      </c>
      <c r="BY5" s="14">
        <f>'Cal_Weeks'!D72</f>
        <v/>
      </c>
      <c r="BZ5" s="14">
        <f>'Cal_Weeks'!D73</f>
        <v/>
      </c>
      <c r="CA5" s="14">
        <f>'Cal_Weeks'!D74</f>
        <v/>
      </c>
      <c r="CB5" s="14">
        <f>'Cal_Weeks'!D75</f>
        <v/>
      </c>
      <c r="CC5" s="14">
        <f>'Cal_Weeks'!D76</f>
        <v/>
      </c>
      <c r="CD5" s="14">
        <f>'Cal_Weeks'!D77</f>
        <v/>
      </c>
      <c r="CE5" s="14">
        <f>'Cal_Weeks'!D78</f>
        <v/>
      </c>
      <c r="CF5" s="14">
        <f>'Cal_Weeks'!D79</f>
        <v/>
      </c>
      <c r="CG5" s="14">
        <f>'Cal_Weeks'!D80</f>
        <v/>
      </c>
      <c r="CH5" s="14">
        <f>'Cal_Weeks'!D81</f>
        <v/>
      </c>
      <c r="CI5" s="14">
        <f>'Cal_Weeks'!D82</f>
        <v/>
      </c>
      <c r="CJ5" s="14">
        <f>'Cal_Weeks'!D83</f>
        <v/>
      </c>
      <c r="CK5" s="14">
        <f>'Cal_Weeks'!D84</f>
        <v/>
      </c>
      <c r="CL5" s="14">
        <f>'Cal_Weeks'!D85</f>
        <v/>
      </c>
      <c r="CM5" s="14">
        <f>'Cal_Weeks'!D86</f>
        <v/>
      </c>
      <c r="CN5" s="14">
        <f>'Cal_Weeks'!D87</f>
        <v/>
      </c>
      <c r="CO5" s="14">
        <f>'Cal_Weeks'!D88</f>
        <v/>
      </c>
      <c r="CP5" s="14">
        <f>'Cal_Weeks'!D89</f>
        <v/>
      </c>
      <c r="CQ5" s="14">
        <f>'Cal_Weeks'!D90</f>
        <v/>
      </c>
      <c r="CR5" s="14">
        <f>'Cal_Weeks'!D91</f>
        <v/>
      </c>
      <c r="CS5" s="14">
        <f>'Cal_Weeks'!D92</f>
        <v/>
      </c>
      <c r="CT5" s="14">
        <f>'Cal_Weeks'!D93</f>
        <v/>
      </c>
      <c r="CU5" s="14">
        <f>'Cal_Weeks'!D94</f>
        <v/>
      </c>
      <c r="CV5" s="14">
        <f>'Cal_Weeks'!D95</f>
        <v/>
      </c>
      <c r="CW5" s="14">
        <f>'Cal_Weeks'!D96</f>
        <v/>
      </c>
      <c r="CX5" s="14">
        <f>'Cal_Weeks'!D97</f>
        <v/>
      </c>
      <c r="CY5" s="14">
        <f>'Cal_Weeks'!D98</f>
        <v/>
      </c>
      <c r="CZ5" s="14">
        <f>'Cal_Weeks'!D99</f>
        <v/>
      </c>
      <c r="DA5" s="14">
        <f>'Cal_Weeks'!D100</f>
        <v/>
      </c>
      <c r="DB5" s="14">
        <f>'Cal_Weeks'!D101</f>
        <v/>
      </c>
      <c r="DC5" s="14">
        <f>'Cal_Weeks'!D102</f>
        <v/>
      </c>
      <c r="DD5" s="14">
        <f>'Cal_Weeks'!D103</f>
        <v/>
      </c>
      <c r="DE5" s="14">
        <f>'Cal_Weeks'!D104</f>
        <v/>
      </c>
      <c r="DF5" s="14">
        <f>'Cal_Weeks'!D105</f>
        <v/>
      </c>
      <c r="DG5" s="14">
        <f>'Cal_Weeks'!D106</f>
        <v/>
      </c>
      <c r="DH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>
        <f>'Cal_Weeks'!E4</f>
        <v/>
      </c>
      <c r="J6" s="16">
        <f>'Cal_Weeks'!E5</f>
        <v/>
      </c>
      <c r="K6" s="16">
        <f>'Cal_Weeks'!E6</f>
        <v/>
      </c>
      <c r="L6" s="16">
        <f>'Cal_Weeks'!E7</f>
        <v/>
      </c>
      <c r="M6" s="16">
        <f>'Cal_Weeks'!E8</f>
        <v/>
      </c>
      <c r="N6" s="16">
        <f>'Cal_Weeks'!E9</f>
        <v/>
      </c>
      <c r="O6" s="16">
        <f>'Cal_Weeks'!E10</f>
        <v/>
      </c>
      <c r="P6" s="16">
        <f>'Cal_Weeks'!E11</f>
        <v/>
      </c>
      <c r="Q6" s="16">
        <f>'Cal_Weeks'!E12</f>
        <v/>
      </c>
      <c r="R6" s="16">
        <f>'Cal_Weeks'!E13</f>
        <v/>
      </c>
      <c r="S6" s="16">
        <f>'Cal_Weeks'!E14</f>
        <v/>
      </c>
      <c r="T6" s="16">
        <f>'Cal_Weeks'!E15</f>
        <v/>
      </c>
      <c r="U6" s="16">
        <f>'Cal_Weeks'!E16</f>
        <v/>
      </c>
      <c r="V6" s="16">
        <f>'Cal_Weeks'!E17</f>
        <v/>
      </c>
      <c r="W6" s="16">
        <f>'Cal_Weeks'!E18</f>
        <v/>
      </c>
      <c r="X6" s="16">
        <f>'Cal_Weeks'!E19</f>
        <v/>
      </c>
      <c r="Y6" s="16">
        <f>'Cal_Weeks'!E20</f>
        <v/>
      </c>
      <c r="Z6" s="16">
        <f>'Cal_Weeks'!E21</f>
        <v/>
      </c>
      <c r="AA6" s="16">
        <f>'Cal_Weeks'!E22</f>
        <v/>
      </c>
      <c r="AB6" s="16">
        <f>'Cal_Weeks'!E23</f>
        <v/>
      </c>
      <c r="AC6" s="16">
        <f>'Cal_Weeks'!E24</f>
        <v/>
      </c>
      <c r="AD6" s="16">
        <f>'Cal_Weeks'!E25</f>
        <v/>
      </c>
      <c r="AE6" s="16">
        <f>'Cal_Weeks'!E26</f>
        <v/>
      </c>
      <c r="AF6" s="16">
        <f>'Cal_Weeks'!E27</f>
        <v/>
      </c>
      <c r="AG6" s="16">
        <f>'Cal_Weeks'!E28</f>
        <v/>
      </c>
      <c r="AH6" s="16">
        <f>'Cal_Weeks'!E29</f>
        <v/>
      </c>
      <c r="AI6" s="16">
        <f>'Cal_Weeks'!E30</f>
        <v/>
      </c>
      <c r="AJ6" s="16">
        <f>'Cal_Weeks'!E31</f>
        <v/>
      </c>
      <c r="AK6" s="16">
        <f>'Cal_Weeks'!E32</f>
        <v/>
      </c>
      <c r="AL6" s="16">
        <f>'Cal_Weeks'!E33</f>
        <v/>
      </c>
      <c r="AM6" s="16">
        <f>'Cal_Weeks'!E34</f>
        <v/>
      </c>
      <c r="AN6" s="16">
        <f>'Cal_Weeks'!E35</f>
        <v/>
      </c>
      <c r="AO6" s="16">
        <f>'Cal_Weeks'!E36</f>
        <v/>
      </c>
      <c r="AP6" s="16">
        <f>'Cal_Weeks'!E37</f>
        <v/>
      </c>
      <c r="AQ6" s="16">
        <f>'Cal_Weeks'!E38</f>
        <v/>
      </c>
      <c r="AR6" s="16">
        <f>'Cal_Weeks'!E39</f>
        <v/>
      </c>
      <c r="AS6" s="16">
        <f>'Cal_Weeks'!E40</f>
        <v/>
      </c>
      <c r="AT6" s="16">
        <f>'Cal_Weeks'!E41</f>
        <v/>
      </c>
      <c r="AU6" s="16">
        <f>'Cal_Weeks'!E42</f>
        <v/>
      </c>
      <c r="AV6" s="16">
        <f>'Cal_Weeks'!E43</f>
        <v/>
      </c>
      <c r="AW6" s="16">
        <f>'Cal_Weeks'!E44</f>
        <v/>
      </c>
      <c r="AX6" s="16">
        <f>'Cal_Weeks'!E45</f>
        <v/>
      </c>
      <c r="AY6" s="16">
        <f>'Cal_Weeks'!E46</f>
        <v/>
      </c>
      <c r="AZ6" s="16">
        <f>'Cal_Weeks'!E47</f>
        <v/>
      </c>
      <c r="BA6" s="16">
        <f>'Cal_Weeks'!E48</f>
        <v/>
      </c>
      <c r="BB6" s="16">
        <f>'Cal_Weeks'!E49</f>
        <v/>
      </c>
      <c r="BC6" s="16">
        <f>'Cal_Weeks'!E50</f>
        <v/>
      </c>
      <c r="BD6" s="16">
        <f>'Cal_Weeks'!E51</f>
        <v/>
      </c>
      <c r="BE6" s="16">
        <f>'Cal_Weeks'!E52</f>
        <v/>
      </c>
      <c r="BF6" s="16">
        <f>'Cal_Weeks'!E53</f>
        <v/>
      </c>
      <c r="BG6" s="16">
        <f>'Cal_Weeks'!E54</f>
        <v/>
      </c>
      <c r="BH6" s="16">
        <f>'Cal_Weeks'!E55</f>
        <v/>
      </c>
      <c r="BI6" s="16">
        <f>'Cal_Weeks'!E56</f>
        <v/>
      </c>
      <c r="BJ6" s="16">
        <f>'Cal_Weeks'!E57</f>
        <v/>
      </c>
      <c r="BK6" s="16">
        <f>'Cal_Weeks'!E58</f>
        <v/>
      </c>
      <c r="BL6" s="16">
        <f>'Cal_Weeks'!E59</f>
        <v/>
      </c>
      <c r="BM6" s="16">
        <f>'Cal_Weeks'!E60</f>
        <v/>
      </c>
      <c r="BN6" s="16">
        <f>'Cal_Weeks'!E61</f>
        <v/>
      </c>
      <c r="BO6" s="16">
        <f>'Cal_Weeks'!E62</f>
        <v/>
      </c>
      <c r="BP6" s="16">
        <f>'Cal_Weeks'!E63</f>
        <v/>
      </c>
      <c r="BQ6" s="16">
        <f>'Cal_Weeks'!E64</f>
        <v/>
      </c>
      <c r="BR6" s="16">
        <f>'Cal_Weeks'!E65</f>
        <v/>
      </c>
      <c r="BS6" s="16">
        <f>'Cal_Weeks'!E66</f>
        <v/>
      </c>
      <c r="BT6" s="16">
        <f>'Cal_Weeks'!E67</f>
        <v/>
      </c>
      <c r="BU6" s="16">
        <f>'Cal_Weeks'!E68</f>
        <v/>
      </c>
      <c r="BV6" s="16">
        <f>'Cal_Weeks'!E69</f>
        <v/>
      </c>
      <c r="BW6" s="16">
        <f>'Cal_Weeks'!E70</f>
        <v/>
      </c>
      <c r="BX6" s="16">
        <f>'Cal_Weeks'!E71</f>
        <v/>
      </c>
      <c r="BY6" s="16">
        <f>'Cal_Weeks'!E72</f>
        <v/>
      </c>
      <c r="BZ6" s="16">
        <f>'Cal_Weeks'!E73</f>
        <v/>
      </c>
      <c r="CA6" s="16">
        <f>'Cal_Weeks'!E74</f>
        <v/>
      </c>
      <c r="CB6" s="16">
        <f>'Cal_Weeks'!E75</f>
        <v/>
      </c>
      <c r="CC6" s="16">
        <f>'Cal_Weeks'!E76</f>
        <v/>
      </c>
      <c r="CD6" s="16">
        <f>'Cal_Weeks'!E77</f>
        <v/>
      </c>
      <c r="CE6" s="16">
        <f>'Cal_Weeks'!E78</f>
        <v/>
      </c>
      <c r="CF6" s="16">
        <f>'Cal_Weeks'!E79</f>
        <v/>
      </c>
      <c r="CG6" s="16">
        <f>'Cal_Weeks'!E80</f>
        <v/>
      </c>
      <c r="CH6" s="16">
        <f>'Cal_Weeks'!E81</f>
        <v/>
      </c>
      <c r="CI6" s="16">
        <f>'Cal_Weeks'!E82</f>
        <v/>
      </c>
      <c r="CJ6" s="16">
        <f>'Cal_Weeks'!E83</f>
        <v/>
      </c>
      <c r="CK6" s="16">
        <f>'Cal_Weeks'!E84</f>
        <v/>
      </c>
      <c r="CL6" s="16">
        <f>'Cal_Weeks'!E85</f>
        <v/>
      </c>
      <c r="CM6" s="16">
        <f>'Cal_Weeks'!E86</f>
        <v/>
      </c>
      <c r="CN6" s="16">
        <f>'Cal_Weeks'!E87</f>
        <v/>
      </c>
      <c r="CO6" s="16">
        <f>'Cal_Weeks'!E88</f>
        <v/>
      </c>
      <c r="CP6" s="16">
        <f>'Cal_Weeks'!E89</f>
        <v/>
      </c>
      <c r="CQ6" s="16">
        <f>'Cal_Weeks'!E90</f>
        <v/>
      </c>
      <c r="CR6" s="16">
        <f>'Cal_Weeks'!E91</f>
        <v/>
      </c>
      <c r="CS6" s="16">
        <f>'Cal_Weeks'!E92</f>
        <v/>
      </c>
      <c r="CT6" s="16">
        <f>'Cal_Weeks'!E93</f>
        <v/>
      </c>
      <c r="CU6" s="16">
        <f>'Cal_Weeks'!E94</f>
        <v/>
      </c>
      <c r="CV6" s="16">
        <f>'Cal_Weeks'!E95</f>
        <v/>
      </c>
      <c r="CW6" s="16">
        <f>'Cal_Weeks'!E96</f>
        <v/>
      </c>
      <c r="CX6" s="16">
        <f>'Cal_Weeks'!E97</f>
        <v/>
      </c>
      <c r="CY6" s="16">
        <f>'Cal_Weeks'!E98</f>
        <v/>
      </c>
      <c r="CZ6" s="16">
        <f>'Cal_Weeks'!E99</f>
        <v/>
      </c>
      <c r="DA6" s="16">
        <f>'Cal_Weeks'!E100</f>
        <v/>
      </c>
      <c r="DB6" s="16">
        <f>'Cal_Weeks'!E101</f>
        <v/>
      </c>
      <c r="DC6" s="16">
        <f>'Cal_Weeks'!E102</f>
        <v/>
      </c>
      <c r="DD6" s="16">
        <f>'Cal_Weeks'!E103</f>
        <v/>
      </c>
      <c r="DE6" s="16">
        <f>'Cal_Weeks'!E104</f>
        <v/>
      </c>
      <c r="DF6" s="16">
        <f>'Cal_Weeks'!E105</f>
        <v/>
      </c>
      <c r="DG6" s="16">
        <f>'Cal_Weeks'!E106</f>
        <v/>
      </c>
      <c r="DH6" s="16">
        <f>'Cal_Weeks'!E107</f>
        <v/>
      </c>
    </row>
    <row r="7">
      <c r="A7" s="17" t="inlineStr">
        <is>
          <t>CHEM-1250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7">
        <f>'Grid_Stock'!B2</f>
        <v/>
      </c>
      <c r="J7" s="17">
        <f>'Grid_Stock'!C2</f>
        <v/>
      </c>
      <c r="K7" s="17">
        <f>'Grid_Stock'!D2</f>
        <v/>
      </c>
      <c r="L7" s="17">
        <f>'Grid_Stock'!E2</f>
        <v/>
      </c>
      <c r="M7" s="17">
        <f>'Grid_Stock'!F2</f>
        <v/>
      </c>
      <c r="N7" s="17">
        <f>'Grid_Stock'!G2</f>
        <v/>
      </c>
      <c r="O7" s="17">
        <f>'Grid_Stock'!H2</f>
        <v/>
      </c>
      <c r="P7" s="17">
        <f>'Grid_Stock'!I2</f>
        <v/>
      </c>
      <c r="Q7" s="17">
        <f>'Grid_Stock'!J2</f>
        <v/>
      </c>
      <c r="R7" s="17">
        <f>'Grid_Stock'!K2</f>
        <v/>
      </c>
      <c r="S7" s="17">
        <f>'Grid_Stock'!L2</f>
        <v/>
      </c>
      <c r="T7" s="17">
        <f>'Grid_Stock'!M2</f>
        <v/>
      </c>
      <c r="U7" s="17">
        <f>'Grid_Stock'!N2</f>
        <v/>
      </c>
      <c r="V7" s="17">
        <f>'Grid_Stock'!O2</f>
        <v/>
      </c>
      <c r="W7" s="17">
        <f>'Grid_Stock'!P2</f>
        <v/>
      </c>
      <c r="X7" s="17">
        <f>'Grid_Stock'!Q2</f>
        <v/>
      </c>
      <c r="Y7" s="17">
        <f>'Grid_Stock'!R2</f>
        <v/>
      </c>
      <c r="Z7" s="17">
        <f>'Grid_Stock'!S2</f>
        <v/>
      </c>
      <c r="AA7" s="17">
        <f>'Grid_Stock'!T2</f>
        <v/>
      </c>
      <c r="AB7" s="17">
        <f>'Grid_Stock'!U2</f>
        <v/>
      </c>
      <c r="AC7" s="17">
        <f>'Grid_Stock'!V2</f>
        <v/>
      </c>
      <c r="AD7" s="17">
        <f>'Grid_Stock'!W2</f>
        <v/>
      </c>
      <c r="AE7" s="17">
        <f>'Grid_Stock'!X2</f>
        <v/>
      </c>
      <c r="AF7" s="17">
        <f>'Grid_Stock'!Y2</f>
        <v/>
      </c>
      <c r="AG7" s="17">
        <f>'Grid_Stock'!Z2</f>
        <v/>
      </c>
      <c r="AH7" s="17">
        <f>'Grid_Stock'!AA2</f>
        <v/>
      </c>
      <c r="AI7" s="17">
        <f>'Grid_Stock'!AB2</f>
        <v/>
      </c>
      <c r="AJ7" s="17">
        <f>'Grid_Stock'!AC2</f>
        <v/>
      </c>
      <c r="AK7" s="17">
        <f>'Grid_Stock'!AD2</f>
        <v/>
      </c>
      <c r="AL7" s="17">
        <f>'Grid_Stock'!AE2</f>
        <v/>
      </c>
      <c r="AM7" s="17">
        <f>'Grid_Stock'!AF2</f>
        <v/>
      </c>
      <c r="AN7" s="17">
        <f>'Grid_Stock'!AG2</f>
        <v/>
      </c>
      <c r="AO7" s="17">
        <f>'Grid_Stock'!AH2</f>
        <v/>
      </c>
      <c r="AP7" s="17">
        <f>'Grid_Stock'!AI2</f>
        <v/>
      </c>
      <c r="AQ7" s="17">
        <f>'Grid_Stock'!AJ2</f>
        <v/>
      </c>
      <c r="AR7" s="17">
        <f>'Grid_Stock'!AK2</f>
        <v/>
      </c>
      <c r="AS7" s="17">
        <f>'Grid_Stock'!AL2</f>
        <v/>
      </c>
      <c r="AT7" s="17">
        <f>'Grid_Stock'!AM2</f>
        <v/>
      </c>
      <c r="AU7" s="17">
        <f>'Grid_Stock'!AN2</f>
        <v/>
      </c>
      <c r="AV7" s="17">
        <f>'Grid_Stock'!AO2</f>
        <v/>
      </c>
      <c r="AW7" s="17">
        <f>'Grid_Stock'!AP2</f>
        <v/>
      </c>
      <c r="AX7" s="17">
        <f>'Grid_Stock'!AQ2</f>
        <v/>
      </c>
      <c r="AY7" s="17">
        <f>'Grid_Stock'!AR2</f>
        <v/>
      </c>
      <c r="AZ7" s="17">
        <f>'Grid_Stock'!AS2</f>
        <v/>
      </c>
      <c r="BA7" s="17">
        <f>'Grid_Stock'!AT2</f>
        <v/>
      </c>
      <c r="BB7" s="17">
        <f>'Grid_Stock'!AU2</f>
        <v/>
      </c>
      <c r="BC7" s="17">
        <f>'Grid_Stock'!AV2</f>
        <v/>
      </c>
      <c r="BD7" s="17">
        <f>'Grid_Stock'!AW2</f>
        <v/>
      </c>
      <c r="BE7" s="17">
        <f>'Grid_Stock'!AX2</f>
        <v/>
      </c>
      <c r="BF7" s="17">
        <f>'Grid_Stock'!AY2</f>
        <v/>
      </c>
      <c r="BG7" s="17">
        <f>'Grid_Stock'!AZ2</f>
        <v/>
      </c>
      <c r="BH7" s="17">
        <f>'Grid_Stock'!BA2</f>
        <v/>
      </c>
      <c r="BI7" s="17">
        <f>'Grid_Stock'!BB2</f>
        <v/>
      </c>
      <c r="BJ7" s="17">
        <f>'Grid_Stock'!BC2</f>
        <v/>
      </c>
      <c r="BK7" s="17">
        <f>'Grid_Stock'!BD2</f>
        <v/>
      </c>
      <c r="BL7" s="17">
        <f>'Grid_Stock'!BE2</f>
        <v/>
      </c>
      <c r="BM7" s="17">
        <f>'Grid_Stock'!BF2</f>
        <v/>
      </c>
      <c r="BN7" s="17">
        <f>'Grid_Stock'!BG2</f>
        <v/>
      </c>
      <c r="BO7" s="17">
        <f>'Grid_Stock'!BH2</f>
        <v/>
      </c>
      <c r="BP7" s="17">
        <f>'Grid_Stock'!BI2</f>
        <v/>
      </c>
      <c r="BQ7" s="17">
        <f>'Grid_Stock'!BJ2</f>
        <v/>
      </c>
      <c r="BR7" s="17">
        <f>'Grid_Stock'!BK2</f>
        <v/>
      </c>
      <c r="BS7" s="17">
        <f>'Grid_Stock'!BL2</f>
        <v/>
      </c>
      <c r="BT7" s="17">
        <f>'Grid_Stock'!BM2</f>
        <v/>
      </c>
      <c r="BU7" s="17">
        <f>'Grid_Stock'!BN2</f>
        <v/>
      </c>
      <c r="BV7" s="17">
        <f>'Grid_Stock'!BO2</f>
        <v/>
      </c>
      <c r="BW7" s="17">
        <f>'Grid_Stock'!BP2</f>
        <v/>
      </c>
      <c r="BX7" s="17">
        <f>'Grid_Stock'!BQ2</f>
        <v/>
      </c>
      <c r="BY7" s="17">
        <f>'Grid_Stock'!BR2</f>
        <v/>
      </c>
      <c r="BZ7" s="17">
        <f>'Grid_Stock'!BS2</f>
        <v/>
      </c>
      <c r="CA7" s="17">
        <f>'Grid_Stock'!BT2</f>
        <v/>
      </c>
      <c r="CB7" s="17">
        <f>'Grid_Stock'!BU2</f>
        <v/>
      </c>
      <c r="CC7" s="17">
        <f>'Grid_Stock'!BV2</f>
        <v/>
      </c>
      <c r="CD7" s="17">
        <f>'Grid_Stock'!BW2</f>
        <v/>
      </c>
      <c r="CE7" s="17">
        <f>'Grid_Stock'!BX2</f>
        <v/>
      </c>
      <c r="CF7" s="17">
        <f>'Grid_Stock'!BY2</f>
        <v/>
      </c>
      <c r="CG7" s="17">
        <f>'Grid_Stock'!BZ2</f>
        <v/>
      </c>
      <c r="CH7" s="17">
        <f>'Grid_Stock'!CA2</f>
        <v/>
      </c>
      <c r="CI7" s="17">
        <f>'Grid_Stock'!CB2</f>
        <v/>
      </c>
      <c r="CJ7" s="17">
        <f>'Grid_Stock'!CC2</f>
        <v/>
      </c>
      <c r="CK7" s="17">
        <f>'Grid_Stock'!CD2</f>
        <v/>
      </c>
      <c r="CL7" s="17">
        <f>'Grid_Stock'!CE2</f>
        <v/>
      </c>
      <c r="CM7" s="17">
        <f>'Grid_Stock'!CF2</f>
        <v/>
      </c>
      <c r="CN7" s="17">
        <f>'Grid_Stock'!CG2</f>
        <v/>
      </c>
      <c r="CO7" s="17">
        <f>'Grid_Stock'!CH2</f>
        <v/>
      </c>
      <c r="CP7" s="17">
        <f>'Grid_Stock'!CI2</f>
        <v/>
      </c>
      <c r="CQ7" s="17">
        <f>'Grid_Stock'!CJ2</f>
        <v/>
      </c>
      <c r="CR7" s="17">
        <f>'Grid_Stock'!CK2</f>
        <v/>
      </c>
      <c r="CS7" s="17">
        <f>'Grid_Stock'!CL2</f>
        <v/>
      </c>
      <c r="CT7" s="17">
        <f>'Grid_Stock'!CM2</f>
        <v/>
      </c>
      <c r="CU7" s="17">
        <f>'Grid_Stock'!CN2</f>
        <v/>
      </c>
      <c r="CV7" s="17">
        <f>'Grid_Stock'!CO2</f>
        <v/>
      </c>
      <c r="CW7" s="17">
        <f>'Grid_Stock'!CP2</f>
        <v/>
      </c>
      <c r="CX7" s="17">
        <f>'Grid_Stock'!CQ2</f>
        <v/>
      </c>
      <c r="CY7" s="17">
        <f>'Grid_Stock'!CR2</f>
        <v/>
      </c>
      <c r="CZ7" s="17">
        <f>'Grid_Stock'!CS2</f>
        <v/>
      </c>
      <c r="DA7" s="17">
        <f>'Grid_Stock'!CT2</f>
        <v/>
      </c>
      <c r="DB7" s="17">
        <f>'Grid_Stock'!CU2</f>
        <v/>
      </c>
      <c r="DC7" s="17">
        <f>'Grid_Stock'!CV2</f>
        <v/>
      </c>
      <c r="DD7" s="17">
        <f>'Grid_Stock'!CW2</f>
        <v/>
      </c>
      <c r="DE7" s="17">
        <f>'Grid_Stock'!CX2</f>
        <v/>
      </c>
      <c r="DF7" s="17">
        <f>'Grid_Stock'!CY2</f>
        <v/>
      </c>
      <c r="DG7" s="17">
        <f>'Grid_Stock'!CZ2</f>
        <v/>
      </c>
      <c r="DH7" s="17">
        <f>'Grid_Stock'!DA2</f>
        <v/>
      </c>
    </row>
    <row r="8">
      <c r="A8" s="18" t="inlineStr">
        <is>
          <t>CHEM-1670</t>
        </is>
      </c>
      <c r="B8" s="18">
        <f>IFERROR(INDEX(M_RawMaterials[Description],MATCH($A8,M_RawMaterials[Part Name],0)),"")</f>
        <v/>
      </c>
      <c r="C8" s="18">
        <f>IFERROR(INDEX(M_RawMaterials[Category],MATCH($A8,M_RawMaterials[Part Name],0)),"")</f>
        <v/>
      </c>
      <c r="D8" s="18">
        <f>IFERROR(INDEX(M_RawMaterials[基準在庫下限_要入力],MATCH($A8,M_RawMaterials[Part Name],0)),0)</f>
        <v/>
      </c>
      <c r="E8" s="18">
        <f>IFERROR(INDEX(M_RawMaterials[基準在庫上限_要入力],MATCH($A8,M_RawMaterials[Part Name],0)),0)</f>
        <v/>
      </c>
      <c r="F8" s="18">
        <f>IFERROR(LOOKUP(2,1/('T_SelfStock'!$B$7:$DA$7&lt;&gt;""),'T_SelfStock'!$B$7:$DA$7),"")</f>
        <v/>
      </c>
      <c r="G8" s="18">
        <f>IFERROR(LOOKUP(2,1/('T_TTAFStock'!$B$7:$DA$7&lt;&gt;""),'T_TTAFStock'!$B$7:$DA$7),"")</f>
        <v/>
      </c>
      <c r="H8" s="18">
        <f>IFERROR(LOOKUP(2,1/('T_SelfStock'!$B$7:$DA$7&lt;&gt;""),'T_SelfStock'!$B$5:$DA$5),"")</f>
        <v/>
      </c>
      <c r="I8" s="18">
        <f>'Grid_Stock'!B3</f>
        <v/>
      </c>
      <c r="J8" s="18">
        <f>'Grid_Stock'!C3</f>
        <v/>
      </c>
      <c r="K8" s="18">
        <f>'Grid_Stock'!D3</f>
        <v/>
      </c>
      <c r="L8" s="18">
        <f>'Grid_Stock'!E3</f>
        <v/>
      </c>
      <c r="M8" s="18">
        <f>'Grid_Stock'!F3</f>
        <v/>
      </c>
      <c r="N8" s="18">
        <f>'Grid_Stock'!G3</f>
        <v/>
      </c>
      <c r="O8" s="18">
        <f>'Grid_Stock'!H3</f>
        <v/>
      </c>
      <c r="P8" s="18">
        <f>'Grid_Stock'!I3</f>
        <v/>
      </c>
      <c r="Q8" s="18">
        <f>'Grid_Stock'!J3</f>
        <v/>
      </c>
      <c r="R8" s="18">
        <f>'Grid_Stock'!K3</f>
        <v/>
      </c>
      <c r="S8" s="18">
        <f>'Grid_Stock'!L3</f>
        <v/>
      </c>
      <c r="T8" s="18">
        <f>'Grid_Stock'!M3</f>
        <v/>
      </c>
      <c r="U8" s="18">
        <f>'Grid_Stock'!N3</f>
        <v/>
      </c>
      <c r="V8" s="18">
        <f>'Grid_Stock'!O3</f>
        <v/>
      </c>
      <c r="W8" s="18">
        <f>'Grid_Stock'!P3</f>
        <v/>
      </c>
      <c r="X8" s="18">
        <f>'Grid_Stock'!Q3</f>
        <v/>
      </c>
      <c r="Y8" s="18">
        <f>'Grid_Stock'!R3</f>
        <v/>
      </c>
      <c r="Z8" s="18">
        <f>'Grid_Stock'!S3</f>
        <v/>
      </c>
      <c r="AA8" s="18">
        <f>'Grid_Stock'!T3</f>
        <v/>
      </c>
      <c r="AB8" s="18">
        <f>'Grid_Stock'!U3</f>
        <v/>
      </c>
      <c r="AC8" s="18">
        <f>'Grid_Stock'!V3</f>
        <v/>
      </c>
      <c r="AD8" s="18">
        <f>'Grid_Stock'!W3</f>
        <v/>
      </c>
      <c r="AE8" s="18">
        <f>'Grid_Stock'!X3</f>
        <v/>
      </c>
      <c r="AF8" s="18">
        <f>'Grid_Stock'!Y3</f>
        <v/>
      </c>
      <c r="AG8" s="18">
        <f>'Grid_Stock'!Z3</f>
        <v/>
      </c>
      <c r="AH8" s="18">
        <f>'Grid_Stock'!AA3</f>
        <v/>
      </c>
      <c r="AI8" s="18">
        <f>'Grid_Stock'!AB3</f>
        <v/>
      </c>
      <c r="AJ8" s="18">
        <f>'Grid_Stock'!AC3</f>
        <v/>
      </c>
      <c r="AK8" s="18">
        <f>'Grid_Stock'!AD3</f>
        <v/>
      </c>
      <c r="AL8" s="18">
        <f>'Grid_Stock'!AE3</f>
        <v/>
      </c>
      <c r="AM8" s="18">
        <f>'Grid_Stock'!AF3</f>
        <v/>
      </c>
      <c r="AN8" s="18">
        <f>'Grid_Stock'!AG3</f>
        <v/>
      </c>
      <c r="AO8" s="18">
        <f>'Grid_Stock'!AH3</f>
        <v/>
      </c>
      <c r="AP8" s="18">
        <f>'Grid_Stock'!AI3</f>
        <v/>
      </c>
      <c r="AQ8" s="18">
        <f>'Grid_Stock'!AJ3</f>
        <v/>
      </c>
      <c r="AR8" s="18">
        <f>'Grid_Stock'!AK3</f>
        <v/>
      </c>
      <c r="AS8" s="18">
        <f>'Grid_Stock'!AL3</f>
        <v/>
      </c>
      <c r="AT8" s="18">
        <f>'Grid_Stock'!AM3</f>
        <v/>
      </c>
      <c r="AU8" s="18">
        <f>'Grid_Stock'!AN3</f>
        <v/>
      </c>
      <c r="AV8" s="18">
        <f>'Grid_Stock'!AO3</f>
        <v/>
      </c>
      <c r="AW8" s="18">
        <f>'Grid_Stock'!AP3</f>
        <v/>
      </c>
      <c r="AX8" s="18">
        <f>'Grid_Stock'!AQ3</f>
        <v/>
      </c>
      <c r="AY8" s="18">
        <f>'Grid_Stock'!AR3</f>
        <v/>
      </c>
      <c r="AZ8" s="18">
        <f>'Grid_Stock'!AS3</f>
        <v/>
      </c>
      <c r="BA8" s="18">
        <f>'Grid_Stock'!AT3</f>
        <v/>
      </c>
      <c r="BB8" s="18">
        <f>'Grid_Stock'!AU3</f>
        <v/>
      </c>
      <c r="BC8" s="18">
        <f>'Grid_Stock'!AV3</f>
        <v/>
      </c>
      <c r="BD8" s="18">
        <f>'Grid_Stock'!AW3</f>
        <v/>
      </c>
      <c r="BE8" s="18">
        <f>'Grid_Stock'!AX3</f>
        <v/>
      </c>
      <c r="BF8" s="18">
        <f>'Grid_Stock'!AY3</f>
        <v/>
      </c>
      <c r="BG8" s="18">
        <f>'Grid_Stock'!AZ3</f>
        <v/>
      </c>
      <c r="BH8" s="18">
        <f>'Grid_Stock'!BA3</f>
        <v/>
      </c>
      <c r="BI8" s="18">
        <f>'Grid_Stock'!BB3</f>
        <v/>
      </c>
      <c r="BJ8" s="18">
        <f>'Grid_Stock'!BC3</f>
        <v/>
      </c>
      <c r="BK8" s="18">
        <f>'Grid_Stock'!BD3</f>
        <v/>
      </c>
      <c r="BL8" s="18">
        <f>'Grid_Stock'!BE3</f>
        <v/>
      </c>
      <c r="BM8" s="18">
        <f>'Grid_Stock'!BF3</f>
        <v/>
      </c>
      <c r="BN8" s="18">
        <f>'Grid_Stock'!BG3</f>
        <v/>
      </c>
      <c r="BO8" s="18">
        <f>'Grid_Stock'!BH3</f>
        <v/>
      </c>
      <c r="BP8" s="18">
        <f>'Grid_Stock'!BI3</f>
        <v/>
      </c>
      <c r="BQ8" s="18">
        <f>'Grid_Stock'!BJ3</f>
        <v/>
      </c>
      <c r="BR8" s="18">
        <f>'Grid_Stock'!BK3</f>
        <v/>
      </c>
      <c r="BS8" s="18">
        <f>'Grid_Stock'!BL3</f>
        <v/>
      </c>
      <c r="BT8" s="18">
        <f>'Grid_Stock'!BM3</f>
        <v/>
      </c>
      <c r="BU8" s="18">
        <f>'Grid_Stock'!BN3</f>
        <v/>
      </c>
      <c r="BV8" s="18">
        <f>'Grid_Stock'!BO3</f>
        <v/>
      </c>
      <c r="BW8" s="18">
        <f>'Grid_Stock'!BP3</f>
        <v/>
      </c>
      <c r="BX8" s="18">
        <f>'Grid_Stock'!BQ3</f>
        <v/>
      </c>
      <c r="BY8" s="18">
        <f>'Grid_Stock'!BR3</f>
        <v/>
      </c>
      <c r="BZ8" s="18">
        <f>'Grid_Stock'!BS3</f>
        <v/>
      </c>
      <c r="CA8" s="18">
        <f>'Grid_Stock'!BT3</f>
        <v/>
      </c>
      <c r="CB8" s="18">
        <f>'Grid_Stock'!BU3</f>
        <v/>
      </c>
      <c r="CC8" s="18">
        <f>'Grid_Stock'!BV3</f>
        <v/>
      </c>
      <c r="CD8" s="18">
        <f>'Grid_Stock'!BW3</f>
        <v/>
      </c>
      <c r="CE8" s="18">
        <f>'Grid_Stock'!BX3</f>
        <v/>
      </c>
      <c r="CF8" s="18">
        <f>'Grid_Stock'!BY3</f>
        <v/>
      </c>
      <c r="CG8" s="18">
        <f>'Grid_Stock'!BZ3</f>
        <v/>
      </c>
      <c r="CH8" s="18">
        <f>'Grid_Stock'!CA3</f>
        <v/>
      </c>
      <c r="CI8" s="18">
        <f>'Grid_Stock'!CB3</f>
        <v/>
      </c>
      <c r="CJ8" s="18">
        <f>'Grid_Stock'!CC3</f>
        <v/>
      </c>
      <c r="CK8" s="18">
        <f>'Grid_Stock'!CD3</f>
        <v/>
      </c>
      <c r="CL8" s="18">
        <f>'Grid_Stock'!CE3</f>
        <v/>
      </c>
      <c r="CM8" s="18">
        <f>'Grid_Stock'!CF3</f>
        <v/>
      </c>
      <c r="CN8" s="18">
        <f>'Grid_Stock'!CG3</f>
        <v/>
      </c>
      <c r="CO8" s="18">
        <f>'Grid_Stock'!CH3</f>
        <v/>
      </c>
      <c r="CP8" s="18">
        <f>'Grid_Stock'!CI3</f>
        <v/>
      </c>
      <c r="CQ8" s="18">
        <f>'Grid_Stock'!CJ3</f>
        <v/>
      </c>
      <c r="CR8" s="18">
        <f>'Grid_Stock'!CK3</f>
        <v/>
      </c>
      <c r="CS8" s="18">
        <f>'Grid_Stock'!CL3</f>
        <v/>
      </c>
      <c r="CT8" s="18">
        <f>'Grid_Stock'!CM3</f>
        <v/>
      </c>
      <c r="CU8" s="18">
        <f>'Grid_Stock'!CN3</f>
        <v/>
      </c>
      <c r="CV8" s="18">
        <f>'Grid_Stock'!CO3</f>
        <v/>
      </c>
      <c r="CW8" s="18">
        <f>'Grid_Stock'!CP3</f>
        <v/>
      </c>
      <c r="CX8" s="18">
        <f>'Grid_Stock'!CQ3</f>
        <v/>
      </c>
      <c r="CY8" s="18">
        <f>'Grid_Stock'!CR3</f>
        <v/>
      </c>
      <c r="CZ8" s="18">
        <f>'Grid_Stock'!CS3</f>
        <v/>
      </c>
      <c r="DA8" s="18">
        <f>'Grid_Stock'!CT3</f>
        <v/>
      </c>
      <c r="DB8" s="18">
        <f>'Grid_Stock'!CU3</f>
        <v/>
      </c>
      <c r="DC8" s="18">
        <f>'Grid_Stock'!CV3</f>
        <v/>
      </c>
      <c r="DD8" s="18">
        <f>'Grid_Stock'!CW3</f>
        <v/>
      </c>
      <c r="DE8" s="18">
        <f>'Grid_Stock'!CX3</f>
        <v/>
      </c>
      <c r="DF8" s="18">
        <f>'Grid_Stock'!CY3</f>
        <v/>
      </c>
      <c r="DG8" s="18">
        <f>'Grid_Stock'!CZ3</f>
        <v/>
      </c>
      <c r="DH8" s="18">
        <f>'Grid_Stock'!DA3</f>
        <v/>
      </c>
    </row>
    <row r="9">
      <c r="A9" s="17" t="inlineStr">
        <is>
          <t>CHEM-1700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IFERROR(LOOKUP(2,1/('T_SelfStock'!$B$8:$DA$8&lt;&gt;""),'T_SelfStock'!$B$8:$DA$8),"")</f>
        <v/>
      </c>
      <c r="G9" s="17">
        <f>IFERROR(LOOKUP(2,1/('T_TTAFStock'!$B$8:$DA$8&lt;&gt;""),'T_TTAFStock'!$B$8:$DA$8),"")</f>
        <v/>
      </c>
      <c r="H9" s="17">
        <f>IFERROR(LOOKUP(2,1/('T_SelfStock'!$B$8:$DA$8&lt;&gt;""),'T_SelfStock'!$B$5:$DA$5),"")</f>
        <v/>
      </c>
      <c r="I9" s="17">
        <f>'Grid_Stock'!B4</f>
        <v/>
      </c>
      <c r="J9" s="17">
        <f>'Grid_Stock'!C4</f>
        <v/>
      </c>
      <c r="K9" s="17">
        <f>'Grid_Stock'!D4</f>
        <v/>
      </c>
      <c r="L9" s="17">
        <f>'Grid_Stock'!E4</f>
        <v/>
      </c>
      <c r="M9" s="17">
        <f>'Grid_Stock'!F4</f>
        <v/>
      </c>
      <c r="N9" s="17">
        <f>'Grid_Stock'!G4</f>
        <v/>
      </c>
      <c r="O9" s="17">
        <f>'Grid_Stock'!H4</f>
        <v/>
      </c>
      <c r="P9" s="17">
        <f>'Grid_Stock'!I4</f>
        <v/>
      </c>
      <c r="Q9" s="17">
        <f>'Grid_Stock'!J4</f>
        <v/>
      </c>
      <c r="R9" s="17">
        <f>'Grid_Stock'!K4</f>
        <v/>
      </c>
      <c r="S9" s="17">
        <f>'Grid_Stock'!L4</f>
        <v/>
      </c>
      <c r="T9" s="17">
        <f>'Grid_Stock'!M4</f>
        <v/>
      </c>
      <c r="U9" s="17">
        <f>'Grid_Stock'!N4</f>
        <v/>
      </c>
      <c r="V9" s="17">
        <f>'Grid_Stock'!O4</f>
        <v/>
      </c>
      <c r="W9" s="17">
        <f>'Grid_Stock'!P4</f>
        <v/>
      </c>
      <c r="X9" s="17">
        <f>'Grid_Stock'!Q4</f>
        <v/>
      </c>
      <c r="Y9" s="17">
        <f>'Grid_Stock'!R4</f>
        <v/>
      </c>
      <c r="Z9" s="17">
        <f>'Grid_Stock'!S4</f>
        <v/>
      </c>
      <c r="AA9" s="17">
        <f>'Grid_Stock'!T4</f>
        <v/>
      </c>
      <c r="AB9" s="17">
        <f>'Grid_Stock'!U4</f>
        <v/>
      </c>
      <c r="AC9" s="17">
        <f>'Grid_Stock'!V4</f>
        <v/>
      </c>
      <c r="AD9" s="17">
        <f>'Grid_Stock'!W4</f>
        <v/>
      </c>
      <c r="AE9" s="17">
        <f>'Grid_Stock'!X4</f>
        <v/>
      </c>
      <c r="AF9" s="17">
        <f>'Grid_Stock'!Y4</f>
        <v/>
      </c>
      <c r="AG9" s="17">
        <f>'Grid_Stock'!Z4</f>
        <v/>
      </c>
      <c r="AH9" s="17">
        <f>'Grid_Stock'!AA4</f>
        <v/>
      </c>
      <c r="AI9" s="17">
        <f>'Grid_Stock'!AB4</f>
        <v/>
      </c>
      <c r="AJ9" s="17">
        <f>'Grid_Stock'!AC4</f>
        <v/>
      </c>
      <c r="AK9" s="17">
        <f>'Grid_Stock'!AD4</f>
        <v/>
      </c>
      <c r="AL9" s="17">
        <f>'Grid_Stock'!AE4</f>
        <v/>
      </c>
      <c r="AM9" s="17">
        <f>'Grid_Stock'!AF4</f>
        <v/>
      </c>
      <c r="AN9" s="17">
        <f>'Grid_Stock'!AG4</f>
        <v/>
      </c>
      <c r="AO9" s="17">
        <f>'Grid_Stock'!AH4</f>
        <v/>
      </c>
      <c r="AP9" s="17">
        <f>'Grid_Stock'!AI4</f>
        <v/>
      </c>
      <c r="AQ9" s="17">
        <f>'Grid_Stock'!AJ4</f>
        <v/>
      </c>
      <c r="AR9" s="17">
        <f>'Grid_Stock'!AK4</f>
        <v/>
      </c>
      <c r="AS9" s="17">
        <f>'Grid_Stock'!AL4</f>
        <v/>
      </c>
      <c r="AT9" s="17">
        <f>'Grid_Stock'!AM4</f>
        <v/>
      </c>
      <c r="AU9" s="17">
        <f>'Grid_Stock'!AN4</f>
        <v/>
      </c>
      <c r="AV9" s="17">
        <f>'Grid_Stock'!AO4</f>
        <v/>
      </c>
      <c r="AW9" s="17">
        <f>'Grid_Stock'!AP4</f>
        <v/>
      </c>
      <c r="AX9" s="17">
        <f>'Grid_Stock'!AQ4</f>
        <v/>
      </c>
      <c r="AY9" s="17">
        <f>'Grid_Stock'!AR4</f>
        <v/>
      </c>
      <c r="AZ9" s="17">
        <f>'Grid_Stock'!AS4</f>
        <v/>
      </c>
      <c r="BA9" s="17">
        <f>'Grid_Stock'!AT4</f>
        <v/>
      </c>
      <c r="BB9" s="17">
        <f>'Grid_Stock'!AU4</f>
        <v/>
      </c>
      <c r="BC9" s="17">
        <f>'Grid_Stock'!AV4</f>
        <v/>
      </c>
      <c r="BD9" s="17">
        <f>'Grid_Stock'!AW4</f>
        <v/>
      </c>
      <c r="BE9" s="17">
        <f>'Grid_Stock'!AX4</f>
        <v/>
      </c>
      <c r="BF9" s="17">
        <f>'Grid_Stock'!AY4</f>
        <v/>
      </c>
      <c r="BG9" s="17">
        <f>'Grid_Stock'!AZ4</f>
        <v/>
      </c>
      <c r="BH9" s="17">
        <f>'Grid_Stock'!BA4</f>
        <v/>
      </c>
      <c r="BI9" s="17">
        <f>'Grid_Stock'!BB4</f>
        <v/>
      </c>
      <c r="BJ9" s="17">
        <f>'Grid_Stock'!BC4</f>
        <v/>
      </c>
      <c r="BK9" s="17">
        <f>'Grid_Stock'!BD4</f>
        <v/>
      </c>
      <c r="BL9" s="17">
        <f>'Grid_Stock'!BE4</f>
        <v/>
      </c>
      <c r="BM9" s="17">
        <f>'Grid_Stock'!BF4</f>
        <v/>
      </c>
      <c r="BN9" s="17">
        <f>'Grid_Stock'!BG4</f>
        <v/>
      </c>
      <c r="BO9" s="17">
        <f>'Grid_Stock'!BH4</f>
        <v/>
      </c>
      <c r="BP9" s="17">
        <f>'Grid_Stock'!BI4</f>
        <v/>
      </c>
      <c r="BQ9" s="17">
        <f>'Grid_Stock'!BJ4</f>
        <v/>
      </c>
      <c r="BR9" s="17">
        <f>'Grid_Stock'!BK4</f>
        <v/>
      </c>
      <c r="BS9" s="17">
        <f>'Grid_Stock'!BL4</f>
        <v/>
      </c>
      <c r="BT9" s="17">
        <f>'Grid_Stock'!BM4</f>
        <v/>
      </c>
      <c r="BU9" s="17">
        <f>'Grid_Stock'!BN4</f>
        <v/>
      </c>
      <c r="BV9" s="17">
        <f>'Grid_Stock'!BO4</f>
        <v/>
      </c>
      <c r="BW9" s="17">
        <f>'Grid_Stock'!BP4</f>
        <v/>
      </c>
      <c r="BX9" s="17">
        <f>'Grid_Stock'!BQ4</f>
        <v/>
      </c>
      <c r="BY9" s="17">
        <f>'Grid_Stock'!BR4</f>
        <v/>
      </c>
      <c r="BZ9" s="17">
        <f>'Grid_Stock'!BS4</f>
        <v/>
      </c>
      <c r="CA9" s="17">
        <f>'Grid_Stock'!BT4</f>
        <v/>
      </c>
      <c r="CB9" s="17">
        <f>'Grid_Stock'!BU4</f>
        <v/>
      </c>
      <c r="CC9" s="17">
        <f>'Grid_Stock'!BV4</f>
        <v/>
      </c>
      <c r="CD9" s="17">
        <f>'Grid_Stock'!BW4</f>
        <v/>
      </c>
      <c r="CE9" s="17">
        <f>'Grid_Stock'!BX4</f>
        <v/>
      </c>
      <c r="CF9" s="17">
        <f>'Grid_Stock'!BY4</f>
        <v/>
      </c>
      <c r="CG9" s="17">
        <f>'Grid_Stock'!BZ4</f>
        <v/>
      </c>
      <c r="CH9" s="17">
        <f>'Grid_Stock'!CA4</f>
        <v/>
      </c>
      <c r="CI9" s="17">
        <f>'Grid_Stock'!CB4</f>
        <v/>
      </c>
      <c r="CJ9" s="17">
        <f>'Grid_Stock'!CC4</f>
        <v/>
      </c>
      <c r="CK9" s="17">
        <f>'Grid_Stock'!CD4</f>
        <v/>
      </c>
      <c r="CL9" s="17">
        <f>'Grid_Stock'!CE4</f>
        <v/>
      </c>
      <c r="CM9" s="17">
        <f>'Grid_Stock'!CF4</f>
        <v/>
      </c>
      <c r="CN9" s="17">
        <f>'Grid_Stock'!CG4</f>
        <v/>
      </c>
      <c r="CO9" s="17">
        <f>'Grid_Stock'!CH4</f>
        <v/>
      </c>
      <c r="CP9" s="17">
        <f>'Grid_Stock'!CI4</f>
        <v/>
      </c>
      <c r="CQ9" s="17">
        <f>'Grid_Stock'!CJ4</f>
        <v/>
      </c>
      <c r="CR9" s="17">
        <f>'Grid_Stock'!CK4</f>
        <v/>
      </c>
      <c r="CS9" s="17">
        <f>'Grid_Stock'!CL4</f>
        <v/>
      </c>
      <c r="CT9" s="17">
        <f>'Grid_Stock'!CM4</f>
        <v/>
      </c>
      <c r="CU9" s="17">
        <f>'Grid_Stock'!CN4</f>
        <v/>
      </c>
      <c r="CV9" s="17">
        <f>'Grid_Stock'!CO4</f>
        <v/>
      </c>
      <c r="CW9" s="17">
        <f>'Grid_Stock'!CP4</f>
        <v/>
      </c>
      <c r="CX9" s="17">
        <f>'Grid_Stock'!CQ4</f>
        <v/>
      </c>
      <c r="CY9" s="17">
        <f>'Grid_Stock'!CR4</f>
        <v/>
      </c>
      <c r="CZ9" s="17">
        <f>'Grid_Stock'!CS4</f>
        <v/>
      </c>
      <c r="DA9" s="17">
        <f>'Grid_Stock'!CT4</f>
        <v/>
      </c>
      <c r="DB9" s="17">
        <f>'Grid_Stock'!CU4</f>
        <v/>
      </c>
      <c r="DC9" s="17">
        <f>'Grid_Stock'!CV4</f>
        <v/>
      </c>
      <c r="DD9" s="17">
        <f>'Grid_Stock'!CW4</f>
        <v/>
      </c>
      <c r="DE9" s="17">
        <f>'Grid_Stock'!CX4</f>
        <v/>
      </c>
      <c r="DF9" s="17">
        <f>'Grid_Stock'!CY4</f>
        <v/>
      </c>
      <c r="DG9" s="17">
        <f>'Grid_Stock'!CZ4</f>
        <v/>
      </c>
      <c r="DH9" s="17">
        <f>'Grid_Stock'!DA4</f>
        <v/>
      </c>
    </row>
    <row r="10">
      <c r="A10" s="18" t="inlineStr">
        <is>
          <t>CHEM-1420</t>
        </is>
      </c>
      <c r="B10" s="18">
        <f>IFERROR(INDEX(M_RawMaterials[Description],MATCH($A10,M_RawMaterials[Part Name],0)),"")</f>
        <v/>
      </c>
      <c r="C10" s="18">
        <f>IFERROR(INDEX(M_RawMaterials[Category],MATCH($A10,M_RawMaterials[Part Name],0)),"")</f>
        <v/>
      </c>
      <c r="D10" s="18">
        <f>IFERROR(INDEX(M_RawMaterials[基準在庫下限_要入力],MATCH($A10,M_RawMaterials[Part Name],0)),0)</f>
        <v/>
      </c>
      <c r="E10" s="18">
        <f>IFERROR(INDEX(M_RawMaterials[基準在庫上限_要入力],MATCH($A10,M_RawMaterials[Part Name],0)),0)</f>
        <v/>
      </c>
      <c r="F10" s="18">
        <f>IFERROR(LOOKUP(2,1/('T_SelfStock'!$B$9:$DA$9&lt;&gt;""),'T_SelfStock'!$B$9:$DA$9),"")</f>
        <v/>
      </c>
      <c r="G10" s="18">
        <f>IFERROR(LOOKUP(2,1/('T_TTAFStock'!$B$9:$DA$9&lt;&gt;""),'T_TTAFStock'!$B$9:$DA$9),"")</f>
        <v/>
      </c>
      <c r="H10" s="18">
        <f>IFERROR(LOOKUP(2,1/('T_SelfStock'!$B$9:$DA$9&lt;&gt;""),'T_SelfStock'!$B$5:$DA$5),"")</f>
        <v/>
      </c>
      <c r="I10" s="18">
        <f>'Grid_Stock'!B5</f>
        <v/>
      </c>
      <c r="J10" s="18">
        <f>'Grid_Stock'!C5</f>
        <v/>
      </c>
      <c r="K10" s="18">
        <f>'Grid_Stock'!D5</f>
        <v/>
      </c>
      <c r="L10" s="18">
        <f>'Grid_Stock'!E5</f>
        <v/>
      </c>
      <c r="M10" s="18">
        <f>'Grid_Stock'!F5</f>
        <v/>
      </c>
      <c r="N10" s="18">
        <f>'Grid_Stock'!G5</f>
        <v/>
      </c>
      <c r="O10" s="18">
        <f>'Grid_Stock'!H5</f>
        <v/>
      </c>
      <c r="P10" s="18">
        <f>'Grid_Stock'!I5</f>
        <v/>
      </c>
      <c r="Q10" s="18">
        <f>'Grid_Stock'!J5</f>
        <v/>
      </c>
      <c r="R10" s="18">
        <f>'Grid_Stock'!K5</f>
        <v/>
      </c>
      <c r="S10" s="18">
        <f>'Grid_Stock'!L5</f>
        <v/>
      </c>
      <c r="T10" s="18">
        <f>'Grid_Stock'!M5</f>
        <v/>
      </c>
      <c r="U10" s="18">
        <f>'Grid_Stock'!N5</f>
        <v/>
      </c>
      <c r="V10" s="18">
        <f>'Grid_Stock'!O5</f>
        <v/>
      </c>
      <c r="W10" s="18">
        <f>'Grid_Stock'!P5</f>
        <v/>
      </c>
      <c r="X10" s="18">
        <f>'Grid_Stock'!Q5</f>
        <v/>
      </c>
      <c r="Y10" s="18">
        <f>'Grid_Stock'!R5</f>
        <v/>
      </c>
      <c r="Z10" s="18">
        <f>'Grid_Stock'!S5</f>
        <v/>
      </c>
      <c r="AA10" s="18">
        <f>'Grid_Stock'!T5</f>
        <v/>
      </c>
      <c r="AB10" s="18">
        <f>'Grid_Stock'!U5</f>
        <v/>
      </c>
      <c r="AC10" s="18">
        <f>'Grid_Stock'!V5</f>
        <v/>
      </c>
      <c r="AD10" s="18">
        <f>'Grid_Stock'!W5</f>
        <v/>
      </c>
      <c r="AE10" s="18">
        <f>'Grid_Stock'!X5</f>
        <v/>
      </c>
      <c r="AF10" s="18">
        <f>'Grid_Stock'!Y5</f>
        <v/>
      </c>
      <c r="AG10" s="18">
        <f>'Grid_Stock'!Z5</f>
        <v/>
      </c>
      <c r="AH10" s="18">
        <f>'Grid_Stock'!AA5</f>
        <v/>
      </c>
      <c r="AI10" s="18">
        <f>'Grid_Stock'!AB5</f>
        <v/>
      </c>
      <c r="AJ10" s="18">
        <f>'Grid_Stock'!AC5</f>
        <v/>
      </c>
      <c r="AK10" s="18">
        <f>'Grid_Stock'!AD5</f>
        <v/>
      </c>
      <c r="AL10" s="18">
        <f>'Grid_Stock'!AE5</f>
        <v/>
      </c>
      <c r="AM10" s="18">
        <f>'Grid_Stock'!AF5</f>
        <v/>
      </c>
      <c r="AN10" s="18">
        <f>'Grid_Stock'!AG5</f>
        <v/>
      </c>
      <c r="AO10" s="18">
        <f>'Grid_Stock'!AH5</f>
        <v/>
      </c>
      <c r="AP10" s="18">
        <f>'Grid_Stock'!AI5</f>
        <v/>
      </c>
      <c r="AQ10" s="18">
        <f>'Grid_Stock'!AJ5</f>
        <v/>
      </c>
      <c r="AR10" s="18">
        <f>'Grid_Stock'!AK5</f>
        <v/>
      </c>
      <c r="AS10" s="18">
        <f>'Grid_Stock'!AL5</f>
        <v/>
      </c>
      <c r="AT10" s="18">
        <f>'Grid_Stock'!AM5</f>
        <v/>
      </c>
      <c r="AU10" s="18">
        <f>'Grid_Stock'!AN5</f>
        <v/>
      </c>
      <c r="AV10" s="18">
        <f>'Grid_Stock'!AO5</f>
        <v/>
      </c>
      <c r="AW10" s="18">
        <f>'Grid_Stock'!AP5</f>
        <v/>
      </c>
      <c r="AX10" s="18">
        <f>'Grid_Stock'!AQ5</f>
        <v/>
      </c>
      <c r="AY10" s="18">
        <f>'Grid_Stock'!AR5</f>
        <v/>
      </c>
      <c r="AZ10" s="18">
        <f>'Grid_Stock'!AS5</f>
        <v/>
      </c>
      <c r="BA10" s="18">
        <f>'Grid_Stock'!AT5</f>
        <v/>
      </c>
      <c r="BB10" s="18">
        <f>'Grid_Stock'!AU5</f>
        <v/>
      </c>
      <c r="BC10" s="18">
        <f>'Grid_Stock'!AV5</f>
        <v/>
      </c>
      <c r="BD10" s="18">
        <f>'Grid_Stock'!AW5</f>
        <v/>
      </c>
      <c r="BE10" s="18">
        <f>'Grid_Stock'!AX5</f>
        <v/>
      </c>
      <c r="BF10" s="18">
        <f>'Grid_Stock'!AY5</f>
        <v/>
      </c>
      <c r="BG10" s="18">
        <f>'Grid_Stock'!AZ5</f>
        <v/>
      </c>
      <c r="BH10" s="18">
        <f>'Grid_Stock'!BA5</f>
        <v/>
      </c>
      <c r="BI10" s="18">
        <f>'Grid_Stock'!BB5</f>
        <v/>
      </c>
      <c r="BJ10" s="18">
        <f>'Grid_Stock'!BC5</f>
        <v/>
      </c>
      <c r="BK10" s="18">
        <f>'Grid_Stock'!BD5</f>
        <v/>
      </c>
      <c r="BL10" s="18">
        <f>'Grid_Stock'!BE5</f>
        <v/>
      </c>
      <c r="BM10" s="18">
        <f>'Grid_Stock'!BF5</f>
        <v/>
      </c>
      <c r="BN10" s="18">
        <f>'Grid_Stock'!BG5</f>
        <v/>
      </c>
      <c r="BO10" s="18">
        <f>'Grid_Stock'!BH5</f>
        <v/>
      </c>
      <c r="BP10" s="18">
        <f>'Grid_Stock'!BI5</f>
        <v/>
      </c>
      <c r="BQ10" s="18">
        <f>'Grid_Stock'!BJ5</f>
        <v/>
      </c>
      <c r="BR10" s="18">
        <f>'Grid_Stock'!BK5</f>
        <v/>
      </c>
      <c r="BS10" s="18">
        <f>'Grid_Stock'!BL5</f>
        <v/>
      </c>
      <c r="BT10" s="18">
        <f>'Grid_Stock'!BM5</f>
        <v/>
      </c>
      <c r="BU10" s="18">
        <f>'Grid_Stock'!BN5</f>
        <v/>
      </c>
      <c r="BV10" s="18">
        <f>'Grid_Stock'!BO5</f>
        <v/>
      </c>
      <c r="BW10" s="18">
        <f>'Grid_Stock'!BP5</f>
        <v/>
      </c>
      <c r="BX10" s="18">
        <f>'Grid_Stock'!BQ5</f>
        <v/>
      </c>
      <c r="BY10" s="18">
        <f>'Grid_Stock'!BR5</f>
        <v/>
      </c>
      <c r="BZ10" s="18">
        <f>'Grid_Stock'!BS5</f>
        <v/>
      </c>
      <c r="CA10" s="18">
        <f>'Grid_Stock'!BT5</f>
        <v/>
      </c>
      <c r="CB10" s="18">
        <f>'Grid_Stock'!BU5</f>
        <v/>
      </c>
      <c r="CC10" s="18">
        <f>'Grid_Stock'!BV5</f>
        <v/>
      </c>
      <c r="CD10" s="18">
        <f>'Grid_Stock'!BW5</f>
        <v/>
      </c>
      <c r="CE10" s="18">
        <f>'Grid_Stock'!BX5</f>
        <v/>
      </c>
      <c r="CF10" s="18">
        <f>'Grid_Stock'!BY5</f>
        <v/>
      </c>
      <c r="CG10" s="18">
        <f>'Grid_Stock'!BZ5</f>
        <v/>
      </c>
      <c r="CH10" s="18">
        <f>'Grid_Stock'!CA5</f>
        <v/>
      </c>
      <c r="CI10" s="18">
        <f>'Grid_Stock'!CB5</f>
        <v/>
      </c>
      <c r="CJ10" s="18">
        <f>'Grid_Stock'!CC5</f>
        <v/>
      </c>
      <c r="CK10" s="18">
        <f>'Grid_Stock'!CD5</f>
        <v/>
      </c>
      <c r="CL10" s="18">
        <f>'Grid_Stock'!CE5</f>
        <v/>
      </c>
      <c r="CM10" s="18">
        <f>'Grid_Stock'!CF5</f>
        <v/>
      </c>
      <c r="CN10" s="18">
        <f>'Grid_Stock'!CG5</f>
        <v/>
      </c>
      <c r="CO10" s="18">
        <f>'Grid_Stock'!CH5</f>
        <v/>
      </c>
      <c r="CP10" s="18">
        <f>'Grid_Stock'!CI5</f>
        <v/>
      </c>
      <c r="CQ10" s="18">
        <f>'Grid_Stock'!CJ5</f>
        <v/>
      </c>
      <c r="CR10" s="18">
        <f>'Grid_Stock'!CK5</f>
        <v/>
      </c>
      <c r="CS10" s="18">
        <f>'Grid_Stock'!CL5</f>
        <v/>
      </c>
      <c r="CT10" s="18">
        <f>'Grid_Stock'!CM5</f>
        <v/>
      </c>
      <c r="CU10" s="18">
        <f>'Grid_Stock'!CN5</f>
        <v/>
      </c>
      <c r="CV10" s="18">
        <f>'Grid_Stock'!CO5</f>
        <v/>
      </c>
      <c r="CW10" s="18">
        <f>'Grid_Stock'!CP5</f>
        <v/>
      </c>
      <c r="CX10" s="18">
        <f>'Grid_Stock'!CQ5</f>
        <v/>
      </c>
      <c r="CY10" s="18">
        <f>'Grid_Stock'!CR5</f>
        <v/>
      </c>
      <c r="CZ10" s="18">
        <f>'Grid_Stock'!CS5</f>
        <v/>
      </c>
      <c r="DA10" s="18">
        <f>'Grid_Stock'!CT5</f>
        <v/>
      </c>
      <c r="DB10" s="18">
        <f>'Grid_Stock'!CU5</f>
        <v/>
      </c>
      <c r="DC10" s="18">
        <f>'Grid_Stock'!CV5</f>
        <v/>
      </c>
      <c r="DD10" s="18">
        <f>'Grid_Stock'!CW5</f>
        <v/>
      </c>
      <c r="DE10" s="18">
        <f>'Grid_Stock'!CX5</f>
        <v/>
      </c>
      <c r="DF10" s="18">
        <f>'Grid_Stock'!CY5</f>
        <v/>
      </c>
      <c r="DG10" s="18">
        <f>'Grid_Stock'!CZ5</f>
        <v/>
      </c>
      <c r="DH10" s="18">
        <f>'Grid_Stock'!DA5</f>
        <v/>
      </c>
    </row>
    <row r="11">
      <c r="A11" s="17" t="inlineStr">
        <is>
          <t>CHEM-1530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IFERROR(LOOKUP(2,1/('T_SelfStock'!$B$10:$DA$10&lt;&gt;""),'T_SelfStock'!$B$10:$DA$10),"")</f>
        <v/>
      </c>
      <c r="G11" s="17">
        <f>IFERROR(LOOKUP(2,1/('T_TTAFStock'!$B$10:$DA$10&lt;&gt;""),'T_TTAFStock'!$B$10:$DA$10),"")</f>
        <v/>
      </c>
      <c r="H11" s="17">
        <f>IFERROR(LOOKUP(2,1/('T_SelfStock'!$B$10:$DA$10&lt;&gt;""),'T_SelfStock'!$B$5:$DA$5),"")</f>
        <v/>
      </c>
      <c r="I11" s="17">
        <f>'Grid_Stock'!B6</f>
        <v/>
      </c>
      <c r="J11" s="17">
        <f>'Grid_Stock'!C6</f>
        <v/>
      </c>
      <c r="K11" s="17">
        <f>'Grid_Stock'!D6</f>
        <v/>
      </c>
      <c r="L11" s="17">
        <f>'Grid_Stock'!E6</f>
        <v/>
      </c>
      <c r="M11" s="17">
        <f>'Grid_Stock'!F6</f>
        <v/>
      </c>
      <c r="N11" s="17">
        <f>'Grid_Stock'!G6</f>
        <v/>
      </c>
      <c r="O11" s="17">
        <f>'Grid_Stock'!H6</f>
        <v/>
      </c>
      <c r="P11" s="17">
        <f>'Grid_Stock'!I6</f>
        <v/>
      </c>
      <c r="Q11" s="17">
        <f>'Grid_Stock'!J6</f>
        <v/>
      </c>
      <c r="R11" s="17">
        <f>'Grid_Stock'!K6</f>
        <v/>
      </c>
      <c r="S11" s="17">
        <f>'Grid_Stock'!L6</f>
        <v/>
      </c>
      <c r="T11" s="17">
        <f>'Grid_Stock'!M6</f>
        <v/>
      </c>
      <c r="U11" s="17">
        <f>'Grid_Stock'!N6</f>
        <v/>
      </c>
      <c r="V11" s="17">
        <f>'Grid_Stock'!O6</f>
        <v/>
      </c>
      <c r="W11" s="17">
        <f>'Grid_Stock'!P6</f>
        <v/>
      </c>
      <c r="X11" s="17">
        <f>'Grid_Stock'!Q6</f>
        <v/>
      </c>
      <c r="Y11" s="17">
        <f>'Grid_Stock'!R6</f>
        <v/>
      </c>
      <c r="Z11" s="17">
        <f>'Grid_Stock'!S6</f>
        <v/>
      </c>
      <c r="AA11" s="17">
        <f>'Grid_Stock'!T6</f>
        <v/>
      </c>
      <c r="AB11" s="17">
        <f>'Grid_Stock'!U6</f>
        <v/>
      </c>
      <c r="AC11" s="17">
        <f>'Grid_Stock'!V6</f>
        <v/>
      </c>
      <c r="AD11" s="17">
        <f>'Grid_Stock'!W6</f>
        <v/>
      </c>
      <c r="AE11" s="17">
        <f>'Grid_Stock'!X6</f>
        <v/>
      </c>
      <c r="AF11" s="17">
        <f>'Grid_Stock'!Y6</f>
        <v/>
      </c>
      <c r="AG11" s="17">
        <f>'Grid_Stock'!Z6</f>
        <v/>
      </c>
      <c r="AH11" s="17">
        <f>'Grid_Stock'!AA6</f>
        <v/>
      </c>
      <c r="AI11" s="17">
        <f>'Grid_Stock'!AB6</f>
        <v/>
      </c>
      <c r="AJ11" s="17">
        <f>'Grid_Stock'!AC6</f>
        <v/>
      </c>
      <c r="AK11" s="17">
        <f>'Grid_Stock'!AD6</f>
        <v/>
      </c>
      <c r="AL11" s="17">
        <f>'Grid_Stock'!AE6</f>
        <v/>
      </c>
      <c r="AM11" s="17">
        <f>'Grid_Stock'!AF6</f>
        <v/>
      </c>
      <c r="AN11" s="17">
        <f>'Grid_Stock'!AG6</f>
        <v/>
      </c>
      <c r="AO11" s="17">
        <f>'Grid_Stock'!AH6</f>
        <v/>
      </c>
      <c r="AP11" s="17">
        <f>'Grid_Stock'!AI6</f>
        <v/>
      </c>
      <c r="AQ11" s="17">
        <f>'Grid_Stock'!AJ6</f>
        <v/>
      </c>
      <c r="AR11" s="17">
        <f>'Grid_Stock'!AK6</f>
        <v/>
      </c>
      <c r="AS11" s="17">
        <f>'Grid_Stock'!AL6</f>
        <v/>
      </c>
      <c r="AT11" s="17">
        <f>'Grid_Stock'!AM6</f>
        <v/>
      </c>
      <c r="AU11" s="17">
        <f>'Grid_Stock'!AN6</f>
        <v/>
      </c>
      <c r="AV11" s="17">
        <f>'Grid_Stock'!AO6</f>
        <v/>
      </c>
      <c r="AW11" s="17">
        <f>'Grid_Stock'!AP6</f>
        <v/>
      </c>
      <c r="AX11" s="17">
        <f>'Grid_Stock'!AQ6</f>
        <v/>
      </c>
      <c r="AY11" s="17">
        <f>'Grid_Stock'!AR6</f>
        <v/>
      </c>
      <c r="AZ11" s="17">
        <f>'Grid_Stock'!AS6</f>
        <v/>
      </c>
      <c r="BA11" s="17">
        <f>'Grid_Stock'!AT6</f>
        <v/>
      </c>
      <c r="BB11" s="17">
        <f>'Grid_Stock'!AU6</f>
        <v/>
      </c>
      <c r="BC11" s="17">
        <f>'Grid_Stock'!AV6</f>
        <v/>
      </c>
      <c r="BD11" s="17">
        <f>'Grid_Stock'!AW6</f>
        <v/>
      </c>
      <c r="BE11" s="17">
        <f>'Grid_Stock'!AX6</f>
        <v/>
      </c>
      <c r="BF11" s="17">
        <f>'Grid_Stock'!AY6</f>
        <v/>
      </c>
      <c r="BG11" s="17">
        <f>'Grid_Stock'!AZ6</f>
        <v/>
      </c>
      <c r="BH11" s="17">
        <f>'Grid_Stock'!BA6</f>
        <v/>
      </c>
      <c r="BI11" s="17">
        <f>'Grid_Stock'!BB6</f>
        <v/>
      </c>
      <c r="BJ11" s="17">
        <f>'Grid_Stock'!BC6</f>
        <v/>
      </c>
      <c r="BK11" s="17">
        <f>'Grid_Stock'!BD6</f>
        <v/>
      </c>
      <c r="BL11" s="17">
        <f>'Grid_Stock'!BE6</f>
        <v/>
      </c>
      <c r="BM11" s="17">
        <f>'Grid_Stock'!BF6</f>
        <v/>
      </c>
      <c r="BN11" s="17">
        <f>'Grid_Stock'!BG6</f>
        <v/>
      </c>
      <c r="BO11" s="17">
        <f>'Grid_Stock'!BH6</f>
        <v/>
      </c>
      <c r="BP11" s="17">
        <f>'Grid_Stock'!BI6</f>
        <v/>
      </c>
      <c r="BQ11" s="17">
        <f>'Grid_Stock'!BJ6</f>
        <v/>
      </c>
      <c r="BR11" s="17">
        <f>'Grid_Stock'!BK6</f>
        <v/>
      </c>
      <c r="BS11" s="17">
        <f>'Grid_Stock'!BL6</f>
        <v/>
      </c>
      <c r="BT11" s="17">
        <f>'Grid_Stock'!BM6</f>
        <v/>
      </c>
      <c r="BU11" s="17">
        <f>'Grid_Stock'!BN6</f>
        <v/>
      </c>
      <c r="BV11" s="17">
        <f>'Grid_Stock'!BO6</f>
        <v/>
      </c>
      <c r="BW11" s="17">
        <f>'Grid_Stock'!BP6</f>
        <v/>
      </c>
      <c r="BX11" s="17">
        <f>'Grid_Stock'!BQ6</f>
        <v/>
      </c>
      <c r="BY11" s="17">
        <f>'Grid_Stock'!BR6</f>
        <v/>
      </c>
      <c r="BZ11" s="17">
        <f>'Grid_Stock'!BS6</f>
        <v/>
      </c>
      <c r="CA11" s="17">
        <f>'Grid_Stock'!BT6</f>
        <v/>
      </c>
      <c r="CB11" s="17">
        <f>'Grid_Stock'!BU6</f>
        <v/>
      </c>
      <c r="CC11" s="17">
        <f>'Grid_Stock'!BV6</f>
        <v/>
      </c>
      <c r="CD11" s="17">
        <f>'Grid_Stock'!BW6</f>
        <v/>
      </c>
      <c r="CE11" s="17">
        <f>'Grid_Stock'!BX6</f>
        <v/>
      </c>
      <c r="CF11" s="17">
        <f>'Grid_Stock'!BY6</f>
        <v/>
      </c>
      <c r="CG11" s="17">
        <f>'Grid_Stock'!BZ6</f>
        <v/>
      </c>
      <c r="CH11" s="17">
        <f>'Grid_Stock'!CA6</f>
        <v/>
      </c>
      <c r="CI11" s="17">
        <f>'Grid_Stock'!CB6</f>
        <v/>
      </c>
      <c r="CJ11" s="17">
        <f>'Grid_Stock'!CC6</f>
        <v/>
      </c>
      <c r="CK11" s="17">
        <f>'Grid_Stock'!CD6</f>
        <v/>
      </c>
      <c r="CL11" s="17">
        <f>'Grid_Stock'!CE6</f>
        <v/>
      </c>
      <c r="CM11" s="17">
        <f>'Grid_Stock'!CF6</f>
        <v/>
      </c>
      <c r="CN11" s="17">
        <f>'Grid_Stock'!CG6</f>
        <v/>
      </c>
      <c r="CO11" s="17">
        <f>'Grid_Stock'!CH6</f>
        <v/>
      </c>
      <c r="CP11" s="17">
        <f>'Grid_Stock'!CI6</f>
        <v/>
      </c>
      <c r="CQ11" s="17">
        <f>'Grid_Stock'!CJ6</f>
        <v/>
      </c>
      <c r="CR11" s="17">
        <f>'Grid_Stock'!CK6</f>
        <v/>
      </c>
      <c r="CS11" s="17">
        <f>'Grid_Stock'!CL6</f>
        <v/>
      </c>
      <c r="CT11" s="17">
        <f>'Grid_Stock'!CM6</f>
        <v/>
      </c>
      <c r="CU11" s="17">
        <f>'Grid_Stock'!CN6</f>
        <v/>
      </c>
      <c r="CV11" s="17">
        <f>'Grid_Stock'!CO6</f>
        <v/>
      </c>
      <c r="CW11" s="17">
        <f>'Grid_Stock'!CP6</f>
        <v/>
      </c>
      <c r="CX11" s="17">
        <f>'Grid_Stock'!CQ6</f>
        <v/>
      </c>
      <c r="CY11" s="17">
        <f>'Grid_Stock'!CR6</f>
        <v/>
      </c>
      <c r="CZ11" s="17">
        <f>'Grid_Stock'!CS6</f>
        <v/>
      </c>
      <c r="DA11" s="17">
        <f>'Grid_Stock'!CT6</f>
        <v/>
      </c>
      <c r="DB11" s="17">
        <f>'Grid_Stock'!CU6</f>
        <v/>
      </c>
      <c r="DC11" s="17">
        <f>'Grid_Stock'!CV6</f>
        <v/>
      </c>
      <c r="DD11" s="17">
        <f>'Grid_Stock'!CW6</f>
        <v/>
      </c>
      <c r="DE11" s="17">
        <f>'Grid_Stock'!CX6</f>
        <v/>
      </c>
      <c r="DF11" s="17">
        <f>'Grid_Stock'!CY6</f>
        <v/>
      </c>
      <c r="DG11" s="17">
        <f>'Grid_Stock'!CZ6</f>
        <v/>
      </c>
      <c r="DH11" s="17">
        <f>'Grid_Stock'!DA6</f>
        <v/>
      </c>
    </row>
    <row r="12">
      <c r="A12" s="18" t="inlineStr">
        <is>
          <t>CHEM-1540</t>
        </is>
      </c>
      <c r="B12" s="18">
        <f>IFERROR(INDEX(M_RawMaterials[Description],MATCH($A12,M_RawMaterials[Part Name],0)),"")</f>
        <v/>
      </c>
      <c r="C12" s="18">
        <f>IFERROR(INDEX(M_RawMaterials[Category],MATCH($A12,M_RawMaterials[Part Name],0)),"")</f>
        <v/>
      </c>
      <c r="D12" s="18">
        <f>IFERROR(INDEX(M_RawMaterials[基準在庫下限_要入力],MATCH($A12,M_RawMaterials[Part Name],0)),0)</f>
        <v/>
      </c>
      <c r="E12" s="18">
        <f>IFERROR(INDEX(M_RawMaterials[基準在庫上限_要入力],MATCH($A12,M_RawMaterials[Part Name],0)),0)</f>
        <v/>
      </c>
      <c r="F12" s="18">
        <f>IFERROR(LOOKUP(2,1/('T_SelfStock'!$B$11:$DA$11&lt;&gt;""),'T_SelfStock'!$B$11:$DA$11),"")</f>
        <v/>
      </c>
      <c r="G12" s="18">
        <f>IFERROR(LOOKUP(2,1/('T_TTAFStock'!$B$11:$DA$11&lt;&gt;""),'T_TTAFStock'!$B$11:$DA$11),"")</f>
        <v/>
      </c>
      <c r="H12" s="18">
        <f>IFERROR(LOOKUP(2,1/('T_SelfStock'!$B$11:$DA$11&lt;&gt;""),'T_SelfStock'!$B$5:$DA$5),"")</f>
        <v/>
      </c>
      <c r="I12" s="18">
        <f>'Grid_Stock'!B7</f>
        <v/>
      </c>
      <c r="J12" s="18">
        <f>'Grid_Stock'!C7</f>
        <v/>
      </c>
      <c r="K12" s="18">
        <f>'Grid_Stock'!D7</f>
        <v/>
      </c>
      <c r="L12" s="18">
        <f>'Grid_Stock'!E7</f>
        <v/>
      </c>
      <c r="M12" s="18">
        <f>'Grid_Stock'!F7</f>
        <v/>
      </c>
      <c r="N12" s="18">
        <f>'Grid_Stock'!G7</f>
        <v/>
      </c>
      <c r="O12" s="18">
        <f>'Grid_Stock'!H7</f>
        <v/>
      </c>
      <c r="P12" s="18">
        <f>'Grid_Stock'!I7</f>
        <v/>
      </c>
      <c r="Q12" s="18">
        <f>'Grid_Stock'!J7</f>
        <v/>
      </c>
      <c r="R12" s="18">
        <f>'Grid_Stock'!K7</f>
        <v/>
      </c>
      <c r="S12" s="18">
        <f>'Grid_Stock'!L7</f>
        <v/>
      </c>
      <c r="T12" s="18">
        <f>'Grid_Stock'!M7</f>
        <v/>
      </c>
      <c r="U12" s="18">
        <f>'Grid_Stock'!N7</f>
        <v/>
      </c>
      <c r="V12" s="18">
        <f>'Grid_Stock'!O7</f>
        <v/>
      </c>
      <c r="W12" s="18">
        <f>'Grid_Stock'!P7</f>
        <v/>
      </c>
      <c r="X12" s="18">
        <f>'Grid_Stock'!Q7</f>
        <v/>
      </c>
      <c r="Y12" s="18">
        <f>'Grid_Stock'!R7</f>
        <v/>
      </c>
      <c r="Z12" s="18">
        <f>'Grid_Stock'!S7</f>
        <v/>
      </c>
      <c r="AA12" s="18">
        <f>'Grid_Stock'!T7</f>
        <v/>
      </c>
      <c r="AB12" s="18">
        <f>'Grid_Stock'!U7</f>
        <v/>
      </c>
      <c r="AC12" s="18">
        <f>'Grid_Stock'!V7</f>
        <v/>
      </c>
      <c r="AD12" s="18">
        <f>'Grid_Stock'!W7</f>
        <v/>
      </c>
      <c r="AE12" s="18">
        <f>'Grid_Stock'!X7</f>
        <v/>
      </c>
      <c r="AF12" s="18">
        <f>'Grid_Stock'!Y7</f>
        <v/>
      </c>
      <c r="AG12" s="18">
        <f>'Grid_Stock'!Z7</f>
        <v/>
      </c>
      <c r="AH12" s="18">
        <f>'Grid_Stock'!AA7</f>
        <v/>
      </c>
      <c r="AI12" s="18">
        <f>'Grid_Stock'!AB7</f>
        <v/>
      </c>
      <c r="AJ12" s="18">
        <f>'Grid_Stock'!AC7</f>
        <v/>
      </c>
      <c r="AK12" s="18">
        <f>'Grid_Stock'!AD7</f>
        <v/>
      </c>
      <c r="AL12" s="18">
        <f>'Grid_Stock'!AE7</f>
        <v/>
      </c>
      <c r="AM12" s="18">
        <f>'Grid_Stock'!AF7</f>
        <v/>
      </c>
      <c r="AN12" s="18">
        <f>'Grid_Stock'!AG7</f>
        <v/>
      </c>
      <c r="AO12" s="18">
        <f>'Grid_Stock'!AH7</f>
        <v/>
      </c>
      <c r="AP12" s="18">
        <f>'Grid_Stock'!AI7</f>
        <v/>
      </c>
      <c r="AQ12" s="18">
        <f>'Grid_Stock'!AJ7</f>
        <v/>
      </c>
      <c r="AR12" s="18">
        <f>'Grid_Stock'!AK7</f>
        <v/>
      </c>
      <c r="AS12" s="18">
        <f>'Grid_Stock'!AL7</f>
        <v/>
      </c>
      <c r="AT12" s="18">
        <f>'Grid_Stock'!AM7</f>
        <v/>
      </c>
      <c r="AU12" s="18">
        <f>'Grid_Stock'!AN7</f>
        <v/>
      </c>
      <c r="AV12" s="18">
        <f>'Grid_Stock'!AO7</f>
        <v/>
      </c>
      <c r="AW12" s="18">
        <f>'Grid_Stock'!AP7</f>
        <v/>
      </c>
      <c r="AX12" s="18">
        <f>'Grid_Stock'!AQ7</f>
        <v/>
      </c>
      <c r="AY12" s="18">
        <f>'Grid_Stock'!AR7</f>
        <v/>
      </c>
      <c r="AZ12" s="18">
        <f>'Grid_Stock'!AS7</f>
        <v/>
      </c>
      <c r="BA12" s="18">
        <f>'Grid_Stock'!AT7</f>
        <v/>
      </c>
      <c r="BB12" s="18">
        <f>'Grid_Stock'!AU7</f>
        <v/>
      </c>
      <c r="BC12" s="18">
        <f>'Grid_Stock'!AV7</f>
        <v/>
      </c>
      <c r="BD12" s="18">
        <f>'Grid_Stock'!AW7</f>
        <v/>
      </c>
      <c r="BE12" s="18">
        <f>'Grid_Stock'!AX7</f>
        <v/>
      </c>
      <c r="BF12" s="18">
        <f>'Grid_Stock'!AY7</f>
        <v/>
      </c>
      <c r="BG12" s="18">
        <f>'Grid_Stock'!AZ7</f>
        <v/>
      </c>
      <c r="BH12" s="18">
        <f>'Grid_Stock'!BA7</f>
        <v/>
      </c>
      <c r="BI12" s="18">
        <f>'Grid_Stock'!BB7</f>
        <v/>
      </c>
      <c r="BJ12" s="18">
        <f>'Grid_Stock'!BC7</f>
        <v/>
      </c>
      <c r="BK12" s="18">
        <f>'Grid_Stock'!BD7</f>
        <v/>
      </c>
      <c r="BL12" s="18">
        <f>'Grid_Stock'!BE7</f>
        <v/>
      </c>
      <c r="BM12" s="18">
        <f>'Grid_Stock'!BF7</f>
        <v/>
      </c>
      <c r="BN12" s="18">
        <f>'Grid_Stock'!BG7</f>
        <v/>
      </c>
      <c r="BO12" s="18">
        <f>'Grid_Stock'!BH7</f>
        <v/>
      </c>
      <c r="BP12" s="18">
        <f>'Grid_Stock'!BI7</f>
        <v/>
      </c>
      <c r="BQ12" s="18">
        <f>'Grid_Stock'!BJ7</f>
        <v/>
      </c>
      <c r="BR12" s="18">
        <f>'Grid_Stock'!BK7</f>
        <v/>
      </c>
      <c r="BS12" s="18">
        <f>'Grid_Stock'!BL7</f>
        <v/>
      </c>
      <c r="BT12" s="18">
        <f>'Grid_Stock'!BM7</f>
        <v/>
      </c>
      <c r="BU12" s="18">
        <f>'Grid_Stock'!BN7</f>
        <v/>
      </c>
      <c r="BV12" s="18">
        <f>'Grid_Stock'!BO7</f>
        <v/>
      </c>
      <c r="BW12" s="18">
        <f>'Grid_Stock'!BP7</f>
        <v/>
      </c>
      <c r="BX12" s="18">
        <f>'Grid_Stock'!BQ7</f>
        <v/>
      </c>
      <c r="BY12" s="18">
        <f>'Grid_Stock'!BR7</f>
        <v/>
      </c>
      <c r="BZ12" s="18">
        <f>'Grid_Stock'!BS7</f>
        <v/>
      </c>
      <c r="CA12" s="18">
        <f>'Grid_Stock'!BT7</f>
        <v/>
      </c>
      <c r="CB12" s="18">
        <f>'Grid_Stock'!BU7</f>
        <v/>
      </c>
      <c r="CC12" s="18">
        <f>'Grid_Stock'!BV7</f>
        <v/>
      </c>
      <c r="CD12" s="18">
        <f>'Grid_Stock'!BW7</f>
        <v/>
      </c>
      <c r="CE12" s="18">
        <f>'Grid_Stock'!BX7</f>
        <v/>
      </c>
      <c r="CF12" s="18">
        <f>'Grid_Stock'!BY7</f>
        <v/>
      </c>
      <c r="CG12" s="18">
        <f>'Grid_Stock'!BZ7</f>
        <v/>
      </c>
      <c r="CH12" s="18">
        <f>'Grid_Stock'!CA7</f>
        <v/>
      </c>
      <c r="CI12" s="18">
        <f>'Grid_Stock'!CB7</f>
        <v/>
      </c>
      <c r="CJ12" s="18">
        <f>'Grid_Stock'!CC7</f>
        <v/>
      </c>
      <c r="CK12" s="18">
        <f>'Grid_Stock'!CD7</f>
        <v/>
      </c>
      <c r="CL12" s="18">
        <f>'Grid_Stock'!CE7</f>
        <v/>
      </c>
      <c r="CM12" s="18">
        <f>'Grid_Stock'!CF7</f>
        <v/>
      </c>
      <c r="CN12" s="18">
        <f>'Grid_Stock'!CG7</f>
        <v/>
      </c>
      <c r="CO12" s="18">
        <f>'Grid_Stock'!CH7</f>
        <v/>
      </c>
      <c r="CP12" s="18">
        <f>'Grid_Stock'!CI7</f>
        <v/>
      </c>
      <c r="CQ12" s="18">
        <f>'Grid_Stock'!CJ7</f>
        <v/>
      </c>
      <c r="CR12" s="18">
        <f>'Grid_Stock'!CK7</f>
        <v/>
      </c>
      <c r="CS12" s="18">
        <f>'Grid_Stock'!CL7</f>
        <v/>
      </c>
      <c r="CT12" s="18">
        <f>'Grid_Stock'!CM7</f>
        <v/>
      </c>
      <c r="CU12" s="18">
        <f>'Grid_Stock'!CN7</f>
        <v/>
      </c>
      <c r="CV12" s="18">
        <f>'Grid_Stock'!CO7</f>
        <v/>
      </c>
      <c r="CW12" s="18">
        <f>'Grid_Stock'!CP7</f>
        <v/>
      </c>
      <c r="CX12" s="18">
        <f>'Grid_Stock'!CQ7</f>
        <v/>
      </c>
      <c r="CY12" s="18">
        <f>'Grid_Stock'!CR7</f>
        <v/>
      </c>
      <c r="CZ12" s="18">
        <f>'Grid_Stock'!CS7</f>
        <v/>
      </c>
      <c r="DA12" s="18">
        <f>'Grid_Stock'!CT7</f>
        <v/>
      </c>
      <c r="DB12" s="18">
        <f>'Grid_Stock'!CU7</f>
        <v/>
      </c>
      <c r="DC12" s="18">
        <f>'Grid_Stock'!CV7</f>
        <v/>
      </c>
      <c r="DD12" s="18">
        <f>'Grid_Stock'!CW7</f>
        <v/>
      </c>
      <c r="DE12" s="18">
        <f>'Grid_Stock'!CX7</f>
        <v/>
      </c>
      <c r="DF12" s="18">
        <f>'Grid_Stock'!CY7</f>
        <v/>
      </c>
      <c r="DG12" s="18">
        <f>'Grid_Stock'!CZ7</f>
        <v/>
      </c>
      <c r="DH12" s="18">
        <f>'Grid_Stock'!DA7</f>
        <v/>
      </c>
    </row>
    <row r="13">
      <c r="A13" s="17" t="inlineStr">
        <is>
          <t>CHEM-1690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IFERROR(LOOKUP(2,1/('T_SelfStock'!$B$12:$DA$12&lt;&gt;""),'T_SelfStock'!$B$12:$DA$12),"")</f>
        <v/>
      </c>
      <c r="G13" s="17">
        <f>IFERROR(LOOKUP(2,1/('T_TTAFStock'!$B$12:$DA$12&lt;&gt;""),'T_TTAFStock'!$B$12:$DA$12),"")</f>
        <v/>
      </c>
      <c r="H13" s="17">
        <f>IFERROR(LOOKUP(2,1/('T_SelfStock'!$B$12:$DA$12&lt;&gt;""),'T_SelfStock'!$B$5:$DA$5),"")</f>
        <v/>
      </c>
      <c r="I13" s="17">
        <f>'Grid_Stock'!B8</f>
        <v/>
      </c>
      <c r="J13" s="17">
        <f>'Grid_Stock'!C8</f>
        <v/>
      </c>
      <c r="K13" s="17">
        <f>'Grid_Stock'!D8</f>
        <v/>
      </c>
      <c r="L13" s="17">
        <f>'Grid_Stock'!E8</f>
        <v/>
      </c>
      <c r="M13" s="17">
        <f>'Grid_Stock'!F8</f>
        <v/>
      </c>
      <c r="N13" s="17">
        <f>'Grid_Stock'!G8</f>
        <v/>
      </c>
      <c r="O13" s="17">
        <f>'Grid_Stock'!H8</f>
        <v/>
      </c>
      <c r="P13" s="17">
        <f>'Grid_Stock'!I8</f>
        <v/>
      </c>
      <c r="Q13" s="17">
        <f>'Grid_Stock'!J8</f>
        <v/>
      </c>
      <c r="R13" s="17">
        <f>'Grid_Stock'!K8</f>
        <v/>
      </c>
      <c r="S13" s="17">
        <f>'Grid_Stock'!L8</f>
        <v/>
      </c>
      <c r="T13" s="17">
        <f>'Grid_Stock'!M8</f>
        <v/>
      </c>
      <c r="U13" s="17">
        <f>'Grid_Stock'!N8</f>
        <v/>
      </c>
      <c r="V13" s="17">
        <f>'Grid_Stock'!O8</f>
        <v/>
      </c>
      <c r="W13" s="17">
        <f>'Grid_Stock'!P8</f>
        <v/>
      </c>
      <c r="X13" s="17">
        <f>'Grid_Stock'!Q8</f>
        <v/>
      </c>
      <c r="Y13" s="17">
        <f>'Grid_Stock'!R8</f>
        <v/>
      </c>
      <c r="Z13" s="17">
        <f>'Grid_Stock'!S8</f>
        <v/>
      </c>
      <c r="AA13" s="17">
        <f>'Grid_Stock'!T8</f>
        <v/>
      </c>
      <c r="AB13" s="17">
        <f>'Grid_Stock'!U8</f>
        <v/>
      </c>
      <c r="AC13" s="17">
        <f>'Grid_Stock'!V8</f>
        <v/>
      </c>
      <c r="AD13" s="17">
        <f>'Grid_Stock'!W8</f>
        <v/>
      </c>
      <c r="AE13" s="17">
        <f>'Grid_Stock'!X8</f>
        <v/>
      </c>
      <c r="AF13" s="17">
        <f>'Grid_Stock'!Y8</f>
        <v/>
      </c>
      <c r="AG13" s="17">
        <f>'Grid_Stock'!Z8</f>
        <v/>
      </c>
      <c r="AH13" s="17">
        <f>'Grid_Stock'!AA8</f>
        <v/>
      </c>
      <c r="AI13" s="17">
        <f>'Grid_Stock'!AB8</f>
        <v/>
      </c>
      <c r="AJ13" s="17">
        <f>'Grid_Stock'!AC8</f>
        <v/>
      </c>
      <c r="AK13" s="17">
        <f>'Grid_Stock'!AD8</f>
        <v/>
      </c>
      <c r="AL13" s="17">
        <f>'Grid_Stock'!AE8</f>
        <v/>
      </c>
      <c r="AM13" s="17">
        <f>'Grid_Stock'!AF8</f>
        <v/>
      </c>
      <c r="AN13" s="17">
        <f>'Grid_Stock'!AG8</f>
        <v/>
      </c>
      <c r="AO13" s="17">
        <f>'Grid_Stock'!AH8</f>
        <v/>
      </c>
      <c r="AP13" s="17">
        <f>'Grid_Stock'!AI8</f>
        <v/>
      </c>
      <c r="AQ13" s="17">
        <f>'Grid_Stock'!AJ8</f>
        <v/>
      </c>
      <c r="AR13" s="17">
        <f>'Grid_Stock'!AK8</f>
        <v/>
      </c>
      <c r="AS13" s="17">
        <f>'Grid_Stock'!AL8</f>
        <v/>
      </c>
      <c r="AT13" s="17">
        <f>'Grid_Stock'!AM8</f>
        <v/>
      </c>
      <c r="AU13" s="17">
        <f>'Grid_Stock'!AN8</f>
        <v/>
      </c>
      <c r="AV13" s="17">
        <f>'Grid_Stock'!AO8</f>
        <v/>
      </c>
      <c r="AW13" s="17">
        <f>'Grid_Stock'!AP8</f>
        <v/>
      </c>
      <c r="AX13" s="17">
        <f>'Grid_Stock'!AQ8</f>
        <v/>
      </c>
      <c r="AY13" s="17">
        <f>'Grid_Stock'!AR8</f>
        <v/>
      </c>
      <c r="AZ13" s="17">
        <f>'Grid_Stock'!AS8</f>
        <v/>
      </c>
      <c r="BA13" s="17">
        <f>'Grid_Stock'!AT8</f>
        <v/>
      </c>
      <c r="BB13" s="17">
        <f>'Grid_Stock'!AU8</f>
        <v/>
      </c>
      <c r="BC13" s="17">
        <f>'Grid_Stock'!AV8</f>
        <v/>
      </c>
      <c r="BD13" s="17">
        <f>'Grid_Stock'!AW8</f>
        <v/>
      </c>
      <c r="BE13" s="17">
        <f>'Grid_Stock'!AX8</f>
        <v/>
      </c>
      <c r="BF13" s="17">
        <f>'Grid_Stock'!AY8</f>
        <v/>
      </c>
      <c r="BG13" s="17">
        <f>'Grid_Stock'!AZ8</f>
        <v/>
      </c>
      <c r="BH13" s="17">
        <f>'Grid_Stock'!BA8</f>
        <v/>
      </c>
      <c r="BI13" s="17">
        <f>'Grid_Stock'!BB8</f>
        <v/>
      </c>
      <c r="BJ13" s="17">
        <f>'Grid_Stock'!BC8</f>
        <v/>
      </c>
      <c r="BK13" s="17">
        <f>'Grid_Stock'!BD8</f>
        <v/>
      </c>
      <c r="BL13" s="17">
        <f>'Grid_Stock'!BE8</f>
        <v/>
      </c>
      <c r="BM13" s="17">
        <f>'Grid_Stock'!BF8</f>
        <v/>
      </c>
      <c r="BN13" s="17">
        <f>'Grid_Stock'!BG8</f>
        <v/>
      </c>
      <c r="BO13" s="17">
        <f>'Grid_Stock'!BH8</f>
        <v/>
      </c>
      <c r="BP13" s="17">
        <f>'Grid_Stock'!BI8</f>
        <v/>
      </c>
      <c r="BQ13" s="17">
        <f>'Grid_Stock'!BJ8</f>
        <v/>
      </c>
      <c r="BR13" s="17">
        <f>'Grid_Stock'!BK8</f>
        <v/>
      </c>
      <c r="BS13" s="17">
        <f>'Grid_Stock'!BL8</f>
        <v/>
      </c>
      <c r="BT13" s="17">
        <f>'Grid_Stock'!BM8</f>
        <v/>
      </c>
      <c r="BU13" s="17">
        <f>'Grid_Stock'!BN8</f>
        <v/>
      </c>
      <c r="BV13" s="17">
        <f>'Grid_Stock'!BO8</f>
        <v/>
      </c>
      <c r="BW13" s="17">
        <f>'Grid_Stock'!BP8</f>
        <v/>
      </c>
      <c r="BX13" s="17">
        <f>'Grid_Stock'!BQ8</f>
        <v/>
      </c>
      <c r="BY13" s="17">
        <f>'Grid_Stock'!BR8</f>
        <v/>
      </c>
      <c r="BZ13" s="17">
        <f>'Grid_Stock'!BS8</f>
        <v/>
      </c>
      <c r="CA13" s="17">
        <f>'Grid_Stock'!BT8</f>
        <v/>
      </c>
      <c r="CB13" s="17">
        <f>'Grid_Stock'!BU8</f>
        <v/>
      </c>
      <c r="CC13" s="17">
        <f>'Grid_Stock'!BV8</f>
        <v/>
      </c>
      <c r="CD13" s="17">
        <f>'Grid_Stock'!BW8</f>
        <v/>
      </c>
      <c r="CE13" s="17">
        <f>'Grid_Stock'!BX8</f>
        <v/>
      </c>
      <c r="CF13" s="17">
        <f>'Grid_Stock'!BY8</f>
        <v/>
      </c>
      <c r="CG13" s="17">
        <f>'Grid_Stock'!BZ8</f>
        <v/>
      </c>
      <c r="CH13" s="17">
        <f>'Grid_Stock'!CA8</f>
        <v/>
      </c>
      <c r="CI13" s="17">
        <f>'Grid_Stock'!CB8</f>
        <v/>
      </c>
      <c r="CJ13" s="17">
        <f>'Grid_Stock'!CC8</f>
        <v/>
      </c>
      <c r="CK13" s="17">
        <f>'Grid_Stock'!CD8</f>
        <v/>
      </c>
      <c r="CL13" s="17">
        <f>'Grid_Stock'!CE8</f>
        <v/>
      </c>
      <c r="CM13" s="17">
        <f>'Grid_Stock'!CF8</f>
        <v/>
      </c>
      <c r="CN13" s="17">
        <f>'Grid_Stock'!CG8</f>
        <v/>
      </c>
      <c r="CO13" s="17">
        <f>'Grid_Stock'!CH8</f>
        <v/>
      </c>
      <c r="CP13" s="17">
        <f>'Grid_Stock'!CI8</f>
        <v/>
      </c>
      <c r="CQ13" s="17">
        <f>'Grid_Stock'!CJ8</f>
        <v/>
      </c>
      <c r="CR13" s="17">
        <f>'Grid_Stock'!CK8</f>
        <v/>
      </c>
      <c r="CS13" s="17">
        <f>'Grid_Stock'!CL8</f>
        <v/>
      </c>
      <c r="CT13" s="17">
        <f>'Grid_Stock'!CM8</f>
        <v/>
      </c>
      <c r="CU13" s="17">
        <f>'Grid_Stock'!CN8</f>
        <v/>
      </c>
      <c r="CV13" s="17">
        <f>'Grid_Stock'!CO8</f>
        <v/>
      </c>
      <c r="CW13" s="17">
        <f>'Grid_Stock'!CP8</f>
        <v/>
      </c>
      <c r="CX13" s="17">
        <f>'Grid_Stock'!CQ8</f>
        <v/>
      </c>
      <c r="CY13" s="17">
        <f>'Grid_Stock'!CR8</f>
        <v/>
      </c>
      <c r="CZ13" s="17">
        <f>'Grid_Stock'!CS8</f>
        <v/>
      </c>
      <c r="DA13" s="17">
        <f>'Grid_Stock'!CT8</f>
        <v/>
      </c>
      <c r="DB13" s="17">
        <f>'Grid_Stock'!CU8</f>
        <v/>
      </c>
      <c r="DC13" s="17">
        <f>'Grid_Stock'!CV8</f>
        <v/>
      </c>
      <c r="DD13" s="17">
        <f>'Grid_Stock'!CW8</f>
        <v/>
      </c>
      <c r="DE13" s="17">
        <f>'Grid_Stock'!CX8</f>
        <v/>
      </c>
      <c r="DF13" s="17">
        <f>'Grid_Stock'!CY8</f>
        <v/>
      </c>
      <c r="DG13" s="17">
        <f>'Grid_Stock'!CZ8</f>
        <v/>
      </c>
      <c r="DH13" s="17">
        <f>'Grid_Stock'!DA8</f>
        <v/>
      </c>
    </row>
    <row r="14">
      <c r="A14" s="18" t="inlineStr">
        <is>
          <t>CHEM-1720</t>
        </is>
      </c>
      <c r="B14" s="18">
        <f>IFERROR(INDEX(M_RawMaterials[Description],MATCH($A14,M_RawMaterials[Part Name],0)),"")</f>
        <v/>
      </c>
      <c r="C14" s="18">
        <f>IFERROR(INDEX(M_RawMaterials[Category],MATCH($A14,M_RawMaterials[Part Name],0)),"")</f>
        <v/>
      </c>
      <c r="D14" s="18">
        <f>IFERROR(INDEX(M_RawMaterials[基準在庫下限_要入力],MATCH($A14,M_RawMaterials[Part Name],0)),0)</f>
        <v/>
      </c>
      <c r="E14" s="18">
        <f>IFERROR(INDEX(M_RawMaterials[基準在庫上限_要入力],MATCH($A14,M_RawMaterials[Part Name],0)),0)</f>
        <v/>
      </c>
      <c r="F14" s="18">
        <f>IFERROR(LOOKUP(2,1/('T_SelfStock'!$B$13:$DA$13&lt;&gt;""),'T_SelfStock'!$B$13:$DA$13),"")</f>
        <v/>
      </c>
      <c r="G14" s="18">
        <f>IFERROR(LOOKUP(2,1/('T_TTAFStock'!$B$13:$DA$13&lt;&gt;""),'T_TTAFStock'!$B$13:$DA$13),"")</f>
        <v/>
      </c>
      <c r="H14" s="18">
        <f>IFERROR(LOOKUP(2,1/('T_SelfStock'!$B$13:$DA$13&lt;&gt;""),'T_SelfStock'!$B$5:$DA$5),"")</f>
        <v/>
      </c>
      <c r="I14" s="18">
        <f>'Grid_Stock'!B9</f>
        <v/>
      </c>
      <c r="J14" s="18">
        <f>'Grid_Stock'!C9</f>
        <v/>
      </c>
      <c r="K14" s="18">
        <f>'Grid_Stock'!D9</f>
        <v/>
      </c>
      <c r="L14" s="18">
        <f>'Grid_Stock'!E9</f>
        <v/>
      </c>
      <c r="M14" s="18">
        <f>'Grid_Stock'!F9</f>
        <v/>
      </c>
      <c r="N14" s="18">
        <f>'Grid_Stock'!G9</f>
        <v/>
      </c>
      <c r="O14" s="18">
        <f>'Grid_Stock'!H9</f>
        <v/>
      </c>
      <c r="P14" s="18">
        <f>'Grid_Stock'!I9</f>
        <v/>
      </c>
      <c r="Q14" s="18">
        <f>'Grid_Stock'!J9</f>
        <v/>
      </c>
      <c r="R14" s="18">
        <f>'Grid_Stock'!K9</f>
        <v/>
      </c>
      <c r="S14" s="18">
        <f>'Grid_Stock'!L9</f>
        <v/>
      </c>
      <c r="T14" s="18">
        <f>'Grid_Stock'!M9</f>
        <v/>
      </c>
      <c r="U14" s="18">
        <f>'Grid_Stock'!N9</f>
        <v/>
      </c>
      <c r="V14" s="18">
        <f>'Grid_Stock'!O9</f>
        <v/>
      </c>
      <c r="W14" s="18">
        <f>'Grid_Stock'!P9</f>
        <v/>
      </c>
      <c r="X14" s="18">
        <f>'Grid_Stock'!Q9</f>
        <v/>
      </c>
      <c r="Y14" s="18">
        <f>'Grid_Stock'!R9</f>
        <v/>
      </c>
      <c r="Z14" s="18">
        <f>'Grid_Stock'!S9</f>
        <v/>
      </c>
      <c r="AA14" s="18">
        <f>'Grid_Stock'!T9</f>
        <v/>
      </c>
      <c r="AB14" s="18">
        <f>'Grid_Stock'!U9</f>
        <v/>
      </c>
      <c r="AC14" s="18">
        <f>'Grid_Stock'!V9</f>
        <v/>
      </c>
      <c r="AD14" s="18">
        <f>'Grid_Stock'!W9</f>
        <v/>
      </c>
      <c r="AE14" s="18">
        <f>'Grid_Stock'!X9</f>
        <v/>
      </c>
      <c r="AF14" s="18">
        <f>'Grid_Stock'!Y9</f>
        <v/>
      </c>
      <c r="AG14" s="18">
        <f>'Grid_Stock'!Z9</f>
        <v/>
      </c>
      <c r="AH14" s="18">
        <f>'Grid_Stock'!AA9</f>
        <v/>
      </c>
      <c r="AI14" s="18">
        <f>'Grid_Stock'!AB9</f>
        <v/>
      </c>
      <c r="AJ14" s="18">
        <f>'Grid_Stock'!AC9</f>
        <v/>
      </c>
      <c r="AK14" s="18">
        <f>'Grid_Stock'!AD9</f>
        <v/>
      </c>
      <c r="AL14" s="18">
        <f>'Grid_Stock'!AE9</f>
        <v/>
      </c>
      <c r="AM14" s="18">
        <f>'Grid_Stock'!AF9</f>
        <v/>
      </c>
      <c r="AN14" s="18">
        <f>'Grid_Stock'!AG9</f>
        <v/>
      </c>
      <c r="AO14" s="18">
        <f>'Grid_Stock'!AH9</f>
        <v/>
      </c>
      <c r="AP14" s="18">
        <f>'Grid_Stock'!AI9</f>
        <v/>
      </c>
      <c r="AQ14" s="18">
        <f>'Grid_Stock'!AJ9</f>
        <v/>
      </c>
      <c r="AR14" s="18">
        <f>'Grid_Stock'!AK9</f>
        <v/>
      </c>
      <c r="AS14" s="18">
        <f>'Grid_Stock'!AL9</f>
        <v/>
      </c>
      <c r="AT14" s="18">
        <f>'Grid_Stock'!AM9</f>
        <v/>
      </c>
      <c r="AU14" s="18">
        <f>'Grid_Stock'!AN9</f>
        <v/>
      </c>
      <c r="AV14" s="18">
        <f>'Grid_Stock'!AO9</f>
        <v/>
      </c>
      <c r="AW14" s="18">
        <f>'Grid_Stock'!AP9</f>
        <v/>
      </c>
      <c r="AX14" s="18">
        <f>'Grid_Stock'!AQ9</f>
        <v/>
      </c>
      <c r="AY14" s="18">
        <f>'Grid_Stock'!AR9</f>
        <v/>
      </c>
      <c r="AZ14" s="18">
        <f>'Grid_Stock'!AS9</f>
        <v/>
      </c>
      <c r="BA14" s="18">
        <f>'Grid_Stock'!AT9</f>
        <v/>
      </c>
      <c r="BB14" s="18">
        <f>'Grid_Stock'!AU9</f>
        <v/>
      </c>
      <c r="BC14" s="18">
        <f>'Grid_Stock'!AV9</f>
        <v/>
      </c>
      <c r="BD14" s="18">
        <f>'Grid_Stock'!AW9</f>
        <v/>
      </c>
      <c r="BE14" s="18">
        <f>'Grid_Stock'!AX9</f>
        <v/>
      </c>
      <c r="BF14" s="18">
        <f>'Grid_Stock'!AY9</f>
        <v/>
      </c>
      <c r="BG14" s="18">
        <f>'Grid_Stock'!AZ9</f>
        <v/>
      </c>
      <c r="BH14" s="18">
        <f>'Grid_Stock'!BA9</f>
        <v/>
      </c>
      <c r="BI14" s="18">
        <f>'Grid_Stock'!BB9</f>
        <v/>
      </c>
      <c r="BJ14" s="18">
        <f>'Grid_Stock'!BC9</f>
        <v/>
      </c>
      <c r="BK14" s="18">
        <f>'Grid_Stock'!BD9</f>
        <v/>
      </c>
      <c r="BL14" s="18">
        <f>'Grid_Stock'!BE9</f>
        <v/>
      </c>
      <c r="BM14" s="18">
        <f>'Grid_Stock'!BF9</f>
        <v/>
      </c>
      <c r="BN14" s="18">
        <f>'Grid_Stock'!BG9</f>
        <v/>
      </c>
      <c r="BO14" s="18">
        <f>'Grid_Stock'!BH9</f>
        <v/>
      </c>
      <c r="BP14" s="18">
        <f>'Grid_Stock'!BI9</f>
        <v/>
      </c>
      <c r="BQ14" s="18">
        <f>'Grid_Stock'!BJ9</f>
        <v/>
      </c>
      <c r="BR14" s="18">
        <f>'Grid_Stock'!BK9</f>
        <v/>
      </c>
      <c r="BS14" s="18">
        <f>'Grid_Stock'!BL9</f>
        <v/>
      </c>
      <c r="BT14" s="18">
        <f>'Grid_Stock'!BM9</f>
        <v/>
      </c>
      <c r="BU14" s="18">
        <f>'Grid_Stock'!BN9</f>
        <v/>
      </c>
      <c r="BV14" s="18">
        <f>'Grid_Stock'!BO9</f>
        <v/>
      </c>
      <c r="BW14" s="18">
        <f>'Grid_Stock'!BP9</f>
        <v/>
      </c>
      <c r="BX14" s="18">
        <f>'Grid_Stock'!BQ9</f>
        <v/>
      </c>
      <c r="BY14" s="18">
        <f>'Grid_Stock'!BR9</f>
        <v/>
      </c>
      <c r="BZ14" s="18">
        <f>'Grid_Stock'!BS9</f>
        <v/>
      </c>
      <c r="CA14" s="18">
        <f>'Grid_Stock'!BT9</f>
        <v/>
      </c>
      <c r="CB14" s="18">
        <f>'Grid_Stock'!BU9</f>
        <v/>
      </c>
      <c r="CC14" s="18">
        <f>'Grid_Stock'!BV9</f>
        <v/>
      </c>
      <c r="CD14" s="18">
        <f>'Grid_Stock'!BW9</f>
        <v/>
      </c>
      <c r="CE14" s="18">
        <f>'Grid_Stock'!BX9</f>
        <v/>
      </c>
      <c r="CF14" s="18">
        <f>'Grid_Stock'!BY9</f>
        <v/>
      </c>
      <c r="CG14" s="18">
        <f>'Grid_Stock'!BZ9</f>
        <v/>
      </c>
      <c r="CH14" s="18">
        <f>'Grid_Stock'!CA9</f>
        <v/>
      </c>
      <c r="CI14" s="18">
        <f>'Grid_Stock'!CB9</f>
        <v/>
      </c>
      <c r="CJ14" s="18">
        <f>'Grid_Stock'!CC9</f>
        <v/>
      </c>
      <c r="CK14" s="18">
        <f>'Grid_Stock'!CD9</f>
        <v/>
      </c>
      <c r="CL14" s="18">
        <f>'Grid_Stock'!CE9</f>
        <v/>
      </c>
      <c r="CM14" s="18">
        <f>'Grid_Stock'!CF9</f>
        <v/>
      </c>
      <c r="CN14" s="18">
        <f>'Grid_Stock'!CG9</f>
        <v/>
      </c>
      <c r="CO14" s="18">
        <f>'Grid_Stock'!CH9</f>
        <v/>
      </c>
      <c r="CP14" s="18">
        <f>'Grid_Stock'!CI9</f>
        <v/>
      </c>
      <c r="CQ14" s="18">
        <f>'Grid_Stock'!CJ9</f>
        <v/>
      </c>
      <c r="CR14" s="18">
        <f>'Grid_Stock'!CK9</f>
        <v/>
      </c>
      <c r="CS14" s="18">
        <f>'Grid_Stock'!CL9</f>
        <v/>
      </c>
      <c r="CT14" s="18">
        <f>'Grid_Stock'!CM9</f>
        <v/>
      </c>
      <c r="CU14" s="18">
        <f>'Grid_Stock'!CN9</f>
        <v/>
      </c>
      <c r="CV14" s="18">
        <f>'Grid_Stock'!CO9</f>
        <v/>
      </c>
      <c r="CW14" s="18">
        <f>'Grid_Stock'!CP9</f>
        <v/>
      </c>
      <c r="CX14" s="18">
        <f>'Grid_Stock'!CQ9</f>
        <v/>
      </c>
      <c r="CY14" s="18">
        <f>'Grid_Stock'!CR9</f>
        <v/>
      </c>
      <c r="CZ14" s="18">
        <f>'Grid_Stock'!CS9</f>
        <v/>
      </c>
      <c r="DA14" s="18">
        <f>'Grid_Stock'!CT9</f>
        <v/>
      </c>
      <c r="DB14" s="18">
        <f>'Grid_Stock'!CU9</f>
        <v/>
      </c>
      <c r="DC14" s="18">
        <f>'Grid_Stock'!CV9</f>
        <v/>
      </c>
      <c r="DD14" s="18">
        <f>'Grid_Stock'!CW9</f>
        <v/>
      </c>
      <c r="DE14" s="18">
        <f>'Grid_Stock'!CX9</f>
        <v/>
      </c>
      <c r="DF14" s="18">
        <f>'Grid_Stock'!CY9</f>
        <v/>
      </c>
      <c r="DG14" s="18">
        <f>'Grid_Stock'!CZ9</f>
        <v/>
      </c>
      <c r="DH14" s="18">
        <f>'Grid_Stock'!DA9</f>
        <v/>
      </c>
    </row>
    <row r="15">
      <c r="A15" s="17" t="inlineStr">
        <is>
          <t>CHEM-1440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IFERROR(LOOKUP(2,1/('T_SelfStock'!$B$14:$DA$14&lt;&gt;""),'T_SelfStock'!$B$14:$DA$14),"")</f>
        <v/>
      </c>
      <c r="G15" s="17">
        <f>IFERROR(LOOKUP(2,1/('T_TTAFStock'!$B$14:$DA$14&lt;&gt;""),'T_TTAFStock'!$B$14:$DA$14),"")</f>
        <v/>
      </c>
      <c r="H15" s="17">
        <f>IFERROR(LOOKUP(2,1/('T_SelfStock'!$B$14:$DA$14&lt;&gt;""),'T_SelfStock'!$B$5:$DA$5),"")</f>
        <v/>
      </c>
      <c r="I15" s="17">
        <f>'Grid_Stock'!B10</f>
        <v/>
      </c>
      <c r="J15" s="17">
        <f>'Grid_Stock'!C10</f>
        <v/>
      </c>
      <c r="K15" s="17">
        <f>'Grid_Stock'!D10</f>
        <v/>
      </c>
      <c r="L15" s="17">
        <f>'Grid_Stock'!E10</f>
        <v/>
      </c>
      <c r="M15" s="17">
        <f>'Grid_Stock'!F10</f>
        <v/>
      </c>
      <c r="N15" s="17">
        <f>'Grid_Stock'!G10</f>
        <v/>
      </c>
      <c r="O15" s="17">
        <f>'Grid_Stock'!H10</f>
        <v/>
      </c>
      <c r="P15" s="17">
        <f>'Grid_Stock'!I10</f>
        <v/>
      </c>
      <c r="Q15" s="17">
        <f>'Grid_Stock'!J10</f>
        <v/>
      </c>
      <c r="R15" s="17">
        <f>'Grid_Stock'!K10</f>
        <v/>
      </c>
      <c r="S15" s="17">
        <f>'Grid_Stock'!L10</f>
        <v/>
      </c>
      <c r="T15" s="17">
        <f>'Grid_Stock'!M10</f>
        <v/>
      </c>
      <c r="U15" s="17">
        <f>'Grid_Stock'!N10</f>
        <v/>
      </c>
      <c r="V15" s="17">
        <f>'Grid_Stock'!O10</f>
        <v/>
      </c>
      <c r="W15" s="17">
        <f>'Grid_Stock'!P10</f>
        <v/>
      </c>
      <c r="X15" s="17">
        <f>'Grid_Stock'!Q10</f>
        <v/>
      </c>
      <c r="Y15" s="17">
        <f>'Grid_Stock'!R10</f>
        <v/>
      </c>
      <c r="Z15" s="17">
        <f>'Grid_Stock'!S10</f>
        <v/>
      </c>
      <c r="AA15" s="17">
        <f>'Grid_Stock'!T10</f>
        <v/>
      </c>
      <c r="AB15" s="17">
        <f>'Grid_Stock'!U10</f>
        <v/>
      </c>
      <c r="AC15" s="17">
        <f>'Grid_Stock'!V10</f>
        <v/>
      </c>
      <c r="AD15" s="17">
        <f>'Grid_Stock'!W10</f>
        <v/>
      </c>
      <c r="AE15" s="17">
        <f>'Grid_Stock'!X10</f>
        <v/>
      </c>
      <c r="AF15" s="17">
        <f>'Grid_Stock'!Y10</f>
        <v/>
      </c>
      <c r="AG15" s="17">
        <f>'Grid_Stock'!Z10</f>
        <v/>
      </c>
      <c r="AH15" s="17">
        <f>'Grid_Stock'!AA10</f>
        <v/>
      </c>
      <c r="AI15" s="17">
        <f>'Grid_Stock'!AB10</f>
        <v/>
      </c>
      <c r="AJ15" s="17">
        <f>'Grid_Stock'!AC10</f>
        <v/>
      </c>
      <c r="AK15" s="17">
        <f>'Grid_Stock'!AD10</f>
        <v/>
      </c>
      <c r="AL15" s="17">
        <f>'Grid_Stock'!AE10</f>
        <v/>
      </c>
      <c r="AM15" s="17">
        <f>'Grid_Stock'!AF10</f>
        <v/>
      </c>
      <c r="AN15" s="17">
        <f>'Grid_Stock'!AG10</f>
        <v/>
      </c>
      <c r="AO15" s="17">
        <f>'Grid_Stock'!AH10</f>
        <v/>
      </c>
      <c r="AP15" s="17">
        <f>'Grid_Stock'!AI10</f>
        <v/>
      </c>
      <c r="AQ15" s="17">
        <f>'Grid_Stock'!AJ10</f>
        <v/>
      </c>
      <c r="AR15" s="17">
        <f>'Grid_Stock'!AK10</f>
        <v/>
      </c>
      <c r="AS15" s="17">
        <f>'Grid_Stock'!AL10</f>
        <v/>
      </c>
      <c r="AT15" s="17">
        <f>'Grid_Stock'!AM10</f>
        <v/>
      </c>
      <c r="AU15" s="17">
        <f>'Grid_Stock'!AN10</f>
        <v/>
      </c>
      <c r="AV15" s="17">
        <f>'Grid_Stock'!AO10</f>
        <v/>
      </c>
      <c r="AW15" s="17">
        <f>'Grid_Stock'!AP10</f>
        <v/>
      </c>
      <c r="AX15" s="17">
        <f>'Grid_Stock'!AQ10</f>
        <v/>
      </c>
      <c r="AY15" s="17">
        <f>'Grid_Stock'!AR10</f>
        <v/>
      </c>
      <c r="AZ15" s="17">
        <f>'Grid_Stock'!AS10</f>
        <v/>
      </c>
      <c r="BA15" s="17">
        <f>'Grid_Stock'!AT10</f>
        <v/>
      </c>
      <c r="BB15" s="17">
        <f>'Grid_Stock'!AU10</f>
        <v/>
      </c>
      <c r="BC15" s="17">
        <f>'Grid_Stock'!AV10</f>
        <v/>
      </c>
      <c r="BD15" s="17">
        <f>'Grid_Stock'!AW10</f>
        <v/>
      </c>
      <c r="BE15" s="17">
        <f>'Grid_Stock'!AX10</f>
        <v/>
      </c>
      <c r="BF15" s="17">
        <f>'Grid_Stock'!AY10</f>
        <v/>
      </c>
      <c r="BG15" s="17">
        <f>'Grid_Stock'!AZ10</f>
        <v/>
      </c>
      <c r="BH15" s="17">
        <f>'Grid_Stock'!BA10</f>
        <v/>
      </c>
      <c r="BI15" s="17">
        <f>'Grid_Stock'!BB10</f>
        <v/>
      </c>
      <c r="BJ15" s="17">
        <f>'Grid_Stock'!BC10</f>
        <v/>
      </c>
      <c r="BK15" s="17">
        <f>'Grid_Stock'!BD10</f>
        <v/>
      </c>
      <c r="BL15" s="17">
        <f>'Grid_Stock'!BE10</f>
        <v/>
      </c>
      <c r="BM15" s="17">
        <f>'Grid_Stock'!BF10</f>
        <v/>
      </c>
      <c r="BN15" s="17">
        <f>'Grid_Stock'!BG10</f>
        <v/>
      </c>
      <c r="BO15" s="17">
        <f>'Grid_Stock'!BH10</f>
        <v/>
      </c>
      <c r="BP15" s="17">
        <f>'Grid_Stock'!BI10</f>
        <v/>
      </c>
      <c r="BQ15" s="17">
        <f>'Grid_Stock'!BJ10</f>
        <v/>
      </c>
      <c r="BR15" s="17">
        <f>'Grid_Stock'!BK10</f>
        <v/>
      </c>
      <c r="BS15" s="17">
        <f>'Grid_Stock'!BL10</f>
        <v/>
      </c>
      <c r="BT15" s="17">
        <f>'Grid_Stock'!BM10</f>
        <v/>
      </c>
      <c r="BU15" s="17">
        <f>'Grid_Stock'!BN10</f>
        <v/>
      </c>
      <c r="BV15" s="17">
        <f>'Grid_Stock'!BO10</f>
        <v/>
      </c>
      <c r="BW15" s="17">
        <f>'Grid_Stock'!BP10</f>
        <v/>
      </c>
      <c r="BX15" s="17">
        <f>'Grid_Stock'!BQ10</f>
        <v/>
      </c>
      <c r="BY15" s="17">
        <f>'Grid_Stock'!BR10</f>
        <v/>
      </c>
      <c r="BZ15" s="17">
        <f>'Grid_Stock'!BS10</f>
        <v/>
      </c>
      <c r="CA15" s="17">
        <f>'Grid_Stock'!BT10</f>
        <v/>
      </c>
      <c r="CB15" s="17">
        <f>'Grid_Stock'!BU10</f>
        <v/>
      </c>
      <c r="CC15" s="17">
        <f>'Grid_Stock'!BV10</f>
        <v/>
      </c>
      <c r="CD15" s="17">
        <f>'Grid_Stock'!BW10</f>
        <v/>
      </c>
      <c r="CE15" s="17">
        <f>'Grid_Stock'!BX10</f>
        <v/>
      </c>
      <c r="CF15" s="17">
        <f>'Grid_Stock'!BY10</f>
        <v/>
      </c>
      <c r="CG15" s="17">
        <f>'Grid_Stock'!BZ10</f>
        <v/>
      </c>
      <c r="CH15" s="17">
        <f>'Grid_Stock'!CA10</f>
        <v/>
      </c>
      <c r="CI15" s="17">
        <f>'Grid_Stock'!CB10</f>
        <v/>
      </c>
      <c r="CJ15" s="17">
        <f>'Grid_Stock'!CC10</f>
        <v/>
      </c>
      <c r="CK15" s="17">
        <f>'Grid_Stock'!CD10</f>
        <v/>
      </c>
      <c r="CL15" s="17">
        <f>'Grid_Stock'!CE10</f>
        <v/>
      </c>
      <c r="CM15" s="17">
        <f>'Grid_Stock'!CF10</f>
        <v/>
      </c>
      <c r="CN15" s="17">
        <f>'Grid_Stock'!CG10</f>
        <v/>
      </c>
      <c r="CO15" s="17">
        <f>'Grid_Stock'!CH10</f>
        <v/>
      </c>
      <c r="CP15" s="17">
        <f>'Grid_Stock'!CI10</f>
        <v/>
      </c>
      <c r="CQ15" s="17">
        <f>'Grid_Stock'!CJ10</f>
        <v/>
      </c>
      <c r="CR15" s="17">
        <f>'Grid_Stock'!CK10</f>
        <v/>
      </c>
      <c r="CS15" s="17">
        <f>'Grid_Stock'!CL10</f>
        <v/>
      </c>
      <c r="CT15" s="17">
        <f>'Grid_Stock'!CM10</f>
        <v/>
      </c>
      <c r="CU15" s="17">
        <f>'Grid_Stock'!CN10</f>
        <v/>
      </c>
      <c r="CV15" s="17">
        <f>'Grid_Stock'!CO10</f>
        <v/>
      </c>
      <c r="CW15" s="17">
        <f>'Grid_Stock'!CP10</f>
        <v/>
      </c>
      <c r="CX15" s="17">
        <f>'Grid_Stock'!CQ10</f>
        <v/>
      </c>
      <c r="CY15" s="17">
        <f>'Grid_Stock'!CR10</f>
        <v/>
      </c>
      <c r="CZ15" s="17">
        <f>'Grid_Stock'!CS10</f>
        <v/>
      </c>
      <c r="DA15" s="17">
        <f>'Grid_Stock'!CT10</f>
        <v/>
      </c>
      <c r="DB15" s="17">
        <f>'Grid_Stock'!CU10</f>
        <v/>
      </c>
      <c r="DC15" s="17">
        <f>'Grid_Stock'!CV10</f>
        <v/>
      </c>
      <c r="DD15" s="17">
        <f>'Grid_Stock'!CW10</f>
        <v/>
      </c>
      <c r="DE15" s="17">
        <f>'Grid_Stock'!CX10</f>
        <v/>
      </c>
      <c r="DF15" s="17">
        <f>'Grid_Stock'!CY10</f>
        <v/>
      </c>
      <c r="DG15" s="17">
        <f>'Grid_Stock'!CZ10</f>
        <v/>
      </c>
      <c r="DH15" s="17">
        <f>'Grid_Stock'!DA10</f>
        <v/>
      </c>
    </row>
    <row r="16">
      <c r="A16" s="18" t="inlineStr">
        <is>
          <t>4HL</t>
        </is>
      </c>
      <c r="B16" s="18">
        <f>IFERROR(INDEX(M_RawMaterials[Description],MATCH($A16,M_RawMaterials[Part Name],0)),"")</f>
        <v/>
      </c>
      <c r="C16" s="18">
        <f>IFERROR(INDEX(M_RawMaterials[Category],MATCH($A16,M_RawMaterials[Part Name],0)),"")</f>
        <v/>
      </c>
      <c r="D16" s="18">
        <f>IFERROR(INDEX(M_RawMaterials[基準在庫下限_要入力],MATCH($A16,M_RawMaterials[Part Name],0)),0)</f>
        <v/>
      </c>
      <c r="E16" s="18">
        <f>IFERROR(INDEX(M_RawMaterials[基準在庫上限_要入力],MATCH($A16,M_RawMaterials[Part Name],0)),0)</f>
        <v/>
      </c>
      <c r="F16" s="18">
        <f>IFERROR(LOOKUP(2,1/('T_SelfStock'!$B$15:$DA$15&lt;&gt;""),'T_SelfStock'!$B$15:$DA$15),"")</f>
        <v/>
      </c>
      <c r="G16" s="18">
        <f>IFERROR(LOOKUP(2,1/('T_TTAFStock'!$B$15:$DA$15&lt;&gt;""),'T_TTAFStock'!$B$15:$DA$15),"")</f>
        <v/>
      </c>
      <c r="H16" s="18">
        <f>IFERROR(LOOKUP(2,1/('T_SelfStock'!$B$15:$DA$15&lt;&gt;""),'T_SelfStock'!$B$5:$DA$5),"")</f>
        <v/>
      </c>
      <c r="I16" s="18">
        <f>'Grid_Stock'!B11</f>
        <v/>
      </c>
      <c r="J16" s="18">
        <f>'Grid_Stock'!C11</f>
        <v/>
      </c>
      <c r="K16" s="18">
        <f>'Grid_Stock'!D11</f>
        <v/>
      </c>
      <c r="L16" s="18">
        <f>'Grid_Stock'!E11</f>
        <v/>
      </c>
      <c r="M16" s="18">
        <f>'Grid_Stock'!F11</f>
        <v/>
      </c>
      <c r="N16" s="18">
        <f>'Grid_Stock'!G11</f>
        <v/>
      </c>
      <c r="O16" s="18">
        <f>'Grid_Stock'!H11</f>
        <v/>
      </c>
      <c r="P16" s="18">
        <f>'Grid_Stock'!I11</f>
        <v/>
      </c>
      <c r="Q16" s="18">
        <f>'Grid_Stock'!J11</f>
        <v/>
      </c>
      <c r="R16" s="18">
        <f>'Grid_Stock'!K11</f>
        <v/>
      </c>
      <c r="S16" s="18">
        <f>'Grid_Stock'!L11</f>
        <v/>
      </c>
      <c r="T16" s="18">
        <f>'Grid_Stock'!M11</f>
        <v/>
      </c>
      <c r="U16" s="18">
        <f>'Grid_Stock'!N11</f>
        <v/>
      </c>
      <c r="V16" s="18">
        <f>'Grid_Stock'!O11</f>
        <v/>
      </c>
      <c r="W16" s="18">
        <f>'Grid_Stock'!P11</f>
        <v/>
      </c>
      <c r="X16" s="18">
        <f>'Grid_Stock'!Q11</f>
        <v/>
      </c>
      <c r="Y16" s="18">
        <f>'Grid_Stock'!R11</f>
        <v/>
      </c>
      <c r="Z16" s="18">
        <f>'Grid_Stock'!S11</f>
        <v/>
      </c>
      <c r="AA16" s="18">
        <f>'Grid_Stock'!T11</f>
        <v/>
      </c>
      <c r="AB16" s="18">
        <f>'Grid_Stock'!U11</f>
        <v/>
      </c>
      <c r="AC16" s="18">
        <f>'Grid_Stock'!V11</f>
        <v/>
      </c>
      <c r="AD16" s="18">
        <f>'Grid_Stock'!W11</f>
        <v/>
      </c>
      <c r="AE16" s="18">
        <f>'Grid_Stock'!X11</f>
        <v/>
      </c>
      <c r="AF16" s="18">
        <f>'Grid_Stock'!Y11</f>
        <v/>
      </c>
      <c r="AG16" s="18">
        <f>'Grid_Stock'!Z11</f>
        <v/>
      </c>
      <c r="AH16" s="18">
        <f>'Grid_Stock'!AA11</f>
        <v/>
      </c>
      <c r="AI16" s="18">
        <f>'Grid_Stock'!AB11</f>
        <v/>
      </c>
      <c r="AJ16" s="18">
        <f>'Grid_Stock'!AC11</f>
        <v/>
      </c>
      <c r="AK16" s="18">
        <f>'Grid_Stock'!AD11</f>
        <v/>
      </c>
      <c r="AL16" s="18">
        <f>'Grid_Stock'!AE11</f>
        <v/>
      </c>
      <c r="AM16" s="18">
        <f>'Grid_Stock'!AF11</f>
        <v/>
      </c>
      <c r="AN16" s="18">
        <f>'Grid_Stock'!AG11</f>
        <v/>
      </c>
      <c r="AO16" s="18">
        <f>'Grid_Stock'!AH11</f>
        <v/>
      </c>
      <c r="AP16" s="18">
        <f>'Grid_Stock'!AI11</f>
        <v/>
      </c>
      <c r="AQ16" s="18">
        <f>'Grid_Stock'!AJ11</f>
        <v/>
      </c>
      <c r="AR16" s="18">
        <f>'Grid_Stock'!AK11</f>
        <v/>
      </c>
      <c r="AS16" s="18">
        <f>'Grid_Stock'!AL11</f>
        <v/>
      </c>
      <c r="AT16" s="18">
        <f>'Grid_Stock'!AM11</f>
        <v/>
      </c>
      <c r="AU16" s="18">
        <f>'Grid_Stock'!AN11</f>
        <v/>
      </c>
      <c r="AV16" s="18">
        <f>'Grid_Stock'!AO11</f>
        <v/>
      </c>
      <c r="AW16" s="18">
        <f>'Grid_Stock'!AP11</f>
        <v/>
      </c>
      <c r="AX16" s="18">
        <f>'Grid_Stock'!AQ11</f>
        <v/>
      </c>
      <c r="AY16" s="18">
        <f>'Grid_Stock'!AR11</f>
        <v/>
      </c>
      <c r="AZ16" s="18">
        <f>'Grid_Stock'!AS11</f>
        <v/>
      </c>
      <c r="BA16" s="18">
        <f>'Grid_Stock'!AT11</f>
        <v/>
      </c>
      <c r="BB16" s="18">
        <f>'Grid_Stock'!AU11</f>
        <v/>
      </c>
      <c r="BC16" s="18">
        <f>'Grid_Stock'!AV11</f>
        <v/>
      </c>
      <c r="BD16" s="18">
        <f>'Grid_Stock'!AW11</f>
        <v/>
      </c>
      <c r="BE16" s="18">
        <f>'Grid_Stock'!AX11</f>
        <v/>
      </c>
      <c r="BF16" s="18">
        <f>'Grid_Stock'!AY11</f>
        <v/>
      </c>
      <c r="BG16" s="18">
        <f>'Grid_Stock'!AZ11</f>
        <v/>
      </c>
      <c r="BH16" s="18">
        <f>'Grid_Stock'!BA11</f>
        <v/>
      </c>
      <c r="BI16" s="18">
        <f>'Grid_Stock'!BB11</f>
        <v/>
      </c>
      <c r="BJ16" s="18">
        <f>'Grid_Stock'!BC11</f>
        <v/>
      </c>
      <c r="BK16" s="18">
        <f>'Grid_Stock'!BD11</f>
        <v/>
      </c>
      <c r="BL16" s="18">
        <f>'Grid_Stock'!BE11</f>
        <v/>
      </c>
      <c r="BM16" s="18">
        <f>'Grid_Stock'!BF11</f>
        <v/>
      </c>
      <c r="BN16" s="18">
        <f>'Grid_Stock'!BG11</f>
        <v/>
      </c>
      <c r="BO16" s="18">
        <f>'Grid_Stock'!BH11</f>
        <v/>
      </c>
      <c r="BP16" s="18">
        <f>'Grid_Stock'!BI11</f>
        <v/>
      </c>
      <c r="BQ16" s="18">
        <f>'Grid_Stock'!BJ11</f>
        <v/>
      </c>
      <c r="BR16" s="18">
        <f>'Grid_Stock'!BK11</f>
        <v/>
      </c>
      <c r="BS16" s="18">
        <f>'Grid_Stock'!BL11</f>
        <v/>
      </c>
      <c r="BT16" s="18">
        <f>'Grid_Stock'!BM11</f>
        <v/>
      </c>
      <c r="BU16" s="18">
        <f>'Grid_Stock'!BN11</f>
        <v/>
      </c>
      <c r="BV16" s="18">
        <f>'Grid_Stock'!BO11</f>
        <v/>
      </c>
      <c r="BW16" s="18">
        <f>'Grid_Stock'!BP11</f>
        <v/>
      </c>
      <c r="BX16" s="18">
        <f>'Grid_Stock'!BQ11</f>
        <v/>
      </c>
      <c r="BY16" s="18">
        <f>'Grid_Stock'!BR11</f>
        <v/>
      </c>
      <c r="BZ16" s="18">
        <f>'Grid_Stock'!BS11</f>
        <v/>
      </c>
      <c r="CA16" s="18">
        <f>'Grid_Stock'!BT11</f>
        <v/>
      </c>
      <c r="CB16" s="18">
        <f>'Grid_Stock'!BU11</f>
        <v/>
      </c>
      <c r="CC16" s="18">
        <f>'Grid_Stock'!BV11</f>
        <v/>
      </c>
      <c r="CD16" s="18">
        <f>'Grid_Stock'!BW11</f>
        <v/>
      </c>
      <c r="CE16" s="18">
        <f>'Grid_Stock'!BX11</f>
        <v/>
      </c>
      <c r="CF16" s="18">
        <f>'Grid_Stock'!BY11</f>
        <v/>
      </c>
      <c r="CG16" s="18">
        <f>'Grid_Stock'!BZ11</f>
        <v/>
      </c>
      <c r="CH16" s="18">
        <f>'Grid_Stock'!CA11</f>
        <v/>
      </c>
      <c r="CI16" s="18">
        <f>'Grid_Stock'!CB11</f>
        <v/>
      </c>
      <c r="CJ16" s="18">
        <f>'Grid_Stock'!CC11</f>
        <v/>
      </c>
      <c r="CK16" s="18">
        <f>'Grid_Stock'!CD11</f>
        <v/>
      </c>
      <c r="CL16" s="18">
        <f>'Grid_Stock'!CE11</f>
        <v/>
      </c>
      <c r="CM16" s="18">
        <f>'Grid_Stock'!CF11</f>
        <v/>
      </c>
      <c r="CN16" s="18">
        <f>'Grid_Stock'!CG11</f>
        <v/>
      </c>
      <c r="CO16" s="18">
        <f>'Grid_Stock'!CH11</f>
        <v/>
      </c>
      <c r="CP16" s="18">
        <f>'Grid_Stock'!CI11</f>
        <v/>
      </c>
      <c r="CQ16" s="18">
        <f>'Grid_Stock'!CJ11</f>
        <v/>
      </c>
      <c r="CR16" s="18">
        <f>'Grid_Stock'!CK11</f>
        <v/>
      </c>
      <c r="CS16" s="18">
        <f>'Grid_Stock'!CL11</f>
        <v/>
      </c>
      <c r="CT16" s="18">
        <f>'Grid_Stock'!CM11</f>
        <v/>
      </c>
      <c r="CU16" s="18">
        <f>'Grid_Stock'!CN11</f>
        <v/>
      </c>
      <c r="CV16" s="18">
        <f>'Grid_Stock'!CO11</f>
        <v/>
      </c>
      <c r="CW16" s="18">
        <f>'Grid_Stock'!CP11</f>
        <v/>
      </c>
      <c r="CX16" s="18">
        <f>'Grid_Stock'!CQ11</f>
        <v/>
      </c>
      <c r="CY16" s="18">
        <f>'Grid_Stock'!CR11</f>
        <v/>
      </c>
      <c r="CZ16" s="18">
        <f>'Grid_Stock'!CS11</f>
        <v/>
      </c>
      <c r="DA16" s="18">
        <f>'Grid_Stock'!CT11</f>
        <v/>
      </c>
      <c r="DB16" s="18">
        <f>'Grid_Stock'!CU11</f>
        <v/>
      </c>
      <c r="DC16" s="18">
        <f>'Grid_Stock'!CV11</f>
        <v/>
      </c>
      <c r="DD16" s="18">
        <f>'Grid_Stock'!CW11</f>
        <v/>
      </c>
      <c r="DE16" s="18">
        <f>'Grid_Stock'!CX11</f>
        <v/>
      </c>
      <c r="DF16" s="18">
        <f>'Grid_Stock'!CY11</f>
        <v/>
      </c>
      <c r="DG16" s="18">
        <f>'Grid_Stock'!CZ11</f>
        <v/>
      </c>
      <c r="DH16" s="18">
        <f>'Grid_Stock'!DA11</f>
        <v/>
      </c>
    </row>
    <row r="17">
      <c r="A17" s="17" t="inlineStr">
        <is>
          <t>1EK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IFERROR(LOOKUP(2,1/('T_SelfStock'!$B$16:$DA$16&lt;&gt;""),'T_SelfStock'!$B$16:$DA$16),"")</f>
        <v/>
      </c>
      <c r="G17" s="17">
        <f>IFERROR(LOOKUP(2,1/('T_TTAFStock'!$B$16:$DA$16&lt;&gt;""),'T_TTAFStock'!$B$16:$DA$16),"")</f>
        <v/>
      </c>
      <c r="H17" s="17">
        <f>IFERROR(LOOKUP(2,1/('T_SelfStock'!$B$16:$DA$16&lt;&gt;""),'T_SelfStock'!$B$5:$DA$5),"")</f>
        <v/>
      </c>
      <c r="I17" s="17">
        <f>'Grid_Stock'!B12</f>
        <v/>
      </c>
      <c r="J17" s="17">
        <f>'Grid_Stock'!C12</f>
        <v/>
      </c>
      <c r="K17" s="17">
        <f>'Grid_Stock'!D12</f>
        <v/>
      </c>
      <c r="L17" s="17">
        <f>'Grid_Stock'!E12</f>
        <v/>
      </c>
      <c r="M17" s="17">
        <f>'Grid_Stock'!F12</f>
        <v/>
      </c>
      <c r="N17" s="17">
        <f>'Grid_Stock'!G12</f>
        <v/>
      </c>
      <c r="O17" s="17">
        <f>'Grid_Stock'!H12</f>
        <v/>
      </c>
      <c r="P17" s="17">
        <f>'Grid_Stock'!I12</f>
        <v/>
      </c>
      <c r="Q17" s="17">
        <f>'Grid_Stock'!J12</f>
        <v/>
      </c>
      <c r="R17" s="17">
        <f>'Grid_Stock'!K12</f>
        <v/>
      </c>
      <c r="S17" s="17">
        <f>'Grid_Stock'!L12</f>
        <v/>
      </c>
      <c r="T17" s="17">
        <f>'Grid_Stock'!M12</f>
        <v/>
      </c>
      <c r="U17" s="17">
        <f>'Grid_Stock'!N12</f>
        <v/>
      </c>
      <c r="V17" s="17">
        <f>'Grid_Stock'!O12</f>
        <v/>
      </c>
      <c r="W17" s="17">
        <f>'Grid_Stock'!P12</f>
        <v/>
      </c>
      <c r="X17" s="17">
        <f>'Grid_Stock'!Q12</f>
        <v/>
      </c>
      <c r="Y17" s="17">
        <f>'Grid_Stock'!R12</f>
        <v/>
      </c>
      <c r="Z17" s="17">
        <f>'Grid_Stock'!S12</f>
        <v/>
      </c>
      <c r="AA17" s="17">
        <f>'Grid_Stock'!T12</f>
        <v/>
      </c>
      <c r="AB17" s="17">
        <f>'Grid_Stock'!U12</f>
        <v/>
      </c>
      <c r="AC17" s="17">
        <f>'Grid_Stock'!V12</f>
        <v/>
      </c>
      <c r="AD17" s="17">
        <f>'Grid_Stock'!W12</f>
        <v/>
      </c>
      <c r="AE17" s="17">
        <f>'Grid_Stock'!X12</f>
        <v/>
      </c>
      <c r="AF17" s="17">
        <f>'Grid_Stock'!Y12</f>
        <v/>
      </c>
      <c r="AG17" s="17">
        <f>'Grid_Stock'!Z12</f>
        <v/>
      </c>
      <c r="AH17" s="17">
        <f>'Grid_Stock'!AA12</f>
        <v/>
      </c>
      <c r="AI17" s="17">
        <f>'Grid_Stock'!AB12</f>
        <v/>
      </c>
      <c r="AJ17" s="17">
        <f>'Grid_Stock'!AC12</f>
        <v/>
      </c>
      <c r="AK17" s="17">
        <f>'Grid_Stock'!AD12</f>
        <v/>
      </c>
      <c r="AL17" s="17">
        <f>'Grid_Stock'!AE12</f>
        <v/>
      </c>
      <c r="AM17" s="17">
        <f>'Grid_Stock'!AF12</f>
        <v/>
      </c>
      <c r="AN17" s="17">
        <f>'Grid_Stock'!AG12</f>
        <v/>
      </c>
      <c r="AO17" s="17">
        <f>'Grid_Stock'!AH12</f>
        <v/>
      </c>
      <c r="AP17" s="17">
        <f>'Grid_Stock'!AI12</f>
        <v/>
      </c>
      <c r="AQ17" s="17">
        <f>'Grid_Stock'!AJ12</f>
        <v/>
      </c>
      <c r="AR17" s="17">
        <f>'Grid_Stock'!AK12</f>
        <v/>
      </c>
      <c r="AS17" s="17">
        <f>'Grid_Stock'!AL12</f>
        <v/>
      </c>
      <c r="AT17" s="17">
        <f>'Grid_Stock'!AM12</f>
        <v/>
      </c>
      <c r="AU17" s="17">
        <f>'Grid_Stock'!AN12</f>
        <v/>
      </c>
      <c r="AV17" s="17">
        <f>'Grid_Stock'!AO12</f>
        <v/>
      </c>
      <c r="AW17" s="17">
        <f>'Grid_Stock'!AP12</f>
        <v/>
      </c>
      <c r="AX17" s="17">
        <f>'Grid_Stock'!AQ12</f>
        <v/>
      </c>
      <c r="AY17" s="17">
        <f>'Grid_Stock'!AR12</f>
        <v/>
      </c>
      <c r="AZ17" s="17">
        <f>'Grid_Stock'!AS12</f>
        <v/>
      </c>
      <c r="BA17" s="17">
        <f>'Grid_Stock'!AT12</f>
        <v/>
      </c>
      <c r="BB17" s="17">
        <f>'Grid_Stock'!AU12</f>
        <v/>
      </c>
      <c r="BC17" s="17">
        <f>'Grid_Stock'!AV12</f>
        <v/>
      </c>
      <c r="BD17" s="17">
        <f>'Grid_Stock'!AW12</f>
        <v/>
      </c>
      <c r="BE17" s="17">
        <f>'Grid_Stock'!AX12</f>
        <v/>
      </c>
      <c r="BF17" s="17">
        <f>'Grid_Stock'!AY12</f>
        <v/>
      </c>
      <c r="BG17" s="17">
        <f>'Grid_Stock'!AZ12</f>
        <v/>
      </c>
      <c r="BH17" s="17">
        <f>'Grid_Stock'!BA12</f>
        <v/>
      </c>
      <c r="BI17" s="17">
        <f>'Grid_Stock'!BB12</f>
        <v/>
      </c>
      <c r="BJ17" s="17">
        <f>'Grid_Stock'!BC12</f>
        <v/>
      </c>
      <c r="BK17" s="17">
        <f>'Grid_Stock'!BD12</f>
        <v/>
      </c>
      <c r="BL17" s="17">
        <f>'Grid_Stock'!BE12</f>
        <v/>
      </c>
      <c r="BM17" s="17">
        <f>'Grid_Stock'!BF12</f>
        <v/>
      </c>
      <c r="BN17" s="17">
        <f>'Grid_Stock'!BG12</f>
        <v/>
      </c>
      <c r="BO17" s="17">
        <f>'Grid_Stock'!BH12</f>
        <v/>
      </c>
      <c r="BP17" s="17">
        <f>'Grid_Stock'!BI12</f>
        <v/>
      </c>
      <c r="BQ17" s="17">
        <f>'Grid_Stock'!BJ12</f>
        <v/>
      </c>
      <c r="BR17" s="17">
        <f>'Grid_Stock'!BK12</f>
        <v/>
      </c>
      <c r="BS17" s="17">
        <f>'Grid_Stock'!BL12</f>
        <v/>
      </c>
      <c r="BT17" s="17">
        <f>'Grid_Stock'!BM12</f>
        <v/>
      </c>
      <c r="BU17" s="17">
        <f>'Grid_Stock'!BN12</f>
        <v/>
      </c>
      <c r="BV17" s="17">
        <f>'Grid_Stock'!BO12</f>
        <v/>
      </c>
      <c r="BW17" s="17">
        <f>'Grid_Stock'!BP12</f>
        <v/>
      </c>
      <c r="BX17" s="17">
        <f>'Grid_Stock'!BQ12</f>
        <v/>
      </c>
      <c r="BY17" s="17">
        <f>'Grid_Stock'!BR12</f>
        <v/>
      </c>
      <c r="BZ17" s="17">
        <f>'Grid_Stock'!BS12</f>
        <v/>
      </c>
      <c r="CA17" s="17">
        <f>'Grid_Stock'!BT12</f>
        <v/>
      </c>
      <c r="CB17" s="17">
        <f>'Grid_Stock'!BU12</f>
        <v/>
      </c>
      <c r="CC17" s="17">
        <f>'Grid_Stock'!BV12</f>
        <v/>
      </c>
      <c r="CD17" s="17">
        <f>'Grid_Stock'!BW12</f>
        <v/>
      </c>
      <c r="CE17" s="17">
        <f>'Grid_Stock'!BX12</f>
        <v/>
      </c>
      <c r="CF17" s="17">
        <f>'Grid_Stock'!BY12</f>
        <v/>
      </c>
      <c r="CG17" s="17">
        <f>'Grid_Stock'!BZ12</f>
        <v/>
      </c>
      <c r="CH17" s="17">
        <f>'Grid_Stock'!CA12</f>
        <v/>
      </c>
      <c r="CI17" s="17">
        <f>'Grid_Stock'!CB12</f>
        <v/>
      </c>
      <c r="CJ17" s="17">
        <f>'Grid_Stock'!CC12</f>
        <v/>
      </c>
      <c r="CK17" s="17">
        <f>'Grid_Stock'!CD12</f>
        <v/>
      </c>
      <c r="CL17" s="17">
        <f>'Grid_Stock'!CE12</f>
        <v/>
      </c>
      <c r="CM17" s="17">
        <f>'Grid_Stock'!CF12</f>
        <v/>
      </c>
      <c r="CN17" s="17">
        <f>'Grid_Stock'!CG12</f>
        <v/>
      </c>
      <c r="CO17" s="17">
        <f>'Grid_Stock'!CH12</f>
        <v/>
      </c>
      <c r="CP17" s="17">
        <f>'Grid_Stock'!CI12</f>
        <v/>
      </c>
      <c r="CQ17" s="17">
        <f>'Grid_Stock'!CJ12</f>
        <v/>
      </c>
      <c r="CR17" s="17">
        <f>'Grid_Stock'!CK12</f>
        <v/>
      </c>
      <c r="CS17" s="17">
        <f>'Grid_Stock'!CL12</f>
        <v/>
      </c>
      <c r="CT17" s="17">
        <f>'Grid_Stock'!CM12</f>
        <v/>
      </c>
      <c r="CU17" s="17">
        <f>'Grid_Stock'!CN12</f>
        <v/>
      </c>
      <c r="CV17" s="17">
        <f>'Grid_Stock'!CO12</f>
        <v/>
      </c>
      <c r="CW17" s="17">
        <f>'Grid_Stock'!CP12</f>
        <v/>
      </c>
      <c r="CX17" s="17">
        <f>'Grid_Stock'!CQ12</f>
        <v/>
      </c>
      <c r="CY17" s="17">
        <f>'Grid_Stock'!CR12</f>
        <v/>
      </c>
      <c r="CZ17" s="17">
        <f>'Grid_Stock'!CS12</f>
        <v/>
      </c>
      <c r="DA17" s="17">
        <f>'Grid_Stock'!CT12</f>
        <v/>
      </c>
      <c r="DB17" s="17">
        <f>'Grid_Stock'!CU12</f>
        <v/>
      </c>
      <c r="DC17" s="17">
        <f>'Grid_Stock'!CV12</f>
        <v/>
      </c>
      <c r="DD17" s="17">
        <f>'Grid_Stock'!CW12</f>
        <v/>
      </c>
      <c r="DE17" s="17">
        <f>'Grid_Stock'!CX12</f>
        <v/>
      </c>
      <c r="DF17" s="17">
        <f>'Grid_Stock'!CY12</f>
        <v/>
      </c>
      <c r="DG17" s="17">
        <f>'Grid_Stock'!CZ12</f>
        <v/>
      </c>
      <c r="DH17" s="17">
        <f>'Grid_Stock'!DA12</f>
        <v/>
      </c>
    </row>
    <row r="18">
      <c r="A18" s="18" t="inlineStr">
        <is>
          <t>7CL</t>
        </is>
      </c>
      <c r="B18" s="18">
        <f>IFERROR(INDEX(M_RawMaterials[Description],MATCH($A18,M_RawMaterials[Part Name],0)),"")</f>
        <v/>
      </c>
      <c r="C18" s="18">
        <f>IFERROR(INDEX(M_RawMaterials[Category],MATCH($A18,M_RawMaterials[Part Name],0)),"")</f>
        <v/>
      </c>
      <c r="D18" s="18">
        <f>IFERROR(INDEX(M_RawMaterials[基準在庫下限_要入力],MATCH($A18,M_RawMaterials[Part Name],0)),0)</f>
        <v/>
      </c>
      <c r="E18" s="18">
        <f>IFERROR(INDEX(M_RawMaterials[基準在庫上限_要入力],MATCH($A18,M_RawMaterials[Part Name],0)),0)</f>
        <v/>
      </c>
      <c r="F18" s="18">
        <f>IFERROR(LOOKUP(2,1/('T_SelfStock'!$B$17:$DA$17&lt;&gt;""),'T_SelfStock'!$B$17:$DA$17),"")</f>
        <v/>
      </c>
      <c r="G18" s="18">
        <f>IFERROR(LOOKUP(2,1/('T_TTAFStock'!$B$17:$DA$17&lt;&gt;""),'T_TTAFStock'!$B$17:$DA$17),"")</f>
        <v/>
      </c>
      <c r="H18" s="18">
        <f>IFERROR(LOOKUP(2,1/('T_SelfStock'!$B$17:$DA$17&lt;&gt;""),'T_SelfStock'!$B$5:$DA$5),"")</f>
        <v/>
      </c>
      <c r="I18" s="18">
        <f>'Grid_Stock'!B13</f>
        <v/>
      </c>
      <c r="J18" s="18">
        <f>'Grid_Stock'!C13</f>
        <v/>
      </c>
      <c r="K18" s="18">
        <f>'Grid_Stock'!D13</f>
        <v/>
      </c>
      <c r="L18" s="18">
        <f>'Grid_Stock'!E13</f>
        <v/>
      </c>
      <c r="M18" s="18">
        <f>'Grid_Stock'!F13</f>
        <v/>
      </c>
      <c r="N18" s="18">
        <f>'Grid_Stock'!G13</f>
        <v/>
      </c>
      <c r="O18" s="18">
        <f>'Grid_Stock'!H13</f>
        <v/>
      </c>
      <c r="P18" s="18">
        <f>'Grid_Stock'!I13</f>
        <v/>
      </c>
      <c r="Q18" s="18">
        <f>'Grid_Stock'!J13</f>
        <v/>
      </c>
      <c r="R18" s="18">
        <f>'Grid_Stock'!K13</f>
        <v/>
      </c>
      <c r="S18" s="18">
        <f>'Grid_Stock'!L13</f>
        <v/>
      </c>
      <c r="T18" s="18">
        <f>'Grid_Stock'!M13</f>
        <v/>
      </c>
      <c r="U18" s="18">
        <f>'Grid_Stock'!N13</f>
        <v/>
      </c>
      <c r="V18" s="18">
        <f>'Grid_Stock'!O13</f>
        <v/>
      </c>
      <c r="W18" s="18">
        <f>'Grid_Stock'!P13</f>
        <v/>
      </c>
      <c r="X18" s="18">
        <f>'Grid_Stock'!Q13</f>
        <v/>
      </c>
      <c r="Y18" s="18">
        <f>'Grid_Stock'!R13</f>
        <v/>
      </c>
      <c r="Z18" s="18">
        <f>'Grid_Stock'!S13</f>
        <v/>
      </c>
      <c r="AA18" s="18">
        <f>'Grid_Stock'!T13</f>
        <v/>
      </c>
      <c r="AB18" s="18">
        <f>'Grid_Stock'!U13</f>
        <v/>
      </c>
      <c r="AC18" s="18">
        <f>'Grid_Stock'!V13</f>
        <v/>
      </c>
      <c r="AD18" s="18">
        <f>'Grid_Stock'!W13</f>
        <v/>
      </c>
      <c r="AE18" s="18">
        <f>'Grid_Stock'!X13</f>
        <v/>
      </c>
      <c r="AF18" s="18">
        <f>'Grid_Stock'!Y13</f>
        <v/>
      </c>
      <c r="AG18" s="18">
        <f>'Grid_Stock'!Z13</f>
        <v/>
      </c>
      <c r="AH18" s="18">
        <f>'Grid_Stock'!AA13</f>
        <v/>
      </c>
      <c r="AI18" s="18">
        <f>'Grid_Stock'!AB13</f>
        <v/>
      </c>
      <c r="AJ18" s="18">
        <f>'Grid_Stock'!AC13</f>
        <v/>
      </c>
      <c r="AK18" s="18">
        <f>'Grid_Stock'!AD13</f>
        <v/>
      </c>
      <c r="AL18" s="18">
        <f>'Grid_Stock'!AE13</f>
        <v/>
      </c>
      <c r="AM18" s="18">
        <f>'Grid_Stock'!AF13</f>
        <v/>
      </c>
      <c r="AN18" s="18">
        <f>'Grid_Stock'!AG13</f>
        <v/>
      </c>
      <c r="AO18" s="18">
        <f>'Grid_Stock'!AH13</f>
        <v/>
      </c>
      <c r="AP18" s="18">
        <f>'Grid_Stock'!AI13</f>
        <v/>
      </c>
      <c r="AQ18" s="18">
        <f>'Grid_Stock'!AJ13</f>
        <v/>
      </c>
      <c r="AR18" s="18">
        <f>'Grid_Stock'!AK13</f>
        <v/>
      </c>
      <c r="AS18" s="18">
        <f>'Grid_Stock'!AL13</f>
        <v/>
      </c>
      <c r="AT18" s="18">
        <f>'Grid_Stock'!AM13</f>
        <v/>
      </c>
      <c r="AU18" s="18">
        <f>'Grid_Stock'!AN13</f>
        <v/>
      </c>
      <c r="AV18" s="18">
        <f>'Grid_Stock'!AO13</f>
        <v/>
      </c>
      <c r="AW18" s="18">
        <f>'Grid_Stock'!AP13</f>
        <v/>
      </c>
      <c r="AX18" s="18">
        <f>'Grid_Stock'!AQ13</f>
        <v/>
      </c>
      <c r="AY18" s="18">
        <f>'Grid_Stock'!AR13</f>
        <v/>
      </c>
      <c r="AZ18" s="18">
        <f>'Grid_Stock'!AS13</f>
        <v/>
      </c>
      <c r="BA18" s="18">
        <f>'Grid_Stock'!AT13</f>
        <v/>
      </c>
      <c r="BB18" s="18">
        <f>'Grid_Stock'!AU13</f>
        <v/>
      </c>
      <c r="BC18" s="18">
        <f>'Grid_Stock'!AV13</f>
        <v/>
      </c>
      <c r="BD18" s="18">
        <f>'Grid_Stock'!AW13</f>
        <v/>
      </c>
      <c r="BE18" s="18">
        <f>'Grid_Stock'!AX13</f>
        <v/>
      </c>
      <c r="BF18" s="18">
        <f>'Grid_Stock'!AY13</f>
        <v/>
      </c>
      <c r="BG18" s="18">
        <f>'Grid_Stock'!AZ13</f>
        <v/>
      </c>
      <c r="BH18" s="18">
        <f>'Grid_Stock'!BA13</f>
        <v/>
      </c>
      <c r="BI18" s="18">
        <f>'Grid_Stock'!BB13</f>
        <v/>
      </c>
      <c r="BJ18" s="18">
        <f>'Grid_Stock'!BC13</f>
        <v/>
      </c>
      <c r="BK18" s="18">
        <f>'Grid_Stock'!BD13</f>
        <v/>
      </c>
      <c r="BL18" s="18">
        <f>'Grid_Stock'!BE13</f>
        <v/>
      </c>
      <c r="BM18" s="18">
        <f>'Grid_Stock'!BF13</f>
        <v/>
      </c>
      <c r="BN18" s="18">
        <f>'Grid_Stock'!BG13</f>
        <v/>
      </c>
      <c r="BO18" s="18">
        <f>'Grid_Stock'!BH13</f>
        <v/>
      </c>
      <c r="BP18" s="18">
        <f>'Grid_Stock'!BI13</f>
        <v/>
      </c>
      <c r="BQ18" s="18">
        <f>'Grid_Stock'!BJ13</f>
        <v/>
      </c>
      <c r="BR18" s="18">
        <f>'Grid_Stock'!BK13</f>
        <v/>
      </c>
      <c r="BS18" s="18">
        <f>'Grid_Stock'!BL13</f>
        <v/>
      </c>
      <c r="BT18" s="18">
        <f>'Grid_Stock'!BM13</f>
        <v/>
      </c>
      <c r="BU18" s="18">
        <f>'Grid_Stock'!BN13</f>
        <v/>
      </c>
      <c r="BV18" s="18">
        <f>'Grid_Stock'!BO13</f>
        <v/>
      </c>
      <c r="BW18" s="18">
        <f>'Grid_Stock'!BP13</f>
        <v/>
      </c>
      <c r="BX18" s="18">
        <f>'Grid_Stock'!BQ13</f>
        <v/>
      </c>
      <c r="BY18" s="18">
        <f>'Grid_Stock'!BR13</f>
        <v/>
      </c>
      <c r="BZ18" s="18">
        <f>'Grid_Stock'!BS13</f>
        <v/>
      </c>
      <c r="CA18" s="18">
        <f>'Grid_Stock'!BT13</f>
        <v/>
      </c>
      <c r="CB18" s="18">
        <f>'Grid_Stock'!BU13</f>
        <v/>
      </c>
      <c r="CC18" s="18">
        <f>'Grid_Stock'!BV13</f>
        <v/>
      </c>
      <c r="CD18" s="18">
        <f>'Grid_Stock'!BW13</f>
        <v/>
      </c>
      <c r="CE18" s="18">
        <f>'Grid_Stock'!BX13</f>
        <v/>
      </c>
      <c r="CF18" s="18">
        <f>'Grid_Stock'!BY13</f>
        <v/>
      </c>
      <c r="CG18" s="18">
        <f>'Grid_Stock'!BZ13</f>
        <v/>
      </c>
      <c r="CH18" s="18">
        <f>'Grid_Stock'!CA13</f>
        <v/>
      </c>
      <c r="CI18" s="18">
        <f>'Grid_Stock'!CB13</f>
        <v/>
      </c>
      <c r="CJ18" s="18">
        <f>'Grid_Stock'!CC13</f>
        <v/>
      </c>
      <c r="CK18" s="18">
        <f>'Grid_Stock'!CD13</f>
        <v/>
      </c>
      <c r="CL18" s="18">
        <f>'Grid_Stock'!CE13</f>
        <v/>
      </c>
      <c r="CM18" s="18">
        <f>'Grid_Stock'!CF13</f>
        <v/>
      </c>
      <c r="CN18" s="18">
        <f>'Grid_Stock'!CG13</f>
        <v/>
      </c>
      <c r="CO18" s="18">
        <f>'Grid_Stock'!CH13</f>
        <v/>
      </c>
      <c r="CP18" s="18">
        <f>'Grid_Stock'!CI13</f>
        <v/>
      </c>
      <c r="CQ18" s="18">
        <f>'Grid_Stock'!CJ13</f>
        <v/>
      </c>
      <c r="CR18" s="18">
        <f>'Grid_Stock'!CK13</f>
        <v/>
      </c>
      <c r="CS18" s="18">
        <f>'Grid_Stock'!CL13</f>
        <v/>
      </c>
      <c r="CT18" s="18">
        <f>'Grid_Stock'!CM13</f>
        <v/>
      </c>
      <c r="CU18" s="18">
        <f>'Grid_Stock'!CN13</f>
        <v/>
      </c>
      <c r="CV18" s="18">
        <f>'Grid_Stock'!CO13</f>
        <v/>
      </c>
      <c r="CW18" s="18">
        <f>'Grid_Stock'!CP13</f>
        <v/>
      </c>
      <c r="CX18" s="18">
        <f>'Grid_Stock'!CQ13</f>
        <v/>
      </c>
      <c r="CY18" s="18">
        <f>'Grid_Stock'!CR13</f>
        <v/>
      </c>
      <c r="CZ18" s="18">
        <f>'Grid_Stock'!CS13</f>
        <v/>
      </c>
      <c r="DA18" s="18">
        <f>'Grid_Stock'!CT13</f>
        <v/>
      </c>
      <c r="DB18" s="18">
        <f>'Grid_Stock'!CU13</f>
        <v/>
      </c>
      <c r="DC18" s="18">
        <f>'Grid_Stock'!CV13</f>
        <v/>
      </c>
      <c r="DD18" s="18">
        <f>'Grid_Stock'!CW13</f>
        <v/>
      </c>
      <c r="DE18" s="18">
        <f>'Grid_Stock'!CX13</f>
        <v/>
      </c>
      <c r="DF18" s="18">
        <f>'Grid_Stock'!CY13</f>
        <v/>
      </c>
      <c r="DG18" s="18">
        <f>'Grid_Stock'!CZ13</f>
        <v/>
      </c>
      <c r="DH18" s="18">
        <f>'Grid_Stock'!DA13</f>
        <v/>
      </c>
    </row>
    <row r="19">
      <c r="A19" s="17" t="inlineStr">
        <is>
          <t>9RN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IFERROR(LOOKUP(2,1/('T_SelfStock'!$B$18:$DA$18&lt;&gt;""),'T_SelfStock'!$B$18:$DA$18),"")</f>
        <v/>
      </c>
      <c r="G19" s="17">
        <f>IFERROR(LOOKUP(2,1/('T_TTAFStock'!$B$18:$DA$18&lt;&gt;""),'T_TTAFStock'!$B$18:$DA$18),"")</f>
        <v/>
      </c>
      <c r="H19" s="17">
        <f>IFERROR(LOOKUP(2,1/('T_SelfStock'!$B$18:$DA$18&lt;&gt;""),'T_SelfStock'!$B$5:$DA$5),"")</f>
        <v/>
      </c>
      <c r="I19" s="17">
        <f>'Grid_Stock'!B14</f>
        <v/>
      </c>
      <c r="J19" s="17">
        <f>'Grid_Stock'!C14</f>
        <v/>
      </c>
      <c r="K19" s="17">
        <f>'Grid_Stock'!D14</f>
        <v/>
      </c>
      <c r="L19" s="17">
        <f>'Grid_Stock'!E14</f>
        <v/>
      </c>
      <c r="M19" s="17">
        <f>'Grid_Stock'!F14</f>
        <v/>
      </c>
      <c r="N19" s="17">
        <f>'Grid_Stock'!G14</f>
        <v/>
      </c>
      <c r="O19" s="17">
        <f>'Grid_Stock'!H14</f>
        <v/>
      </c>
      <c r="P19" s="17">
        <f>'Grid_Stock'!I14</f>
        <v/>
      </c>
      <c r="Q19" s="17">
        <f>'Grid_Stock'!J14</f>
        <v/>
      </c>
      <c r="R19" s="17">
        <f>'Grid_Stock'!K14</f>
        <v/>
      </c>
      <c r="S19" s="17">
        <f>'Grid_Stock'!L14</f>
        <v/>
      </c>
      <c r="T19" s="17">
        <f>'Grid_Stock'!M14</f>
        <v/>
      </c>
      <c r="U19" s="17">
        <f>'Grid_Stock'!N14</f>
        <v/>
      </c>
      <c r="V19" s="17">
        <f>'Grid_Stock'!O14</f>
        <v/>
      </c>
      <c r="W19" s="17">
        <f>'Grid_Stock'!P14</f>
        <v/>
      </c>
      <c r="X19" s="17">
        <f>'Grid_Stock'!Q14</f>
        <v/>
      </c>
      <c r="Y19" s="17">
        <f>'Grid_Stock'!R14</f>
        <v/>
      </c>
      <c r="Z19" s="17">
        <f>'Grid_Stock'!S14</f>
        <v/>
      </c>
      <c r="AA19" s="17">
        <f>'Grid_Stock'!T14</f>
        <v/>
      </c>
      <c r="AB19" s="17">
        <f>'Grid_Stock'!U14</f>
        <v/>
      </c>
      <c r="AC19" s="17">
        <f>'Grid_Stock'!V14</f>
        <v/>
      </c>
      <c r="AD19" s="17">
        <f>'Grid_Stock'!W14</f>
        <v/>
      </c>
      <c r="AE19" s="17">
        <f>'Grid_Stock'!X14</f>
        <v/>
      </c>
      <c r="AF19" s="17">
        <f>'Grid_Stock'!Y14</f>
        <v/>
      </c>
      <c r="AG19" s="17">
        <f>'Grid_Stock'!Z14</f>
        <v/>
      </c>
      <c r="AH19" s="17">
        <f>'Grid_Stock'!AA14</f>
        <v/>
      </c>
      <c r="AI19" s="17">
        <f>'Grid_Stock'!AB14</f>
        <v/>
      </c>
      <c r="AJ19" s="17">
        <f>'Grid_Stock'!AC14</f>
        <v/>
      </c>
      <c r="AK19" s="17">
        <f>'Grid_Stock'!AD14</f>
        <v/>
      </c>
      <c r="AL19" s="17">
        <f>'Grid_Stock'!AE14</f>
        <v/>
      </c>
      <c r="AM19" s="17">
        <f>'Grid_Stock'!AF14</f>
        <v/>
      </c>
      <c r="AN19" s="17">
        <f>'Grid_Stock'!AG14</f>
        <v/>
      </c>
      <c r="AO19" s="17">
        <f>'Grid_Stock'!AH14</f>
        <v/>
      </c>
      <c r="AP19" s="17">
        <f>'Grid_Stock'!AI14</f>
        <v/>
      </c>
      <c r="AQ19" s="17">
        <f>'Grid_Stock'!AJ14</f>
        <v/>
      </c>
      <c r="AR19" s="17">
        <f>'Grid_Stock'!AK14</f>
        <v/>
      </c>
      <c r="AS19" s="17">
        <f>'Grid_Stock'!AL14</f>
        <v/>
      </c>
      <c r="AT19" s="17">
        <f>'Grid_Stock'!AM14</f>
        <v/>
      </c>
      <c r="AU19" s="17">
        <f>'Grid_Stock'!AN14</f>
        <v/>
      </c>
      <c r="AV19" s="17">
        <f>'Grid_Stock'!AO14</f>
        <v/>
      </c>
      <c r="AW19" s="17">
        <f>'Grid_Stock'!AP14</f>
        <v/>
      </c>
      <c r="AX19" s="17">
        <f>'Grid_Stock'!AQ14</f>
        <v/>
      </c>
      <c r="AY19" s="17">
        <f>'Grid_Stock'!AR14</f>
        <v/>
      </c>
      <c r="AZ19" s="17">
        <f>'Grid_Stock'!AS14</f>
        <v/>
      </c>
      <c r="BA19" s="17">
        <f>'Grid_Stock'!AT14</f>
        <v/>
      </c>
      <c r="BB19" s="17">
        <f>'Grid_Stock'!AU14</f>
        <v/>
      </c>
      <c r="BC19" s="17">
        <f>'Grid_Stock'!AV14</f>
        <v/>
      </c>
      <c r="BD19" s="17">
        <f>'Grid_Stock'!AW14</f>
        <v/>
      </c>
      <c r="BE19" s="17">
        <f>'Grid_Stock'!AX14</f>
        <v/>
      </c>
      <c r="BF19" s="17">
        <f>'Grid_Stock'!AY14</f>
        <v/>
      </c>
      <c r="BG19" s="17">
        <f>'Grid_Stock'!AZ14</f>
        <v/>
      </c>
      <c r="BH19" s="17">
        <f>'Grid_Stock'!BA14</f>
        <v/>
      </c>
      <c r="BI19" s="17">
        <f>'Grid_Stock'!BB14</f>
        <v/>
      </c>
      <c r="BJ19" s="17">
        <f>'Grid_Stock'!BC14</f>
        <v/>
      </c>
      <c r="BK19" s="17">
        <f>'Grid_Stock'!BD14</f>
        <v/>
      </c>
      <c r="BL19" s="17">
        <f>'Grid_Stock'!BE14</f>
        <v/>
      </c>
      <c r="BM19" s="17">
        <f>'Grid_Stock'!BF14</f>
        <v/>
      </c>
      <c r="BN19" s="17">
        <f>'Grid_Stock'!BG14</f>
        <v/>
      </c>
      <c r="BO19" s="17">
        <f>'Grid_Stock'!BH14</f>
        <v/>
      </c>
      <c r="BP19" s="17">
        <f>'Grid_Stock'!BI14</f>
        <v/>
      </c>
      <c r="BQ19" s="17">
        <f>'Grid_Stock'!BJ14</f>
        <v/>
      </c>
      <c r="BR19" s="17">
        <f>'Grid_Stock'!BK14</f>
        <v/>
      </c>
      <c r="BS19" s="17">
        <f>'Grid_Stock'!BL14</f>
        <v/>
      </c>
      <c r="BT19" s="17">
        <f>'Grid_Stock'!BM14</f>
        <v/>
      </c>
      <c r="BU19" s="17">
        <f>'Grid_Stock'!BN14</f>
        <v/>
      </c>
      <c r="BV19" s="17">
        <f>'Grid_Stock'!BO14</f>
        <v/>
      </c>
      <c r="BW19" s="17">
        <f>'Grid_Stock'!BP14</f>
        <v/>
      </c>
      <c r="BX19" s="17">
        <f>'Grid_Stock'!BQ14</f>
        <v/>
      </c>
      <c r="BY19" s="17">
        <f>'Grid_Stock'!BR14</f>
        <v/>
      </c>
      <c r="BZ19" s="17">
        <f>'Grid_Stock'!BS14</f>
        <v/>
      </c>
      <c r="CA19" s="17">
        <f>'Grid_Stock'!BT14</f>
        <v/>
      </c>
      <c r="CB19" s="17">
        <f>'Grid_Stock'!BU14</f>
        <v/>
      </c>
      <c r="CC19" s="17">
        <f>'Grid_Stock'!BV14</f>
        <v/>
      </c>
      <c r="CD19" s="17">
        <f>'Grid_Stock'!BW14</f>
        <v/>
      </c>
      <c r="CE19" s="17">
        <f>'Grid_Stock'!BX14</f>
        <v/>
      </c>
      <c r="CF19" s="17">
        <f>'Grid_Stock'!BY14</f>
        <v/>
      </c>
      <c r="CG19" s="17">
        <f>'Grid_Stock'!BZ14</f>
        <v/>
      </c>
      <c r="CH19" s="17">
        <f>'Grid_Stock'!CA14</f>
        <v/>
      </c>
      <c r="CI19" s="17">
        <f>'Grid_Stock'!CB14</f>
        <v/>
      </c>
      <c r="CJ19" s="17">
        <f>'Grid_Stock'!CC14</f>
        <v/>
      </c>
      <c r="CK19" s="17">
        <f>'Grid_Stock'!CD14</f>
        <v/>
      </c>
      <c r="CL19" s="17">
        <f>'Grid_Stock'!CE14</f>
        <v/>
      </c>
      <c r="CM19" s="17">
        <f>'Grid_Stock'!CF14</f>
        <v/>
      </c>
      <c r="CN19" s="17">
        <f>'Grid_Stock'!CG14</f>
        <v/>
      </c>
      <c r="CO19" s="17">
        <f>'Grid_Stock'!CH14</f>
        <v/>
      </c>
      <c r="CP19" s="17">
        <f>'Grid_Stock'!CI14</f>
        <v/>
      </c>
      <c r="CQ19" s="17">
        <f>'Grid_Stock'!CJ14</f>
        <v/>
      </c>
      <c r="CR19" s="17">
        <f>'Grid_Stock'!CK14</f>
        <v/>
      </c>
      <c r="CS19" s="17">
        <f>'Grid_Stock'!CL14</f>
        <v/>
      </c>
      <c r="CT19" s="17">
        <f>'Grid_Stock'!CM14</f>
        <v/>
      </c>
      <c r="CU19" s="17">
        <f>'Grid_Stock'!CN14</f>
        <v/>
      </c>
      <c r="CV19" s="17">
        <f>'Grid_Stock'!CO14</f>
        <v/>
      </c>
      <c r="CW19" s="17">
        <f>'Grid_Stock'!CP14</f>
        <v/>
      </c>
      <c r="CX19" s="17">
        <f>'Grid_Stock'!CQ14</f>
        <v/>
      </c>
      <c r="CY19" s="17">
        <f>'Grid_Stock'!CR14</f>
        <v/>
      </c>
      <c r="CZ19" s="17">
        <f>'Grid_Stock'!CS14</f>
        <v/>
      </c>
      <c r="DA19" s="17">
        <f>'Grid_Stock'!CT14</f>
        <v/>
      </c>
      <c r="DB19" s="17">
        <f>'Grid_Stock'!CU14</f>
        <v/>
      </c>
      <c r="DC19" s="17">
        <f>'Grid_Stock'!CV14</f>
        <v/>
      </c>
      <c r="DD19" s="17">
        <f>'Grid_Stock'!CW14</f>
        <v/>
      </c>
      <c r="DE19" s="17">
        <f>'Grid_Stock'!CX14</f>
        <v/>
      </c>
      <c r="DF19" s="17">
        <f>'Grid_Stock'!CY14</f>
        <v/>
      </c>
      <c r="DG19" s="17">
        <f>'Grid_Stock'!CZ14</f>
        <v/>
      </c>
      <c r="DH19" s="17">
        <f>'Grid_Stock'!DA14</f>
        <v/>
      </c>
    </row>
    <row r="20">
      <c r="A20" s="18" t="inlineStr">
        <is>
          <t>CHEM-1400</t>
        </is>
      </c>
      <c r="B20" s="18">
        <f>IFERROR(INDEX(M_RawMaterials[Description],MATCH($A20,M_RawMaterials[Part Name],0)),"")</f>
        <v/>
      </c>
      <c r="C20" s="18">
        <f>IFERROR(INDEX(M_RawMaterials[Category],MATCH($A20,M_RawMaterials[Part Name],0)),"")</f>
        <v/>
      </c>
      <c r="D20" s="18">
        <f>IFERROR(INDEX(M_RawMaterials[基準在庫下限_要入力],MATCH($A20,M_RawMaterials[Part Name],0)),0)</f>
        <v/>
      </c>
      <c r="E20" s="18">
        <f>IFERROR(INDEX(M_RawMaterials[基準在庫上限_要入力],MATCH($A20,M_RawMaterials[Part Name],0)),0)</f>
        <v/>
      </c>
      <c r="F20" s="18">
        <f>IFERROR(LOOKUP(2,1/('T_SelfStock'!$B$19:$DA$19&lt;&gt;""),'T_SelfStock'!$B$19:$DA$19),"")</f>
        <v/>
      </c>
      <c r="G20" s="18">
        <f>IFERROR(LOOKUP(2,1/('T_TTAFStock'!$B$19:$DA$19&lt;&gt;""),'T_TTAFStock'!$B$19:$DA$19),"")</f>
        <v/>
      </c>
      <c r="H20" s="18">
        <f>IFERROR(LOOKUP(2,1/('T_SelfStock'!$B$19:$DA$19&lt;&gt;""),'T_SelfStock'!$B$5:$DA$5),"")</f>
        <v/>
      </c>
      <c r="I20" s="18">
        <f>'Grid_Stock'!B15</f>
        <v/>
      </c>
      <c r="J20" s="18">
        <f>'Grid_Stock'!C15</f>
        <v/>
      </c>
      <c r="K20" s="18">
        <f>'Grid_Stock'!D15</f>
        <v/>
      </c>
      <c r="L20" s="18">
        <f>'Grid_Stock'!E15</f>
        <v/>
      </c>
      <c r="M20" s="18">
        <f>'Grid_Stock'!F15</f>
        <v/>
      </c>
      <c r="N20" s="18">
        <f>'Grid_Stock'!G15</f>
        <v/>
      </c>
      <c r="O20" s="18">
        <f>'Grid_Stock'!H15</f>
        <v/>
      </c>
      <c r="P20" s="18">
        <f>'Grid_Stock'!I15</f>
        <v/>
      </c>
      <c r="Q20" s="18">
        <f>'Grid_Stock'!J15</f>
        <v/>
      </c>
      <c r="R20" s="18">
        <f>'Grid_Stock'!K15</f>
        <v/>
      </c>
      <c r="S20" s="18">
        <f>'Grid_Stock'!L15</f>
        <v/>
      </c>
      <c r="T20" s="18">
        <f>'Grid_Stock'!M15</f>
        <v/>
      </c>
      <c r="U20" s="18">
        <f>'Grid_Stock'!N15</f>
        <v/>
      </c>
      <c r="V20" s="18">
        <f>'Grid_Stock'!O15</f>
        <v/>
      </c>
      <c r="W20" s="18">
        <f>'Grid_Stock'!P15</f>
        <v/>
      </c>
      <c r="X20" s="18">
        <f>'Grid_Stock'!Q15</f>
        <v/>
      </c>
      <c r="Y20" s="18">
        <f>'Grid_Stock'!R15</f>
        <v/>
      </c>
      <c r="Z20" s="18">
        <f>'Grid_Stock'!S15</f>
        <v/>
      </c>
      <c r="AA20" s="18">
        <f>'Grid_Stock'!T15</f>
        <v/>
      </c>
      <c r="AB20" s="18">
        <f>'Grid_Stock'!U15</f>
        <v/>
      </c>
      <c r="AC20" s="18">
        <f>'Grid_Stock'!V15</f>
        <v/>
      </c>
      <c r="AD20" s="18">
        <f>'Grid_Stock'!W15</f>
        <v/>
      </c>
      <c r="AE20" s="18">
        <f>'Grid_Stock'!X15</f>
        <v/>
      </c>
      <c r="AF20" s="18">
        <f>'Grid_Stock'!Y15</f>
        <v/>
      </c>
      <c r="AG20" s="18">
        <f>'Grid_Stock'!Z15</f>
        <v/>
      </c>
      <c r="AH20" s="18">
        <f>'Grid_Stock'!AA15</f>
        <v/>
      </c>
      <c r="AI20" s="18">
        <f>'Grid_Stock'!AB15</f>
        <v/>
      </c>
      <c r="AJ20" s="18">
        <f>'Grid_Stock'!AC15</f>
        <v/>
      </c>
      <c r="AK20" s="18">
        <f>'Grid_Stock'!AD15</f>
        <v/>
      </c>
      <c r="AL20" s="18">
        <f>'Grid_Stock'!AE15</f>
        <v/>
      </c>
      <c r="AM20" s="18">
        <f>'Grid_Stock'!AF15</f>
        <v/>
      </c>
      <c r="AN20" s="18">
        <f>'Grid_Stock'!AG15</f>
        <v/>
      </c>
      <c r="AO20" s="18">
        <f>'Grid_Stock'!AH15</f>
        <v/>
      </c>
      <c r="AP20" s="18">
        <f>'Grid_Stock'!AI15</f>
        <v/>
      </c>
      <c r="AQ20" s="18">
        <f>'Grid_Stock'!AJ15</f>
        <v/>
      </c>
      <c r="AR20" s="18">
        <f>'Grid_Stock'!AK15</f>
        <v/>
      </c>
      <c r="AS20" s="18">
        <f>'Grid_Stock'!AL15</f>
        <v/>
      </c>
      <c r="AT20" s="18">
        <f>'Grid_Stock'!AM15</f>
        <v/>
      </c>
      <c r="AU20" s="18">
        <f>'Grid_Stock'!AN15</f>
        <v/>
      </c>
      <c r="AV20" s="18">
        <f>'Grid_Stock'!AO15</f>
        <v/>
      </c>
      <c r="AW20" s="18">
        <f>'Grid_Stock'!AP15</f>
        <v/>
      </c>
      <c r="AX20" s="18">
        <f>'Grid_Stock'!AQ15</f>
        <v/>
      </c>
      <c r="AY20" s="18">
        <f>'Grid_Stock'!AR15</f>
        <v/>
      </c>
      <c r="AZ20" s="18">
        <f>'Grid_Stock'!AS15</f>
        <v/>
      </c>
      <c r="BA20" s="18">
        <f>'Grid_Stock'!AT15</f>
        <v/>
      </c>
      <c r="BB20" s="18">
        <f>'Grid_Stock'!AU15</f>
        <v/>
      </c>
      <c r="BC20" s="18">
        <f>'Grid_Stock'!AV15</f>
        <v/>
      </c>
      <c r="BD20" s="18">
        <f>'Grid_Stock'!AW15</f>
        <v/>
      </c>
      <c r="BE20" s="18">
        <f>'Grid_Stock'!AX15</f>
        <v/>
      </c>
      <c r="BF20" s="18">
        <f>'Grid_Stock'!AY15</f>
        <v/>
      </c>
      <c r="BG20" s="18">
        <f>'Grid_Stock'!AZ15</f>
        <v/>
      </c>
      <c r="BH20" s="18">
        <f>'Grid_Stock'!BA15</f>
        <v/>
      </c>
      <c r="BI20" s="18">
        <f>'Grid_Stock'!BB15</f>
        <v/>
      </c>
      <c r="BJ20" s="18">
        <f>'Grid_Stock'!BC15</f>
        <v/>
      </c>
      <c r="BK20" s="18">
        <f>'Grid_Stock'!BD15</f>
        <v/>
      </c>
      <c r="BL20" s="18">
        <f>'Grid_Stock'!BE15</f>
        <v/>
      </c>
      <c r="BM20" s="18">
        <f>'Grid_Stock'!BF15</f>
        <v/>
      </c>
      <c r="BN20" s="18">
        <f>'Grid_Stock'!BG15</f>
        <v/>
      </c>
      <c r="BO20" s="18">
        <f>'Grid_Stock'!BH15</f>
        <v/>
      </c>
      <c r="BP20" s="18">
        <f>'Grid_Stock'!BI15</f>
        <v/>
      </c>
      <c r="BQ20" s="18">
        <f>'Grid_Stock'!BJ15</f>
        <v/>
      </c>
      <c r="BR20" s="18">
        <f>'Grid_Stock'!BK15</f>
        <v/>
      </c>
      <c r="BS20" s="18">
        <f>'Grid_Stock'!BL15</f>
        <v/>
      </c>
      <c r="BT20" s="18">
        <f>'Grid_Stock'!BM15</f>
        <v/>
      </c>
      <c r="BU20" s="18">
        <f>'Grid_Stock'!BN15</f>
        <v/>
      </c>
      <c r="BV20" s="18">
        <f>'Grid_Stock'!BO15</f>
        <v/>
      </c>
      <c r="BW20" s="18">
        <f>'Grid_Stock'!BP15</f>
        <v/>
      </c>
      <c r="BX20" s="18">
        <f>'Grid_Stock'!BQ15</f>
        <v/>
      </c>
      <c r="BY20" s="18">
        <f>'Grid_Stock'!BR15</f>
        <v/>
      </c>
      <c r="BZ20" s="18">
        <f>'Grid_Stock'!BS15</f>
        <v/>
      </c>
      <c r="CA20" s="18">
        <f>'Grid_Stock'!BT15</f>
        <v/>
      </c>
      <c r="CB20" s="18">
        <f>'Grid_Stock'!BU15</f>
        <v/>
      </c>
      <c r="CC20" s="18">
        <f>'Grid_Stock'!BV15</f>
        <v/>
      </c>
      <c r="CD20" s="18">
        <f>'Grid_Stock'!BW15</f>
        <v/>
      </c>
      <c r="CE20" s="18">
        <f>'Grid_Stock'!BX15</f>
        <v/>
      </c>
      <c r="CF20" s="18">
        <f>'Grid_Stock'!BY15</f>
        <v/>
      </c>
      <c r="CG20" s="18">
        <f>'Grid_Stock'!BZ15</f>
        <v/>
      </c>
      <c r="CH20" s="18">
        <f>'Grid_Stock'!CA15</f>
        <v/>
      </c>
      <c r="CI20" s="18">
        <f>'Grid_Stock'!CB15</f>
        <v/>
      </c>
      <c r="CJ20" s="18">
        <f>'Grid_Stock'!CC15</f>
        <v/>
      </c>
      <c r="CK20" s="18">
        <f>'Grid_Stock'!CD15</f>
        <v/>
      </c>
      <c r="CL20" s="18">
        <f>'Grid_Stock'!CE15</f>
        <v/>
      </c>
      <c r="CM20" s="18">
        <f>'Grid_Stock'!CF15</f>
        <v/>
      </c>
      <c r="CN20" s="18">
        <f>'Grid_Stock'!CG15</f>
        <v/>
      </c>
      <c r="CO20" s="18">
        <f>'Grid_Stock'!CH15</f>
        <v/>
      </c>
      <c r="CP20" s="18">
        <f>'Grid_Stock'!CI15</f>
        <v/>
      </c>
      <c r="CQ20" s="18">
        <f>'Grid_Stock'!CJ15</f>
        <v/>
      </c>
      <c r="CR20" s="18">
        <f>'Grid_Stock'!CK15</f>
        <v/>
      </c>
      <c r="CS20" s="18">
        <f>'Grid_Stock'!CL15</f>
        <v/>
      </c>
      <c r="CT20" s="18">
        <f>'Grid_Stock'!CM15</f>
        <v/>
      </c>
      <c r="CU20" s="18">
        <f>'Grid_Stock'!CN15</f>
        <v/>
      </c>
      <c r="CV20" s="18">
        <f>'Grid_Stock'!CO15</f>
        <v/>
      </c>
      <c r="CW20" s="18">
        <f>'Grid_Stock'!CP15</f>
        <v/>
      </c>
      <c r="CX20" s="18">
        <f>'Grid_Stock'!CQ15</f>
        <v/>
      </c>
      <c r="CY20" s="18">
        <f>'Grid_Stock'!CR15</f>
        <v/>
      </c>
      <c r="CZ20" s="18">
        <f>'Grid_Stock'!CS15</f>
        <v/>
      </c>
      <c r="DA20" s="18">
        <f>'Grid_Stock'!CT15</f>
        <v/>
      </c>
      <c r="DB20" s="18">
        <f>'Grid_Stock'!CU15</f>
        <v/>
      </c>
      <c r="DC20" s="18">
        <f>'Grid_Stock'!CV15</f>
        <v/>
      </c>
      <c r="DD20" s="18">
        <f>'Grid_Stock'!CW15</f>
        <v/>
      </c>
      <c r="DE20" s="18">
        <f>'Grid_Stock'!CX15</f>
        <v/>
      </c>
      <c r="DF20" s="18">
        <f>'Grid_Stock'!CY15</f>
        <v/>
      </c>
      <c r="DG20" s="18">
        <f>'Grid_Stock'!CZ15</f>
        <v/>
      </c>
      <c r="DH20" s="18">
        <f>'Grid_Stock'!DA15</f>
        <v/>
      </c>
    </row>
    <row r="21">
      <c r="A21" s="17" t="inlineStr">
        <is>
          <t>CHEM-1570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IFERROR(LOOKUP(2,1/('T_SelfStock'!$B$20:$DA$20&lt;&gt;""),'T_SelfStock'!$B$20:$DA$20),"")</f>
        <v/>
      </c>
      <c r="G21" s="17">
        <f>IFERROR(LOOKUP(2,1/('T_TTAFStock'!$B$20:$DA$20&lt;&gt;""),'T_TTAFStock'!$B$20:$DA$20),"")</f>
        <v/>
      </c>
      <c r="H21" s="17">
        <f>IFERROR(LOOKUP(2,1/('T_SelfStock'!$B$20:$DA$20&lt;&gt;""),'T_SelfStock'!$B$5:$DA$5),"")</f>
        <v/>
      </c>
      <c r="I21" s="17">
        <f>'Grid_Stock'!B16</f>
        <v/>
      </c>
      <c r="J21" s="17">
        <f>'Grid_Stock'!C16</f>
        <v/>
      </c>
      <c r="K21" s="17">
        <f>'Grid_Stock'!D16</f>
        <v/>
      </c>
      <c r="L21" s="17">
        <f>'Grid_Stock'!E16</f>
        <v/>
      </c>
      <c r="M21" s="17">
        <f>'Grid_Stock'!F16</f>
        <v/>
      </c>
      <c r="N21" s="17">
        <f>'Grid_Stock'!G16</f>
        <v/>
      </c>
      <c r="O21" s="17">
        <f>'Grid_Stock'!H16</f>
        <v/>
      </c>
      <c r="P21" s="17">
        <f>'Grid_Stock'!I16</f>
        <v/>
      </c>
      <c r="Q21" s="17">
        <f>'Grid_Stock'!J16</f>
        <v/>
      </c>
      <c r="R21" s="17">
        <f>'Grid_Stock'!K16</f>
        <v/>
      </c>
      <c r="S21" s="17">
        <f>'Grid_Stock'!L16</f>
        <v/>
      </c>
      <c r="T21" s="17">
        <f>'Grid_Stock'!M16</f>
        <v/>
      </c>
      <c r="U21" s="17">
        <f>'Grid_Stock'!N16</f>
        <v/>
      </c>
      <c r="V21" s="17">
        <f>'Grid_Stock'!O16</f>
        <v/>
      </c>
      <c r="W21" s="17">
        <f>'Grid_Stock'!P16</f>
        <v/>
      </c>
      <c r="X21" s="17">
        <f>'Grid_Stock'!Q16</f>
        <v/>
      </c>
      <c r="Y21" s="17">
        <f>'Grid_Stock'!R16</f>
        <v/>
      </c>
      <c r="Z21" s="17">
        <f>'Grid_Stock'!S16</f>
        <v/>
      </c>
      <c r="AA21" s="17">
        <f>'Grid_Stock'!T16</f>
        <v/>
      </c>
      <c r="AB21" s="17">
        <f>'Grid_Stock'!U16</f>
        <v/>
      </c>
      <c r="AC21" s="17">
        <f>'Grid_Stock'!V16</f>
        <v/>
      </c>
      <c r="AD21" s="17">
        <f>'Grid_Stock'!W16</f>
        <v/>
      </c>
      <c r="AE21" s="17">
        <f>'Grid_Stock'!X16</f>
        <v/>
      </c>
      <c r="AF21" s="17">
        <f>'Grid_Stock'!Y16</f>
        <v/>
      </c>
      <c r="AG21" s="17">
        <f>'Grid_Stock'!Z16</f>
        <v/>
      </c>
      <c r="AH21" s="17">
        <f>'Grid_Stock'!AA16</f>
        <v/>
      </c>
      <c r="AI21" s="17">
        <f>'Grid_Stock'!AB16</f>
        <v/>
      </c>
      <c r="AJ21" s="17">
        <f>'Grid_Stock'!AC16</f>
        <v/>
      </c>
      <c r="AK21" s="17">
        <f>'Grid_Stock'!AD16</f>
        <v/>
      </c>
      <c r="AL21" s="17">
        <f>'Grid_Stock'!AE16</f>
        <v/>
      </c>
      <c r="AM21" s="17">
        <f>'Grid_Stock'!AF16</f>
        <v/>
      </c>
      <c r="AN21" s="17">
        <f>'Grid_Stock'!AG16</f>
        <v/>
      </c>
      <c r="AO21" s="17">
        <f>'Grid_Stock'!AH16</f>
        <v/>
      </c>
      <c r="AP21" s="17">
        <f>'Grid_Stock'!AI16</f>
        <v/>
      </c>
      <c r="AQ21" s="17">
        <f>'Grid_Stock'!AJ16</f>
        <v/>
      </c>
      <c r="AR21" s="17">
        <f>'Grid_Stock'!AK16</f>
        <v/>
      </c>
      <c r="AS21" s="17">
        <f>'Grid_Stock'!AL16</f>
        <v/>
      </c>
      <c r="AT21" s="17">
        <f>'Grid_Stock'!AM16</f>
        <v/>
      </c>
      <c r="AU21" s="17">
        <f>'Grid_Stock'!AN16</f>
        <v/>
      </c>
      <c r="AV21" s="17">
        <f>'Grid_Stock'!AO16</f>
        <v/>
      </c>
      <c r="AW21" s="17">
        <f>'Grid_Stock'!AP16</f>
        <v/>
      </c>
      <c r="AX21" s="17">
        <f>'Grid_Stock'!AQ16</f>
        <v/>
      </c>
      <c r="AY21" s="17">
        <f>'Grid_Stock'!AR16</f>
        <v/>
      </c>
      <c r="AZ21" s="17">
        <f>'Grid_Stock'!AS16</f>
        <v/>
      </c>
      <c r="BA21" s="17">
        <f>'Grid_Stock'!AT16</f>
        <v/>
      </c>
      <c r="BB21" s="17">
        <f>'Grid_Stock'!AU16</f>
        <v/>
      </c>
      <c r="BC21" s="17">
        <f>'Grid_Stock'!AV16</f>
        <v/>
      </c>
      <c r="BD21" s="17">
        <f>'Grid_Stock'!AW16</f>
        <v/>
      </c>
      <c r="BE21" s="17">
        <f>'Grid_Stock'!AX16</f>
        <v/>
      </c>
      <c r="BF21" s="17">
        <f>'Grid_Stock'!AY16</f>
        <v/>
      </c>
      <c r="BG21" s="17">
        <f>'Grid_Stock'!AZ16</f>
        <v/>
      </c>
      <c r="BH21" s="17">
        <f>'Grid_Stock'!BA16</f>
        <v/>
      </c>
      <c r="BI21" s="17">
        <f>'Grid_Stock'!BB16</f>
        <v/>
      </c>
      <c r="BJ21" s="17">
        <f>'Grid_Stock'!BC16</f>
        <v/>
      </c>
      <c r="BK21" s="17">
        <f>'Grid_Stock'!BD16</f>
        <v/>
      </c>
      <c r="BL21" s="17">
        <f>'Grid_Stock'!BE16</f>
        <v/>
      </c>
      <c r="BM21" s="17">
        <f>'Grid_Stock'!BF16</f>
        <v/>
      </c>
      <c r="BN21" s="17">
        <f>'Grid_Stock'!BG16</f>
        <v/>
      </c>
      <c r="BO21" s="17">
        <f>'Grid_Stock'!BH16</f>
        <v/>
      </c>
      <c r="BP21" s="17">
        <f>'Grid_Stock'!BI16</f>
        <v/>
      </c>
      <c r="BQ21" s="17">
        <f>'Grid_Stock'!BJ16</f>
        <v/>
      </c>
      <c r="BR21" s="17">
        <f>'Grid_Stock'!BK16</f>
        <v/>
      </c>
      <c r="BS21" s="17">
        <f>'Grid_Stock'!BL16</f>
        <v/>
      </c>
      <c r="BT21" s="17">
        <f>'Grid_Stock'!BM16</f>
        <v/>
      </c>
      <c r="BU21" s="17">
        <f>'Grid_Stock'!BN16</f>
        <v/>
      </c>
      <c r="BV21" s="17">
        <f>'Grid_Stock'!BO16</f>
        <v/>
      </c>
      <c r="BW21" s="17">
        <f>'Grid_Stock'!BP16</f>
        <v/>
      </c>
      <c r="BX21" s="17">
        <f>'Grid_Stock'!BQ16</f>
        <v/>
      </c>
      <c r="BY21" s="17">
        <f>'Grid_Stock'!BR16</f>
        <v/>
      </c>
      <c r="BZ21" s="17">
        <f>'Grid_Stock'!BS16</f>
        <v/>
      </c>
      <c r="CA21" s="17">
        <f>'Grid_Stock'!BT16</f>
        <v/>
      </c>
      <c r="CB21" s="17">
        <f>'Grid_Stock'!BU16</f>
        <v/>
      </c>
      <c r="CC21" s="17">
        <f>'Grid_Stock'!BV16</f>
        <v/>
      </c>
      <c r="CD21" s="17">
        <f>'Grid_Stock'!BW16</f>
        <v/>
      </c>
      <c r="CE21" s="17">
        <f>'Grid_Stock'!BX16</f>
        <v/>
      </c>
      <c r="CF21" s="17">
        <f>'Grid_Stock'!BY16</f>
        <v/>
      </c>
      <c r="CG21" s="17">
        <f>'Grid_Stock'!BZ16</f>
        <v/>
      </c>
      <c r="CH21" s="17">
        <f>'Grid_Stock'!CA16</f>
        <v/>
      </c>
      <c r="CI21" s="17">
        <f>'Grid_Stock'!CB16</f>
        <v/>
      </c>
      <c r="CJ21" s="17">
        <f>'Grid_Stock'!CC16</f>
        <v/>
      </c>
      <c r="CK21" s="17">
        <f>'Grid_Stock'!CD16</f>
        <v/>
      </c>
      <c r="CL21" s="17">
        <f>'Grid_Stock'!CE16</f>
        <v/>
      </c>
      <c r="CM21" s="17">
        <f>'Grid_Stock'!CF16</f>
        <v/>
      </c>
      <c r="CN21" s="17">
        <f>'Grid_Stock'!CG16</f>
        <v/>
      </c>
      <c r="CO21" s="17">
        <f>'Grid_Stock'!CH16</f>
        <v/>
      </c>
      <c r="CP21" s="17">
        <f>'Grid_Stock'!CI16</f>
        <v/>
      </c>
      <c r="CQ21" s="17">
        <f>'Grid_Stock'!CJ16</f>
        <v/>
      </c>
      <c r="CR21" s="17">
        <f>'Grid_Stock'!CK16</f>
        <v/>
      </c>
      <c r="CS21" s="17">
        <f>'Grid_Stock'!CL16</f>
        <v/>
      </c>
      <c r="CT21" s="17">
        <f>'Grid_Stock'!CM16</f>
        <v/>
      </c>
      <c r="CU21" s="17">
        <f>'Grid_Stock'!CN16</f>
        <v/>
      </c>
      <c r="CV21" s="17">
        <f>'Grid_Stock'!CO16</f>
        <v/>
      </c>
      <c r="CW21" s="17">
        <f>'Grid_Stock'!CP16</f>
        <v/>
      </c>
      <c r="CX21" s="17">
        <f>'Grid_Stock'!CQ16</f>
        <v/>
      </c>
      <c r="CY21" s="17">
        <f>'Grid_Stock'!CR16</f>
        <v/>
      </c>
      <c r="CZ21" s="17">
        <f>'Grid_Stock'!CS16</f>
        <v/>
      </c>
      <c r="DA21" s="17">
        <f>'Grid_Stock'!CT16</f>
        <v/>
      </c>
      <c r="DB21" s="17">
        <f>'Grid_Stock'!CU16</f>
        <v/>
      </c>
      <c r="DC21" s="17">
        <f>'Grid_Stock'!CV16</f>
        <v/>
      </c>
      <c r="DD21" s="17">
        <f>'Grid_Stock'!CW16</f>
        <v/>
      </c>
      <c r="DE21" s="17">
        <f>'Grid_Stock'!CX16</f>
        <v/>
      </c>
      <c r="DF21" s="17">
        <f>'Grid_Stock'!CY16</f>
        <v/>
      </c>
      <c r="DG21" s="17">
        <f>'Grid_Stock'!CZ16</f>
        <v/>
      </c>
      <c r="DH21" s="17">
        <f>'Grid_Stock'!DA16</f>
        <v/>
      </c>
    </row>
    <row r="22">
      <c r="A22" s="18" t="inlineStr">
        <is>
          <t>CHEM-1650</t>
        </is>
      </c>
      <c r="B22" s="18">
        <f>IFERROR(INDEX(M_RawMaterials[Description],MATCH($A22,M_RawMaterials[Part Name],0)),"")</f>
        <v/>
      </c>
      <c r="C22" s="18">
        <f>IFERROR(INDEX(M_RawMaterials[Category],MATCH($A22,M_RawMaterials[Part Name],0)),"")</f>
        <v/>
      </c>
      <c r="D22" s="18">
        <f>IFERROR(INDEX(M_RawMaterials[基準在庫下限_要入力],MATCH($A22,M_RawMaterials[Part Name],0)),0)</f>
        <v/>
      </c>
      <c r="E22" s="18">
        <f>IFERROR(INDEX(M_RawMaterials[基準在庫上限_要入力],MATCH($A22,M_RawMaterials[Part Name],0)),0)</f>
        <v/>
      </c>
      <c r="F22" s="18">
        <f>IFERROR(LOOKUP(2,1/('T_SelfStock'!$B$21:$DA$21&lt;&gt;""),'T_SelfStock'!$B$21:$DA$21),"")</f>
        <v/>
      </c>
      <c r="G22" s="18">
        <f>IFERROR(LOOKUP(2,1/('T_TTAFStock'!$B$21:$DA$21&lt;&gt;""),'T_TTAFStock'!$B$21:$DA$21),"")</f>
        <v/>
      </c>
      <c r="H22" s="18">
        <f>IFERROR(LOOKUP(2,1/('T_SelfStock'!$B$21:$DA$21&lt;&gt;""),'T_SelfStock'!$B$5:$DA$5),"")</f>
        <v/>
      </c>
      <c r="I22" s="18">
        <f>'Grid_Stock'!B17</f>
        <v/>
      </c>
      <c r="J22" s="18">
        <f>'Grid_Stock'!C17</f>
        <v/>
      </c>
      <c r="K22" s="18">
        <f>'Grid_Stock'!D17</f>
        <v/>
      </c>
      <c r="L22" s="18">
        <f>'Grid_Stock'!E17</f>
        <v/>
      </c>
      <c r="M22" s="18">
        <f>'Grid_Stock'!F17</f>
        <v/>
      </c>
      <c r="N22" s="18">
        <f>'Grid_Stock'!G17</f>
        <v/>
      </c>
      <c r="O22" s="18">
        <f>'Grid_Stock'!H17</f>
        <v/>
      </c>
      <c r="P22" s="18">
        <f>'Grid_Stock'!I17</f>
        <v/>
      </c>
      <c r="Q22" s="18">
        <f>'Grid_Stock'!J17</f>
        <v/>
      </c>
      <c r="R22" s="18">
        <f>'Grid_Stock'!K17</f>
        <v/>
      </c>
      <c r="S22" s="18">
        <f>'Grid_Stock'!L17</f>
        <v/>
      </c>
      <c r="T22" s="18">
        <f>'Grid_Stock'!M17</f>
        <v/>
      </c>
      <c r="U22" s="18">
        <f>'Grid_Stock'!N17</f>
        <v/>
      </c>
      <c r="V22" s="18">
        <f>'Grid_Stock'!O17</f>
        <v/>
      </c>
      <c r="W22" s="18">
        <f>'Grid_Stock'!P17</f>
        <v/>
      </c>
      <c r="X22" s="18">
        <f>'Grid_Stock'!Q17</f>
        <v/>
      </c>
      <c r="Y22" s="18">
        <f>'Grid_Stock'!R17</f>
        <v/>
      </c>
      <c r="Z22" s="18">
        <f>'Grid_Stock'!S17</f>
        <v/>
      </c>
      <c r="AA22" s="18">
        <f>'Grid_Stock'!T17</f>
        <v/>
      </c>
      <c r="AB22" s="18">
        <f>'Grid_Stock'!U17</f>
        <v/>
      </c>
      <c r="AC22" s="18">
        <f>'Grid_Stock'!V17</f>
        <v/>
      </c>
      <c r="AD22" s="18">
        <f>'Grid_Stock'!W17</f>
        <v/>
      </c>
      <c r="AE22" s="18">
        <f>'Grid_Stock'!X17</f>
        <v/>
      </c>
      <c r="AF22" s="18">
        <f>'Grid_Stock'!Y17</f>
        <v/>
      </c>
      <c r="AG22" s="18">
        <f>'Grid_Stock'!Z17</f>
        <v/>
      </c>
      <c r="AH22" s="18">
        <f>'Grid_Stock'!AA17</f>
        <v/>
      </c>
      <c r="AI22" s="18">
        <f>'Grid_Stock'!AB17</f>
        <v/>
      </c>
      <c r="AJ22" s="18">
        <f>'Grid_Stock'!AC17</f>
        <v/>
      </c>
      <c r="AK22" s="18">
        <f>'Grid_Stock'!AD17</f>
        <v/>
      </c>
      <c r="AL22" s="18">
        <f>'Grid_Stock'!AE17</f>
        <v/>
      </c>
      <c r="AM22" s="18">
        <f>'Grid_Stock'!AF17</f>
        <v/>
      </c>
      <c r="AN22" s="18">
        <f>'Grid_Stock'!AG17</f>
        <v/>
      </c>
      <c r="AO22" s="18">
        <f>'Grid_Stock'!AH17</f>
        <v/>
      </c>
      <c r="AP22" s="18">
        <f>'Grid_Stock'!AI17</f>
        <v/>
      </c>
      <c r="AQ22" s="18">
        <f>'Grid_Stock'!AJ17</f>
        <v/>
      </c>
      <c r="AR22" s="18">
        <f>'Grid_Stock'!AK17</f>
        <v/>
      </c>
      <c r="AS22" s="18">
        <f>'Grid_Stock'!AL17</f>
        <v/>
      </c>
      <c r="AT22" s="18">
        <f>'Grid_Stock'!AM17</f>
        <v/>
      </c>
      <c r="AU22" s="18">
        <f>'Grid_Stock'!AN17</f>
        <v/>
      </c>
      <c r="AV22" s="18">
        <f>'Grid_Stock'!AO17</f>
        <v/>
      </c>
      <c r="AW22" s="18">
        <f>'Grid_Stock'!AP17</f>
        <v/>
      </c>
      <c r="AX22" s="18">
        <f>'Grid_Stock'!AQ17</f>
        <v/>
      </c>
      <c r="AY22" s="18">
        <f>'Grid_Stock'!AR17</f>
        <v/>
      </c>
      <c r="AZ22" s="18">
        <f>'Grid_Stock'!AS17</f>
        <v/>
      </c>
      <c r="BA22" s="18">
        <f>'Grid_Stock'!AT17</f>
        <v/>
      </c>
      <c r="BB22" s="18">
        <f>'Grid_Stock'!AU17</f>
        <v/>
      </c>
      <c r="BC22" s="18">
        <f>'Grid_Stock'!AV17</f>
        <v/>
      </c>
      <c r="BD22" s="18">
        <f>'Grid_Stock'!AW17</f>
        <v/>
      </c>
      <c r="BE22" s="18">
        <f>'Grid_Stock'!AX17</f>
        <v/>
      </c>
      <c r="BF22" s="18">
        <f>'Grid_Stock'!AY17</f>
        <v/>
      </c>
      <c r="BG22" s="18">
        <f>'Grid_Stock'!AZ17</f>
        <v/>
      </c>
      <c r="BH22" s="18">
        <f>'Grid_Stock'!BA17</f>
        <v/>
      </c>
      <c r="BI22" s="18">
        <f>'Grid_Stock'!BB17</f>
        <v/>
      </c>
      <c r="BJ22" s="18">
        <f>'Grid_Stock'!BC17</f>
        <v/>
      </c>
      <c r="BK22" s="18">
        <f>'Grid_Stock'!BD17</f>
        <v/>
      </c>
      <c r="BL22" s="18">
        <f>'Grid_Stock'!BE17</f>
        <v/>
      </c>
      <c r="BM22" s="18">
        <f>'Grid_Stock'!BF17</f>
        <v/>
      </c>
      <c r="BN22" s="18">
        <f>'Grid_Stock'!BG17</f>
        <v/>
      </c>
      <c r="BO22" s="18">
        <f>'Grid_Stock'!BH17</f>
        <v/>
      </c>
      <c r="BP22" s="18">
        <f>'Grid_Stock'!BI17</f>
        <v/>
      </c>
      <c r="BQ22" s="18">
        <f>'Grid_Stock'!BJ17</f>
        <v/>
      </c>
      <c r="BR22" s="18">
        <f>'Grid_Stock'!BK17</f>
        <v/>
      </c>
      <c r="BS22" s="18">
        <f>'Grid_Stock'!BL17</f>
        <v/>
      </c>
      <c r="BT22" s="18">
        <f>'Grid_Stock'!BM17</f>
        <v/>
      </c>
      <c r="BU22" s="18">
        <f>'Grid_Stock'!BN17</f>
        <v/>
      </c>
      <c r="BV22" s="18">
        <f>'Grid_Stock'!BO17</f>
        <v/>
      </c>
      <c r="BW22" s="18">
        <f>'Grid_Stock'!BP17</f>
        <v/>
      </c>
      <c r="BX22" s="18">
        <f>'Grid_Stock'!BQ17</f>
        <v/>
      </c>
      <c r="BY22" s="18">
        <f>'Grid_Stock'!BR17</f>
        <v/>
      </c>
      <c r="BZ22" s="18">
        <f>'Grid_Stock'!BS17</f>
        <v/>
      </c>
      <c r="CA22" s="18">
        <f>'Grid_Stock'!BT17</f>
        <v/>
      </c>
      <c r="CB22" s="18">
        <f>'Grid_Stock'!BU17</f>
        <v/>
      </c>
      <c r="CC22" s="18">
        <f>'Grid_Stock'!BV17</f>
        <v/>
      </c>
      <c r="CD22" s="18">
        <f>'Grid_Stock'!BW17</f>
        <v/>
      </c>
      <c r="CE22" s="18">
        <f>'Grid_Stock'!BX17</f>
        <v/>
      </c>
      <c r="CF22" s="18">
        <f>'Grid_Stock'!BY17</f>
        <v/>
      </c>
      <c r="CG22" s="18">
        <f>'Grid_Stock'!BZ17</f>
        <v/>
      </c>
      <c r="CH22" s="18">
        <f>'Grid_Stock'!CA17</f>
        <v/>
      </c>
      <c r="CI22" s="18">
        <f>'Grid_Stock'!CB17</f>
        <v/>
      </c>
      <c r="CJ22" s="18">
        <f>'Grid_Stock'!CC17</f>
        <v/>
      </c>
      <c r="CK22" s="18">
        <f>'Grid_Stock'!CD17</f>
        <v/>
      </c>
      <c r="CL22" s="18">
        <f>'Grid_Stock'!CE17</f>
        <v/>
      </c>
      <c r="CM22" s="18">
        <f>'Grid_Stock'!CF17</f>
        <v/>
      </c>
      <c r="CN22" s="18">
        <f>'Grid_Stock'!CG17</f>
        <v/>
      </c>
      <c r="CO22" s="18">
        <f>'Grid_Stock'!CH17</f>
        <v/>
      </c>
      <c r="CP22" s="18">
        <f>'Grid_Stock'!CI17</f>
        <v/>
      </c>
      <c r="CQ22" s="18">
        <f>'Grid_Stock'!CJ17</f>
        <v/>
      </c>
      <c r="CR22" s="18">
        <f>'Grid_Stock'!CK17</f>
        <v/>
      </c>
      <c r="CS22" s="18">
        <f>'Grid_Stock'!CL17</f>
        <v/>
      </c>
      <c r="CT22" s="18">
        <f>'Grid_Stock'!CM17</f>
        <v/>
      </c>
      <c r="CU22" s="18">
        <f>'Grid_Stock'!CN17</f>
        <v/>
      </c>
      <c r="CV22" s="18">
        <f>'Grid_Stock'!CO17</f>
        <v/>
      </c>
      <c r="CW22" s="18">
        <f>'Grid_Stock'!CP17</f>
        <v/>
      </c>
      <c r="CX22" s="18">
        <f>'Grid_Stock'!CQ17</f>
        <v/>
      </c>
      <c r="CY22" s="18">
        <f>'Grid_Stock'!CR17</f>
        <v/>
      </c>
      <c r="CZ22" s="18">
        <f>'Grid_Stock'!CS17</f>
        <v/>
      </c>
      <c r="DA22" s="18">
        <f>'Grid_Stock'!CT17</f>
        <v/>
      </c>
      <c r="DB22" s="18">
        <f>'Grid_Stock'!CU17</f>
        <v/>
      </c>
      <c r="DC22" s="18">
        <f>'Grid_Stock'!CV17</f>
        <v/>
      </c>
      <c r="DD22" s="18">
        <f>'Grid_Stock'!CW17</f>
        <v/>
      </c>
      <c r="DE22" s="18">
        <f>'Grid_Stock'!CX17</f>
        <v/>
      </c>
      <c r="DF22" s="18">
        <f>'Grid_Stock'!CY17</f>
        <v/>
      </c>
      <c r="DG22" s="18">
        <f>'Grid_Stock'!CZ17</f>
        <v/>
      </c>
      <c r="DH22" s="18">
        <f>'Grid_Stock'!DA17</f>
        <v/>
      </c>
    </row>
    <row r="23">
      <c r="A23" s="17" t="inlineStr">
        <is>
          <t>CHEM-1660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IFERROR(LOOKUP(2,1/('T_SelfStock'!$B$22:$DA$22&lt;&gt;""),'T_SelfStock'!$B$22:$DA$22),"")</f>
        <v/>
      </c>
      <c r="G23" s="17">
        <f>IFERROR(LOOKUP(2,1/('T_TTAFStock'!$B$22:$DA$22&lt;&gt;""),'T_TTAFStock'!$B$22:$DA$22),"")</f>
        <v/>
      </c>
      <c r="H23" s="17">
        <f>IFERROR(LOOKUP(2,1/('T_SelfStock'!$B$22:$DA$22&lt;&gt;""),'T_SelfStock'!$B$5:$DA$5),"")</f>
        <v/>
      </c>
      <c r="I23" s="17">
        <f>'Grid_Stock'!B18</f>
        <v/>
      </c>
      <c r="J23" s="17">
        <f>'Grid_Stock'!C18</f>
        <v/>
      </c>
      <c r="K23" s="17">
        <f>'Grid_Stock'!D18</f>
        <v/>
      </c>
      <c r="L23" s="17">
        <f>'Grid_Stock'!E18</f>
        <v/>
      </c>
      <c r="M23" s="17">
        <f>'Grid_Stock'!F18</f>
        <v/>
      </c>
      <c r="N23" s="17">
        <f>'Grid_Stock'!G18</f>
        <v/>
      </c>
      <c r="O23" s="17">
        <f>'Grid_Stock'!H18</f>
        <v/>
      </c>
      <c r="P23" s="17">
        <f>'Grid_Stock'!I18</f>
        <v/>
      </c>
      <c r="Q23" s="17">
        <f>'Grid_Stock'!J18</f>
        <v/>
      </c>
      <c r="R23" s="17">
        <f>'Grid_Stock'!K18</f>
        <v/>
      </c>
      <c r="S23" s="17">
        <f>'Grid_Stock'!L18</f>
        <v/>
      </c>
      <c r="T23" s="17">
        <f>'Grid_Stock'!M18</f>
        <v/>
      </c>
      <c r="U23" s="17">
        <f>'Grid_Stock'!N18</f>
        <v/>
      </c>
      <c r="V23" s="17">
        <f>'Grid_Stock'!O18</f>
        <v/>
      </c>
      <c r="W23" s="17">
        <f>'Grid_Stock'!P18</f>
        <v/>
      </c>
      <c r="X23" s="17">
        <f>'Grid_Stock'!Q18</f>
        <v/>
      </c>
      <c r="Y23" s="17">
        <f>'Grid_Stock'!R18</f>
        <v/>
      </c>
      <c r="Z23" s="17">
        <f>'Grid_Stock'!S18</f>
        <v/>
      </c>
      <c r="AA23" s="17">
        <f>'Grid_Stock'!T18</f>
        <v/>
      </c>
      <c r="AB23" s="17">
        <f>'Grid_Stock'!U18</f>
        <v/>
      </c>
      <c r="AC23" s="17">
        <f>'Grid_Stock'!V18</f>
        <v/>
      </c>
      <c r="AD23" s="17">
        <f>'Grid_Stock'!W18</f>
        <v/>
      </c>
      <c r="AE23" s="17">
        <f>'Grid_Stock'!X18</f>
        <v/>
      </c>
      <c r="AF23" s="17">
        <f>'Grid_Stock'!Y18</f>
        <v/>
      </c>
      <c r="AG23" s="17">
        <f>'Grid_Stock'!Z18</f>
        <v/>
      </c>
      <c r="AH23" s="17">
        <f>'Grid_Stock'!AA18</f>
        <v/>
      </c>
      <c r="AI23" s="17">
        <f>'Grid_Stock'!AB18</f>
        <v/>
      </c>
      <c r="AJ23" s="17">
        <f>'Grid_Stock'!AC18</f>
        <v/>
      </c>
      <c r="AK23" s="17">
        <f>'Grid_Stock'!AD18</f>
        <v/>
      </c>
      <c r="AL23" s="17">
        <f>'Grid_Stock'!AE18</f>
        <v/>
      </c>
      <c r="AM23" s="17">
        <f>'Grid_Stock'!AF18</f>
        <v/>
      </c>
      <c r="AN23" s="17">
        <f>'Grid_Stock'!AG18</f>
        <v/>
      </c>
      <c r="AO23" s="17">
        <f>'Grid_Stock'!AH18</f>
        <v/>
      </c>
      <c r="AP23" s="17">
        <f>'Grid_Stock'!AI18</f>
        <v/>
      </c>
      <c r="AQ23" s="17">
        <f>'Grid_Stock'!AJ18</f>
        <v/>
      </c>
      <c r="AR23" s="17">
        <f>'Grid_Stock'!AK18</f>
        <v/>
      </c>
      <c r="AS23" s="17">
        <f>'Grid_Stock'!AL18</f>
        <v/>
      </c>
      <c r="AT23" s="17">
        <f>'Grid_Stock'!AM18</f>
        <v/>
      </c>
      <c r="AU23" s="17">
        <f>'Grid_Stock'!AN18</f>
        <v/>
      </c>
      <c r="AV23" s="17">
        <f>'Grid_Stock'!AO18</f>
        <v/>
      </c>
      <c r="AW23" s="17">
        <f>'Grid_Stock'!AP18</f>
        <v/>
      </c>
      <c r="AX23" s="17">
        <f>'Grid_Stock'!AQ18</f>
        <v/>
      </c>
      <c r="AY23" s="17">
        <f>'Grid_Stock'!AR18</f>
        <v/>
      </c>
      <c r="AZ23" s="17">
        <f>'Grid_Stock'!AS18</f>
        <v/>
      </c>
      <c r="BA23" s="17">
        <f>'Grid_Stock'!AT18</f>
        <v/>
      </c>
      <c r="BB23" s="17">
        <f>'Grid_Stock'!AU18</f>
        <v/>
      </c>
      <c r="BC23" s="17">
        <f>'Grid_Stock'!AV18</f>
        <v/>
      </c>
      <c r="BD23" s="17">
        <f>'Grid_Stock'!AW18</f>
        <v/>
      </c>
      <c r="BE23" s="17">
        <f>'Grid_Stock'!AX18</f>
        <v/>
      </c>
      <c r="BF23" s="17">
        <f>'Grid_Stock'!AY18</f>
        <v/>
      </c>
      <c r="BG23" s="17">
        <f>'Grid_Stock'!AZ18</f>
        <v/>
      </c>
      <c r="BH23" s="17">
        <f>'Grid_Stock'!BA18</f>
        <v/>
      </c>
      <c r="BI23" s="17">
        <f>'Grid_Stock'!BB18</f>
        <v/>
      </c>
      <c r="BJ23" s="17">
        <f>'Grid_Stock'!BC18</f>
        <v/>
      </c>
      <c r="BK23" s="17">
        <f>'Grid_Stock'!BD18</f>
        <v/>
      </c>
      <c r="BL23" s="17">
        <f>'Grid_Stock'!BE18</f>
        <v/>
      </c>
      <c r="BM23" s="17">
        <f>'Grid_Stock'!BF18</f>
        <v/>
      </c>
      <c r="BN23" s="17">
        <f>'Grid_Stock'!BG18</f>
        <v/>
      </c>
      <c r="BO23" s="17">
        <f>'Grid_Stock'!BH18</f>
        <v/>
      </c>
      <c r="BP23" s="17">
        <f>'Grid_Stock'!BI18</f>
        <v/>
      </c>
      <c r="BQ23" s="17">
        <f>'Grid_Stock'!BJ18</f>
        <v/>
      </c>
      <c r="BR23" s="17">
        <f>'Grid_Stock'!BK18</f>
        <v/>
      </c>
      <c r="BS23" s="17">
        <f>'Grid_Stock'!BL18</f>
        <v/>
      </c>
      <c r="BT23" s="17">
        <f>'Grid_Stock'!BM18</f>
        <v/>
      </c>
      <c r="BU23" s="17">
        <f>'Grid_Stock'!BN18</f>
        <v/>
      </c>
      <c r="BV23" s="17">
        <f>'Grid_Stock'!BO18</f>
        <v/>
      </c>
      <c r="BW23" s="17">
        <f>'Grid_Stock'!BP18</f>
        <v/>
      </c>
      <c r="BX23" s="17">
        <f>'Grid_Stock'!BQ18</f>
        <v/>
      </c>
      <c r="BY23" s="17">
        <f>'Grid_Stock'!BR18</f>
        <v/>
      </c>
      <c r="BZ23" s="17">
        <f>'Grid_Stock'!BS18</f>
        <v/>
      </c>
      <c r="CA23" s="17">
        <f>'Grid_Stock'!BT18</f>
        <v/>
      </c>
      <c r="CB23" s="17">
        <f>'Grid_Stock'!BU18</f>
        <v/>
      </c>
      <c r="CC23" s="17">
        <f>'Grid_Stock'!BV18</f>
        <v/>
      </c>
      <c r="CD23" s="17">
        <f>'Grid_Stock'!BW18</f>
        <v/>
      </c>
      <c r="CE23" s="17">
        <f>'Grid_Stock'!BX18</f>
        <v/>
      </c>
      <c r="CF23" s="17">
        <f>'Grid_Stock'!BY18</f>
        <v/>
      </c>
      <c r="CG23" s="17">
        <f>'Grid_Stock'!BZ18</f>
        <v/>
      </c>
      <c r="CH23" s="17">
        <f>'Grid_Stock'!CA18</f>
        <v/>
      </c>
      <c r="CI23" s="17">
        <f>'Grid_Stock'!CB18</f>
        <v/>
      </c>
      <c r="CJ23" s="17">
        <f>'Grid_Stock'!CC18</f>
        <v/>
      </c>
      <c r="CK23" s="17">
        <f>'Grid_Stock'!CD18</f>
        <v/>
      </c>
      <c r="CL23" s="17">
        <f>'Grid_Stock'!CE18</f>
        <v/>
      </c>
      <c r="CM23" s="17">
        <f>'Grid_Stock'!CF18</f>
        <v/>
      </c>
      <c r="CN23" s="17">
        <f>'Grid_Stock'!CG18</f>
        <v/>
      </c>
      <c r="CO23" s="17">
        <f>'Grid_Stock'!CH18</f>
        <v/>
      </c>
      <c r="CP23" s="17">
        <f>'Grid_Stock'!CI18</f>
        <v/>
      </c>
      <c r="CQ23" s="17">
        <f>'Grid_Stock'!CJ18</f>
        <v/>
      </c>
      <c r="CR23" s="17">
        <f>'Grid_Stock'!CK18</f>
        <v/>
      </c>
      <c r="CS23" s="17">
        <f>'Grid_Stock'!CL18</f>
        <v/>
      </c>
      <c r="CT23" s="17">
        <f>'Grid_Stock'!CM18</f>
        <v/>
      </c>
      <c r="CU23" s="17">
        <f>'Grid_Stock'!CN18</f>
        <v/>
      </c>
      <c r="CV23" s="17">
        <f>'Grid_Stock'!CO18</f>
        <v/>
      </c>
      <c r="CW23" s="17">
        <f>'Grid_Stock'!CP18</f>
        <v/>
      </c>
      <c r="CX23" s="17">
        <f>'Grid_Stock'!CQ18</f>
        <v/>
      </c>
      <c r="CY23" s="17">
        <f>'Grid_Stock'!CR18</f>
        <v/>
      </c>
      <c r="CZ23" s="17">
        <f>'Grid_Stock'!CS18</f>
        <v/>
      </c>
      <c r="DA23" s="17">
        <f>'Grid_Stock'!CT18</f>
        <v/>
      </c>
      <c r="DB23" s="17">
        <f>'Grid_Stock'!CU18</f>
        <v/>
      </c>
      <c r="DC23" s="17">
        <f>'Grid_Stock'!CV18</f>
        <v/>
      </c>
      <c r="DD23" s="17">
        <f>'Grid_Stock'!CW18</f>
        <v/>
      </c>
      <c r="DE23" s="17">
        <f>'Grid_Stock'!CX18</f>
        <v/>
      </c>
      <c r="DF23" s="17">
        <f>'Grid_Stock'!CY18</f>
        <v/>
      </c>
      <c r="DG23" s="17">
        <f>'Grid_Stock'!CZ18</f>
        <v/>
      </c>
      <c r="DH23" s="17">
        <f>'Grid_Stock'!DA18</f>
        <v/>
      </c>
    </row>
    <row r="24">
      <c r="A24" s="18" t="inlineStr">
        <is>
          <t>CHEM-1600</t>
        </is>
      </c>
      <c r="B24" s="18">
        <f>IFERROR(INDEX(M_RawMaterials[Description],MATCH($A24,M_RawMaterials[Part Name],0)),"")</f>
        <v/>
      </c>
      <c r="C24" s="18">
        <f>IFERROR(INDEX(M_RawMaterials[Category],MATCH($A24,M_RawMaterials[Part Name],0)),"")</f>
        <v/>
      </c>
      <c r="D24" s="18">
        <f>IFERROR(INDEX(M_RawMaterials[基準在庫下限_要入力],MATCH($A24,M_RawMaterials[Part Name],0)),0)</f>
        <v/>
      </c>
      <c r="E24" s="18">
        <f>IFERROR(INDEX(M_RawMaterials[基準在庫上限_要入力],MATCH($A24,M_RawMaterials[Part Name],0)),0)</f>
        <v/>
      </c>
      <c r="F24" s="18">
        <f>IFERROR(LOOKUP(2,1/('T_SelfStock'!$B$23:$DA$23&lt;&gt;""),'T_SelfStock'!$B$23:$DA$23),"")</f>
        <v/>
      </c>
      <c r="G24" s="18">
        <f>IFERROR(LOOKUP(2,1/('T_TTAFStock'!$B$23:$DA$23&lt;&gt;""),'T_TTAFStock'!$B$23:$DA$23),"")</f>
        <v/>
      </c>
      <c r="H24" s="18">
        <f>IFERROR(LOOKUP(2,1/('T_SelfStock'!$B$23:$DA$23&lt;&gt;""),'T_SelfStock'!$B$5:$DA$5),"")</f>
        <v/>
      </c>
      <c r="I24" s="18">
        <f>'Grid_Stock'!B19</f>
        <v/>
      </c>
      <c r="J24" s="18">
        <f>'Grid_Stock'!C19</f>
        <v/>
      </c>
      <c r="K24" s="18">
        <f>'Grid_Stock'!D19</f>
        <v/>
      </c>
      <c r="L24" s="18">
        <f>'Grid_Stock'!E19</f>
        <v/>
      </c>
      <c r="M24" s="18">
        <f>'Grid_Stock'!F19</f>
        <v/>
      </c>
      <c r="N24" s="18">
        <f>'Grid_Stock'!G19</f>
        <v/>
      </c>
      <c r="O24" s="18">
        <f>'Grid_Stock'!H19</f>
        <v/>
      </c>
      <c r="P24" s="18">
        <f>'Grid_Stock'!I19</f>
        <v/>
      </c>
      <c r="Q24" s="18">
        <f>'Grid_Stock'!J19</f>
        <v/>
      </c>
      <c r="R24" s="18">
        <f>'Grid_Stock'!K19</f>
        <v/>
      </c>
      <c r="S24" s="18">
        <f>'Grid_Stock'!L19</f>
        <v/>
      </c>
      <c r="T24" s="18">
        <f>'Grid_Stock'!M19</f>
        <v/>
      </c>
      <c r="U24" s="18">
        <f>'Grid_Stock'!N19</f>
        <v/>
      </c>
      <c r="V24" s="18">
        <f>'Grid_Stock'!O19</f>
        <v/>
      </c>
      <c r="W24" s="18">
        <f>'Grid_Stock'!P19</f>
        <v/>
      </c>
      <c r="X24" s="18">
        <f>'Grid_Stock'!Q19</f>
        <v/>
      </c>
      <c r="Y24" s="18">
        <f>'Grid_Stock'!R19</f>
        <v/>
      </c>
      <c r="Z24" s="18">
        <f>'Grid_Stock'!S19</f>
        <v/>
      </c>
      <c r="AA24" s="18">
        <f>'Grid_Stock'!T19</f>
        <v/>
      </c>
      <c r="AB24" s="18">
        <f>'Grid_Stock'!U19</f>
        <v/>
      </c>
      <c r="AC24" s="18">
        <f>'Grid_Stock'!V19</f>
        <v/>
      </c>
      <c r="AD24" s="18">
        <f>'Grid_Stock'!W19</f>
        <v/>
      </c>
      <c r="AE24" s="18">
        <f>'Grid_Stock'!X19</f>
        <v/>
      </c>
      <c r="AF24" s="18">
        <f>'Grid_Stock'!Y19</f>
        <v/>
      </c>
      <c r="AG24" s="18">
        <f>'Grid_Stock'!Z19</f>
        <v/>
      </c>
      <c r="AH24" s="18">
        <f>'Grid_Stock'!AA19</f>
        <v/>
      </c>
      <c r="AI24" s="18">
        <f>'Grid_Stock'!AB19</f>
        <v/>
      </c>
      <c r="AJ24" s="18">
        <f>'Grid_Stock'!AC19</f>
        <v/>
      </c>
      <c r="AK24" s="18">
        <f>'Grid_Stock'!AD19</f>
        <v/>
      </c>
      <c r="AL24" s="18">
        <f>'Grid_Stock'!AE19</f>
        <v/>
      </c>
      <c r="AM24" s="18">
        <f>'Grid_Stock'!AF19</f>
        <v/>
      </c>
      <c r="AN24" s="18">
        <f>'Grid_Stock'!AG19</f>
        <v/>
      </c>
      <c r="AO24" s="18">
        <f>'Grid_Stock'!AH19</f>
        <v/>
      </c>
      <c r="AP24" s="18">
        <f>'Grid_Stock'!AI19</f>
        <v/>
      </c>
      <c r="AQ24" s="18">
        <f>'Grid_Stock'!AJ19</f>
        <v/>
      </c>
      <c r="AR24" s="18">
        <f>'Grid_Stock'!AK19</f>
        <v/>
      </c>
      <c r="AS24" s="18">
        <f>'Grid_Stock'!AL19</f>
        <v/>
      </c>
      <c r="AT24" s="18">
        <f>'Grid_Stock'!AM19</f>
        <v/>
      </c>
      <c r="AU24" s="18">
        <f>'Grid_Stock'!AN19</f>
        <v/>
      </c>
      <c r="AV24" s="18">
        <f>'Grid_Stock'!AO19</f>
        <v/>
      </c>
      <c r="AW24" s="18">
        <f>'Grid_Stock'!AP19</f>
        <v/>
      </c>
      <c r="AX24" s="18">
        <f>'Grid_Stock'!AQ19</f>
        <v/>
      </c>
      <c r="AY24" s="18">
        <f>'Grid_Stock'!AR19</f>
        <v/>
      </c>
      <c r="AZ24" s="18">
        <f>'Grid_Stock'!AS19</f>
        <v/>
      </c>
      <c r="BA24" s="18">
        <f>'Grid_Stock'!AT19</f>
        <v/>
      </c>
      <c r="BB24" s="18">
        <f>'Grid_Stock'!AU19</f>
        <v/>
      </c>
      <c r="BC24" s="18">
        <f>'Grid_Stock'!AV19</f>
        <v/>
      </c>
      <c r="BD24" s="18">
        <f>'Grid_Stock'!AW19</f>
        <v/>
      </c>
      <c r="BE24" s="18">
        <f>'Grid_Stock'!AX19</f>
        <v/>
      </c>
      <c r="BF24" s="18">
        <f>'Grid_Stock'!AY19</f>
        <v/>
      </c>
      <c r="BG24" s="18">
        <f>'Grid_Stock'!AZ19</f>
        <v/>
      </c>
      <c r="BH24" s="18">
        <f>'Grid_Stock'!BA19</f>
        <v/>
      </c>
      <c r="BI24" s="18">
        <f>'Grid_Stock'!BB19</f>
        <v/>
      </c>
      <c r="BJ24" s="18">
        <f>'Grid_Stock'!BC19</f>
        <v/>
      </c>
      <c r="BK24" s="18">
        <f>'Grid_Stock'!BD19</f>
        <v/>
      </c>
      <c r="BL24" s="18">
        <f>'Grid_Stock'!BE19</f>
        <v/>
      </c>
      <c r="BM24" s="18">
        <f>'Grid_Stock'!BF19</f>
        <v/>
      </c>
      <c r="BN24" s="18">
        <f>'Grid_Stock'!BG19</f>
        <v/>
      </c>
      <c r="BO24" s="18">
        <f>'Grid_Stock'!BH19</f>
        <v/>
      </c>
      <c r="BP24" s="18">
        <f>'Grid_Stock'!BI19</f>
        <v/>
      </c>
      <c r="BQ24" s="18">
        <f>'Grid_Stock'!BJ19</f>
        <v/>
      </c>
      <c r="BR24" s="18">
        <f>'Grid_Stock'!BK19</f>
        <v/>
      </c>
      <c r="BS24" s="18">
        <f>'Grid_Stock'!BL19</f>
        <v/>
      </c>
      <c r="BT24" s="18">
        <f>'Grid_Stock'!BM19</f>
        <v/>
      </c>
      <c r="BU24" s="18">
        <f>'Grid_Stock'!BN19</f>
        <v/>
      </c>
      <c r="BV24" s="18">
        <f>'Grid_Stock'!BO19</f>
        <v/>
      </c>
      <c r="BW24" s="18">
        <f>'Grid_Stock'!BP19</f>
        <v/>
      </c>
      <c r="BX24" s="18">
        <f>'Grid_Stock'!BQ19</f>
        <v/>
      </c>
      <c r="BY24" s="18">
        <f>'Grid_Stock'!BR19</f>
        <v/>
      </c>
      <c r="BZ24" s="18">
        <f>'Grid_Stock'!BS19</f>
        <v/>
      </c>
      <c r="CA24" s="18">
        <f>'Grid_Stock'!BT19</f>
        <v/>
      </c>
      <c r="CB24" s="18">
        <f>'Grid_Stock'!BU19</f>
        <v/>
      </c>
      <c r="CC24" s="18">
        <f>'Grid_Stock'!BV19</f>
        <v/>
      </c>
      <c r="CD24" s="18">
        <f>'Grid_Stock'!BW19</f>
        <v/>
      </c>
      <c r="CE24" s="18">
        <f>'Grid_Stock'!BX19</f>
        <v/>
      </c>
      <c r="CF24" s="18">
        <f>'Grid_Stock'!BY19</f>
        <v/>
      </c>
      <c r="CG24" s="18">
        <f>'Grid_Stock'!BZ19</f>
        <v/>
      </c>
      <c r="CH24" s="18">
        <f>'Grid_Stock'!CA19</f>
        <v/>
      </c>
      <c r="CI24" s="18">
        <f>'Grid_Stock'!CB19</f>
        <v/>
      </c>
      <c r="CJ24" s="18">
        <f>'Grid_Stock'!CC19</f>
        <v/>
      </c>
      <c r="CK24" s="18">
        <f>'Grid_Stock'!CD19</f>
        <v/>
      </c>
      <c r="CL24" s="18">
        <f>'Grid_Stock'!CE19</f>
        <v/>
      </c>
      <c r="CM24" s="18">
        <f>'Grid_Stock'!CF19</f>
        <v/>
      </c>
      <c r="CN24" s="18">
        <f>'Grid_Stock'!CG19</f>
        <v/>
      </c>
      <c r="CO24" s="18">
        <f>'Grid_Stock'!CH19</f>
        <v/>
      </c>
      <c r="CP24" s="18">
        <f>'Grid_Stock'!CI19</f>
        <v/>
      </c>
      <c r="CQ24" s="18">
        <f>'Grid_Stock'!CJ19</f>
        <v/>
      </c>
      <c r="CR24" s="18">
        <f>'Grid_Stock'!CK19</f>
        <v/>
      </c>
      <c r="CS24" s="18">
        <f>'Grid_Stock'!CL19</f>
        <v/>
      </c>
      <c r="CT24" s="18">
        <f>'Grid_Stock'!CM19</f>
        <v/>
      </c>
      <c r="CU24" s="18">
        <f>'Grid_Stock'!CN19</f>
        <v/>
      </c>
      <c r="CV24" s="18">
        <f>'Grid_Stock'!CO19</f>
        <v/>
      </c>
      <c r="CW24" s="18">
        <f>'Grid_Stock'!CP19</f>
        <v/>
      </c>
      <c r="CX24" s="18">
        <f>'Grid_Stock'!CQ19</f>
        <v/>
      </c>
      <c r="CY24" s="18">
        <f>'Grid_Stock'!CR19</f>
        <v/>
      </c>
      <c r="CZ24" s="18">
        <f>'Grid_Stock'!CS19</f>
        <v/>
      </c>
      <c r="DA24" s="18">
        <f>'Grid_Stock'!CT19</f>
        <v/>
      </c>
      <c r="DB24" s="18">
        <f>'Grid_Stock'!CU19</f>
        <v/>
      </c>
      <c r="DC24" s="18">
        <f>'Grid_Stock'!CV19</f>
        <v/>
      </c>
      <c r="DD24" s="18">
        <f>'Grid_Stock'!CW19</f>
        <v/>
      </c>
      <c r="DE24" s="18">
        <f>'Grid_Stock'!CX19</f>
        <v/>
      </c>
      <c r="DF24" s="18">
        <f>'Grid_Stock'!CY19</f>
        <v/>
      </c>
      <c r="DG24" s="18">
        <f>'Grid_Stock'!CZ19</f>
        <v/>
      </c>
      <c r="DH24" s="18">
        <f>'Grid_Stock'!DA19</f>
        <v/>
      </c>
    </row>
    <row r="25">
      <c r="A25" s="17" t="inlineStr">
        <is>
          <t>CHEM-1280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IFERROR(LOOKUP(2,1/('T_SelfStock'!$B$24:$DA$24&lt;&gt;""),'T_SelfStock'!$B$24:$DA$24),"")</f>
        <v/>
      </c>
      <c r="G25" s="17">
        <f>IFERROR(LOOKUP(2,1/('T_TTAFStock'!$B$24:$DA$24&lt;&gt;""),'T_TTAFStock'!$B$24:$DA$24),"")</f>
        <v/>
      </c>
      <c r="H25" s="17">
        <f>IFERROR(LOOKUP(2,1/('T_SelfStock'!$B$24:$DA$24&lt;&gt;""),'T_SelfStock'!$B$5:$DA$5),"")</f>
        <v/>
      </c>
      <c r="I25" s="17">
        <f>'Grid_Stock'!B20</f>
        <v/>
      </c>
      <c r="J25" s="17">
        <f>'Grid_Stock'!C20</f>
        <v/>
      </c>
      <c r="K25" s="17">
        <f>'Grid_Stock'!D20</f>
        <v/>
      </c>
      <c r="L25" s="17">
        <f>'Grid_Stock'!E20</f>
        <v/>
      </c>
      <c r="M25" s="17">
        <f>'Grid_Stock'!F20</f>
        <v/>
      </c>
      <c r="N25" s="17">
        <f>'Grid_Stock'!G20</f>
        <v/>
      </c>
      <c r="O25" s="17">
        <f>'Grid_Stock'!H20</f>
        <v/>
      </c>
      <c r="P25" s="17">
        <f>'Grid_Stock'!I20</f>
        <v/>
      </c>
      <c r="Q25" s="17">
        <f>'Grid_Stock'!J20</f>
        <v/>
      </c>
      <c r="R25" s="17">
        <f>'Grid_Stock'!K20</f>
        <v/>
      </c>
      <c r="S25" s="17">
        <f>'Grid_Stock'!L20</f>
        <v/>
      </c>
      <c r="T25" s="17">
        <f>'Grid_Stock'!M20</f>
        <v/>
      </c>
      <c r="U25" s="17">
        <f>'Grid_Stock'!N20</f>
        <v/>
      </c>
      <c r="V25" s="17">
        <f>'Grid_Stock'!O20</f>
        <v/>
      </c>
      <c r="W25" s="17">
        <f>'Grid_Stock'!P20</f>
        <v/>
      </c>
      <c r="X25" s="17">
        <f>'Grid_Stock'!Q20</f>
        <v/>
      </c>
      <c r="Y25" s="17">
        <f>'Grid_Stock'!R20</f>
        <v/>
      </c>
      <c r="Z25" s="17">
        <f>'Grid_Stock'!S20</f>
        <v/>
      </c>
      <c r="AA25" s="17">
        <f>'Grid_Stock'!T20</f>
        <v/>
      </c>
      <c r="AB25" s="17">
        <f>'Grid_Stock'!U20</f>
        <v/>
      </c>
      <c r="AC25" s="17">
        <f>'Grid_Stock'!V20</f>
        <v/>
      </c>
      <c r="AD25" s="17">
        <f>'Grid_Stock'!W20</f>
        <v/>
      </c>
      <c r="AE25" s="17">
        <f>'Grid_Stock'!X20</f>
        <v/>
      </c>
      <c r="AF25" s="17">
        <f>'Grid_Stock'!Y20</f>
        <v/>
      </c>
      <c r="AG25" s="17">
        <f>'Grid_Stock'!Z20</f>
        <v/>
      </c>
      <c r="AH25" s="17">
        <f>'Grid_Stock'!AA20</f>
        <v/>
      </c>
      <c r="AI25" s="17">
        <f>'Grid_Stock'!AB20</f>
        <v/>
      </c>
      <c r="AJ25" s="17">
        <f>'Grid_Stock'!AC20</f>
        <v/>
      </c>
      <c r="AK25" s="17">
        <f>'Grid_Stock'!AD20</f>
        <v/>
      </c>
      <c r="AL25" s="17">
        <f>'Grid_Stock'!AE20</f>
        <v/>
      </c>
      <c r="AM25" s="17">
        <f>'Grid_Stock'!AF20</f>
        <v/>
      </c>
      <c r="AN25" s="17">
        <f>'Grid_Stock'!AG20</f>
        <v/>
      </c>
      <c r="AO25" s="17">
        <f>'Grid_Stock'!AH20</f>
        <v/>
      </c>
      <c r="AP25" s="17">
        <f>'Grid_Stock'!AI20</f>
        <v/>
      </c>
      <c r="AQ25" s="17">
        <f>'Grid_Stock'!AJ20</f>
        <v/>
      </c>
      <c r="AR25" s="17">
        <f>'Grid_Stock'!AK20</f>
        <v/>
      </c>
      <c r="AS25" s="17">
        <f>'Grid_Stock'!AL20</f>
        <v/>
      </c>
      <c r="AT25" s="17">
        <f>'Grid_Stock'!AM20</f>
        <v/>
      </c>
      <c r="AU25" s="17">
        <f>'Grid_Stock'!AN20</f>
        <v/>
      </c>
      <c r="AV25" s="17">
        <f>'Grid_Stock'!AO20</f>
        <v/>
      </c>
      <c r="AW25" s="17">
        <f>'Grid_Stock'!AP20</f>
        <v/>
      </c>
      <c r="AX25" s="17">
        <f>'Grid_Stock'!AQ20</f>
        <v/>
      </c>
      <c r="AY25" s="17">
        <f>'Grid_Stock'!AR20</f>
        <v/>
      </c>
      <c r="AZ25" s="17">
        <f>'Grid_Stock'!AS20</f>
        <v/>
      </c>
      <c r="BA25" s="17">
        <f>'Grid_Stock'!AT20</f>
        <v/>
      </c>
      <c r="BB25" s="17">
        <f>'Grid_Stock'!AU20</f>
        <v/>
      </c>
      <c r="BC25" s="17">
        <f>'Grid_Stock'!AV20</f>
        <v/>
      </c>
      <c r="BD25" s="17">
        <f>'Grid_Stock'!AW20</f>
        <v/>
      </c>
      <c r="BE25" s="17">
        <f>'Grid_Stock'!AX20</f>
        <v/>
      </c>
      <c r="BF25" s="17">
        <f>'Grid_Stock'!AY20</f>
        <v/>
      </c>
      <c r="BG25" s="17">
        <f>'Grid_Stock'!AZ20</f>
        <v/>
      </c>
      <c r="BH25" s="17">
        <f>'Grid_Stock'!BA20</f>
        <v/>
      </c>
      <c r="BI25" s="17">
        <f>'Grid_Stock'!BB20</f>
        <v/>
      </c>
      <c r="BJ25" s="17">
        <f>'Grid_Stock'!BC20</f>
        <v/>
      </c>
      <c r="BK25" s="17">
        <f>'Grid_Stock'!BD20</f>
        <v/>
      </c>
      <c r="BL25" s="17">
        <f>'Grid_Stock'!BE20</f>
        <v/>
      </c>
      <c r="BM25" s="17">
        <f>'Grid_Stock'!BF20</f>
        <v/>
      </c>
      <c r="BN25" s="17">
        <f>'Grid_Stock'!BG20</f>
        <v/>
      </c>
      <c r="BO25" s="17">
        <f>'Grid_Stock'!BH20</f>
        <v/>
      </c>
      <c r="BP25" s="17">
        <f>'Grid_Stock'!BI20</f>
        <v/>
      </c>
      <c r="BQ25" s="17">
        <f>'Grid_Stock'!BJ20</f>
        <v/>
      </c>
      <c r="BR25" s="17">
        <f>'Grid_Stock'!BK20</f>
        <v/>
      </c>
      <c r="BS25" s="17">
        <f>'Grid_Stock'!BL20</f>
        <v/>
      </c>
      <c r="BT25" s="17">
        <f>'Grid_Stock'!BM20</f>
        <v/>
      </c>
      <c r="BU25" s="17">
        <f>'Grid_Stock'!BN20</f>
        <v/>
      </c>
      <c r="BV25" s="17">
        <f>'Grid_Stock'!BO20</f>
        <v/>
      </c>
      <c r="BW25" s="17">
        <f>'Grid_Stock'!BP20</f>
        <v/>
      </c>
      <c r="BX25" s="17">
        <f>'Grid_Stock'!BQ20</f>
        <v/>
      </c>
      <c r="BY25" s="17">
        <f>'Grid_Stock'!BR20</f>
        <v/>
      </c>
      <c r="BZ25" s="17">
        <f>'Grid_Stock'!BS20</f>
        <v/>
      </c>
      <c r="CA25" s="17">
        <f>'Grid_Stock'!BT20</f>
        <v/>
      </c>
      <c r="CB25" s="17">
        <f>'Grid_Stock'!BU20</f>
        <v/>
      </c>
      <c r="CC25" s="17">
        <f>'Grid_Stock'!BV20</f>
        <v/>
      </c>
      <c r="CD25" s="17">
        <f>'Grid_Stock'!BW20</f>
        <v/>
      </c>
      <c r="CE25" s="17">
        <f>'Grid_Stock'!BX20</f>
        <v/>
      </c>
      <c r="CF25" s="17">
        <f>'Grid_Stock'!BY20</f>
        <v/>
      </c>
      <c r="CG25" s="17">
        <f>'Grid_Stock'!BZ20</f>
        <v/>
      </c>
      <c r="CH25" s="17">
        <f>'Grid_Stock'!CA20</f>
        <v/>
      </c>
      <c r="CI25" s="17">
        <f>'Grid_Stock'!CB20</f>
        <v/>
      </c>
      <c r="CJ25" s="17">
        <f>'Grid_Stock'!CC20</f>
        <v/>
      </c>
      <c r="CK25" s="17">
        <f>'Grid_Stock'!CD20</f>
        <v/>
      </c>
      <c r="CL25" s="17">
        <f>'Grid_Stock'!CE20</f>
        <v/>
      </c>
      <c r="CM25" s="17">
        <f>'Grid_Stock'!CF20</f>
        <v/>
      </c>
      <c r="CN25" s="17">
        <f>'Grid_Stock'!CG20</f>
        <v/>
      </c>
      <c r="CO25" s="17">
        <f>'Grid_Stock'!CH20</f>
        <v/>
      </c>
      <c r="CP25" s="17">
        <f>'Grid_Stock'!CI20</f>
        <v/>
      </c>
      <c r="CQ25" s="17">
        <f>'Grid_Stock'!CJ20</f>
        <v/>
      </c>
      <c r="CR25" s="17">
        <f>'Grid_Stock'!CK20</f>
        <v/>
      </c>
      <c r="CS25" s="17">
        <f>'Grid_Stock'!CL20</f>
        <v/>
      </c>
      <c r="CT25" s="17">
        <f>'Grid_Stock'!CM20</f>
        <v/>
      </c>
      <c r="CU25" s="17">
        <f>'Grid_Stock'!CN20</f>
        <v/>
      </c>
      <c r="CV25" s="17">
        <f>'Grid_Stock'!CO20</f>
        <v/>
      </c>
      <c r="CW25" s="17">
        <f>'Grid_Stock'!CP20</f>
        <v/>
      </c>
      <c r="CX25" s="17">
        <f>'Grid_Stock'!CQ20</f>
        <v/>
      </c>
      <c r="CY25" s="17">
        <f>'Grid_Stock'!CR20</f>
        <v/>
      </c>
      <c r="CZ25" s="17">
        <f>'Grid_Stock'!CS20</f>
        <v/>
      </c>
      <c r="DA25" s="17">
        <f>'Grid_Stock'!CT20</f>
        <v/>
      </c>
      <c r="DB25" s="17">
        <f>'Grid_Stock'!CU20</f>
        <v/>
      </c>
      <c r="DC25" s="17">
        <f>'Grid_Stock'!CV20</f>
        <v/>
      </c>
      <c r="DD25" s="17">
        <f>'Grid_Stock'!CW20</f>
        <v/>
      </c>
      <c r="DE25" s="17">
        <f>'Grid_Stock'!CX20</f>
        <v/>
      </c>
      <c r="DF25" s="17">
        <f>'Grid_Stock'!CY20</f>
        <v/>
      </c>
      <c r="DG25" s="17">
        <f>'Grid_Stock'!CZ20</f>
        <v/>
      </c>
      <c r="DH25" s="17">
        <f>'Grid_Stock'!DA20</f>
        <v/>
      </c>
    </row>
    <row r="26">
      <c r="A26" s="18" t="inlineStr">
        <is>
          <t>CHEM-1240</t>
        </is>
      </c>
      <c r="B26" s="18">
        <f>IFERROR(INDEX(M_RawMaterials[Description],MATCH($A26,M_RawMaterials[Part Name],0)),"")</f>
        <v/>
      </c>
      <c r="C26" s="18">
        <f>IFERROR(INDEX(M_RawMaterials[Category],MATCH($A26,M_RawMaterials[Part Name],0)),"")</f>
        <v/>
      </c>
      <c r="D26" s="18">
        <f>IFERROR(INDEX(M_RawMaterials[基準在庫下限_要入力],MATCH($A26,M_RawMaterials[Part Name],0)),0)</f>
        <v/>
      </c>
      <c r="E26" s="18">
        <f>IFERROR(INDEX(M_RawMaterials[基準在庫上限_要入力],MATCH($A26,M_RawMaterials[Part Name],0)),0)</f>
        <v/>
      </c>
      <c r="F26" s="18">
        <f>IFERROR(LOOKUP(2,1/('T_SelfStock'!$B$25:$DA$25&lt;&gt;""),'T_SelfStock'!$B$25:$DA$25),"")</f>
        <v/>
      </c>
      <c r="G26" s="18">
        <f>IFERROR(LOOKUP(2,1/('T_TTAFStock'!$B$25:$DA$25&lt;&gt;""),'T_TTAFStock'!$B$25:$DA$25),"")</f>
        <v/>
      </c>
      <c r="H26" s="18">
        <f>IFERROR(LOOKUP(2,1/('T_SelfStock'!$B$25:$DA$25&lt;&gt;""),'T_SelfStock'!$B$5:$DA$5),"")</f>
        <v/>
      </c>
      <c r="I26" s="18">
        <f>'Grid_Stock'!B21</f>
        <v/>
      </c>
      <c r="J26" s="18">
        <f>'Grid_Stock'!C21</f>
        <v/>
      </c>
      <c r="K26" s="18">
        <f>'Grid_Stock'!D21</f>
        <v/>
      </c>
      <c r="L26" s="18">
        <f>'Grid_Stock'!E21</f>
        <v/>
      </c>
      <c r="M26" s="18">
        <f>'Grid_Stock'!F21</f>
        <v/>
      </c>
      <c r="N26" s="18">
        <f>'Grid_Stock'!G21</f>
        <v/>
      </c>
      <c r="O26" s="18">
        <f>'Grid_Stock'!H21</f>
        <v/>
      </c>
      <c r="P26" s="18">
        <f>'Grid_Stock'!I21</f>
        <v/>
      </c>
      <c r="Q26" s="18">
        <f>'Grid_Stock'!J21</f>
        <v/>
      </c>
      <c r="R26" s="18">
        <f>'Grid_Stock'!K21</f>
        <v/>
      </c>
      <c r="S26" s="18">
        <f>'Grid_Stock'!L21</f>
        <v/>
      </c>
      <c r="T26" s="18">
        <f>'Grid_Stock'!M21</f>
        <v/>
      </c>
      <c r="U26" s="18">
        <f>'Grid_Stock'!N21</f>
        <v/>
      </c>
      <c r="V26" s="18">
        <f>'Grid_Stock'!O21</f>
        <v/>
      </c>
      <c r="W26" s="18">
        <f>'Grid_Stock'!P21</f>
        <v/>
      </c>
      <c r="X26" s="18">
        <f>'Grid_Stock'!Q21</f>
        <v/>
      </c>
      <c r="Y26" s="18">
        <f>'Grid_Stock'!R21</f>
        <v/>
      </c>
      <c r="Z26" s="18">
        <f>'Grid_Stock'!S21</f>
        <v/>
      </c>
      <c r="AA26" s="18">
        <f>'Grid_Stock'!T21</f>
        <v/>
      </c>
      <c r="AB26" s="18">
        <f>'Grid_Stock'!U21</f>
        <v/>
      </c>
      <c r="AC26" s="18">
        <f>'Grid_Stock'!V21</f>
        <v/>
      </c>
      <c r="AD26" s="18">
        <f>'Grid_Stock'!W21</f>
        <v/>
      </c>
      <c r="AE26" s="18">
        <f>'Grid_Stock'!X21</f>
        <v/>
      </c>
      <c r="AF26" s="18">
        <f>'Grid_Stock'!Y21</f>
        <v/>
      </c>
      <c r="AG26" s="18">
        <f>'Grid_Stock'!Z21</f>
        <v/>
      </c>
      <c r="AH26" s="18">
        <f>'Grid_Stock'!AA21</f>
        <v/>
      </c>
      <c r="AI26" s="18">
        <f>'Grid_Stock'!AB21</f>
        <v/>
      </c>
      <c r="AJ26" s="18">
        <f>'Grid_Stock'!AC21</f>
        <v/>
      </c>
      <c r="AK26" s="18">
        <f>'Grid_Stock'!AD21</f>
        <v/>
      </c>
      <c r="AL26" s="18">
        <f>'Grid_Stock'!AE21</f>
        <v/>
      </c>
      <c r="AM26" s="18">
        <f>'Grid_Stock'!AF21</f>
        <v/>
      </c>
      <c r="AN26" s="18">
        <f>'Grid_Stock'!AG21</f>
        <v/>
      </c>
      <c r="AO26" s="18">
        <f>'Grid_Stock'!AH21</f>
        <v/>
      </c>
      <c r="AP26" s="18">
        <f>'Grid_Stock'!AI21</f>
        <v/>
      </c>
      <c r="AQ26" s="18">
        <f>'Grid_Stock'!AJ21</f>
        <v/>
      </c>
      <c r="AR26" s="18">
        <f>'Grid_Stock'!AK21</f>
        <v/>
      </c>
      <c r="AS26" s="18">
        <f>'Grid_Stock'!AL21</f>
        <v/>
      </c>
      <c r="AT26" s="18">
        <f>'Grid_Stock'!AM21</f>
        <v/>
      </c>
      <c r="AU26" s="18">
        <f>'Grid_Stock'!AN21</f>
        <v/>
      </c>
      <c r="AV26" s="18">
        <f>'Grid_Stock'!AO21</f>
        <v/>
      </c>
      <c r="AW26" s="18">
        <f>'Grid_Stock'!AP21</f>
        <v/>
      </c>
      <c r="AX26" s="18">
        <f>'Grid_Stock'!AQ21</f>
        <v/>
      </c>
      <c r="AY26" s="18">
        <f>'Grid_Stock'!AR21</f>
        <v/>
      </c>
      <c r="AZ26" s="18">
        <f>'Grid_Stock'!AS21</f>
        <v/>
      </c>
      <c r="BA26" s="18">
        <f>'Grid_Stock'!AT21</f>
        <v/>
      </c>
      <c r="BB26" s="18">
        <f>'Grid_Stock'!AU21</f>
        <v/>
      </c>
      <c r="BC26" s="18">
        <f>'Grid_Stock'!AV21</f>
        <v/>
      </c>
      <c r="BD26" s="18">
        <f>'Grid_Stock'!AW21</f>
        <v/>
      </c>
      <c r="BE26" s="18">
        <f>'Grid_Stock'!AX21</f>
        <v/>
      </c>
      <c r="BF26" s="18">
        <f>'Grid_Stock'!AY21</f>
        <v/>
      </c>
      <c r="BG26" s="18">
        <f>'Grid_Stock'!AZ21</f>
        <v/>
      </c>
      <c r="BH26" s="18">
        <f>'Grid_Stock'!BA21</f>
        <v/>
      </c>
      <c r="BI26" s="18">
        <f>'Grid_Stock'!BB21</f>
        <v/>
      </c>
      <c r="BJ26" s="18">
        <f>'Grid_Stock'!BC21</f>
        <v/>
      </c>
      <c r="BK26" s="18">
        <f>'Grid_Stock'!BD21</f>
        <v/>
      </c>
      <c r="BL26" s="18">
        <f>'Grid_Stock'!BE21</f>
        <v/>
      </c>
      <c r="BM26" s="18">
        <f>'Grid_Stock'!BF21</f>
        <v/>
      </c>
      <c r="BN26" s="18">
        <f>'Grid_Stock'!BG21</f>
        <v/>
      </c>
      <c r="BO26" s="18">
        <f>'Grid_Stock'!BH21</f>
        <v/>
      </c>
      <c r="BP26" s="18">
        <f>'Grid_Stock'!BI21</f>
        <v/>
      </c>
      <c r="BQ26" s="18">
        <f>'Grid_Stock'!BJ21</f>
        <v/>
      </c>
      <c r="BR26" s="18">
        <f>'Grid_Stock'!BK21</f>
        <v/>
      </c>
      <c r="BS26" s="18">
        <f>'Grid_Stock'!BL21</f>
        <v/>
      </c>
      <c r="BT26" s="18">
        <f>'Grid_Stock'!BM21</f>
        <v/>
      </c>
      <c r="BU26" s="18">
        <f>'Grid_Stock'!BN21</f>
        <v/>
      </c>
      <c r="BV26" s="18">
        <f>'Grid_Stock'!BO21</f>
        <v/>
      </c>
      <c r="BW26" s="18">
        <f>'Grid_Stock'!BP21</f>
        <v/>
      </c>
      <c r="BX26" s="18">
        <f>'Grid_Stock'!BQ21</f>
        <v/>
      </c>
      <c r="BY26" s="18">
        <f>'Grid_Stock'!BR21</f>
        <v/>
      </c>
      <c r="BZ26" s="18">
        <f>'Grid_Stock'!BS21</f>
        <v/>
      </c>
      <c r="CA26" s="18">
        <f>'Grid_Stock'!BT21</f>
        <v/>
      </c>
      <c r="CB26" s="18">
        <f>'Grid_Stock'!BU21</f>
        <v/>
      </c>
      <c r="CC26" s="18">
        <f>'Grid_Stock'!BV21</f>
        <v/>
      </c>
      <c r="CD26" s="18">
        <f>'Grid_Stock'!BW21</f>
        <v/>
      </c>
      <c r="CE26" s="18">
        <f>'Grid_Stock'!BX21</f>
        <v/>
      </c>
      <c r="CF26" s="18">
        <f>'Grid_Stock'!BY21</f>
        <v/>
      </c>
      <c r="CG26" s="18">
        <f>'Grid_Stock'!BZ21</f>
        <v/>
      </c>
      <c r="CH26" s="18">
        <f>'Grid_Stock'!CA21</f>
        <v/>
      </c>
      <c r="CI26" s="18">
        <f>'Grid_Stock'!CB21</f>
        <v/>
      </c>
      <c r="CJ26" s="18">
        <f>'Grid_Stock'!CC21</f>
        <v/>
      </c>
      <c r="CK26" s="18">
        <f>'Grid_Stock'!CD21</f>
        <v/>
      </c>
      <c r="CL26" s="18">
        <f>'Grid_Stock'!CE21</f>
        <v/>
      </c>
      <c r="CM26" s="18">
        <f>'Grid_Stock'!CF21</f>
        <v/>
      </c>
      <c r="CN26" s="18">
        <f>'Grid_Stock'!CG21</f>
        <v/>
      </c>
      <c r="CO26" s="18">
        <f>'Grid_Stock'!CH21</f>
        <v/>
      </c>
      <c r="CP26" s="18">
        <f>'Grid_Stock'!CI21</f>
        <v/>
      </c>
      <c r="CQ26" s="18">
        <f>'Grid_Stock'!CJ21</f>
        <v/>
      </c>
      <c r="CR26" s="18">
        <f>'Grid_Stock'!CK21</f>
        <v/>
      </c>
      <c r="CS26" s="18">
        <f>'Grid_Stock'!CL21</f>
        <v/>
      </c>
      <c r="CT26" s="18">
        <f>'Grid_Stock'!CM21</f>
        <v/>
      </c>
      <c r="CU26" s="18">
        <f>'Grid_Stock'!CN21</f>
        <v/>
      </c>
      <c r="CV26" s="18">
        <f>'Grid_Stock'!CO21</f>
        <v/>
      </c>
      <c r="CW26" s="18">
        <f>'Grid_Stock'!CP21</f>
        <v/>
      </c>
      <c r="CX26" s="18">
        <f>'Grid_Stock'!CQ21</f>
        <v/>
      </c>
      <c r="CY26" s="18">
        <f>'Grid_Stock'!CR21</f>
        <v/>
      </c>
      <c r="CZ26" s="18">
        <f>'Grid_Stock'!CS21</f>
        <v/>
      </c>
      <c r="DA26" s="18">
        <f>'Grid_Stock'!CT21</f>
        <v/>
      </c>
      <c r="DB26" s="18">
        <f>'Grid_Stock'!CU21</f>
        <v/>
      </c>
      <c r="DC26" s="18">
        <f>'Grid_Stock'!CV21</f>
        <v/>
      </c>
      <c r="DD26" s="18">
        <f>'Grid_Stock'!CW21</f>
        <v/>
      </c>
      <c r="DE26" s="18">
        <f>'Grid_Stock'!CX21</f>
        <v/>
      </c>
      <c r="DF26" s="18">
        <f>'Grid_Stock'!CY21</f>
        <v/>
      </c>
      <c r="DG26" s="18">
        <f>'Grid_Stock'!CZ21</f>
        <v/>
      </c>
      <c r="DH26" s="18">
        <f>'Grid_Stock'!DA21</f>
        <v/>
      </c>
    </row>
    <row r="27">
      <c r="A27" s="17" t="inlineStr">
        <is>
          <t>0JN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IFERROR(LOOKUP(2,1/('T_SelfStock'!$B$26:$DA$26&lt;&gt;""),'T_SelfStock'!$B$26:$DA$26),"")</f>
        <v/>
      </c>
      <c r="G27" s="17">
        <f>IFERROR(LOOKUP(2,1/('T_TTAFStock'!$B$26:$DA$26&lt;&gt;""),'T_TTAFStock'!$B$26:$DA$26),"")</f>
        <v/>
      </c>
      <c r="H27" s="17">
        <f>IFERROR(LOOKUP(2,1/('T_SelfStock'!$B$26:$DA$26&lt;&gt;""),'T_SelfStock'!$B$5:$DA$5),"")</f>
        <v/>
      </c>
      <c r="I27" s="17">
        <f>'Grid_Stock'!B22</f>
        <v/>
      </c>
      <c r="J27" s="17">
        <f>'Grid_Stock'!C22</f>
        <v/>
      </c>
      <c r="K27" s="17">
        <f>'Grid_Stock'!D22</f>
        <v/>
      </c>
      <c r="L27" s="17">
        <f>'Grid_Stock'!E22</f>
        <v/>
      </c>
      <c r="M27" s="17">
        <f>'Grid_Stock'!F22</f>
        <v/>
      </c>
      <c r="N27" s="17">
        <f>'Grid_Stock'!G22</f>
        <v/>
      </c>
      <c r="O27" s="17">
        <f>'Grid_Stock'!H22</f>
        <v/>
      </c>
      <c r="P27" s="17">
        <f>'Grid_Stock'!I22</f>
        <v/>
      </c>
      <c r="Q27" s="17">
        <f>'Grid_Stock'!J22</f>
        <v/>
      </c>
      <c r="R27" s="17">
        <f>'Grid_Stock'!K22</f>
        <v/>
      </c>
      <c r="S27" s="17">
        <f>'Grid_Stock'!L22</f>
        <v/>
      </c>
      <c r="T27" s="17">
        <f>'Grid_Stock'!M22</f>
        <v/>
      </c>
      <c r="U27" s="17">
        <f>'Grid_Stock'!N22</f>
        <v/>
      </c>
      <c r="V27" s="17">
        <f>'Grid_Stock'!O22</f>
        <v/>
      </c>
      <c r="W27" s="17">
        <f>'Grid_Stock'!P22</f>
        <v/>
      </c>
      <c r="X27" s="17">
        <f>'Grid_Stock'!Q22</f>
        <v/>
      </c>
      <c r="Y27" s="17">
        <f>'Grid_Stock'!R22</f>
        <v/>
      </c>
      <c r="Z27" s="17">
        <f>'Grid_Stock'!S22</f>
        <v/>
      </c>
      <c r="AA27" s="17">
        <f>'Grid_Stock'!T22</f>
        <v/>
      </c>
      <c r="AB27" s="17">
        <f>'Grid_Stock'!U22</f>
        <v/>
      </c>
      <c r="AC27" s="17">
        <f>'Grid_Stock'!V22</f>
        <v/>
      </c>
      <c r="AD27" s="17">
        <f>'Grid_Stock'!W22</f>
        <v/>
      </c>
      <c r="AE27" s="17">
        <f>'Grid_Stock'!X22</f>
        <v/>
      </c>
      <c r="AF27" s="17">
        <f>'Grid_Stock'!Y22</f>
        <v/>
      </c>
      <c r="AG27" s="17">
        <f>'Grid_Stock'!Z22</f>
        <v/>
      </c>
      <c r="AH27" s="17">
        <f>'Grid_Stock'!AA22</f>
        <v/>
      </c>
      <c r="AI27" s="17">
        <f>'Grid_Stock'!AB22</f>
        <v/>
      </c>
      <c r="AJ27" s="17">
        <f>'Grid_Stock'!AC22</f>
        <v/>
      </c>
      <c r="AK27" s="17">
        <f>'Grid_Stock'!AD22</f>
        <v/>
      </c>
      <c r="AL27" s="17">
        <f>'Grid_Stock'!AE22</f>
        <v/>
      </c>
      <c r="AM27" s="17">
        <f>'Grid_Stock'!AF22</f>
        <v/>
      </c>
      <c r="AN27" s="17">
        <f>'Grid_Stock'!AG22</f>
        <v/>
      </c>
      <c r="AO27" s="17">
        <f>'Grid_Stock'!AH22</f>
        <v/>
      </c>
      <c r="AP27" s="17">
        <f>'Grid_Stock'!AI22</f>
        <v/>
      </c>
      <c r="AQ27" s="17">
        <f>'Grid_Stock'!AJ22</f>
        <v/>
      </c>
      <c r="AR27" s="17">
        <f>'Grid_Stock'!AK22</f>
        <v/>
      </c>
      <c r="AS27" s="17">
        <f>'Grid_Stock'!AL22</f>
        <v/>
      </c>
      <c r="AT27" s="17">
        <f>'Grid_Stock'!AM22</f>
        <v/>
      </c>
      <c r="AU27" s="17">
        <f>'Grid_Stock'!AN22</f>
        <v/>
      </c>
      <c r="AV27" s="17">
        <f>'Grid_Stock'!AO22</f>
        <v/>
      </c>
      <c r="AW27" s="17">
        <f>'Grid_Stock'!AP22</f>
        <v/>
      </c>
      <c r="AX27" s="17">
        <f>'Grid_Stock'!AQ22</f>
        <v/>
      </c>
      <c r="AY27" s="17">
        <f>'Grid_Stock'!AR22</f>
        <v/>
      </c>
      <c r="AZ27" s="17">
        <f>'Grid_Stock'!AS22</f>
        <v/>
      </c>
      <c r="BA27" s="17">
        <f>'Grid_Stock'!AT22</f>
        <v/>
      </c>
      <c r="BB27" s="17">
        <f>'Grid_Stock'!AU22</f>
        <v/>
      </c>
      <c r="BC27" s="17">
        <f>'Grid_Stock'!AV22</f>
        <v/>
      </c>
      <c r="BD27" s="17">
        <f>'Grid_Stock'!AW22</f>
        <v/>
      </c>
      <c r="BE27" s="17">
        <f>'Grid_Stock'!AX22</f>
        <v/>
      </c>
      <c r="BF27" s="17">
        <f>'Grid_Stock'!AY22</f>
        <v/>
      </c>
      <c r="BG27" s="17">
        <f>'Grid_Stock'!AZ22</f>
        <v/>
      </c>
      <c r="BH27" s="17">
        <f>'Grid_Stock'!BA22</f>
        <v/>
      </c>
      <c r="BI27" s="17">
        <f>'Grid_Stock'!BB22</f>
        <v/>
      </c>
      <c r="BJ27" s="17">
        <f>'Grid_Stock'!BC22</f>
        <v/>
      </c>
      <c r="BK27" s="17">
        <f>'Grid_Stock'!BD22</f>
        <v/>
      </c>
      <c r="BL27" s="17">
        <f>'Grid_Stock'!BE22</f>
        <v/>
      </c>
      <c r="BM27" s="17">
        <f>'Grid_Stock'!BF22</f>
        <v/>
      </c>
      <c r="BN27" s="17">
        <f>'Grid_Stock'!BG22</f>
        <v/>
      </c>
      <c r="BO27" s="17">
        <f>'Grid_Stock'!BH22</f>
        <v/>
      </c>
      <c r="BP27" s="17">
        <f>'Grid_Stock'!BI22</f>
        <v/>
      </c>
      <c r="BQ27" s="17">
        <f>'Grid_Stock'!BJ22</f>
        <v/>
      </c>
      <c r="BR27" s="17">
        <f>'Grid_Stock'!BK22</f>
        <v/>
      </c>
      <c r="BS27" s="17">
        <f>'Grid_Stock'!BL22</f>
        <v/>
      </c>
      <c r="BT27" s="17">
        <f>'Grid_Stock'!BM22</f>
        <v/>
      </c>
      <c r="BU27" s="17">
        <f>'Grid_Stock'!BN22</f>
        <v/>
      </c>
      <c r="BV27" s="17">
        <f>'Grid_Stock'!BO22</f>
        <v/>
      </c>
      <c r="BW27" s="17">
        <f>'Grid_Stock'!BP22</f>
        <v/>
      </c>
      <c r="BX27" s="17">
        <f>'Grid_Stock'!BQ22</f>
        <v/>
      </c>
      <c r="BY27" s="17">
        <f>'Grid_Stock'!BR22</f>
        <v/>
      </c>
      <c r="BZ27" s="17">
        <f>'Grid_Stock'!BS22</f>
        <v/>
      </c>
      <c r="CA27" s="17">
        <f>'Grid_Stock'!BT22</f>
        <v/>
      </c>
      <c r="CB27" s="17">
        <f>'Grid_Stock'!BU22</f>
        <v/>
      </c>
      <c r="CC27" s="17">
        <f>'Grid_Stock'!BV22</f>
        <v/>
      </c>
      <c r="CD27" s="17">
        <f>'Grid_Stock'!BW22</f>
        <v/>
      </c>
      <c r="CE27" s="17">
        <f>'Grid_Stock'!BX22</f>
        <v/>
      </c>
      <c r="CF27" s="17">
        <f>'Grid_Stock'!BY22</f>
        <v/>
      </c>
      <c r="CG27" s="17">
        <f>'Grid_Stock'!BZ22</f>
        <v/>
      </c>
      <c r="CH27" s="17">
        <f>'Grid_Stock'!CA22</f>
        <v/>
      </c>
      <c r="CI27" s="17">
        <f>'Grid_Stock'!CB22</f>
        <v/>
      </c>
      <c r="CJ27" s="17">
        <f>'Grid_Stock'!CC22</f>
        <v/>
      </c>
      <c r="CK27" s="17">
        <f>'Grid_Stock'!CD22</f>
        <v/>
      </c>
      <c r="CL27" s="17">
        <f>'Grid_Stock'!CE22</f>
        <v/>
      </c>
      <c r="CM27" s="17">
        <f>'Grid_Stock'!CF22</f>
        <v/>
      </c>
      <c r="CN27" s="17">
        <f>'Grid_Stock'!CG22</f>
        <v/>
      </c>
      <c r="CO27" s="17">
        <f>'Grid_Stock'!CH22</f>
        <v/>
      </c>
      <c r="CP27" s="17">
        <f>'Grid_Stock'!CI22</f>
        <v/>
      </c>
      <c r="CQ27" s="17">
        <f>'Grid_Stock'!CJ22</f>
        <v/>
      </c>
      <c r="CR27" s="17">
        <f>'Grid_Stock'!CK22</f>
        <v/>
      </c>
      <c r="CS27" s="17">
        <f>'Grid_Stock'!CL22</f>
        <v/>
      </c>
      <c r="CT27" s="17">
        <f>'Grid_Stock'!CM22</f>
        <v/>
      </c>
      <c r="CU27" s="17">
        <f>'Grid_Stock'!CN22</f>
        <v/>
      </c>
      <c r="CV27" s="17">
        <f>'Grid_Stock'!CO22</f>
        <v/>
      </c>
      <c r="CW27" s="17">
        <f>'Grid_Stock'!CP22</f>
        <v/>
      </c>
      <c r="CX27" s="17">
        <f>'Grid_Stock'!CQ22</f>
        <v/>
      </c>
      <c r="CY27" s="17">
        <f>'Grid_Stock'!CR22</f>
        <v/>
      </c>
      <c r="CZ27" s="17">
        <f>'Grid_Stock'!CS22</f>
        <v/>
      </c>
      <c r="DA27" s="17">
        <f>'Grid_Stock'!CT22</f>
        <v/>
      </c>
      <c r="DB27" s="17">
        <f>'Grid_Stock'!CU22</f>
        <v/>
      </c>
      <c r="DC27" s="17">
        <f>'Grid_Stock'!CV22</f>
        <v/>
      </c>
      <c r="DD27" s="17">
        <f>'Grid_Stock'!CW22</f>
        <v/>
      </c>
      <c r="DE27" s="17">
        <f>'Grid_Stock'!CX22</f>
        <v/>
      </c>
      <c r="DF27" s="17">
        <f>'Grid_Stock'!CY22</f>
        <v/>
      </c>
      <c r="DG27" s="17">
        <f>'Grid_Stock'!CZ22</f>
        <v/>
      </c>
      <c r="DH27" s="17">
        <f>'Grid_Stock'!DA22</f>
        <v/>
      </c>
    </row>
    <row r="28">
      <c r="A28" s="18" t="inlineStr">
        <is>
          <t>CHEM-1760</t>
        </is>
      </c>
      <c r="B28" s="18">
        <f>IFERROR(INDEX(M_RawMaterials[Description],MATCH($A28,M_RawMaterials[Part Name],0)),"")</f>
        <v/>
      </c>
      <c r="C28" s="18">
        <f>IFERROR(INDEX(M_RawMaterials[Category],MATCH($A28,M_RawMaterials[Part Name],0)),"")</f>
        <v/>
      </c>
      <c r="D28" s="18">
        <f>IFERROR(INDEX(M_RawMaterials[基準在庫下限_要入力],MATCH($A28,M_RawMaterials[Part Name],0)),0)</f>
        <v/>
      </c>
      <c r="E28" s="18">
        <f>IFERROR(INDEX(M_RawMaterials[基準在庫上限_要入力],MATCH($A28,M_RawMaterials[Part Name],0)),0)</f>
        <v/>
      </c>
      <c r="F28" s="18">
        <f>IFERROR(LOOKUP(2,1/('T_SelfStock'!$B$27:$DA$27&lt;&gt;""),'T_SelfStock'!$B$27:$DA$27),"")</f>
        <v/>
      </c>
      <c r="G28" s="18">
        <f>IFERROR(LOOKUP(2,1/('T_TTAFStock'!$B$27:$DA$27&lt;&gt;""),'T_TTAFStock'!$B$27:$DA$27),"")</f>
        <v/>
      </c>
      <c r="H28" s="18">
        <f>IFERROR(LOOKUP(2,1/('T_SelfStock'!$B$27:$DA$27&lt;&gt;""),'T_SelfStock'!$B$5:$DA$5),"")</f>
        <v/>
      </c>
      <c r="I28" s="18">
        <f>'Grid_Stock'!B23</f>
        <v/>
      </c>
      <c r="J28" s="18">
        <f>'Grid_Stock'!C23</f>
        <v/>
      </c>
      <c r="K28" s="18">
        <f>'Grid_Stock'!D23</f>
        <v/>
      </c>
      <c r="L28" s="18">
        <f>'Grid_Stock'!E23</f>
        <v/>
      </c>
      <c r="M28" s="18">
        <f>'Grid_Stock'!F23</f>
        <v/>
      </c>
      <c r="N28" s="18">
        <f>'Grid_Stock'!G23</f>
        <v/>
      </c>
      <c r="O28" s="18">
        <f>'Grid_Stock'!H23</f>
        <v/>
      </c>
      <c r="P28" s="18">
        <f>'Grid_Stock'!I23</f>
        <v/>
      </c>
      <c r="Q28" s="18">
        <f>'Grid_Stock'!J23</f>
        <v/>
      </c>
      <c r="R28" s="18">
        <f>'Grid_Stock'!K23</f>
        <v/>
      </c>
      <c r="S28" s="18">
        <f>'Grid_Stock'!L23</f>
        <v/>
      </c>
      <c r="T28" s="18">
        <f>'Grid_Stock'!M23</f>
        <v/>
      </c>
      <c r="U28" s="18">
        <f>'Grid_Stock'!N23</f>
        <v/>
      </c>
      <c r="V28" s="18">
        <f>'Grid_Stock'!O23</f>
        <v/>
      </c>
      <c r="W28" s="18">
        <f>'Grid_Stock'!P23</f>
        <v/>
      </c>
      <c r="X28" s="18">
        <f>'Grid_Stock'!Q23</f>
        <v/>
      </c>
      <c r="Y28" s="18">
        <f>'Grid_Stock'!R23</f>
        <v/>
      </c>
      <c r="Z28" s="18">
        <f>'Grid_Stock'!S23</f>
        <v/>
      </c>
      <c r="AA28" s="18">
        <f>'Grid_Stock'!T23</f>
        <v/>
      </c>
      <c r="AB28" s="18">
        <f>'Grid_Stock'!U23</f>
        <v/>
      </c>
      <c r="AC28" s="18">
        <f>'Grid_Stock'!V23</f>
        <v/>
      </c>
      <c r="AD28" s="18">
        <f>'Grid_Stock'!W23</f>
        <v/>
      </c>
      <c r="AE28" s="18">
        <f>'Grid_Stock'!X23</f>
        <v/>
      </c>
      <c r="AF28" s="18">
        <f>'Grid_Stock'!Y23</f>
        <v/>
      </c>
      <c r="AG28" s="18">
        <f>'Grid_Stock'!Z23</f>
        <v/>
      </c>
      <c r="AH28" s="18">
        <f>'Grid_Stock'!AA23</f>
        <v/>
      </c>
      <c r="AI28" s="18">
        <f>'Grid_Stock'!AB23</f>
        <v/>
      </c>
      <c r="AJ28" s="18">
        <f>'Grid_Stock'!AC23</f>
        <v/>
      </c>
      <c r="AK28" s="18">
        <f>'Grid_Stock'!AD23</f>
        <v/>
      </c>
      <c r="AL28" s="18">
        <f>'Grid_Stock'!AE23</f>
        <v/>
      </c>
      <c r="AM28" s="18">
        <f>'Grid_Stock'!AF23</f>
        <v/>
      </c>
      <c r="AN28" s="18">
        <f>'Grid_Stock'!AG23</f>
        <v/>
      </c>
      <c r="AO28" s="18">
        <f>'Grid_Stock'!AH23</f>
        <v/>
      </c>
      <c r="AP28" s="18">
        <f>'Grid_Stock'!AI23</f>
        <v/>
      </c>
      <c r="AQ28" s="18">
        <f>'Grid_Stock'!AJ23</f>
        <v/>
      </c>
      <c r="AR28" s="18">
        <f>'Grid_Stock'!AK23</f>
        <v/>
      </c>
      <c r="AS28" s="18">
        <f>'Grid_Stock'!AL23</f>
        <v/>
      </c>
      <c r="AT28" s="18">
        <f>'Grid_Stock'!AM23</f>
        <v/>
      </c>
      <c r="AU28" s="18">
        <f>'Grid_Stock'!AN23</f>
        <v/>
      </c>
      <c r="AV28" s="18">
        <f>'Grid_Stock'!AO23</f>
        <v/>
      </c>
      <c r="AW28" s="18">
        <f>'Grid_Stock'!AP23</f>
        <v/>
      </c>
      <c r="AX28" s="18">
        <f>'Grid_Stock'!AQ23</f>
        <v/>
      </c>
      <c r="AY28" s="18">
        <f>'Grid_Stock'!AR23</f>
        <v/>
      </c>
      <c r="AZ28" s="18">
        <f>'Grid_Stock'!AS23</f>
        <v/>
      </c>
      <c r="BA28" s="18">
        <f>'Grid_Stock'!AT23</f>
        <v/>
      </c>
      <c r="BB28" s="18">
        <f>'Grid_Stock'!AU23</f>
        <v/>
      </c>
      <c r="BC28" s="18">
        <f>'Grid_Stock'!AV23</f>
        <v/>
      </c>
      <c r="BD28" s="18">
        <f>'Grid_Stock'!AW23</f>
        <v/>
      </c>
      <c r="BE28" s="18">
        <f>'Grid_Stock'!AX23</f>
        <v/>
      </c>
      <c r="BF28" s="18">
        <f>'Grid_Stock'!AY23</f>
        <v/>
      </c>
      <c r="BG28" s="18">
        <f>'Grid_Stock'!AZ23</f>
        <v/>
      </c>
      <c r="BH28" s="18">
        <f>'Grid_Stock'!BA23</f>
        <v/>
      </c>
      <c r="BI28" s="18">
        <f>'Grid_Stock'!BB23</f>
        <v/>
      </c>
      <c r="BJ28" s="18">
        <f>'Grid_Stock'!BC23</f>
        <v/>
      </c>
      <c r="BK28" s="18">
        <f>'Grid_Stock'!BD23</f>
        <v/>
      </c>
      <c r="BL28" s="18">
        <f>'Grid_Stock'!BE23</f>
        <v/>
      </c>
      <c r="BM28" s="18">
        <f>'Grid_Stock'!BF23</f>
        <v/>
      </c>
      <c r="BN28" s="18">
        <f>'Grid_Stock'!BG23</f>
        <v/>
      </c>
      <c r="BO28" s="18">
        <f>'Grid_Stock'!BH23</f>
        <v/>
      </c>
      <c r="BP28" s="18">
        <f>'Grid_Stock'!BI23</f>
        <v/>
      </c>
      <c r="BQ28" s="18">
        <f>'Grid_Stock'!BJ23</f>
        <v/>
      </c>
      <c r="BR28" s="18">
        <f>'Grid_Stock'!BK23</f>
        <v/>
      </c>
      <c r="BS28" s="18">
        <f>'Grid_Stock'!BL23</f>
        <v/>
      </c>
      <c r="BT28" s="18">
        <f>'Grid_Stock'!BM23</f>
        <v/>
      </c>
      <c r="BU28" s="18">
        <f>'Grid_Stock'!BN23</f>
        <v/>
      </c>
      <c r="BV28" s="18">
        <f>'Grid_Stock'!BO23</f>
        <v/>
      </c>
      <c r="BW28" s="18">
        <f>'Grid_Stock'!BP23</f>
        <v/>
      </c>
      <c r="BX28" s="18">
        <f>'Grid_Stock'!BQ23</f>
        <v/>
      </c>
      <c r="BY28" s="18">
        <f>'Grid_Stock'!BR23</f>
        <v/>
      </c>
      <c r="BZ28" s="18">
        <f>'Grid_Stock'!BS23</f>
        <v/>
      </c>
      <c r="CA28" s="18">
        <f>'Grid_Stock'!BT23</f>
        <v/>
      </c>
      <c r="CB28" s="18">
        <f>'Grid_Stock'!BU23</f>
        <v/>
      </c>
      <c r="CC28" s="18">
        <f>'Grid_Stock'!BV23</f>
        <v/>
      </c>
      <c r="CD28" s="18">
        <f>'Grid_Stock'!BW23</f>
        <v/>
      </c>
      <c r="CE28" s="18">
        <f>'Grid_Stock'!BX23</f>
        <v/>
      </c>
      <c r="CF28" s="18">
        <f>'Grid_Stock'!BY23</f>
        <v/>
      </c>
      <c r="CG28" s="18">
        <f>'Grid_Stock'!BZ23</f>
        <v/>
      </c>
      <c r="CH28" s="18">
        <f>'Grid_Stock'!CA23</f>
        <v/>
      </c>
      <c r="CI28" s="18">
        <f>'Grid_Stock'!CB23</f>
        <v/>
      </c>
      <c r="CJ28" s="18">
        <f>'Grid_Stock'!CC23</f>
        <v/>
      </c>
      <c r="CK28" s="18">
        <f>'Grid_Stock'!CD23</f>
        <v/>
      </c>
      <c r="CL28" s="18">
        <f>'Grid_Stock'!CE23</f>
        <v/>
      </c>
      <c r="CM28" s="18">
        <f>'Grid_Stock'!CF23</f>
        <v/>
      </c>
      <c r="CN28" s="18">
        <f>'Grid_Stock'!CG23</f>
        <v/>
      </c>
      <c r="CO28" s="18">
        <f>'Grid_Stock'!CH23</f>
        <v/>
      </c>
      <c r="CP28" s="18">
        <f>'Grid_Stock'!CI23</f>
        <v/>
      </c>
      <c r="CQ28" s="18">
        <f>'Grid_Stock'!CJ23</f>
        <v/>
      </c>
      <c r="CR28" s="18">
        <f>'Grid_Stock'!CK23</f>
        <v/>
      </c>
      <c r="CS28" s="18">
        <f>'Grid_Stock'!CL23</f>
        <v/>
      </c>
      <c r="CT28" s="18">
        <f>'Grid_Stock'!CM23</f>
        <v/>
      </c>
      <c r="CU28" s="18">
        <f>'Grid_Stock'!CN23</f>
        <v/>
      </c>
      <c r="CV28" s="18">
        <f>'Grid_Stock'!CO23</f>
        <v/>
      </c>
      <c r="CW28" s="18">
        <f>'Grid_Stock'!CP23</f>
        <v/>
      </c>
      <c r="CX28" s="18">
        <f>'Grid_Stock'!CQ23</f>
        <v/>
      </c>
      <c r="CY28" s="18">
        <f>'Grid_Stock'!CR23</f>
        <v/>
      </c>
      <c r="CZ28" s="18">
        <f>'Grid_Stock'!CS23</f>
        <v/>
      </c>
      <c r="DA28" s="18">
        <f>'Grid_Stock'!CT23</f>
        <v/>
      </c>
      <c r="DB28" s="18">
        <f>'Grid_Stock'!CU23</f>
        <v/>
      </c>
      <c r="DC28" s="18">
        <f>'Grid_Stock'!CV23</f>
        <v/>
      </c>
      <c r="DD28" s="18">
        <f>'Grid_Stock'!CW23</f>
        <v/>
      </c>
      <c r="DE28" s="18">
        <f>'Grid_Stock'!CX23</f>
        <v/>
      </c>
      <c r="DF28" s="18">
        <f>'Grid_Stock'!CY23</f>
        <v/>
      </c>
      <c r="DG28" s="18">
        <f>'Grid_Stock'!CZ23</f>
        <v/>
      </c>
      <c r="DH28" s="18">
        <f>'Grid_Stock'!DA23</f>
        <v/>
      </c>
    </row>
    <row r="29">
      <c r="A29" s="17" t="inlineStr">
        <is>
          <t>Original Towel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IFERROR(LOOKUP(2,1/('T_SelfStock'!$B$28:$DA$28&lt;&gt;""),'T_SelfStock'!$B$28:$DA$28),"")</f>
        <v/>
      </c>
      <c r="G29" s="17">
        <f>IFERROR(LOOKUP(2,1/('T_TTAFStock'!$B$28:$DA$28&lt;&gt;""),'T_TTAFStock'!$B$28:$DA$28),"")</f>
        <v/>
      </c>
      <c r="H29" s="17">
        <f>IFERROR(LOOKUP(2,1/('T_SelfStock'!$B$28:$DA$28&lt;&gt;""),'T_SelfStock'!$B$5:$DA$5),"")</f>
        <v/>
      </c>
      <c r="I29" s="17">
        <f>'Grid_Stock'!B24</f>
        <v/>
      </c>
      <c r="J29" s="17">
        <f>'Grid_Stock'!C24</f>
        <v/>
      </c>
      <c r="K29" s="17">
        <f>'Grid_Stock'!D24</f>
        <v/>
      </c>
      <c r="L29" s="17">
        <f>'Grid_Stock'!E24</f>
        <v/>
      </c>
      <c r="M29" s="17">
        <f>'Grid_Stock'!F24</f>
        <v/>
      </c>
      <c r="N29" s="17">
        <f>'Grid_Stock'!G24</f>
        <v/>
      </c>
      <c r="O29" s="17">
        <f>'Grid_Stock'!H24</f>
        <v/>
      </c>
      <c r="P29" s="17">
        <f>'Grid_Stock'!I24</f>
        <v/>
      </c>
      <c r="Q29" s="17">
        <f>'Grid_Stock'!J24</f>
        <v/>
      </c>
      <c r="R29" s="17">
        <f>'Grid_Stock'!K24</f>
        <v/>
      </c>
      <c r="S29" s="17">
        <f>'Grid_Stock'!L24</f>
        <v/>
      </c>
      <c r="T29" s="17">
        <f>'Grid_Stock'!M24</f>
        <v/>
      </c>
      <c r="U29" s="17">
        <f>'Grid_Stock'!N24</f>
        <v/>
      </c>
      <c r="V29" s="17">
        <f>'Grid_Stock'!O24</f>
        <v/>
      </c>
      <c r="W29" s="17">
        <f>'Grid_Stock'!P24</f>
        <v/>
      </c>
      <c r="X29" s="17">
        <f>'Grid_Stock'!Q24</f>
        <v/>
      </c>
      <c r="Y29" s="17">
        <f>'Grid_Stock'!R24</f>
        <v/>
      </c>
      <c r="Z29" s="17">
        <f>'Grid_Stock'!S24</f>
        <v/>
      </c>
      <c r="AA29" s="17">
        <f>'Grid_Stock'!T24</f>
        <v/>
      </c>
      <c r="AB29" s="17">
        <f>'Grid_Stock'!U24</f>
        <v/>
      </c>
      <c r="AC29" s="17">
        <f>'Grid_Stock'!V24</f>
        <v/>
      </c>
      <c r="AD29" s="17">
        <f>'Grid_Stock'!W24</f>
        <v/>
      </c>
      <c r="AE29" s="17">
        <f>'Grid_Stock'!X24</f>
        <v/>
      </c>
      <c r="AF29" s="17">
        <f>'Grid_Stock'!Y24</f>
        <v/>
      </c>
      <c r="AG29" s="17">
        <f>'Grid_Stock'!Z24</f>
        <v/>
      </c>
      <c r="AH29" s="17">
        <f>'Grid_Stock'!AA24</f>
        <v/>
      </c>
      <c r="AI29" s="17">
        <f>'Grid_Stock'!AB24</f>
        <v/>
      </c>
      <c r="AJ29" s="17">
        <f>'Grid_Stock'!AC24</f>
        <v/>
      </c>
      <c r="AK29" s="17">
        <f>'Grid_Stock'!AD24</f>
        <v/>
      </c>
      <c r="AL29" s="17">
        <f>'Grid_Stock'!AE24</f>
        <v/>
      </c>
      <c r="AM29" s="17">
        <f>'Grid_Stock'!AF24</f>
        <v/>
      </c>
      <c r="AN29" s="17">
        <f>'Grid_Stock'!AG24</f>
        <v/>
      </c>
      <c r="AO29" s="17">
        <f>'Grid_Stock'!AH24</f>
        <v/>
      </c>
      <c r="AP29" s="17">
        <f>'Grid_Stock'!AI24</f>
        <v/>
      </c>
      <c r="AQ29" s="17">
        <f>'Grid_Stock'!AJ24</f>
        <v/>
      </c>
      <c r="AR29" s="17">
        <f>'Grid_Stock'!AK24</f>
        <v/>
      </c>
      <c r="AS29" s="17">
        <f>'Grid_Stock'!AL24</f>
        <v/>
      </c>
      <c r="AT29" s="17">
        <f>'Grid_Stock'!AM24</f>
        <v/>
      </c>
      <c r="AU29" s="17">
        <f>'Grid_Stock'!AN24</f>
        <v/>
      </c>
      <c r="AV29" s="17">
        <f>'Grid_Stock'!AO24</f>
        <v/>
      </c>
      <c r="AW29" s="17">
        <f>'Grid_Stock'!AP24</f>
        <v/>
      </c>
      <c r="AX29" s="17">
        <f>'Grid_Stock'!AQ24</f>
        <v/>
      </c>
      <c r="AY29" s="17">
        <f>'Grid_Stock'!AR24</f>
        <v/>
      </c>
      <c r="AZ29" s="17">
        <f>'Grid_Stock'!AS24</f>
        <v/>
      </c>
      <c r="BA29" s="17">
        <f>'Grid_Stock'!AT24</f>
        <v/>
      </c>
      <c r="BB29" s="17">
        <f>'Grid_Stock'!AU24</f>
        <v/>
      </c>
      <c r="BC29" s="17">
        <f>'Grid_Stock'!AV24</f>
        <v/>
      </c>
      <c r="BD29" s="17">
        <f>'Grid_Stock'!AW24</f>
        <v/>
      </c>
      <c r="BE29" s="17">
        <f>'Grid_Stock'!AX24</f>
        <v/>
      </c>
      <c r="BF29" s="17">
        <f>'Grid_Stock'!AY24</f>
        <v/>
      </c>
      <c r="BG29" s="17">
        <f>'Grid_Stock'!AZ24</f>
        <v/>
      </c>
      <c r="BH29" s="17">
        <f>'Grid_Stock'!BA24</f>
        <v/>
      </c>
      <c r="BI29" s="17">
        <f>'Grid_Stock'!BB24</f>
        <v/>
      </c>
      <c r="BJ29" s="17">
        <f>'Grid_Stock'!BC24</f>
        <v/>
      </c>
      <c r="BK29" s="17">
        <f>'Grid_Stock'!BD24</f>
        <v/>
      </c>
      <c r="BL29" s="17">
        <f>'Grid_Stock'!BE24</f>
        <v/>
      </c>
      <c r="BM29" s="17">
        <f>'Grid_Stock'!BF24</f>
        <v/>
      </c>
      <c r="BN29" s="17">
        <f>'Grid_Stock'!BG24</f>
        <v/>
      </c>
      <c r="BO29" s="17">
        <f>'Grid_Stock'!BH24</f>
        <v/>
      </c>
      <c r="BP29" s="17">
        <f>'Grid_Stock'!BI24</f>
        <v/>
      </c>
      <c r="BQ29" s="17">
        <f>'Grid_Stock'!BJ24</f>
        <v/>
      </c>
      <c r="BR29" s="17">
        <f>'Grid_Stock'!BK24</f>
        <v/>
      </c>
      <c r="BS29" s="17">
        <f>'Grid_Stock'!BL24</f>
        <v/>
      </c>
      <c r="BT29" s="17">
        <f>'Grid_Stock'!BM24</f>
        <v/>
      </c>
      <c r="BU29" s="17">
        <f>'Grid_Stock'!BN24</f>
        <v/>
      </c>
      <c r="BV29" s="17">
        <f>'Grid_Stock'!BO24</f>
        <v/>
      </c>
      <c r="BW29" s="17">
        <f>'Grid_Stock'!BP24</f>
        <v/>
      </c>
      <c r="BX29" s="17">
        <f>'Grid_Stock'!BQ24</f>
        <v/>
      </c>
      <c r="BY29" s="17">
        <f>'Grid_Stock'!BR24</f>
        <v/>
      </c>
      <c r="BZ29" s="17">
        <f>'Grid_Stock'!BS24</f>
        <v/>
      </c>
      <c r="CA29" s="17">
        <f>'Grid_Stock'!BT24</f>
        <v/>
      </c>
      <c r="CB29" s="17">
        <f>'Grid_Stock'!BU24</f>
        <v/>
      </c>
      <c r="CC29" s="17">
        <f>'Grid_Stock'!BV24</f>
        <v/>
      </c>
      <c r="CD29" s="17">
        <f>'Grid_Stock'!BW24</f>
        <v/>
      </c>
      <c r="CE29" s="17">
        <f>'Grid_Stock'!BX24</f>
        <v/>
      </c>
      <c r="CF29" s="17">
        <f>'Grid_Stock'!BY24</f>
        <v/>
      </c>
      <c r="CG29" s="17">
        <f>'Grid_Stock'!BZ24</f>
        <v/>
      </c>
      <c r="CH29" s="17">
        <f>'Grid_Stock'!CA24</f>
        <v/>
      </c>
      <c r="CI29" s="17">
        <f>'Grid_Stock'!CB24</f>
        <v/>
      </c>
      <c r="CJ29" s="17">
        <f>'Grid_Stock'!CC24</f>
        <v/>
      </c>
      <c r="CK29" s="17">
        <f>'Grid_Stock'!CD24</f>
        <v/>
      </c>
      <c r="CL29" s="17">
        <f>'Grid_Stock'!CE24</f>
        <v/>
      </c>
      <c r="CM29" s="17">
        <f>'Grid_Stock'!CF24</f>
        <v/>
      </c>
      <c r="CN29" s="17">
        <f>'Grid_Stock'!CG24</f>
        <v/>
      </c>
      <c r="CO29" s="17">
        <f>'Grid_Stock'!CH24</f>
        <v/>
      </c>
      <c r="CP29" s="17">
        <f>'Grid_Stock'!CI24</f>
        <v/>
      </c>
      <c r="CQ29" s="17">
        <f>'Grid_Stock'!CJ24</f>
        <v/>
      </c>
      <c r="CR29" s="17">
        <f>'Grid_Stock'!CK24</f>
        <v/>
      </c>
      <c r="CS29" s="17">
        <f>'Grid_Stock'!CL24</f>
        <v/>
      </c>
      <c r="CT29" s="17">
        <f>'Grid_Stock'!CM24</f>
        <v/>
      </c>
      <c r="CU29" s="17">
        <f>'Grid_Stock'!CN24</f>
        <v/>
      </c>
      <c r="CV29" s="17">
        <f>'Grid_Stock'!CO24</f>
        <v/>
      </c>
      <c r="CW29" s="17">
        <f>'Grid_Stock'!CP24</f>
        <v/>
      </c>
      <c r="CX29" s="17">
        <f>'Grid_Stock'!CQ24</f>
        <v/>
      </c>
      <c r="CY29" s="17">
        <f>'Grid_Stock'!CR24</f>
        <v/>
      </c>
      <c r="CZ29" s="17">
        <f>'Grid_Stock'!CS24</f>
        <v/>
      </c>
      <c r="DA29" s="17">
        <f>'Grid_Stock'!CT24</f>
        <v/>
      </c>
      <c r="DB29" s="17">
        <f>'Grid_Stock'!CU24</f>
        <v/>
      </c>
      <c r="DC29" s="17">
        <f>'Grid_Stock'!CV24</f>
        <v/>
      </c>
      <c r="DD29" s="17">
        <f>'Grid_Stock'!CW24</f>
        <v/>
      </c>
      <c r="DE29" s="17">
        <f>'Grid_Stock'!CX24</f>
        <v/>
      </c>
      <c r="DF29" s="17">
        <f>'Grid_Stock'!CY24</f>
        <v/>
      </c>
      <c r="DG29" s="17">
        <f>'Grid_Stock'!CZ24</f>
        <v/>
      </c>
      <c r="DH29" s="17">
        <f>'Grid_Stock'!DA24</f>
        <v/>
      </c>
    </row>
    <row r="30">
      <c r="A30" s="18" t="inlineStr">
        <is>
          <t>CHEM-1200</t>
        </is>
      </c>
      <c r="B30" s="18">
        <f>IFERROR(INDEX(M_RawMaterials[Description],MATCH($A30,M_RawMaterials[Part Name],0)),"")</f>
        <v/>
      </c>
      <c r="C30" s="18">
        <f>IFERROR(INDEX(M_RawMaterials[Category],MATCH($A30,M_RawMaterials[Part Name],0)),"")</f>
        <v/>
      </c>
      <c r="D30" s="18">
        <f>IFERROR(INDEX(M_RawMaterials[基準在庫下限_要入力],MATCH($A30,M_RawMaterials[Part Name],0)),0)</f>
        <v/>
      </c>
      <c r="E30" s="18">
        <f>IFERROR(INDEX(M_RawMaterials[基準在庫上限_要入力],MATCH($A30,M_RawMaterials[Part Name],0)),0)</f>
        <v/>
      </c>
      <c r="F30" s="18">
        <f>IFERROR(LOOKUP(2,1/('T_SelfStock'!$B$29:$DA$29&lt;&gt;""),'T_SelfStock'!$B$29:$DA$29),"")</f>
        <v/>
      </c>
      <c r="G30" s="18">
        <f>IFERROR(LOOKUP(2,1/('T_TTAFStock'!$B$29:$DA$29&lt;&gt;""),'T_TTAFStock'!$B$29:$DA$29),"")</f>
        <v/>
      </c>
      <c r="H30" s="18">
        <f>IFERROR(LOOKUP(2,1/('T_SelfStock'!$B$29:$DA$29&lt;&gt;""),'T_SelfStock'!$B$5:$DA$5),"")</f>
        <v/>
      </c>
      <c r="I30" s="18">
        <f>'Grid_Stock'!B25</f>
        <v/>
      </c>
      <c r="J30" s="18">
        <f>'Grid_Stock'!C25</f>
        <v/>
      </c>
      <c r="K30" s="18">
        <f>'Grid_Stock'!D25</f>
        <v/>
      </c>
      <c r="L30" s="18">
        <f>'Grid_Stock'!E25</f>
        <v/>
      </c>
      <c r="M30" s="18">
        <f>'Grid_Stock'!F25</f>
        <v/>
      </c>
      <c r="N30" s="18">
        <f>'Grid_Stock'!G25</f>
        <v/>
      </c>
      <c r="O30" s="18">
        <f>'Grid_Stock'!H25</f>
        <v/>
      </c>
      <c r="P30" s="18">
        <f>'Grid_Stock'!I25</f>
        <v/>
      </c>
      <c r="Q30" s="18">
        <f>'Grid_Stock'!J25</f>
        <v/>
      </c>
      <c r="R30" s="18">
        <f>'Grid_Stock'!K25</f>
        <v/>
      </c>
      <c r="S30" s="18">
        <f>'Grid_Stock'!L25</f>
        <v/>
      </c>
      <c r="T30" s="18">
        <f>'Grid_Stock'!M25</f>
        <v/>
      </c>
      <c r="U30" s="18">
        <f>'Grid_Stock'!N25</f>
        <v/>
      </c>
      <c r="V30" s="18">
        <f>'Grid_Stock'!O25</f>
        <v/>
      </c>
      <c r="W30" s="18">
        <f>'Grid_Stock'!P25</f>
        <v/>
      </c>
      <c r="X30" s="18">
        <f>'Grid_Stock'!Q25</f>
        <v/>
      </c>
      <c r="Y30" s="18">
        <f>'Grid_Stock'!R25</f>
        <v/>
      </c>
      <c r="Z30" s="18">
        <f>'Grid_Stock'!S25</f>
        <v/>
      </c>
      <c r="AA30" s="18">
        <f>'Grid_Stock'!T25</f>
        <v/>
      </c>
      <c r="AB30" s="18">
        <f>'Grid_Stock'!U25</f>
        <v/>
      </c>
      <c r="AC30" s="18">
        <f>'Grid_Stock'!V25</f>
        <v/>
      </c>
      <c r="AD30" s="18">
        <f>'Grid_Stock'!W25</f>
        <v/>
      </c>
      <c r="AE30" s="18">
        <f>'Grid_Stock'!X25</f>
        <v/>
      </c>
      <c r="AF30" s="18">
        <f>'Grid_Stock'!Y25</f>
        <v/>
      </c>
      <c r="AG30" s="18">
        <f>'Grid_Stock'!Z25</f>
        <v/>
      </c>
      <c r="AH30" s="18">
        <f>'Grid_Stock'!AA25</f>
        <v/>
      </c>
      <c r="AI30" s="18">
        <f>'Grid_Stock'!AB25</f>
        <v/>
      </c>
      <c r="AJ30" s="18">
        <f>'Grid_Stock'!AC25</f>
        <v/>
      </c>
      <c r="AK30" s="18">
        <f>'Grid_Stock'!AD25</f>
        <v/>
      </c>
      <c r="AL30" s="18">
        <f>'Grid_Stock'!AE25</f>
        <v/>
      </c>
      <c r="AM30" s="18">
        <f>'Grid_Stock'!AF25</f>
        <v/>
      </c>
      <c r="AN30" s="18">
        <f>'Grid_Stock'!AG25</f>
        <v/>
      </c>
      <c r="AO30" s="18">
        <f>'Grid_Stock'!AH25</f>
        <v/>
      </c>
      <c r="AP30" s="18">
        <f>'Grid_Stock'!AI25</f>
        <v/>
      </c>
      <c r="AQ30" s="18">
        <f>'Grid_Stock'!AJ25</f>
        <v/>
      </c>
      <c r="AR30" s="18">
        <f>'Grid_Stock'!AK25</f>
        <v/>
      </c>
      <c r="AS30" s="18">
        <f>'Grid_Stock'!AL25</f>
        <v/>
      </c>
      <c r="AT30" s="18">
        <f>'Grid_Stock'!AM25</f>
        <v/>
      </c>
      <c r="AU30" s="18">
        <f>'Grid_Stock'!AN25</f>
        <v/>
      </c>
      <c r="AV30" s="18">
        <f>'Grid_Stock'!AO25</f>
        <v/>
      </c>
      <c r="AW30" s="18">
        <f>'Grid_Stock'!AP25</f>
        <v/>
      </c>
      <c r="AX30" s="18">
        <f>'Grid_Stock'!AQ25</f>
        <v/>
      </c>
      <c r="AY30" s="18">
        <f>'Grid_Stock'!AR25</f>
        <v/>
      </c>
      <c r="AZ30" s="18">
        <f>'Grid_Stock'!AS25</f>
        <v/>
      </c>
      <c r="BA30" s="18">
        <f>'Grid_Stock'!AT25</f>
        <v/>
      </c>
      <c r="BB30" s="18">
        <f>'Grid_Stock'!AU25</f>
        <v/>
      </c>
      <c r="BC30" s="18">
        <f>'Grid_Stock'!AV25</f>
        <v/>
      </c>
      <c r="BD30" s="18">
        <f>'Grid_Stock'!AW25</f>
        <v/>
      </c>
      <c r="BE30" s="18">
        <f>'Grid_Stock'!AX25</f>
        <v/>
      </c>
      <c r="BF30" s="18">
        <f>'Grid_Stock'!AY25</f>
        <v/>
      </c>
      <c r="BG30" s="18">
        <f>'Grid_Stock'!AZ25</f>
        <v/>
      </c>
      <c r="BH30" s="18">
        <f>'Grid_Stock'!BA25</f>
        <v/>
      </c>
      <c r="BI30" s="18">
        <f>'Grid_Stock'!BB25</f>
        <v/>
      </c>
      <c r="BJ30" s="18">
        <f>'Grid_Stock'!BC25</f>
        <v/>
      </c>
      <c r="BK30" s="18">
        <f>'Grid_Stock'!BD25</f>
        <v/>
      </c>
      <c r="BL30" s="18">
        <f>'Grid_Stock'!BE25</f>
        <v/>
      </c>
      <c r="BM30" s="18">
        <f>'Grid_Stock'!BF25</f>
        <v/>
      </c>
      <c r="BN30" s="18">
        <f>'Grid_Stock'!BG25</f>
        <v/>
      </c>
      <c r="BO30" s="18">
        <f>'Grid_Stock'!BH25</f>
        <v/>
      </c>
      <c r="BP30" s="18">
        <f>'Grid_Stock'!BI25</f>
        <v/>
      </c>
      <c r="BQ30" s="18">
        <f>'Grid_Stock'!BJ25</f>
        <v/>
      </c>
      <c r="BR30" s="18">
        <f>'Grid_Stock'!BK25</f>
        <v/>
      </c>
      <c r="BS30" s="18">
        <f>'Grid_Stock'!BL25</f>
        <v/>
      </c>
      <c r="BT30" s="18">
        <f>'Grid_Stock'!BM25</f>
        <v/>
      </c>
      <c r="BU30" s="18">
        <f>'Grid_Stock'!BN25</f>
        <v/>
      </c>
      <c r="BV30" s="18">
        <f>'Grid_Stock'!BO25</f>
        <v/>
      </c>
      <c r="BW30" s="18">
        <f>'Grid_Stock'!BP25</f>
        <v/>
      </c>
      <c r="BX30" s="18">
        <f>'Grid_Stock'!BQ25</f>
        <v/>
      </c>
      <c r="BY30" s="18">
        <f>'Grid_Stock'!BR25</f>
        <v/>
      </c>
      <c r="BZ30" s="18">
        <f>'Grid_Stock'!BS25</f>
        <v/>
      </c>
      <c r="CA30" s="18">
        <f>'Grid_Stock'!BT25</f>
        <v/>
      </c>
      <c r="CB30" s="18">
        <f>'Grid_Stock'!BU25</f>
        <v/>
      </c>
      <c r="CC30" s="18">
        <f>'Grid_Stock'!BV25</f>
        <v/>
      </c>
      <c r="CD30" s="18">
        <f>'Grid_Stock'!BW25</f>
        <v/>
      </c>
      <c r="CE30" s="18">
        <f>'Grid_Stock'!BX25</f>
        <v/>
      </c>
      <c r="CF30" s="18">
        <f>'Grid_Stock'!BY25</f>
        <v/>
      </c>
      <c r="CG30" s="18">
        <f>'Grid_Stock'!BZ25</f>
        <v/>
      </c>
      <c r="CH30" s="18">
        <f>'Grid_Stock'!CA25</f>
        <v/>
      </c>
      <c r="CI30" s="18">
        <f>'Grid_Stock'!CB25</f>
        <v/>
      </c>
      <c r="CJ30" s="18">
        <f>'Grid_Stock'!CC25</f>
        <v/>
      </c>
      <c r="CK30" s="18">
        <f>'Grid_Stock'!CD25</f>
        <v/>
      </c>
      <c r="CL30" s="18">
        <f>'Grid_Stock'!CE25</f>
        <v/>
      </c>
      <c r="CM30" s="18">
        <f>'Grid_Stock'!CF25</f>
        <v/>
      </c>
      <c r="CN30" s="18">
        <f>'Grid_Stock'!CG25</f>
        <v/>
      </c>
      <c r="CO30" s="18">
        <f>'Grid_Stock'!CH25</f>
        <v/>
      </c>
      <c r="CP30" s="18">
        <f>'Grid_Stock'!CI25</f>
        <v/>
      </c>
      <c r="CQ30" s="18">
        <f>'Grid_Stock'!CJ25</f>
        <v/>
      </c>
      <c r="CR30" s="18">
        <f>'Grid_Stock'!CK25</f>
        <v/>
      </c>
      <c r="CS30" s="18">
        <f>'Grid_Stock'!CL25</f>
        <v/>
      </c>
      <c r="CT30" s="18">
        <f>'Grid_Stock'!CM25</f>
        <v/>
      </c>
      <c r="CU30" s="18">
        <f>'Grid_Stock'!CN25</f>
        <v/>
      </c>
      <c r="CV30" s="18">
        <f>'Grid_Stock'!CO25</f>
        <v/>
      </c>
      <c r="CW30" s="18">
        <f>'Grid_Stock'!CP25</f>
        <v/>
      </c>
      <c r="CX30" s="18">
        <f>'Grid_Stock'!CQ25</f>
        <v/>
      </c>
      <c r="CY30" s="18">
        <f>'Grid_Stock'!CR25</f>
        <v/>
      </c>
      <c r="CZ30" s="18">
        <f>'Grid_Stock'!CS25</f>
        <v/>
      </c>
      <c r="DA30" s="18">
        <f>'Grid_Stock'!CT25</f>
        <v/>
      </c>
      <c r="DB30" s="18">
        <f>'Grid_Stock'!CU25</f>
        <v/>
      </c>
      <c r="DC30" s="18">
        <f>'Grid_Stock'!CV25</f>
        <v/>
      </c>
      <c r="DD30" s="18">
        <f>'Grid_Stock'!CW25</f>
        <v/>
      </c>
      <c r="DE30" s="18">
        <f>'Grid_Stock'!CX25</f>
        <v/>
      </c>
      <c r="DF30" s="18">
        <f>'Grid_Stock'!CY25</f>
        <v/>
      </c>
      <c r="DG30" s="18">
        <f>'Grid_Stock'!CZ25</f>
        <v/>
      </c>
      <c r="DH30" s="18">
        <f>'Grid_Stock'!DA25</f>
        <v/>
      </c>
    </row>
    <row r="31">
      <c r="A31" s="17" t="inlineStr">
        <is>
          <t>CHEM-1830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IFERROR(LOOKUP(2,1/('T_SelfStock'!$B$30:$DA$30&lt;&gt;""),'T_SelfStock'!$B$30:$DA$30),"")</f>
        <v/>
      </c>
      <c r="G31" s="17">
        <f>IFERROR(LOOKUP(2,1/('T_TTAFStock'!$B$30:$DA$30&lt;&gt;""),'T_TTAFStock'!$B$30:$DA$30),"")</f>
        <v/>
      </c>
      <c r="H31" s="17">
        <f>IFERROR(LOOKUP(2,1/('T_SelfStock'!$B$30:$DA$30&lt;&gt;""),'T_SelfStock'!$B$5:$DA$5),"")</f>
        <v/>
      </c>
      <c r="I31" s="17">
        <f>'Grid_Stock'!B26</f>
        <v/>
      </c>
      <c r="J31" s="17">
        <f>'Grid_Stock'!C26</f>
        <v/>
      </c>
      <c r="K31" s="17">
        <f>'Grid_Stock'!D26</f>
        <v/>
      </c>
      <c r="L31" s="17">
        <f>'Grid_Stock'!E26</f>
        <v/>
      </c>
      <c r="M31" s="17">
        <f>'Grid_Stock'!F26</f>
        <v/>
      </c>
      <c r="N31" s="17">
        <f>'Grid_Stock'!G26</f>
        <v/>
      </c>
      <c r="O31" s="17">
        <f>'Grid_Stock'!H26</f>
        <v/>
      </c>
      <c r="P31" s="17">
        <f>'Grid_Stock'!I26</f>
        <v/>
      </c>
      <c r="Q31" s="17">
        <f>'Grid_Stock'!J26</f>
        <v/>
      </c>
      <c r="R31" s="17">
        <f>'Grid_Stock'!K26</f>
        <v/>
      </c>
      <c r="S31" s="17">
        <f>'Grid_Stock'!L26</f>
        <v/>
      </c>
      <c r="T31" s="17">
        <f>'Grid_Stock'!M26</f>
        <v/>
      </c>
      <c r="U31" s="17">
        <f>'Grid_Stock'!N26</f>
        <v/>
      </c>
      <c r="V31" s="17">
        <f>'Grid_Stock'!O26</f>
        <v/>
      </c>
      <c r="W31" s="17">
        <f>'Grid_Stock'!P26</f>
        <v/>
      </c>
      <c r="X31" s="17">
        <f>'Grid_Stock'!Q26</f>
        <v/>
      </c>
      <c r="Y31" s="17">
        <f>'Grid_Stock'!R26</f>
        <v/>
      </c>
      <c r="Z31" s="17">
        <f>'Grid_Stock'!S26</f>
        <v/>
      </c>
      <c r="AA31" s="17">
        <f>'Grid_Stock'!T26</f>
        <v/>
      </c>
      <c r="AB31" s="17">
        <f>'Grid_Stock'!U26</f>
        <v/>
      </c>
      <c r="AC31" s="17">
        <f>'Grid_Stock'!V26</f>
        <v/>
      </c>
      <c r="AD31" s="17">
        <f>'Grid_Stock'!W26</f>
        <v/>
      </c>
      <c r="AE31" s="17">
        <f>'Grid_Stock'!X26</f>
        <v/>
      </c>
      <c r="AF31" s="17">
        <f>'Grid_Stock'!Y26</f>
        <v/>
      </c>
      <c r="AG31" s="17">
        <f>'Grid_Stock'!Z26</f>
        <v/>
      </c>
      <c r="AH31" s="17">
        <f>'Grid_Stock'!AA26</f>
        <v/>
      </c>
      <c r="AI31" s="17">
        <f>'Grid_Stock'!AB26</f>
        <v/>
      </c>
      <c r="AJ31" s="17">
        <f>'Grid_Stock'!AC26</f>
        <v/>
      </c>
      <c r="AK31" s="17">
        <f>'Grid_Stock'!AD26</f>
        <v/>
      </c>
      <c r="AL31" s="17">
        <f>'Grid_Stock'!AE26</f>
        <v/>
      </c>
      <c r="AM31" s="17">
        <f>'Grid_Stock'!AF26</f>
        <v/>
      </c>
      <c r="AN31" s="17">
        <f>'Grid_Stock'!AG26</f>
        <v/>
      </c>
      <c r="AO31" s="17">
        <f>'Grid_Stock'!AH26</f>
        <v/>
      </c>
      <c r="AP31" s="17">
        <f>'Grid_Stock'!AI26</f>
        <v/>
      </c>
      <c r="AQ31" s="17">
        <f>'Grid_Stock'!AJ26</f>
        <v/>
      </c>
      <c r="AR31" s="17">
        <f>'Grid_Stock'!AK26</f>
        <v/>
      </c>
      <c r="AS31" s="17">
        <f>'Grid_Stock'!AL26</f>
        <v/>
      </c>
      <c r="AT31" s="17">
        <f>'Grid_Stock'!AM26</f>
        <v/>
      </c>
      <c r="AU31" s="17">
        <f>'Grid_Stock'!AN26</f>
        <v/>
      </c>
      <c r="AV31" s="17">
        <f>'Grid_Stock'!AO26</f>
        <v/>
      </c>
      <c r="AW31" s="17">
        <f>'Grid_Stock'!AP26</f>
        <v/>
      </c>
      <c r="AX31" s="17">
        <f>'Grid_Stock'!AQ26</f>
        <v/>
      </c>
      <c r="AY31" s="17">
        <f>'Grid_Stock'!AR26</f>
        <v/>
      </c>
      <c r="AZ31" s="17">
        <f>'Grid_Stock'!AS26</f>
        <v/>
      </c>
      <c r="BA31" s="17">
        <f>'Grid_Stock'!AT26</f>
        <v/>
      </c>
      <c r="BB31" s="17">
        <f>'Grid_Stock'!AU26</f>
        <v/>
      </c>
      <c r="BC31" s="17">
        <f>'Grid_Stock'!AV26</f>
        <v/>
      </c>
      <c r="BD31" s="17">
        <f>'Grid_Stock'!AW26</f>
        <v/>
      </c>
      <c r="BE31" s="17">
        <f>'Grid_Stock'!AX26</f>
        <v/>
      </c>
      <c r="BF31" s="17">
        <f>'Grid_Stock'!AY26</f>
        <v/>
      </c>
      <c r="BG31" s="17">
        <f>'Grid_Stock'!AZ26</f>
        <v/>
      </c>
      <c r="BH31" s="17">
        <f>'Grid_Stock'!BA26</f>
        <v/>
      </c>
      <c r="BI31" s="17">
        <f>'Grid_Stock'!BB26</f>
        <v/>
      </c>
      <c r="BJ31" s="17">
        <f>'Grid_Stock'!BC26</f>
        <v/>
      </c>
      <c r="BK31" s="17">
        <f>'Grid_Stock'!BD26</f>
        <v/>
      </c>
      <c r="BL31" s="17">
        <f>'Grid_Stock'!BE26</f>
        <v/>
      </c>
      <c r="BM31" s="17">
        <f>'Grid_Stock'!BF26</f>
        <v/>
      </c>
      <c r="BN31" s="17">
        <f>'Grid_Stock'!BG26</f>
        <v/>
      </c>
      <c r="BO31" s="17">
        <f>'Grid_Stock'!BH26</f>
        <v/>
      </c>
      <c r="BP31" s="17">
        <f>'Grid_Stock'!BI26</f>
        <v/>
      </c>
      <c r="BQ31" s="17">
        <f>'Grid_Stock'!BJ26</f>
        <v/>
      </c>
      <c r="BR31" s="17">
        <f>'Grid_Stock'!BK26</f>
        <v/>
      </c>
      <c r="BS31" s="17">
        <f>'Grid_Stock'!BL26</f>
        <v/>
      </c>
      <c r="BT31" s="17">
        <f>'Grid_Stock'!BM26</f>
        <v/>
      </c>
      <c r="BU31" s="17">
        <f>'Grid_Stock'!BN26</f>
        <v/>
      </c>
      <c r="BV31" s="17">
        <f>'Grid_Stock'!BO26</f>
        <v/>
      </c>
      <c r="BW31" s="17">
        <f>'Grid_Stock'!BP26</f>
        <v/>
      </c>
      <c r="BX31" s="17">
        <f>'Grid_Stock'!BQ26</f>
        <v/>
      </c>
      <c r="BY31" s="17">
        <f>'Grid_Stock'!BR26</f>
        <v/>
      </c>
      <c r="BZ31" s="17">
        <f>'Grid_Stock'!BS26</f>
        <v/>
      </c>
      <c r="CA31" s="17">
        <f>'Grid_Stock'!BT26</f>
        <v/>
      </c>
      <c r="CB31" s="17">
        <f>'Grid_Stock'!BU26</f>
        <v/>
      </c>
      <c r="CC31" s="17">
        <f>'Grid_Stock'!BV26</f>
        <v/>
      </c>
      <c r="CD31" s="17">
        <f>'Grid_Stock'!BW26</f>
        <v/>
      </c>
      <c r="CE31" s="17">
        <f>'Grid_Stock'!BX26</f>
        <v/>
      </c>
      <c r="CF31" s="17">
        <f>'Grid_Stock'!BY26</f>
        <v/>
      </c>
      <c r="CG31" s="17">
        <f>'Grid_Stock'!BZ26</f>
        <v/>
      </c>
      <c r="CH31" s="17">
        <f>'Grid_Stock'!CA26</f>
        <v/>
      </c>
      <c r="CI31" s="17">
        <f>'Grid_Stock'!CB26</f>
        <v/>
      </c>
      <c r="CJ31" s="17">
        <f>'Grid_Stock'!CC26</f>
        <v/>
      </c>
      <c r="CK31" s="17">
        <f>'Grid_Stock'!CD26</f>
        <v/>
      </c>
      <c r="CL31" s="17">
        <f>'Grid_Stock'!CE26</f>
        <v/>
      </c>
      <c r="CM31" s="17">
        <f>'Grid_Stock'!CF26</f>
        <v/>
      </c>
      <c r="CN31" s="17">
        <f>'Grid_Stock'!CG26</f>
        <v/>
      </c>
      <c r="CO31" s="17">
        <f>'Grid_Stock'!CH26</f>
        <v/>
      </c>
      <c r="CP31" s="17">
        <f>'Grid_Stock'!CI26</f>
        <v/>
      </c>
      <c r="CQ31" s="17">
        <f>'Grid_Stock'!CJ26</f>
        <v/>
      </c>
      <c r="CR31" s="17">
        <f>'Grid_Stock'!CK26</f>
        <v/>
      </c>
      <c r="CS31" s="17">
        <f>'Grid_Stock'!CL26</f>
        <v/>
      </c>
      <c r="CT31" s="17">
        <f>'Grid_Stock'!CM26</f>
        <v/>
      </c>
      <c r="CU31" s="17">
        <f>'Grid_Stock'!CN26</f>
        <v/>
      </c>
      <c r="CV31" s="17">
        <f>'Grid_Stock'!CO26</f>
        <v/>
      </c>
      <c r="CW31" s="17">
        <f>'Grid_Stock'!CP26</f>
        <v/>
      </c>
      <c r="CX31" s="17">
        <f>'Grid_Stock'!CQ26</f>
        <v/>
      </c>
      <c r="CY31" s="17">
        <f>'Grid_Stock'!CR26</f>
        <v/>
      </c>
      <c r="CZ31" s="17">
        <f>'Grid_Stock'!CS26</f>
        <v/>
      </c>
      <c r="DA31" s="17">
        <f>'Grid_Stock'!CT26</f>
        <v/>
      </c>
      <c r="DB31" s="17">
        <f>'Grid_Stock'!CU26</f>
        <v/>
      </c>
      <c r="DC31" s="17">
        <f>'Grid_Stock'!CV26</f>
        <v/>
      </c>
      <c r="DD31" s="17">
        <f>'Grid_Stock'!CW26</f>
        <v/>
      </c>
      <c r="DE31" s="17">
        <f>'Grid_Stock'!CX26</f>
        <v/>
      </c>
      <c r="DF31" s="17">
        <f>'Grid_Stock'!CY26</f>
        <v/>
      </c>
      <c r="DG31" s="17">
        <f>'Grid_Stock'!CZ26</f>
        <v/>
      </c>
      <c r="DH31" s="17">
        <f>'Grid_Stock'!DA26</f>
        <v/>
      </c>
    </row>
    <row r="32">
      <c r="A32" s="18" t="inlineStr">
        <is>
          <t>CHEM-1680</t>
        </is>
      </c>
      <c r="B32" s="18">
        <f>IFERROR(INDEX(M_RawMaterials[Description],MATCH($A32,M_RawMaterials[Part Name],0)),"")</f>
        <v/>
      </c>
      <c r="C32" s="18">
        <f>IFERROR(INDEX(M_RawMaterials[Category],MATCH($A32,M_RawMaterials[Part Name],0)),"")</f>
        <v/>
      </c>
      <c r="D32" s="18">
        <f>IFERROR(INDEX(M_RawMaterials[基準在庫下限_要入力],MATCH($A32,M_RawMaterials[Part Name],0)),0)</f>
        <v/>
      </c>
      <c r="E32" s="18">
        <f>IFERROR(INDEX(M_RawMaterials[基準在庫上限_要入力],MATCH($A32,M_RawMaterials[Part Name],0)),0)</f>
        <v/>
      </c>
      <c r="F32" s="18">
        <f>IFERROR(LOOKUP(2,1/('T_SelfStock'!$B$31:$DA$31&lt;&gt;""),'T_SelfStock'!$B$31:$DA$31),"")</f>
        <v/>
      </c>
      <c r="G32" s="18">
        <f>IFERROR(LOOKUP(2,1/('T_TTAFStock'!$B$31:$DA$31&lt;&gt;""),'T_TTAFStock'!$B$31:$DA$31),"")</f>
        <v/>
      </c>
      <c r="H32" s="18">
        <f>IFERROR(LOOKUP(2,1/('T_SelfStock'!$B$31:$DA$31&lt;&gt;""),'T_SelfStock'!$B$5:$DA$5),"")</f>
        <v/>
      </c>
      <c r="I32" s="18">
        <f>'Grid_Stock'!B27</f>
        <v/>
      </c>
      <c r="J32" s="18">
        <f>'Grid_Stock'!C27</f>
        <v/>
      </c>
      <c r="K32" s="18">
        <f>'Grid_Stock'!D27</f>
        <v/>
      </c>
      <c r="L32" s="18">
        <f>'Grid_Stock'!E27</f>
        <v/>
      </c>
      <c r="M32" s="18">
        <f>'Grid_Stock'!F27</f>
        <v/>
      </c>
      <c r="N32" s="18">
        <f>'Grid_Stock'!G27</f>
        <v/>
      </c>
      <c r="O32" s="18">
        <f>'Grid_Stock'!H27</f>
        <v/>
      </c>
      <c r="P32" s="18">
        <f>'Grid_Stock'!I27</f>
        <v/>
      </c>
      <c r="Q32" s="18">
        <f>'Grid_Stock'!J27</f>
        <v/>
      </c>
      <c r="R32" s="18">
        <f>'Grid_Stock'!K27</f>
        <v/>
      </c>
      <c r="S32" s="18">
        <f>'Grid_Stock'!L27</f>
        <v/>
      </c>
      <c r="T32" s="18">
        <f>'Grid_Stock'!M27</f>
        <v/>
      </c>
      <c r="U32" s="18">
        <f>'Grid_Stock'!N27</f>
        <v/>
      </c>
      <c r="V32" s="18">
        <f>'Grid_Stock'!O27</f>
        <v/>
      </c>
      <c r="W32" s="18">
        <f>'Grid_Stock'!P27</f>
        <v/>
      </c>
      <c r="X32" s="18">
        <f>'Grid_Stock'!Q27</f>
        <v/>
      </c>
      <c r="Y32" s="18">
        <f>'Grid_Stock'!R27</f>
        <v/>
      </c>
      <c r="Z32" s="18">
        <f>'Grid_Stock'!S27</f>
        <v/>
      </c>
      <c r="AA32" s="18">
        <f>'Grid_Stock'!T27</f>
        <v/>
      </c>
      <c r="AB32" s="18">
        <f>'Grid_Stock'!U27</f>
        <v/>
      </c>
      <c r="AC32" s="18">
        <f>'Grid_Stock'!V27</f>
        <v/>
      </c>
      <c r="AD32" s="18">
        <f>'Grid_Stock'!W27</f>
        <v/>
      </c>
      <c r="AE32" s="18">
        <f>'Grid_Stock'!X27</f>
        <v/>
      </c>
      <c r="AF32" s="18">
        <f>'Grid_Stock'!Y27</f>
        <v/>
      </c>
      <c r="AG32" s="18">
        <f>'Grid_Stock'!Z27</f>
        <v/>
      </c>
      <c r="AH32" s="18">
        <f>'Grid_Stock'!AA27</f>
        <v/>
      </c>
      <c r="AI32" s="18">
        <f>'Grid_Stock'!AB27</f>
        <v/>
      </c>
      <c r="AJ32" s="18">
        <f>'Grid_Stock'!AC27</f>
        <v/>
      </c>
      <c r="AK32" s="18">
        <f>'Grid_Stock'!AD27</f>
        <v/>
      </c>
      <c r="AL32" s="18">
        <f>'Grid_Stock'!AE27</f>
        <v/>
      </c>
      <c r="AM32" s="18">
        <f>'Grid_Stock'!AF27</f>
        <v/>
      </c>
      <c r="AN32" s="18">
        <f>'Grid_Stock'!AG27</f>
        <v/>
      </c>
      <c r="AO32" s="18">
        <f>'Grid_Stock'!AH27</f>
        <v/>
      </c>
      <c r="AP32" s="18">
        <f>'Grid_Stock'!AI27</f>
        <v/>
      </c>
      <c r="AQ32" s="18">
        <f>'Grid_Stock'!AJ27</f>
        <v/>
      </c>
      <c r="AR32" s="18">
        <f>'Grid_Stock'!AK27</f>
        <v/>
      </c>
      <c r="AS32" s="18">
        <f>'Grid_Stock'!AL27</f>
        <v/>
      </c>
      <c r="AT32" s="18">
        <f>'Grid_Stock'!AM27</f>
        <v/>
      </c>
      <c r="AU32" s="18">
        <f>'Grid_Stock'!AN27</f>
        <v/>
      </c>
      <c r="AV32" s="18">
        <f>'Grid_Stock'!AO27</f>
        <v/>
      </c>
      <c r="AW32" s="18">
        <f>'Grid_Stock'!AP27</f>
        <v/>
      </c>
      <c r="AX32" s="18">
        <f>'Grid_Stock'!AQ27</f>
        <v/>
      </c>
      <c r="AY32" s="18">
        <f>'Grid_Stock'!AR27</f>
        <v/>
      </c>
      <c r="AZ32" s="18">
        <f>'Grid_Stock'!AS27</f>
        <v/>
      </c>
      <c r="BA32" s="18">
        <f>'Grid_Stock'!AT27</f>
        <v/>
      </c>
      <c r="BB32" s="18">
        <f>'Grid_Stock'!AU27</f>
        <v/>
      </c>
      <c r="BC32" s="18">
        <f>'Grid_Stock'!AV27</f>
        <v/>
      </c>
      <c r="BD32" s="18">
        <f>'Grid_Stock'!AW27</f>
        <v/>
      </c>
      <c r="BE32" s="18">
        <f>'Grid_Stock'!AX27</f>
        <v/>
      </c>
      <c r="BF32" s="18">
        <f>'Grid_Stock'!AY27</f>
        <v/>
      </c>
      <c r="BG32" s="18">
        <f>'Grid_Stock'!AZ27</f>
        <v/>
      </c>
      <c r="BH32" s="18">
        <f>'Grid_Stock'!BA27</f>
        <v/>
      </c>
      <c r="BI32" s="18">
        <f>'Grid_Stock'!BB27</f>
        <v/>
      </c>
      <c r="BJ32" s="18">
        <f>'Grid_Stock'!BC27</f>
        <v/>
      </c>
      <c r="BK32" s="18">
        <f>'Grid_Stock'!BD27</f>
        <v/>
      </c>
      <c r="BL32" s="18">
        <f>'Grid_Stock'!BE27</f>
        <v/>
      </c>
      <c r="BM32" s="18">
        <f>'Grid_Stock'!BF27</f>
        <v/>
      </c>
      <c r="BN32" s="18">
        <f>'Grid_Stock'!BG27</f>
        <v/>
      </c>
      <c r="BO32" s="18">
        <f>'Grid_Stock'!BH27</f>
        <v/>
      </c>
      <c r="BP32" s="18">
        <f>'Grid_Stock'!BI27</f>
        <v/>
      </c>
      <c r="BQ32" s="18">
        <f>'Grid_Stock'!BJ27</f>
        <v/>
      </c>
      <c r="BR32" s="18">
        <f>'Grid_Stock'!BK27</f>
        <v/>
      </c>
      <c r="BS32" s="18">
        <f>'Grid_Stock'!BL27</f>
        <v/>
      </c>
      <c r="BT32" s="18">
        <f>'Grid_Stock'!BM27</f>
        <v/>
      </c>
      <c r="BU32" s="18">
        <f>'Grid_Stock'!BN27</f>
        <v/>
      </c>
      <c r="BV32" s="18">
        <f>'Grid_Stock'!BO27</f>
        <v/>
      </c>
      <c r="BW32" s="18">
        <f>'Grid_Stock'!BP27</f>
        <v/>
      </c>
      <c r="BX32" s="18">
        <f>'Grid_Stock'!BQ27</f>
        <v/>
      </c>
      <c r="BY32" s="18">
        <f>'Grid_Stock'!BR27</f>
        <v/>
      </c>
      <c r="BZ32" s="18">
        <f>'Grid_Stock'!BS27</f>
        <v/>
      </c>
      <c r="CA32" s="18">
        <f>'Grid_Stock'!BT27</f>
        <v/>
      </c>
      <c r="CB32" s="18">
        <f>'Grid_Stock'!BU27</f>
        <v/>
      </c>
      <c r="CC32" s="18">
        <f>'Grid_Stock'!BV27</f>
        <v/>
      </c>
      <c r="CD32" s="18">
        <f>'Grid_Stock'!BW27</f>
        <v/>
      </c>
      <c r="CE32" s="18">
        <f>'Grid_Stock'!BX27</f>
        <v/>
      </c>
      <c r="CF32" s="18">
        <f>'Grid_Stock'!BY27</f>
        <v/>
      </c>
      <c r="CG32" s="18">
        <f>'Grid_Stock'!BZ27</f>
        <v/>
      </c>
      <c r="CH32" s="18">
        <f>'Grid_Stock'!CA27</f>
        <v/>
      </c>
      <c r="CI32" s="18">
        <f>'Grid_Stock'!CB27</f>
        <v/>
      </c>
      <c r="CJ32" s="18">
        <f>'Grid_Stock'!CC27</f>
        <v/>
      </c>
      <c r="CK32" s="18">
        <f>'Grid_Stock'!CD27</f>
        <v/>
      </c>
      <c r="CL32" s="18">
        <f>'Grid_Stock'!CE27</f>
        <v/>
      </c>
      <c r="CM32" s="18">
        <f>'Grid_Stock'!CF27</f>
        <v/>
      </c>
      <c r="CN32" s="18">
        <f>'Grid_Stock'!CG27</f>
        <v/>
      </c>
      <c r="CO32" s="18">
        <f>'Grid_Stock'!CH27</f>
        <v/>
      </c>
      <c r="CP32" s="18">
        <f>'Grid_Stock'!CI27</f>
        <v/>
      </c>
      <c r="CQ32" s="18">
        <f>'Grid_Stock'!CJ27</f>
        <v/>
      </c>
      <c r="CR32" s="18">
        <f>'Grid_Stock'!CK27</f>
        <v/>
      </c>
      <c r="CS32" s="18">
        <f>'Grid_Stock'!CL27</f>
        <v/>
      </c>
      <c r="CT32" s="18">
        <f>'Grid_Stock'!CM27</f>
        <v/>
      </c>
      <c r="CU32" s="18">
        <f>'Grid_Stock'!CN27</f>
        <v/>
      </c>
      <c r="CV32" s="18">
        <f>'Grid_Stock'!CO27</f>
        <v/>
      </c>
      <c r="CW32" s="18">
        <f>'Grid_Stock'!CP27</f>
        <v/>
      </c>
      <c r="CX32" s="18">
        <f>'Grid_Stock'!CQ27</f>
        <v/>
      </c>
      <c r="CY32" s="18">
        <f>'Grid_Stock'!CR27</f>
        <v/>
      </c>
      <c r="CZ32" s="18">
        <f>'Grid_Stock'!CS27</f>
        <v/>
      </c>
      <c r="DA32" s="18">
        <f>'Grid_Stock'!CT27</f>
        <v/>
      </c>
      <c r="DB32" s="18">
        <f>'Grid_Stock'!CU27</f>
        <v/>
      </c>
      <c r="DC32" s="18">
        <f>'Grid_Stock'!CV27</f>
        <v/>
      </c>
      <c r="DD32" s="18">
        <f>'Grid_Stock'!CW27</f>
        <v/>
      </c>
      <c r="DE32" s="18">
        <f>'Grid_Stock'!CX27</f>
        <v/>
      </c>
      <c r="DF32" s="18">
        <f>'Grid_Stock'!CY27</f>
        <v/>
      </c>
      <c r="DG32" s="18">
        <f>'Grid_Stock'!CZ27</f>
        <v/>
      </c>
      <c r="DH32" s="18">
        <f>'Grid_Stock'!DA27</f>
        <v/>
      </c>
    </row>
    <row r="33">
      <c r="A33" s="17" t="inlineStr">
        <is>
          <t>CHEM-1820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IFERROR(LOOKUP(2,1/('T_SelfStock'!$B$32:$DA$32&lt;&gt;""),'T_SelfStock'!$B$32:$DA$32),"")</f>
        <v/>
      </c>
      <c r="G33" s="17">
        <f>IFERROR(LOOKUP(2,1/('T_TTAFStock'!$B$32:$DA$32&lt;&gt;""),'T_TTAFStock'!$B$32:$DA$32),"")</f>
        <v/>
      </c>
      <c r="H33" s="17">
        <f>IFERROR(LOOKUP(2,1/('T_SelfStock'!$B$32:$DA$32&lt;&gt;""),'T_SelfStock'!$B$5:$DA$5),"")</f>
        <v/>
      </c>
      <c r="I33" s="17">
        <f>'Grid_Stock'!B28</f>
        <v/>
      </c>
      <c r="J33" s="17">
        <f>'Grid_Stock'!C28</f>
        <v/>
      </c>
      <c r="K33" s="17">
        <f>'Grid_Stock'!D28</f>
        <v/>
      </c>
      <c r="L33" s="17">
        <f>'Grid_Stock'!E28</f>
        <v/>
      </c>
      <c r="M33" s="17">
        <f>'Grid_Stock'!F28</f>
        <v/>
      </c>
      <c r="N33" s="17">
        <f>'Grid_Stock'!G28</f>
        <v/>
      </c>
      <c r="O33" s="17">
        <f>'Grid_Stock'!H28</f>
        <v/>
      </c>
      <c r="P33" s="17">
        <f>'Grid_Stock'!I28</f>
        <v/>
      </c>
      <c r="Q33" s="17">
        <f>'Grid_Stock'!J28</f>
        <v/>
      </c>
      <c r="R33" s="17">
        <f>'Grid_Stock'!K28</f>
        <v/>
      </c>
      <c r="S33" s="17">
        <f>'Grid_Stock'!L28</f>
        <v/>
      </c>
      <c r="T33" s="17">
        <f>'Grid_Stock'!M28</f>
        <v/>
      </c>
      <c r="U33" s="17">
        <f>'Grid_Stock'!N28</f>
        <v/>
      </c>
      <c r="V33" s="17">
        <f>'Grid_Stock'!O28</f>
        <v/>
      </c>
      <c r="W33" s="17">
        <f>'Grid_Stock'!P28</f>
        <v/>
      </c>
      <c r="X33" s="17">
        <f>'Grid_Stock'!Q28</f>
        <v/>
      </c>
      <c r="Y33" s="17">
        <f>'Grid_Stock'!R28</f>
        <v/>
      </c>
      <c r="Z33" s="17">
        <f>'Grid_Stock'!S28</f>
        <v/>
      </c>
      <c r="AA33" s="17">
        <f>'Grid_Stock'!T28</f>
        <v/>
      </c>
      <c r="AB33" s="17">
        <f>'Grid_Stock'!U28</f>
        <v/>
      </c>
      <c r="AC33" s="17">
        <f>'Grid_Stock'!V28</f>
        <v/>
      </c>
      <c r="AD33" s="17">
        <f>'Grid_Stock'!W28</f>
        <v/>
      </c>
      <c r="AE33" s="17">
        <f>'Grid_Stock'!X28</f>
        <v/>
      </c>
      <c r="AF33" s="17">
        <f>'Grid_Stock'!Y28</f>
        <v/>
      </c>
      <c r="AG33" s="17">
        <f>'Grid_Stock'!Z28</f>
        <v/>
      </c>
      <c r="AH33" s="17">
        <f>'Grid_Stock'!AA28</f>
        <v/>
      </c>
      <c r="AI33" s="17">
        <f>'Grid_Stock'!AB28</f>
        <v/>
      </c>
      <c r="AJ33" s="17">
        <f>'Grid_Stock'!AC28</f>
        <v/>
      </c>
      <c r="AK33" s="17">
        <f>'Grid_Stock'!AD28</f>
        <v/>
      </c>
      <c r="AL33" s="17">
        <f>'Grid_Stock'!AE28</f>
        <v/>
      </c>
      <c r="AM33" s="17">
        <f>'Grid_Stock'!AF28</f>
        <v/>
      </c>
      <c r="AN33" s="17">
        <f>'Grid_Stock'!AG28</f>
        <v/>
      </c>
      <c r="AO33" s="17">
        <f>'Grid_Stock'!AH28</f>
        <v/>
      </c>
      <c r="AP33" s="17">
        <f>'Grid_Stock'!AI28</f>
        <v/>
      </c>
      <c r="AQ33" s="17">
        <f>'Grid_Stock'!AJ28</f>
        <v/>
      </c>
      <c r="AR33" s="17">
        <f>'Grid_Stock'!AK28</f>
        <v/>
      </c>
      <c r="AS33" s="17">
        <f>'Grid_Stock'!AL28</f>
        <v/>
      </c>
      <c r="AT33" s="17">
        <f>'Grid_Stock'!AM28</f>
        <v/>
      </c>
      <c r="AU33" s="17">
        <f>'Grid_Stock'!AN28</f>
        <v/>
      </c>
      <c r="AV33" s="17">
        <f>'Grid_Stock'!AO28</f>
        <v/>
      </c>
      <c r="AW33" s="17">
        <f>'Grid_Stock'!AP28</f>
        <v/>
      </c>
      <c r="AX33" s="17">
        <f>'Grid_Stock'!AQ28</f>
        <v/>
      </c>
      <c r="AY33" s="17">
        <f>'Grid_Stock'!AR28</f>
        <v/>
      </c>
      <c r="AZ33" s="17">
        <f>'Grid_Stock'!AS28</f>
        <v/>
      </c>
      <c r="BA33" s="17">
        <f>'Grid_Stock'!AT28</f>
        <v/>
      </c>
      <c r="BB33" s="17">
        <f>'Grid_Stock'!AU28</f>
        <v/>
      </c>
      <c r="BC33" s="17">
        <f>'Grid_Stock'!AV28</f>
        <v/>
      </c>
      <c r="BD33" s="17">
        <f>'Grid_Stock'!AW28</f>
        <v/>
      </c>
      <c r="BE33" s="17">
        <f>'Grid_Stock'!AX28</f>
        <v/>
      </c>
      <c r="BF33" s="17">
        <f>'Grid_Stock'!AY28</f>
        <v/>
      </c>
      <c r="BG33" s="17">
        <f>'Grid_Stock'!AZ28</f>
        <v/>
      </c>
      <c r="BH33" s="17">
        <f>'Grid_Stock'!BA28</f>
        <v/>
      </c>
      <c r="BI33" s="17">
        <f>'Grid_Stock'!BB28</f>
        <v/>
      </c>
      <c r="BJ33" s="17">
        <f>'Grid_Stock'!BC28</f>
        <v/>
      </c>
      <c r="BK33" s="17">
        <f>'Grid_Stock'!BD28</f>
        <v/>
      </c>
      <c r="BL33" s="17">
        <f>'Grid_Stock'!BE28</f>
        <v/>
      </c>
      <c r="BM33" s="17">
        <f>'Grid_Stock'!BF28</f>
        <v/>
      </c>
      <c r="BN33" s="17">
        <f>'Grid_Stock'!BG28</f>
        <v/>
      </c>
      <c r="BO33" s="17">
        <f>'Grid_Stock'!BH28</f>
        <v/>
      </c>
      <c r="BP33" s="17">
        <f>'Grid_Stock'!BI28</f>
        <v/>
      </c>
      <c r="BQ33" s="17">
        <f>'Grid_Stock'!BJ28</f>
        <v/>
      </c>
      <c r="BR33" s="17">
        <f>'Grid_Stock'!BK28</f>
        <v/>
      </c>
      <c r="BS33" s="17">
        <f>'Grid_Stock'!BL28</f>
        <v/>
      </c>
      <c r="BT33" s="17">
        <f>'Grid_Stock'!BM28</f>
        <v/>
      </c>
      <c r="BU33" s="17">
        <f>'Grid_Stock'!BN28</f>
        <v/>
      </c>
      <c r="BV33" s="17">
        <f>'Grid_Stock'!BO28</f>
        <v/>
      </c>
      <c r="BW33" s="17">
        <f>'Grid_Stock'!BP28</f>
        <v/>
      </c>
      <c r="BX33" s="17">
        <f>'Grid_Stock'!BQ28</f>
        <v/>
      </c>
      <c r="BY33" s="17">
        <f>'Grid_Stock'!BR28</f>
        <v/>
      </c>
      <c r="BZ33" s="17">
        <f>'Grid_Stock'!BS28</f>
        <v/>
      </c>
      <c r="CA33" s="17">
        <f>'Grid_Stock'!BT28</f>
        <v/>
      </c>
      <c r="CB33" s="17">
        <f>'Grid_Stock'!BU28</f>
        <v/>
      </c>
      <c r="CC33" s="17">
        <f>'Grid_Stock'!BV28</f>
        <v/>
      </c>
      <c r="CD33" s="17">
        <f>'Grid_Stock'!BW28</f>
        <v/>
      </c>
      <c r="CE33" s="17">
        <f>'Grid_Stock'!BX28</f>
        <v/>
      </c>
      <c r="CF33" s="17">
        <f>'Grid_Stock'!BY28</f>
        <v/>
      </c>
      <c r="CG33" s="17">
        <f>'Grid_Stock'!BZ28</f>
        <v/>
      </c>
      <c r="CH33" s="17">
        <f>'Grid_Stock'!CA28</f>
        <v/>
      </c>
      <c r="CI33" s="17">
        <f>'Grid_Stock'!CB28</f>
        <v/>
      </c>
      <c r="CJ33" s="17">
        <f>'Grid_Stock'!CC28</f>
        <v/>
      </c>
      <c r="CK33" s="17">
        <f>'Grid_Stock'!CD28</f>
        <v/>
      </c>
      <c r="CL33" s="17">
        <f>'Grid_Stock'!CE28</f>
        <v/>
      </c>
      <c r="CM33" s="17">
        <f>'Grid_Stock'!CF28</f>
        <v/>
      </c>
      <c r="CN33" s="17">
        <f>'Grid_Stock'!CG28</f>
        <v/>
      </c>
      <c r="CO33" s="17">
        <f>'Grid_Stock'!CH28</f>
        <v/>
      </c>
      <c r="CP33" s="17">
        <f>'Grid_Stock'!CI28</f>
        <v/>
      </c>
      <c r="CQ33" s="17">
        <f>'Grid_Stock'!CJ28</f>
        <v/>
      </c>
      <c r="CR33" s="17">
        <f>'Grid_Stock'!CK28</f>
        <v/>
      </c>
      <c r="CS33" s="17">
        <f>'Grid_Stock'!CL28</f>
        <v/>
      </c>
      <c r="CT33" s="17">
        <f>'Grid_Stock'!CM28</f>
        <v/>
      </c>
      <c r="CU33" s="17">
        <f>'Grid_Stock'!CN28</f>
        <v/>
      </c>
      <c r="CV33" s="17">
        <f>'Grid_Stock'!CO28</f>
        <v/>
      </c>
      <c r="CW33" s="17">
        <f>'Grid_Stock'!CP28</f>
        <v/>
      </c>
      <c r="CX33" s="17">
        <f>'Grid_Stock'!CQ28</f>
        <v/>
      </c>
      <c r="CY33" s="17">
        <f>'Grid_Stock'!CR28</f>
        <v/>
      </c>
      <c r="CZ33" s="17">
        <f>'Grid_Stock'!CS28</f>
        <v/>
      </c>
      <c r="DA33" s="17">
        <f>'Grid_Stock'!CT28</f>
        <v/>
      </c>
      <c r="DB33" s="17">
        <f>'Grid_Stock'!CU28</f>
        <v/>
      </c>
      <c r="DC33" s="17">
        <f>'Grid_Stock'!CV28</f>
        <v/>
      </c>
      <c r="DD33" s="17">
        <f>'Grid_Stock'!CW28</f>
        <v/>
      </c>
      <c r="DE33" s="17">
        <f>'Grid_Stock'!CX28</f>
        <v/>
      </c>
      <c r="DF33" s="17">
        <f>'Grid_Stock'!CY28</f>
        <v/>
      </c>
      <c r="DG33" s="17">
        <f>'Grid_Stock'!CZ28</f>
        <v/>
      </c>
      <c r="DH33" s="17">
        <f>'Grid_Stock'!DA28</f>
        <v/>
      </c>
    </row>
    <row r="34">
      <c r="A34" s="18" t="inlineStr">
        <is>
          <t>CHEM-1840</t>
        </is>
      </c>
      <c r="B34" s="18">
        <f>IFERROR(INDEX(M_RawMaterials[Description],MATCH($A34,M_RawMaterials[Part Name],0)),"")</f>
        <v/>
      </c>
      <c r="C34" s="18">
        <f>IFERROR(INDEX(M_RawMaterials[Category],MATCH($A34,M_RawMaterials[Part Name],0)),"")</f>
        <v/>
      </c>
      <c r="D34" s="18">
        <f>IFERROR(INDEX(M_RawMaterials[基準在庫下限_要入力],MATCH($A34,M_RawMaterials[Part Name],0)),0)</f>
        <v/>
      </c>
      <c r="E34" s="18">
        <f>IFERROR(INDEX(M_RawMaterials[基準在庫上限_要入力],MATCH($A34,M_RawMaterials[Part Name],0)),0)</f>
        <v/>
      </c>
      <c r="F34" s="18">
        <f>IFERROR(LOOKUP(2,1/('T_SelfStock'!$B$33:$DA$33&lt;&gt;""),'T_SelfStock'!$B$33:$DA$33),"")</f>
        <v/>
      </c>
      <c r="G34" s="18">
        <f>IFERROR(LOOKUP(2,1/('T_TTAFStock'!$B$33:$DA$33&lt;&gt;""),'T_TTAFStock'!$B$33:$DA$33),"")</f>
        <v/>
      </c>
      <c r="H34" s="18">
        <f>IFERROR(LOOKUP(2,1/('T_SelfStock'!$B$33:$DA$33&lt;&gt;""),'T_SelfStock'!$B$5:$DA$5),"")</f>
        <v/>
      </c>
      <c r="I34" s="18">
        <f>'Grid_Stock'!B29</f>
        <v/>
      </c>
      <c r="J34" s="18">
        <f>'Grid_Stock'!C29</f>
        <v/>
      </c>
      <c r="K34" s="18">
        <f>'Grid_Stock'!D29</f>
        <v/>
      </c>
      <c r="L34" s="18">
        <f>'Grid_Stock'!E29</f>
        <v/>
      </c>
      <c r="M34" s="18">
        <f>'Grid_Stock'!F29</f>
        <v/>
      </c>
      <c r="N34" s="18">
        <f>'Grid_Stock'!G29</f>
        <v/>
      </c>
      <c r="O34" s="18">
        <f>'Grid_Stock'!H29</f>
        <v/>
      </c>
      <c r="P34" s="18">
        <f>'Grid_Stock'!I29</f>
        <v/>
      </c>
      <c r="Q34" s="18">
        <f>'Grid_Stock'!J29</f>
        <v/>
      </c>
      <c r="R34" s="18">
        <f>'Grid_Stock'!K29</f>
        <v/>
      </c>
      <c r="S34" s="18">
        <f>'Grid_Stock'!L29</f>
        <v/>
      </c>
      <c r="T34" s="18">
        <f>'Grid_Stock'!M29</f>
        <v/>
      </c>
      <c r="U34" s="18">
        <f>'Grid_Stock'!N29</f>
        <v/>
      </c>
      <c r="V34" s="18">
        <f>'Grid_Stock'!O29</f>
        <v/>
      </c>
      <c r="W34" s="18">
        <f>'Grid_Stock'!P29</f>
        <v/>
      </c>
      <c r="X34" s="18">
        <f>'Grid_Stock'!Q29</f>
        <v/>
      </c>
      <c r="Y34" s="18">
        <f>'Grid_Stock'!R29</f>
        <v/>
      </c>
      <c r="Z34" s="18">
        <f>'Grid_Stock'!S29</f>
        <v/>
      </c>
      <c r="AA34" s="18">
        <f>'Grid_Stock'!T29</f>
        <v/>
      </c>
      <c r="AB34" s="18">
        <f>'Grid_Stock'!U29</f>
        <v/>
      </c>
      <c r="AC34" s="18">
        <f>'Grid_Stock'!V29</f>
        <v/>
      </c>
      <c r="AD34" s="18">
        <f>'Grid_Stock'!W29</f>
        <v/>
      </c>
      <c r="AE34" s="18">
        <f>'Grid_Stock'!X29</f>
        <v/>
      </c>
      <c r="AF34" s="18">
        <f>'Grid_Stock'!Y29</f>
        <v/>
      </c>
      <c r="AG34" s="18">
        <f>'Grid_Stock'!Z29</f>
        <v/>
      </c>
      <c r="AH34" s="18">
        <f>'Grid_Stock'!AA29</f>
        <v/>
      </c>
      <c r="AI34" s="18">
        <f>'Grid_Stock'!AB29</f>
        <v/>
      </c>
      <c r="AJ34" s="18">
        <f>'Grid_Stock'!AC29</f>
        <v/>
      </c>
      <c r="AK34" s="18">
        <f>'Grid_Stock'!AD29</f>
        <v/>
      </c>
      <c r="AL34" s="18">
        <f>'Grid_Stock'!AE29</f>
        <v/>
      </c>
      <c r="AM34" s="18">
        <f>'Grid_Stock'!AF29</f>
        <v/>
      </c>
      <c r="AN34" s="18">
        <f>'Grid_Stock'!AG29</f>
        <v/>
      </c>
      <c r="AO34" s="18">
        <f>'Grid_Stock'!AH29</f>
        <v/>
      </c>
      <c r="AP34" s="18">
        <f>'Grid_Stock'!AI29</f>
        <v/>
      </c>
      <c r="AQ34" s="18">
        <f>'Grid_Stock'!AJ29</f>
        <v/>
      </c>
      <c r="AR34" s="18">
        <f>'Grid_Stock'!AK29</f>
        <v/>
      </c>
      <c r="AS34" s="18">
        <f>'Grid_Stock'!AL29</f>
        <v/>
      </c>
      <c r="AT34" s="18">
        <f>'Grid_Stock'!AM29</f>
        <v/>
      </c>
      <c r="AU34" s="18">
        <f>'Grid_Stock'!AN29</f>
        <v/>
      </c>
      <c r="AV34" s="18">
        <f>'Grid_Stock'!AO29</f>
        <v/>
      </c>
      <c r="AW34" s="18">
        <f>'Grid_Stock'!AP29</f>
        <v/>
      </c>
      <c r="AX34" s="18">
        <f>'Grid_Stock'!AQ29</f>
        <v/>
      </c>
      <c r="AY34" s="18">
        <f>'Grid_Stock'!AR29</f>
        <v/>
      </c>
      <c r="AZ34" s="18">
        <f>'Grid_Stock'!AS29</f>
        <v/>
      </c>
      <c r="BA34" s="18">
        <f>'Grid_Stock'!AT29</f>
        <v/>
      </c>
      <c r="BB34" s="18">
        <f>'Grid_Stock'!AU29</f>
        <v/>
      </c>
      <c r="BC34" s="18">
        <f>'Grid_Stock'!AV29</f>
        <v/>
      </c>
      <c r="BD34" s="18">
        <f>'Grid_Stock'!AW29</f>
        <v/>
      </c>
      <c r="BE34" s="18">
        <f>'Grid_Stock'!AX29</f>
        <v/>
      </c>
      <c r="BF34" s="18">
        <f>'Grid_Stock'!AY29</f>
        <v/>
      </c>
      <c r="BG34" s="18">
        <f>'Grid_Stock'!AZ29</f>
        <v/>
      </c>
      <c r="BH34" s="18">
        <f>'Grid_Stock'!BA29</f>
        <v/>
      </c>
      <c r="BI34" s="18">
        <f>'Grid_Stock'!BB29</f>
        <v/>
      </c>
      <c r="BJ34" s="18">
        <f>'Grid_Stock'!BC29</f>
        <v/>
      </c>
      <c r="BK34" s="18">
        <f>'Grid_Stock'!BD29</f>
        <v/>
      </c>
      <c r="BL34" s="18">
        <f>'Grid_Stock'!BE29</f>
        <v/>
      </c>
      <c r="BM34" s="18">
        <f>'Grid_Stock'!BF29</f>
        <v/>
      </c>
      <c r="BN34" s="18">
        <f>'Grid_Stock'!BG29</f>
        <v/>
      </c>
      <c r="BO34" s="18">
        <f>'Grid_Stock'!BH29</f>
        <v/>
      </c>
      <c r="BP34" s="18">
        <f>'Grid_Stock'!BI29</f>
        <v/>
      </c>
      <c r="BQ34" s="18">
        <f>'Grid_Stock'!BJ29</f>
        <v/>
      </c>
      <c r="BR34" s="18">
        <f>'Grid_Stock'!BK29</f>
        <v/>
      </c>
      <c r="BS34" s="18">
        <f>'Grid_Stock'!BL29</f>
        <v/>
      </c>
      <c r="BT34" s="18">
        <f>'Grid_Stock'!BM29</f>
        <v/>
      </c>
      <c r="BU34" s="18">
        <f>'Grid_Stock'!BN29</f>
        <v/>
      </c>
      <c r="BV34" s="18">
        <f>'Grid_Stock'!BO29</f>
        <v/>
      </c>
      <c r="BW34" s="18">
        <f>'Grid_Stock'!BP29</f>
        <v/>
      </c>
      <c r="BX34" s="18">
        <f>'Grid_Stock'!BQ29</f>
        <v/>
      </c>
      <c r="BY34" s="18">
        <f>'Grid_Stock'!BR29</f>
        <v/>
      </c>
      <c r="BZ34" s="18">
        <f>'Grid_Stock'!BS29</f>
        <v/>
      </c>
      <c r="CA34" s="18">
        <f>'Grid_Stock'!BT29</f>
        <v/>
      </c>
      <c r="CB34" s="18">
        <f>'Grid_Stock'!BU29</f>
        <v/>
      </c>
      <c r="CC34" s="18">
        <f>'Grid_Stock'!BV29</f>
        <v/>
      </c>
      <c r="CD34" s="18">
        <f>'Grid_Stock'!BW29</f>
        <v/>
      </c>
      <c r="CE34" s="18">
        <f>'Grid_Stock'!BX29</f>
        <v/>
      </c>
      <c r="CF34" s="18">
        <f>'Grid_Stock'!BY29</f>
        <v/>
      </c>
      <c r="CG34" s="18">
        <f>'Grid_Stock'!BZ29</f>
        <v/>
      </c>
      <c r="CH34" s="18">
        <f>'Grid_Stock'!CA29</f>
        <v/>
      </c>
      <c r="CI34" s="18">
        <f>'Grid_Stock'!CB29</f>
        <v/>
      </c>
      <c r="CJ34" s="18">
        <f>'Grid_Stock'!CC29</f>
        <v/>
      </c>
      <c r="CK34" s="18">
        <f>'Grid_Stock'!CD29</f>
        <v/>
      </c>
      <c r="CL34" s="18">
        <f>'Grid_Stock'!CE29</f>
        <v/>
      </c>
      <c r="CM34" s="18">
        <f>'Grid_Stock'!CF29</f>
        <v/>
      </c>
      <c r="CN34" s="18">
        <f>'Grid_Stock'!CG29</f>
        <v/>
      </c>
      <c r="CO34" s="18">
        <f>'Grid_Stock'!CH29</f>
        <v/>
      </c>
      <c r="CP34" s="18">
        <f>'Grid_Stock'!CI29</f>
        <v/>
      </c>
      <c r="CQ34" s="18">
        <f>'Grid_Stock'!CJ29</f>
        <v/>
      </c>
      <c r="CR34" s="18">
        <f>'Grid_Stock'!CK29</f>
        <v/>
      </c>
      <c r="CS34" s="18">
        <f>'Grid_Stock'!CL29</f>
        <v/>
      </c>
      <c r="CT34" s="18">
        <f>'Grid_Stock'!CM29</f>
        <v/>
      </c>
      <c r="CU34" s="18">
        <f>'Grid_Stock'!CN29</f>
        <v/>
      </c>
      <c r="CV34" s="18">
        <f>'Grid_Stock'!CO29</f>
        <v/>
      </c>
      <c r="CW34" s="18">
        <f>'Grid_Stock'!CP29</f>
        <v/>
      </c>
      <c r="CX34" s="18">
        <f>'Grid_Stock'!CQ29</f>
        <v/>
      </c>
      <c r="CY34" s="18">
        <f>'Grid_Stock'!CR29</f>
        <v/>
      </c>
      <c r="CZ34" s="18">
        <f>'Grid_Stock'!CS29</f>
        <v/>
      </c>
      <c r="DA34" s="18">
        <f>'Grid_Stock'!CT29</f>
        <v/>
      </c>
      <c r="DB34" s="18">
        <f>'Grid_Stock'!CU29</f>
        <v/>
      </c>
      <c r="DC34" s="18">
        <f>'Grid_Stock'!CV29</f>
        <v/>
      </c>
      <c r="DD34" s="18">
        <f>'Grid_Stock'!CW29</f>
        <v/>
      </c>
      <c r="DE34" s="18">
        <f>'Grid_Stock'!CX29</f>
        <v/>
      </c>
      <c r="DF34" s="18">
        <f>'Grid_Stock'!CY29</f>
        <v/>
      </c>
      <c r="DG34" s="18">
        <f>'Grid_Stock'!CZ29</f>
        <v/>
      </c>
      <c r="DH34" s="18">
        <f>'Grid_Stock'!DA29</f>
        <v/>
      </c>
    </row>
    <row r="35">
      <c r="A35" s="17" t="inlineStr">
        <is>
          <t>TDJ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IFERROR(LOOKUP(2,1/('T_SelfStock'!$B$34:$DA$34&lt;&gt;""),'T_SelfStock'!$B$34:$DA$34),"")</f>
        <v/>
      </c>
      <c r="G35" s="17">
        <f>IFERROR(LOOKUP(2,1/('T_TTAFStock'!$B$34:$DA$34&lt;&gt;""),'T_TTAFStock'!$B$34:$DA$34),"")</f>
        <v/>
      </c>
      <c r="H35" s="17">
        <f>IFERROR(LOOKUP(2,1/('T_SelfStock'!$B$34:$DA$34&lt;&gt;""),'T_SelfStock'!$B$5:$DA$5),"")</f>
        <v/>
      </c>
      <c r="I35" s="17">
        <f>'Grid_Stock'!B30</f>
        <v/>
      </c>
      <c r="J35" s="17">
        <f>'Grid_Stock'!C30</f>
        <v/>
      </c>
      <c r="K35" s="17">
        <f>'Grid_Stock'!D30</f>
        <v/>
      </c>
      <c r="L35" s="17">
        <f>'Grid_Stock'!E30</f>
        <v/>
      </c>
      <c r="M35" s="17">
        <f>'Grid_Stock'!F30</f>
        <v/>
      </c>
      <c r="N35" s="17">
        <f>'Grid_Stock'!G30</f>
        <v/>
      </c>
      <c r="O35" s="17">
        <f>'Grid_Stock'!H30</f>
        <v/>
      </c>
      <c r="P35" s="17">
        <f>'Grid_Stock'!I30</f>
        <v/>
      </c>
      <c r="Q35" s="17">
        <f>'Grid_Stock'!J30</f>
        <v/>
      </c>
      <c r="R35" s="17">
        <f>'Grid_Stock'!K30</f>
        <v/>
      </c>
      <c r="S35" s="17">
        <f>'Grid_Stock'!L30</f>
        <v/>
      </c>
      <c r="T35" s="17">
        <f>'Grid_Stock'!M30</f>
        <v/>
      </c>
      <c r="U35" s="17">
        <f>'Grid_Stock'!N30</f>
        <v/>
      </c>
      <c r="V35" s="17">
        <f>'Grid_Stock'!O30</f>
        <v/>
      </c>
      <c r="W35" s="17">
        <f>'Grid_Stock'!P30</f>
        <v/>
      </c>
      <c r="X35" s="17">
        <f>'Grid_Stock'!Q30</f>
        <v/>
      </c>
      <c r="Y35" s="17">
        <f>'Grid_Stock'!R30</f>
        <v/>
      </c>
      <c r="Z35" s="17">
        <f>'Grid_Stock'!S30</f>
        <v/>
      </c>
      <c r="AA35" s="17">
        <f>'Grid_Stock'!T30</f>
        <v/>
      </c>
      <c r="AB35" s="17">
        <f>'Grid_Stock'!U30</f>
        <v/>
      </c>
      <c r="AC35" s="17">
        <f>'Grid_Stock'!V30</f>
        <v/>
      </c>
      <c r="AD35" s="17">
        <f>'Grid_Stock'!W30</f>
        <v/>
      </c>
      <c r="AE35" s="17">
        <f>'Grid_Stock'!X30</f>
        <v/>
      </c>
      <c r="AF35" s="17">
        <f>'Grid_Stock'!Y30</f>
        <v/>
      </c>
      <c r="AG35" s="17">
        <f>'Grid_Stock'!Z30</f>
        <v/>
      </c>
      <c r="AH35" s="17">
        <f>'Grid_Stock'!AA30</f>
        <v/>
      </c>
      <c r="AI35" s="17">
        <f>'Grid_Stock'!AB30</f>
        <v/>
      </c>
      <c r="AJ35" s="17">
        <f>'Grid_Stock'!AC30</f>
        <v/>
      </c>
      <c r="AK35" s="17">
        <f>'Grid_Stock'!AD30</f>
        <v/>
      </c>
      <c r="AL35" s="17">
        <f>'Grid_Stock'!AE30</f>
        <v/>
      </c>
      <c r="AM35" s="17">
        <f>'Grid_Stock'!AF30</f>
        <v/>
      </c>
      <c r="AN35" s="17">
        <f>'Grid_Stock'!AG30</f>
        <v/>
      </c>
      <c r="AO35" s="17">
        <f>'Grid_Stock'!AH30</f>
        <v/>
      </c>
      <c r="AP35" s="17">
        <f>'Grid_Stock'!AI30</f>
        <v/>
      </c>
      <c r="AQ35" s="17">
        <f>'Grid_Stock'!AJ30</f>
        <v/>
      </c>
      <c r="AR35" s="17">
        <f>'Grid_Stock'!AK30</f>
        <v/>
      </c>
      <c r="AS35" s="17">
        <f>'Grid_Stock'!AL30</f>
        <v/>
      </c>
      <c r="AT35" s="17">
        <f>'Grid_Stock'!AM30</f>
        <v/>
      </c>
      <c r="AU35" s="17">
        <f>'Grid_Stock'!AN30</f>
        <v/>
      </c>
      <c r="AV35" s="17">
        <f>'Grid_Stock'!AO30</f>
        <v/>
      </c>
      <c r="AW35" s="17">
        <f>'Grid_Stock'!AP30</f>
        <v/>
      </c>
      <c r="AX35" s="17">
        <f>'Grid_Stock'!AQ30</f>
        <v/>
      </c>
      <c r="AY35" s="17">
        <f>'Grid_Stock'!AR30</f>
        <v/>
      </c>
      <c r="AZ35" s="17">
        <f>'Grid_Stock'!AS30</f>
        <v/>
      </c>
      <c r="BA35" s="17">
        <f>'Grid_Stock'!AT30</f>
        <v/>
      </c>
      <c r="BB35" s="17">
        <f>'Grid_Stock'!AU30</f>
        <v/>
      </c>
      <c r="BC35" s="17">
        <f>'Grid_Stock'!AV30</f>
        <v/>
      </c>
      <c r="BD35" s="17">
        <f>'Grid_Stock'!AW30</f>
        <v/>
      </c>
      <c r="BE35" s="17">
        <f>'Grid_Stock'!AX30</f>
        <v/>
      </c>
      <c r="BF35" s="17">
        <f>'Grid_Stock'!AY30</f>
        <v/>
      </c>
      <c r="BG35" s="17">
        <f>'Grid_Stock'!AZ30</f>
        <v/>
      </c>
      <c r="BH35" s="17">
        <f>'Grid_Stock'!BA30</f>
        <v/>
      </c>
      <c r="BI35" s="17">
        <f>'Grid_Stock'!BB30</f>
        <v/>
      </c>
      <c r="BJ35" s="17">
        <f>'Grid_Stock'!BC30</f>
        <v/>
      </c>
      <c r="BK35" s="17">
        <f>'Grid_Stock'!BD30</f>
        <v/>
      </c>
      <c r="BL35" s="17">
        <f>'Grid_Stock'!BE30</f>
        <v/>
      </c>
      <c r="BM35" s="17">
        <f>'Grid_Stock'!BF30</f>
        <v/>
      </c>
      <c r="BN35" s="17">
        <f>'Grid_Stock'!BG30</f>
        <v/>
      </c>
      <c r="BO35" s="17">
        <f>'Grid_Stock'!BH30</f>
        <v/>
      </c>
      <c r="BP35" s="17">
        <f>'Grid_Stock'!BI30</f>
        <v/>
      </c>
      <c r="BQ35" s="17">
        <f>'Grid_Stock'!BJ30</f>
        <v/>
      </c>
      <c r="BR35" s="17">
        <f>'Grid_Stock'!BK30</f>
        <v/>
      </c>
      <c r="BS35" s="17">
        <f>'Grid_Stock'!BL30</f>
        <v/>
      </c>
      <c r="BT35" s="17">
        <f>'Grid_Stock'!BM30</f>
        <v/>
      </c>
      <c r="BU35" s="17">
        <f>'Grid_Stock'!BN30</f>
        <v/>
      </c>
      <c r="BV35" s="17">
        <f>'Grid_Stock'!BO30</f>
        <v/>
      </c>
      <c r="BW35" s="17">
        <f>'Grid_Stock'!BP30</f>
        <v/>
      </c>
      <c r="BX35" s="17">
        <f>'Grid_Stock'!BQ30</f>
        <v/>
      </c>
      <c r="BY35" s="17">
        <f>'Grid_Stock'!BR30</f>
        <v/>
      </c>
      <c r="BZ35" s="17">
        <f>'Grid_Stock'!BS30</f>
        <v/>
      </c>
      <c r="CA35" s="17">
        <f>'Grid_Stock'!BT30</f>
        <v/>
      </c>
      <c r="CB35" s="17">
        <f>'Grid_Stock'!BU30</f>
        <v/>
      </c>
      <c r="CC35" s="17">
        <f>'Grid_Stock'!BV30</f>
        <v/>
      </c>
      <c r="CD35" s="17">
        <f>'Grid_Stock'!BW30</f>
        <v/>
      </c>
      <c r="CE35" s="17">
        <f>'Grid_Stock'!BX30</f>
        <v/>
      </c>
      <c r="CF35" s="17">
        <f>'Grid_Stock'!BY30</f>
        <v/>
      </c>
      <c r="CG35" s="17">
        <f>'Grid_Stock'!BZ30</f>
        <v/>
      </c>
      <c r="CH35" s="17">
        <f>'Grid_Stock'!CA30</f>
        <v/>
      </c>
      <c r="CI35" s="17">
        <f>'Grid_Stock'!CB30</f>
        <v/>
      </c>
      <c r="CJ35" s="17">
        <f>'Grid_Stock'!CC30</f>
        <v/>
      </c>
      <c r="CK35" s="17">
        <f>'Grid_Stock'!CD30</f>
        <v/>
      </c>
      <c r="CL35" s="17">
        <f>'Grid_Stock'!CE30</f>
        <v/>
      </c>
      <c r="CM35" s="17">
        <f>'Grid_Stock'!CF30</f>
        <v/>
      </c>
      <c r="CN35" s="17">
        <f>'Grid_Stock'!CG30</f>
        <v/>
      </c>
      <c r="CO35" s="17">
        <f>'Grid_Stock'!CH30</f>
        <v/>
      </c>
      <c r="CP35" s="17">
        <f>'Grid_Stock'!CI30</f>
        <v/>
      </c>
      <c r="CQ35" s="17">
        <f>'Grid_Stock'!CJ30</f>
        <v/>
      </c>
      <c r="CR35" s="17">
        <f>'Grid_Stock'!CK30</f>
        <v/>
      </c>
      <c r="CS35" s="17">
        <f>'Grid_Stock'!CL30</f>
        <v/>
      </c>
      <c r="CT35" s="17">
        <f>'Grid_Stock'!CM30</f>
        <v/>
      </c>
      <c r="CU35" s="17">
        <f>'Grid_Stock'!CN30</f>
        <v/>
      </c>
      <c r="CV35" s="17">
        <f>'Grid_Stock'!CO30</f>
        <v/>
      </c>
      <c r="CW35" s="17">
        <f>'Grid_Stock'!CP30</f>
        <v/>
      </c>
      <c r="CX35" s="17">
        <f>'Grid_Stock'!CQ30</f>
        <v/>
      </c>
      <c r="CY35" s="17">
        <f>'Grid_Stock'!CR30</f>
        <v/>
      </c>
      <c r="CZ35" s="17">
        <f>'Grid_Stock'!CS30</f>
        <v/>
      </c>
      <c r="DA35" s="17">
        <f>'Grid_Stock'!CT30</f>
        <v/>
      </c>
      <c r="DB35" s="17">
        <f>'Grid_Stock'!CU30</f>
        <v/>
      </c>
      <c r="DC35" s="17">
        <f>'Grid_Stock'!CV30</f>
        <v/>
      </c>
      <c r="DD35" s="17">
        <f>'Grid_Stock'!CW30</f>
        <v/>
      </c>
      <c r="DE35" s="17">
        <f>'Grid_Stock'!CX30</f>
        <v/>
      </c>
      <c r="DF35" s="17">
        <f>'Grid_Stock'!CY30</f>
        <v/>
      </c>
      <c r="DG35" s="17">
        <f>'Grid_Stock'!CZ30</f>
        <v/>
      </c>
      <c r="DH35" s="17">
        <f>'Grid_Stock'!DA30</f>
        <v/>
      </c>
    </row>
    <row r="36">
      <c r="A36" s="18" t="inlineStr">
        <is>
          <t>CHEM-1730</t>
        </is>
      </c>
      <c r="B36" s="18">
        <f>IFERROR(INDEX(M_RawMaterials[Description],MATCH($A36,M_RawMaterials[Part Name],0)),"")</f>
        <v/>
      </c>
      <c r="C36" s="18">
        <f>IFERROR(INDEX(M_RawMaterials[Category],MATCH($A36,M_RawMaterials[Part Name],0)),"")</f>
        <v/>
      </c>
      <c r="D36" s="18">
        <f>IFERROR(INDEX(M_RawMaterials[基準在庫下限_要入力],MATCH($A36,M_RawMaterials[Part Name],0)),0)</f>
        <v/>
      </c>
      <c r="E36" s="18">
        <f>IFERROR(INDEX(M_RawMaterials[基準在庫上限_要入力],MATCH($A36,M_RawMaterials[Part Name],0)),0)</f>
        <v/>
      </c>
      <c r="F36" s="18">
        <f>IFERROR(LOOKUP(2,1/('T_SelfStock'!$B$35:$DA$35&lt;&gt;""),'T_SelfStock'!$B$35:$DA$35),"")</f>
        <v/>
      </c>
      <c r="G36" s="18">
        <f>IFERROR(LOOKUP(2,1/('T_TTAFStock'!$B$35:$DA$35&lt;&gt;""),'T_TTAFStock'!$B$35:$DA$35),"")</f>
        <v/>
      </c>
      <c r="H36" s="18">
        <f>IFERROR(LOOKUP(2,1/('T_SelfStock'!$B$35:$DA$35&lt;&gt;""),'T_SelfStock'!$B$5:$DA$5),"")</f>
        <v/>
      </c>
      <c r="I36" s="18">
        <f>'Grid_Stock'!B31</f>
        <v/>
      </c>
      <c r="J36" s="18">
        <f>'Grid_Stock'!C31</f>
        <v/>
      </c>
      <c r="K36" s="18">
        <f>'Grid_Stock'!D31</f>
        <v/>
      </c>
      <c r="L36" s="18">
        <f>'Grid_Stock'!E31</f>
        <v/>
      </c>
      <c r="M36" s="18">
        <f>'Grid_Stock'!F31</f>
        <v/>
      </c>
      <c r="N36" s="18">
        <f>'Grid_Stock'!G31</f>
        <v/>
      </c>
      <c r="O36" s="18">
        <f>'Grid_Stock'!H31</f>
        <v/>
      </c>
      <c r="P36" s="18">
        <f>'Grid_Stock'!I31</f>
        <v/>
      </c>
      <c r="Q36" s="18">
        <f>'Grid_Stock'!J31</f>
        <v/>
      </c>
      <c r="R36" s="18">
        <f>'Grid_Stock'!K31</f>
        <v/>
      </c>
      <c r="S36" s="18">
        <f>'Grid_Stock'!L31</f>
        <v/>
      </c>
      <c r="T36" s="18">
        <f>'Grid_Stock'!M31</f>
        <v/>
      </c>
      <c r="U36" s="18">
        <f>'Grid_Stock'!N31</f>
        <v/>
      </c>
      <c r="V36" s="18">
        <f>'Grid_Stock'!O31</f>
        <v/>
      </c>
      <c r="W36" s="18">
        <f>'Grid_Stock'!P31</f>
        <v/>
      </c>
      <c r="X36" s="18">
        <f>'Grid_Stock'!Q31</f>
        <v/>
      </c>
      <c r="Y36" s="18">
        <f>'Grid_Stock'!R31</f>
        <v/>
      </c>
      <c r="Z36" s="18">
        <f>'Grid_Stock'!S31</f>
        <v/>
      </c>
      <c r="AA36" s="18">
        <f>'Grid_Stock'!T31</f>
        <v/>
      </c>
      <c r="AB36" s="18">
        <f>'Grid_Stock'!U31</f>
        <v/>
      </c>
      <c r="AC36" s="18">
        <f>'Grid_Stock'!V31</f>
        <v/>
      </c>
      <c r="AD36" s="18">
        <f>'Grid_Stock'!W31</f>
        <v/>
      </c>
      <c r="AE36" s="18">
        <f>'Grid_Stock'!X31</f>
        <v/>
      </c>
      <c r="AF36" s="18">
        <f>'Grid_Stock'!Y31</f>
        <v/>
      </c>
      <c r="AG36" s="18">
        <f>'Grid_Stock'!Z31</f>
        <v/>
      </c>
      <c r="AH36" s="18">
        <f>'Grid_Stock'!AA31</f>
        <v/>
      </c>
      <c r="AI36" s="18">
        <f>'Grid_Stock'!AB31</f>
        <v/>
      </c>
      <c r="AJ36" s="18">
        <f>'Grid_Stock'!AC31</f>
        <v/>
      </c>
      <c r="AK36" s="18">
        <f>'Grid_Stock'!AD31</f>
        <v/>
      </c>
      <c r="AL36" s="18">
        <f>'Grid_Stock'!AE31</f>
        <v/>
      </c>
      <c r="AM36" s="18">
        <f>'Grid_Stock'!AF31</f>
        <v/>
      </c>
      <c r="AN36" s="18">
        <f>'Grid_Stock'!AG31</f>
        <v/>
      </c>
      <c r="AO36" s="18">
        <f>'Grid_Stock'!AH31</f>
        <v/>
      </c>
      <c r="AP36" s="18">
        <f>'Grid_Stock'!AI31</f>
        <v/>
      </c>
      <c r="AQ36" s="18">
        <f>'Grid_Stock'!AJ31</f>
        <v/>
      </c>
      <c r="AR36" s="18">
        <f>'Grid_Stock'!AK31</f>
        <v/>
      </c>
      <c r="AS36" s="18">
        <f>'Grid_Stock'!AL31</f>
        <v/>
      </c>
      <c r="AT36" s="18">
        <f>'Grid_Stock'!AM31</f>
        <v/>
      </c>
      <c r="AU36" s="18">
        <f>'Grid_Stock'!AN31</f>
        <v/>
      </c>
      <c r="AV36" s="18">
        <f>'Grid_Stock'!AO31</f>
        <v/>
      </c>
      <c r="AW36" s="18">
        <f>'Grid_Stock'!AP31</f>
        <v/>
      </c>
      <c r="AX36" s="18">
        <f>'Grid_Stock'!AQ31</f>
        <v/>
      </c>
      <c r="AY36" s="18">
        <f>'Grid_Stock'!AR31</f>
        <v/>
      </c>
      <c r="AZ36" s="18">
        <f>'Grid_Stock'!AS31</f>
        <v/>
      </c>
      <c r="BA36" s="18">
        <f>'Grid_Stock'!AT31</f>
        <v/>
      </c>
      <c r="BB36" s="18">
        <f>'Grid_Stock'!AU31</f>
        <v/>
      </c>
      <c r="BC36" s="18">
        <f>'Grid_Stock'!AV31</f>
        <v/>
      </c>
      <c r="BD36" s="18">
        <f>'Grid_Stock'!AW31</f>
        <v/>
      </c>
      <c r="BE36" s="18">
        <f>'Grid_Stock'!AX31</f>
        <v/>
      </c>
      <c r="BF36" s="18">
        <f>'Grid_Stock'!AY31</f>
        <v/>
      </c>
      <c r="BG36" s="18">
        <f>'Grid_Stock'!AZ31</f>
        <v/>
      </c>
      <c r="BH36" s="18">
        <f>'Grid_Stock'!BA31</f>
        <v/>
      </c>
      <c r="BI36" s="18">
        <f>'Grid_Stock'!BB31</f>
        <v/>
      </c>
      <c r="BJ36" s="18">
        <f>'Grid_Stock'!BC31</f>
        <v/>
      </c>
      <c r="BK36" s="18">
        <f>'Grid_Stock'!BD31</f>
        <v/>
      </c>
      <c r="BL36" s="18">
        <f>'Grid_Stock'!BE31</f>
        <v/>
      </c>
      <c r="BM36" s="18">
        <f>'Grid_Stock'!BF31</f>
        <v/>
      </c>
      <c r="BN36" s="18">
        <f>'Grid_Stock'!BG31</f>
        <v/>
      </c>
      <c r="BO36" s="18">
        <f>'Grid_Stock'!BH31</f>
        <v/>
      </c>
      <c r="BP36" s="18">
        <f>'Grid_Stock'!BI31</f>
        <v/>
      </c>
      <c r="BQ36" s="18">
        <f>'Grid_Stock'!BJ31</f>
        <v/>
      </c>
      <c r="BR36" s="18">
        <f>'Grid_Stock'!BK31</f>
        <v/>
      </c>
      <c r="BS36" s="18">
        <f>'Grid_Stock'!BL31</f>
        <v/>
      </c>
      <c r="BT36" s="18">
        <f>'Grid_Stock'!BM31</f>
        <v/>
      </c>
      <c r="BU36" s="18">
        <f>'Grid_Stock'!BN31</f>
        <v/>
      </c>
      <c r="BV36" s="18">
        <f>'Grid_Stock'!BO31</f>
        <v/>
      </c>
      <c r="BW36" s="18">
        <f>'Grid_Stock'!BP31</f>
        <v/>
      </c>
      <c r="BX36" s="18">
        <f>'Grid_Stock'!BQ31</f>
        <v/>
      </c>
      <c r="BY36" s="18">
        <f>'Grid_Stock'!BR31</f>
        <v/>
      </c>
      <c r="BZ36" s="18">
        <f>'Grid_Stock'!BS31</f>
        <v/>
      </c>
      <c r="CA36" s="18">
        <f>'Grid_Stock'!BT31</f>
        <v/>
      </c>
      <c r="CB36" s="18">
        <f>'Grid_Stock'!BU31</f>
        <v/>
      </c>
      <c r="CC36" s="18">
        <f>'Grid_Stock'!BV31</f>
        <v/>
      </c>
      <c r="CD36" s="18">
        <f>'Grid_Stock'!BW31</f>
        <v/>
      </c>
      <c r="CE36" s="18">
        <f>'Grid_Stock'!BX31</f>
        <v/>
      </c>
      <c r="CF36" s="18">
        <f>'Grid_Stock'!BY31</f>
        <v/>
      </c>
      <c r="CG36" s="18">
        <f>'Grid_Stock'!BZ31</f>
        <v/>
      </c>
      <c r="CH36" s="18">
        <f>'Grid_Stock'!CA31</f>
        <v/>
      </c>
      <c r="CI36" s="18">
        <f>'Grid_Stock'!CB31</f>
        <v/>
      </c>
      <c r="CJ36" s="18">
        <f>'Grid_Stock'!CC31</f>
        <v/>
      </c>
      <c r="CK36" s="18">
        <f>'Grid_Stock'!CD31</f>
        <v/>
      </c>
      <c r="CL36" s="18">
        <f>'Grid_Stock'!CE31</f>
        <v/>
      </c>
      <c r="CM36" s="18">
        <f>'Grid_Stock'!CF31</f>
        <v/>
      </c>
      <c r="CN36" s="18">
        <f>'Grid_Stock'!CG31</f>
        <v/>
      </c>
      <c r="CO36" s="18">
        <f>'Grid_Stock'!CH31</f>
        <v/>
      </c>
      <c r="CP36" s="18">
        <f>'Grid_Stock'!CI31</f>
        <v/>
      </c>
      <c r="CQ36" s="18">
        <f>'Grid_Stock'!CJ31</f>
        <v/>
      </c>
      <c r="CR36" s="18">
        <f>'Grid_Stock'!CK31</f>
        <v/>
      </c>
      <c r="CS36" s="18">
        <f>'Grid_Stock'!CL31</f>
        <v/>
      </c>
      <c r="CT36" s="18">
        <f>'Grid_Stock'!CM31</f>
        <v/>
      </c>
      <c r="CU36" s="18">
        <f>'Grid_Stock'!CN31</f>
        <v/>
      </c>
      <c r="CV36" s="18">
        <f>'Grid_Stock'!CO31</f>
        <v/>
      </c>
      <c r="CW36" s="18">
        <f>'Grid_Stock'!CP31</f>
        <v/>
      </c>
      <c r="CX36" s="18">
        <f>'Grid_Stock'!CQ31</f>
        <v/>
      </c>
      <c r="CY36" s="18">
        <f>'Grid_Stock'!CR31</f>
        <v/>
      </c>
      <c r="CZ36" s="18">
        <f>'Grid_Stock'!CS31</f>
        <v/>
      </c>
      <c r="DA36" s="18">
        <f>'Grid_Stock'!CT31</f>
        <v/>
      </c>
      <c r="DB36" s="18">
        <f>'Grid_Stock'!CU31</f>
        <v/>
      </c>
      <c r="DC36" s="18">
        <f>'Grid_Stock'!CV31</f>
        <v/>
      </c>
      <c r="DD36" s="18">
        <f>'Grid_Stock'!CW31</f>
        <v/>
      </c>
      <c r="DE36" s="18">
        <f>'Grid_Stock'!CX31</f>
        <v/>
      </c>
      <c r="DF36" s="18">
        <f>'Grid_Stock'!CY31</f>
        <v/>
      </c>
      <c r="DG36" s="18">
        <f>'Grid_Stock'!CZ31</f>
        <v/>
      </c>
      <c r="DH36" s="18">
        <f>'Grid_Stock'!DA31</f>
        <v/>
      </c>
    </row>
    <row r="37">
      <c r="A37" s="17" t="inlineStr">
        <is>
          <t>CHEM-1430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IFERROR(LOOKUP(2,1/('T_SelfStock'!$B$36:$DA$36&lt;&gt;""),'T_SelfStock'!$B$36:$DA$36),"")</f>
        <v/>
      </c>
      <c r="G37" s="17">
        <f>IFERROR(LOOKUP(2,1/('T_TTAFStock'!$B$36:$DA$36&lt;&gt;""),'T_TTAFStock'!$B$36:$DA$36),"")</f>
        <v/>
      </c>
      <c r="H37" s="17">
        <f>IFERROR(LOOKUP(2,1/('T_SelfStock'!$B$36:$DA$36&lt;&gt;""),'T_SelfStock'!$B$5:$DA$5),"")</f>
        <v/>
      </c>
      <c r="I37" s="17">
        <f>'Grid_Stock'!B32</f>
        <v/>
      </c>
      <c r="J37" s="17">
        <f>'Grid_Stock'!C32</f>
        <v/>
      </c>
      <c r="K37" s="17">
        <f>'Grid_Stock'!D32</f>
        <v/>
      </c>
      <c r="L37" s="17">
        <f>'Grid_Stock'!E32</f>
        <v/>
      </c>
      <c r="M37" s="17">
        <f>'Grid_Stock'!F32</f>
        <v/>
      </c>
      <c r="N37" s="17">
        <f>'Grid_Stock'!G32</f>
        <v/>
      </c>
      <c r="O37" s="17">
        <f>'Grid_Stock'!H32</f>
        <v/>
      </c>
      <c r="P37" s="17">
        <f>'Grid_Stock'!I32</f>
        <v/>
      </c>
      <c r="Q37" s="17">
        <f>'Grid_Stock'!J32</f>
        <v/>
      </c>
      <c r="R37" s="17">
        <f>'Grid_Stock'!K32</f>
        <v/>
      </c>
      <c r="S37" s="17">
        <f>'Grid_Stock'!L32</f>
        <v/>
      </c>
      <c r="T37" s="17">
        <f>'Grid_Stock'!M32</f>
        <v/>
      </c>
      <c r="U37" s="17">
        <f>'Grid_Stock'!N32</f>
        <v/>
      </c>
      <c r="V37" s="17">
        <f>'Grid_Stock'!O32</f>
        <v/>
      </c>
      <c r="W37" s="17">
        <f>'Grid_Stock'!P32</f>
        <v/>
      </c>
      <c r="X37" s="17">
        <f>'Grid_Stock'!Q32</f>
        <v/>
      </c>
      <c r="Y37" s="17">
        <f>'Grid_Stock'!R32</f>
        <v/>
      </c>
      <c r="Z37" s="17">
        <f>'Grid_Stock'!S32</f>
        <v/>
      </c>
      <c r="AA37" s="17">
        <f>'Grid_Stock'!T32</f>
        <v/>
      </c>
      <c r="AB37" s="17">
        <f>'Grid_Stock'!U32</f>
        <v/>
      </c>
      <c r="AC37" s="17">
        <f>'Grid_Stock'!V32</f>
        <v/>
      </c>
      <c r="AD37" s="17">
        <f>'Grid_Stock'!W32</f>
        <v/>
      </c>
      <c r="AE37" s="17">
        <f>'Grid_Stock'!X32</f>
        <v/>
      </c>
      <c r="AF37" s="17">
        <f>'Grid_Stock'!Y32</f>
        <v/>
      </c>
      <c r="AG37" s="17">
        <f>'Grid_Stock'!Z32</f>
        <v/>
      </c>
      <c r="AH37" s="17">
        <f>'Grid_Stock'!AA32</f>
        <v/>
      </c>
      <c r="AI37" s="17">
        <f>'Grid_Stock'!AB32</f>
        <v/>
      </c>
      <c r="AJ37" s="17">
        <f>'Grid_Stock'!AC32</f>
        <v/>
      </c>
      <c r="AK37" s="17">
        <f>'Grid_Stock'!AD32</f>
        <v/>
      </c>
      <c r="AL37" s="17">
        <f>'Grid_Stock'!AE32</f>
        <v/>
      </c>
      <c r="AM37" s="17">
        <f>'Grid_Stock'!AF32</f>
        <v/>
      </c>
      <c r="AN37" s="17">
        <f>'Grid_Stock'!AG32</f>
        <v/>
      </c>
      <c r="AO37" s="17">
        <f>'Grid_Stock'!AH32</f>
        <v/>
      </c>
      <c r="AP37" s="17">
        <f>'Grid_Stock'!AI32</f>
        <v/>
      </c>
      <c r="AQ37" s="17">
        <f>'Grid_Stock'!AJ32</f>
        <v/>
      </c>
      <c r="AR37" s="17">
        <f>'Grid_Stock'!AK32</f>
        <v/>
      </c>
      <c r="AS37" s="17">
        <f>'Grid_Stock'!AL32</f>
        <v/>
      </c>
      <c r="AT37" s="17">
        <f>'Grid_Stock'!AM32</f>
        <v/>
      </c>
      <c r="AU37" s="17">
        <f>'Grid_Stock'!AN32</f>
        <v/>
      </c>
      <c r="AV37" s="17">
        <f>'Grid_Stock'!AO32</f>
        <v/>
      </c>
      <c r="AW37" s="17">
        <f>'Grid_Stock'!AP32</f>
        <v/>
      </c>
      <c r="AX37" s="17">
        <f>'Grid_Stock'!AQ32</f>
        <v/>
      </c>
      <c r="AY37" s="17">
        <f>'Grid_Stock'!AR32</f>
        <v/>
      </c>
      <c r="AZ37" s="17">
        <f>'Grid_Stock'!AS32</f>
        <v/>
      </c>
      <c r="BA37" s="17">
        <f>'Grid_Stock'!AT32</f>
        <v/>
      </c>
      <c r="BB37" s="17">
        <f>'Grid_Stock'!AU32</f>
        <v/>
      </c>
      <c r="BC37" s="17">
        <f>'Grid_Stock'!AV32</f>
        <v/>
      </c>
      <c r="BD37" s="17">
        <f>'Grid_Stock'!AW32</f>
        <v/>
      </c>
      <c r="BE37" s="17">
        <f>'Grid_Stock'!AX32</f>
        <v/>
      </c>
      <c r="BF37" s="17">
        <f>'Grid_Stock'!AY32</f>
        <v/>
      </c>
      <c r="BG37" s="17">
        <f>'Grid_Stock'!AZ32</f>
        <v/>
      </c>
      <c r="BH37" s="17">
        <f>'Grid_Stock'!BA32</f>
        <v/>
      </c>
      <c r="BI37" s="17">
        <f>'Grid_Stock'!BB32</f>
        <v/>
      </c>
      <c r="BJ37" s="17">
        <f>'Grid_Stock'!BC32</f>
        <v/>
      </c>
      <c r="BK37" s="17">
        <f>'Grid_Stock'!BD32</f>
        <v/>
      </c>
      <c r="BL37" s="17">
        <f>'Grid_Stock'!BE32</f>
        <v/>
      </c>
      <c r="BM37" s="17">
        <f>'Grid_Stock'!BF32</f>
        <v/>
      </c>
      <c r="BN37" s="17">
        <f>'Grid_Stock'!BG32</f>
        <v/>
      </c>
      <c r="BO37" s="17">
        <f>'Grid_Stock'!BH32</f>
        <v/>
      </c>
      <c r="BP37" s="17">
        <f>'Grid_Stock'!BI32</f>
        <v/>
      </c>
      <c r="BQ37" s="17">
        <f>'Grid_Stock'!BJ32</f>
        <v/>
      </c>
      <c r="BR37" s="17">
        <f>'Grid_Stock'!BK32</f>
        <v/>
      </c>
      <c r="BS37" s="17">
        <f>'Grid_Stock'!BL32</f>
        <v/>
      </c>
      <c r="BT37" s="17">
        <f>'Grid_Stock'!BM32</f>
        <v/>
      </c>
      <c r="BU37" s="17">
        <f>'Grid_Stock'!BN32</f>
        <v/>
      </c>
      <c r="BV37" s="17">
        <f>'Grid_Stock'!BO32</f>
        <v/>
      </c>
      <c r="BW37" s="17">
        <f>'Grid_Stock'!BP32</f>
        <v/>
      </c>
      <c r="BX37" s="17">
        <f>'Grid_Stock'!BQ32</f>
        <v/>
      </c>
      <c r="BY37" s="17">
        <f>'Grid_Stock'!BR32</f>
        <v/>
      </c>
      <c r="BZ37" s="17">
        <f>'Grid_Stock'!BS32</f>
        <v/>
      </c>
      <c r="CA37" s="17">
        <f>'Grid_Stock'!BT32</f>
        <v/>
      </c>
      <c r="CB37" s="17">
        <f>'Grid_Stock'!BU32</f>
        <v/>
      </c>
      <c r="CC37" s="17">
        <f>'Grid_Stock'!BV32</f>
        <v/>
      </c>
      <c r="CD37" s="17">
        <f>'Grid_Stock'!BW32</f>
        <v/>
      </c>
      <c r="CE37" s="17">
        <f>'Grid_Stock'!BX32</f>
        <v/>
      </c>
      <c r="CF37" s="17">
        <f>'Grid_Stock'!BY32</f>
        <v/>
      </c>
      <c r="CG37" s="17">
        <f>'Grid_Stock'!BZ32</f>
        <v/>
      </c>
      <c r="CH37" s="17">
        <f>'Grid_Stock'!CA32</f>
        <v/>
      </c>
      <c r="CI37" s="17">
        <f>'Grid_Stock'!CB32</f>
        <v/>
      </c>
      <c r="CJ37" s="17">
        <f>'Grid_Stock'!CC32</f>
        <v/>
      </c>
      <c r="CK37" s="17">
        <f>'Grid_Stock'!CD32</f>
        <v/>
      </c>
      <c r="CL37" s="17">
        <f>'Grid_Stock'!CE32</f>
        <v/>
      </c>
      <c r="CM37" s="17">
        <f>'Grid_Stock'!CF32</f>
        <v/>
      </c>
      <c r="CN37" s="17">
        <f>'Grid_Stock'!CG32</f>
        <v/>
      </c>
      <c r="CO37" s="17">
        <f>'Grid_Stock'!CH32</f>
        <v/>
      </c>
      <c r="CP37" s="17">
        <f>'Grid_Stock'!CI32</f>
        <v/>
      </c>
      <c r="CQ37" s="17">
        <f>'Grid_Stock'!CJ32</f>
        <v/>
      </c>
      <c r="CR37" s="17">
        <f>'Grid_Stock'!CK32</f>
        <v/>
      </c>
      <c r="CS37" s="17">
        <f>'Grid_Stock'!CL32</f>
        <v/>
      </c>
      <c r="CT37" s="17">
        <f>'Grid_Stock'!CM32</f>
        <v/>
      </c>
      <c r="CU37" s="17">
        <f>'Grid_Stock'!CN32</f>
        <v/>
      </c>
      <c r="CV37" s="17">
        <f>'Grid_Stock'!CO32</f>
        <v/>
      </c>
      <c r="CW37" s="17">
        <f>'Grid_Stock'!CP32</f>
        <v/>
      </c>
      <c r="CX37" s="17">
        <f>'Grid_Stock'!CQ32</f>
        <v/>
      </c>
      <c r="CY37" s="17">
        <f>'Grid_Stock'!CR32</f>
        <v/>
      </c>
      <c r="CZ37" s="17">
        <f>'Grid_Stock'!CS32</f>
        <v/>
      </c>
      <c r="DA37" s="17">
        <f>'Grid_Stock'!CT32</f>
        <v/>
      </c>
      <c r="DB37" s="17">
        <f>'Grid_Stock'!CU32</f>
        <v/>
      </c>
      <c r="DC37" s="17">
        <f>'Grid_Stock'!CV32</f>
        <v/>
      </c>
      <c r="DD37" s="17">
        <f>'Grid_Stock'!CW32</f>
        <v/>
      </c>
      <c r="DE37" s="17">
        <f>'Grid_Stock'!CX32</f>
        <v/>
      </c>
      <c r="DF37" s="17">
        <f>'Grid_Stock'!CY32</f>
        <v/>
      </c>
      <c r="DG37" s="17">
        <f>'Grid_Stock'!CZ32</f>
        <v/>
      </c>
      <c r="DH37" s="17">
        <f>'Grid_Stock'!DA32</f>
        <v/>
      </c>
    </row>
    <row r="38">
      <c r="A38" s="18" t="inlineStr">
        <is>
          <t>CHEM-1480</t>
        </is>
      </c>
      <c r="B38" s="18">
        <f>IFERROR(INDEX(M_RawMaterials[Description],MATCH($A38,M_RawMaterials[Part Name],0)),"")</f>
        <v/>
      </c>
      <c r="C38" s="18">
        <f>IFERROR(INDEX(M_RawMaterials[Category],MATCH($A38,M_RawMaterials[Part Name],0)),"")</f>
        <v/>
      </c>
      <c r="D38" s="18">
        <f>IFERROR(INDEX(M_RawMaterials[基準在庫下限_要入力],MATCH($A38,M_RawMaterials[Part Name],0)),0)</f>
        <v/>
      </c>
      <c r="E38" s="18">
        <f>IFERROR(INDEX(M_RawMaterials[基準在庫上限_要入力],MATCH($A38,M_RawMaterials[Part Name],0)),0)</f>
        <v/>
      </c>
      <c r="F38" s="18">
        <f>IFERROR(LOOKUP(2,1/('T_SelfStock'!$B$37:$DA$37&lt;&gt;""),'T_SelfStock'!$B$37:$DA$37),"")</f>
        <v/>
      </c>
      <c r="G38" s="18">
        <f>IFERROR(LOOKUP(2,1/('T_TTAFStock'!$B$37:$DA$37&lt;&gt;""),'T_TTAFStock'!$B$37:$DA$37),"")</f>
        <v/>
      </c>
      <c r="H38" s="18">
        <f>IFERROR(LOOKUP(2,1/('T_SelfStock'!$B$37:$DA$37&lt;&gt;""),'T_SelfStock'!$B$5:$DA$5),"")</f>
        <v/>
      </c>
      <c r="I38" s="18">
        <f>'Grid_Stock'!B33</f>
        <v/>
      </c>
      <c r="J38" s="18">
        <f>'Grid_Stock'!C33</f>
        <v/>
      </c>
      <c r="K38" s="18">
        <f>'Grid_Stock'!D33</f>
        <v/>
      </c>
      <c r="L38" s="18">
        <f>'Grid_Stock'!E33</f>
        <v/>
      </c>
      <c r="M38" s="18">
        <f>'Grid_Stock'!F33</f>
        <v/>
      </c>
      <c r="N38" s="18">
        <f>'Grid_Stock'!G33</f>
        <v/>
      </c>
      <c r="O38" s="18">
        <f>'Grid_Stock'!H33</f>
        <v/>
      </c>
      <c r="P38" s="18">
        <f>'Grid_Stock'!I33</f>
        <v/>
      </c>
      <c r="Q38" s="18">
        <f>'Grid_Stock'!J33</f>
        <v/>
      </c>
      <c r="R38" s="18">
        <f>'Grid_Stock'!K33</f>
        <v/>
      </c>
      <c r="S38" s="18">
        <f>'Grid_Stock'!L33</f>
        <v/>
      </c>
      <c r="T38" s="18">
        <f>'Grid_Stock'!M33</f>
        <v/>
      </c>
      <c r="U38" s="18">
        <f>'Grid_Stock'!N33</f>
        <v/>
      </c>
      <c r="V38" s="18">
        <f>'Grid_Stock'!O33</f>
        <v/>
      </c>
      <c r="W38" s="18">
        <f>'Grid_Stock'!P33</f>
        <v/>
      </c>
      <c r="X38" s="18">
        <f>'Grid_Stock'!Q33</f>
        <v/>
      </c>
      <c r="Y38" s="18">
        <f>'Grid_Stock'!R33</f>
        <v/>
      </c>
      <c r="Z38" s="18">
        <f>'Grid_Stock'!S33</f>
        <v/>
      </c>
      <c r="AA38" s="18">
        <f>'Grid_Stock'!T33</f>
        <v/>
      </c>
      <c r="AB38" s="18">
        <f>'Grid_Stock'!U33</f>
        <v/>
      </c>
      <c r="AC38" s="18">
        <f>'Grid_Stock'!V33</f>
        <v/>
      </c>
      <c r="AD38" s="18">
        <f>'Grid_Stock'!W33</f>
        <v/>
      </c>
      <c r="AE38" s="18">
        <f>'Grid_Stock'!X33</f>
        <v/>
      </c>
      <c r="AF38" s="18">
        <f>'Grid_Stock'!Y33</f>
        <v/>
      </c>
      <c r="AG38" s="18">
        <f>'Grid_Stock'!Z33</f>
        <v/>
      </c>
      <c r="AH38" s="18">
        <f>'Grid_Stock'!AA33</f>
        <v/>
      </c>
      <c r="AI38" s="18">
        <f>'Grid_Stock'!AB33</f>
        <v/>
      </c>
      <c r="AJ38" s="18">
        <f>'Grid_Stock'!AC33</f>
        <v/>
      </c>
      <c r="AK38" s="18">
        <f>'Grid_Stock'!AD33</f>
        <v/>
      </c>
      <c r="AL38" s="18">
        <f>'Grid_Stock'!AE33</f>
        <v/>
      </c>
      <c r="AM38" s="18">
        <f>'Grid_Stock'!AF33</f>
        <v/>
      </c>
      <c r="AN38" s="18">
        <f>'Grid_Stock'!AG33</f>
        <v/>
      </c>
      <c r="AO38" s="18">
        <f>'Grid_Stock'!AH33</f>
        <v/>
      </c>
      <c r="AP38" s="18">
        <f>'Grid_Stock'!AI33</f>
        <v/>
      </c>
      <c r="AQ38" s="18">
        <f>'Grid_Stock'!AJ33</f>
        <v/>
      </c>
      <c r="AR38" s="18">
        <f>'Grid_Stock'!AK33</f>
        <v/>
      </c>
      <c r="AS38" s="18">
        <f>'Grid_Stock'!AL33</f>
        <v/>
      </c>
      <c r="AT38" s="18">
        <f>'Grid_Stock'!AM33</f>
        <v/>
      </c>
      <c r="AU38" s="18">
        <f>'Grid_Stock'!AN33</f>
        <v/>
      </c>
      <c r="AV38" s="18">
        <f>'Grid_Stock'!AO33</f>
        <v/>
      </c>
      <c r="AW38" s="18">
        <f>'Grid_Stock'!AP33</f>
        <v/>
      </c>
      <c r="AX38" s="18">
        <f>'Grid_Stock'!AQ33</f>
        <v/>
      </c>
      <c r="AY38" s="18">
        <f>'Grid_Stock'!AR33</f>
        <v/>
      </c>
      <c r="AZ38" s="18">
        <f>'Grid_Stock'!AS33</f>
        <v/>
      </c>
      <c r="BA38" s="18">
        <f>'Grid_Stock'!AT33</f>
        <v/>
      </c>
      <c r="BB38" s="18">
        <f>'Grid_Stock'!AU33</f>
        <v/>
      </c>
      <c r="BC38" s="18">
        <f>'Grid_Stock'!AV33</f>
        <v/>
      </c>
      <c r="BD38" s="18">
        <f>'Grid_Stock'!AW33</f>
        <v/>
      </c>
      <c r="BE38" s="18">
        <f>'Grid_Stock'!AX33</f>
        <v/>
      </c>
      <c r="BF38" s="18">
        <f>'Grid_Stock'!AY33</f>
        <v/>
      </c>
      <c r="BG38" s="18">
        <f>'Grid_Stock'!AZ33</f>
        <v/>
      </c>
      <c r="BH38" s="18">
        <f>'Grid_Stock'!BA33</f>
        <v/>
      </c>
      <c r="BI38" s="18">
        <f>'Grid_Stock'!BB33</f>
        <v/>
      </c>
      <c r="BJ38" s="18">
        <f>'Grid_Stock'!BC33</f>
        <v/>
      </c>
      <c r="BK38" s="18">
        <f>'Grid_Stock'!BD33</f>
        <v/>
      </c>
      <c r="BL38" s="18">
        <f>'Grid_Stock'!BE33</f>
        <v/>
      </c>
      <c r="BM38" s="18">
        <f>'Grid_Stock'!BF33</f>
        <v/>
      </c>
      <c r="BN38" s="18">
        <f>'Grid_Stock'!BG33</f>
        <v/>
      </c>
      <c r="BO38" s="18">
        <f>'Grid_Stock'!BH33</f>
        <v/>
      </c>
      <c r="BP38" s="18">
        <f>'Grid_Stock'!BI33</f>
        <v/>
      </c>
      <c r="BQ38" s="18">
        <f>'Grid_Stock'!BJ33</f>
        <v/>
      </c>
      <c r="BR38" s="18">
        <f>'Grid_Stock'!BK33</f>
        <v/>
      </c>
      <c r="BS38" s="18">
        <f>'Grid_Stock'!BL33</f>
        <v/>
      </c>
      <c r="BT38" s="18">
        <f>'Grid_Stock'!BM33</f>
        <v/>
      </c>
      <c r="BU38" s="18">
        <f>'Grid_Stock'!BN33</f>
        <v/>
      </c>
      <c r="BV38" s="18">
        <f>'Grid_Stock'!BO33</f>
        <v/>
      </c>
      <c r="BW38" s="18">
        <f>'Grid_Stock'!BP33</f>
        <v/>
      </c>
      <c r="BX38" s="18">
        <f>'Grid_Stock'!BQ33</f>
        <v/>
      </c>
      <c r="BY38" s="18">
        <f>'Grid_Stock'!BR33</f>
        <v/>
      </c>
      <c r="BZ38" s="18">
        <f>'Grid_Stock'!BS33</f>
        <v/>
      </c>
      <c r="CA38" s="18">
        <f>'Grid_Stock'!BT33</f>
        <v/>
      </c>
      <c r="CB38" s="18">
        <f>'Grid_Stock'!BU33</f>
        <v/>
      </c>
      <c r="CC38" s="18">
        <f>'Grid_Stock'!BV33</f>
        <v/>
      </c>
      <c r="CD38" s="18">
        <f>'Grid_Stock'!BW33</f>
        <v/>
      </c>
      <c r="CE38" s="18">
        <f>'Grid_Stock'!BX33</f>
        <v/>
      </c>
      <c r="CF38" s="18">
        <f>'Grid_Stock'!BY33</f>
        <v/>
      </c>
      <c r="CG38" s="18">
        <f>'Grid_Stock'!BZ33</f>
        <v/>
      </c>
      <c r="CH38" s="18">
        <f>'Grid_Stock'!CA33</f>
        <v/>
      </c>
      <c r="CI38" s="18">
        <f>'Grid_Stock'!CB33</f>
        <v/>
      </c>
      <c r="CJ38" s="18">
        <f>'Grid_Stock'!CC33</f>
        <v/>
      </c>
      <c r="CK38" s="18">
        <f>'Grid_Stock'!CD33</f>
        <v/>
      </c>
      <c r="CL38" s="18">
        <f>'Grid_Stock'!CE33</f>
        <v/>
      </c>
      <c r="CM38" s="18">
        <f>'Grid_Stock'!CF33</f>
        <v/>
      </c>
      <c r="CN38" s="18">
        <f>'Grid_Stock'!CG33</f>
        <v/>
      </c>
      <c r="CO38" s="18">
        <f>'Grid_Stock'!CH33</f>
        <v/>
      </c>
      <c r="CP38" s="18">
        <f>'Grid_Stock'!CI33</f>
        <v/>
      </c>
      <c r="CQ38" s="18">
        <f>'Grid_Stock'!CJ33</f>
        <v/>
      </c>
      <c r="CR38" s="18">
        <f>'Grid_Stock'!CK33</f>
        <v/>
      </c>
      <c r="CS38" s="18">
        <f>'Grid_Stock'!CL33</f>
        <v/>
      </c>
      <c r="CT38" s="18">
        <f>'Grid_Stock'!CM33</f>
        <v/>
      </c>
      <c r="CU38" s="18">
        <f>'Grid_Stock'!CN33</f>
        <v/>
      </c>
      <c r="CV38" s="18">
        <f>'Grid_Stock'!CO33</f>
        <v/>
      </c>
      <c r="CW38" s="18">
        <f>'Grid_Stock'!CP33</f>
        <v/>
      </c>
      <c r="CX38" s="18">
        <f>'Grid_Stock'!CQ33</f>
        <v/>
      </c>
      <c r="CY38" s="18">
        <f>'Grid_Stock'!CR33</f>
        <v/>
      </c>
      <c r="CZ38" s="18">
        <f>'Grid_Stock'!CS33</f>
        <v/>
      </c>
      <c r="DA38" s="18">
        <f>'Grid_Stock'!CT33</f>
        <v/>
      </c>
      <c r="DB38" s="18">
        <f>'Grid_Stock'!CU33</f>
        <v/>
      </c>
      <c r="DC38" s="18">
        <f>'Grid_Stock'!CV33</f>
        <v/>
      </c>
      <c r="DD38" s="18">
        <f>'Grid_Stock'!CW33</f>
        <v/>
      </c>
      <c r="DE38" s="18">
        <f>'Grid_Stock'!CX33</f>
        <v/>
      </c>
      <c r="DF38" s="18">
        <f>'Grid_Stock'!CY33</f>
        <v/>
      </c>
      <c r="DG38" s="18">
        <f>'Grid_Stock'!CZ33</f>
        <v/>
      </c>
      <c r="DH38" s="18">
        <f>'Grid_Stock'!DA33</f>
        <v/>
      </c>
    </row>
    <row r="39">
      <c r="A39" s="17" t="inlineStr">
        <is>
          <t>CHEM-1560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IFERROR(LOOKUP(2,1/('T_SelfStock'!$B$38:$DA$38&lt;&gt;""),'T_SelfStock'!$B$38:$DA$38),"")</f>
        <v/>
      </c>
      <c r="G39" s="17">
        <f>IFERROR(LOOKUP(2,1/('T_TTAFStock'!$B$38:$DA$38&lt;&gt;""),'T_TTAFStock'!$B$38:$DA$38),"")</f>
        <v/>
      </c>
      <c r="H39" s="17">
        <f>IFERROR(LOOKUP(2,1/('T_SelfStock'!$B$38:$DA$38&lt;&gt;""),'T_SelfStock'!$B$5:$DA$5),"")</f>
        <v/>
      </c>
      <c r="I39" s="17">
        <f>'Grid_Stock'!B34</f>
        <v/>
      </c>
      <c r="J39" s="17">
        <f>'Grid_Stock'!C34</f>
        <v/>
      </c>
      <c r="K39" s="17">
        <f>'Grid_Stock'!D34</f>
        <v/>
      </c>
      <c r="L39" s="17">
        <f>'Grid_Stock'!E34</f>
        <v/>
      </c>
      <c r="M39" s="17">
        <f>'Grid_Stock'!F34</f>
        <v/>
      </c>
      <c r="N39" s="17">
        <f>'Grid_Stock'!G34</f>
        <v/>
      </c>
      <c r="O39" s="17">
        <f>'Grid_Stock'!H34</f>
        <v/>
      </c>
      <c r="P39" s="17">
        <f>'Grid_Stock'!I34</f>
        <v/>
      </c>
      <c r="Q39" s="17">
        <f>'Grid_Stock'!J34</f>
        <v/>
      </c>
      <c r="R39" s="17">
        <f>'Grid_Stock'!K34</f>
        <v/>
      </c>
      <c r="S39" s="17">
        <f>'Grid_Stock'!L34</f>
        <v/>
      </c>
      <c r="T39" s="17">
        <f>'Grid_Stock'!M34</f>
        <v/>
      </c>
      <c r="U39" s="17">
        <f>'Grid_Stock'!N34</f>
        <v/>
      </c>
      <c r="V39" s="17">
        <f>'Grid_Stock'!O34</f>
        <v/>
      </c>
      <c r="W39" s="17">
        <f>'Grid_Stock'!P34</f>
        <v/>
      </c>
      <c r="X39" s="17">
        <f>'Grid_Stock'!Q34</f>
        <v/>
      </c>
      <c r="Y39" s="17">
        <f>'Grid_Stock'!R34</f>
        <v/>
      </c>
      <c r="Z39" s="17">
        <f>'Grid_Stock'!S34</f>
        <v/>
      </c>
      <c r="AA39" s="17">
        <f>'Grid_Stock'!T34</f>
        <v/>
      </c>
      <c r="AB39" s="17">
        <f>'Grid_Stock'!U34</f>
        <v/>
      </c>
      <c r="AC39" s="17">
        <f>'Grid_Stock'!V34</f>
        <v/>
      </c>
      <c r="AD39" s="17">
        <f>'Grid_Stock'!W34</f>
        <v/>
      </c>
      <c r="AE39" s="17">
        <f>'Grid_Stock'!X34</f>
        <v/>
      </c>
      <c r="AF39" s="17">
        <f>'Grid_Stock'!Y34</f>
        <v/>
      </c>
      <c r="AG39" s="17">
        <f>'Grid_Stock'!Z34</f>
        <v/>
      </c>
      <c r="AH39" s="17">
        <f>'Grid_Stock'!AA34</f>
        <v/>
      </c>
      <c r="AI39" s="17">
        <f>'Grid_Stock'!AB34</f>
        <v/>
      </c>
      <c r="AJ39" s="17">
        <f>'Grid_Stock'!AC34</f>
        <v/>
      </c>
      <c r="AK39" s="17">
        <f>'Grid_Stock'!AD34</f>
        <v/>
      </c>
      <c r="AL39" s="17">
        <f>'Grid_Stock'!AE34</f>
        <v/>
      </c>
      <c r="AM39" s="17">
        <f>'Grid_Stock'!AF34</f>
        <v/>
      </c>
      <c r="AN39" s="17">
        <f>'Grid_Stock'!AG34</f>
        <v/>
      </c>
      <c r="AO39" s="17">
        <f>'Grid_Stock'!AH34</f>
        <v/>
      </c>
      <c r="AP39" s="17">
        <f>'Grid_Stock'!AI34</f>
        <v/>
      </c>
      <c r="AQ39" s="17">
        <f>'Grid_Stock'!AJ34</f>
        <v/>
      </c>
      <c r="AR39" s="17">
        <f>'Grid_Stock'!AK34</f>
        <v/>
      </c>
      <c r="AS39" s="17">
        <f>'Grid_Stock'!AL34</f>
        <v/>
      </c>
      <c r="AT39" s="17">
        <f>'Grid_Stock'!AM34</f>
        <v/>
      </c>
      <c r="AU39" s="17">
        <f>'Grid_Stock'!AN34</f>
        <v/>
      </c>
      <c r="AV39" s="17">
        <f>'Grid_Stock'!AO34</f>
        <v/>
      </c>
      <c r="AW39" s="17">
        <f>'Grid_Stock'!AP34</f>
        <v/>
      </c>
      <c r="AX39" s="17">
        <f>'Grid_Stock'!AQ34</f>
        <v/>
      </c>
      <c r="AY39" s="17">
        <f>'Grid_Stock'!AR34</f>
        <v/>
      </c>
      <c r="AZ39" s="17">
        <f>'Grid_Stock'!AS34</f>
        <v/>
      </c>
      <c r="BA39" s="17">
        <f>'Grid_Stock'!AT34</f>
        <v/>
      </c>
      <c r="BB39" s="17">
        <f>'Grid_Stock'!AU34</f>
        <v/>
      </c>
      <c r="BC39" s="17">
        <f>'Grid_Stock'!AV34</f>
        <v/>
      </c>
      <c r="BD39" s="17">
        <f>'Grid_Stock'!AW34</f>
        <v/>
      </c>
      <c r="BE39" s="17">
        <f>'Grid_Stock'!AX34</f>
        <v/>
      </c>
      <c r="BF39" s="17">
        <f>'Grid_Stock'!AY34</f>
        <v/>
      </c>
      <c r="BG39" s="17">
        <f>'Grid_Stock'!AZ34</f>
        <v/>
      </c>
      <c r="BH39" s="17">
        <f>'Grid_Stock'!BA34</f>
        <v/>
      </c>
      <c r="BI39" s="17">
        <f>'Grid_Stock'!BB34</f>
        <v/>
      </c>
      <c r="BJ39" s="17">
        <f>'Grid_Stock'!BC34</f>
        <v/>
      </c>
      <c r="BK39" s="17">
        <f>'Grid_Stock'!BD34</f>
        <v/>
      </c>
      <c r="BL39" s="17">
        <f>'Grid_Stock'!BE34</f>
        <v/>
      </c>
      <c r="BM39" s="17">
        <f>'Grid_Stock'!BF34</f>
        <v/>
      </c>
      <c r="BN39" s="17">
        <f>'Grid_Stock'!BG34</f>
        <v/>
      </c>
      <c r="BO39" s="17">
        <f>'Grid_Stock'!BH34</f>
        <v/>
      </c>
      <c r="BP39" s="17">
        <f>'Grid_Stock'!BI34</f>
        <v/>
      </c>
      <c r="BQ39" s="17">
        <f>'Grid_Stock'!BJ34</f>
        <v/>
      </c>
      <c r="BR39" s="17">
        <f>'Grid_Stock'!BK34</f>
        <v/>
      </c>
      <c r="BS39" s="17">
        <f>'Grid_Stock'!BL34</f>
        <v/>
      </c>
      <c r="BT39" s="17">
        <f>'Grid_Stock'!BM34</f>
        <v/>
      </c>
      <c r="BU39" s="17">
        <f>'Grid_Stock'!BN34</f>
        <v/>
      </c>
      <c r="BV39" s="17">
        <f>'Grid_Stock'!BO34</f>
        <v/>
      </c>
      <c r="BW39" s="17">
        <f>'Grid_Stock'!BP34</f>
        <v/>
      </c>
      <c r="BX39" s="17">
        <f>'Grid_Stock'!BQ34</f>
        <v/>
      </c>
      <c r="BY39" s="17">
        <f>'Grid_Stock'!BR34</f>
        <v/>
      </c>
      <c r="BZ39" s="17">
        <f>'Grid_Stock'!BS34</f>
        <v/>
      </c>
      <c r="CA39" s="17">
        <f>'Grid_Stock'!BT34</f>
        <v/>
      </c>
      <c r="CB39" s="17">
        <f>'Grid_Stock'!BU34</f>
        <v/>
      </c>
      <c r="CC39" s="17">
        <f>'Grid_Stock'!BV34</f>
        <v/>
      </c>
      <c r="CD39" s="17">
        <f>'Grid_Stock'!BW34</f>
        <v/>
      </c>
      <c r="CE39" s="17">
        <f>'Grid_Stock'!BX34</f>
        <v/>
      </c>
      <c r="CF39" s="17">
        <f>'Grid_Stock'!BY34</f>
        <v/>
      </c>
      <c r="CG39" s="17">
        <f>'Grid_Stock'!BZ34</f>
        <v/>
      </c>
      <c r="CH39" s="17">
        <f>'Grid_Stock'!CA34</f>
        <v/>
      </c>
      <c r="CI39" s="17">
        <f>'Grid_Stock'!CB34</f>
        <v/>
      </c>
      <c r="CJ39" s="17">
        <f>'Grid_Stock'!CC34</f>
        <v/>
      </c>
      <c r="CK39" s="17">
        <f>'Grid_Stock'!CD34</f>
        <v/>
      </c>
      <c r="CL39" s="17">
        <f>'Grid_Stock'!CE34</f>
        <v/>
      </c>
      <c r="CM39" s="17">
        <f>'Grid_Stock'!CF34</f>
        <v/>
      </c>
      <c r="CN39" s="17">
        <f>'Grid_Stock'!CG34</f>
        <v/>
      </c>
      <c r="CO39" s="17">
        <f>'Grid_Stock'!CH34</f>
        <v/>
      </c>
      <c r="CP39" s="17">
        <f>'Grid_Stock'!CI34</f>
        <v/>
      </c>
      <c r="CQ39" s="17">
        <f>'Grid_Stock'!CJ34</f>
        <v/>
      </c>
      <c r="CR39" s="17">
        <f>'Grid_Stock'!CK34</f>
        <v/>
      </c>
      <c r="CS39" s="17">
        <f>'Grid_Stock'!CL34</f>
        <v/>
      </c>
      <c r="CT39" s="17">
        <f>'Grid_Stock'!CM34</f>
        <v/>
      </c>
      <c r="CU39" s="17">
        <f>'Grid_Stock'!CN34</f>
        <v/>
      </c>
      <c r="CV39" s="17">
        <f>'Grid_Stock'!CO34</f>
        <v/>
      </c>
      <c r="CW39" s="17">
        <f>'Grid_Stock'!CP34</f>
        <v/>
      </c>
      <c r="CX39" s="17">
        <f>'Grid_Stock'!CQ34</f>
        <v/>
      </c>
      <c r="CY39" s="17">
        <f>'Grid_Stock'!CR34</f>
        <v/>
      </c>
      <c r="CZ39" s="17">
        <f>'Grid_Stock'!CS34</f>
        <v/>
      </c>
      <c r="DA39" s="17">
        <f>'Grid_Stock'!CT34</f>
        <v/>
      </c>
      <c r="DB39" s="17">
        <f>'Grid_Stock'!CU34</f>
        <v/>
      </c>
      <c r="DC39" s="17">
        <f>'Grid_Stock'!CV34</f>
        <v/>
      </c>
      <c r="DD39" s="17">
        <f>'Grid_Stock'!CW34</f>
        <v/>
      </c>
      <c r="DE39" s="17">
        <f>'Grid_Stock'!CX34</f>
        <v/>
      </c>
      <c r="DF39" s="17">
        <f>'Grid_Stock'!CY34</f>
        <v/>
      </c>
      <c r="DG39" s="17">
        <f>'Grid_Stock'!CZ34</f>
        <v/>
      </c>
      <c r="DH39" s="17">
        <f>'Grid_Stock'!DA34</f>
        <v/>
      </c>
    </row>
    <row r="40">
      <c r="A40" s="18" t="inlineStr">
        <is>
          <t>CHEM-1510</t>
        </is>
      </c>
      <c r="B40" s="18">
        <f>IFERROR(INDEX(M_RawMaterials[Description],MATCH($A40,M_RawMaterials[Part Name],0)),"")</f>
        <v/>
      </c>
      <c r="C40" s="18">
        <f>IFERROR(INDEX(M_RawMaterials[Category],MATCH($A40,M_RawMaterials[Part Name],0)),"")</f>
        <v/>
      </c>
      <c r="D40" s="18">
        <f>IFERROR(INDEX(M_RawMaterials[基準在庫下限_要入力],MATCH($A40,M_RawMaterials[Part Name],0)),0)</f>
        <v/>
      </c>
      <c r="E40" s="18">
        <f>IFERROR(INDEX(M_RawMaterials[基準在庫上限_要入力],MATCH($A40,M_RawMaterials[Part Name],0)),0)</f>
        <v/>
      </c>
      <c r="F40" s="18">
        <f>IFERROR(LOOKUP(2,1/('T_SelfStock'!$B$39:$DA$39&lt;&gt;""),'T_SelfStock'!$B$39:$DA$39),"")</f>
        <v/>
      </c>
      <c r="G40" s="18">
        <f>IFERROR(LOOKUP(2,1/('T_TTAFStock'!$B$39:$DA$39&lt;&gt;""),'T_TTAFStock'!$B$39:$DA$39),"")</f>
        <v/>
      </c>
      <c r="H40" s="18">
        <f>IFERROR(LOOKUP(2,1/('T_SelfStock'!$B$39:$DA$39&lt;&gt;""),'T_SelfStock'!$B$5:$DA$5),"")</f>
        <v/>
      </c>
      <c r="I40" s="18">
        <f>'Grid_Stock'!B35</f>
        <v/>
      </c>
      <c r="J40" s="18">
        <f>'Grid_Stock'!C35</f>
        <v/>
      </c>
      <c r="K40" s="18">
        <f>'Grid_Stock'!D35</f>
        <v/>
      </c>
      <c r="L40" s="18">
        <f>'Grid_Stock'!E35</f>
        <v/>
      </c>
      <c r="M40" s="18">
        <f>'Grid_Stock'!F35</f>
        <v/>
      </c>
      <c r="N40" s="18">
        <f>'Grid_Stock'!G35</f>
        <v/>
      </c>
      <c r="O40" s="18">
        <f>'Grid_Stock'!H35</f>
        <v/>
      </c>
      <c r="P40" s="18">
        <f>'Grid_Stock'!I35</f>
        <v/>
      </c>
      <c r="Q40" s="18">
        <f>'Grid_Stock'!J35</f>
        <v/>
      </c>
      <c r="R40" s="18">
        <f>'Grid_Stock'!K35</f>
        <v/>
      </c>
      <c r="S40" s="18">
        <f>'Grid_Stock'!L35</f>
        <v/>
      </c>
      <c r="T40" s="18">
        <f>'Grid_Stock'!M35</f>
        <v/>
      </c>
      <c r="U40" s="18">
        <f>'Grid_Stock'!N35</f>
        <v/>
      </c>
      <c r="V40" s="18">
        <f>'Grid_Stock'!O35</f>
        <v/>
      </c>
      <c r="W40" s="18">
        <f>'Grid_Stock'!P35</f>
        <v/>
      </c>
      <c r="X40" s="18">
        <f>'Grid_Stock'!Q35</f>
        <v/>
      </c>
      <c r="Y40" s="18">
        <f>'Grid_Stock'!R35</f>
        <v/>
      </c>
      <c r="Z40" s="18">
        <f>'Grid_Stock'!S35</f>
        <v/>
      </c>
      <c r="AA40" s="18">
        <f>'Grid_Stock'!T35</f>
        <v/>
      </c>
      <c r="AB40" s="18">
        <f>'Grid_Stock'!U35</f>
        <v/>
      </c>
      <c r="AC40" s="18">
        <f>'Grid_Stock'!V35</f>
        <v/>
      </c>
      <c r="AD40" s="18">
        <f>'Grid_Stock'!W35</f>
        <v/>
      </c>
      <c r="AE40" s="18">
        <f>'Grid_Stock'!X35</f>
        <v/>
      </c>
      <c r="AF40" s="18">
        <f>'Grid_Stock'!Y35</f>
        <v/>
      </c>
      <c r="AG40" s="18">
        <f>'Grid_Stock'!Z35</f>
        <v/>
      </c>
      <c r="AH40" s="18">
        <f>'Grid_Stock'!AA35</f>
        <v/>
      </c>
      <c r="AI40" s="18">
        <f>'Grid_Stock'!AB35</f>
        <v/>
      </c>
      <c r="AJ40" s="18">
        <f>'Grid_Stock'!AC35</f>
        <v/>
      </c>
      <c r="AK40" s="18">
        <f>'Grid_Stock'!AD35</f>
        <v/>
      </c>
      <c r="AL40" s="18">
        <f>'Grid_Stock'!AE35</f>
        <v/>
      </c>
      <c r="AM40" s="18">
        <f>'Grid_Stock'!AF35</f>
        <v/>
      </c>
      <c r="AN40" s="18">
        <f>'Grid_Stock'!AG35</f>
        <v/>
      </c>
      <c r="AO40" s="18">
        <f>'Grid_Stock'!AH35</f>
        <v/>
      </c>
      <c r="AP40" s="18">
        <f>'Grid_Stock'!AI35</f>
        <v/>
      </c>
      <c r="AQ40" s="18">
        <f>'Grid_Stock'!AJ35</f>
        <v/>
      </c>
      <c r="AR40" s="18">
        <f>'Grid_Stock'!AK35</f>
        <v/>
      </c>
      <c r="AS40" s="18">
        <f>'Grid_Stock'!AL35</f>
        <v/>
      </c>
      <c r="AT40" s="18">
        <f>'Grid_Stock'!AM35</f>
        <v/>
      </c>
      <c r="AU40" s="18">
        <f>'Grid_Stock'!AN35</f>
        <v/>
      </c>
      <c r="AV40" s="18">
        <f>'Grid_Stock'!AO35</f>
        <v/>
      </c>
      <c r="AW40" s="18">
        <f>'Grid_Stock'!AP35</f>
        <v/>
      </c>
      <c r="AX40" s="18">
        <f>'Grid_Stock'!AQ35</f>
        <v/>
      </c>
      <c r="AY40" s="18">
        <f>'Grid_Stock'!AR35</f>
        <v/>
      </c>
      <c r="AZ40" s="18">
        <f>'Grid_Stock'!AS35</f>
        <v/>
      </c>
      <c r="BA40" s="18">
        <f>'Grid_Stock'!AT35</f>
        <v/>
      </c>
      <c r="BB40" s="18">
        <f>'Grid_Stock'!AU35</f>
        <v/>
      </c>
      <c r="BC40" s="18">
        <f>'Grid_Stock'!AV35</f>
        <v/>
      </c>
      <c r="BD40" s="18">
        <f>'Grid_Stock'!AW35</f>
        <v/>
      </c>
      <c r="BE40" s="18">
        <f>'Grid_Stock'!AX35</f>
        <v/>
      </c>
      <c r="BF40" s="18">
        <f>'Grid_Stock'!AY35</f>
        <v/>
      </c>
      <c r="BG40" s="18">
        <f>'Grid_Stock'!AZ35</f>
        <v/>
      </c>
      <c r="BH40" s="18">
        <f>'Grid_Stock'!BA35</f>
        <v/>
      </c>
      <c r="BI40" s="18">
        <f>'Grid_Stock'!BB35</f>
        <v/>
      </c>
      <c r="BJ40" s="18">
        <f>'Grid_Stock'!BC35</f>
        <v/>
      </c>
      <c r="BK40" s="18">
        <f>'Grid_Stock'!BD35</f>
        <v/>
      </c>
      <c r="BL40" s="18">
        <f>'Grid_Stock'!BE35</f>
        <v/>
      </c>
      <c r="BM40" s="18">
        <f>'Grid_Stock'!BF35</f>
        <v/>
      </c>
      <c r="BN40" s="18">
        <f>'Grid_Stock'!BG35</f>
        <v/>
      </c>
      <c r="BO40" s="18">
        <f>'Grid_Stock'!BH35</f>
        <v/>
      </c>
      <c r="BP40" s="18">
        <f>'Grid_Stock'!BI35</f>
        <v/>
      </c>
      <c r="BQ40" s="18">
        <f>'Grid_Stock'!BJ35</f>
        <v/>
      </c>
      <c r="BR40" s="18">
        <f>'Grid_Stock'!BK35</f>
        <v/>
      </c>
      <c r="BS40" s="18">
        <f>'Grid_Stock'!BL35</f>
        <v/>
      </c>
      <c r="BT40" s="18">
        <f>'Grid_Stock'!BM35</f>
        <v/>
      </c>
      <c r="BU40" s="18">
        <f>'Grid_Stock'!BN35</f>
        <v/>
      </c>
      <c r="BV40" s="18">
        <f>'Grid_Stock'!BO35</f>
        <v/>
      </c>
      <c r="BW40" s="18">
        <f>'Grid_Stock'!BP35</f>
        <v/>
      </c>
      <c r="BX40" s="18">
        <f>'Grid_Stock'!BQ35</f>
        <v/>
      </c>
      <c r="BY40" s="18">
        <f>'Grid_Stock'!BR35</f>
        <v/>
      </c>
      <c r="BZ40" s="18">
        <f>'Grid_Stock'!BS35</f>
        <v/>
      </c>
      <c r="CA40" s="18">
        <f>'Grid_Stock'!BT35</f>
        <v/>
      </c>
      <c r="CB40" s="18">
        <f>'Grid_Stock'!BU35</f>
        <v/>
      </c>
      <c r="CC40" s="18">
        <f>'Grid_Stock'!BV35</f>
        <v/>
      </c>
      <c r="CD40" s="18">
        <f>'Grid_Stock'!BW35</f>
        <v/>
      </c>
      <c r="CE40" s="18">
        <f>'Grid_Stock'!BX35</f>
        <v/>
      </c>
      <c r="CF40" s="18">
        <f>'Grid_Stock'!BY35</f>
        <v/>
      </c>
      <c r="CG40" s="18">
        <f>'Grid_Stock'!BZ35</f>
        <v/>
      </c>
      <c r="CH40" s="18">
        <f>'Grid_Stock'!CA35</f>
        <v/>
      </c>
      <c r="CI40" s="18">
        <f>'Grid_Stock'!CB35</f>
        <v/>
      </c>
      <c r="CJ40" s="18">
        <f>'Grid_Stock'!CC35</f>
        <v/>
      </c>
      <c r="CK40" s="18">
        <f>'Grid_Stock'!CD35</f>
        <v/>
      </c>
      <c r="CL40" s="18">
        <f>'Grid_Stock'!CE35</f>
        <v/>
      </c>
      <c r="CM40" s="18">
        <f>'Grid_Stock'!CF35</f>
        <v/>
      </c>
      <c r="CN40" s="18">
        <f>'Grid_Stock'!CG35</f>
        <v/>
      </c>
      <c r="CO40" s="18">
        <f>'Grid_Stock'!CH35</f>
        <v/>
      </c>
      <c r="CP40" s="18">
        <f>'Grid_Stock'!CI35</f>
        <v/>
      </c>
      <c r="CQ40" s="18">
        <f>'Grid_Stock'!CJ35</f>
        <v/>
      </c>
      <c r="CR40" s="18">
        <f>'Grid_Stock'!CK35</f>
        <v/>
      </c>
      <c r="CS40" s="18">
        <f>'Grid_Stock'!CL35</f>
        <v/>
      </c>
      <c r="CT40" s="18">
        <f>'Grid_Stock'!CM35</f>
        <v/>
      </c>
      <c r="CU40" s="18">
        <f>'Grid_Stock'!CN35</f>
        <v/>
      </c>
      <c r="CV40" s="18">
        <f>'Grid_Stock'!CO35</f>
        <v/>
      </c>
      <c r="CW40" s="18">
        <f>'Grid_Stock'!CP35</f>
        <v/>
      </c>
      <c r="CX40" s="18">
        <f>'Grid_Stock'!CQ35</f>
        <v/>
      </c>
      <c r="CY40" s="18">
        <f>'Grid_Stock'!CR35</f>
        <v/>
      </c>
      <c r="CZ40" s="18">
        <f>'Grid_Stock'!CS35</f>
        <v/>
      </c>
      <c r="DA40" s="18">
        <f>'Grid_Stock'!CT35</f>
        <v/>
      </c>
      <c r="DB40" s="18">
        <f>'Grid_Stock'!CU35</f>
        <v/>
      </c>
      <c r="DC40" s="18">
        <f>'Grid_Stock'!CV35</f>
        <v/>
      </c>
      <c r="DD40" s="18">
        <f>'Grid_Stock'!CW35</f>
        <v/>
      </c>
      <c r="DE40" s="18">
        <f>'Grid_Stock'!CX35</f>
        <v/>
      </c>
      <c r="DF40" s="18">
        <f>'Grid_Stock'!CY35</f>
        <v/>
      </c>
      <c r="DG40" s="18">
        <f>'Grid_Stock'!CZ35</f>
        <v/>
      </c>
      <c r="DH40" s="18">
        <f>'Grid_Stock'!DA35</f>
        <v/>
      </c>
    </row>
    <row r="41">
      <c r="A41" s="17" t="inlineStr">
        <is>
          <t>CHEM-1770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IFERROR(LOOKUP(2,1/('T_SelfStock'!$B$40:$DA$40&lt;&gt;""),'T_SelfStock'!$B$40:$DA$40),"")</f>
        <v/>
      </c>
      <c r="G41" s="17">
        <f>IFERROR(LOOKUP(2,1/('T_TTAFStock'!$B$40:$DA$40&lt;&gt;""),'T_TTAFStock'!$B$40:$DA$40),"")</f>
        <v/>
      </c>
      <c r="H41" s="17">
        <f>IFERROR(LOOKUP(2,1/('T_SelfStock'!$B$40:$DA$40&lt;&gt;""),'T_SelfStock'!$B$5:$DA$5),"")</f>
        <v/>
      </c>
      <c r="I41" s="17">
        <f>'Grid_Stock'!B36</f>
        <v/>
      </c>
      <c r="J41" s="17">
        <f>'Grid_Stock'!C36</f>
        <v/>
      </c>
      <c r="K41" s="17">
        <f>'Grid_Stock'!D36</f>
        <v/>
      </c>
      <c r="L41" s="17">
        <f>'Grid_Stock'!E36</f>
        <v/>
      </c>
      <c r="M41" s="17">
        <f>'Grid_Stock'!F36</f>
        <v/>
      </c>
      <c r="N41" s="17">
        <f>'Grid_Stock'!G36</f>
        <v/>
      </c>
      <c r="O41" s="17">
        <f>'Grid_Stock'!H36</f>
        <v/>
      </c>
      <c r="P41" s="17">
        <f>'Grid_Stock'!I36</f>
        <v/>
      </c>
      <c r="Q41" s="17">
        <f>'Grid_Stock'!J36</f>
        <v/>
      </c>
      <c r="R41" s="17">
        <f>'Grid_Stock'!K36</f>
        <v/>
      </c>
      <c r="S41" s="17">
        <f>'Grid_Stock'!L36</f>
        <v/>
      </c>
      <c r="T41" s="17">
        <f>'Grid_Stock'!M36</f>
        <v/>
      </c>
      <c r="U41" s="17">
        <f>'Grid_Stock'!N36</f>
        <v/>
      </c>
      <c r="V41" s="17">
        <f>'Grid_Stock'!O36</f>
        <v/>
      </c>
      <c r="W41" s="17">
        <f>'Grid_Stock'!P36</f>
        <v/>
      </c>
      <c r="X41" s="17">
        <f>'Grid_Stock'!Q36</f>
        <v/>
      </c>
      <c r="Y41" s="17">
        <f>'Grid_Stock'!R36</f>
        <v/>
      </c>
      <c r="Z41" s="17">
        <f>'Grid_Stock'!S36</f>
        <v/>
      </c>
      <c r="AA41" s="17">
        <f>'Grid_Stock'!T36</f>
        <v/>
      </c>
      <c r="AB41" s="17">
        <f>'Grid_Stock'!U36</f>
        <v/>
      </c>
      <c r="AC41" s="17">
        <f>'Grid_Stock'!V36</f>
        <v/>
      </c>
      <c r="AD41" s="17">
        <f>'Grid_Stock'!W36</f>
        <v/>
      </c>
      <c r="AE41" s="17">
        <f>'Grid_Stock'!X36</f>
        <v/>
      </c>
      <c r="AF41" s="17">
        <f>'Grid_Stock'!Y36</f>
        <v/>
      </c>
      <c r="AG41" s="17">
        <f>'Grid_Stock'!Z36</f>
        <v/>
      </c>
      <c r="AH41" s="17">
        <f>'Grid_Stock'!AA36</f>
        <v/>
      </c>
      <c r="AI41" s="17">
        <f>'Grid_Stock'!AB36</f>
        <v/>
      </c>
      <c r="AJ41" s="17">
        <f>'Grid_Stock'!AC36</f>
        <v/>
      </c>
      <c r="AK41" s="17">
        <f>'Grid_Stock'!AD36</f>
        <v/>
      </c>
      <c r="AL41" s="17">
        <f>'Grid_Stock'!AE36</f>
        <v/>
      </c>
      <c r="AM41" s="17">
        <f>'Grid_Stock'!AF36</f>
        <v/>
      </c>
      <c r="AN41" s="17">
        <f>'Grid_Stock'!AG36</f>
        <v/>
      </c>
      <c r="AO41" s="17">
        <f>'Grid_Stock'!AH36</f>
        <v/>
      </c>
      <c r="AP41" s="17">
        <f>'Grid_Stock'!AI36</f>
        <v/>
      </c>
      <c r="AQ41" s="17">
        <f>'Grid_Stock'!AJ36</f>
        <v/>
      </c>
      <c r="AR41" s="17">
        <f>'Grid_Stock'!AK36</f>
        <v/>
      </c>
      <c r="AS41" s="17">
        <f>'Grid_Stock'!AL36</f>
        <v/>
      </c>
      <c r="AT41" s="17">
        <f>'Grid_Stock'!AM36</f>
        <v/>
      </c>
      <c r="AU41" s="17">
        <f>'Grid_Stock'!AN36</f>
        <v/>
      </c>
      <c r="AV41" s="17">
        <f>'Grid_Stock'!AO36</f>
        <v/>
      </c>
      <c r="AW41" s="17">
        <f>'Grid_Stock'!AP36</f>
        <v/>
      </c>
      <c r="AX41" s="17">
        <f>'Grid_Stock'!AQ36</f>
        <v/>
      </c>
      <c r="AY41" s="17">
        <f>'Grid_Stock'!AR36</f>
        <v/>
      </c>
      <c r="AZ41" s="17">
        <f>'Grid_Stock'!AS36</f>
        <v/>
      </c>
      <c r="BA41" s="17">
        <f>'Grid_Stock'!AT36</f>
        <v/>
      </c>
      <c r="BB41" s="17">
        <f>'Grid_Stock'!AU36</f>
        <v/>
      </c>
      <c r="BC41" s="17">
        <f>'Grid_Stock'!AV36</f>
        <v/>
      </c>
      <c r="BD41" s="17">
        <f>'Grid_Stock'!AW36</f>
        <v/>
      </c>
      <c r="BE41" s="17">
        <f>'Grid_Stock'!AX36</f>
        <v/>
      </c>
      <c r="BF41" s="17">
        <f>'Grid_Stock'!AY36</f>
        <v/>
      </c>
      <c r="BG41" s="17">
        <f>'Grid_Stock'!AZ36</f>
        <v/>
      </c>
      <c r="BH41" s="17">
        <f>'Grid_Stock'!BA36</f>
        <v/>
      </c>
      <c r="BI41" s="17">
        <f>'Grid_Stock'!BB36</f>
        <v/>
      </c>
      <c r="BJ41" s="17">
        <f>'Grid_Stock'!BC36</f>
        <v/>
      </c>
      <c r="BK41" s="17">
        <f>'Grid_Stock'!BD36</f>
        <v/>
      </c>
      <c r="BL41" s="17">
        <f>'Grid_Stock'!BE36</f>
        <v/>
      </c>
      <c r="BM41" s="17">
        <f>'Grid_Stock'!BF36</f>
        <v/>
      </c>
      <c r="BN41" s="17">
        <f>'Grid_Stock'!BG36</f>
        <v/>
      </c>
      <c r="BO41" s="17">
        <f>'Grid_Stock'!BH36</f>
        <v/>
      </c>
      <c r="BP41" s="17">
        <f>'Grid_Stock'!BI36</f>
        <v/>
      </c>
      <c r="BQ41" s="17">
        <f>'Grid_Stock'!BJ36</f>
        <v/>
      </c>
      <c r="BR41" s="17">
        <f>'Grid_Stock'!BK36</f>
        <v/>
      </c>
      <c r="BS41" s="17">
        <f>'Grid_Stock'!BL36</f>
        <v/>
      </c>
      <c r="BT41" s="17">
        <f>'Grid_Stock'!BM36</f>
        <v/>
      </c>
      <c r="BU41" s="17">
        <f>'Grid_Stock'!BN36</f>
        <v/>
      </c>
      <c r="BV41" s="17">
        <f>'Grid_Stock'!BO36</f>
        <v/>
      </c>
      <c r="BW41" s="17">
        <f>'Grid_Stock'!BP36</f>
        <v/>
      </c>
      <c r="BX41" s="17">
        <f>'Grid_Stock'!BQ36</f>
        <v/>
      </c>
      <c r="BY41" s="17">
        <f>'Grid_Stock'!BR36</f>
        <v/>
      </c>
      <c r="BZ41" s="17">
        <f>'Grid_Stock'!BS36</f>
        <v/>
      </c>
      <c r="CA41" s="17">
        <f>'Grid_Stock'!BT36</f>
        <v/>
      </c>
      <c r="CB41" s="17">
        <f>'Grid_Stock'!BU36</f>
        <v/>
      </c>
      <c r="CC41" s="17">
        <f>'Grid_Stock'!BV36</f>
        <v/>
      </c>
      <c r="CD41" s="17">
        <f>'Grid_Stock'!BW36</f>
        <v/>
      </c>
      <c r="CE41" s="17">
        <f>'Grid_Stock'!BX36</f>
        <v/>
      </c>
      <c r="CF41" s="17">
        <f>'Grid_Stock'!BY36</f>
        <v/>
      </c>
      <c r="CG41" s="17">
        <f>'Grid_Stock'!BZ36</f>
        <v/>
      </c>
      <c r="CH41" s="17">
        <f>'Grid_Stock'!CA36</f>
        <v/>
      </c>
      <c r="CI41" s="17">
        <f>'Grid_Stock'!CB36</f>
        <v/>
      </c>
      <c r="CJ41" s="17">
        <f>'Grid_Stock'!CC36</f>
        <v/>
      </c>
      <c r="CK41" s="17">
        <f>'Grid_Stock'!CD36</f>
        <v/>
      </c>
      <c r="CL41" s="17">
        <f>'Grid_Stock'!CE36</f>
        <v/>
      </c>
      <c r="CM41" s="17">
        <f>'Grid_Stock'!CF36</f>
        <v/>
      </c>
      <c r="CN41" s="17">
        <f>'Grid_Stock'!CG36</f>
        <v/>
      </c>
      <c r="CO41" s="17">
        <f>'Grid_Stock'!CH36</f>
        <v/>
      </c>
      <c r="CP41" s="17">
        <f>'Grid_Stock'!CI36</f>
        <v/>
      </c>
      <c r="CQ41" s="17">
        <f>'Grid_Stock'!CJ36</f>
        <v/>
      </c>
      <c r="CR41" s="17">
        <f>'Grid_Stock'!CK36</f>
        <v/>
      </c>
      <c r="CS41" s="17">
        <f>'Grid_Stock'!CL36</f>
        <v/>
      </c>
      <c r="CT41" s="17">
        <f>'Grid_Stock'!CM36</f>
        <v/>
      </c>
      <c r="CU41" s="17">
        <f>'Grid_Stock'!CN36</f>
        <v/>
      </c>
      <c r="CV41" s="17">
        <f>'Grid_Stock'!CO36</f>
        <v/>
      </c>
      <c r="CW41" s="17">
        <f>'Grid_Stock'!CP36</f>
        <v/>
      </c>
      <c r="CX41" s="17">
        <f>'Grid_Stock'!CQ36</f>
        <v/>
      </c>
      <c r="CY41" s="17">
        <f>'Grid_Stock'!CR36</f>
        <v/>
      </c>
      <c r="CZ41" s="17">
        <f>'Grid_Stock'!CS36</f>
        <v/>
      </c>
      <c r="DA41" s="17">
        <f>'Grid_Stock'!CT36</f>
        <v/>
      </c>
      <c r="DB41" s="17">
        <f>'Grid_Stock'!CU36</f>
        <v/>
      </c>
      <c r="DC41" s="17">
        <f>'Grid_Stock'!CV36</f>
        <v/>
      </c>
      <c r="DD41" s="17">
        <f>'Grid_Stock'!CW36</f>
        <v/>
      </c>
      <c r="DE41" s="17">
        <f>'Grid_Stock'!CX36</f>
        <v/>
      </c>
      <c r="DF41" s="17">
        <f>'Grid_Stock'!CY36</f>
        <v/>
      </c>
      <c r="DG41" s="17">
        <f>'Grid_Stock'!CZ36</f>
        <v/>
      </c>
      <c r="DH41" s="17">
        <f>'Grid_Stock'!DA36</f>
        <v/>
      </c>
    </row>
    <row r="42">
      <c r="A42" s="18" t="inlineStr">
        <is>
          <t>CHEM-1020</t>
        </is>
      </c>
      <c r="B42" s="18">
        <f>IFERROR(INDEX(M_RawMaterials[Description],MATCH($A42,M_RawMaterials[Part Name],0)),"")</f>
        <v/>
      </c>
      <c r="C42" s="18">
        <f>IFERROR(INDEX(M_RawMaterials[Category],MATCH($A42,M_RawMaterials[Part Name],0)),"")</f>
        <v/>
      </c>
      <c r="D42" s="18">
        <f>IFERROR(INDEX(M_RawMaterials[基準在庫下限_要入力],MATCH($A42,M_RawMaterials[Part Name],0)),0)</f>
        <v/>
      </c>
      <c r="E42" s="18">
        <f>IFERROR(INDEX(M_RawMaterials[基準在庫上限_要入力],MATCH($A42,M_RawMaterials[Part Name],0)),0)</f>
        <v/>
      </c>
      <c r="F42" s="18">
        <f>IFERROR(LOOKUP(2,1/('T_SelfStock'!$B$41:$DA$41&lt;&gt;""),'T_SelfStock'!$B$41:$DA$41),"")</f>
        <v/>
      </c>
      <c r="G42" s="18">
        <f>IFERROR(LOOKUP(2,1/('T_TTAFStock'!$B$41:$DA$41&lt;&gt;""),'T_TTAFStock'!$B$41:$DA$41),"")</f>
        <v/>
      </c>
      <c r="H42" s="18">
        <f>IFERROR(LOOKUP(2,1/('T_SelfStock'!$B$41:$DA$41&lt;&gt;""),'T_SelfStock'!$B$5:$DA$5),"")</f>
        <v/>
      </c>
      <c r="I42" s="18">
        <f>'Grid_Stock'!B37</f>
        <v/>
      </c>
      <c r="J42" s="18">
        <f>'Grid_Stock'!C37</f>
        <v/>
      </c>
      <c r="K42" s="18">
        <f>'Grid_Stock'!D37</f>
        <v/>
      </c>
      <c r="L42" s="18">
        <f>'Grid_Stock'!E37</f>
        <v/>
      </c>
      <c r="M42" s="18">
        <f>'Grid_Stock'!F37</f>
        <v/>
      </c>
      <c r="N42" s="18">
        <f>'Grid_Stock'!G37</f>
        <v/>
      </c>
      <c r="O42" s="18">
        <f>'Grid_Stock'!H37</f>
        <v/>
      </c>
      <c r="P42" s="18">
        <f>'Grid_Stock'!I37</f>
        <v/>
      </c>
      <c r="Q42" s="18">
        <f>'Grid_Stock'!J37</f>
        <v/>
      </c>
      <c r="R42" s="18">
        <f>'Grid_Stock'!K37</f>
        <v/>
      </c>
      <c r="S42" s="18">
        <f>'Grid_Stock'!L37</f>
        <v/>
      </c>
      <c r="T42" s="18">
        <f>'Grid_Stock'!M37</f>
        <v/>
      </c>
      <c r="U42" s="18">
        <f>'Grid_Stock'!N37</f>
        <v/>
      </c>
      <c r="V42" s="18">
        <f>'Grid_Stock'!O37</f>
        <v/>
      </c>
      <c r="W42" s="18">
        <f>'Grid_Stock'!P37</f>
        <v/>
      </c>
      <c r="X42" s="18">
        <f>'Grid_Stock'!Q37</f>
        <v/>
      </c>
      <c r="Y42" s="18">
        <f>'Grid_Stock'!R37</f>
        <v/>
      </c>
      <c r="Z42" s="18">
        <f>'Grid_Stock'!S37</f>
        <v/>
      </c>
      <c r="AA42" s="18">
        <f>'Grid_Stock'!T37</f>
        <v/>
      </c>
      <c r="AB42" s="18">
        <f>'Grid_Stock'!U37</f>
        <v/>
      </c>
      <c r="AC42" s="18">
        <f>'Grid_Stock'!V37</f>
        <v/>
      </c>
      <c r="AD42" s="18">
        <f>'Grid_Stock'!W37</f>
        <v/>
      </c>
      <c r="AE42" s="18">
        <f>'Grid_Stock'!X37</f>
        <v/>
      </c>
      <c r="AF42" s="18">
        <f>'Grid_Stock'!Y37</f>
        <v/>
      </c>
      <c r="AG42" s="18">
        <f>'Grid_Stock'!Z37</f>
        <v/>
      </c>
      <c r="AH42" s="18">
        <f>'Grid_Stock'!AA37</f>
        <v/>
      </c>
      <c r="AI42" s="18">
        <f>'Grid_Stock'!AB37</f>
        <v/>
      </c>
      <c r="AJ42" s="18">
        <f>'Grid_Stock'!AC37</f>
        <v/>
      </c>
      <c r="AK42" s="18">
        <f>'Grid_Stock'!AD37</f>
        <v/>
      </c>
      <c r="AL42" s="18">
        <f>'Grid_Stock'!AE37</f>
        <v/>
      </c>
      <c r="AM42" s="18">
        <f>'Grid_Stock'!AF37</f>
        <v/>
      </c>
      <c r="AN42" s="18">
        <f>'Grid_Stock'!AG37</f>
        <v/>
      </c>
      <c r="AO42" s="18">
        <f>'Grid_Stock'!AH37</f>
        <v/>
      </c>
      <c r="AP42" s="18">
        <f>'Grid_Stock'!AI37</f>
        <v/>
      </c>
      <c r="AQ42" s="18">
        <f>'Grid_Stock'!AJ37</f>
        <v/>
      </c>
      <c r="AR42" s="18">
        <f>'Grid_Stock'!AK37</f>
        <v/>
      </c>
      <c r="AS42" s="18">
        <f>'Grid_Stock'!AL37</f>
        <v/>
      </c>
      <c r="AT42" s="18">
        <f>'Grid_Stock'!AM37</f>
        <v/>
      </c>
      <c r="AU42" s="18">
        <f>'Grid_Stock'!AN37</f>
        <v/>
      </c>
      <c r="AV42" s="18">
        <f>'Grid_Stock'!AO37</f>
        <v/>
      </c>
      <c r="AW42" s="18">
        <f>'Grid_Stock'!AP37</f>
        <v/>
      </c>
      <c r="AX42" s="18">
        <f>'Grid_Stock'!AQ37</f>
        <v/>
      </c>
      <c r="AY42" s="18">
        <f>'Grid_Stock'!AR37</f>
        <v/>
      </c>
      <c r="AZ42" s="18">
        <f>'Grid_Stock'!AS37</f>
        <v/>
      </c>
      <c r="BA42" s="18">
        <f>'Grid_Stock'!AT37</f>
        <v/>
      </c>
      <c r="BB42" s="18">
        <f>'Grid_Stock'!AU37</f>
        <v/>
      </c>
      <c r="BC42" s="18">
        <f>'Grid_Stock'!AV37</f>
        <v/>
      </c>
      <c r="BD42" s="18">
        <f>'Grid_Stock'!AW37</f>
        <v/>
      </c>
      <c r="BE42" s="18">
        <f>'Grid_Stock'!AX37</f>
        <v/>
      </c>
      <c r="BF42" s="18">
        <f>'Grid_Stock'!AY37</f>
        <v/>
      </c>
      <c r="BG42" s="18">
        <f>'Grid_Stock'!AZ37</f>
        <v/>
      </c>
      <c r="BH42" s="18">
        <f>'Grid_Stock'!BA37</f>
        <v/>
      </c>
      <c r="BI42" s="18">
        <f>'Grid_Stock'!BB37</f>
        <v/>
      </c>
      <c r="BJ42" s="18">
        <f>'Grid_Stock'!BC37</f>
        <v/>
      </c>
      <c r="BK42" s="18">
        <f>'Grid_Stock'!BD37</f>
        <v/>
      </c>
      <c r="BL42" s="18">
        <f>'Grid_Stock'!BE37</f>
        <v/>
      </c>
      <c r="BM42" s="18">
        <f>'Grid_Stock'!BF37</f>
        <v/>
      </c>
      <c r="BN42" s="18">
        <f>'Grid_Stock'!BG37</f>
        <v/>
      </c>
      <c r="BO42" s="18">
        <f>'Grid_Stock'!BH37</f>
        <v/>
      </c>
      <c r="BP42" s="18">
        <f>'Grid_Stock'!BI37</f>
        <v/>
      </c>
      <c r="BQ42" s="18">
        <f>'Grid_Stock'!BJ37</f>
        <v/>
      </c>
      <c r="BR42" s="18">
        <f>'Grid_Stock'!BK37</f>
        <v/>
      </c>
      <c r="BS42" s="18">
        <f>'Grid_Stock'!BL37</f>
        <v/>
      </c>
      <c r="BT42" s="18">
        <f>'Grid_Stock'!BM37</f>
        <v/>
      </c>
      <c r="BU42" s="18">
        <f>'Grid_Stock'!BN37</f>
        <v/>
      </c>
      <c r="BV42" s="18">
        <f>'Grid_Stock'!BO37</f>
        <v/>
      </c>
      <c r="BW42" s="18">
        <f>'Grid_Stock'!BP37</f>
        <v/>
      </c>
      <c r="BX42" s="18">
        <f>'Grid_Stock'!BQ37</f>
        <v/>
      </c>
      <c r="BY42" s="18">
        <f>'Grid_Stock'!BR37</f>
        <v/>
      </c>
      <c r="BZ42" s="18">
        <f>'Grid_Stock'!BS37</f>
        <v/>
      </c>
      <c r="CA42" s="18">
        <f>'Grid_Stock'!BT37</f>
        <v/>
      </c>
      <c r="CB42" s="18">
        <f>'Grid_Stock'!BU37</f>
        <v/>
      </c>
      <c r="CC42" s="18">
        <f>'Grid_Stock'!BV37</f>
        <v/>
      </c>
      <c r="CD42" s="18">
        <f>'Grid_Stock'!BW37</f>
        <v/>
      </c>
      <c r="CE42" s="18">
        <f>'Grid_Stock'!BX37</f>
        <v/>
      </c>
      <c r="CF42" s="18">
        <f>'Grid_Stock'!BY37</f>
        <v/>
      </c>
      <c r="CG42" s="18">
        <f>'Grid_Stock'!BZ37</f>
        <v/>
      </c>
      <c r="CH42" s="18">
        <f>'Grid_Stock'!CA37</f>
        <v/>
      </c>
      <c r="CI42" s="18">
        <f>'Grid_Stock'!CB37</f>
        <v/>
      </c>
      <c r="CJ42" s="18">
        <f>'Grid_Stock'!CC37</f>
        <v/>
      </c>
      <c r="CK42" s="18">
        <f>'Grid_Stock'!CD37</f>
        <v/>
      </c>
      <c r="CL42" s="18">
        <f>'Grid_Stock'!CE37</f>
        <v/>
      </c>
      <c r="CM42" s="18">
        <f>'Grid_Stock'!CF37</f>
        <v/>
      </c>
      <c r="CN42" s="18">
        <f>'Grid_Stock'!CG37</f>
        <v/>
      </c>
      <c r="CO42" s="18">
        <f>'Grid_Stock'!CH37</f>
        <v/>
      </c>
      <c r="CP42" s="18">
        <f>'Grid_Stock'!CI37</f>
        <v/>
      </c>
      <c r="CQ42" s="18">
        <f>'Grid_Stock'!CJ37</f>
        <v/>
      </c>
      <c r="CR42" s="18">
        <f>'Grid_Stock'!CK37</f>
        <v/>
      </c>
      <c r="CS42" s="18">
        <f>'Grid_Stock'!CL37</f>
        <v/>
      </c>
      <c r="CT42" s="18">
        <f>'Grid_Stock'!CM37</f>
        <v/>
      </c>
      <c r="CU42" s="18">
        <f>'Grid_Stock'!CN37</f>
        <v/>
      </c>
      <c r="CV42" s="18">
        <f>'Grid_Stock'!CO37</f>
        <v/>
      </c>
      <c r="CW42" s="18">
        <f>'Grid_Stock'!CP37</f>
        <v/>
      </c>
      <c r="CX42" s="18">
        <f>'Grid_Stock'!CQ37</f>
        <v/>
      </c>
      <c r="CY42" s="18">
        <f>'Grid_Stock'!CR37</f>
        <v/>
      </c>
      <c r="CZ42" s="18">
        <f>'Grid_Stock'!CS37</f>
        <v/>
      </c>
      <c r="DA42" s="18">
        <f>'Grid_Stock'!CT37</f>
        <v/>
      </c>
      <c r="DB42" s="18">
        <f>'Grid_Stock'!CU37</f>
        <v/>
      </c>
      <c r="DC42" s="18">
        <f>'Grid_Stock'!CV37</f>
        <v/>
      </c>
      <c r="DD42" s="18">
        <f>'Grid_Stock'!CW37</f>
        <v/>
      </c>
      <c r="DE42" s="18">
        <f>'Grid_Stock'!CX37</f>
        <v/>
      </c>
      <c r="DF42" s="18">
        <f>'Grid_Stock'!CY37</f>
        <v/>
      </c>
      <c r="DG42" s="18">
        <f>'Grid_Stock'!CZ37</f>
        <v/>
      </c>
      <c r="DH42" s="18">
        <f>'Grid_Stock'!DA37</f>
        <v/>
      </c>
    </row>
    <row r="43">
      <c r="A43" s="17" t="inlineStr">
        <is>
          <t>Ester Film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IFERROR(LOOKUP(2,1/('T_SelfStock'!$B$42:$DA$42&lt;&gt;""),'T_SelfStock'!$B$42:$DA$42),"")</f>
        <v/>
      </c>
      <c r="G43" s="17">
        <f>IFERROR(LOOKUP(2,1/('T_TTAFStock'!$B$42:$DA$42&lt;&gt;""),'T_TTAFStock'!$B$42:$DA$42),"")</f>
        <v/>
      </c>
      <c r="H43" s="17">
        <f>IFERROR(LOOKUP(2,1/('T_SelfStock'!$B$42:$DA$42&lt;&gt;""),'T_SelfStock'!$B$5:$DA$5),"")</f>
        <v/>
      </c>
      <c r="I43" s="17">
        <f>'Grid_Stock'!B38</f>
        <v/>
      </c>
      <c r="J43" s="17">
        <f>'Grid_Stock'!C38</f>
        <v/>
      </c>
      <c r="K43" s="17">
        <f>'Grid_Stock'!D38</f>
        <v/>
      </c>
      <c r="L43" s="17">
        <f>'Grid_Stock'!E38</f>
        <v/>
      </c>
      <c r="M43" s="17">
        <f>'Grid_Stock'!F38</f>
        <v/>
      </c>
      <c r="N43" s="17">
        <f>'Grid_Stock'!G38</f>
        <v/>
      </c>
      <c r="O43" s="17">
        <f>'Grid_Stock'!H38</f>
        <v/>
      </c>
      <c r="P43" s="17">
        <f>'Grid_Stock'!I38</f>
        <v/>
      </c>
      <c r="Q43" s="17">
        <f>'Grid_Stock'!J38</f>
        <v/>
      </c>
      <c r="R43" s="17">
        <f>'Grid_Stock'!K38</f>
        <v/>
      </c>
      <c r="S43" s="17">
        <f>'Grid_Stock'!L38</f>
        <v/>
      </c>
      <c r="T43" s="17">
        <f>'Grid_Stock'!M38</f>
        <v/>
      </c>
      <c r="U43" s="17">
        <f>'Grid_Stock'!N38</f>
        <v/>
      </c>
      <c r="V43" s="17">
        <f>'Grid_Stock'!O38</f>
        <v/>
      </c>
      <c r="W43" s="17">
        <f>'Grid_Stock'!P38</f>
        <v/>
      </c>
      <c r="X43" s="17">
        <f>'Grid_Stock'!Q38</f>
        <v/>
      </c>
      <c r="Y43" s="17">
        <f>'Grid_Stock'!R38</f>
        <v/>
      </c>
      <c r="Z43" s="17">
        <f>'Grid_Stock'!S38</f>
        <v/>
      </c>
      <c r="AA43" s="17">
        <f>'Grid_Stock'!T38</f>
        <v/>
      </c>
      <c r="AB43" s="17">
        <f>'Grid_Stock'!U38</f>
        <v/>
      </c>
      <c r="AC43" s="17">
        <f>'Grid_Stock'!V38</f>
        <v/>
      </c>
      <c r="AD43" s="17">
        <f>'Grid_Stock'!W38</f>
        <v/>
      </c>
      <c r="AE43" s="17">
        <f>'Grid_Stock'!X38</f>
        <v/>
      </c>
      <c r="AF43" s="17">
        <f>'Grid_Stock'!Y38</f>
        <v/>
      </c>
      <c r="AG43" s="17">
        <f>'Grid_Stock'!Z38</f>
        <v/>
      </c>
      <c r="AH43" s="17">
        <f>'Grid_Stock'!AA38</f>
        <v/>
      </c>
      <c r="AI43" s="17">
        <f>'Grid_Stock'!AB38</f>
        <v/>
      </c>
      <c r="AJ43" s="17">
        <f>'Grid_Stock'!AC38</f>
        <v/>
      </c>
      <c r="AK43" s="17">
        <f>'Grid_Stock'!AD38</f>
        <v/>
      </c>
      <c r="AL43" s="17">
        <f>'Grid_Stock'!AE38</f>
        <v/>
      </c>
      <c r="AM43" s="17">
        <f>'Grid_Stock'!AF38</f>
        <v/>
      </c>
      <c r="AN43" s="17">
        <f>'Grid_Stock'!AG38</f>
        <v/>
      </c>
      <c r="AO43" s="17">
        <f>'Grid_Stock'!AH38</f>
        <v/>
      </c>
      <c r="AP43" s="17">
        <f>'Grid_Stock'!AI38</f>
        <v/>
      </c>
      <c r="AQ43" s="17">
        <f>'Grid_Stock'!AJ38</f>
        <v/>
      </c>
      <c r="AR43" s="17">
        <f>'Grid_Stock'!AK38</f>
        <v/>
      </c>
      <c r="AS43" s="17">
        <f>'Grid_Stock'!AL38</f>
        <v/>
      </c>
      <c r="AT43" s="17">
        <f>'Grid_Stock'!AM38</f>
        <v/>
      </c>
      <c r="AU43" s="17">
        <f>'Grid_Stock'!AN38</f>
        <v/>
      </c>
      <c r="AV43" s="17">
        <f>'Grid_Stock'!AO38</f>
        <v/>
      </c>
      <c r="AW43" s="17">
        <f>'Grid_Stock'!AP38</f>
        <v/>
      </c>
      <c r="AX43" s="17">
        <f>'Grid_Stock'!AQ38</f>
        <v/>
      </c>
      <c r="AY43" s="17">
        <f>'Grid_Stock'!AR38</f>
        <v/>
      </c>
      <c r="AZ43" s="17">
        <f>'Grid_Stock'!AS38</f>
        <v/>
      </c>
      <c r="BA43" s="17">
        <f>'Grid_Stock'!AT38</f>
        <v/>
      </c>
      <c r="BB43" s="17">
        <f>'Grid_Stock'!AU38</f>
        <v/>
      </c>
      <c r="BC43" s="17">
        <f>'Grid_Stock'!AV38</f>
        <v/>
      </c>
      <c r="BD43" s="17">
        <f>'Grid_Stock'!AW38</f>
        <v/>
      </c>
      <c r="BE43" s="17">
        <f>'Grid_Stock'!AX38</f>
        <v/>
      </c>
      <c r="BF43" s="17">
        <f>'Grid_Stock'!AY38</f>
        <v/>
      </c>
      <c r="BG43" s="17">
        <f>'Grid_Stock'!AZ38</f>
        <v/>
      </c>
      <c r="BH43" s="17">
        <f>'Grid_Stock'!BA38</f>
        <v/>
      </c>
      <c r="BI43" s="17">
        <f>'Grid_Stock'!BB38</f>
        <v/>
      </c>
      <c r="BJ43" s="17">
        <f>'Grid_Stock'!BC38</f>
        <v/>
      </c>
      <c r="BK43" s="17">
        <f>'Grid_Stock'!BD38</f>
        <v/>
      </c>
      <c r="BL43" s="17">
        <f>'Grid_Stock'!BE38</f>
        <v/>
      </c>
      <c r="BM43" s="17">
        <f>'Grid_Stock'!BF38</f>
        <v/>
      </c>
      <c r="BN43" s="17">
        <f>'Grid_Stock'!BG38</f>
        <v/>
      </c>
      <c r="BO43" s="17">
        <f>'Grid_Stock'!BH38</f>
        <v/>
      </c>
      <c r="BP43" s="17">
        <f>'Grid_Stock'!BI38</f>
        <v/>
      </c>
      <c r="BQ43" s="17">
        <f>'Grid_Stock'!BJ38</f>
        <v/>
      </c>
      <c r="BR43" s="17">
        <f>'Grid_Stock'!BK38</f>
        <v/>
      </c>
      <c r="BS43" s="17">
        <f>'Grid_Stock'!BL38</f>
        <v/>
      </c>
      <c r="BT43" s="17">
        <f>'Grid_Stock'!BM38</f>
        <v/>
      </c>
      <c r="BU43" s="17">
        <f>'Grid_Stock'!BN38</f>
        <v/>
      </c>
      <c r="BV43" s="17">
        <f>'Grid_Stock'!BO38</f>
        <v/>
      </c>
      <c r="BW43" s="17">
        <f>'Grid_Stock'!BP38</f>
        <v/>
      </c>
      <c r="BX43" s="17">
        <f>'Grid_Stock'!BQ38</f>
        <v/>
      </c>
      <c r="BY43" s="17">
        <f>'Grid_Stock'!BR38</f>
        <v/>
      </c>
      <c r="BZ43" s="17">
        <f>'Grid_Stock'!BS38</f>
        <v/>
      </c>
      <c r="CA43" s="17">
        <f>'Grid_Stock'!BT38</f>
        <v/>
      </c>
      <c r="CB43" s="17">
        <f>'Grid_Stock'!BU38</f>
        <v/>
      </c>
      <c r="CC43" s="17">
        <f>'Grid_Stock'!BV38</f>
        <v/>
      </c>
      <c r="CD43" s="17">
        <f>'Grid_Stock'!BW38</f>
        <v/>
      </c>
      <c r="CE43" s="17">
        <f>'Grid_Stock'!BX38</f>
        <v/>
      </c>
      <c r="CF43" s="17">
        <f>'Grid_Stock'!BY38</f>
        <v/>
      </c>
      <c r="CG43" s="17">
        <f>'Grid_Stock'!BZ38</f>
        <v/>
      </c>
      <c r="CH43" s="17">
        <f>'Grid_Stock'!CA38</f>
        <v/>
      </c>
      <c r="CI43" s="17">
        <f>'Grid_Stock'!CB38</f>
        <v/>
      </c>
      <c r="CJ43" s="17">
        <f>'Grid_Stock'!CC38</f>
        <v/>
      </c>
      <c r="CK43" s="17">
        <f>'Grid_Stock'!CD38</f>
        <v/>
      </c>
      <c r="CL43" s="17">
        <f>'Grid_Stock'!CE38</f>
        <v/>
      </c>
      <c r="CM43" s="17">
        <f>'Grid_Stock'!CF38</f>
        <v/>
      </c>
      <c r="CN43" s="17">
        <f>'Grid_Stock'!CG38</f>
        <v/>
      </c>
      <c r="CO43" s="17">
        <f>'Grid_Stock'!CH38</f>
        <v/>
      </c>
      <c r="CP43" s="17">
        <f>'Grid_Stock'!CI38</f>
        <v/>
      </c>
      <c r="CQ43" s="17">
        <f>'Grid_Stock'!CJ38</f>
        <v/>
      </c>
      <c r="CR43" s="17">
        <f>'Grid_Stock'!CK38</f>
        <v/>
      </c>
      <c r="CS43" s="17">
        <f>'Grid_Stock'!CL38</f>
        <v/>
      </c>
      <c r="CT43" s="17">
        <f>'Grid_Stock'!CM38</f>
        <v/>
      </c>
      <c r="CU43" s="17">
        <f>'Grid_Stock'!CN38</f>
        <v/>
      </c>
      <c r="CV43" s="17">
        <f>'Grid_Stock'!CO38</f>
        <v/>
      </c>
      <c r="CW43" s="17">
        <f>'Grid_Stock'!CP38</f>
        <v/>
      </c>
      <c r="CX43" s="17">
        <f>'Grid_Stock'!CQ38</f>
        <v/>
      </c>
      <c r="CY43" s="17">
        <f>'Grid_Stock'!CR38</f>
        <v/>
      </c>
      <c r="CZ43" s="17">
        <f>'Grid_Stock'!CS38</f>
        <v/>
      </c>
      <c r="DA43" s="17">
        <f>'Grid_Stock'!CT38</f>
        <v/>
      </c>
      <c r="DB43" s="17">
        <f>'Grid_Stock'!CU38</f>
        <v/>
      </c>
      <c r="DC43" s="17">
        <f>'Grid_Stock'!CV38</f>
        <v/>
      </c>
      <c r="DD43" s="17">
        <f>'Grid_Stock'!CW38</f>
        <v/>
      </c>
      <c r="DE43" s="17">
        <f>'Grid_Stock'!CX38</f>
        <v/>
      </c>
      <c r="DF43" s="17">
        <f>'Grid_Stock'!CY38</f>
        <v/>
      </c>
      <c r="DG43" s="17">
        <f>'Grid_Stock'!CZ38</f>
        <v/>
      </c>
      <c r="DH43" s="17">
        <f>'Grid_Stock'!DA38</f>
        <v/>
      </c>
    </row>
    <row r="44">
      <c r="A44" s="18" t="inlineStr">
        <is>
          <t>PP Film</t>
        </is>
      </c>
      <c r="B44" s="18">
        <f>IFERROR(INDEX(M_RawMaterials[Description],MATCH($A44,M_RawMaterials[Part Name],0)),"")</f>
        <v/>
      </c>
      <c r="C44" s="18">
        <f>IFERROR(INDEX(M_RawMaterials[Category],MATCH($A44,M_RawMaterials[Part Name],0)),"")</f>
        <v/>
      </c>
      <c r="D44" s="18">
        <f>IFERROR(INDEX(M_RawMaterials[基準在庫下限_要入力],MATCH($A44,M_RawMaterials[Part Name],0)),0)</f>
        <v/>
      </c>
      <c r="E44" s="18">
        <f>IFERROR(INDEX(M_RawMaterials[基準在庫上限_要入力],MATCH($A44,M_RawMaterials[Part Name],0)),0)</f>
        <v/>
      </c>
      <c r="F44" s="18">
        <f>IFERROR(LOOKUP(2,1/('T_SelfStock'!$B$43:$DA$43&lt;&gt;""),'T_SelfStock'!$B$43:$DA$43),"")</f>
        <v/>
      </c>
      <c r="G44" s="18">
        <f>IFERROR(LOOKUP(2,1/('T_TTAFStock'!$B$43:$DA$43&lt;&gt;""),'T_TTAFStock'!$B$43:$DA$43),"")</f>
        <v/>
      </c>
      <c r="H44" s="18">
        <f>IFERROR(LOOKUP(2,1/('T_SelfStock'!$B$43:$DA$43&lt;&gt;""),'T_SelfStock'!$B$5:$DA$5),"")</f>
        <v/>
      </c>
      <c r="I44" s="18">
        <f>'Grid_Stock'!B39</f>
        <v/>
      </c>
      <c r="J44" s="18">
        <f>'Grid_Stock'!C39</f>
        <v/>
      </c>
      <c r="K44" s="18">
        <f>'Grid_Stock'!D39</f>
        <v/>
      </c>
      <c r="L44" s="18">
        <f>'Grid_Stock'!E39</f>
        <v/>
      </c>
      <c r="M44" s="18">
        <f>'Grid_Stock'!F39</f>
        <v/>
      </c>
      <c r="N44" s="18">
        <f>'Grid_Stock'!G39</f>
        <v/>
      </c>
      <c r="O44" s="18">
        <f>'Grid_Stock'!H39</f>
        <v/>
      </c>
      <c r="P44" s="18">
        <f>'Grid_Stock'!I39</f>
        <v/>
      </c>
      <c r="Q44" s="18">
        <f>'Grid_Stock'!J39</f>
        <v/>
      </c>
      <c r="R44" s="18">
        <f>'Grid_Stock'!K39</f>
        <v/>
      </c>
      <c r="S44" s="18">
        <f>'Grid_Stock'!L39</f>
        <v/>
      </c>
      <c r="T44" s="18">
        <f>'Grid_Stock'!M39</f>
        <v/>
      </c>
      <c r="U44" s="18">
        <f>'Grid_Stock'!N39</f>
        <v/>
      </c>
      <c r="V44" s="18">
        <f>'Grid_Stock'!O39</f>
        <v/>
      </c>
      <c r="W44" s="18">
        <f>'Grid_Stock'!P39</f>
        <v/>
      </c>
      <c r="X44" s="18">
        <f>'Grid_Stock'!Q39</f>
        <v/>
      </c>
      <c r="Y44" s="18">
        <f>'Grid_Stock'!R39</f>
        <v/>
      </c>
      <c r="Z44" s="18">
        <f>'Grid_Stock'!S39</f>
        <v/>
      </c>
      <c r="AA44" s="18">
        <f>'Grid_Stock'!T39</f>
        <v/>
      </c>
      <c r="AB44" s="18">
        <f>'Grid_Stock'!U39</f>
        <v/>
      </c>
      <c r="AC44" s="18">
        <f>'Grid_Stock'!V39</f>
        <v/>
      </c>
      <c r="AD44" s="18">
        <f>'Grid_Stock'!W39</f>
        <v/>
      </c>
      <c r="AE44" s="18">
        <f>'Grid_Stock'!X39</f>
        <v/>
      </c>
      <c r="AF44" s="18">
        <f>'Grid_Stock'!Y39</f>
        <v/>
      </c>
      <c r="AG44" s="18">
        <f>'Grid_Stock'!Z39</f>
        <v/>
      </c>
      <c r="AH44" s="18">
        <f>'Grid_Stock'!AA39</f>
        <v/>
      </c>
      <c r="AI44" s="18">
        <f>'Grid_Stock'!AB39</f>
        <v/>
      </c>
      <c r="AJ44" s="18">
        <f>'Grid_Stock'!AC39</f>
        <v/>
      </c>
      <c r="AK44" s="18">
        <f>'Grid_Stock'!AD39</f>
        <v/>
      </c>
      <c r="AL44" s="18">
        <f>'Grid_Stock'!AE39</f>
        <v/>
      </c>
      <c r="AM44" s="18">
        <f>'Grid_Stock'!AF39</f>
        <v/>
      </c>
      <c r="AN44" s="18">
        <f>'Grid_Stock'!AG39</f>
        <v/>
      </c>
      <c r="AO44" s="18">
        <f>'Grid_Stock'!AH39</f>
        <v/>
      </c>
      <c r="AP44" s="18">
        <f>'Grid_Stock'!AI39</f>
        <v/>
      </c>
      <c r="AQ44" s="18">
        <f>'Grid_Stock'!AJ39</f>
        <v/>
      </c>
      <c r="AR44" s="18">
        <f>'Grid_Stock'!AK39</f>
        <v/>
      </c>
      <c r="AS44" s="18">
        <f>'Grid_Stock'!AL39</f>
        <v/>
      </c>
      <c r="AT44" s="18">
        <f>'Grid_Stock'!AM39</f>
        <v/>
      </c>
      <c r="AU44" s="18">
        <f>'Grid_Stock'!AN39</f>
        <v/>
      </c>
      <c r="AV44" s="18">
        <f>'Grid_Stock'!AO39</f>
        <v/>
      </c>
      <c r="AW44" s="18">
        <f>'Grid_Stock'!AP39</f>
        <v/>
      </c>
      <c r="AX44" s="18">
        <f>'Grid_Stock'!AQ39</f>
        <v/>
      </c>
      <c r="AY44" s="18">
        <f>'Grid_Stock'!AR39</f>
        <v/>
      </c>
      <c r="AZ44" s="18">
        <f>'Grid_Stock'!AS39</f>
        <v/>
      </c>
      <c r="BA44" s="18">
        <f>'Grid_Stock'!AT39</f>
        <v/>
      </c>
      <c r="BB44" s="18">
        <f>'Grid_Stock'!AU39</f>
        <v/>
      </c>
      <c r="BC44" s="18">
        <f>'Grid_Stock'!AV39</f>
        <v/>
      </c>
      <c r="BD44" s="18">
        <f>'Grid_Stock'!AW39</f>
        <v/>
      </c>
      <c r="BE44" s="18">
        <f>'Grid_Stock'!AX39</f>
        <v/>
      </c>
      <c r="BF44" s="18">
        <f>'Grid_Stock'!AY39</f>
        <v/>
      </c>
      <c r="BG44" s="18">
        <f>'Grid_Stock'!AZ39</f>
        <v/>
      </c>
      <c r="BH44" s="18">
        <f>'Grid_Stock'!BA39</f>
        <v/>
      </c>
      <c r="BI44" s="18">
        <f>'Grid_Stock'!BB39</f>
        <v/>
      </c>
      <c r="BJ44" s="18">
        <f>'Grid_Stock'!BC39</f>
        <v/>
      </c>
      <c r="BK44" s="18">
        <f>'Grid_Stock'!BD39</f>
        <v/>
      </c>
      <c r="BL44" s="18">
        <f>'Grid_Stock'!BE39</f>
        <v/>
      </c>
      <c r="BM44" s="18">
        <f>'Grid_Stock'!BF39</f>
        <v/>
      </c>
      <c r="BN44" s="18">
        <f>'Grid_Stock'!BG39</f>
        <v/>
      </c>
      <c r="BO44" s="18">
        <f>'Grid_Stock'!BH39</f>
        <v/>
      </c>
      <c r="BP44" s="18">
        <f>'Grid_Stock'!BI39</f>
        <v/>
      </c>
      <c r="BQ44" s="18">
        <f>'Grid_Stock'!BJ39</f>
        <v/>
      </c>
      <c r="BR44" s="18">
        <f>'Grid_Stock'!BK39</f>
        <v/>
      </c>
      <c r="BS44" s="18">
        <f>'Grid_Stock'!BL39</f>
        <v/>
      </c>
      <c r="BT44" s="18">
        <f>'Grid_Stock'!BM39</f>
        <v/>
      </c>
      <c r="BU44" s="18">
        <f>'Grid_Stock'!BN39</f>
        <v/>
      </c>
      <c r="BV44" s="18">
        <f>'Grid_Stock'!BO39</f>
        <v/>
      </c>
      <c r="BW44" s="18">
        <f>'Grid_Stock'!BP39</f>
        <v/>
      </c>
      <c r="BX44" s="18">
        <f>'Grid_Stock'!BQ39</f>
        <v/>
      </c>
      <c r="BY44" s="18">
        <f>'Grid_Stock'!BR39</f>
        <v/>
      </c>
      <c r="BZ44" s="18">
        <f>'Grid_Stock'!BS39</f>
        <v/>
      </c>
      <c r="CA44" s="18">
        <f>'Grid_Stock'!BT39</f>
        <v/>
      </c>
      <c r="CB44" s="18">
        <f>'Grid_Stock'!BU39</f>
        <v/>
      </c>
      <c r="CC44" s="18">
        <f>'Grid_Stock'!BV39</f>
        <v/>
      </c>
      <c r="CD44" s="18">
        <f>'Grid_Stock'!BW39</f>
        <v/>
      </c>
      <c r="CE44" s="18">
        <f>'Grid_Stock'!BX39</f>
        <v/>
      </c>
      <c r="CF44" s="18">
        <f>'Grid_Stock'!BY39</f>
        <v/>
      </c>
      <c r="CG44" s="18">
        <f>'Grid_Stock'!BZ39</f>
        <v/>
      </c>
      <c r="CH44" s="18">
        <f>'Grid_Stock'!CA39</f>
        <v/>
      </c>
      <c r="CI44" s="18">
        <f>'Grid_Stock'!CB39</f>
        <v/>
      </c>
      <c r="CJ44" s="18">
        <f>'Grid_Stock'!CC39</f>
        <v/>
      </c>
      <c r="CK44" s="18">
        <f>'Grid_Stock'!CD39</f>
        <v/>
      </c>
      <c r="CL44" s="18">
        <f>'Grid_Stock'!CE39</f>
        <v/>
      </c>
      <c r="CM44" s="18">
        <f>'Grid_Stock'!CF39</f>
        <v/>
      </c>
      <c r="CN44" s="18">
        <f>'Grid_Stock'!CG39</f>
        <v/>
      </c>
      <c r="CO44" s="18">
        <f>'Grid_Stock'!CH39</f>
        <v/>
      </c>
      <c r="CP44" s="18">
        <f>'Grid_Stock'!CI39</f>
        <v/>
      </c>
      <c r="CQ44" s="18">
        <f>'Grid_Stock'!CJ39</f>
        <v/>
      </c>
      <c r="CR44" s="18">
        <f>'Grid_Stock'!CK39</f>
        <v/>
      </c>
      <c r="CS44" s="18">
        <f>'Grid_Stock'!CL39</f>
        <v/>
      </c>
      <c r="CT44" s="18">
        <f>'Grid_Stock'!CM39</f>
        <v/>
      </c>
      <c r="CU44" s="18">
        <f>'Grid_Stock'!CN39</f>
        <v/>
      </c>
      <c r="CV44" s="18">
        <f>'Grid_Stock'!CO39</f>
        <v/>
      </c>
      <c r="CW44" s="18">
        <f>'Grid_Stock'!CP39</f>
        <v/>
      </c>
      <c r="CX44" s="18">
        <f>'Grid_Stock'!CQ39</f>
        <v/>
      </c>
      <c r="CY44" s="18">
        <f>'Grid_Stock'!CR39</f>
        <v/>
      </c>
      <c r="CZ44" s="18">
        <f>'Grid_Stock'!CS39</f>
        <v/>
      </c>
      <c r="DA44" s="18">
        <f>'Grid_Stock'!CT39</f>
        <v/>
      </c>
      <c r="DB44" s="18">
        <f>'Grid_Stock'!CU39</f>
        <v/>
      </c>
      <c r="DC44" s="18">
        <f>'Grid_Stock'!CV39</f>
        <v/>
      </c>
      <c r="DD44" s="18">
        <f>'Grid_Stock'!CW39</f>
        <v/>
      </c>
      <c r="DE44" s="18">
        <f>'Grid_Stock'!CX39</f>
        <v/>
      </c>
      <c r="DF44" s="18">
        <f>'Grid_Stock'!CY39</f>
        <v/>
      </c>
      <c r="DG44" s="18">
        <f>'Grid_Stock'!CZ39</f>
        <v/>
      </c>
      <c r="DH44" s="18">
        <f>'Grid_Stock'!DA39</f>
        <v/>
      </c>
    </row>
    <row r="45">
      <c r="A45" s="17" t="inlineStr">
        <is>
          <t>5SN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IFERROR(LOOKUP(2,1/('T_SelfStock'!$B$44:$DA$44&lt;&gt;""),'T_SelfStock'!$B$44:$DA$44),"")</f>
        <v/>
      </c>
      <c r="G45" s="17">
        <f>IFERROR(LOOKUP(2,1/('T_TTAFStock'!$B$44:$DA$44&lt;&gt;""),'T_TTAFStock'!$B$44:$DA$44),"")</f>
        <v/>
      </c>
      <c r="H45" s="17">
        <f>IFERROR(LOOKUP(2,1/('T_SelfStock'!$B$44:$DA$44&lt;&gt;""),'T_SelfStock'!$B$5:$DA$5),"")</f>
        <v/>
      </c>
      <c r="I45" s="17">
        <f>'Grid_Stock'!B40</f>
        <v/>
      </c>
      <c r="J45" s="17">
        <f>'Grid_Stock'!C40</f>
        <v/>
      </c>
      <c r="K45" s="17">
        <f>'Grid_Stock'!D40</f>
        <v/>
      </c>
      <c r="L45" s="17">
        <f>'Grid_Stock'!E40</f>
        <v/>
      </c>
      <c r="M45" s="17">
        <f>'Grid_Stock'!F40</f>
        <v/>
      </c>
      <c r="N45" s="17">
        <f>'Grid_Stock'!G40</f>
        <v/>
      </c>
      <c r="O45" s="17">
        <f>'Grid_Stock'!H40</f>
        <v/>
      </c>
      <c r="P45" s="17">
        <f>'Grid_Stock'!I40</f>
        <v/>
      </c>
      <c r="Q45" s="17">
        <f>'Grid_Stock'!J40</f>
        <v/>
      </c>
      <c r="R45" s="17">
        <f>'Grid_Stock'!K40</f>
        <v/>
      </c>
      <c r="S45" s="17">
        <f>'Grid_Stock'!L40</f>
        <v/>
      </c>
      <c r="T45" s="17">
        <f>'Grid_Stock'!M40</f>
        <v/>
      </c>
      <c r="U45" s="17">
        <f>'Grid_Stock'!N40</f>
        <v/>
      </c>
      <c r="V45" s="17">
        <f>'Grid_Stock'!O40</f>
        <v/>
      </c>
      <c r="W45" s="17">
        <f>'Grid_Stock'!P40</f>
        <v/>
      </c>
      <c r="X45" s="17">
        <f>'Grid_Stock'!Q40</f>
        <v/>
      </c>
      <c r="Y45" s="17">
        <f>'Grid_Stock'!R40</f>
        <v/>
      </c>
      <c r="Z45" s="17">
        <f>'Grid_Stock'!S40</f>
        <v/>
      </c>
      <c r="AA45" s="17">
        <f>'Grid_Stock'!T40</f>
        <v/>
      </c>
      <c r="AB45" s="17">
        <f>'Grid_Stock'!U40</f>
        <v/>
      </c>
      <c r="AC45" s="17">
        <f>'Grid_Stock'!V40</f>
        <v/>
      </c>
      <c r="AD45" s="17">
        <f>'Grid_Stock'!W40</f>
        <v/>
      </c>
      <c r="AE45" s="17">
        <f>'Grid_Stock'!X40</f>
        <v/>
      </c>
      <c r="AF45" s="17">
        <f>'Grid_Stock'!Y40</f>
        <v/>
      </c>
      <c r="AG45" s="17">
        <f>'Grid_Stock'!Z40</f>
        <v/>
      </c>
      <c r="AH45" s="17">
        <f>'Grid_Stock'!AA40</f>
        <v/>
      </c>
      <c r="AI45" s="17">
        <f>'Grid_Stock'!AB40</f>
        <v/>
      </c>
      <c r="AJ45" s="17">
        <f>'Grid_Stock'!AC40</f>
        <v/>
      </c>
      <c r="AK45" s="17">
        <f>'Grid_Stock'!AD40</f>
        <v/>
      </c>
      <c r="AL45" s="17">
        <f>'Grid_Stock'!AE40</f>
        <v/>
      </c>
      <c r="AM45" s="17">
        <f>'Grid_Stock'!AF40</f>
        <v/>
      </c>
      <c r="AN45" s="17">
        <f>'Grid_Stock'!AG40</f>
        <v/>
      </c>
      <c r="AO45" s="17">
        <f>'Grid_Stock'!AH40</f>
        <v/>
      </c>
      <c r="AP45" s="17">
        <f>'Grid_Stock'!AI40</f>
        <v/>
      </c>
      <c r="AQ45" s="17">
        <f>'Grid_Stock'!AJ40</f>
        <v/>
      </c>
      <c r="AR45" s="17">
        <f>'Grid_Stock'!AK40</f>
        <v/>
      </c>
      <c r="AS45" s="17">
        <f>'Grid_Stock'!AL40</f>
        <v/>
      </c>
      <c r="AT45" s="17">
        <f>'Grid_Stock'!AM40</f>
        <v/>
      </c>
      <c r="AU45" s="17">
        <f>'Grid_Stock'!AN40</f>
        <v/>
      </c>
      <c r="AV45" s="17">
        <f>'Grid_Stock'!AO40</f>
        <v/>
      </c>
      <c r="AW45" s="17">
        <f>'Grid_Stock'!AP40</f>
        <v/>
      </c>
      <c r="AX45" s="17">
        <f>'Grid_Stock'!AQ40</f>
        <v/>
      </c>
      <c r="AY45" s="17">
        <f>'Grid_Stock'!AR40</f>
        <v/>
      </c>
      <c r="AZ45" s="17">
        <f>'Grid_Stock'!AS40</f>
        <v/>
      </c>
      <c r="BA45" s="17">
        <f>'Grid_Stock'!AT40</f>
        <v/>
      </c>
      <c r="BB45" s="17">
        <f>'Grid_Stock'!AU40</f>
        <v/>
      </c>
      <c r="BC45" s="17">
        <f>'Grid_Stock'!AV40</f>
        <v/>
      </c>
      <c r="BD45" s="17">
        <f>'Grid_Stock'!AW40</f>
        <v/>
      </c>
      <c r="BE45" s="17">
        <f>'Grid_Stock'!AX40</f>
        <v/>
      </c>
      <c r="BF45" s="17">
        <f>'Grid_Stock'!AY40</f>
        <v/>
      </c>
      <c r="BG45" s="17">
        <f>'Grid_Stock'!AZ40</f>
        <v/>
      </c>
      <c r="BH45" s="17">
        <f>'Grid_Stock'!BA40</f>
        <v/>
      </c>
      <c r="BI45" s="17">
        <f>'Grid_Stock'!BB40</f>
        <v/>
      </c>
      <c r="BJ45" s="17">
        <f>'Grid_Stock'!BC40</f>
        <v/>
      </c>
      <c r="BK45" s="17">
        <f>'Grid_Stock'!BD40</f>
        <v/>
      </c>
      <c r="BL45" s="17">
        <f>'Grid_Stock'!BE40</f>
        <v/>
      </c>
      <c r="BM45" s="17">
        <f>'Grid_Stock'!BF40</f>
        <v/>
      </c>
      <c r="BN45" s="17">
        <f>'Grid_Stock'!BG40</f>
        <v/>
      </c>
      <c r="BO45" s="17">
        <f>'Grid_Stock'!BH40</f>
        <v/>
      </c>
      <c r="BP45" s="17">
        <f>'Grid_Stock'!BI40</f>
        <v/>
      </c>
      <c r="BQ45" s="17">
        <f>'Grid_Stock'!BJ40</f>
        <v/>
      </c>
      <c r="BR45" s="17">
        <f>'Grid_Stock'!BK40</f>
        <v/>
      </c>
      <c r="BS45" s="17">
        <f>'Grid_Stock'!BL40</f>
        <v/>
      </c>
      <c r="BT45" s="17">
        <f>'Grid_Stock'!BM40</f>
        <v/>
      </c>
      <c r="BU45" s="17">
        <f>'Grid_Stock'!BN40</f>
        <v/>
      </c>
      <c r="BV45" s="17">
        <f>'Grid_Stock'!BO40</f>
        <v/>
      </c>
      <c r="BW45" s="17">
        <f>'Grid_Stock'!BP40</f>
        <v/>
      </c>
      <c r="BX45" s="17">
        <f>'Grid_Stock'!BQ40</f>
        <v/>
      </c>
      <c r="BY45" s="17">
        <f>'Grid_Stock'!BR40</f>
        <v/>
      </c>
      <c r="BZ45" s="17">
        <f>'Grid_Stock'!BS40</f>
        <v/>
      </c>
      <c r="CA45" s="17">
        <f>'Grid_Stock'!BT40</f>
        <v/>
      </c>
      <c r="CB45" s="17">
        <f>'Grid_Stock'!BU40</f>
        <v/>
      </c>
      <c r="CC45" s="17">
        <f>'Grid_Stock'!BV40</f>
        <v/>
      </c>
      <c r="CD45" s="17">
        <f>'Grid_Stock'!BW40</f>
        <v/>
      </c>
      <c r="CE45" s="17">
        <f>'Grid_Stock'!BX40</f>
        <v/>
      </c>
      <c r="CF45" s="17">
        <f>'Grid_Stock'!BY40</f>
        <v/>
      </c>
      <c r="CG45" s="17">
        <f>'Grid_Stock'!BZ40</f>
        <v/>
      </c>
      <c r="CH45" s="17">
        <f>'Grid_Stock'!CA40</f>
        <v/>
      </c>
      <c r="CI45" s="17">
        <f>'Grid_Stock'!CB40</f>
        <v/>
      </c>
      <c r="CJ45" s="17">
        <f>'Grid_Stock'!CC40</f>
        <v/>
      </c>
      <c r="CK45" s="17">
        <f>'Grid_Stock'!CD40</f>
        <v/>
      </c>
      <c r="CL45" s="17">
        <f>'Grid_Stock'!CE40</f>
        <v/>
      </c>
      <c r="CM45" s="17">
        <f>'Grid_Stock'!CF40</f>
        <v/>
      </c>
      <c r="CN45" s="17">
        <f>'Grid_Stock'!CG40</f>
        <v/>
      </c>
      <c r="CO45" s="17">
        <f>'Grid_Stock'!CH40</f>
        <v/>
      </c>
      <c r="CP45" s="17">
        <f>'Grid_Stock'!CI40</f>
        <v/>
      </c>
      <c r="CQ45" s="17">
        <f>'Grid_Stock'!CJ40</f>
        <v/>
      </c>
      <c r="CR45" s="17">
        <f>'Grid_Stock'!CK40</f>
        <v/>
      </c>
      <c r="CS45" s="17">
        <f>'Grid_Stock'!CL40</f>
        <v/>
      </c>
      <c r="CT45" s="17">
        <f>'Grid_Stock'!CM40</f>
        <v/>
      </c>
      <c r="CU45" s="17">
        <f>'Grid_Stock'!CN40</f>
        <v/>
      </c>
      <c r="CV45" s="17">
        <f>'Grid_Stock'!CO40</f>
        <v/>
      </c>
      <c r="CW45" s="17">
        <f>'Grid_Stock'!CP40</f>
        <v/>
      </c>
      <c r="CX45" s="17">
        <f>'Grid_Stock'!CQ40</f>
        <v/>
      </c>
      <c r="CY45" s="17">
        <f>'Grid_Stock'!CR40</f>
        <v/>
      </c>
      <c r="CZ45" s="17">
        <f>'Grid_Stock'!CS40</f>
        <v/>
      </c>
      <c r="DA45" s="17">
        <f>'Grid_Stock'!CT40</f>
        <v/>
      </c>
      <c r="DB45" s="17">
        <f>'Grid_Stock'!CU40</f>
        <v/>
      </c>
      <c r="DC45" s="17">
        <f>'Grid_Stock'!CV40</f>
        <v/>
      </c>
      <c r="DD45" s="17">
        <f>'Grid_Stock'!CW40</f>
        <v/>
      </c>
      <c r="DE45" s="17">
        <f>'Grid_Stock'!CX40</f>
        <v/>
      </c>
      <c r="DF45" s="17">
        <f>'Grid_Stock'!CY40</f>
        <v/>
      </c>
      <c r="DG45" s="17">
        <f>'Grid_Stock'!CZ40</f>
        <v/>
      </c>
      <c r="DH45" s="17">
        <f>'Grid_Stock'!DA40</f>
        <v/>
      </c>
    </row>
    <row r="46">
      <c r="A46" s="18" t="inlineStr">
        <is>
          <t>1JN</t>
        </is>
      </c>
      <c r="B46" s="18">
        <f>IFERROR(INDEX(M_RawMaterials[Description],MATCH($A46,M_RawMaterials[Part Name],0)),"")</f>
        <v/>
      </c>
      <c r="C46" s="18">
        <f>IFERROR(INDEX(M_RawMaterials[Category],MATCH($A46,M_RawMaterials[Part Name],0)),"")</f>
        <v/>
      </c>
      <c r="D46" s="18">
        <f>IFERROR(INDEX(M_RawMaterials[基準在庫下限_要入力],MATCH($A46,M_RawMaterials[Part Name],0)),0)</f>
        <v/>
      </c>
      <c r="E46" s="18">
        <f>IFERROR(INDEX(M_RawMaterials[基準在庫上限_要入力],MATCH($A46,M_RawMaterials[Part Name],0)),0)</f>
        <v/>
      </c>
      <c r="F46" s="18">
        <f>IFERROR(LOOKUP(2,1/('T_SelfStock'!$B$45:$DA$45&lt;&gt;""),'T_SelfStock'!$B$45:$DA$45),"")</f>
        <v/>
      </c>
      <c r="G46" s="18">
        <f>IFERROR(LOOKUP(2,1/('T_TTAFStock'!$B$45:$DA$45&lt;&gt;""),'T_TTAFStock'!$B$45:$DA$45),"")</f>
        <v/>
      </c>
      <c r="H46" s="18">
        <f>IFERROR(LOOKUP(2,1/('T_SelfStock'!$B$45:$DA$45&lt;&gt;""),'T_SelfStock'!$B$5:$DA$5),"")</f>
        <v/>
      </c>
      <c r="I46" s="18">
        <f>'Grid_Stock'!B41</f>
        <v/>
      </c>
      <c r="J46" s="18">
        <f>'Grid_Stock'!C41</f>
        <v/>
      </c>
      <c r="K46" s="18">
        <f>'Grid_Stock'!D41</f>
        <v/>
      </c>
      <c r="L46" s="18">
        <f>'Grid_Stock'!E41</f>
        <v/>
      </c>
      <c r="M46" s="18">
        <f>'Grid_Stock'!F41</f>
        <v/>
      </c>
      <c r="N46" s="18">
        <f>'Grid_Stock'!G41</f>
        <v/>
      </c>
      <c r="O46" s="18">
        <f>'Grid_Stock'!H41</f>
        <v/>
      </c>
      <c r="P46" s="18">
        <f>'Grid_Stock'!I41</f>
        <v/>
      </c>
      <c r="Q46" s="18">
        <f>'Grid_Stock'!J41</f>
        <v/>
      </c>
      <c r="R46" s="18">
        <f>'Grid_Stock'!K41</f>
        <v/>
      </c>
      <c r="S46" s="18">
        <f>'Grid_Stock'!L41</f>
        <v/>
      </c>
      <c r="T46" s="18">
        <f>'Grid_Stock'!M41</f>
        <v/>
      </c>
      <c r="U46" s="18">
        <f>'Grid_Stock'!N41</f>
        <v/>
      </c>
      <c r="V46" s="18">
        <f>'Grid_Stock'!O41</f>
        <v/>
      </c>
      <c r="W46" s="18">
        <f>'Grid_Stock'!P41</f>
        <v/>
      </c>
      <c r="X46" s="18">
        <f>'Grid_Stock'!Q41</f>
        <v/>
      </c>
      <c r="Y46" s="18">
        <f>'Grid_Stock'!R41</f>
        <v/>
      </c>
      <c r="Z46" s="18">
        <f>'Grid_Stock'!S41</f>
        <v/>
      </c>
      <c r="AA46" s="18">
        <f>'Grid_Stock'!T41</f>
        <v/>
      </c>
      <c r="AB46" s="18">
        <f>'Grid_Stock'!U41</f>
        <v/>
      </c>
      <c r="AC46" s="18">
        <f>'Grid_Stock'!V41</f>
        <v/>
      </c>
      <c r="AD46" s="18">
        <f>'Grid_Stock'!W41</f>
        <v/>
      </c>
      <c r="AE46" s="18">
        <f>'Grid_Stock'!X41</f>
        <v/>
      </c>
      <c r="AF46" s="18">
        <f>'Grid_Stock'!Y41</f>
        <v/>
      </c>
      <c r="AG46" s="18">
        <f>'Grid_Stock'!Z41</f>
        <v/>
      </c>
      <c r="AH46" s="18">
        <f>'Grid_Stock'!AA41</f>
        <v/>
      </c>
      <c r="AI46" s="18">
        <f>'Grid_Stock'!AB41</f>
        <v/>
      </c>
      <c r="AJ46" s="18">
        <f>'Grid_Stock'!AC41</f>
        <v/>
      </c>
      <c r="AK46" s="18">
        <f>'Grid_Stock'!AD41</f>
        <v/>
      </c>
      <c r="AL46" s="18">
        <f>'Grid_Stock'!AE41</f>
        <v/>
      </c>
      <c r="AM46" s="18">
        <f>'Grid_Stock'!AF41</f>
        <v/>
      </c>
      <c r="AN46" s="18">
        <f>'Grid_Stock'!AG41</f>
        <v/>
      </c>
      <c r="AO46" s="18">
        <f>'Grid_Stock'!AH41</f>
        <v/>
      </c>
      <c r="AP46" s="18">
        <f>'Grid_Stock'!AI41</f>
        <v/>
      </c>
      <c r="AQ46" s="18">
        <f>'Grid_Stock'!AJ41</f>
        <v/>
      </c>
      <c r="AR46" s="18">
        <f>'Grid_Stock'!AK41</f>
        <v/>
      </c>
      <c r="AS46" s="18">
        <f>'Grid_Stock'!AL41</f>
        <v/>
      </c>
      <c r="AT46" s="18">
        <f>'Grid_Stock'!AM41</f>
        <v/>
      </c>
      <c r="AU46" s="18">
        <f>'Grid_Stock'!AN41</f>
        <v/>
      </c>
      <c r="AV46" s="18">
        <f>'Grid_Stock'!AO41</f>
        <v/>
      </c>
      <c r="AW46" s="18">
        <f>'Grid_Stock'!AP41</f>
        <v/>
      </c>
      <c r="AX46" s="18">
        <f>'Grid_Stock'!AQ41</f>
        <v/>
      </c>
      <c r="AY46" s="18">
        <f>'Grid_Stock'!AR41</f>
        <v/>
      </c>
      <c r="AZ46" s="18">
        <f>'Grid_Stock'!AS41</f>
        <v/>
      </c>
      <c r="BA46" s="18">
        <f>'Grid_Stock'!AT41</f>
        <v/>
      </c>
      <c r="BB46" s="18">
        <f>'Grid_Stock'!AU41</f>
        <v/>
      </c>
      <c r="BC46" s="18">
        <f>'Grid_Stock'!AV41</f>
        <v/>
      </c>
      <c r="BD46" s="18">
        <f>'Grid_Stock'!AW41</f>
        <v/>
      </c>
      <c r="BE46" s="18">
        <f>'Grid_Stock'!AX41</f>
        <v/>
      </c>
      <c r="BF46" s="18">
        <f>'Grid_Stock'!AY41</f>
        <v/>
      </c>
      <c r="BG46" s="18">
        <f>'Grid_Stock'!AZ41</f>
        <v/>
      </c>
      <c r="BH46" s="18">
        <f>'Grid_Stock'!BA41</f>
        <v/>
      </c>
      <c r="BI46" s="18">
        <f>'Grid_Stock'!BB41</f>
        <v/>
      </c>
      <c r="BJ46" s="18">
        <f>'Grid_Stock'!BC41</f>
        <v/>
      </c>
      <c r="BK46" s="18">
        <f>'Grid_Stock'!BD41</f>
        <v/>
      </c>
      <c r="BL46" s="18">
        <f>'Grid_Stock'!BE41</f>
        <v/>
      </c>
      <c r="BM46" s="18">
        <f>'Grid_Stock'!BF41</f>
        <v/>
      </c>
      <c r="BN46" s="18">
        <f>'Grid_Stock'!BG41</f>
        <v/>
      </c>
      <c r="BO46" s="18">
        <f>'Grid_Stock'!BH41</f>
        <v/>
      </c>
      <c r="BP46" s="18">
        <f>'Grid_Stock'!BI41</f>
        <v/>
      </c>
      <c r="BQ46" s="18">
        <f>'Grid_Stock'!BJ41</f>
        <v/>
      </c>
      <c r="BR46" s="18">
        <f>'Grid_Stock'!BK41</f>
        <v/>
      </c>
      <c r="BS46" s="18">
        <f>'Grid_Stock'!BL41</f>
        <v/>
      </c>
      <c r="BT46" s="18">
        <f>'Grid_Stock'!BM41</f>
        <v/>
      </c>
      <c r="BU46" s="18">
        <f>'Grid_Stock'!BN41</f>
        <v/>
      </c>
      <c r="BV46" s="18">
        <f>'Grid_Stock'!BO41</f>
        <v/>
      </c>
      <c r="BW46" s="18">
        <f>'Grid_Stock'!BP41</f>
        <v/>
      </c>
      <c r="BX46" s="18">
        <f>'Grid_Stock'!BQ41</f>
        <v/>
      </c>
      <c r="BY46" s="18">
        <f>'Grid_Stock'!BR41</f>
        <v/>
      </c>
      <c r="BZ46" s="18">
        <f>'Grid_Stock'!BS41</f>
        <v/>
      </c>
      <c r="CA46" s="18">
        <f>'Grid_Stock'!BT41</f>
        <v/>
      </c>
      <c r="CB46" s="18">
        <f>'Grid_Stock'!BU41</f>
        <v/>
      </c>
      <c r="CC46" s="18">
        <f>'Grid_Stock'!BV41</f>
        <v/>
      </c>
      <c r="CD46" s="18">
        <f>'Grid_Stock'!BW41</f>
        <v/>
      </c>
      <c r="CE46" s="18">
        <f>'Grid_Stock'!BX41</f>
        <v/>
      </c>
      <c r="CF46" s="18">
        <f>'Grid_Stock'!BY41</f>
        <v/>
      </c>
      <c r="CG46" s="18">
        <f>'Grid_Stock'!BZ41</f>
        <v/>
      </c>
      <c r="CH46" s="18">
        <f>'Grid_Stock'!CA41</f>
        <v/>
      </c>
      <c r="CI46" s="18">
        <f>'Grid_Stock'!CB41</f>
        <v/>
      </c>
      <c r="CJ46" s="18">
        <f>'Grid_Stock'!CC41</f>
        <v/>
      </c>
      <c r="CK46" s="18">
        <f>'Grid_Stock'!CD41</f>
        <v/>
      </c>
      <c r="CL46" s="18">
        <f>'Grid_Stock'!CE41</f>
        <v/>
      </c>
      <c r="CM46" s="18">
        <f>'Grid_Stock'!CF41</f>
        <v/>
      </c>
      <c r="CN46" s="18">
        <f>'Grid_Stock'!CG41</f>
        <v/>
      </c>
      <c r="CO46" s="18">
        <f>'Grid_Stock'!CH41</f>
        <v/>
      </c>
      <c r="CP46" s="18">
        <f>'Grid_Stock'!CI41</f>
        <v/>
      </c>
      <c r="CQ46" s="18">
        <f>'Grid_Stock'!CJ41</f>
        <v/>
      </c>
      <c r="CR46" s="18">
        <f>'Grid_Stock'!CK41</f>
        <v/>
      </c>
      <c r="CS46" s="18">
        <f>'Grid_Stock'!CL41</f>
        <v/>
      </c>
      <c r="CT46" s="18">
        <f>'Grid_Stock'!CM41</f>
        <v/>
      </c>
      <c r="CU46" s="18">
        <f>'Grid_Stock'!CN41</f>
        <v/>
      </c>
      <c r="CV46" s="18">
        <f>'Grid_Stock'!CO41</f>
        <v/>
      </c>
      <c r="CW46" s="18">
        <f>'Grid_Stock'!CP41</f>
        <v/>
      </c>
      <c r="CX46" s="18">
        <f>'Grid_Stock'!CQ41</f>
        <v/>
      </c>
      <c r="CY46" s="18">
        <f>'Grid_Stock'!CR41</f>
        <v/>
      </c>
      <c r="CZ46" s="18">
        <f>'Grid_Stock'!CS41</f>
        <v/>
      </c>
      <c r="DA46" s="18">
        <f>'Grid_Stock'!CT41</f>
        <v/>
      </c>
      <c r="DB46" s="18">
        <f>'Grid_Stock'!CU41</f>
        <v/>
      </c>
      <c r="DC46" s="18">
        <f>'Grid_Stock'!CV41</f>
        <v/>
      </c>
      <c r="DD46" s="18">
        <f>'Grid_Stock'!CW41</f>
        <v/>
      </c>
      <c r="DE46" s="18">
        <f>'Grid_Stock'!CX41</f>
        <v/>
      </c>
      <c r="DF46" s="18">
        <f>'Grid_Stock'!CY41</f>
        <v/>
      </c>
      <c r="DG46" s="18">
        <f>'Grid_Stock'!CZ41</f>
        <v/>
      </c>
      <c r="DH46" s="18">
        <f>'Grid_Stock'!DA41</f>
        <v/>
      </c>
    </row>
    <row r="47">
      <c r="A47" s="17" t="inlineStr">
        <is>
          <t>V03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IFERROR(LOOKUP(2,1/('T_SelfStock'!$B$46:$DA$46&lt;&gt;""),'T_SelfStock'!$B$46:$DA$46),"")</f>
        <v/>
      </c>
      <c r="G47" s="17">
        <f>IFERROR(LOOKUP(2,1/('T_TTAFStock'!$B$46:$DA$46&lt;&gt;""),'T_TTAFStock'!$B$46:$DA$46),"")</f>
        <v/>
      </c>
      <c r="H47" s="17">
        <f>IFERROR(LOOKUP(2,1/('T_SelfStock'!$B$46:$DA$46&lt;&gt;""),'T_SelfStock'!$B$5:$DA$5),"")</f>
        <v/>
      </c>
      <c r="I47" s="17">
        <f>'Grid_Stock'!B42</f>
        <v/>
      </c>
      <c r="J47" s="17">
        <f>'Grid_Stock'!C42</f>
        <v/>
      </c>
      <c r="K47" s="17">
        <f>'Grid_Stock'!D42</f>
        <v/>
      </c>
      <c r="L47" s="17">
        <f>'Grid_Stock'!E42</f>
        <v/>
      </c>
      <c r="M47" s="17">
        <f>'Grid_Stock'!F42</f>
        <v/>
      </c>
      <c r="N47" s="17">
        <f>'Grid_Stock'!G42</f>
        <v/>
      </c>
      <c r="O47" s="17">
        <f>'Grid_Stock'!H42</f>
        <v/>
      </c>
      <c r="P47" s="17">
        <f>'Grid_Stock'!I42</f>
        <v/>
      </c>
      <c r="Q47" s="17">
        <f>'Grid_Stock'!J42</f>
        <v/>
      </c>
      <c r="R47" s="17">
        <f>'Grid_Stock'!K42</f>
        <v/>
      </c>
      <c r="S47" s="17">
        <f>'Grid_Stock'!L42</f>
        <v/>
      </c>
      <c r="T47" s="17">
        <f>'Grid_Stock'!M42</f>
        <v/>
      </c>
      <c r="U47" s="17">
        <f>'Grid_Stock'!N42</f>
        <v/>
      </c>
      <c r="V47" s="17">
        <f>'Grid_Stock'!O42</f>
        <v/>
      </c>
      <c r="W47" s="17">
        <f>'Grid_Stock'!P42</f>
        <v/>
      </c>
      <c r="X47" s="17">
        <f>'Grid_Stock'!Q42</f>
        <v/>
      </c>
      <c r="Y47" s="17">
        <f>'Grid_Stock'!R42</f>
        <v/>
      </c>
      <c r="Z47" s="17">
        <f>'Grid_Stock'!S42</f>
        <v/>
      </c>
      <c r="AA47" s="17">
        <f>'Grid_Stock'!T42</f>
        <v/>
      </c>
      <c r="AB47" s="17">
        <f>'Grid_Stock'!U42</f>
        <v/>
      </c>
      <c r="AC47" s="17">
        <f>'Grid_Stock'!V42</f>
        <v/>
      </c>
      <c r="AD47" s="17">
        <f>'Grid_Stock'!W42</f>
        <v/>
      </c>
      <c r="AE47" s="17">
        <f>'Grid_Stock'!X42</f>
        <v/>
      </c>
      <c r="AF47" s="17">
        <f>'Grid_Stock'!Y42</f>
        <v/>
      </c>
      <c r="AG47" s="17">
        <f>'Grid_Stock'!Z42</f>
        <v/>
      </c>
      <c r="AH47" s="17">
        <f>'Grid_Stock'!AA42</f>
        <v/>
      </c>
      <c r="AI47" s="17">
        <f>'Grid_Stock'!AB42</f>
        <v/>
      </c>
      <c r="AJ47" s="17">
        <f>'Grid_Stock'!AC42</f>
        <v/>
      </c>
      <c r="AK47" s="17">
        <f>'Grid_Stock'!AD42</f>
        <v/>
      </c>
      <c r="AL47" s="17">
        <f>'Grid_Stock'!AE42</f>
        <v/>
      </c>
      <c r="AM47" s="17">
        <f>'Grid_Stock'!AF42</f>
        <v/>
      </c>
      <c r="AN47" s="17">
        <f>'Grid_Stock'!AG42</f>
        <v/>
      </c>
      <c r="AO47" s="17">
        <f>'Grid_Stock'!AH42</f>
        <v/>
      </c>
      <c r="AP47" s="17">
        <f>'Grid_Stock'!AI42</f>
        <v/>
      </c>
      <c r="AQ47" s="17">
        <f>'Grid_Stock'!AJ42</f>
        <v/>
      </c>
      <c r="AR47" s="17">
        <f>'Grid_Stock'!AK42</f>
        <v/>
      </c>
      <c r="AS47" s="17">
        <f>'Grid_Stock'!AL42</f>
        <v/>
      </c>
      <c r="AT47" s="17">
        <f>'Grid_Stock'!AM42</f>
        <v/>
      </c>
      <c r="AU47" s="17">
        <f>'Grid_Stock'!AN42</f>
        <v/>
      </c>
      <c r="AV47" s="17">
        <f>'Grid_Stock'!AO42</f>
        <v/>
      </c>
      <c r="AW47" s="17">
        <f>'Grid_Stock'!AP42</f>
        <v/>
      </c>
      <c r="AX47" s="17">
        <f>'Grid_Stock'!AQ42</f>
        <v/>
      </c>
      <c r="AY47" s="17">
        <f>'Grid_Stock'!AR42</f>
        <v/>
      </c>
      <c r="AZ47" s="17">
        <f>'Grid_Stock'!AS42</f>
        <v/>
      </c>
      <c r="BA47" s="17">
        <f>'Grid_Stock'!AT42</f>
        <v/>
      </c>
      <c r="BB47" s="17">
        <f>'Grid_Stock'!AU42</f>
        <v/>
      </c>
      <c r="BC47" s="17">
        <f>'Grid_Stock'!AV42</f>
        <v/>
      </c>
      <c r="BD47" s="17">
        <f>'Grid_Stock'!AW42</f>
        <v/>
      </c>
      <c r="BE47" s="17">
        <f>'Grid_Stock'!AX42</f>
        <v/>
      </c>
      <c r="BF47" s="17">
        <f>'Grid_Stock'!AY42</f>
        <v/>
      </c>
      <c r="BG47" s="17">
        <f>'Grid_Stock'!AZ42</f>
        <v/>
      </c>
      <c r="BH47" s="17">
        <f>'Grid_Stock'!BA42</f>
        <v/>
      </c>
      <c r="BI47" s="17">
        <f>'Grid_Stock'!BB42</f>
        <v/>
      </c>
      <c r="BJ47" s="17">
        <f>'Grid_Stock'!BC42</f>
        <v/>
      </c>
      <c r="BK47" s="17">
        <f>'Grid_Stock'!BD42</f>
        <v/>
      </c>
      <c r="BL47" s="17">
        <f>'Grid_Stock'!BE42</f>
        <v/>
      </c>
      <c r="BM47" s="17">
        <f>'Grid_Stock'!BF42</f>
        <v/>
      </c>
      <c r="BN47" s="17">
        <f>'Grid_Stock'!BG42</f>
        <v/>
      </c>
      <c r="BO47" s="17">
        <f>'Grid_Stock'!BH42</f>
        <v/>
      </c>
      <c r="BP47" s="17">
        <f>'Grid_Stock'!BI42</f>
        <v/>
      </c>
      <c r="BQ47" s="17">
        <f>'Grid_Stock'!BJ42</f>
        <v/>
      </c>
      <c r="BR47" s="17">
        <f>'Grid_Stock'!BK42</f>
        <v/>
      </c>
      <c r="BS47" s="17">
        <f>'Grid_Stock'!BL42</f>
        <v/>
      </c>
      <c r="BT47" s="17">
        <f>'Grid_Stock'!BM42</f>
        <v/>
      </c>
      <c r="BU47" s="17">
        <f>'Grid_Stock'!BN42</f>
        <v/>
      </c>
      <c r="BV47" s="17">
        <f>'Grid_Stock'!BO42</f>
        <v/>
      </c>
      <c r="BW47" s="17">
        <f>'Grid_Stock'!BP42</f>
        <v/>
      </c>
      <c r="BX47" s="17">
        <f>'Grid_Stock'!BQ42</f>
        <v/>
      </c>
      <c r="BY47" s="17">
        <f>'Grid_Stock'!BR42</f>
        <v/>
      </c>
      <c r="BZ47" s="17">
        <f>'Grid_Stock'!BS42</f>
        <v/>
      </c>
      <c r="CA47" s="17">
        <f>'Grid_Stock'!BT42</f>
        <v/>
      </c>
      <c r="CB47" s="17">
        <f>'Grid_Stock'!BU42</f>
        <v/>
      </c>
      <c r="CC47" s="17">
        <f>'Grid_Stock'!BV42</f>
        <v/>
      </c>
      <c r="CD47" s="17">
        <f>'Grid_Stock'!BW42</f>
        <v/>
      </c>
      <c r="CE47" s="17">
        <f>'Grid_Stock'!BX42</f>
        <v/>
      </c>
      <c r="CF47" s="17">
        <f>'Grid_Stock'!BY42</f>
        <v/>
      </c>
      <c r="CG47" s="17">
        <f>'Grid_Stock'!BZ42</f>
        <v/>
      </c>
      <c r="CH47" s="17">
        <f>'Grid_Stock'!CA42</f>
        <v/>
      </c>
      <c r="CI47" s="17">
        <f>'Grid_Stock'!CB42</f>
        <v/>
      </c>
      <c r="CJ47" s="17">
        <f>'Grid_Stock'!CC42</f>
        <v/>
      </c>
      <c r="CK47" s="17">
        <f>'Grid_Stock'!CD42</f>
        <v/>
      </c>
      <c r="CL47" s="17">
        <f>'Grid_Stock'!CE42</f>
        <v/>
      </c>
      <c r="CM47" s="17">
        <f>'Grid_Stock'!CF42</f>
        <v/>
      </c>
      <c r="CN47" s="17">
        <f>'Grid_Stock'!CG42</f>
        <v/>
      </c>
      <c r="CO47" s="17">
        <f>'Grid_Stock'!CH42</f>
        <v/>
      </c>
      <c r="CP47" s="17">
        <f>'Grid_Stock'!CI42</f>
        <v/>
      </c>
      <c r="CQ47" s="17">
        <f>'Grid_Stock'!CJ42</f>
        <v/>
      </c>
      <c r="CR47" s="17">
        <f>'Grid_Stock'!CK42</f>
        <v/>
      </c>
      <c r="CS47" s="17">
        <f>'Grid_Stock'!CL42</f>
        <v/>
      </c>
      <c r="CT47" s="17">
        <f>'Grid_Stock'!CM42</f>
        <v/>
      </c>
      <c r="CU47" s="17">
        <f>'Grid_Stock'!CN42</f>
        <v/>
      </c>
      <c r="CV47" s="17">
        <f>'Grid_Stock'!CO42</f>
        <v/>
      </c>
      <c r="CW47" s="17">
        <f>'Grid_Stock'!CP42</f>
        <v/>
      </c>
      <c r="CX47" s="17">
        <f>'Grid_Stock'!CQ42</f>
        <v/>
      </c>
      <c r="CY47" s="17">
        <f>'Grid_Stock'!CR42</f>
        <v/>
      </c>
      <c r="CZ47" s="17">
        <f>'Grid_Stock'!CS42</f>
        <v/>
      </c>
      <c r="DA47" s="17">
        <f>'Grid_Stock'!CT42</f>
        <v/>
      </c>
      <c r="DB47" s="17">
        <f>'Grid_Stock'!CU42</f>
        <v/>
      </c>
      <c r="DC47" s="17">
        <f>'Grid_Stock'!CV42</f>
        <v/>
      </c>
      <c r="DD47" s="17">
        <f>'Grid_Stock'!CW42</f>
        <v/>
      </c>
      <c r="DE47" s="17">
        <f>'Grid_Stock'!CX42</f>
        <v/>
      </c>
      <c r="DF47" s="17">
        <f>'Grid_Stock'!CY42</f>
        <v/>
      </c>
      <c r="DG47" s="17">
        <f>'Grid_Stock'!CZ42</f>
        <v/>
      </c>
      <c r="DH47" s="17">
        <f>'Grid_Stock'!DA42</f>
        <v/>
      </c>
    </row>
    <row r="48">
      <c r="A48" s="18" t="inlineStr">
        <is>
          <t>V19</t>
        </is>
      </c>
      <c r="B48" s="18">
        <f>IFERROR(INDEX(M_RawMaterials[Description],MATCH($A48,M_RawMaterials[Part Name],0)),"")</f>
        <v/>
      </c>
      <c r="C48" s="18">
        <f>IFERROR(INDEX(M_RawMaterials[Category],MATCH($A48,M_RawMaterials[Part Name],0)),"")</f>
        <v/>
      </c>
      <c r="D48" s="18">
        <f>IFERROR(INDEX(M_RawMaterials[基準在庫下限_要入力],MATCH($A48,M_RawMaterials[Part Name],0)),0)</f>
        <v/>
      </c>
      <c r="E48" s="18">
        <f>IFERROR(INDEX(M_RawMaterials[基準在庫上限_要入力],MATCH($A48,M_RawMaterials[Part Name],0)),0)</f>
        <v/>
      </c>
      <c r="F48" s="18">
        <f>IFERROR(LOOKUP(2,1/('T_SelfStock'!$B$47:$DA$47&lt;&gt;""),'T_SelfStock'!$B$47:$DA$47),"")</f>
        <v/>
      </c>
      <c r="G48" s="18">
        <f>IFERROR(LOOKUP(2,1/('T_TTAFStock'!$B$47:$DA$47&lt;&gt;""),'T_TTAFStock'!$B$47:$DA$47),"")</f>
        <v/>
      </c>
      <c r="H48" s="18">
        <f>IFERROR(LOOKUP(2,1/('T_SelfStock'!$B$47:$DA$47&lt;&gt;""),'T_SelfStock'!$B$5:$DA$5),"")</f>
        <v/>
      </c>
      <c r="I48" s="18">
        <f>'Grid_Stock'!B43</f>
        <v/>
      </c>
      <c r="J48" s="18">
        <f>'Grid_Stock'!C43</f>
        <v/>
      </c>
      <c r="K48" s="18">
        <f>'Grid_Stock'!D43</f>
        <v/>
      </c>
      <c r="L48" s="18">
        <f>'Grid_Stock'!E43</f>
        <v/>
      </c>
      <c r="M48" s="18">
        <f>'Grid_Stock'!F43</f>
        <v/>
      </c>
      <c r="N48" s="18">
        <f>'Grid_Stock'!G43</f>
        <v/>
      </c>
      <c r="O48" s="18">
        <f>'Grid_Stock'!H43</f>
        <v/>
      </c>
      <c r="P48" s="18">
        <f>'Grid_Stock'!I43</f>
        <v/>
      </c>
      <c r="Q48" s="18">
        <f>'Grid_Stock'!J43</f>
        <v/>
      </c>
      <c r="R48" s="18">
        <f>'Grid_Stock'!K43</f>
        <v/>
      </c>
      <c r="S48" s="18">
        <f>'Grid_Stock'!L43</f>
        <v/>
      </c>
      <c r="T48" s="18">
        <f>'Grid_Stock'!M43</f>
        <v/>
      </c>
      <c r="U48" s="18">
        <f>'Grid_Stock'!N43</f>
        <v/>
      </c>
      <c r="V48" s="18">
        <f>'Grid_Stock'!O43</f>
        <v/>
      </c>
      <c r="W48" s="18">
        <f>'Grid_Stock'!P43</f>
        <v/>
      </c>
      <c r="X48" s="18">
        <f>'Grid_Stock'!Q43</f>
        <v/>
      </c>
      <c r="Y48" s="18">
        <f>'Grid_Stock'!R43</f>
        <v/>
      </c>
      <c r="Z48" s="18">
        <f>'Grid_Stock'!S43</f>
        <v/>
      </c>
      <c r="AA48" s="18">
        <f>'Grid_Stock'!T43</f>
        <v/>
      </c>
      <c r="AB48" s="18">
        <f>'Grid_Stock'!U43</f>
        <v/>
      </c>
      <c r="AC48" s="18">
        <f>'Grid_Stock'!V43</f>
        <v/>
      </c>
      <c r="AD48" s="18">
        <f>'Grid_Stock'!W43</f>
        <v/>
      </c>
      <c r="AE48" s="18">
        <f>'Grid_Stock'!X43</f>
        <v/>
      </c>
      <c r="AF48" s="18">
        <f>'Grid_Stock'!Y43</f>
        <v/>
      </c>
      <c r="AG48" s="18">
        <f>'Grid_Stock'!Z43</f>
        <v/>
      </c>
      <c r="AH48" s="18">
        <f>'Grid_Stock'!AA43</f>
        <v/>
      </c>
      <c r="AI48" s="18">
        <f>'Grid_Stock'!AB43</f>
        <v/>
      </c>
      <c r="AJ48" s="18">
        <f>'Grid_Stock'!AC43</f>
        <v/>
      </c>
      <c r="AK48" s="18">
        <f>'Grid_Stock'!AD43</f>
        <v/>
      </c>
      <c r="AL48" s="18">
        <f>'Grid_Stock'!AE43</f>
        <v/>
      </c>
      <c r="AM48" s="18">
        <f>'Grid_Stock'!AF43</f>
        <v/>
      </c>
      <c r="AN48" s="18">
        <f>'Grid_Stock'!AG43</f>
        <v/>
      </c>
      <c r="AO48" s="18">
        <f>'Grid_Stock'!AH43</f>
        <v/>
      </c>
      <c r="AP48" s="18">
        <f>'Grid_Stock'!AI43</f>
        <v/>
      </c>
      <c r="AQ48" s="18">
        <f>'Grid_Stock'!AJ43</f>
        <v/>
      </c>
      <c r="AR48" s="18">
        <f>'Grid_Stock'!AK43</f>
        <v/>
      </c>
      <c r="AS48" s="18">
        <f>'Grid_Stock'!AL43</f>
        <v/>
      </c>
      <c r="AT48" s="18">
        <f>'Grid_Stock'!AM43</f>
        <v/>
      </c>
      <c r="AU48" s="18">
        <f>'Grid_Stock'!AN43</f>
        <v/>
      </c>
      <c r="AV48" s="18">
        <f>'Grid_Stock'!AO43</f>
        <v/>
      </c>
      <c r="AW48" s="18">
        <f>'Grid_Stock'!AP43</f>
        <v/>
      </c>
      <c r="AX48" s="18">
        <f>'Grid_Stock'!AQ43</f>
        <v/>
      </c>
      <c r="AY48" s="18">
        <f>'Grid_Stock'!AR43</f>
        <v/>
      </c>
      <c r="AZ48" s="18">
        <f>'Grid_Stock'!AS43</f>
        <v/>
      </c>
      <c r="BA48" s="18">
        <f>'Grid_Stock'!AT43</f>
        <v/>
      </c>
      <c r="BB48" s="18">
        <f>'Grid_Stock'!AU43</f>
        <v/>
      </c>
      <c r="BC48" s="18">
        <f>'Grid_Stock'!AV43</f>
        <v/>
      </c>
      <c r="BD48" s="18">
        <f>'Grid_Stock'!AW43</f>
        <v/>
      </c>
      <c r="BE48" s="18">
        <f>'Grid_Stock'!AX43</f>
        <v/>
      </c>
      <c r="BF48" s="18">
        <f>'Grid_Stock'!AY43</f>
        <v/>
      </c>
      <c r="BG48" s="18">
        <f>'Grid_Stock'!AZ43</f>
        <v/>
      </c>
      <c r="BH48" s="18">
        <f>'Grid_Stock'!BA43</f>
        <v/>
      </c>
      <c r="BI48" s="18">
        <f>'Grid_Stock'!BB43</f>
        <v/>
      </c>
      <c r="BJ48" s="18">
        <f>'Grid_Stock'!BC43</f>
        <v/>
      </c>
      <c r="BK48" s="18">
        <f>'Grid_Stock'!BD43</f>
        <v/>
      </c>
      <c r="BL48" s="18">
        <f>'Grid_Stock'!BE43</f>
        <v/>
      </c>
      <c r="BM48" s="18">
        <f>'Grid_Stock'!BF43</f>
        <v/>
      </c>
      <c r="BN48" s="18">
        <f>'Grid_Stock'!BG43</f>
        <v/>
      </c>
      <c r="BO48" s="18">
        <f>'Grid_Stock'!BH43</f>
        <v/>
      </c>
      <c r="BP48" s="18">
        <f>'Grid_Stock'!BI43</f>
        <v/>
      </c>
      <c r="BQ48" s="18">
        <f>'Grid_Stock'!BJ43</f>
        <v/>
      </c>
      <c r="BR48" s="18">
        <f>'Grid_Stock'!BK43</f>
        <v/>
      </c>
      <c r="BS48" s="18">
        <f>'Grid_Stock'!BL43</f>
        <v/>
      </c>
      <c r="BT48" s="18">
        <f>'Grid_Stock'!BM43</f>
        <v/>
      </c>
      <c r="BU48" s="18">
        <f>'Grid_Stock'!BN43</f>
        <v/>
      </c>
      <c r="BV48" s="18">
        <f>'Grid_Stock'!BO43</f>
        <v/>
      </c>
      <c r="BW48" s="18">
        <f>'Grid_Stock'!BP43</f>
        <v/>
      </c>
      <c r="BX48" s="18">
        <f>'Grid_Stock'!BQ43</f>
        <v/>
      </c>
      <c r="BY48" s="18">
        <f>'Grid_Stock'!BR43</f>
        <v/>
      </c>
      <c r="BZ48" s="18">
        <f>'Grid_Stock'!BS43</f>
        <v/>
      </c>
      <c r="CA48" s="18">
        <f>'Grid_Stock'!BT43</f>
        <v/>
      </c>
      <c r="CB48" s="18">
        <f>'Grid_Stock'!BU43</f>
        <v/>
      </c>
      <c r="CC48" s="18">
        <f>'Grid_Stock'!BV43</f>
        <v/>
      </c>
      <c r="CD48" s="18">
        <f>'Grid_Stock'!BW43</f>
        <v/>
      </c>
      <c r="CE48" s="18">
        <f>'Grid_Stock'!BX43</f>
        <v/>
      </c>
      <c r="CF48" s="18">
        <f>'Grid_Stock'!BY43</f>
        <v/>
      </c>
      <c r="CG48" s="18">
        <f>'Grid_Stock'!BZ43</f>
        <v/>
      </c>
      <c r="CH48" s="18">
        <f>'Grid_Stock'!CA43</f>
        <v/>
      </c>
      <c r="CI48" s="18">
        <f>'Grid_Stock'!CB43</f>
        <v/>
      </c>
      <c r="CJ48" s="18">
        <f>'Grid_Stock'!CC43</f>
        <v/>
      </c>
      <c r="CK48" s="18">
        <f>'Grid_Stock'!CD43</f>
        <v/>
      </c>
      <c r="CL48" s="18">
        <f>'Grid_Stock'!CE43</f>
        <v/>
      </c>
      <c r="CM48" s="18">
        <f>'Grid_Stock'!CF43</f>
        <v/>
      </c>
      <c r="CN48" s="18">
        <f>'Grid_Stock'!CG43</f>
        <v/>
      </c>
      <c r="CO48" s="18">
        <f>'Grid_Stock'!CH43</f>
        <v/>
      </c>
      <c r="CP48" s="18">
        <f>'Grid_Stock'!CI43</f>
        <v/>
      </c>
      <c r="CQ48" s="18">
        <f>'Grid_Stock'!CJ43</f>
        <v/>
      </c>
      <c r="CR48" s="18">
        <f>'Grid_Stock'!CK43</f>
        <v/>
      </c>
      <c r="CS48" s="18">
        <f>'Grid_Stock'!CL43</f>
        <v/>
      </c>
      <c r="CT48" s="18">
        <f>'Grid_Stock'!CM43</f>
        <v/>
      </c>
      <c r="CU48" s="18">
        <f>'Grid_Stock'!CN43</f>
        <v/>
      </c>
      <c r="CV48" s="18">
        <f>'Grid_Stock'!CO43</f>
        <v/>
      </c>
      <c r="CW48" s="18">
        <f>'Grid_Stock'!CP43</f>
        <v/>
      </c>
      <c r="CX48" s="18">
        <f>'Grid_Stock'!CQ43</f>
        <v/>
      </c>
      <c r="CY48" s="18">
        <f>'Grid_Stock'!CR43</f>
        <v/>
      </c>
      <c r="CZ48" s="18">
        <f>'Grid_Stock'!CS43</f>
        <v/>
      </c>
      <c r="DA48" s="18">
        <f>'Grid_Stock'!CT43</f>
        <v/>
      </c>
      <c r="DB48" s="18">
        <f>'Grid_Stock'!CU43</f>
        <v/>
      </c>
      <c r="DC48" s="18">
        <f>'Grid_Stock'!CV43</f>
        <v/>
      </c>
      <c r="DD48" s="18">
        <f>'Grid_Stock'!CW43</f>
        <v/>
      </c>
      <c r="DE48" s="18">
        <f>'Grid_Stock'!CX43</f>
        <v/>
      </c>
      <c r="DF48" s="18">
        <f>'Grid_Stock'!CY43</f>
        <v/>
      </c>
      <c r="DG48" s="18">
        <f>'Grid_Stock'!CZ43</f>
        <v/>
      </c>
      <c r="DH48" s="18">
        <f>'Grid_Stock'!DA43</f>
        <v/>
      </c>
    </row>
    <row r="49">
      <c r="A49" s="17" t="inlineStr">
        <is>
          <t>3TP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IFERROR(LOOKUP(2,1/('T_SelfStock'!$B$48:$DA$48&lt;&gt;""),'T_SelfStock'!$B$48:$DA$48),"")</f>
        <v/>
      </c>
      <c r="G49" s="17">
        <f>IFERROR(LOOKUP(2,1/('T_TTAFStock'!$B$48:$DA$48&lt;&gt;""),'T_TTAFStock'!$B$48:$DA$48),"")</f>
        <v/>
      </c>
      <c r="H49" s="17">
        <f>IFERROR(LOOKUP(2,1/('T_SelfStock'!$B$48:$DA$48&lt;&gt;""),'T_SelfStock'!$B$5:$DA$5),"")</f>
        <v/>
      </c>
      <c r="I49" s="17">
        <f>'Grid_Stock'!B44</f>
        <v/>
      </c>
      <c r="J49" s="17">
        <f>'Grid_Stock'!C44</f>
        <v/>
      </c>
      <c r="K49" s="17">
        <f>'Grid_Stock'!D44</f>
        <v/>
      </c>
      <c r="L49" s="17">
        <f>'Grid_Stock'!E44</f>
        <v/>
      </c>
      <c r="M49" s="17">
        <f>'Grid_Stock'!F44</f>
        <v/>
      </c>
      <c r="N49" s="17">
        <f>'Grid_Stock'!G44</f>
        <v/>
      </c>
      <c r="O49" s="17">
        <f>'Grid_Stock'!H44</f>
        <v/>
      </c>
      <c r="P49" s="17">
        <f>'Grid_Stock'!I44</f>
        <v/>
      </c>
      <c r="Q49" s="17">
        <f>'Grid_Stock'!J44</f>
        <v/>
      </c>
      <c r="R49" s="17">
        <f>'Grid_Stock'!K44</f>
        <v/>
      </c>
      <c r="S49" s="17">
        <f>'Grid_Stock'!L44</f>
        <v/>
      </c>
      <c r="T49" s="17">
        <f>'Grid_Stock'!M44</f>
        <v/>
      </c>
      <c r="U49" s="17">
        <f>'Grid_Stock'!N44</f>
        <v/>
      </c>
      <c r="V49" s="17">
        <f>'Grid_Stock'!O44</f>
        <v/>
      </c>
      <c r="W49" s="17">
        <f>'Grid_Stock'!P44</f>
        <v/>
      </c>
      <c r="X49" s="17">
        <f>'Grid_Stock'!Q44</f>
        <v/>
      </c>
      <c r="Y49" s="17">
        <f>'Grid_Stock'!R44</f>
        <v/>
      </c>
      <c r="Z49" s="17">
        <f>'Grid_Stock'!S44</f>
        <v/>
      </c>
      <c r="AA49" s="17">
        <f>'Grid_Stock'!T44</f>
        <v/>
      </c>
      <c r="AB49" s="17">
        <f>'Grid_Stock'!U44</f>
        <v/>
      </c>
      <c r="AC49" s="17">
        <f>'Grid_Stock'!V44</f>
        <v/>
      </c>
      <c r="AD49" s="17">
        <f>'Grid_Stock'!W44</f>
        <v/>
      </c>
      <c r="AE49" s="17">
        <f>'Grid_Stock'!X44</f>
        <v/>
      </c>
      <c r="AF49" s="17">
        <f>'Grid_Stock'!Y44</f>
        <v/>
      </c>
      <c r="AG49" s="17">
        <f>'Grid_Stock'!Z44</f>
        <v/>
      </c>
      <c r="AH49" s="17">
        <f>'Grid_Stock'!AA44</f>
        <v/>
      </c>
      <c r="AI49" s="17">
        <f>'Grid_Stock'!AB44</f>
        <v/>
      </c>
      <c r="AJ49" s="17">
        <f>'Grid_Stock'!AC44</f>
        <v/>
      </c>
      <c r="AK49" s="17">
        <f>'Grid_Stock'!AD44</f>
        <v/>
      </c>
      <c r="AL49" s="17">
        <f>'Grid_Stock'!AE44</f>
        <v/>
      </c>
      <c r="AM49" s="17">
        <f>'Grid_Stock'!AF44</f>
        <v/>
      </c>
      <c r="AN49" s="17">
        <f>'Grid_Stock'!AG44</f>
        <v/>
      </c>
      <c r="AO49" s="17">
        <f>'Grid_Stock'!AH44</f>
        <v/>
      </c>
      <c r="AP49" s="17">
        <f>'Grid_Stock'!AI44</f>
        <v/>
      </c>
      <c r="AQ49" s="17">
        <f>'Grid_Stock'!AJ44</f>
        <v/>
      </c>
      <c r="AR49" s="17">
        <f>'Grid_Stock'!AK44</f>
        <v/>
      </c>
      <c r="AS49" s="17">
        <f>'Grid_Stock'!AL44</f>
        <v/>
      </c>
      <c r="AT49" s="17">
        <f>'Grid_Stock'!AM44</f>
        <v/>
      </c>
      <c r="AU49" s="17">
        <f>'Grid_Stock'!AN44</f>
        <v/>
      </c>
      <c r="AV49" s="17">
        <f>'Grid_Stock'!AO44</f>
        <v/>
      </c>
      <c r="AW49" s="17">
        <f>'Grid_Stock'!AP44</f>
        <v/>
      </c>
      <c r="AX49" s="17">
        <f>'Grid_Stock'!AQ44</f>
        <v/>
      </c>
      <c r="AY49" s="17">
        <f>'Grid_Stock'!AR44</f>
        <v/>
      </c>
      <c r="AZ49" s="17">
        <f>'Grid_Stock'!AS44</f>
        <v/>
      </c>
      <c r="BA49" s="17">
        <f>'Grid_Stock'!AT44</f>
        <v/>
      </c>
      <c r="BB49" s="17">
        <f>'Grid_Stock'!AU44</f>
        <v/>
      </c>
      <c r="BC49" s="17">
        <f>'Grid_Stock'!AV44</f>
        <v/>
      </c>
      <c r="BD49" s="17">
        <f>'Grid_Stock'!AW44</f>
        <v/>
      </c>
      <c r="BE49" s="17">
        <f>'Grid_Stock'!AX44</f>
        <v/>
      </c>
      <c r="BF49" s="17">
        <f>'Grid_Stock'!AY44</f>
        <v/>
      </c>
      <c r="BG49" s="17">
        <f>'Grid_Stock'!AZ44</f>
        <v/>
      </c>
      <c r="BH49" s="17">
        <f>'Grid_Stock'!BA44</f>
        <v/>
      </c>
      <c r="BI49" s="17">
        <f>'Grid_Stock'!BB44</f>
        <v/>
      </c>
      <c r="BJ49" s="17">
        <f>'Grid_Stock'!BC44</f>
        <v/>
      </c>
      <c r="BK49" s="17">
        <f>'Grid_Stock'!BD44</f>
        <v/>
      </c>
      <c r="BL49" s="17">
        <f>'Grid_Stock'!BE44</f>
        <v/>
      </c>
      <c r="BM49" s="17">
        <f>'Grid_Stock'!BF44</f>
        <v/>
      </c>
      <c r="BN49" s="17">
        <f>'Grid_Stock'!BG44</f>
        <v/>
      </c>
      <c r="BO49" s="17">
        <f>'Grid_Stock'!BH44</f>
        <v/>
      </c>
      <c r="BP49" s="17">
        <f>'Grid_Stock'!BI44</f>
        <v/>
      </c>
      <c r="BQ49" s="17">
        <f>'Grid_Stock'!BJ44</f>
        <v/>
      </c>
      <c r="BR49" s="17">
        <f>'Grid_Stock'!BK44</f>
        <v/>
      </c>
      <c r="BS49" s="17">
        <f>'Grid_Stock'!BL44</f>
        <v/>
      </c>
      <c r="BT49" s="17">
        <f>'Grid_Stock'!BM44</f>
        <v/>
      </c>
      <c r="BU49" s="17">
        <f>'Grid_Stock'!BN44</f>
        <v/>
      </c>
      <c r="BV49" s="17">
        <f>'Grid_Stock'!BO44</f>
        <v/>
      </c>
      <c r="BW49" s="17">
        <f>'Grid_Stock'!BP44</f>
        <v/>
      </c>
      <c r="BX49" s="17">
        <f>'Grid_Stock'!BQ44</f>
        <v/>
      </c>
      <c r="BY49" s="17">
        <f>'Grid_Stock'!BR44</f>
        <v/>
      </c>
      <c r="BZ49" s="17">
        <f>'Grid_Stock'!BS44</f>
        <v/>
      </c>
      <c r="CA49" s="17">
        <f>'Grid_Stock'!BT44</f>
        <v/>
      </c>
      <c r="CB49" s="17">
        <f>'Grid_Stock'!BU44</f>
        <v/>
      </c>
      <c r="CC49" s="17">
        <f>'Grid_Stock'!BV44</f>
        <v/>
      </c>
      <c r="CD49" s="17">
        <f>'Grid_Stock'!BW44</f>
        <v/>
      </c>
      <c r="CE49" s="17">
        <f>'Grid_Stock'!BX44</f>
        <v/>
      </c>
      <c r="CF49" s="17">
        <f>'Grid_Stock'!BY44</f>
        <v/>
      </c>
      <c r="CG49" s="17">
        <f>'Grid_Stock'!BZ44</f>
        <v/>
      </c>
      <c r="CH49" s="17">
        <f>'Grid_Stock'!CA44</f>
        <v/>
      </c>
      <c r="CI49" s="17">
        <f>'Grid_Stock'!CB44</f>
        <v/>
      </c>
      <c r="CJ49" s="17">
        <f>'Grid_Stock'!CC44</f>
        <v/>
      </c>
      <c r="CK49" s="17">
        <f>'Grid_Stock'!CD44</f>
        <v/>
      </c>
      <c r="CL49" s="17">
        <f>'Grid_Stock'!CE44</f>
        <v/>
      </c>
      <c r="CM49" s="17">
        <f>'Grid_Stock'!CF44</f>
        <v/>
      </c>
      <c r="CN49" s="17">
        <f>'Grid_Stock'!CG44</f>
        <v/>
      </c>
      <c r="CO49" s="17">
        <f>'Grid_Stock'!CH44</f>
        <v/>
      </c>
      <c r="CP49" s="17">
        <f>'Grid_Stock'!CI44</f>
        <v/>
      </c>
      <c r="CQ49" s="17">
        <f>'Grid_Stock'!CJ44</f>
        <v/>
      </c>
      <c r="CR49" s="17">
        <f>'Grid_Stock'!CK44</f>
        <v/>
      </c>
      <c r="CS49" s="17">
        <f>'Grid_Stock'!CL44</f>
        <v/>
      </c>
      <c r="CT49" s="17">
        <f>'Grid_Stock'!CM44</f>
        <v/>
      </c>
      <c r="CU49" s="17">
        <f>'Grid_Stock'!CN44</f>
        <v/>
      </c>
      <c r="CV49" s="17">
        <f>'Grid_Stock'!CO44</f>
        <v/>
      </c>
      <c r="CW49" s="17">
        <f>'Grid_Stock'!CP44</f>
        <v/>
      </c>
      <c r="CX49" s="17">
        <f>'Grid_Stock'!CQ44</f>
        <v/>
      </c>
      <c r="CY49" s="17">
        <f>'Grid_Stock'!CR44</f>
        <v/>
      </c>
      <c r="CZ49" s="17">
        <f>'Grid_Stock'!CS44</f>
        <v/>
      </c>
      <c r="DA49" s="17">
        <f>'Grid_Stock'!CT44</f>
        <v/>
      </c>
      <c r="DB49" s="17">
        <f>'Grid_Stock'!CU44</f>
        <v/>
      </c>
      <c r="DC49" s="17">
        <f>'Grid_Stock'!CV44</f>
        <v/>
      </c>
      <c r="DD49" s="17">
        <f>'Grid_Stock'!CW44</f>
        <v/>
      </c>
      <c r="DE49" s="17">
        <f>'Grid_Stock'!CX44</f>
        <v/>
      </c>
      <c r="DF49" s="17">
        <f>'Grid_Stock'!CY44</f>
        <v/>
      </c>
      <c r="DG49" s="17">
        <f>'Grid_Stock'!CZ44</f>
        <v/>
      </c>
      <c r="DH49" s="17">
        <f>'Grid_Stock'!DA44</f>
        <v/>
      </c>
    </row>
    <row r="50">
      <c r="A50" s="18" t="inlineStr">
        <is>
          <t>A043</t>
        </is>
      </c>
      <c r="B50" s="18">
        <f>IFERROR(INDEX(M_RawMaterials[Description],MATCH($A50,M_RawMaterials[Part Name],0)),"")</f>
        <v/>
      </c>
      <c r="C50" s="18">
        <f>IFERROR(INDEX(M_RawMaterials[Category],MATCH($A50,M_RawMaterials[Part Name],0)),"")</f>
        <v/>
      </c>
      <c r="D50" s="18">
        <f>IFERROR(INDEX(M_RawMaterials[基準在庫下限_要入力],MATCH($A50,M_RawMaterials[Part Name],0)),0)</f>
        <v/>
      </c>
      <c r="E50" s="18">
        <f>IFERROR(INDEX(M_RawMaterials[基準在庫上限_要入力],MATCH($A50,M_RawMaterials[Part Name],0)),0)</f>
        <v/>
      </c>
      <c r="F50" s="18">
        <f>IFERROR(LOOKUP(2,1/('T_SelfStock'!$B$49:$DA$49&lt;&gt;""),'T_SelfStock'!$B$49:$DA$49),"")</f>
        <v/>
      </c>
      <c r="G50" s="18">
        <f>IFERROR(LOOKUP(2,1/('T_TTAFStock'!$B$49:$DA$49&lt;&gt;""),'T_TTAFStock'!$B$49:$DA$49),"")</f>
        <v/>
      </c>
      <c r="H50" s="18">
        <f>IFERROR(LOOKUP(2,1/('T_SelfStock'!$B$49:$DA$49&lt;&gt;""),'T_SelfStock'!$B$5:$DA$5),"")</f>
        <v/>
      </c>
      <c r="I50" s="18">
        <f>'Grid_Stock'!B45</f>
        <v/>
      </c>
      <c r="J50" s="18">
        <f>'Grid_Stock'!C45</f>
        <v/>
      </c>
      <c r="K50" s="18">
        <f>'Grid_Stock'!D45</f>
        <v/>
      </c>
      <c r="L50" s="18">
        <f>'Grid_Stock'!E45</f>
        <v/>
      </c>
      <c r="M50" s="18">
        <f>'Grid_Stock'!F45</f>
        <v/>
      </c>
      <c r="N50" s="18">
        <f>'Grid_Stock'!G45</f>
        <v/>
      </c>
      <c r="O50" s="18">
        <f>'Grid_Stock'!H45</f>
        <v/>
      </c>
      <c r="P50" s="18">
        <f>'Grid_Stock'!I45</f>
        <v/>
      </c>
      <c r="Q50" s="18">
        <f>'Grid_Stock'!J45</f>
        <v/>
      </c>
      <c r="R50" s="18">
        <f>'Grid_Stock'!K45</f>
        <v/>
      </c>
      <c r="S50" s="18">
        <f>'Grid_Stock'!L45</f>
        <v/>
      </c>
      <c r="T50" s="18">
        <f>'Grid_Stock'!M45</f>
        <v/>
      </c>
      <c r="U50" s="18">
        <f>'Grid_Stock'!N45</f>
        <v/>
      </c>
      <c r="V50" s="18">
        <f>'Grid_Stock'!O45</f>
        <v/>
      </c>
      <c r="W50" s="18">
        <f>'Grid_Stock'!P45</f>
        <v/>
      </c>
      <c r="X50" s="18">
        <f>'Grid_Stock'!Q45</f>
        <v/>
      </c>
      <c r="Y50" s="18">
        <f>'Grid_Stock'!R45</f>
        <v/>
      </c>
      <c r="Z50" s="18">
        <f>'Grid_Stock'!S45</f>
        <v/>
      </c>
      <c r="AA50" s="18">
        <f>'Grid_Stock'!T45</f>
        <v/>
      </c>
      <c r="AB50" s="18">
        <f>'Grid_Stock'!U45</f>
        <v/>
      </c>
      <c r="AC50" s="18">
        <f>'Grid_Stock'!V45</f>
        <v/>
      </c>
      <c r="AD50" s="18">
        <f>'Grid_Stock'!W45</f>
        <v/>
      </c>
      <c r="AE50" s="18">
        <f>'Grid_Stock'!X45</f>
        <v/>
      </c>
      <c r="AF50" s="18">
        <f>'Grid_Stock'!Y45</f>
        <v/>
      </c>
      <c r="AG50" s="18">
        <f>'Grid_Stock'!Z45</f>
        <v/>
      </c>
      <c r="AH50" s="18">
        <f>'Grid_Stock'!AA45</f>
        <v/>
      </c>
      <c r="AI50" s="18">
        <f>'Grid_Stock'!AB45</f>
        <v/>
      </c>
      <c r="AJ50" s="18">
        <f>'Grid_Stock'!AC45</f>
        <v/>
      </c>
      <c r="AK50" s="18">
        <f>'Grid_Stock'!AD45</f>
        <v/>
      </c>
      <c r="AL50" s="18">
        <f>'Grid_Stock'!AE45</f>
        <v/>
      </c>
      <c r="AM50" s="18">
        <f>'Grid_Stock'!AF45</f>
        <v/>
      </c>
      <c r="AN50" s="18">
        <f>'Grid_Stock'!AG45</f>
        <v/>
      </c>
      <c r="AO50" s="18">
        <f>'Grid_Stock'!AH45</f>
        <v/>
      </c>
      <c r="AP50" s="18">
        <f>'Grid_Stock'!AI45</f>
        <v/>
      </c>
      <c r="AQ50" s="18">
        <f>'Grid_Stock'!AJ45</f>
        <v/>
      </c>
      <c r="AR50" s="18">
        <f>'Grid_Stock'!AK45</f>
        <v/>
      </c>
      <c r="AS50" s="18">
        <f>'Grid_Stock'!AL45</f>
        <v/>
      </c>
      <c r="AT50" s="18">
        <f>'Grid_Stock'!AM45</f>
        <v/>
      </c>
      <c r="AU50" s="18">
        <f>'Grid_Stock'!AN45</f>
        <v/>
      </c>
      <c r="AV50" s="18">
        <f>'Grid_Stock'!AO45</f>
        <v/>
      </c>
      <c r="AW50" s="18">
        <f>'Grid_Stock'!AP45</f>
        <v/>
      </c>
      <c r="AX50" s="18">
        <f>'Grid_Stock'!AQ45</f>
        <v/>
      </c>
      <c r="AY50" s="18">
        <f>'Grid_Stock'!AR45</f>
        <v/>
      </c>
      <c r="AZ50" s="18">
        <f>'Grid_Stock'!AS45</f>
        <v/>
      </c>
      <c r="BA50" s="18">
        <f>'Grid_Stock'!AT45</f>
        <v/>
      </c>
      <c r="BB50" s="18">
        <f>'Grid_Stock'!AU45</f>
        <v/>
      </c>
      <c r="BC50" s="18">
        <f>'Grid_Stock'!AV45</f>
        <v/>
      </c>
      <c r="BD50" s="18">
        <f>'Grid_Stock'!AW45</f>
        <v/>
      </c>
      <c r="BE50" s="18">
        <f>'Grid_Stock'!AX45</f>
        <v/>
      </c>
      <c r="BF50" s="18">
        <f>'Grid_Stock'!AY45</f>
        <v/>
      </c>
      <c r="BG50" s="18">
        <f>'Grid_Stock'!AZ45</f>
        <v/>
      </c>
      <c r="BH50" s="18">
        <f>'Grid_Stock'!BA45</f>
        <v/>
      </c>
      <c r="BI50" s="18">
        <f>'Grid_Stock'!BB45</f>
        <v/>
      </c>
      <c r="BJ50" s="18">
        <f>'Grid_Stock'!BC45</f>
        <v/>
      </c>
      <c r="BK50" s="18">
        <f>'Grid_Stock'!BD45</f>
        <v/>
      </c>
      <c r="BL50" s="18">
        <f>'Grid_Stock'!BE45</f>
        <v/>
      </c>
      <c r="BM50" s="18">
        <f>'Grid_Stock'!BF45</f>
        <v/>
      </c>
      <c r="BN50" s="18">
        <f>'Grid_Stock'!BG45</f>
        <v/>
      </c>
      <c r="BO50" s="18">
        <f>'Grid_Stock'!BH45</f>
        <v/>
      </c>
      <c r="BP50" s="18">
        <f>'Grid_Stock'!BI45</f>
        <v/>
      </c>
      <c r="BQ50" s="18">
        <f>'Grid_Stock'!BJ45</f>
        <v/>
      </c>
      <c r="BR50" s="18">
        <f>'Grid_Stock'!BK45</f>
        <v/>
      </c>
      <c r="BS50" s="18">
        <f>'Grid_Stock'!BL45</f>
        <v/>
      </c>
      <c r="BT50" s="18">
        <f>'Grid_Stock'!BM45</f>
        <v/>
      </c>
      <c r="BU50" s="18">
        <f>'Grid_Stock'!BN45</f>
        <v/>
      </c>
      <c r="BV50" s="18">
        <f>'Grid_Stock'!BO45</f>
        <v/>
      </c>
      <c r="BW50" s="18">
        <f>'Grid_Stock'!BP45</f>
        <v/>
      </c>
      <c r="BX50" s="18">
        <f>'Grid_Stock'!BQ45</f>
        <v/>
      </c>
      <c r="BY50" s="18">
        <f>'Grid_Stock'!BR45</f>
        <v/>
      </c>
      <c r="BZ50" s="18">
        <f>'Grid_Stock'!BS45</f>
        <v/>
      </c>
      <c r="CA50" s="18">
        <f>'Grid_Stock'!BT45</f>
        <v/>
      </c>
      <c r="CB50" s="18">
        <f>'Grid_Stock'!BU45</f>
        <v/>
      </c>
      <c r="CC50" s="18">
        <f>'Grid_Stock'!BV45</f>
        <v/>
      </c>
      <c r="CD50" s="18">
        <f>'Grid_Stock'!BW45</f>
        <v/>
      </c>
      <c r="CE50" s="18">
        <f>'Grid_Stock'!BX45</f>
        <v/>
      </c>
      <c r="CF50" s="18">
        <f>'Grid_Stock'!BY45</f>
        <v/>
      </c>
      <c r="CG50" s="18">
        <f>'Grid_Stock'!BZ45</f>
        <v/>
      </c>
      <c r="CH50" s="18">
        <f>'Grid_Stock'!CA45</f>
        <v/>
      </c>
      <c r="CI50" s="18">
        <f>'Grid_Stock'!CB45</f>
        <v/>
      </c>
      <c r="CJ50" s="18">
        <f>'Grid_Stock'!CC45</f>
        <v/>
      </c>
      <c r="CK50" s="18">
        <f>'Grid_Stock'!CD45</f>
        <v/>
      </c>
      <c r="CL50" s="18">
        <f>'Grid_Stock'!CE45</f>
        <v/>
      </c>
      <c r="CM50" s="18">
        <f>'Grid_Stock'!CF45</f>
        <v/>
      </c>
      <c r="CN50" s="18">
        <f>'Grid_Stock'!CG45</f>
        <v/>
      </c>
      <c r="CO50" s="18">
        <f>'Grid_Stock'!CH45</f>
        <v/>
      </c>
      <c r="CP50" s="18">
        <f>'Grid_Stock'!CI45</f>
        <v/>
      </c>
      <c r="CQ50" s="18">
        <f>'Grid_Stock'!CJ45</f>
        <v/>
      </c>
      <c r="CR50" s="18">
        <f>'Grid_Stock'!CK45</f>
        <v/>
      </c>
      <c r="CS50" s="18">
        <f>'Grid_Stock'!CL45</f>
        <v/>
      </c>
      <c r="CT50" s="18">
        <f>'Grid_Stock'!CM45</f>
        <v/>
      </c>
      <c r="CU50" s="18">
        <f>'Grid_Stock'!CN45</f>
        <v/>
      </c>
      <c r="CV50" s="18">
        <f>'Grid_Stock'!CO45</f>
        <v/>
      </c>
      <c r="CW50" s="18">
        <f>'Grid_Stock'!CP45</f>
        <v/>
      </c>
      <c r="CX50" s="18">
        <f>'Grid_Stock'!CQ45</f>
        <v/>
      </c>
      <c r="CY50" s="18">
        <f>'Grid_Stock'!CR45</f>
        <v/>
      </c>
      <c r="CZ50" s="18">
        <f>'Grid_Stock'!CS45</f>
        <v/>
      </c>
      <c r="DA50" s="18">
        <f>'Grid_Stock'!CT45</f>
        <v/>
      </c>
      <c r="DB50" s="18">
        <f>'Grid_Stock'!CU45</f>
        <v/>
      </c>
      <c r="DC50" s="18">
        <f>'Grid_Stock'!CV45</f>
        <v/>
      </c>
      <c r="DD50" s="18">
        <f>'Grid_Stock'!CW45</f>
        <v/>
      </c>
      <c r="DE50" s="18">
        <f>'Grid_Stock'!CX45</f>
        <v/>
      </c>
      <c r="DF50" s="18">
        <f>'Grid_Stock'!CY45</f>
        <v/>
      </c>
      <c r="DG50" s="18">
        <f>'Grid_Stock'!CZ45</f>
        <v/>
      </c>
      <c r="DH50" s="18">
        <f>'Grid_Stock'!DA45</f>
        <v/>
      </c>
    </row>
  </sheetData>
  <conditionalFormatting sqref="I7:DH50">
    <cfRule type="expression" priority="1" dxfId="0">
      <formula>I7&lt;$D7</formula>
    </cfRule>
    <cfRule type="expression" priority="2" dxfId="1">
      <formula>AND(I7&gt;=$D7,I7&lt;=$E7)</formula>
    </cfRule>
    <cfRule type="expression" priority="3" dxfId="2">
      <formula>I7&gt;$E7</formula>
    </cfRule>
  </conditionalFormatting>
  <conditionalFormatting sqref="I6:DH50">
    <cfRule type="expression" priority="4" dxfId="3">
      <formula>(COLUMN()-COLUMN($I$1)+1)=$F$1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D118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9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19" t="inlineStr">
        <is>
          <t>CHEM-1250</t>
        </is>
      </c>
      <c r="B7" s="19" t="inlineStr">
        <is>
          <t>Barium Sulfate (B-55)</t>
        </is>
      </c>
      <c r="C7" s="20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  <c r="BF7" s="19" t="n"/>
      <c r="BG7" s="19" t="n"/>
      <c r="BH7" s="19" t="n"/>
      <c r="BI7" s="19" t="n"/>
      <c r="BJ7" s="19" t="n"/>
      <c r="BK7" s="19" t="n"/>
      <c r="BL7" s="19" t="n"/>
      <c r="BM7" s="19" t="n"/>
      <c r="BN7" s="19" t="n"/>
      <c r="BO7" s="19" t="n"/>
      <c r="BP7" s="19" t="n"/>
      <c r="BQ7" s="19" t="n"/>
      <c r="BR7" s="19" t="n"/>
      <c r="BS7" s="19" t="n"/>
      <c r="BT7" s="19" t="n"/>
      <c r="BU7" s="19" t="n"/>
      <c r="BV7" s="19" t="n"/>
      <c r="BW7" s="19" t="n"/>
      <c r="BX7" s="19" t="n"/>
      <c r="BY7" s="19" t="n"/>
      <c r="BZ7" s="19" t="n"/>
      <c r="CA7" s="19" t="n"/>
      <c r="CB7" s="19" t="n"/>
      <c r="CC7" s="19" t="n"/>
      <c r="CD7" s="19" t="n"/>
      <c r="CE7" s="19" t="n"/>
      <c r="CF7" s="19" t="n"/>
      <c r="CG7" s="19" t="n"/>
      <c r="CH7" s="19" t="n"/>
      <c r="CI7" s="19" t="n"/>
      <c r="CJ7" s="19" t="n"/>
      <c r="CK7" s="19" t="n"/>
      <c r="CL7" s="19" t="n"/>
      <c r="CM7" s="19" t="n"/>
      <c r="CN7" s="19" t="n"/>
      <c r="CO7" s="19" t="n"/>
      <c r="CP7" s="19" t="n"/>
      <c r="CQ7" s="19" t="n"/>
      <c r="CR7" s="19" t="n"/>
      <c r="CS7" s="19" t="n"/>
      <c r="CT7" s="19" t="n"/>
      <c r="CU7" s="19" t="n"/>
      <c r="CV7" s="19" t="n"/>
      <c r="CW7" s="19" t="n"/>
      <c r="CX7" s="19" t="n"/>
      <c r="CY7" s="19" t="n"/>
      <c r="CZ7" s="19" t="n"/>
      <c r="DA7" s="19" t="n"/>
      <c r="DB7" s="19" t="n"/>
      <c r="DC7" s="19" t="n"/>
    </row>
    <row r="8">
      <c r="B8" t="inlineStr">
        <is>
          <t>TSP-049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IFERROR(INDEX(PP_Grid[#Data],$DD10,2),0)</f>
        <v/>
      </c>
      <c r="E10">
        <f>IFERROR(INDEX(PP_Grid[#Data],$DD10,3),0)</f>
        <v/>
      </c>
      <c r="F10">
        <f>IFERROR(INDEX(PP_Grid[#Data],$DD10,4),0)</f>
        <v/>
      </c>
      <c r="G10">
        <f>IFERROR(INDEX(PP_Grid[#Data],$DD10,5),0)</f>
        <v/>
      </c>
      <c r="H10">
        <f>IFERROR(INDEX(PP_Grid[#Data],$DD10,6),0)</f>
        <v/>
      </c>
      <c r="I10">
        <f>IFERROR(INDEX(PP_Grid[#Data],$DD10,7),0)</f>
        <v/>
      </c>
      <c r="J10">
        <f>IFERROR(INDEX(PP_Grid[#Data],$DD10,8),0)</f>
        <v/>
      </c>
      <c r="K10">
        <f>IFERROR(INDEX(PP_Grid[#Data],$DD10,9),0)</f>
        <v/>
      </c>
      <c r="L10">
        <f>IFERROR(INDEX(PP_Grid[#Data],$DD10,10),0)</f>
        <v/>
      </c>
      <c r="M10">
        <f>IFERROR(INDEX(PP_Grid[#Data],$DD10,11),0)</f>
        <v/>
      </c>
      <c r="N10">
        <f>IFERROR(INDEX(PP_Grid[#Data],$DD10,12),0)</f>
        <v/>
      </c>
      <c r="O10">
        <f>IFERROR(INDEX(PP_Grid[#Data],$DD10,13),0)</f>
        <v/>
      </c>
      <c r="P10">
        <f>IFERROR(INDEX(PP_Grid[#Data],$DD10,14),0)</f>
        <v/>
      </c>
      <c r="Q10">
        <f>IFERROR(INDEX(PP_Grid[#Data],$DD10,15),0)</f>
        <v/>
      </c>
      <c r="R10">
        <f>IFERROR(INDEX(PP_Grid[#Data],$DD10,16),0)</f>
        <v/>
      </c>
      <c r="S10">
        <f>IFERROR(INDEX(PP_Grid[#Data],$DD10,17),0)</f>
        <v/>
      </c>
      <c r="T10">
        <f>IFERROR(INDEX(PP_Grid[#Data],$DD10,18),0)</f>
        <v/>
      </c>
      <c r="U10">
        <f>IFERROR(INDEX(PP_Grid[#Data],$DD10,19),0)</f>
        <v/>
      </c>
      <c r="V10">
        <f>IFERROR(INDEX(PP_Grid[#Data],$DD10,20),0)</f>
        <v/>
      </c>
      <c r="W10">
        <f>IFERROR(INDEX(PP_Grid[#Data],$DD10,21),0)</f>
        <v/>
      </c>
      <c r="X10">
        <f>IFERROR(INDEX(PP_Grid[#Data],$DD10,22),0)</f>
        <v/>
      </c>
      <c r="Y10">
        <f>IFERROR(INDEX(PP_Grid[#Data],$DD10,23),0)</f>
        <v/>
      </c>
      <c r="Z10">
        <f>IFERROR(INDEX(PP_Grid[#Data],$DD10,24),0)</f>
        <v/>
      </c>
      <c r="AA10">
        <f>IFERROR(INDEX(PP_Grid[#Data],$DD10,25),0)</f>
        <v/>
      </c>
      <c r="AB10">
        <f>IFERROR(INDEX(PP_Grid[#Data],$DD10,26),0)</f>
        <v/>
      </c>
      <c r="AC10">
        <f>IFERROR(INDEX(PP_Grid[#Data],$DD10,27),0)</f>
        <v/>
      </c>
      <c r="AD10">
        <f>IFERROR(INDEX(PP_Grid[#Data],$DD10,28),0)</f>
        <v/>
      </c>
      <c r="AE10">
        <f>IFERROR(INDEX(PP_Grid[#Data],$DD10,29),0)</f>
        <v/>
      </c>
      <c r="AF10">
        <f>IFERROR(INDEX(PP_Grid[#Data],$DD10,30),0)</f>
        <v/>
      </c>
      <c r="AG10">
        <f>IFERROR(INDEX(PP_Grid[#Data],$DD10,31),0)</f>
        <v/>
      </c>
      <c r="AH10">
        <f>IFERROR(INDEX(PP_Grid[#Data],$DD10,32),0)</f>
        <v/>
      </c>
      <c r="AI10">
        <f>IFERROR(INDEX(PP_Grid[#Data],$DD10,33),0)</f>
        <v/>
      </c>
      <c r="AJ10">
        <f>IFERROR(INDEX(PP_Grid[#Data],$DD10,34),0)</f>
        <v/>
      </c>
      <c r="AK10">
        <f>IFERROR(INDEX(PP_Grid[#Data],$DD10,35),0)</f>
        <v/>
      </c>
      <c r="AL10">
        <f>IFERROR(INDEX(PP_Grid[#Data],$DD10,36),0)</f>
        <v/>
      </c>
      <c r="AM10">
        <f>IFERROR(INDEX(PP_Grid[#Data],$DD10,37),0)</f>
        <v/>
      </c>
      <c r="AN10">
        <f>IFERROR(INDEX(PP_Grid[#Data],$DD10,38),0)</f>
        <v/>
      </c>
      <c r="AO10">
        <f>IFERROR(INDEX(PP_Grid[#Data],$DD10,39),0)</f>
        <v/>
      </c>
      <c r="AP10">
        <f>IFERROR(INDEX(PP_Grid[#Data],$DD10,40),0)</f>
        <v/>
      </c>
      <c r="AQ10">
        <f>IFERROR(INDEX(PP_Grid[#Data],$DD10,41),0)</f>
        <v/>
      </c>
      <c r="AR10">
        <f>IFERROR(INDEX(PP_Grid[#Data],$DD10,42),0)</f>
        <v/>
      </c>
      <c r="AS10">
        <f>IFERROR(INDEX(PP_Grid[#Data],$DD10,43),0)</f>
        <v/>
      </c>
      <c r="AT10">
        <f>IFERROR(INDEX(PP_Grid[#Data],$DD10,44),0)</f>
        <v/>
      </c>
      <c r="AU10">
        <f>IFERROR(INDEX(PP_Grid[#Data],$DD10,45),0)</f>
        <v/>
      </c>
      <c r="AV10">
        <f>IFERROR(INDEX(PP_Grid[#Data],$DD10,46),0)</f>
        <v/>
      </c>
      <c r="AW10">
        <f>IFERROR(INDEX(PP_Grid[#Data],$DD10,47),0)</f>
        <v/>
      </c>
      <c r="AX10">
        <f>IFERROR(INDEX(PP_Grid[#Data],$DD10,48),0)</f>
        <v/>
      </c>
      <c r="AY10">
        <f>IFERROR(INDEX(PP_Grid[#Data],$DD10,49),0)</f>
        <v/>
      </c>
      <c r="AZ10">
        <f>IFERROR(INDEX(PP_Grid[#Data],$DD10,50),0)</f>
        <v/>
      </c>
      <c r="BA10">
        <f>IFERROR(INDEX(PP_Grid[#Data],$DD10,51),0)</f>
        <v/>
      </c>
      <c r="BB10">
        <f>IFERROR(INDEX(PP_Grid[#Data],$DD10,52),0)</f>
        <v/>
      </c>
      <c r="BC10">
        <f>IFERROR(INDEX(PP_Grid[#Data],$DD10,53),0)</f>
        <v/>
      </c>
      <c r="BD10">
        <f>IFERROR(INDEX(PP_Grid[#Data],$DD10,54),0)</f>
        <v/>
      </c>
      <c r="BE10">
        <f>IFERROR(INDEX(PP_Grid[#Data],$DD10,55),0)</f>
        <v/>
      </c>
      <c r="BF10">
        <f>IFERROR(INDEX(PP_Grid[#Data],$DD10,56),0)</f>
        <v/>
      </c>
      <c r="BG10">
        <f>IFERROR(INDEX(PP_Grid[#Data],$DD10,57),0)</f>
        <v/>
      </c>
      <c r="BH10">
        <f>IFERROR(INDEX(PP_Grid[#Data],$DD10,58),0)</f>
        <v/>
      </c>
      <c r="BI10">
        <f>IFERROR(INDEX(PP_Grid[#Data],$DD10,59),0)</f>
        <v/>
      </c>
      <c r="BJ10">
        <f>IFERROR(INDEX(PP_Grid[#Data],$DD10,60),0)</f>
        <v/>
      </c>
      <c r="BK10">
        <f>IFERROR(INDEX(PP_Grid[#Data],$DD10,61),0)</f>
        <v/>
      </c>
      <c r="BL10">
        <f>IFERROR(INDEX(PP_Grid[#Data],$DD10,62),0)</f>
        <v/>
      </c>
      <c r="BM10">
        <f>IFERROR(INDEX(PP_Grid[#Data],$DD10,63),0)</f>
        <v/>
      </c>
      <c r="BN10">
        <f>IFERROR(INDEX(PP_Grid[#Data],$DD10,64),0)</f>
        <v/>
      </c>
      <c r="BO10">
        <f>IFERROR(INDEX(PP_Grid[#Data],$DD10,65),0)</f>
        <v/>
      </c>
      <c r="BP10">
        <f>IFERROR(INDEX(PP_Grid[#Data],$DD10,66),0)</f>
        <v/>
      </c>
      <c r="BQ10">
        <f>IFERROR(INDEX(PP_Grid[#Data],$DD10,67),0)</f>
        <v/>
      </c>
      <c r="BR10">
        <f>IFERROR(INDEX(PP_Grid[#Data],$DD10,68),0)</f>
        <v/>
      </c>
      <c r="BS10">
        <f>IFERROR(INDEX(PP_Grid[#Data],$DD10,69),0)</f>
        <v/>
      </c>
      <c r="BT10">
        <f>IFERROR(INDEX(PP_Grid[#Data],$DD10,70),0)</f>
        <v/>
      </c>
      <c r="BU10">
        <f>IFERROR(INDEX(PP_Grid[#Data],$DD10,71),0)</f>
        <v/>
      </c>
      <c r="BV10">
        <f>IFERROR(INDEX(PP_Grid[#Data],$DD10,72),0)</f>
        <v/>
      </c>
      <c r="BW10">
        <f>IFERROR(INDEX(PP_Grid[#Data],$DD10,73),0)</f>
        <v/>
      </c>
      <c r="BX10">
        <f>IFERROR(INDEX(PP_Grid[#Data],$DD10,74),0)</f>
        <v/>
      </c>
      <c r="BY10">
        <f>IFERROR(INDEX(PP_Grid[#Data],$DD10,75),0)</f>
        <v/>
      </c>
      <c r="BZ10">
        <f>IFERROR(INDEX(PP_Grid[#Data],$DD10,76),0)</f>
        <v/>
      </c>
      <c r="CA10">
        <f>IFERROR(INDEX(PP_Grid[#Data],$DD10,77),0)</f>
        <v/>
      </c>
      <c r="CB10">
        <f>IFERROR(INDEX(PP_Grid[#Data],$DD10,78),0)</f>
        <v/>
      </c>
      <c r="CC10">
        <f>IFERROR(INDEX(PP_Grid[#Data],$DD10,79),0)</f>
        <v/>
      </c>
      <c r="CD10">
        <f>IFERROR(INDEX(PP_Grid[#Data],$DD10,80),0)</f>
        <v/>
      </c>
      <c r="CE10">
        <f>IFERROR(INDEX(PP_Grid[#Data],$DD10,81),0)</f>
        <v/>
      </c>
      <c r="CF10">
        <f>IFERROR(INDEX(PP_Grid[#Data],$DD10,82),0)</f>
        <v/>
      </c>
      <c r="CG10">
        <f>IFERROR(INDEX(PP_Grid[#Data],$DD10,83),0)</f>
        <v/>
      </c>
      <c r="CH10">
        <f>IFERROR(INDEX(PP_Grid[#Data],$DD10,84),0)</f>
        <v/>
      </c>
      <c r="CI10">
        <f>IFERROR(INDEX(PP_Grid[#Data],$DD10,85),0)</f>
        <v/>
      </c>
      <c r="CJ10">
        <f>IFERROR(INDEX(PP_Grid[#Data],$DD10,86),0)</f>
        <v/>
      </c>
      <c r="CK10">
        <f>IFERROR(INDEX(PP_Grid[#Data],$DD10,87),0)</f>
        <v/>
      </c>
      <c r="CL10">
        <f>IFERROR(INDEX(PP_Grid[#Data],$DD10,88),0)</f>
        <v/>
      </c>
      <c r="CM10">
        <f>IFERROR(INDEX(PP_Grid[#Data],$DD10,89),0)</f>
        <v/>
      </c>
      <c r="CN10">
        <f>IFERROR(INDEX(PP_Grid[#Data],$DD10,90),0)</f>
        <v/>
      </c>
      <c r="CO10">
        <f>IFERROR(INDEX(PP_Grid[#Data],$DD10,91),0)</f>
        <v/>
      </c>
      <c r="CP10">
        <f>IFERROR(INDEX(PP_Grid[#Data],$DD10,92),0)</f>
        <v/>
      </c>
      <c r="CQ10">
        <f>IFERROR(INDEX(PP_Grid[#Data],$DD10,93),0)</f>
        <v/>
      </c>
      <c r="CR10">
        <f>IFERROR(INDEX(PP_Grid[#Data],$DD10,94),0)</f>
        <v/>
      </c>
      <c r="CS10">
        <f>IFERROR(INDEX(PP_Grid[#Data],$DD10,95),0)</f>
        <v/>
      </c>
      <c r="CT10">
        <f>IFERROR(INDEX(PP_Grid[#Data],$DD10,96),0)</f>
        <v/>
      </c>
      <c r="CU10">
        <f>IFERROR(INDEX(PP_Grid[#Data],$DD10,97),0)</f>
        <v/>
      </c>
      <c r="CV10">
        <f>IFERROR(INDEX(PP_Grid[#Data],$DD10,98),0)</f>
        <v/>
      </c>
      <c r="CW10">
        <f>IFERROR(INDEX(PP_Grid[#Data],$DD10,99),0)</f>
        <v/>
      </c>
      <c r="CX10">
        <f>IFERROR(INDEX(PP_Grid[#Data],$DD10,100),0)</f>
        <v/>
      </c>
      <c r="CY10">
        <f>IFERROR(INDEX(PP_Grid[#Data],$DD10,101),0)</f>
        <v/>
      </c>
      <c r="CZ10">
        <f>IFERROR(INDEX(PP_Grid[#Data],$DD10,102),0)</f>
        <v/>
      </c>
      <c r="DA10">
        <f>IFERROR(INDEX(PP_Grid[#Data],$DD10,103),0)</f>
        <v/>
      </c>
      <c r="DB10">
        <f>IFERROR(INDEX(PP_Grid[#Data],$DD10,104),0)</f>
        <v/>
      </c>
      <c r="DC10">
        <f>IFERROR(INDEX(PP_Grid[#Data],$DD10,105),0)</f>
        <v/>
      </c>
      <c r="DD10" s="12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SUMIFS(M_BOM[RM_Qty_Per_Batch],M_BOM[Intermediate],$B10,M_BOM[Part Name],$A7)</f>
        <v/>
      </c>
      <c r="D11">
        <f>$C11*D10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IFERROR(INDEX(PP_Grid[#Data],$DD12,2),0)</f>
        <v/>
      </c>
      <c r="E12">
        <f>IFERROR(INDEX(PP_Grid[#Data],$DD12,3),0)</f>
        <v/>
      </c>
      <c r="F12">
        <f>IFERROR(INDEX(PP_Grid[#Data],$DD12,4),0)</f>
        <v/>
      </c>
      <c r="G12">
        <f>IFERROR(INDEX(PP_Grid[#Data],$DD12,5),0)</f>
        <v/>
      </c>
      <c r="H12">
        <f>IFERROR(INDEX(PP_Grid[#Data],$DD12,6),0)</f>
        <v/>
      </c>
      <c r="I12">
        <f>IFERROR(INDEX(PP_Grid[#Data],$DD12,7),0)</f>
        <v/>
      </c>
      <c r="J12">
        <f>IFERROR(INDEX(PP_Grid[#Data],$DD12,8),0)</f>
        <v/>
      </c>
      <c r="K12">
        <f>IFERROR(INDEX(PP_Grid[#Data],$DD12,9),0)</f>
        <v/>
      </c>
      <c r="L12">
        <f>IFERROR(INDEX(PP_Grid[#Data],$DD12,10),0)</f>
        <v/>
      </c>
      <c r="M12">
        <f>IFERROR(INDEX(PP_Grid[#Data],$DD12,11),0)</f>
        <v/>
      </c>
      <c r="N12">
        <f>IFERROR(INDEX(PP_Grid[#Data],$DD12,12),0)</f>
        <v/>
      </c>
      <c r="O12">
        <f>IFERROR(INDEX(PP_Grid[#Data],$DD12,13),0)</f>
        <v/>
      </c>
      <c r="P12">
        <f>IFERROR(INDEX(PP_Grid[#Data],$DD12,14),0)</f>
        <v/>
      </c>
      <c r="Q12">
        <f>IFERROR(INDEX(PP_Grid[#Data],$DD12,15),0)</f>
        <v/>
      </c>
      <c r="R12">
        <f>IFERROR(INDEX(PP_Grid[#Data],$DD12,16),0)</f>
        <v/>
      </c>
      <c r="S12">
        <f>IFERROR(INDEX(PP_Grid[#Data],$DD12,17),0)</f>
        <v/>
      </c>
      <c r="T12">
        <f>IFERROR(INDEX(PP_Grid[#Data],$DD12,18),0)</f>
        <v/>
      </c>
      <c r="U12">
        <f>IFERROR(INDEX(PP_Grid[#Data],$DD12,19),0)</f>
        <v/>
      </c>
      <c r="V12">
        <f>IFERROR(INDEX(PP_Grid[#Data],$DD12,20),0)</f>
        <v/>
      </c>
      <c r="W12">
        <f>IFERROR(INDEX(PP_Grid[#Data],$DD12,21),0)</f>
        <v/>
      </c>
      <c r="X12">
        <f>IFERROR(INDEX(PP_Grid[#Data],$DD12,22),0)</f>
        <v/>
      </c>
      <c r="Y12">
        <f>IFERROR(INDEX(PP_Grid[#Data],$DD12,23),0)</f>
        <v/>
      </c>
      <c r="Z12">
        <f>IFERROR(INDEX(PP_Grid[#Data],$DD12,24),0)</f>
        <v/>
      </c>
      <c r="AA12">
        <f>IFERROR(INDEX(PP_Grid[#Data],$DD12,25),0)</f>
        <v/>
      </c>
      <c r="AB12">
        <f>IFERROR(INDEX(PP_Grid[#Data],$DD12,26),0)</f>
        <v/>
      </c>
      <c r="AC12">
        <f>IFERROR(INDEX(PP_Grid[#Data],$DD12,27),0)</f>
        <v/>
      </c>
      <c r="AD12">
        <f>IFERROR(INDEX(PP_Grid[#Data],$DD12,28),0)</f>
        <v/>
      </c>
      <c r="AE12">
        <f>IFERROR(INDEX(PP_Grid[#Data],$DD12,29),0)</f>
        <v/>
      </c>
      <c r="AF12">
        <f>IFERROR(INDEX(PP_Grid[#Data],$DD12,30),0)</f>
        <v/>
      </c>
      <c r="AG12">
        <f>IFERROR(INDEX(PP_Grid[#Data],$DD12,31),0)</f>
        <v/>
      </c>
      <c r="AH12">
        <f>IFERROR(INDEX(PP_Grid[#Data],$DD12,32),0)</f>
        <v/>
      </c>
      <c r="AI12">
        <f>IFERROR(INDEX(PP_Grid[#Data],$DD12,33),0)</f>
        <v/>
      </c>
      <c r="AJ12">
        <f>IFERROR(INDEX(PP_Grid[#Data],$DD12,34),0)</f>
        <v/>
      </c>
      <c r="AK12">
        <f>IFERROR(INDEX(PP_Grid[#Data],$DD12,35),0)</f>
        <v/>
      </c>
      <c r="AL12">
        <f>IFERROR(INDEX(PP_Grid[#Data],$DD12,36),0)</f>
        <v/>
      </c>
      <c r="AM12">
        <f>IFERROR(INDEX(PP_Grid[#Data],$DD12,37),0)</f>
        <v/>
      </c>
      <c r="AN12">
        <f>IFERROR(INDEX(PP_Grid[#Data],$DD12,38),0)</f>
        <v/>
      </c>
      <c r="AO12">
        <f>IFERROR(INDEX(PP_Grid[#Data],$DD12,39),0)</f>
        <v/>
      </c>
      <c r="AP12">
        <f>IFERROR(INDEX(PP_Grid[#Data],$DD12,40),0)</f>
        <v/>
      </c>
      <c r="AQ12">
        <f>IFERROR(INDEX(PP_Grid[#Data],$DD12,41),0)</f>
        <v/>
      </c>
      <c r="AR12">
        <f>IFERROR(INDEX(PP_Grid[#Data],$DD12,42),0)</f>
        <v/>
      </c>
      <c r="AS12">
        <f>IFERROR(INDEX(PP_Grid[#Data],$DD12,43),0)</f>
        <v/>
      </c>
      <c r="AT12">
        <f>IFERROR(INDEX(PP_Grid[#Data],$DD12,44),0)</f>
        <v/>
      </c>
      <c r="AU12">
        <f>IFERROR(INDEX(PP_Grid[#Data],$DD12,45),0)</f>
        <v/>
      </c>
      <c r="AV12">
        <f>IFERROR(INDEX(PP_Grid[#Data],$DD12,46),0)</f>
        <v/>
      </c>
      <c r="AW12">
        <f>IFERROR(INDEX(PP_Grid[#Data],$DD12,47),0)</f>
        <v/>
      </c>
      <c r="AX12">
        <f>IFERROR(INDEX(PP_Grid[#Data],$DD12,48),0)</f>
        <v/>
      </c>
      <c r="AY12">
        <f>IFERROR(INDEX(PP_Grid[#Data],$DD12,49),0)</f>
        <v/>
      </c>
      <c r="AZ12">
        <f>IFERROR(INDEX(PP_Grid[#Data],$DD12,50),0)</f>
        <v/>
      </c>
      <c r="BA12">
        <f>IFERROR(INDEX(PP_Grid[#Data],$DD12,51),0)</f>
        <v/>
      </c>
      <c r="BB12">
        <f>IFERROR(INDEX(PP_Grid[#Data],$DD12,52),0)</f>
        <v/>
      </c>
      <c r="BC12">
        <f>IFERROR(INDEX(PP_Grid[#Data],$DD12,53),0)</f>
        <v/>
      </c>
      <c r="BD12">
        <f>IFERROR(INDEX(PP_Grid[#Data],$DD12,54),0)</f>
        <v/>
      </c>
      <c r="BE12">
        <f>IFERROR(INDEX(PP_Grid[#Data],$DD12,55),0)</f>
        <v/>
      </c>
      <c r="BF12">
        <f>IFERROR(INDEX(PP_Grid[#Data],$DD12,56),0)</f>
        <v/>
      </c>
      <c r="BG12">
        <f>IFERROR(INDEX(PP_Grid[#Data],$DD12,57),0)</f>
        <v/>
      </c>
      <c r="BH12">
        <f>IFERROR(INDEX(PP_Grid[#Data],$DD12,58),0)</f>
        <v/>
      </c>
      <c r="BI12">
        <f>IFERROR(INDEX(PP_Grid[#Data],$DD12,59),0)</f>
        <v/>
      </c>
      <c r="BJ12">
        <f>IFERROR(INDEX(PP_Grid[#Data],$DD12,60),0)</f>
        <v/>
      </c>
      <c r="BK12">
        <f>IFERROR(INDEX(PP_Grid[#Data],$DD12,61),0)</f>
        <v/>
      </c>
      <c r="BL12">
        <f>IFERROR(INDEX(PP_Grid[#Data],$DD12,62),0)</f>
        <v/>
      </c>
      <c r="BM12">
        <f>IFERROR(INDEX(PP_Grid[#Data],$DD12,63),0)</f>
        <v/>
      </c>
      <c r="BN12">
        <f>IFERROR(INDEX(PP_Grid[#Data],$DD12,64),0)</f>
        <v/>
      </c>
      <c r="BO12">
        <f>IFERROR(INDEX(PP_Grid[#Data],$DD12,65),0)</f>
        <v/>
      </c>
      <c r="BP12">
        <f>IFERROR(INDEX(PP_Grid[#Data],$DD12,66),0)</f>
        <v/>
      </c>
      <c r="BQ12">
        <f>IFERROR(INDEX(PP_Grid[#Data],$DD12,67),0)</f>
        <v/>
      </c>
      <c r="BR12">
        <f>IFERROR(INDEX(PP_Grid[#Data],$DD12,68),0)</f>
        <v/>
      </c>
      <c r="BS12">
        <f>IFERROR(INDEX(PP_Grid[#Data],$DD12,69),0)</f>
        <v/>
      </c>
      <c r="BT12">
        <f>IFERROR(INDEX(PP_Grid[#Data],$DD12,70),0)</f>
        <v/>
      </c>
      <c r="BU12">
        <f>IFERROR(INDEX(PP_Grid[#Data],$DD12,71),0)</f>
        <v/>
      </c>
      <c r="BV12">
        <f>IFERROR(INDEX(PP_Grid[#Data],$DD12,72),0)</f>
        <v/>
      </c>
      <c r="BW12">
        <f>IFERROR(INDEX(PP_Grid[#Data],$DD12,73),0)</f>
        <v/>
      </c>
      <c r="BX12">
        <f>IFERROR(INDEX(PP_Grid[#Data],$DD12,74),0)</f>
        <v/>
      </c>
      <c r="BY12">
        <f>IFERROR(INDEX(PP_Grid[#Data],$DD12,75),0)</f>
        <v/>
      </c>
      <c r="BZ12">
        <f>IFERROR(INDEX(PP_Grid[#Data],$DD12,76),0)</f>
        <v/>
      </c>
      <c r="CA12">
        <f>IFERROR(INDEX(PP_Grid[#Data],$DD12,77),0)</f>
        <v/>
      </c>
      <c r="CB12">
        <f>IFERROR(INDEX(PP_Grid[#Data],$DD12,78),0)</f>
        <v/>
      </c>
      <c r="CC12">
        <f>IFERROR(INDEX(PP_Grid[#Data],$DD12,79),0)</f>
        <v/>
      </c>
      <c r="CD12">
        <f>IFERROR(INDEX(PP_Grid[#Data],$DD12,80),0)</f>
        <v/>
      </c>
      <c r="CE12">
        <f>IFERROR(INDEX(PP_Grid[#Data],$DD12,81),0)</f>
        <v/>
      </c>
      <c r="CF12">
        <f>IFERROR(INDEX(PP_Grid[#Data],$DD12,82),0)</f>
        <v/>
      </c>
      <c r="CG12">
        <f>IFERROR(INDEX(PP_Grid[#Data],$DD12,83),0)</f>
        <v/>
      </c>
      <c r="CH12">
        <f>IFERROR(INDEX(PP_Grid[#Data],$DD12,84),0)</f>
        <v/>
      </c>
      <c r="CI12">
        <f>IFERROR(INDEX(PP_Grid[#Data],$DD12,85),0)</f>
        <v/>
      </c>
      <c r="CJ12">
        <f>IFERROR(INDEX(PP_Grid[#Data],$DD12,86),0)</f>
        <v/>
      </c>
      <c r="CK12">
        <f>IFERROR(INDEX(PP_Grid[#Data],$DD12,87),0)</f>
        <v/>
      </c>
      <c r="CL12">
        <f>IFERROR(INDEX(PP_Grid[#Data],$DD12,88),0)</f>
        <v/>
      </c>
      <c r="CM12">
        <f>IFERROR(INDEX(PP_Grid[#Data],$DD12,89),0)</f>
        <v/>
      </c>
      <c r="CN12">
        <f>IFERROR(INDEX(PP_Grid[#Data],$DD12,90),0)</f>
        <v/>
      </c>
      <c r="CO12">
        <f>IFERROR(INDEX(PP_Grid[#Data],$DD12,91),0)</f>
        <v/>
      </c>
      <c r="CP12">
        <f>IFERROR(INDEX(PP_Grid[#Data],$DD12,92),0)</f>
        <v/>
      </c>
      <c r="CQ12">
        <f>IFERROR(INDEX(PP_Grid[#Data],$DD12,93),0)</f>
        <v/>
      </c>
      <c r="CR12">
        <f>IFERROR(INDEX(PP_Grid[#Data],$DD12,94),0)</f>
        <v/>
      </c>
      <c r="CS12">
        <f>IFERROR(INDEX(PP_Grid[#Data],$DD12,95),0)</f>
        <v/>
      </c>
      <c r="CT12">
        <f>IFERROR(INDEX(PP_Grid[#Data],$DD12,96),0)</f>
        <v/>
      </c>
      <c r="CU12">
        <f>IFERROR(INDEX(PP_Grid[#Data],$DD12,97),0)</f>
        <v/>
      </c>
      <c r="CV12">
        <f>IFERROR(INDEX(PP_Grid[#Data],$DD12,98),0)</f>
        <v/>
      </c>
      <c r="CW12">
        <f>IFERROR(INDEX(PP_Grid[#Data],$DD12,99),0)</f>
        <v/>
      </c>
      <c r="CX12">
        <f>IFERROR(INDEX(PP_Grid[#Data],$DD12,100),0)</f>
        <v/>
      </c>
      <c r="CY12">
        <f>IFERROR(INDEX(PP_Grid[#Data],$DD12,101),0)</f>
        <v/>
      </c>
      <c r="CZ12">
        <f>IFERROR(INDEX(PP_Grid[#Data],$DD12,102),0)</f>
        <v/>
      </c>
      <c r="DA12">
        <f>IFERROR(INDEX(PP_Grid[#Data],$DD12,103),0)</f>
        <v/>
      </c>
      <c r="DB12">
        <f>IFERROR(INDEX(PP_Grid[#Data],$DD12,104),0)</f>
        <v/>
      </c>
      <c r="DC12">
        <f>IFERROR(INDEX(PP_Grid[#Data],$DD12,105),0)</f>
        <v/>
      </c>
      <c r="DD12" s="12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SUMIFS(M_BOM[RM_Qty_Per_Batch],M_BOM[Intermediate],$B12,M_BOM[Part Name],$A7)</f>
        <v/>
      </c>
      <c r="D13">
        <f>$C13*D12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IFERROR(INDEX(PP_Grid[#Data],$DD14,2),0)</f>
        <v/>
      </c>
      <c r="E14">
        <f>IFERROR(INDEX(PP_Grid[#Data],$DD14,3),0)</f>
        <v/>
      </c>
      <c r="F14">
        <f>IFERROR(INDEX(PP_Grid[#Data],$DD14,4),0)</f>
        <v/>
      </c>
      <c r="G14">
        <f>IFERROR(INDEX(PP_Grid[#Data],$DD14,5),0)</f>
        <v/>
      </c>
      <c r="H14">
        <f>IFERROR(INDEX(PP_Grid[#Data],$DD14,6),0)</f>
        <v/>
      </c>
      <c r="I14">
        <f>IFERROR(INDEX(PP_Grid[#Data],$DD14,7),0)</f>
        <v/>
      </c>
      <c r="J14">
        <f>IFERROR(INDEX(PP_Grid[#Data],$DD14,8),0)</f>
        <v/>
      </c>
      <c r="K14">
        <f>IFERROR(INDEX(PP_Grid[#Data],$DD14,9),0)</f>
        <v/>
      </c>
      <c r="L14">
        <f>IFERROR(INDEX(PP_Grid[#Data],$DD14,10),0)</f>
        <v/>
      </c>
      <c r="M14">
        <f>IFERROR(INDEX(PP_Grid[#Data],$DD14,11),0)</f>
        <v/>
      </c>
      <c r="N14">
        <f>IFERROR(INDEX(PP_Grid[#Data],$DD14,12),0)</f>
        <v/>
      </c>
      <c r="O14">
        <f>IFERROR(INDEX(PP_Grid[#Data],$DD14,13),0)</f>
        <v/>
      </c>
      <c r="P14">
        <f>IFERROR(INDEX(PP_Grid[#Data],$DD14,14),0)</f>
        <v/>
      </c>
      <c r="Q14">
        <f>IFERROR(INDEX(PP_Grid[#Data],$DD14,15),0)</f>
        <v/>
      </c>
      <c r="R14">
        <f>IFERROR(INDEX(PP_Grid[#Data],$DD14,16),0)</f>
        <v/>
      </c>
      <c r="S14">
        <f>IFERROR(INDEX(PP_Grid[#Data],$DD14,17),0)</f>
        <v/>
      </c>
      <c r="T14">
        <f>IFERROR(INDEX(PP_Grid[#Data],$DD14,18),0)</f>
        <v/>
      </c>
      <c r="U14">
        <f>IFERROR(INDEX(PP_Grid[#Data],$DD14,19),0)</f>
        <v/>
      </c>
      <c r="V14">
        <f>IFERROR(INDEX(PP_Grid[#Data],$DD14,20),0)</f>
        <v/>
      </c>
      <c r="W14">
        <f>IFERROR(INDEX(PP_Grid[#Data],$DD14,21),0)</f>
        <v/>
      </c>
      <c r="X14">
        <f>IFERROR(INDEX(PP_Grid[#Data],$DD14,22),0)</f>
        <v/>
      </c>
      <c r="Y14">
        <f>IFERROR(INDEX(PP_Grid[#Data],$DD14,23),0)</f>
        <v/>
      </c>
      <c r="Z14">
        <f>IFERROR(INDEX(PP_Grid[#Data],$DD14,24),0)</f>
        <v/>
      </c>
      <c r="AA14">
        <f>IFERROR(INDEX(PP_Grid[#Data],$DD14,25),0)</f>
        <v/>
      </c>
      <c r="AB14">
        <f>IFERROR(INDEX(PP_Grid[#Data],$DD14,26),0)</f>
        <v/>
      </c>
      <c r="AC14">
        <f>IFERROR(INDEX(PP_Grid[#Data],$DD14,27),0)</f>
        <v/>
      </c>
      <c r="AD14">
        <f>IFERROR(INDEX(PP_Grid[#Data],$DD14,28),0)</f>
        <v/>
      </c>
      <c r="AE14">
        <f>IFERROR(INDEX(PP_Grid[#Data],$DD14,29),0)</f>
        <v/>
      </c>
      <c r="AF14">
        <f>IFERROR(INDEX(PP_Grid[#Data],$DD14,30),0)</f>
        <v/>
      </c>
      <c r="AG14">
        <f>IFERROR(INDEX(PP_Grid[#Data],$DD14,31),0)</f>
        <v/>
      </c>
      <c r="AH14">
        <f>IFERROR(INDEX(PP_Grid[#Data],$DD14,32),0)</f>
        <v/>
      </c>
      <c r="AI14">
        <f>IFERROR(INDEX(PP_Grid[#Data],$DD14,33),0)</f>
        <v/>
      </c>
      <c r="AJ14">
        <f>IFERROR(INDEX(PP_Grid[#Data],$DD14,34),0)</f>
        <v/>
      </c>
      <c r="AK14">
        <f>IFERROR(INDEX(PP_Grid[#Data],$DD14,35),0)</f>
        <v/>
      </c>
      <c r="AL14">
        <f>IFERROR(INDEX(PP_Grid[#Data],$DD14,36),0)</f>
        <v/>
      </c>
      <c r="AM14">
        <f>IFERROR(INDEX(PP_Grid[#Data],$DD14,37),0)</f>
        <v/>
      </c>
      <c r="AN14">
        <f>IFERROR(INDEX(PP_Grid[#Data],$DD14,38),0)</f>
        <v/>
      </c>
      <c r="AO14">
        <f>IFERROR(INDEX(PP_Grid[#Data],$DD14,39),0)</f>
        <v/>
      </c>
      <c r="AP14">
        <f>IFERROR(INDEX(PP_Grid[#Data],$DD14,40),0)</f>
        <v/>
      </c>
      <c r="AQ14">
        <f>IFERROR(INDEX(PP_Grid[#Data],$DD14,41),0)</f>
        <v/>
      </c>
      <c r="AR14">
        <f>IFERROR(INDEX(PP_Grid[#Data],$DD14,42),0)</f>
        <v/>
      </c>
      <c r="AS14">
        <f>IFERROR(INDEX(PP_Grid[#Data],$DD14,43),0)</f>
        <v/>
      </c>
      <c r="AT14">
        <f>IFERROR(INDEX(PP_Grid[#Data],$DD14,44),0)</f>
        <v/>
      </c>
      <c r="AU14">
        <f>IFERROR(INDEX(PP_Grid[#Data],$DD14,45),0)</f>
        <v/>
      </c>
      <c r="AV14">
        <f>IFERROR(INDEX(PP_Grid[#Data],$DD14,46),0)</f>
        <v/>
      </c>
      <c r="AW14">
        <f>IFERROR(INDEX(PP_Grid[#Data],$DD14,47),0)</f>
        <v/>
      </c>
      <c r="AX14">
        <f>IFERROR(INDEX(PP_Grid[#Data],$DD14,48),0)</f>
        <v/>
      </c>
      <c r="AY14">
        <f>IFERROR(INDEX(PP_Grid[#Data],$DD14,49),0)</f>
        <v/>
      </c>
      <c r="AZ14">
        <f>IFERROR(INDEX(PP_Grid[#Data],$DD14,50),0)</f>
        <v/>
      </c>
      <c r="BA14">
        <f>IFERROR(INDEX(PP_Grid[#Data],$DD14,51),0)</f>
        <v/>
      </c>
      <c r="BB14">
        <f>IFERROR(INDEX(PP_Grid[#Data],$DD14,52),0)</f>
        <v/>
      </c>
      <c r="BC14">
        <f>IFERROR(INDEX(PP_Grid[#Data],$DD14,53),0)</f>
        <v/>
      </c>
      <c r="BD14">
        <f>IFERROR(INDEX(PP_Grid[#Data],$DD14,54),0)</f>
        <v/>
      </c>
      <c r="BE14">
        <f>IFERROR(INDEX(PP_Grid[#Data],$DD14,55),0)</f>
        <v/>
      </c>
      <c r="BF14">
        <f>IFERROR(INDEX(PP_Grid[#Data],$DD14,56),0)</f>
        <v/>
      </c>
      <c r="BG14">
        <f>IFERROR(INDEX(PP_Grid[#Data],$DD14,57),0)</f>
        <v/>
      </c>
      <c r="BH14">
        <f>IFERROR(INDEX(PP_Grid[#Data],$DD14,58),0)</f>
        <v/>
      </c>
      <c r="BI14">
        <f>IFERROR(INDEX(PP_Grid[#Data],$DD14,59),0)</f>
        <v/>
      </c>
      <c r="BJ14">
        <f>IFERROR(INDEX(PP_Grid[#Data],$DD14,60),0)</f>
        <v/>
      </c>
      <c r="BK14">
        <f>IFERROR(INDEX(PP_Grid[#Data],$DD14,61),0)</f>
        <v/>
      </c>
      <c r="BL14">
        <f>IFERROR(INDEX(PP_Grid[#Data],$DD14,62),0)</f>
        <v/>
      </c>
      <c r="BM14">
        <f>IFERROR(INDEX(PP_Grid[#Data],$DD14,63),0)</f>
        <v/>
      </c>
      <c r="BN14">
        <f>IFERROR(INDEX(PP_Grid[#Data],$DD14,64),0)</f>
        <v/>
      </c>
      <c r="BO14">
        <f>IFERROR(INDEX(PP_Grid[#Data],$DD14,65),0)</f>
        <v/>
      </c>
      <c r="BP14">
        <f>IFERROR(INDEX(PP_Grid[#Data],$DD14,66),0)</f>
        <v/>
      </c>
      <c r="BQ14">
        <f>IFERROR(INDEX(PP_Grid[#Data],$DD14,67),0)</f>
        <v/>
      </c>
      <c r="BR14">
        <f>IFERROR(INDEX(PP_Grid[#Data],$DD14,68),0)</f>
        <v/>
      </c>
      <c r="BS14">
        <f>IFERROR(INDEX(PP_Grid[#Data],$DD14,69),0)</f>
        <v/>
      </c>
      <c r="BT14">
        <f>IFERROR(INDEX(PP_Grid[#Data],$DD14,70),0)</f>
        <v/>
      </c>
      <c r="BU14">
        <f>IFERROR(INDEX(PP_Grid[#Data],$DD14,71),0)</f>
        <v/>
      </c>
      <c r="BV14">
        <f>IFERROR(INDEX(PP_Grid[#Data],$DD14,72),0)</f>
        <v/>
      </c>
      <c r="BW14">
        <f>IFERROR(INDEX(PP_Grid[#Data],$DD14,73),0)</f>
        <v/>
      </c>
      <c r="BX14">
        <f>IFERROR(INDEX(PP_Grid[#Data],$DD14,74),0)</f>
        <v/>
      </c>
      <c r="BY14">
        <f>IFERROR(INDEX(PP_Grid[#Data],$DD14,75),0)</f>
        <v/>
      </c>
      <c r="BZ14">
        <f>IFERROR(INDEX(PP_Grid[#Data],$DD14,76),0)</f>
        <v/>
      </c>
      <c r="CA14">
        <f>IFERROR(INDEX(PP_Grid[#Data],$DD14,77),0)</f>
        <v/>
      </c>
      <c r="CB14">
        <f>IFERROR(INDEX(PP_Grid[#Data],$DD14,78),0)</f>
        <v/>
      </c>
      <c r="CC14">
        <f>IFERROR(INDEX(PP_Grid[#Data],$DD14,79),0)</f>
        <v/>
      </c>
      <c r="CD14">
        <f>IFERROR(INDEX(PP_Grid[#Data],$DD14,80),0)</f>
        <v/>
      </c>
      <c r="CE14">
        <f>IFERROR(INDEX(PP_Grid[#Data],$DD14,81),0)</f>
        <v/>
      </c>
      <c r="CF14">
        <f>IFERROR(INDEX(PP_Grid[#Data],$DD14,82),0)</f>
        <v/>
      </c>
      <c r="CG14">
        <f>IFERROR(INDEX(PP_Grid[#Data],$DD14,83),0)</f>
        <v/>
      </c>
      <c r="CH14">
        <f>IFERROR(INDEX(PP_Grid[#Data],$DD14,84),0)</f>
        <v/>
      </c>
      <c r="CI14">
        <f>IFERROR(INDEX(PP_Grid[#Data],$DD14,85),0)</f>
        <v/>
      </c>
      <c r="CJ14">
        <f>IFERROR(INDEX(PP_Grid[#Data],$DD14,86),0)</f>
        <v/>
      </c>
      <c r="CK14">
        <f>IFERROR(INDEX(PP_Grid[#Data],$DD14,87),0)</f>
        <v/>
      </c>
      <c r="CL14">
        <f>IFERROR(INDEX(PP_Grid[#Data],$DD14,88),0)</f>
        <v/>
      </c>
      <c r="CM14">
        <f>IFERROR(INDEX(PP_Grid[#Data],$DD14,89),0)</f>
        <v/>
      </c>
      <c r="CN14">
        <f>IFERROR(INDEX(PP_Grid[#Data],$DD14,90),0)</f>
        <v/>
      </c>
      <c r="CO14">
        <f>IFERROR(INDEX(PP_Grid[#Data],$DD14,91),0)</f>
        <v/>
      </c>
      <c r="CP14">
        <f>IFERROR(INDEX(PP_Grid[#Data],$DD14,92),0)</f>
        <v/>
      </c>
      <c r="CQ14">
        <f>IFERROR(INDEX(PP_Grid[#Data],$DD14,93),0)</f>
        <v/>
      </c>
      <c r="CR14">
        <f>IFERROR(INDEX(PP_Grid[#Data],$DD14,94),0)</f>
        <v/>
      </c>
      <c r="CS14">
        <f>IFERROR(INDEX(PP_Grid[#Data],$DD14,95),0)</f>
        <v/>
      </c>
      <c r="CT14">
        <f>IFERROR(INDEX(PP_Grid[#Data],$DD14,96),0)</f>
        <v/>
      </c>
      <c r="CU14">
        <f>IFERROR(INDEX(PP_Grid[#Data],$DD14,97),0)</f>
        <v/>
      </c>
      <c r="CV14">
        <f>IFERROR(INDEX(PP_Grid[#Data],$DD14,98),0)</f>
        <v/>
      </c>
      <c r="CW14">
        <f>IFERROR(INDEX(PP_Grid[#Data],$DD14,99),0)</f>
        <v/>
      </c>
      <c r="CX14">
        <f>IFERROR(INDEX(PP_Grid[#Data],$DD14,100),0)</f>
        <v/>
      </c>
      <c r="CY14">
        <f>IFERROR(INDEX(PP_Grid[#Data],$DD14,101),0)</f>
        <v/>
      </c>
      <c r="CZ14">
        <f>IFERROR(INDEX(PP_Grid[#Data],$DD14,102),0)</f>
        <v/>
      </c>
      <c r="DA14">
        <f>IFERROR(INDEX(PP_Grid[#Data],$DD14,103),0)</f>
        <v/>
      </c>
      <c r="DB14">
        <f>IFERROR(INDEX(PP_Grid[#Data],$DD14,104),0)</f>
        <v/>
      </c>
      <c r="DC14">
        <f>IFERROR(INDEX(PP_Grid[#Data],$DD14,105),0)</f>
        <v/>
      </c>
      <c r="DD14" s="12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SUMIFS(M_BOM[RM_Qty_Per_Batch],M_BOM[Intermediate],$B14,M_BOM[Part Name],$A7)</f>
        <v/>
      </c>
      <c r="D15">
        <f>$C15*D14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</row>
    <row r="16">
      <c r="B16" t="inlineStr">
        <is>
          <t>TSP-104</t>
        </is>
      </c>
      <c r="C16" t="inlineStr">
        <is>
          <t>No. of batches</t>
        </is>
      </c>
      <c r="D16">
        <f>IFERROR(INDEX(PP_Grid[#Data],$DD16,2),0)</f>
        <v/>
      </c>
      <c r="E16">
        <f>IFERROR(INDEX(PP_Grid[#Data],$DD16,3),0)</f>
        <v/>
      </c>
      <c r="F16">
        <f>IFERROR(INDEX(PP_Grid[#Data],$DD16,4),0)</f>
        <v/>
      </c>
      <c r="G16">
        <f>IFERROR(INDEX(PP_Grid[#Data],$DD16,5),0)</f>
        <v/>
      </c>
      <c r="H16">
        <f>IFERROR(INDEX(PP_Grid[#Data],$DD16,6),0)</f>
        <v/>
      </c>
      <c r="I16">
        <f>IFERROR(INDEX(PP_Grid[#Data],$DD16,7),0)</f>
        <v/>
      </c>
      <c r="J16">
        <f>IFERROR(INDEX(PP_Grid[#Data],$DD16,8),0)</f>
        <v/>
      </c>
      <c r="K16">
        <f>IFERROR(INDEX(PP_Grid[#Data],$DD16,9),0)</f>
        <v/>
      </c>
      <c r="L16">
        <f>IFERROR(INDEX(PP_Grid[#Data],$DD16,10),0)</f>
        <v/>
      </c>
      <c r="M16">
        <f>IFERROR(INDEX(PP_Grid[#Data],$DD16,11),0)</f>
        <v/>
      </c>
      <c r="N16">
        <f>IFERROR(INDEX(PP_Grid[#Data],$DD16,12),0)</f>
        <v/>
      </c>
      <c r="O16">
        <f>IFERROR(INDEX(PP_Grid[#Data],$DD16,13),0)</f>
        <v/>
      </c>
      <c r="P16">
        <f>IFERROR(INDEX(PP_Grid[#Data],$DD16,14),0)</f>
        <v/>
      </c>
      <c r="Q16">
        <f>IFERROR(INDEX(PP_Grid[#Data],$DD16,15),0)</f>
        <v/>
      </c>
      <c r="R16">
        <f>IFERROR(INDEX(PP_Grid[#Data],$DD16,16),0)</f>
        <v/>
      </c>
      <c r="S16">
        <f>IFERROR(INDEX(PP_Grid[#Data],$DD16,17),0)</f>
        <v/>
      </c>
      <c r="T16">
        <f>IFERROR(INDEX(PP_Grid[#Data],$DD16,18),0)</f>
        <v/>
      </c>
      <c r="U16">
        <f>IFERROR(INDEX(PP_Grid[#Data],$DD16,19),0)</f>
        <v/>
      </c>
      <c r="V16">
        <f>IFERROR(INDEX(PP_Grid[#Data],$DD16,20),0)</f>
        <v/>
      </c>
      <c r="W16">
        <f>IFERROR(INDEX(PP_Grid[#Data],$DD16,21),0)</f>
        <v/>
      </c>
      <c r="X16">
        <f>IFERROR(INDEX(PP_Grid[#Data],$DD16,22),0)</f>
        <v/>
      </c>
      <c r="Y16">
        <f>IFERROR(INDEX(PP_Grid[#Data],$DD16,23),0)</f>
        <v/>
      </c>
      <c r="Z16">
        <f>IFERROR(INDEX(PP_Grid[#Data],$DD16,24),0)</f>
        <v/>
      </c>
      <c r="AA16">
        <f>IFERROR(INDEX(PP_Grid[#Data],$DD16,25),0)</f>
        <v/>
      </c>
      <c r="AB16">
        <f>IFERROR(INDEX(PP_Grid[#Data],$DD16,26),0)</f>
        <v/>
      </c>
      <c r="AC16">
        <f>IFERROR(INDEX(PP_Grid[#Data],$DD16,27),0)</f>
        <v/>
      </c>
      <c r="AD16">
        <f>IFERROR(INDEX(PP_Grid[#Data],$DD16,28),0)</f>
        <v/>
      </c>
      <c r="AE16">
        <f>IFERROR(INDEX(PP_Grid[#Data],$DD16,29),0)</f>
        <v/>
      </c>
      <c r="AF16">
        <f>IFERROR(INDEX(PP_Grid[#Data],$DD16,30),0)</f>
        <v/>
      </c>
      <c r="AG16">
        <f>IFERROR(INDEX(PP_Grid[#Data],$DD16,31),0)</f>
        <v/>
      </c>
      <c r="AH16">
        <f>IFERROR(INDEX(PP_Grid[#Data],$DD16,32),0)</f>
        <v/>
      </c>
      <c r="AI16">
        <f>IFERROR(INDEX(PP_Grid[#Data],$DD16,33),0)</f>
        <v/>
      </c>
      <c r="AJ16">
        <f>IFERROR(INDEX(PP_Grid[#Data],$DD16,34),0)</f>
        <v/>
      </c>
      <c r="AK16">
        <f>IFERROR(INDEX(PP_Grid[#Data],$DD16,35),0)</f>
        <v/>
      </c>
      <c r="AL16">
        <f>IFERROR(INDEX(PP_Grid[#Data],$DD16,36),0)</f>
        <v/>
      </c>
      <c r="AM16">
        <f>IFERROR(INDEX(PP_Grid[#Data],$DD16,37),0)</f>
        <v/>
      </c>
      <c r="AN16">
        <f>IFERROR(INDEX(PP_Grid[#Data],$DD16,38),0)</f>
        <v/>
      </c>
      <c r="AO16">
        <f>IFERROR(INDEX(PP_Grid[#Data],$DD16,39),0)</f>
        <v/>
      </c>
      <c r="AP16">
        <f>IFERROR(INDEX(PP_Grid[#Data],$DD16,40),0)</f>
        <v/>
      </c>
      <c r="AQ16">
        <f>IFERROR(INDEX(PP_Grid[#Data],$DD16,41),0)</f>
        <v/>
      </c>
      <c r="AR16">
        <f>IFERROR(INDEX(PP_Grid[#Data],$DD16,42),0)</f>
        <v/>
      </c>
      <c r="AS16">
        <f>IFERROR(INDEX(PP_Grid[#Data],$DD16,43),0)</f>
        <v/>
      </c>
      <c r="AT16">
        <f>IFERROR(INDEX(PP_Grid[#Data],$DD16,44),0)</f>
        <v/>
      </c>
      <c r="AU16">
        <f>IFERROR(INDEX(PP_Grid[#Data],$DD16,45),0)</f>
        <v/>
      </c>
      <c r="AV16">
        <f>IFERROR(INDEX(PP_Grid[#Data],$DD16,46),0)</f>
        <v/>
      </c>
      <c r="AW16">
        <f>IFERROR(INDEX(PP_Grid[#Data],$DD16,47),0)</f>
        <v/>
      </c>
      <c r="AX16">
        <f>IFERROR(INDEX(PP_Grid[#Data],$DD16,48),0)</f>
        <v/>
      </c>
      <c r="AY16">
        <f>IFERROR(INDEX(PP_Grid[#Data],$DD16,49),0)</f>
        <v/>
      </c>
      <c r="AZ16">
        <f>IFERROR(INDEX(PP_Grid[#Data],$DD16,50),0)</f>
        <v/>
      </c>
      <c r="BA16">
        <f>IFERROR(INDEX(PP_Grid[#Data],$DD16,51),0)</f>
        <v/>
      </c>
      <c r="BB16">
        <f>IFERROR(INDEX(PP_Grid[#Data],$DD16,52),0)</f>
        <v/>
      </c>
      <c r="BC16">
        <f>IFERROR(INDEX(PP_Grid[#Data],$DD16,53),0)</f>
        <v/>
      </c>
      <c r="BD16">
        <f>IFERROR(INDEX(PP_Grid[#Data],$DD16,54),0)</f>
        <v/>
      </c>
      <c r="BE16">
        <f>IFERROR(INDEX(PP_Grid[#Data],$DD16,55),0)</f>
        <v/>
      </c>
      <c r="BF16">
        <f>IFERROR(INDEX(PP_Grid[#Data],$DD16,56),0)</f>
        <v/>
      </c>
      <c r="BG16">
        <f>IFERROR(INDEX(PP_Grid[#Data],$DD16,57),0)</f>
        <v/>
      </c>
      <c r="BH16">
        <f>IFERROR(INDEX(PP_Grid[#Data],$DD16,58),0)</f>
        <v/>
      </c>
      <c r="BI16">
        <f>IFERROR(INDEX(PP_Grid[#Data],$DD16,59),0)</f>
        <v/>
      </c>
      <c r="BJ16">
        <f>IFERROR(INDEX(PP_Grid[#Data],$DD16,60),0)</f>
        <v/>
      </c>
      <c r="BK16">
        <f>IFERROR(INDEX(PP_Grid[#Data],$DD16,61),0)</f>
        <v/>
      </c>
      <c r="BL16">
        <f>IFERROR(INDEX(PP_Grid[#Data],$DD16,62),0)</f>
        <v/>
      </c>
      <c r="BM16">
        <f>IFERROR(INDEX(PP_Grid[#Data],$DD16,63),0)</f>
        <v/>
      </c>
      <c r="BN16">
        <f>IFERROR(INDEX(PP_Grid[#Data],$DD16,64),0)</f>
        <v/>
      </c>
      <c r="BO16">
        <f>IFERROR(INDEX(PP_Grid[#Data],$DD16,65),0)</f>
        <v/>
      </c>
      <c r="BP16">
        <f>IFERROR(INDEX(PP_Grid[#Data],$DD16,66),0)</f>
        <v/>
      </c>
      <c r="BQ16">
        <f>IFERROR(INDEX(PP_Grid[#Data],$DD16,67),0)</f>
        <v/>
      </c>
      <c r="BR16">
        <f>IFERROR(INDEX(PP_Grid[#Data],$DD16,68),0)</f>
        <v/>
      </c>
      <c r="BS16">
        <f>IFERROR(INDEX(PP_Grid[#Data],$DD16,69),0)</f>
        <v/>
      </c>
      <c r="BT16">
        <f>IFERROR(INDEX(PP_Grid[#Data],$DD16,70),0)</f>
        <v/>
      </c>
      <c r="BU16">
        <f>IFERROR(INDEX(PP_Grid[#Data],$DD16,71),0)</f>
        <v/>
      </c>
      <c r="BV16">
        <f>IFERROR(INDEX(PP_Grid[#Data],$DD16,72),0)</f>
        <v/>
      </c>
      <c r="BW16">
        <f>IFERROR(INDEX(PP_Grid[#Data],$DD16,73),0)</f>
        <v/>
      </c>
      <c r="BX16">
        <f>IFERROR(INDEX(PP_Grid[#Data],$DD16,74),0)</f>
        <v/>
      </c>
      <c r="BY16">
        <f>IFERROR(INDEX(PP_Grid[#Data],$DD16,75),0)</f>
        <v/>
      </c>
      <c r="BZ16">
        <f>IFERROR(INDEX(PP_Grid[#Data],$DD16,76),0)</f>
        <v/>
      </c>
      <c r="CA16">
        <f>IFERROR(INDEX(PP_Grid[#Data],$DD16,77),0)</f>
        <v/>
      </c>
      <c r="CB16">
        <f>IFERROR(INDEX(PP_Grid[#Data],$DD16,78),0)</f>
        <v/>
      </c>
      <c r="CC16">
        <f>IFERROR(INDEX(PP_Grid[#Data],$DD16,79),0)</f>
        <v/>
      </c>
      <c r="CD16">
        <f>IFERROR(INDEX(PP_Grid[#Data],$DD16,80),0)</f>
        <v/>
      </c>
      <c r="CE16">
        <f>IFERROR(INDEX(PP_Grid[#Data],$DD16,81),0)</f>
        <v/>
      </c>
      <c r="CF16">
        <f>IFERROR(INDEX(PP_Grid[#Data],$DD16,82),0)</f>
        <v/>
      </c>
      <c r="CG16">
        <f>IFERROR(INDEX(PP_Grid[#Data],$DD16,83),0)</f>
        <v/>
      </c>
      <c r="CH16">
        <f>IFERROR(INDEX(PP_Grid[#Data],$DD16,84),0)</f>
        <v/>
      </c>
      <c r="CI16">
        <f>IFERROR(INDEX(PP_Grid[#Data],$DD16,85),0)</f>
        <v/>
      </c>
      <c r="CJ16">
        <f>IFERROR(INDEX(PP_Grid[#Data],$DD16,86),0)</f>
        <v/>
      </c>
      <c r="CK16">
        <f>IFERROR(INDEX(PP_Grid[#Data],$DD16,87),0)</f>
        <v/>
      </c>
      <c r="CL16">
        <f>IFERROR(INDEX(PP_Grid[#Data],$DD16,88),0)</f>
        <v/>
      </c>
      <c r="CM16">
        <f>IFERROR(INDEX(PP_Grid[#Data],$DD16,89),0)</f>
        <v/>
      </c>
      <c r="CN16">
        <f>IFERROR(INDEX(PP_Grid[#Data],$DD16,90),0)</f>
        <v/>
      </c>
      <c r="CO16">
        <f>IFERROR(INDEX(PP_Grid[#Data],$DD16,91),0)</f>
        <v/>
      </c>
      <c r="CP16">
        <f>IFERROR(INDEX(PP_Grid[#Data],$DD16,92),0)</f>
        <v/>
      </c>
      <c r="CQ16">
        <f>IFERROR(INDEX(PP_Grid[#Data],$DD16,93),0)</f>
        <v/>
      </c>
      <c r="CR16">
        <f>IFERROR(INDEX(PP_Grid[#Data],$DD16,94),0)</f>
        <v/>
      </c>
      <c r="CS16">
        <f>IFERROR(INDEX(PP_Grid[#Data],$DD16,95),0)</f>
        <v/>
      </c>
      <c r="CT16">
        <f>IFERROR(INDEX(PP_Grid[#Data],$DD16,96),0)</f>
        <v/>
      </c>
      <c r="CU16">
        <f>IFERROR(INDEX(PP_Grid[#Data],$DD16,97),0)</f>
        <v/>
      </c>
      <c r="CV16">
        <f>IFERROR(INDEX(PP_Grid[#Data],$DD16,98),0)</f>
        <v/>
      </c>
      <c r="CW16">
        <f>IFERROR(INDEX(PP_Grid[#Data],$DD16,99),0)</f>
        <v/>
      </c>
      <c r="CX16">
        <f>IFERROR(INDEX(PP_Grid[#Data],$DD16,100),0)</f>
        <v/>
      </c>
      <c r="CY16">
        <f>IFERROR(INDEX(PP_Grid[#Data],$DD16,101),0)</f>
        <v/>
      </c>
      <c r="CZ16">
        <f>IFERROR(INDEX(PP_Grid[#Data],$DD16,102),0)</f>
        <v/>
      </c>
      <c r="DA16">
        <f>IFERROR(INDEX(PP_Grid[#Data],$DD16,103),0)</f>
        <v/>
      </c>
      <c r="DB16">
        <f>IFERROR(INDEX(PP_Grid[#Data],$DD16,104),0)</f>
        <v/>
      </c>
      <c r="DC16">
        <f>IFERROR(INDEX(PP_Grid[#Data],$DD16,105),0)</f>
        <v/>
      </c>
      <c r="DD16" s="12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SUMIFS(M_BOM[RM_Qty_Per_Batch],M_BOM[Intermediate],$B16,M_BOM[Part Name],$A7)</f>
        <v/>
      </c>
      <c r="D17">
        <f>$C17*D16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</row>
    <row r="18">
      <c r="B18" t="inlineStr">
        <is>
          <t>TSP-199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TSP-205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12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TSP-390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12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TSP-399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12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TSP-656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12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TSP-668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TSP-669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TSP-670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TSP-699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12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t="inlineStr">
        <is>
          <t>TSP-966</t>
        </is>
      </c>
      <c r="C36" t="inlineStr">
        <is>
          <t>No. of batches</t>
        </is>
      </c>
      <c r="D36">
        <f>IFERROR(INDEX(PP_Grid[#Data],$DD36,2),0)</f>
        <v/>
      </c>
      <c r="E36">
        <f>IFERROR(INDEX(PP_Grid[#Data],$DD36,3),0)</f>
        <v/>
      </c>
      <c r="F36">
        <f>IFERROR(INDEX(PP_Grid[#Data],$DD36,4),0)</f>
        <v/>
      </c>
      <c r="G36">
        <f>IFERROR(INDEX(PP_Grid[#Data],$DD36,5),0)</f>
        <v/>
      </c>
      <c r="H36">
        <f>IFERROR(INDEX(PP_Grid[#Data],$DD36,6),0)</f>
        <v/>
      </c>
      <c r="I36">
        <f>IFERROR(INDEX(PP_Grid[#Data],$DD36,7),0)</f>
        <v/>
      </c>
      <c r="J36">
        <f>IFERROR(INDEX(PP_Grid[#Data],$DD36,8),0)</f>
        <v/>
      </c>
      <c r="K36">
        <f>IFERROR(INDEX(PP_Grid[#Data],$DD36,9),0)</f>
        <v/>
      </c>
      <c r="L36">
        <f>IFERROR(INDEX(PP_Grid[#Data],$DD36,10),0)</f>
        <v/>
      </c>
      <c r="M36">
        <f>IFERROR(INDEX(PP_Grid[#Data],$DD36,11),0)</f>
        <v/>
      </c>
      <c r="N36">
        <f>IFERROR(INDEX(PP_Grid[#Data],$DD36,12),0)</f>
        <v/>
      </c>
      <c r="O36">
        <f>IFERROR(INDEX(PP_Grid[#Data],$DD36,13),0)</f>
        <v/>
      </c>
      <c r="P36">
        <f>IFERROR(INDEX(PP_Grid[#Data],$DD36,14),0)</f>
        <v/>
      </c>
      <c r="Q36">
        <f>IFERROR(INDEX(PP_Grid[#Data],$DD36,15),0)</f>
        <v/>
      </c>
      <c r="R36">
        <f>IFERROR(INDEX(PP_Grid[#Data],$DD36,16),0)</f>
        <v/>
      </c>
      <c r="S36">
        <f>IFERROR(INDEX(PP_Grid[#Data],$DD36,17),0)</f>
        <v/>
      </c>
      <c r="T36">
        <f>IFERROR(INDEX(PP_Grid[#Data],$DD36,18),0)</f>
        <v/>
      </c>
      <c r="U36">
        <f>IFERROR(INDEX(PP_Grid[#Data],$DD36,19),0)</f>
        <v/>
      </c>
      <c r="V36">
        <f>IFERROR(INDEX(PP_Grid[#Data],$DD36,20),0)</f>
        <v/>
      </c>
      <c r="W36">
        <f>IFERROR(INDEX(PP_Grid[#Data],$DD36,21),0)</f>
        <v/>
      </c>
      <c r="X36">
        <f>IFERROR(INDEX(PP_Grid[#Data],$DD36,22),0)</f>
        <v/>
      </c>
      <c r="Y36">
        <f>IFERROR(INDEX(PP_Grid[#Data],$DD36,23),0)</f>
        <v/>
      </c>
      <c r="Z36">
        <f>IFERROR(INDEX(PP_Grid[#Data],$DD36,24),0)</f>
        <v/>
      </c>
      <c r="AA36">
        <f>IFERROR(INDEX(PP_Grid[#Data],$DD36,25),0)</f>
        <v/>
      </c>
      <c r="AB36">
        <f>IFERROR(INDEX(PP_Grid[#Data],$DD36,26),0)</f>
        <v/>
      </c>
      <c r="AC36">
        <f>IFERROR(INDEX(PP_Grid[#Data],$DD36,27),0)</f>
        <v/>
      </c>
      <c r="AD36">
        <f>IFERROR(INDEX(PP_Grid[#Data],$DD36,28),0)</f>
        <v/>
      </c>
      <c r="AE36">
        <f>IFERROR(INDEX(PP_Grid[#Data],$DD36,29),0)</f>
        <v/>
      </c>
      <c r="AF36">
        <f>IFERROR(INDEX(PP_Grid[#Data],$DD36,30),0)</f>
        <v/>
      </c>
      <c r="AG36">
        <f>IFERROR(INDEX(PP_Grid[#Data],$DD36,31),0)</f>
        <v/>
      </c>
      <c r="AH36">
        <f>IFERROR(INDEX(PP_Grid[#Data],$DD36,32),0)</f>
        <v/>
      </c>
      <c r="AI36">
        <f>IFERROR(INDEX(PP_Grid[#Data],$DD36,33),0)</f>
        <v/>
      </c>
      <c r="AJ36">
        <f>IFERROR(INDEX(PP_Grid[#Data],$DD36,34),0)</f>
        <v/>
      </c>
      <c r="AK36">
        <f>IFERROR(INDEX(PP_Grid[#Data],$DD36,35),0)</f>
        <v/>
      </c>
      <c r="AL36">
        <f>IFERROR(INDEX(PP_Grid[#Data],$DD36,36),0)</f>
        <v/>
      </c>
      <c r="AM36">
        <f>IFERROR(INDEX(PP_Grid[#Data],$DD36,37),0)</f>
        <v/>
      </c>
      <c r="AN36">
        <f>IFERROR(INDEX(PP_Grid[#Data],$DD36,38),0)</f>
        <v/>
      </c>
      <c r="AO36">
        <f>IFERROR(INDEX(PP_Grid[#Data],$DD36,39),0)</f>
        <v/>
      </c>
      <c r="AP36">
        <f>IFERROR(INDEX(PP_Grid[#Data],$DD36,40),0)</f>
        <v/>
      </c>
      <c r="AQ36">
        <f>IFERROR(INDEX(PP_Grid[#Data],$DD36,41),0)</f>
        <v/>
      </c>
      <c r="AR36">
        <f>IFERROR(INDEX(PP_Grid[#Data],$DD36,42),0)</f>
        <v/>
      </c>
      <c r="AS36">
        <f>IFERROR(INDEX(PP_Grid[#Data],$DD36,43),0)</f>
        <v/>
      </c>
      <c r="AT36">
        <f>IFERROR(INDEX(PP_Grid[#Data],$DD36,44),0)</f>
        <v/>
      </c>
      <c r="AU36">
        <f>IFERROR(INDEX(PP_Grid[#Data],$DD36,45),0)</f>
        <v/>
      </c>
      <c r="AV36">
        <f>IFERROR(INDEX(PP_Grid[#Data],$DD36,46),0)</f>
        <v/>
      </c>
      <c r="AW36">
        <f>IFERROR(INDEX(PP_Grid[#Data],$DD36,47),0)</f>
        <v/>
      </c>
      <c r="AX36">
        <f>IFERROR(INDEX(PP_Grid[#Data],$DD36,48),0)</f>
        <v/>
      </c>
      <c r="AY36">
        <f>IFERROR(INDEX(PP_Grid[#Data],$DD36,49),0)</f>
        <v/>
      </c>
      <c r="AZ36">
        <f>IFERROR(INDEX(PP_Grid[#Data],$DD36,50),0)</f>
        <v/>
      </c>
      <c r="BA36">
        <f>IFERROR(INDEX(PP_Grid[#Data],$DD36,51),0)</f>
        <v/>
      </c>
      <c r="BB36">
        <f>IFERROR(INDEX(PP_Grid[#Data],$DD36,52),0)</f>
        <v/>
      </c>
      <c r="BC36">
        <f>IFERROR(INDEX(PP_Grid[#Data],$DD36,53),0)</f>
        <v/>
      </c>
      <c r="BD36">
        <f>IFERROR(INDEX(PP_Grid[#Data],$DD36,54),0)</f>
        <v/>
      </c>
      <c r="BE36">
        <f>IFERROR(INDEX(PP_Grid[#Data],$DD36,55),0)</f>
        <v/>
      </c>
      <c r="BF36">
        <f>IFERROR(INDEX(PP_Grid[#Data],$DD36,56),0)</f>
        <v/>
      </c>
      <c r="BG36">
        <f>IFERROR(INDEX(PP_Grid[#Data],$DD36,57),0)</f>
        <v/>
      </c>
      <c r="BH36">
        <f>IFERROR(INDEX(PP_Grid[#Data],$DD36,58),0)</f>
        <v/>
      </c>
      <c r="BI36">
        <f>IFERROR(INDEX(PP_Grid[#Data],$DD36,59),0)</f>
        <v/>
      </c>
      <c r="BJ36">
        <f>IFERROR(INDEX(PP_Grid[#Data],$DD36,60),0)</f>
        <v/>
      </c>
      <c r="BK36">
        <f>IFERROR(INDEX(PP_Grid[#Data],$DD36,61),0)</f>
        <v/>
      </c>
      <c r="BL36">
        <f>IFERROR(INDEX(PP_Grid[#Data],$DD36,62),0)</f>
        <v/>
      </c>
      <c r="BM36">
        <f>IFERROR(INDEX(PP_Grid[#Data],$DD36,63),0)</f>
        <v/>
      </c>
      <c r="BN36">
        <f>IFERROR(INDEX(PP_Grid[#Data],$DD36,64),0)</f>
        <v/>
      </c>
      <c r="BO36">
        <f>IFERROR(INDEX(PP_Grid[#Data],$DD36,65),0)</f>
        <v/>
      </c>
      <c r="BP36">
        <f>IFERROR(INDEX(PP_Grid[#Data],$DD36,66),0)</f>
        <v/>
      </c>
      <c r="BQ36">
        <f>IFERROR(INDEX(PP_Grid[#Data],$DD36,67),0)</f>
        <v/>
      </c>
      <c r="BR36">
        <f>IFERROR(INDEX(PP_Grid[#Data],$DD36,68),0)</f>
        <v/>
      </c>
      <c r="BS36">
        <f>IFERROR(INDEX(PP_Grid[#Data],$DD36,69),0)</f>
        <v/>
      </c>
      <c r="BT36">
        <f>IFERROR(INDEX(PP_Grid[#Data],$DD36,70),0)</f>
        <v/>
      </c>
      <c r="BU36">
        <f>IFERROR(INDEX(PP_Grid[#Data],$DD36,71),0)</f>
        <v/>
      </c>
      <c r="BV36">
        <f>IFERROR(INDEX(PP_Grid[#Data],$DD36,72),0)</f>
        <v/>
      </c>
      <c r="BW36">
        <f>IFERROR(INDEX(PP_Grid[#Data],$DD36,73),0)</f>
        <v/>
      </c>
      <c r="BX36">
        <f>IFERROR(INDEX(PP_Grid[#Data],$DD36,74),0)</f>
        <v/>
      </c>
      <c r="BY36">
        <f>IFERROR(INDEX(PP_Grid[#Data],$DD36,75),0)</f>
        <v/>
      </c>
      <c r="BZ36">
        <f>IFERROR(INDEX(PP_Grid[#Data],$DD36,76),0)</f>
        <v/>
      </c>
      <c r="CA36">
        <f>IFERROR(INDEX(PP_Grid[#Data],$DD36,77),0)</f>
        <v/>
      </c>
      <c r="CB36">
        <f>IFERROR(INDEX(PP_Grid[#Data],$DD36,78),0)</f>
        <v/>
      </c>
      <c r="CC36">
        <f>IFERROR(INDEX(PP_Grid[#Data],$DD36,79),0)</f>
        <v/>
      </c>
      <c r="CD36">
        <f>IFERROR(INDEX(PP_Grid[#Data],$DD36,80),0)</f>
        <v/>
      </c>
      <c r="CE36">
        <f>IFERROR(INDEX(PP_Grid[#Data],$DD36,81),0)</f>
        <v/>
      </c>
      <c r="CF36">
        <f>IFERROR(INDEX(PP_Grid[#Data],$DD36,82),0)</f>
        <v/>
      </c>
      <c r="CG36">
        <f>IFERROR(INDEX(PP_Grid[#Data],$DD36,83),0)</f>
        <v/>
      </c>
      <c r="CH36">
        <f>IFERROR(INDEX(PP_Grid[#Data],$DD36,84),0)</f>
        <v/>
      </c>
      <c r="CI36">
        <f>IFERROR(INDEX(PP_Grid[#Data],$DD36,85),0)</f>
        <v/>
      </c>
      <c r="CJ36">
        <f>IFERROR(INDEX(PP_Grid[#Data],$DD36,86),0)</f>
        <v/>
      </c>
      <c r="CK36">
        <f>IFERROR(INDEX(PP_Grid[#Data],$DD36,87),0)</f>
        <v/>
      </c>
      <c r="CL36">
        <f>IFERROR(INDEX(PP_Grid[#Data],$DD36,88),0)</f>
        <v/>
      </c>
      <c r="CM36">
        <f>IFERROR(INDEX(PP_Grid[#Data],$DD36,89),0)</f>
        <v/>
      </c>
      <c r="CN36">
        <f>IFERROR(INDEX(PP_Grid[#Data],$DD36,90),0)</f>
        <v/>
      </c>
      <c r="CO36">
        <f>IFERROR(INDEX(PP_Grid[#Data],$DD36,91),0)</f>
        <v/>
      </c>
      <c r="CP36">
        <f>IFERROR(INDEX(PP_Grid[#Data],$DD36,92),0)</f>
        <v/>
      </c>
      <c r="CQ36">
        <f>IFERROR(INDEX(PP_Grid[#Data],$DD36,93),0)</f>
        <v/>
      </c>
      <c r="CR36">
        <f>IFERROR(INDEX(PP_Grid[#Data],$DD36,94),0)</f>
        <v/>
      </c>
      <c r="CS36">
        <f>IFERROR(INDEX(PP_Grid[#Data],$DD36,95),0)</f>
        <v/>
      </c>
      <c r="CT36">
        <f>IFERROR(INDEX(PP_Grid[#Data],$DD36,96),0)</f>
        <v/>
      </c>
      <c r="CU36">
        <f>IFERROR(INDEX(PP_Grid[#Data],$DD36,97),0)</f>
        <v/>
      </c>
      <c r="CV36">
        <f>IFERROR(INDEX(PP_Grid[#Data],$DD36,98),0)</f>
        <v/>
      </c>
      <c r="CW36">
        <f>IFERROR(INDEX(PP_Grid[#Data],$DD36,99),0)</f>
        <v/>
      </c>
      <c r="CX36">
        <f>IFERROR(INDEX(PP_Grid[#Data],$DD36,100),0)</f>
        <v/>
      </c>
      <c r="CY36">
        <f>IFERROR(INDEX(PP_Grid[#Data],$DD36,101),0)</f>
        <v/>
      </c>
      <c r="CZ36">
        <f>IFERROR(INDEX(PP_Grid[#Data],$DD36,102),0)</f>
        <v/>
      </c>
      <c r="DA36">
        <f>IFERROR(INDEX(PP_Grid[#Data],$DD36,103),0)</f>
        <v/>
      </c>
      <c r="DB36">
        <f>IFERROR(INDEX(PP_Grid[#Data],$DD36,104),0)</f>
        <v/>
      </c>
      <c r="DC36">
        <f>IFERROR(INDEX(PP_Grid[#Data],$DD36,105),0)</f>
        <v/>
      </c>
      <c r="DD36" s="12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SUMIFS(M_BOM[RM_Qty_Per_Batch],M_BOM[Intermediate],$B36,M_BOM[Part Name],$A7)</f>
        <v/>
      </c>
      <c r="D37">
        <f>$C37*D36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</row>
    <row r="38">
      <c r="B38" s="9" t="inlineStr">
        <is>
          <t>合計使用量(kg)/週</t>
        </is>
      </c>
      <c r="D38">
        <f>'Grid_Requirement'!B2</f>
        <v/>
      </c>
      <c r="E38">
        <f>'Grid_Requirement'!C2</f>
        <v/>
      </c>
      <c r="F38">
        <f>'Grid_Requirement'!D2</f>
        <v/>
      </c>
      <c r="G38">
        <f>'Grid_Requirement'!E2</f>
        <v/>
      </c>
      <c r="H38">
        <f>'Grid_Requirement'!F2</f>
        <v/>
      </c>
      <c r="I38">
        <f>'Grid_Requirement'!G2</f>
        <v/>
      </c>
      <c r="J38">
        <f>'Grid_Requirement'!H2</f>
        <v/>
      </c>
      <c r="K38">
        <f>'Grid_Requirement'!I2</f>
        <v/>
      </c>
      <c r="L38">
        <f>'Grid_Requirement'!J2</f>
        <v/>
      </c>
      <c r="M38">
        <f>'Grid_Requirement'!K2</f>
        <v/>
      </c>
      <c r="N38">
        <f>'Grid_Requirement'!L2</f>
        <v/>
      </c>
      <c r="O38">
        <f>'Grid_Requirement'!M2</f>
        <v/>
      </c>
      <c r="P38">
        <f>'Grid_Requirement'!N2</f>
        <v/>
      </c>
      <c r="Q38">
        <f>'Grid_Requirement'!O2</f>
        <v/>
      </c>
      <c r="R38">
        <f>'Grid_Requirement'!P2</f>
        <v/>
      </c>
      <c r="S38">
        <f>'Grid_Requirement'!Q2</f>
        <v/>
      </c>
      <c r="T38">
        <f>'Grid_Requirement'!R2</f>
        <v/>
      </c>
      <c r="U38">
        <f>'Grid_Requirement'!S2</f>
        <v/>
      </c>
      <c r="V38">
        <f>'Grid_Requirement'!T2</f>
        <v/>
      </c>
      <c r="W38">
        <f>'Grid_Requirement'!U2</f>
        <v/>
      </c>
      <c r="X38">
        <f>'Grid_Requirement'!V2</f>
        <v/>
      </c>
      <c r="Y38">
        <f>'Grid_Requirement'!W2</f>
        <v/>
      </c>
      <c r="Z38">
        <f>'Grid_Requirement'!X2</f>
        <v/>
      </c>
      <c r="AA38">
        <f>'Grid_Requirement'!Y2</f>
        <v/>
      </c>
      <c r="AB38">
        <f>'Grid_Requirement'!Z2</f>
        <v/>
      </c>
      <c r="AC38">
        <f>'Grid_Requirement'!AA2</f>
        <v/>
      </c>
      <c r="AD38">
        <f>'Grid_Requirement'!AB2</f>
        <v/>
      </c>
      <c r="AE38">
        <f>'Grid_Requirement'!AC2</f>
        <v/>
      </c>
      <c r="AF38">
        <f>'Grid_Requirement'!AD2</f>
        <v/>
      </c>
      <c r="AG38">
        <f>'Grid_Requirement'!AE2</f>
        <v/>
      </c>
      <c r="AH38">
        <f>'Grid_Requirement'!AF2</f>
        <v/>
      </c>
      <c r="AI38">
        <f>'Grid_Requirement'!AG2</f>
        <v/>
      </c>
      <c r="AJ38">
        <f>'Grid_Requirement'!AH2</f>
        <v/>
      </c>
      <c r="AK38">
        <f>'Grid_Requirement'!AI2</f>
        <v/>
      </c>
      <c r="AL38">
        <f>'Grid_Requirement'!AJ2</f>
        <v/>
      </c>
      <c r="AM38">
        <f>'Grid_Requirement'!AK2</f>
        <v/>
      </c>
      <c r="AN38">
        <f>'Grid_Requirement'!AL2</f>
        <v/>
      </c>
      <c r="AO38">
        <f>'Grid_Requirement'!AM2</f>
        <v/>
      </c>
      <c r="AP38">
        <f>'Grid_Requirement'!AN2</f>
        <v/>
      </c>
      <c r="AQ38">
        <f>'Grid_Requirement'!AO2</f>
        <v/>
      </c>
      <c r="AR38">
        <f>'Grid_Requirement'!AP2</f>
        <v/>
      </c>
      <c r="AS38">
        <f>'Grid_Requirement'!AQ2</f>
        <v/>
      </c>
      <c r="AT38">
        <f>'Grid_Requirement'!AR2</f>
        <v/>
      </c>
      <c r="AU38">
        <f>'Grid_Requirement'!AS2</f>
        <v/>
      </c>
      <c r="AV38">
        <f>'Grid_Requirement'!AT2</f>
        <v/>
      </c>
      <c r="AW38">
        <f>'Grid_Requirement'!AU2</f>
        <v/>
      </c>
      <c r="AX38">
        <f>'Grid_Requirement'!AV2</f>
        <v/>
      </c>
      <c r="AY38">
        <f>'Grid_Requirement'!AW2</f>
        <v/>
      </c>
      <c r="AZ38">
        <f>'Grid_Requirement'!AX2</f>
        <v/>
      </c>
      <c r="BA38">
        <f>'Grid_Requirement'!AY2</f>
        <v/>
      </c>
      <c r="BB38">
        <f>'Grid_Requirement'!AZ2</f>
        <v/>
      </c>
      <c r="BC38">
        <f>'Grid_Requirement'!BA2</f>
        <v/>
      </c>
      <c r="BD38">
        <f>'Grid_Requirement'!BB2</f>
        <v/>
      </c>
      <c r="BE38">
        <f>'Grid_Requirement'!BC2</f>
        <v/>
      </c>
      <c r="BF38">
        <f>'Grid_Requirement'!BD2</f>
        <v/>
      </c>
      <c r="BG38">
        <f>'Grid_Requirement'!BE2</f>
        <v/>
      </c>
      <c r="BH38">
        <f>'Grid_Requirement'!BF2</f>
        <v/>
      </c>
      <c r="BI38">
        <f>'Grid_Requirement'!BG2</f>
        <v/>
      </c>
      <c r="BJ38">
        <f>'Grid_Requirement'!BH2</f>
        <v/>
      </c>
      <c r="BK38">
        <f>'Grid_Requirement'!BI2</f>
        <v/>
      </c>
      <c r="BL38">
        <f>'Grid_Requirement'!BJ2</f>
        <v/>
      </c>
      <c r="BM38">
        <f>'Grid_Requirement'!BK2</f>
        <v/>
      </c>
      <c r="BN38">
        <f>'Grid_Requirement'!BL2</f>
        <v/>
      </c>
      <c r="BO38">
        <f>'Grid_Requirement'!BM2</f>
        <v/>
      </c>
      <c r="BP38">
        <f>'Grid_Requirement'!BN2</f>
        <v/>
      </c>
      <c r="BQ38">
        <f>'Grid_Requirement'!BO2</f>
        <v/>
      </c>
      <c r="BR38">
        <f>'Grid_Requirement'!BP2</f>
        <v/>
      </c>
      <c r="BS38">
        <f>'Grid_Requirement'!BQ2</f>
        <v/>
      </c>
      <c r="BT38">
        <f>'Grid_Requirement'!BR2</f>
        <v/>
      </c>
      <c r="BU38">
        <f>'Grid_Requirement'!BS2</f>
        <v/>
      </c>
      <c r="BV38">
        <f>'Grid_Requirement'!BT2</f>
        <v/>
      </c>
      <c r="BW38">
        <f>'Grid_Requirement'!BU2</f>
        <v/>
      </c>
      <c r="BX38">
        <f>'Grid_Requirement'!BV2</f>
        <v/>
      </c>
      <c r="BY38">
        <f>'Grid_Requirement'!BW2</f>
        <v/>
      </c>
      <c r="BZ38">
        <f>'Grid_Requirement'!BX2</f>
        <v/>
      </c>
      <c r="CA38">
        <f>'Grid_Requirement'!BY2</f>
        <v/>
      </c>
      <c r="CB38">
        <f>'Grid_Requirement'!BZ2</f>
        <v/>
      </c>
      <c r="CC38">
        <f>'Grid_Requirement'!CA2</f>
        <v/>
      </c>
      <c r="CD38">
        <f>'Grid_Requirement'!CB2</f>
        <v/>
      </c>
      <c r="CE38">
        <f>'Grid_Requirement'!CC2</f>
        <v/>
      </c>
      <c r="CF38">
        <f>'Grid_Requirement'!CD2</f>
        <v/>
      </c>
      <c r="CG38">
        <f>'Grid_Requirement'!CE2</f>
        <v/>
      </c>
      <c r="CH38">
        <f>'Grid_Requirement'!CF2</f>
        <v/>
      </c>
      <c r="CI38">
        <f>'Grid_Requirement'!CG2</f>
        <v/>
      </c>
      <c r="CJ38">
        <f>'Grid_Requirement'!CH2</f>
        <v/>
      </c>
      <c r="CK38">
        <f>'Grid_Requirement'!CI2</f>
        <v/>
      </c>
      <c r="CL38">
        <f>'Grid_Requirement'!CJ2</f>
        <v/>
      </c>
      <c r="CM38">
        <f>'Grid_Requirement'!CK2</f>
        <v/>
      </c>
      <c r="CN38">
        <f>'Grid_Requirement'!CL2</f>
        <v/>
      </c>
      <c r="CO38">
        <f>'Grid_Requirement'!CM2</f>
        <v/>
      </c>
      <c r="CP38">
        <f>'Grid_Requirement'!CN2</f>
        <v/>
      </c>
      <c r="CQ38">
        <f>'Grid_Requirement'!CO2</f>
        <v/>
      </c>
      <c r="CR38">
        <f>'Grid_Requirement'!CP2</f>
        <v/>
      </c>
      <c r="CS38">
        <f>'Grid_Requirement'!CQ2</f>
        <v/>
      </c>
      <c r="CT38">
        <f>'Grid_Requirement'!CR2</f>
        <v/>
      </c>
      <c r="CU38">
        <f>'Grid_Requirement'!CS2</f>
        <v/>
      </c>
      <c r="CV38">
        <f>'Grid_Requirement'!CT2</f>
        <v/>
      </c>
      <c r="CW38">
        <f>'Grid_Requirement'!CU2</f>
        <v/>
      </c>
      <c r="CX38">
        <f>'Grid_Requirement'!CV2</f>
        <v/>
      </c>
      <c r="CY38">
        <f>'Grid_Requirement'!CW2</f>
        <v/>
      </c>
      <c r="CZ38">
        <f>'Grid_Requirement'!CX2</f>
        <v/>
      </c>
      <c r="DA38">
        <f>'Grid_Requirement'!CY2</f>
        <v/>
      </c>
      <c r="DB38">
        <f>'Grid_Requirement'!CZ2</f>
        <v/>
      </c>
      <c r="DC38">
        <f>'Grid_Requirement'!DA2</f>
        <v/>
      </c>
    </row>
    <row r="39">
      <c r="B39" t="inlineStr">
        <is>
          <t>TTAF在庫(実績,kg)</t>
        </is>
      </c>
      <c r="D39">
        <f>'T_TTAFStock'!B6</f>
        <v/>
      </c>
      <c r="E39">
        <f>'T_TTAFStock'!C6</f>
        <v/>
      </c>
      <c r="F39">
        <f>'T_TTAFStock'!D6</f>
        <v/>
      </c>
      <c r="G39">
        <f>'T_TTAFStock'!E6</f>
        <v/>
      </c>
      <c r="H39">
        <f>'T_TTAFStock'!F6</f>
        <v/>
      </c>
      <c r="I39">
        <f>'T_TTAFStock'!G6</f>
        <v/>
      </c>
      <c r="J39">
        <f>'T_TTAFStock'!H6</f>
        <v/>
      </c>
      <c r="K39">
        <f>'T_TTAFStock'!I6</f>
        <v/>
      </c>
      <c r="L39">
        <f>'T_TTAFStock'!J6</f>
        <v/>
      </c>
      <c r="M39">
        <f>'T_TTAFStock'!K6</f>
        <v/>
      </c>
      <c r="N39">
        <f>'T_TTAFStock'!L6</f>
        <v/>
      </c>
      <c r="O39">
        <f>'T_TTAFStock'!M6</f>
        <v/>
      </c>
      <c r="P39">
        <f>'T_TTAFStock'!N6</f>
        <v/>
      </c>
      <c r="Q39">
        <f>'T_TTAFStock'!O6</f>
        <v/>
      </c>
      <c r="R39">
        <f>'T_TTAFStock'!P6</f>
        <v/>
      </c>
      <c r="S39">
        <f>'T_TTAFStock'!Q6</f>
        <v/>
      </c>
      <c r="T39">
        <f>'T_TTAFStock'!R6</f>
        <v/>
      </c>
      <c r="U39">
        <f>'T_TTAFStock'!S6</f>
        <v/>
      </c>
      <c r="V39">
        <f>'T_TTAFStock'!T6</f>
        <v/>
      </c>
      <c r="W39">
        <f>'T_TTAFStock'!U6</f>
        <v/>
      </c>
      <c r="X39">
        <f>'T_TTAFStock'!V6</f>
        <v/>
      </c>
      <c r="Y39">
        <f>'T_TTAFStock'!W6</f>
        <v/>
      </c>
      <c r="Z39">
        <f>'T_TTAFStock'!X6</f>
        <v/>
      </c>
      <c r="AA39">
        <f>'T_TTAFStock'!Y6</f>
        <v/>
      </c>
      <c r="AB39">
        <f>'T_TTAFStock'!Z6</f>
        <v/>
      </c>
      <c r="AC39">
        <f>'T_TTAFStock'!AA6</f>
        <v/>
      </c>
      <c r="AD39">
        <f>'T_TTAFStock'!AB6</f>
        <v/>
      </c>
      <c r="AE39">
        <f>'T_TTAFStock'!AC6</f>
        <v/>
      </c>
      <c r="AF39">
        <f>'T_TTAFStock'!AD6</f>
        <v/>
      </c>
      <c r="AG39">
        <f>'T_TTAFStock'!AE6</f>
        <v/>
      </c>
      <c r="AH39">
        <f>'T_TTAFStock'!AF6</f>
        <v/>
      </c>
      <c r="AI39">
        <f>'T_TTAFStock'!AG6</f>
        <v/>
      </c>
      <c r="AJ39">
        <f>'T_TTAFStock'!AH6</f>
        <v/>
      </c>
      <c r="AK39">
        <f>'T_TTAFStock'!AI6</f>
        <v/>
      </c>
      <c r="AL39">
        <f>'T_TTAFStock'!AJ6</f>
        <v/>
      </c>
      <c r="AM39">
        <f>'T_TTAFStock'!AK6</f>
        <v/>
      </c>
      <c r="AN39">
        <f>'T_TTAFStock'!AL6</f>
        <v/>
      </c>
      <c r="AO39">
        <f>'T_TTAFStock'!AM6</f>
        <v/>
      </c>
      <c r="AP39">
        <f>'T_TTAFStock'!AN6</f>
        <v/>
      </c>
      <c r="AQ39">
        <f>'T_TTAFStock'!AO6</f>
        <v/>
      </c>
      <c r="AR39">
        <f>'T_TTAFStock'!AP6</f>
        <v/>
      </c>
      <c r="AS39">
        <f>'T_TTAFStock'!AQ6</f>
        <v/>
      </c>
      <c r="AT39">
        <f>'T_TTAFStock'!AR6</f>
        <v/>
      </c>
      <c r="AU39">
        <f>'T_TTAFStock'!AS6</f>
        <v/>
      </c>
      <c r="AV39">
        <f>'T_TTAFStock'!AT6</f>
        <v/>
      </c>
      <c r="AW39">
        <f>'T_TTAFStock'!AU6</f>
        <v/>
      </c>
      <c r="AX39">
        <f>'T_TTAFStock'!AV6</f>
        <v/>
      </c>
      <c r="AY39">
        <f>'T_TTAFStock'!AW6</f>
        <v/>
      </c>
      <c r="AZ39">
        <f>'T_TTAFStock'!AX6</f>
        <v/>
      </c>
      <c r="BA39">
        <f>'T_TTAFStock'!AY6</f>
        <v/>
      </c>
      <c r="BB39">
        <f>'T_TTAFStock'!AZ6</f>
        <v/>
      </c>
      <c r="BC39">
        <f>'T_TTAFStock'!BA6</f>
        <v/>
      </c>
      <c r="BD39">
        <f>'T_TTAFStock'!BB6</f>
        <v/>
      </c>
      <c r="BE39">
        <f>'T_TTAFStock'!BC6</f>
        <v/>
      </c>
      <c r="BF39">
        <f>'T_TTAFStock'!BD6</f>
        <v/>
      </c>
      <c r="BG39">
        <f>'T_TTAFStock'!BE6</f>
        <v/>
      </c>
      <c r="BH39">
        <f>'T_TTAFStock'!BF6</f>
        <v/>
      </c>
      <c r="BI39">
        <f>'T_TTAFStock'!BG6</f>
        <v/>
      </c>
      <c r="BJ39">
        <f>'T_TTAFStock'!BH6</f>
        <v/>
      </c>
      <c r="BK39">
        <f>'T_TTAFStock'!BI6</f>
        <v/>
      </c>
      <c r="BL39">
        <f>'T_TTAFStock'!BJ6</f>
        <v/>
      </c>
      <c r="BM39">
        <f>'T_TTAFStock'!BK6</f>
        <v/>
      </c>
      <c r="BN39">
        <f>'T_TTAFStock'!BL6</f>
        <v/>
      </c>
      <c r="BO39">
        <f>'T_TTAFStock'!BM6</f>
        <v/>
      </c>
      <c r="BP39">
        <f>'T_TTAFStock'!BN6</f>
        <v/>
      </c>
      <c r="BQ39">
        <f>'T_TTAFStock'!BO6</f>
        <v/>
      </c>
      <c r="BR39">
        <f>'T_TTAFStock'!BP6</f>
        <v/>
      </c>
      <c r="BS39">
        <f>'T_TTAFStock'!BQ6</f>
        <v/>
      </c>
      <c r="BT39">
        <f>'T_TTAFStock'!BR6</f>
        <v/>
      </c>
      <c r="BU39">
        <f>'T_TTAFStock'!BS6</f>
        <v/>
      </c>
      <c r="BV39">
        <f>'T_TTAFStock'!BT6</f>
        <v/>
      </c>
      <c r="BW39">
        <f>'T_TTAFStock'!BU6</f>
        <v/>
      </c>
      <c r="BX39">
        <f>'T_TTAFStock'!BV6</f>
        <v/>
      </c>
      <c r="BY39">
        <f>'T_TTAFStock'!BW6</f>
        <v/>
      </c>
      <c r="BZ39">
        <f>'T_TTAFStock'!BX6</f>
        <v/>
      </c>
      <c r="CA39">
        <f>'T_TTAFStock'!BY6</f>
        <v/>
      </c>
      <c r="CB39">
        <f>'T_TTAFStock'!BZ6</f>
        <v/>
      </c>
      <c r="CC39">
        <f>'T_TTAFStock'!CA6</f>
        <v/>
      </c>
      <c r="CD39">
        <f>'T_TTAFStock'!CB6</f>
        <v/>
      </c>
      <c r="CE39">
        <f>'T_TTAFStock'!CC6</f>
        <v/>
      </c>
      <c r="CF39">
        <f>'T_TTAFStock'!CD6</f>
        <v/>
      </c>
      <c r="CG39">
        <f>'T_TTAFStock'!CE6</f>
        <v/>
      </c>
      <c r="CH39">
        <f>'T_TTAFStock'!CF6</f>
        <v/>
      </c>
      <c r="CI39">
        <f>'T_TTAFStock'!CG6</f>
        <v/>
      </c>
      <c r="CJ39">
        <f>'T_TTAFStock'!CH6</f>
        <v/>
      </c>
      <c r="CK39">
        <f>'T_TTAFStock'!CI6</f>
        <v/>
      </c>
      <c r="CL39">
        <f>'T_TTAFStock'!CJ6</f>
        <v/>
      </c>
      <c r="CM39">
        <f>'T_TTAFStock'!CK6</f>
        <v/>
      </c>
      <c r="CN39">
        <f>'T_TTAFStock'!CL6</f>
        <v/>
      </c>
      <c r="CO39">
        <f>'T_TTAFStock'!CM6</f>
        <v/>
      </c>
      <c r="CP39">
        <f>'T_TTAFStock'!CN6</f>
        <v/>
      </c>
      <c r="CQ39">
        <f>'T_TTAFStock'!CO6</f>
        <v/>
      </c>
      <c r="CR39">
        <f>'T_TTAFStock'!CP6</f>
        <v/>
      </c>
      <c r="CS39">
        <f>'T_TTAFStock'!CQ6</f>
        <v/>
      </c>
      <c r="CT39">
        <f>'T_TTAFStock'!CR6</f>
        <v/>
      </c>
      <c r="CU39">
        <f>'T_TTAFStock'!CS6</f>
        <v/>
      </c>
      <c r="CV39">
        <f>'T_TTAFStock'!CT6</f>
        <v/>
      </c>
      <c r="CW39">
        <f>'T_TTAFStock'!CU6</f>
        <v/>
      </c>
      <c r="CX39">
        <f>'T_TTAFStock'!CV6</f>
        <v/>
      </c>
      <c r="CY39">
        <f>'T_TTAFStock'!CW6</f>
        <v/>
      </c>
      <c r="CZ39">
        <f>'T_TTAFStock'!CX6</f>
        <v/>
      </c>
      <c r="DA39">
        <f>'T_TTAFStock'!CY6</f>
        <v/>
      </c>
      <c r="DB39">
        <f>'T_TTAFStock'!CZ6</f>
        <v/>
      </c>
      <c r="DC39">
        <f>'T_TTAFStock'!DA6</f>
        <v/>
      </c>
    </row>
    <row r="40">
      <c r="B40" t="inlineStr">
        <is>
          <t>自社在庫(実績,kg)</t>
        </is>
      </c>
      <c r="D40">
        <f>'T_SelfStock'!B6</f>
        <v/>
      </c>
      <c r="E40">
        <f>'T_SelfStock'!C6</f>
        <v/>
      </c>
      <c r="F40">
        <f>'T_SelfStock'!D6</f>
        <v/>
      </c>
      <c r="G40">
        <f>'T_SelfStock'!E6</f>
        <v/>
      </c>
      <c r="H40">
        <f>'T_SelfStock'!F6</f>
        <v/>
      </c>
      <c r="I40">
        <f>'T_SelfStock'!G6</f>
        <v/>
      </c>
      <c r="J40">
        <f>'T_SelfStock'!H6</f>
        <v/>
      </c>
      <c r="K40">
        <f>'T_SelfStock'!I6</f>
        <v/>
      </c>
      <c r="L40">
        <f>'T_SelfStock'!J6</f>
        <v/>
      </c>
      <c r="M40">
        <f>'T_SelfStock'!K6</f>
        <v/>
      </c>
      <c r="N40">
        <f>'T_SelfStock'!L6</f>
        <v/>
      </c>
      <c r="O40">
        <f>'T_SelfStock'!M6</f>
        <v/>
      </c>
      <c r="P40">
        <f>'T_SelfStock'!N6</f>
        <v/>
      </c>
      <c r="Q40">
        <f>'T_SelfStock'!O6</f>
        <v/>
      </c>
      <c r="R40">
        <f>'T_SelfStock'!P6</f>
        <v/>
      </c>
      <c r="S40">
        <f>'T_SelfStock'!Q6</f>
        <v/>
      </c>
      <c r="T40">
        <f>'T_SelfStock'!R6</f>
        <v/>
      </c>
      <c r="U40">
        <f>'T_SelfStock'!S6</f>
        <v/>
      </c>
      <c r="V40">
        <f>'T_SelfStock'!T6</f>
        <v/>
      </c>
      <c r="W40">
        <f>'T_SelfStock'!U6</f>
        <v/>
      </c>
      <c r="X40">
        <f>'T_SelfStock'!V6</f>
        <v/>
      </c>
      <c r="Y40">
        <f>'T_SelfStock'!W6</f>
        <v/>
      </c>
      <c r="Z40">
        <f>'T_SelfStock'!X6</f>
        <v/>
      </c>
      <c r="AA40">
        <f>'T_SelfStock'!Y6</f>
        <v/>
      </c>
      <c r="AB40">
        <f>'T_SelfStock'!Z6</f>
        <v/>
      </c>
      <c r="AC40">
        <f>'T_SelfStock'!AA6</f>
        <v/>
      </c>
      <c r="AD40">
        <f>'T_SelfStock'!AB6</f>
        <v/>
      </c>
      <c r="AE40">
        <f>'T_SelfStock'!AC6</f>
        <v/>
      </c>
      <c r="AF40">
        <f>'T_SelfStock'!AD6</f>
        <v/>
      </c>
      <c r="AG40">
        <f>'T_SelfStock'!AE6</f>
        <v/>
      </c>
      <c r="AH40">
        <f>'T_SelfStock'!AF6</f>
        <v/>
      </c>
      <c r="AI40">
        <f>'T_SelfStock'!AG6</f>
        <v/>
      </c>
      <c r="AJ40">
        <f>'T_SelfStock'!AH6</f>
        <v/>
      </c>
      <c r="AK40">
        <f>'T_SelfStock'!AI6</f>
        <v/>
      </c>
      <c r="AL40">
        <f>'T_SelfStock'!AJ6</f>
        <v/>
      </c>
      <c r="AM40">
        <f>'T_SelfStock'!AK6</f>
        <v/>
      </c>
      <c r="AN40">
        <f>'T_SelfStock'!AL6</f>
        <v/>
      </c>
      <c r="AO40">
        <f>'T_SelfStock'!AM6</f>
        <v/>
      </c>
      <c r="AP40">
        <f>'T_SelfStock'!AN6</f>
        <v/>
      </c>
      <c r="AQ40">
        <f>'T_SelfStock'!AO6</f>
        <v/>
      </c>
      <c r="AR40">
        <f>'T_SelfStock'!AP6</f>
        <v/>
      </c>
      <c r="AS40">
        <f>'T_SelfStock'!AQ6</f>
        <v/>
      </c>
      <c r="AT40">
        <f>'T_SelfStock'!AR6</f>
        <v/>
      </c>
      <c r="AU40">
        <f>'T_SelfStock'!AS6</f>
        <v/>
      </c>
      <c r="AV40">
        <f>'T_SelfStock'!AT6</f>
        <v/>
      </c>
      <c r="AW40">
        <f>'T_SelfStock'!AU6</f>
        <v/>
      </c>
      <c r="AX40">
        <f>'T_SelfStock'!AV6</f>
        <v/>
      </c>
      <c r="AY40">
        <f>'T_SelfStock'!AW6</f>
        <v/>
      </c>
      <c r="AZ40">
        <f>'T_SelfStock'!AX6</f>
        <v/>
      </c>
      <c r="BA40">
        <f>'T_SelfStock'!AY6</f>
        <v/>
      </c>
      <c r="BB40">
        <f>'T_SelfStock'!AZ6</f>
        <v/>
      </c>
      <c r="BC40">
        <f>'T_SelfStock'!BA6</f>
        <v/>
      </c>
      <c r="BD40">
        <f>'T_SelfStock'!BB6</f>
        <v/>
      </c>
      <c r="BE40">
        <f>'T_SelfStock'!BC6</f>
        <v/>
      </c>
      <c r="BF40">
        <f>'T_SelfStock'!BD6</f>
        <v/>
      </c>
      <c r="BG40">
        <f>'T_SelfStock'!BE6</f>
        <v/>
      </c>
      <c r="BH40">
        <f>'T_SelfStock'!BF6</f>
        <v/>
      </c>
      <c r="BI40">
        <f>'T_SelfStock'!BG6</f>
        <v/>
      </c>
      <c r="BJ40">
        <f>'T_SelfStock'!BH6</f>
        <v/>
      </c>
      <c r="BK40">
        <f>'T_SelfStock'!BI6</f>
        <v/>
      </c>
      <c r="BL40">
        <f>'T_SelfStock'!BJ6</f>
        <v/>
      </c>
      <c r="BM40">
        <f>'T_SelfStock'!BK6</f>
        <v/>
      </c>
      <c r="BN40">
        <f>'T_SelfStock'!BL6</f>
        <v/>
      </c>
      <c r="BO40">
        <f>'T_SelfStock'!BM6</f>
        <v/>
      </c>
      <c r="BP40">
        <f>'T_SelfStock'!BN6</f>
        <v/>
      </c>
      <c r="BQ40">
        <f>'T_SelfStock'!BO6</f>
        <v/>
      </c>
      <c r="BR40">
        <f>'T_SelfStock'!BP6</f>
        <v/>
      </c>
      <c r="BS40">
        <f>'T_SelfStock'!BQ6</f>
        <v/>
      </c>
      <c r="BT40">
        <f>'T_SelfStock'!BR6</f>
        <v/>
      </c>
      <c r="BU40">
        <f>'T_SelfStock'!BS6</f>
        <v/>
      </c>
      <c r="BV40">
        <f>'T_SelfStock'!BT6</f>
        <v/>
      </c>
      <c r="BW40">
        <f>'T_SelfStock'!BU6</f>
        <v/>
      </c>
      <c r="BX40">
        <f>'T_SelfStock'!BV6</f>
        <v/>
      </c>
      <c r="BY40">
        <f>'T_SelfStock'!BW6</f>
        <v/>
      </c>
      <c r="BZ40">
        <f>'T_SelfStock'!BX6</f>
        <v/>
      </c>
      <c r="CA40">
        <f>'T_SelfStock'!BY6</f>
        <v/>
      </c>
      <c r="CB40">
        <f>'T_SelfStock'!BZ6</f>
        <v/>
      </c>
      <c r="CC40">
        <f>'T_SelfStock'!CA6</f>
        <v/>
      </c>
      <c r="CD40">
        <f>'T_SelfStock'!CB6</f>
        <v/>
      </c>
      <c r="CE40">
        <f>'T_SelfStock'!CC6</f>
        <v/>
      </c>
      <c r="CF40">
        <f>'T_SelfStock'!CD6</f>
        <v/>
      </c>
      <c r="CG40">
        <f>'T_SelfStock'!CE6</f>
        <v/>
      </c>
      <c r="CH40">
        <f>'T_SelfStock'!CF6</f>
        <v/>
      </c>
      <c r="CI40">
        <f>'T_SelfStock'!CG6</f>
        <v/>
      </c>
      <c r="CJ40">
        <f>'T_SelfStock'!CH6</f>
        <v/>
      </c>
      <c r="CK40">
        <f>'T_SelfStock'!CI6</f>
        <v/>
      </c>
      <c r="CL40">
        <f>'T_SelfStock'!CJ6</f>
        <v/>
      </c>
      <c r="CM40">
        <f>'T_SelfStock'!CK6</f>
        <v/>
      </c>
      <c r="CN40">
        <f>'T_SelfStock'!CL6</f>
        <v/>
      </c>
      <c r="CO40">
        <f>'T_SelfStock'!CM6</f>
        <v/>
      </c>
      <c r="CP40">
        <f>'T_SelfStock'!CN6</f>
        <v/>
      </c>
      <c r="CQ40">
        <f>'T_SelfStock'!CO6</f>
        <v/>
      </c>
      <c r="CR40">
        <f>'T_SelfStock'!CP6</f>
        <v/>
      </c>
      <c r="CS40">
        <f>'T_SelfStock'!CQ6</f>
        <v/>
      </c>
      <c r="CT40">
        <f>'T_SelfStock'!CR6</f>
        <v/>
      </c>
      <c r="CU40">
        <f>'T_SelfStock'!CS6</f>
        <v/>
      </c>
      <c r="CV40">
        <f>'T_SelfStock'!CT6</f>
        <v/>
      </c>
      <c r="CW40">
        <f>'T_SelfStock'!CU6</f>
        <v/>
      </c>
      <c r="CX40">
        <f>'T_SelfStock'!CV6</f>
        <v/>
      </c>
      <c r="CY40">
        <f>'T_SelfStock'!CW6</f>
        <v/>
      </c>
      <c r="CZ40">
        <f>'T_SelfStock'!CX6</f>
        <v/>
      </c>
      <c r="DA40">
        <f>'T_SelfStock'!CY6</f>
        <v/>
      </c>
      <c r="DB40">
        <f>'T_SelfStock'!CZ6</f>
        <v/>
      </c>
      <c r="DC40">
        <f>'T_SelfStock'!DA6</f>
        <v/>
      </c>
    </row>
    <row r="41">
      <c r="B41" t="inlineStr">
        <is>
          <t>Order(発注予定,kg)</t>
        </is>
      </c>
      <c r="D41">
        <f>IF(SUMIFS(T_PlannedOrders[EffectiveQty],T_PlannedOrders[Part Name],$A7,T_PlannedOrders[WeekIndex],1)=0,"",SUMIFS(T_PlannedOrders[EffectiveQty],T_PlannedOrders[Part Name],$A7,T_PlannedOrders[WeekIndex],1)&amp;" ("&amp;TEXT(SUMPRODUCT(MAX((T_PlannedOrders[Part Name]=$A7)*(T_PlannedOrders[WeekIndex]=1)*(T_PlannedOrders[EffectiveQty]&gt;0)*T_PlannedOrders[Order_Month])),"m月")&amp;"発注)")</f>
        <v/>
      </c>
      <c r="E41">
        <f>IF(SUMIFS(T_PlannedOrders[EffectiveQty],T_PlannedOrders[Part Name],$A7,T_PlannedOrders[WeekIndex],2)=0,"",SUMIFS(T_PlannedOrders[EffectiveQty],T_PlannedOrders[Part Name],$A7,T_PlannedOrders[WeekIndex],2)&amp;" ("&amp;TEXT(SUMPRODUCT(MAX((T_PlannedOrders[Part Name]=$A7)*(T_PlannedOrders[WeekIndex]=2)*(T_PlannedOrders[EffectiveQty]&gt;0)*T_PlannedOrders[Order_Month])),"m月")&amp;"発注)")</f>
        <v/>
      </c>
      <c r="F41">
        <f>IF(SUMIFS(T_PlannedOrders[EffectiveQty],T_PlannedOrders[Part Name],$A7,T_PlannedOrders[WeekIndex],3)=0,"",SUMIFS(T_PlannedOrders[EffectiveQty],T_PlannedOrders[Part Name],$A7,T_PlannedOrders[WeekIndex],3)&amp;" ("&amp;TEXT(SUMPRODUCT(MAX((T_PlannedOrders[Part Name]=$A7)*(T_PlannedOrders[WeekIndex]=3)*(T_PlannedOrders[EffectiveQty]&gt;0)*T_PlannedOrders[Order_Month])),"m月")&amp;"発注)")</f>
        <v/>
      </c>
      <c r="G41">
        <f>IF(SUMIFS(T_PlannedOrders[EffectiveQty],T_PlannedOrders[Part Name],$A7,T_PlannedOrders[WeekIndex],4)=0,"",SUMIFS(T_PlannedOrders[EffectiveQty],T_PlannedOrders[Part Name],$A7,T_PlannedOrders[WeekIndex],4)&amp;" ("&amp;TEXT(SUMPRODUCT(MAX((T_PlannedOrders[Part Name]=$A7)*(T_PlannedOrders[WeekIndex]=4)*(T_PlannedOrders[EffectiveQty]&gt;0)*T_PlannedOrders[Order_Month])),"m月")&amp;"発注)")</f>
        <v/>
      </c>
      <c r="H41">
        <f>IF(SUMIFS(T_PlannedOrders[EffectiveQty],T_PlannedOrders[Part Name],$A7,T_PlannedOrders[WeekIndex],5)=0,"",SUMIFS(T_PlannedOrders[EffectiveQty],T_PlannedOrders[Part Name],$A7,T_PlannedOrders[WeekIndex],5)&amp;" ("&amp;TEXT(SUMPRODUCT(MAX((T_PlannedOrders[Part Name]=$A7)*(T_PlannedOrders[WeekIndex]=5)*(T_PlannedOrders[EffectiveQty]&gt;0)*T_PlannedOrders[Order_Month])),"m月")&amp;"発注)")</f>
        <v/>
      </c>
      <c r="I41">
        <f>IF(SUMIFS(T_PlannedOrders[EffectiveQty],T_PlannedOrders[Part Name],$A7,T_PlannedOrders[WeekIndex],6)=0,"",SUMIFS(T_PlannedOrders[EffectiveQty],T_PlannedOrders[Part Name],$A7,T_PlannedOrders[WeekIndex],6)&amp;" ("&amp;TEXT(SUMPRODUCT(MAX((T_PlannedOrders[Part Name]=$A7)*(T_PlannedOrders[WeekIndex]=6)*(T_PlannedOrders[EffectiveQty]&gt;0)*T_PlannedOrders[Order_Month])),"m月")&amp;"発注)")</f>
        <v/>
      </c>
      <c r="J41">
        <f>IF(SUMIFS(T_PlannedOrders[EffectiveQty],T_PlannedOrders[Part Name],$A7,T_PlannedOrders[WeekIndex],7)=0,"",SUMIFS(T_PlannedOrders[EffectiveQty],T_PlannedOrders[Part Name],$A7,T_PlannedOrders[WeekIndex],7)&amp;" ("&amp;TEXT(SUMPRODUCT(MAX((T_PlannedOrders[Part Name]=$A7)*(T_PlannedOrders[WeekIndex]=7)*(T_PlannedOrders[EffectiveQty]&gt;0)*T_PlannedOrders[Order_Month])),"m月")&amp;"発注)")</f>
        <v/>
      </c>
      <c r="K41">
        <f>IF(SUMIFS(T_PlannedOrders[EffectiveQty],T_PlannedOrders[Part Name],$A7,T_PlannedOrders[WeekIndex],8)=0,"",SUMIFS(T_PlannedOrders[EffectiveQty],T_PlannedOrders[Part Name],$A7,T_PlannedOrders[WeekIndex],8)&amp;" ("&amp;TEXT(SUMPRODUCT(MAX((T_PlannedOrders[Part Name]=$A7)*(T_PlannedOrders[WeekIndex]=8)*(T_PlannedOrders[EffectiveQty]&gt;0)*T_PlannedOrders[Order_Month])),"m月")&amp;"発注)")</f>
        <v/>
      </c>
      <c r="L41">
        <f>IF(SUMIFS(T_PlannedOrders[EffectiveQty],T_PlannedOrders[Part Name],$A7,T_PlannedOrders[WeekIndex],9)=0,"",SUMIFS(T_PlannedOrders[EffectiveQty],T_PlannedOrders[Part Name],$A7,T_PlannedOrders[WeekIndex],9)&amp;" ("&amp;TEXT(SUMPRODUCT(MAX((T_PlannedOrders[Part Name]=$A7)*(T_PlannedOrders[WeekIndex]=9)*(T_PlannedOrders[EffectiveQty]&gt;0)*T_PlannedOrders[Order_Month])),"m月")&amp;"発注)")</f>
        <v/>
      </c>
      <c r="M41">
        <f>IF(SUMIFS(T_PlannedOrders[EffectiveQty],T_PlannedOrders[Part Name],$A7,T_PlannedOrders[WeekIndex],10)=0,"",SUMIFS(T_PlannedOrders[EffectiveQty],T_PlannedOrders[Part Name],$A7,T_PlannedOrders[WeekIndex],10)&amp;" ("&amp;TEXT(SUMPRODUCT(MAX((T_PlannedOrders[Part Name]=$A7)*(T_PlannedOrders[WeekIndex]=10)*(T_PlannedOrders[EffectiveQty]&gt;0)*T_PlannedOrders[Order_Month])),"m月")&amp;"発注)")</f>
        <v/>
      </c>
      <c r="N41">
        <f>IF(SUMIFS(T_PlannedOrders[EffectiveQty],T_PlannedOrders[Part Name],$A7,T_PlannedOrders[WeekIndex],11)=0,"",SUMIFS(T_PlannedOrders[EffectiveQty],T_PlannedOrders[Part Name],$A7,T_PlannedOrders[WeekIndex],11)&amp;" ("&amp;TEXT(SUMPRODUCT(MAX((T_PlannedOrders[Part Name]=$A7)*(T_PlannedOrders[WeekIndex]=11)*(T_PlannedOrders[EffectiveQty]&gt;0)*T_PlannedOrders[Order_Month])),"m月")&amp;"発注)")</f>
        <v/>
      </c>
      <c r="O41">
        <f>IF(SUMIFS(T_PlannedOrders[EffectiveQty],T_PlannedOrders[Part Name],$A7,T_PlannedOrders[WeekIndex],12)=0,"",SUMIFS(T_PlannedOrders[EffectiveQty],T_PlannedOrders[Part Name],$A7,T_PlannedOrders[WeekIndex],12)&amp;" ("&amp;TEXT(SUMPRODUCT(MAX((T_PlannedOrders[Part Name]=$A7)*(T_PlannedOrders[WeekIndex]=12)*(T_PlannedOrders[EffectiveQty]&gt;0)*T_PlannedOrders[Order_Month])),"m月")&amp;"発注)")</f>
        <v/>
      </c>
      <c r="P41">
        <f>IF(SUMIFS(T_PlannedOrders[EffectiveQty],T_PlannedOrders[Part Name],$A7,T_PlannedOrders[WeekIndex],13)=0,"",SUMIFS(T_PlannedOrders[EffectiveQty],T_PlannedOrders[Part Name],$A7,T_PlannedOrders[WeekIndex],13)&amp;" ("&amp;TEXT(SUMPRODUCT(MAX((T_PlannedOrders[Part Name]=$A7)*(T_PlannedOrders[WeekIndex]=13)*(T_PlannedOrders[EffectiveQty]&gt;0)*T_PlannedOrders[Order_Month])),"m月")&amp;"発注)")</f>
        <v/>
      </c>
      <c r="Q41">
        <f>IF(SUMIFS(T_PlannedOrders[EffectiveQty],T_PlannedOrders[Part Name],$A7,T_PlannedOrders[WeekIndex],14)=0,"",SUMIFS(T_PlannedOrders[EffectiveQty],T_PlannedOrders[Part Name],$A7,T_PlannedOrders[WeekIndex],14)&amp;" ("&amp;TEXT(SUMPRODUCT(MAX((T_PlannedOrders[Part Name]=$A7)*(T_PlannedOrders[WeekIndex]=14)*(T_PlannedOrders[EffectiveQty]&gt;0)*T_PlannedOrders[Order_Month])),"m月")&amp;"発注)")</f>
        <v/>
      </c>
      <c r="R41">
        <f>IF(SUMIFS(T_PlannedOrders[EffectiveQty],T_PlannedOrders[Part Name],$A7,T_PlannedOrders[WeekIndex],15)=0,"",SUMIFS(T_PlannedOrders[EffectiveQty],T_PlannedOrders[Part Name],$A7,T_PlannedOrders[WeekIndex],15)&amp;" ("&amp;TEXT(SUMPRODUCT(MAX((T_PlannedOrders[Part Name]=$A7)*(T_PlannedOrders[WeekIndex]=15)*(T_PlannedOrders[EffectiveQty]&gt;0)*T_PlannedOrders[Order_Month])),"m月")&amp;"発注)")</f>
        <v/>
      </c>
      <c r="S41">
        <f>IF(SUMIFS(T_PlannedOrders[EffectiveQty],T_PlannedOrders[Part Name],$A7,T_PlannedOrders[WeekIndex],16)=0,"",SUMIFS(T_PlannedOrders[EffectiveQty],T_PlannedOrders[Part Name],$A7,T_PlannedOrders[WeekIndex],16)&amp;" ("&amp;TEXT(SUMPRODUCT(MAX((T_PlannedOrders[Part Name]=$A7)*(T_PlannedOrders[WeekIndex]=16)*(T_PlannedOrders[EffectiveQty]&gt;0)*T_PlannedOrders[Order_Month])),"m月")&amp;"発注)")</f>
        <v/>
      </c>
      <c r="T41">
        <f>IF(SUMIFS(T_PlannedOrders[EffectiveQty],T_PlannedOrders[Part Name],$A7,T_PlannedOrders[WeekIndex],17)=0,"",SUMIFS(T_PlannedOrders[EffectiveQty],T_PlannedOrders[Part Name],$A7,T_PlannedOrders[WeekIndex],17)&amp;" ("&amp;TEXT(SUMPRODUCT(MAX((T_PlannedOrders[Part Name]=$A7)*(T_PlannedOrders[WeekIndex]=17)*(T_PlannedOrders[EffectiveQty]&gt;0)*T_PlannedOrders[Order_Month])),"m月")&amp;"発注)")</f>
        <v/>
      </c>
      <c r="U41">
        <f>IF(SUMIFS(T_PlannedOrders[EffectiveQty],T_PlannedOrders[Part Name],$A7,T_PlannedOrders[WeekIndex],18)=0,"",SUMIFS(T_PlannedOrders[EffectiveQty],T_PlannedOrders[Part Name],$A7,T_PlannedOrders[WeekIndex],18)&amp;" ("&amp;TEXT(SUMPRODUCT(MAX((T_PlannedOrders[Part Name]=$A7)*(T_PlannedOrders[WeekIndex]=18)*(T_PlannedOrders[EffectiveQty]&gt;0)*T_PlannedOrders[Order_Month])),"m月")&amp;"発注)")</f>
        <v/>
      </c>
      <c r="V41">
        <f>IF(SUMIFS(T_PlannedOrders[EffectiveQty],T_PlannedOrders[Part Name],$A7,T_PlannedOrders[WeekIndex],19)=0,"",SUMIFS(T_PlannedOrders[EffectiveQty],T_PlannedOrders[Part Name],$A7,T_PlannedOrders[WeekIndex],19)&amp;" ("&amp;TEXT(SUMPRODUCT(MAX((T_PlannedOrders[Part Name]=$A7)*(T_PlannedOrders[WeekIndex]=19)*(T_PlannedOrders[EffectiveQty]&gt;0)*T_PlannedOrders[Order_Month])),"m月")&amp;"発注)")</f>
        <v/>
      </c>
      <c r="W41">
        <f>IF(SUMIFS(T_PlannedOrders[EffectiveQty],T_PlannedOrders[Part Name],$A7,T_PlannedOrders[WeekIndex],20)=0,"",SUMIFS(T_PlannedOrders[EffectiveQty],T_PlannedOrders[Part Name],$A7,T_PlannedOrders[WeekIndex],20)&amp;" ("&amp;TEXT(SUMPRODUCT(MAX((T_PlannedOrders[Part Name]=$A7)*(T_PlannedOrders[WeekIndex]=20)*(T_PlannedOrders[EffectiveQty]&gt;0)*T_PlannedOrders[Order_Month])),"m月")&amp;"発注)")</f>
        <v/>
      </c>
      <c r="X41">
        <f>IF(SUMIFS(T_PlannedOrders[EffectiveQty],T_PlannedOrders[Part Name],$A7,T_PlannedOrders[WeekIndex],21)=0,"",SUMIFS(T_PlannedOrders[EffectiveQty],T_PlannedOrders[Part Name],$A7,T_PlannedOrders[WeekIndex],21)&amp;" ("&amp;TEXT(SUMPRODUCT(MAX((T_PlannedOrders[Part Name]=$A7)*(T_PlannedOrders[WeekIndex]=21)*(T_PlannedOrders[EffectiveQty]&gt;0)*T_PlannedOrders[Order_Month])),"m月")&amp;"発注)")</f>
        <v/>
      </c>
      <c r="Y41">
        <f>IF(SUMIFS(T_PlannedOrders[EffectiveQty],T_PlannedOrders[Part Name],$A7,T_PlannedOrders[WeekIndex],22)=0,"",SUMIFS(T_PlannedOrders[EffectiveQty],T_PlannedOrders[Part Name],$A7,T_PlannedOrders[WeekIndex],22)&amp;" ("&amp;TEXT(SUMPRODUCT(MAX((T_PlannedOrders[Part Name]=$A7)*(T_PlannedOrders[WeekIndex]=22)*(T_PlannedOrders[EffectiveQty]&gt;0)*T_PlannedOrders[Order_Month])),"m月")&amp;"発注)")</f>
        <v/>
      </c>
      <c r="Z41">
        <f>IF(SUMIFS(T_PlannedOrders[EffectiveQty],T_PlannedOrders[Part Name],$A7,T_PlannedOrders[WeekIndex],23)=0,"",SUMIFS(T_PlannedOrders[EffectiveQty],T_PlannedOrders[Part Name],$A7,T_PlannedOrders[WeekIndex],23)&amp;" ("&amp;TEXT(SUMPRODUCT(MAX((T_PlannedOrders[Part Name]=$A7)*(T_PlannedOrders[WeekIndex]=23)*(T_PlannedOrders[EffectiveQty]&gt;0)*T_PlannedOrders[Order_Month])),"m月")&amp;"発注)")</f>
        <v/>
      </c>
      <c r="AA41">
        <f>IF(SUMIFS(T_PlannedOrders[EffectiveQty],T_PlannedOrders[Part Name],$A7,T_PlannedOrders[WeekIndex],24)=0,"",SUMIFS(T_PlannedOrders[EffectiveQty],T_PlannedOrders[Part Name],$A7,T_PlannedOrders[WeekIndex],24)&amp;" ("&amp;TEXT(SUMPRODUCT(MAX((T_PlannedOrders[Part Name]=$A7)*(T_PlannedOrders[WeekIndex]=24)*(T_PlannedOrders[EffectiveQty]&gt;0)*T_PlannedOrders[Order_Month])),"m月")&amp;"発注)")</f>
        <v/>
      </c>
      <c r="AB41">
        <f>IF(SUMIFS(T_PlannedOrders[EffectiveQty],T_PlannedOrders[Part Name],$A7,T_PlannedOrders[WeekIndex],25)=0,"",SUMIFS(T_PlannedOrders[EffectiveQty],T_PlannedOrders[Part Name],$A7,T_PlannedOrders[WeekIndex],25)&amp;" ("&amp;TEXT(SUMPRODUCT(MAX((T_PlannedOrders[Part Name]=$A7)*(T_PlannedOrders[WeekIndex]=25)*(T_PlannedOrders[EffectiveQty]&gt;0)*T_PlannedOrders[Order_Month])),"m月")&amp;"発注)")</f>
        <v/>
      </c>
      <c r="AC41">
        <f>IF(SUMIFS(T_PlannedOrders[EffectiveQty],T_PlannedOrders[Part Name],$A7,T_PlannedOrders[WeekIndex],26)=0,"",SUMIFS(T_PlannedOrders[EffectiveQty],T_PlannedOrders[Part Name],$A7,T_PlannedOrders[WeekIndex],26)&amp;" ("&amp;TEXT(SUMPRODUCT(MAX((T_PlannedOrders[Part Name]=$A7)*(T_PlannedOrders[WeekIndex]=26)*(T_PlannedOrders[EffectiveQty]&gt;0)*T_PlannedOrders[Order_Month])),"m月")&amp;"発注)")</f>
        <v/>
      </c>
      <c r="AD41">
        <f>IF(SUMIFS(T_PlannedOrders[EffectiveQty],T_PlannedOrders[Part Name],$A7,T_PlannedOrders[WeekIndex],27)=0,"",SUMIFS(T_PlannedOrders[EffectiveQty],T_PlannedOrders[Part Name],$A7,T_PlannedOrders[WeekIndex],27)&amp;" ("&amp;TEXT(SUMPRODUCT(MAX((T_PlannedOrders[Part Name]=$A7)*(T_PlannedOrders[WeekIndex]=27)*(T_PlannedOrders[EffectiveQty]&gt;0)*T_PlannedOrders[Order_Month])),"m月")&amp;"発注)")</f>
        <v/>
      </c>
      <c r="AE41">
        <f>IF(SUMIFS(T_PlannedOrders[EffectiveQty],T_PlannedOrders[Part Name],$A7,T_PlannedOrders[WeekIndex],28)=0,"",SUMIFS(T_PlannedOrders[EffectiveQty],T_PlannedOrders[Part Name],$A7,T_PlannedOrders[WeekIndex],28)&amp;" ("&amp;TEXT(SUMPRODUCT(MAX((T_PlannedOrders[Part Name]=$A7)*(T_PlannedOrders[WeekIndex]=28)*(T_PlannedOrders[EffectiveQty]&gt;0)*T_PlannedOrders[Order_Month])),"m月")&amp;"発注)")</f>
        <v/>
      </c>
      <c r="AF41">
        <f>IF(SUMIFS(T_PlannedOrders[EffectiveQty],T_PlannedOrders[Part Name],$A7,T_PlannedOrders[WeekIndex],29)=0,"",SUMIFS(T_PlannedOrders[EffectiveQty],T_PlannedOrders[Part Name],$A7,T_PlannedOrders[WeekIndex],29)&amp;" ("&amp;TEXT(SUMPRODUCT(MAX((T_PlannedOrders[Part Name]=$A7)*(T_PlannedOrders[WeekIndex]=29)*(T_PlannedOrders[EffectiveQty]&gt;0)*T_PlannedOrders[Order_Month])),"m月")&amp;"発注)")</f>
        <v/>
      </c>
      <c r="AG41">
        <f>IF(SUMIFS(T_PlannedOrders[EffectiveQty],T_PlannedOrders[Part Name],$A7,T_PlannedOrders[WeekIndex],30)=0,"",SUMIFS(T_PlannedOrders[EffectiveQty],T_PlannedOrders[Part Name],$A7,T_PlannedOrders[WeekIndex],30)&amp;" ("&amp;TEXT(SUMPRODUCT(MAX((T_PlannedOrders[Part Name]=$A7)*(T_PlannedOrders[WeekIndex]=30)*(T_PlannedOrders[EffectiveQty]&gt;0)*T_PlannedOrders[Order_Month])),"m月")&amp;"発注)")</f>
        <v/>
      </c>
      <c r="AH41">
        <f>IF(SUMIFS(T_PlannedOrders[EffectiveQty],T_PlannedOrders[Part Name],$A7,T_PlannedOrders[WeekIndex],31)=0,"",SUMIFS(T_PlannedOrders[EffectiveQty],T_PlannedOrders[Part Name],$A7,T_PlannedOrders[WeekIndex],31)&amp;" ("&amp;TEXT(SUMPRODUCT(MAX((T_PlannedOrders[Part Name]=$A7)*(T_PlannedOrders[WeekIndex]=31)*(T_PlannedOrders[EffectiveQty]&gt;0)*T_PlannedOrders[Order_Month])),"m月")&amp;"発注)")</f>
        <v/>
      </c>
      <c r="AI41">
        <f>IF(SUMIFS(T_PlannedOrders[EffectiveQty],T_PlannedOrders[Part Name],$A7,T_PlannedOrders[WeekIndex],32)=0,"",SUMIFS(T_PlannedOrders[EffectiveQty],T_PlannedOrders[Part Name],$A7,T_PlannedOrders[WeekIndex],32)&amp;" ("&amp;TEXT(SUMPRODUCT(MAX((T_PlannedOrders[Part Name]=$A7)*(T_PlannedOrders[WeekIndex]=32)*(T_PlannedOrders[EffectiveQty]&gt;0)*T_PlannedOrders[Order_Month])),"m月")&amp;"発注)")</f>
        <v/>
      </c>
      <c r="AJ41">
        <f>IF(SUMIFS(T_PlannedOrders[EffectiveQty],T_PlannedOrders[Part Name],$A7,T_PlannedOrders[WeekIndex],33)=0,"",SUMIFS(T_PlannedOrders[EffectiveQty],T_PlannedOrders[Part Name],$A7,T_PlannedOrders[WeekIndex],33)&amp;" ("&amp;TEXT(SUMPRODUCT(MAX((T_PlannedOrders[Part Name]=$A7)*(T_PlannedOrders[WeekIndex]=33)*(T_PlannedOrders[EffectiveQty]&gt;0)*T_PlannedOrders[Order_Month])),"m月")&amp;"発注)")</f>
        <v/>
      </c>
      <c r="AK41">
        <f>IF(SUMIFS(T_PlannedOrders[EffectiveQty],T_PlannedOrders[Part Name],$A7,T_PlannedOrders[WeekIndex],34)=0,"",SUMIFS(T_PlannedOrders[EffectiveQty],T_PlannedOrders[Part Name],$A7,T_PlannedOrders[WeekIndex],34)&amp;" ("&amp;TEXT(SUMPRODUCT(MAX((T_PlannedOrders[Part Name]=$A7)*(T_PlannedOrders[WeekIndex]=34)*(T_PlannedOrders[EffectiveQty]&gt;0)*T_PlannedOrders[Order_Month])),"m月")&amp;"発注)")</f>
        <v/>
      </c>
      <c r="AL41">
        <f>IF(SUMIFS(T_PlannedOrders[EffectiveQty],T_PlannedOrders[Part Name],$A7,T_PlannedOrders[WeekIndex],35)=0,"",SUMIFS(T_PlannedOrders[EffectiveQty],T_PlannedOrders[Part Name],$A7,T_PlannedOrders[WeekIndex],35)&amp;" ("&amp;TEXT(SUMPRODUCT(MAX((T_PlannedOrders[Part Name]=$A7)*(T_PlannedOrders[WeekIndex]=35)*(T_PlannedOrders[EffectiveQty]&gt;0)*T_PlannedOrders[Order_Month])),"m月")&amp;"発注)")</f>
        <v/>
      </c>
      <c r="AM41">
        <f>IF(SUMIFS(T_PlannedOrders[EffectiveQty],T_PlannedOrders[Part Name],$A7,T_PlannedOrders[WeekIndex],36)=0,"",SUMIFS(T_PlannedOrders[EffectiveQty],T_PlannedOrders[Part Name],$A7,T_PlannedOrders[WeekIndex],36)&amp;" ("&amp;TEXT(SUMPRODUCT(MAX((T_PlannedOrders[Part Name]=$A7)*(T_PlannedOrders[WeekIndex]=36)*(T_PlannedOrders[EffectiveQty]&gt;0)*T_PlannedOrders[Order_Month])),"m月")&amp;"発注)")</f>
        <v/>
      </c>
      <c r="AN41">
        <f>IF(SUMIFS(T_PlannedOrders[EffectiveQty],T_PlannedOrders[Part Name],$A7,T_PlannedOrders[WeekIndex],37)=0,"",SUMIFS(T_PlannedOrders[EffectiveQty],T_PlannedOrders[Part Name],$A7,T_PlannedOrders[WeekIndex],37)&amp;" ("&amp;TEXT(SUMPRODUCT(MAX((T_PlannedOrders[Part Name]=$A7)*(T_PlannedOrders[WeekIndex]=37)*(T_PlannedOrders[EffectiveQty]&gt;0)*T_PlannedOrders[Order_Month])),"m月")&amp;"発注)")</f>
        <v/>
      </c>
      <c r="AO41">
        <f>IF(SUMIFS(T_PlannedOrders[EffectiveQty],T_PlannedOrders[Part Name],$A7,T_PlannedOrders[WeekIndex],38)=0,"",SUMIFS(T_PlannedOrders[EffectiveQty],T_PlannedOrders[Part Name],$A7,T_PlannedOrders[WeekIndex],38)&amp;" ("&amp;TEXT(SUMPRODUCT(MAX((T_PlannedOrders[Part Name]=$A7)*(T_PlannedOrders[WeekIndex]=38)*(T_PlannedOrders[EffectiveQty]&gt;0)*T_PlannedOrders[Order_Month])),"m月")&amp;"発注)")</f>
        <v/>
      </c>
      <c r="AP41">
        <f>IF(SUMIFS(T_PlannedOrders[EffectiveQty],T_PlannedOrders[Part Name],$A7,T_PlannedOrders[WeekIndex],39)=0,"",SUMIFS(T_PlannedOrders[EffectiveQty],T_PlannedOrders[Part Name],$A7,T_PlannedOrders[WeekIndex],39)&amp;" ("&amp;TEXT(SUMPRODUCT(MAX((T_PlannedOrders[Part Name]=$A7)*(T_PlannedOrders[WeekIndex]=39)*(T_PlannedOrders[EffectiveQty]&gt;0)*T_PlannedOrders[Order_Month])),"m月")&amp;"発注)")</f>
        <v/>
      </c>
      <c r="AQ41">
        <f>IF(SUMIFS(T_PlannedOrders[EffectiveQty],T_PlannedOrders[Part Name],$A7,T_PlannedOrders[WeekIndex],40)=0,"",SUMIFS(T_PlannedOrders[EffectiveQty],T_PlannedOrders[Part Name],$A7,T_PlannedOrders[WeekIndex],40)&amp;" ("&amp;TEXT(SUMPRODUCT(MAX((T_PlannedOrders[Part Name]=$A7)*(T_PlannedOrders[WeekIndex]=40)*(T_PlannedOrders[EffectiveQty]&gt;0)*T_PlannedOrders[Order_Month])),"m月")&amp;"発注)")</f>
        <v/>
      </c>
      <c r="AR41">
        <f>IF(SUMIFS(T_PlannedOrders[EffectiveQty],T_PlannedOrders[Part Name],$A7,T_PlannedOrders[WeekIndex],41)=0,"",SUMIFS(T_PlannedOrders[EffectiveQty],T_PlannedOrders[Part Name],$A7,T_PlannedOrders[WeekIndex],41)&amp;" ("&amp;TEXT(SUMPRODUCT(MAX((T_PlannedOrders[Part Name]=$A7)*(T_PlannedOrders[WeekIndex]=41)*(T_PlannedOrders[EffectiveQty]&gt;0)*T_PlannedOrders[Order_Month])),"m月")&amp;"発注)")</f>
        <v/>
      </c>
      <c r="AS41">
        <f>IF(SUMIFS(T_PlannedOrders[EffectiveQty],T_PlannedOrders[Part Name],$A7,T_PlannedOrders[WeekIndex],42)=0,"",SUMIFS(T_PlannedOrders[EffectiveQty],T_PlannedOrders[Part Name],$A7,T_PlannedOrders[WeekIndex],42)&amp;" ("&amp;TEXT(SUMPRODUCT(MAX((T_PlannedOrders[Part Name]=$A7)*(T_PlannedOrders[WeekIndex]=42)*(T_PlannedOrders[EffectiveQty]&gt;0)*T_PlannedOrders[Order_Month])),"m月")&amp;"発注)")</f>
        <v/>
      </c>
      <c r="AT41">
        <f>IF(SUMIFS(T_PlannedOrders[EffectiveQty],T_PlannedOrders[Part Name],$A7,T_PlannedOrders[WeekIndex],43)=0,"",SUMIFS(T_PlannedOrders[EffectiveQty],T_PlannedOrders[Part Name],$A7,T_PlannedOrders[WeekIndex],43)&amp;" ("&amp;TEXT(SUMPRODUCT(MAX((T_PlannedOrders[Part Name]=$A7)*(T_PlannedOrders[WeekIndex]=43)*(T_PlannedOrders[EffectiveQty]&gt;0)*T_PlannedOrders[Order_Month])),"m月")&amp;"発注)")</f>
        <v/>
      </c>
      <c r="AU41">
        <f>IF(SUMIFS(T_PlannedOrders[EffectiveQty],T_PlannedOrders[Part Name],$A7,T_PlannedOrders[WeekIndex],44)=0,"",SUMIFS(T_PlannedOrders[EffectiveQty],T_PlannedOrders[Part Name],$A7,T_PlannedOrders[WeekIndex],44)&amp;" ("&amp;TEXT(SUMPRODUCT(MAX((T_PlannedOrders[Part Name]=$A7)*(T_PlannedOrders[WeekIndex]=44)*(T_PlannedOrders[EffectiveQty]&gt;0)*T_PlannedOrders[Order_Month])),"m月")&amp;"発注)")</f>
        <v/>
      </c>
      <c r="AV41">
        <f>IF(SUMIFS(T_PlannedOrders[EffectiveQty],T_PlannedOrders[Part Name],$A7,T_PlannedOrders[WeekIndex],45)=0,"",SUMIFS(T_PlannedOrders[EffectiveQty],T_PlannedOrders[Part Name],$A7,T_PlannedOrders[WeekIndex],45)&amp;" ("&amp;TEXT(SUMPRODUCT(MAX((T_PlannedOrders[Part Name]=$A7)*(T_PlannedOrders[WeekIndex]=45)*(T_PlannedOrders[EffectiveQty]&gt;0)*T_PlannedOrders[Order_Month])),"m月")&amp;"発注)")</f>
        <v/>
      </c>
      <c r="AW41">
        <f>IF(SUMIFS(T_PlannedOrders[EffectiveQty],T_PlannedOrders[Part Name],$A7,T_PlannedOrders[WeekIndex],46)=0,"",SUMIFS(T_PlannedOrders[EffectiveQty],T_PlannedOrders[Part Name],$A7,T_PlannedOrders[WeekIndex],46)&amp;" ("&amp;TEXT(SUMPRODUCT(MAX((T_PlannedOrders[Part Name]=$A7)*(T_PlannedOrders[WeekIndex]=46)*(T_PlannedOrders[EffectiveQty]&gt;0)*T_PlannedOrders[Order_Month])),"m月")&amp;"発注)")</f>
        <v/>
      </c>
      <c r="AX41">
        <f>IF(SUMIFS(T_PlannedOrders[EffectiveQty],T_PlannedOrders[Part Name],$A7,T_PlannedOrders[WeekIndex],47)=0,"",SUMIFS(T_PlannedOrders[EffectiveQty],T_PlannedOrders[Part Name],$A7,T_PlannedOrders[WeekIndex],47)&amp;" ("&amp;TEXT(SUMPRODUCT(MAX((T_PlannedOrders[Part Name]=$A7)*(T_PlannedOrders[WeekIndex]=47)*(T_PlannedOrders[EffectiveQty]&gt;0)*T_PlannedOrders[Order_Month])),"m月")&amp;"発注)")</f>
        <v/>
      </c>
      <c r="AY41">
        <f>IF(SUMIFS(T_PlannedOrders[EffectiveQty],T_PlannedOrders[Part Name],$A7,T_PlannedOrders[WeekIndex],48)=0,"",SUMIFS(T_PlannedOrders[EffectiveQty],T_PlannedOrders[Part Name],$A7,T_PlannedOrders[WeekIndex],48)&amp;" ("&amp;TEXT(SUMPRODUCT(MAX((T_PlannedOrders[Part Name]=$A7)*(T_PlannedOrders[WeekIndex]=48)*(T_PlannedOrders[EffectiveQty]&gt;0)*T_PlannedOrders[Order_Month])),"m月")&amp;"発注)")</f>
        <v/>
      </c>
      <c r="AZ41">
        <f>IF(SUMIFS(T_PlannedOrders[EffectiveQty],T_PlannedOrders[Part Name],$A7,T_PlannedOrders[WeekIndex],49)=0,"",SUMIFS(T_PlannedOrders[EffectiveQty],T_PlannedOrders[Part Name],$A7,T_PlannedOrders[WeekIndex],49)&amp;" ("&amp;TEXT(SUMPRODUCT(MAX((T_PlannedOrders[Part Name]=$A7)*(T_PlannedOrders[WeekIndex]=49)*(T_PlannedOrders[EffectiveQty]&gt;0)*T_PlannedOrders[Order_Month])),"m月")&amp;"発注)")</f>
        <v/>
      </c>
      <c r="BA41">
        <f>IF(SUMIFS(T_PlannedOrders[EffectiveQty],T_PlannedOrders[Part Name],$A7,T_PlannedOrders[WeekIndex],50)=0,"",SUMIFS(T_PlannedOrders[EffectiveQty],T_PlannedOrders[Part Name],$A7,T_PlannedOrders[WeekIndex],50)&amp;" ("&amp;TEXT(SUMPRODUCT(MAX((T_PlannedOrders[Part Name]=$A7)*(T_PlannedOrders[WeekIndex]=50)*(T_PlannedOrders[EffectiveQty]&gt;0)*T_PlannedOrders[Order_Month])),"m月")&amp;"発注)")</f>
        <v/>
      </c>
      <c r="BB41">
        <f>IF(SUMIFS(T_PlannedOrders[EffectiveQty],T_PlannedOrders[Part Name],$A7,T_PlannedOrders[WeekIndex],51)=0,"",SUMIFS(T_PlannedOrders[EffectiveQty],T_PlannedOrders[Part Name],$A7,T_PlannedOrders[WeekIndex],51)&amp;" ("&amp;TEXT(SUMPRODUCT(MAX((T_PlannedOrders[Part Name]=$A7)*(T_PlannedOrders[WeekIndex]=51)*(T_PlannedOrders[EffectiveQty]&gt;0)*T_PlannedOrders[Order_Month])),"m月")&amp;"発注)")</f>
        <v/>
      </c>
      <c r="BC41">
        <f>IF(SUMIFS(T_PlannedOrders[EffectiveQty],T_PlannedOrders[Part Name],$A7,T_PlannedOrders[WeekIndex],52)=0,"",SUMIFS(T_PlannedOrders[EffectiveQty],T_PlannedOrders[Part Name],$A7,T_PlannedOrders[WeekIndex],52)&amp;" ("&amp;TEXT(SUMPRODUCT(MAX((T_PlannedOrders[Part Name]=$A7)*(T_PlannedOrders[WeekIndex]=52)*(T_PlannedOrders[EffectiveQty]&gt;0)*T_PlannedOrders[Order_Month])),"m月")&amp;"発注)")</f>
        <v/>
      </c>
      <c r="BD41">
        <f>IF(SUMIFS(T_PlannedOrders[EffectiveQty],T_PlannedOrders[Part Name],$A7,T_PlannedOrders[WeekIndex],53)=0,"",SUMIFS(T_PlannedOrders[EffectiveQty],T_PlannedOrders[Part Name],$A7,T_PlannedOrders[WeekIndex],53)&amp;" ("&amp;TEXT(SUMPRODUCT(MAX((T_PlannedOrders[Part Name]=$A7)*(T_PlannedOrders[WeekIndex]=53)*(T_PlannedOrders[EffectiveQty]&gt;0)*T_PlannedOrders[Order_Month])),"m月")&amp;"発注)")</f>
        <v/>
      </c>
      <c r="BE41">
        <f>IF(SUMIFS(T_PlannedOrders[EffectiveQty],T_PlannedOrders[Part Name],$A7,T_PlannedOrders[WeekIndex],54)=0,"",SUMIFS(T_PlannedOrders[EffectiveQty],T_PlannedOrders[Part Name],$A7,T_PlannedOrders[WeekIndex],54)&amp;" ("&amp;TEXT(SUMPRODUCT(MAX((T_PlannedOrders[Part Name]=$A7)*(T_PlannedOrders[WeekIndex]=54)*(T_PlannedOrders[EffectiveQty]&gt;0)*T_PlannedOrders[Order_Month])),"m月")&amp;"発注)")</f>
        <v/>
      </c>
      <c r="BF41">
        <f>IF(SUMIFS(T_PlannedOrders[EffectiveQty],T_PlannedOrders[Part Name],$A7,T_PlannedOrders[WeekIndex],55)=0,"",SUMIFS(T_PlannedOrders[EffectiveQty],T_PlannedOrders[Part Name],$A7,T_PlannedOrders[WeekIndex],55)&amp;" ("&amp;TEXT(SUMPRODUCT(MAX((T_PlannedOrders[Part Name]=$A7)*(T_PlannedOrders[WeekIndex]=55)*(T_PlannedOrders[EffectiveQty]&gt;0)*T_PlannedOrders[Order_Month])),"m月")&amp;"発注)")</f>
        <v/>
      </c>
      <c r="BG41">
        <f>IF(SUMIFS(T_PlannedOrders[EffectiveQty],T_PlannedOrders[Part Name],$A7,T_PlannedOrders[WeekIndex],56)=0,"",SUMIFS(T_PlannedOrders[EffectiveQty],T_PlannedOrders[Part Name],$A7,T_PlannedOrders[WeekIndex],56)&amp;" ("&amp;TEXT(SUMPRODUCT(MAX((T_PlannedOrders[Part Name]=$A7)*(T_PlannedOrders[WeekIndex]=56)*(T_PlannedOrders[EffectiveQty]&gt;0)*T_PlannedOrders[Order_Month])),"m月")&amp;"発注)")</f>
        <v/>
      </c>
      <c r="BH41">
        <f>IF(SUMIFS(T_PlannedOrders[EffectiveQty],T_PlannedOrders[Part Name],$A7,T_PlannedOrders[WeekIndex],57)=0,"",SUMIFS(T_PlannedOrders[EffectiveQty],T_PlannedOrders[Part Name],$A7,T_PlannedOrders[WeekIndex],57)&amp;" ("&amp;TEXT(SUMPRODUCT(MAX((T_PlannedOrders[Part Name]=$A7)*(T_PlannedOrders[WeekIndex]=57)*(T_PlannedOrders[EffectiveQty]&gt;0)*T_PlannedOrders[Order_Month])),"m月")&amp;"発注)")</f>
        <v/>
      </c>
      <c r="BI41">
        <f>IF(SUMIFS(T_PlannedOrders[EffectiveQty],T_PlannedOrders[Part Name],$A7,T_PlannedOrders[WeekIndex],58)=0,"",SUMIFS(T_PlannedOrders[EffectiveQty],T_PlannedOrders[Part Name],$A7,T_PlannedOrders[WeekIndex],58)&amp;" ("&amp;TEXT(SUMPRODUCT(MAX((T_PlannedOrders[Part Name]=$A7)*(T_PlannedOrders[WeekIndex]=58)*(T_PlannedOrders[EffectiveQty]&gt;0)*T_PlannedOrders[Order_Month])),"m月")&amp;"発注)")</f>
        <v/>
      </c>
      <c r="BJ41">
        <f>IF(SUMIFS(T_PlannedOrders[EffectiveQty],T_PlannedOrders[Part Name],$A7,T_PlannedOrders[WeekIndex],59)=0,"",SUMIFS(T_PlannedOrders[EffectiveQty],T_PlannedOrders[Part Name],$A7,T_PlannedOrders[WeekIndex],59)&amp;" ("&amp;TEXT(SUMPRODUCT(MAX((T_PlannedOrders[Part Name]=$A7)*(T_PlannedOrders[WeekIndex]=59)*(T_PlannedOrders[EffectiveQty]&gt;0)*T_PlannedOrders[Order_Month])),"m月")&amp;"発注)")</f>
        <v/>
      </c>
      <c r="BK41">
        <f>IF(SUMIFS(T_PlannedOrders[EffectiveQty],T_PlannedOrders[Part Name],$A7,T_PlannedOrders[WeekIndex],60)=0,"",SUMIFS(T_PlannedOrders[EffectiveQty],T_PlannedOrders[Part Name],$A7,T_PlannedOrders[WeekIndex],60)&amp;" ("&amp;TEXT(SUMPRODUCT(MAX((T_PlannedOrders[Part Name]=$A7)*(T_PlannedOrders[WeekIndex]=60)*(T_PlannedOrders[EffectiveQty]&gt;0)*T_PlannedOrders[Order_Month])),"m月")&amp;"発注)")</f>
        <v/>
      </c>
      <c r="BL41">
        <f>IF(SUMIFS(T_PlannedOrders[EffectiveQty],T_PlannedOrders[Part Name],$A7,T_PlannedOrders[WeekIndex],61)=0,"",SUMIFS(T_PlannedOrders[EffectiveQty],T_PlannedOrders[Part Name],$A7,T_PlannedOrders[WeekIndex],61)&amp;" ("&amp;TEXT(SUMPRODUCT(MAX((T_PlannedOrders[Part Name]=$A7)*(T_PlannedOrders[WeekIndex]=61)*(T_PlannedOrders[EffectiveQty]&gt;0)*T_PlannedOrders[Order_Month])),"m月")&amp;"発注)")</f>
        <v/>
      </c>
      <c r="BM41">
        <f>IF(SUMIFS(T_PlannedOrders[EffectiveQty],T_PlannedOrders[Part Name],$A7,T_PlannedOrders[WeekIndex],62)=0,"",SUMIFS(T_PlannedOrders[EffectiveQty],T_PlannedOrders[Part Name],$A7,T_PlannedOrders[WeekIndex],62)&amp;" ("&amp;TEXT(SUMPRODUCT(MAX((T_PlannedOrders[Part Name]=$A7)*(T_PlannedOrders[WeekIndex]=62)*(T_PlannedOrders[EffectiveQty]&gt;0)*T_PlannedOrders[Order_Month])),"m月")&amp;"発注)")</f>
        <v/>
      </c>
      <c r="BN41">
        <f>IF(SUMIFS(T_PlannedOrders[EffectiveQty],T_PlannedOrders[Part Name],$A7,T_PlannedOrders[WeekIndex],63)=0,"",SUMIFS(T_PlannedOrders[EffectiveQty],T_PlannedOrders[Part Name],$A7,T_PlannedOrders[WeekIndex],63)&amp;" ("&amp;TEXT(SUMPRODUCT(MAX((T_PlannedOrders[Part Name]=$A7)*(T_PlannedOrders[WeekIndex]=63)*(T_PlannedOrders[EffectiveQty]&gt;0)*T_PlannedOrders[Order_Month])),"m月")&amp;"発注)")</f>
        <v/>
      </c>
      <c r="BO41">
        <f>IF(SUMIFS(T_PlannedOrders[EffectiveQty],T_PlannedOrders[Part Name],$A7,T_PlannedOrders[WeekIndex],64)=0,"",SUMIFS(T_PlannedOrders[EffectiveQty],T_PlannedOrders[Part Name],$A7,T_PlannedOrders[WeekIndex],64)&amp;" ("&amp;TEXT(SUMPRODUCT(MAX((T_PlannedOrders[Part Name]=$A7)*(T_PlannedOrders[WeekIndex]=64)*(T_PlannedOrders[EffectiveQty]&gt;0)*T_PlannedOrders[Order_Month])),"m月")&amp;"発注)")</f>
        <v/>
      </c>
      <c r="BP41">
        <f>IF(SUMIFS(T_PlannedOrders[EffectiveQty],T_PlannedOrders[Part Name],$A7,T_PlannedOrders[WeekIndex],65)=0,"",SUMIFS(T_PlannedOrders[EffectiveQty],T_PlannedOrders[Part Name],$A7,T_PlannedOrders[WeekIndex],65)&amp;" ("&amp;TEXT(SUMPRODUCT(MAX((T_PlannedOrders[Part Name]=$A7)*(T_PlannedOrders[WeekIndex]=65)*(T_PlannedOrders[EffectiveQty]&gt;0)*T_PlannedOrders[Order_Month])),"m月")&amp;"発注)")</f>
        <v/>
      </c>
      <c r="BQ41">
        <f>IF(SUMIFS(T_PlannedOrders[EffectiveQty],T_PlannedOrders[Part Name],$A7,T_PlannedOrders[WeekIndex],66)=0,"",SUMIFS(T_PlannedOrders[EffectiveQty],T_PlannedOrders[Part Name],$A7,T_PlannedOrders[WeekIndex],66)&amp;" ("&amp;TEXT(SUMPRODUCT(MAX((T_PlannedOrders[Part Name]=$A7)*(T_PlannedOrders[WeekIndex]=66)*(T_PlannedOrders[EffectiveQty]&gt;0)*T_PlannedOrders[Order_Month])),"m月")&amp;"発注)")</f>
        <v/>
      </c>
      <c r="BR41">
        <f>IF(SUMIFS(T_PlannedOrders[EffectiveQty],T_PlannedOrders[Part Name],$A7,T_PlannedOrders[WeekIndex],67)=0,"",SUMIFS(T_PlannedOrders[EffectiveQty],T_PlannedOrders[Part Name],$A7,T_PlannedOrders[WeekIndex],67)&amp;" ("&amp;TEXT(SUMPRODUCT(MAX((T_PlannedOrders[Part Name]=$A7)*(T_PlannedOrders[WeekIndex]=67)*(T_PlannedOrders[EffectiveQty]&gt;0)*T_PlannedOrders[Order_Month])),"m月")&amp;"発注)")</f>
        <v/>
      </c>
      <c r="BS41">
        <f>IF(SUMIFS(T_PlannedOrders[EffectiveQty],T_PlannedOrders[Part Name],$A7,T_PlannedOrders[WeekIndex],68)=0,"",SUMIFS(T_PlannedOrders[EffectiveQty],T_PlannedOrders[Part Name],$A7,T_PlannedOrders[WeekIndex],68)&amp;" ("&amp;TEXT(SUMPRODUCT(MAX((T_PlannedOrders[Part Name]=$A7)*(T_PlannedOrders[WeekIndex]=68)*(T_PlannedOrders[EffectiveQty]&gt;0)*T_PlannedOrders[Order_Month])),"m月")&amp;"発注)")</f>
        <v/>
      </c>
      <c r="BT41">
        <f>IF(SUMIFS(T_PlannedOrders[EffectiveQty],T_PlannedOrders[Part Name],$A7,T_PlannedOrders[WeekIndex],69)=0,"",SUMIFS(T_PlannedOrders[EffectiveQty],T_PlannedOrders[Part Name],$A7,T_PlannedOrders[WeekIndex],69)&amp;" ("&amp;TEXT(SUMPRODUCT(MAX((T_PlannedOrders[Part Name]=$A7)*(T_PlannedOrders[WeekIndex]=69)*(T_PlannedOrders[EffectiveQty]&gt;0)*T_PlannedOrders[Order_Month])),"m月")&amp;"発注)")</f>
        <v/>
      </c>
      <c r="BU41">
        <f>IF(SUMIFS(T_PlannedOrders[EffectiveQty],T_PlannedOrders[Part Name],$A7,T_PlannedOrders[WeekIndex],70)=0,"",SUMIFS(T_PlannedOrders[EffectiveQty],T_PlannedOrders[Part Name],$A7,T_PlannedOrders[WeekIndex],70)&amp;" ("&amp;TEXT(SUMPRODUCT(MAX((T_PlannedOrders[Part Name]=$A7)*(T_PlannedOrders[WeekIndex]=70)*(T_PlannedOrders[EffectiveQty]&gt;0)*T_PlannedOrders[Order_Month])),"m月")&amp;"発注)")</f>
        <v/>
      </c>
      <c r="BV41">
        <f>IF(SUMIFS(T_PlannedOrders[EffectiveQty],T_PlannedOrders[Part Name],$A7,T_PlannedOrders[WeekIndex],71)=0,"",SUMIFS(T_PlannedOrders[EffectiveQty],T_PlannedOrders[Part Name],$A7,T_PlannedOrders[WeekIndex],71)&amp;" ("&amp;TEXT(SUMPRODUCT(MAX((T_PlannedOrders[Part Name]=$A7)*(T_PlannedOrders[WeekIndex]=71)*(T_PlannedOrders[EffectiveQty]&gt;0)*T_PlannedOrders[Order_Month])),"m月")&amp;"発注)")</f>
        <v/>
      </c>
      <c r="BW41">
        <f>IF(SUMIFS(T_PlannedOrders[EffectiveQty],T_PlannedOrders[Part Name],$A7,T_PlannedOrders[WeekIndex],72)=0,"",SUMIFS(T_PlannedOrders[EffectiveQty],T_PlannedOrders[Part Name],$A7,T_PlannedOrders[WeekIndex],72)&amp;" ("&amp;TEXT(SUMPRODUCT(MAX((T_PlannedOrders[Part Name]=$A7)*(T_PlannedOrders[WeekIndex]=72)*(T_PlannedOrders[EffectiveQty]&gt;0)*T_PlannedOrders[Order_Month])),"m月")&amp;"発注)")</f>
        <v/>
      </c>
      <c r="BX41">
        <f>IF(SUMIFS(T_PlannedOrders[EffectiveQty],T_PlannedOrders[Part Name],$A7,T_PlannedOrders[WeekIndex],73)=0,"",SUMIFS(T_PlannedOrders[EffectiveQty],T_PlannedOrders[Part Name],$A7,T_PlannedOrders[WeekIndex],73)&amp;" ("&amp;TEXT(SUMPRODUCT(MAX((T_PlannedOrders[Part Name]=$A7)*(T_PlannedOrders[WeekIndex]=73)*(T_PlannedOrders[EffectiveQty]&gt;0)*T_PlannedOrders[Order_Month])),"m月")&amp;"発注)")</f>
        <v/>
      </c>
      <c r="BY41">
        <f>IF(SUMIFS(T_PlannedOrders[EffectiveQty],T_PlannedOrders[Part Name],$A7,T_PlannedOrders[WeekIndex],74)=0,"",SUMIFS(T_PlannedOrders[EffectiveQty],T_PlannedOrders[Part Name],$A7,T_PlannedOrders[WeekIndex],74)&amp;" ("&amp;TEXT(SUMPRODUCT(MAX((T_PlannedOrders[Part Name]=$A7)*(T_PlannedOrders[WeekIndex]=74)*(T_PlannedOrders[EffectiveQty]&gt;0)*T_PlannedOrders[Order_Month])),"m月")&amp;"発注)")</f>
        <v/>
      </c>
      <c r="BZ41">
        <f>IF(SUMIFS(T_PlannedOrders[EffectiveQty],T_PlannedOrders[Part Name],$A7,T_PlannedOrders[WeekIndex],75)=0,"",SUMIFS(T_PlannedOrders[EffectiveQty],T_PlannedOrders[Part Name],$A7,T_PlannedOrders[WeekIndex],75)&amp;" ("&amp;TEXT(SUMPRODUCT(MAX((T_PlannedOrders[Part Name]=$A7)*(T_PlannedOrders[WeekIndex]=75)*(T_PlannedOrders[EffectiveQty]&gt;0)*T_PlannedOrders[Order_Month])),"m月")&amp;"発注)")</f>
        <v/>
      </c>
      <c r="CA41">
        <f>IF(SUMIFS(T_PlannedOrders[EffectiveQty],T_PlannedOrders[Part Name],$A7,T_PlannedOrders[WeekIndex],76)=0,"",SUMIFS(T_PlannedOrders[EffectiveQty],T_PlannedOrders[Part Name],$A7,T_PlannedOrders[WeekIndex],76)&amp;" ("&amp;TEXT(SUMPRODUCT(MAX((T_PlannedOrders[Part Name]=$A7)*(T_PlannedOrders[WeekIndex]=76)*(T_PlannedOrders[EffectiveQty]&gt;0)*T_PlannedOrders[Order_Month])),"m月")&amp;"発注)")</f>
        <v/>
      </c>
      <c r="CB41">
        <f>IF(SUMIFS(T_PlannedOrders[EffectiveQty],T_PlannedOrders[Part Name],$A7,T_PlannedOrders[WeekIndex],77)=0,"",SUMIFS(T_PlannedOrders[EffectiveQty],T_PlannedOrders[Part Name],$A7,T_PlannedOrders[WeekIndex],77)&amp;" ("&amp;TEXT(SUMPRODUCT(MAX((T_PlannedOrders[Part Name]=$A7)*(T_PlannedOrders[WeekIndex]=77)*(T_PlannedOrders[EffectiveQty]&gt;0)*T_PlannedOrders[Order_Month])),"m月")&amp;"発注)")</f>
        <v/>
      </c>
      <c r="CC41">
        <f>IF(SUMIFS(T_PlannedOrders[EffectiveQty],T_PlannedOrders[Part Name],$A7,T_PlannedOrders[WeekIndex],78)=0,"",SUMIFS(T_PlannedOrders[EffectiveQty],T_PlannedOrders[Part Name],$A7,T_PlannedOrders[WeekIndex],78)&amp;" ("&amp;TEXT(SUMPRODUCT(MAX((T_PlannedOrders[Part Name]=$A7)*(T_PlannedOrders[WeekIndex]=78)*(T_PlannedOrders[EffectiveQty]&gt;0)*T_PlannedOrders[Order_Month])),"m月")&amp;"発注)")</f>
        <v/>
      </c>
      <c r="CD41">
        <f>IF(SUMIFS(T_PlannedOrders[EffectiveQty],T_PlannedOrders[Part Name],$A7,T_PlannedOrders[WeekIndex],79)=0,"",SUMIFS(T_PlannedOrders[EffectiveQty],T_PlannedOrders[Part Name],$A7,T_PlannedOrders[WeekIndex],79)&amp;" ("&amp;TEXT(SUMPRODUCT(MAX((T_PlannedOrders[Part Name]=$A7)*(T_PlannedOrders[WeekIndex]=79)*(T_PlannedOrders[EffectiveQty]&gt;0)*T_PlannedOrders[Order_Month])),"m月")&amp;"発注)")</f>
        <v/>
      </c>
      <c r="CE41">
        <f>IF(SUMIFS(T_PlannedOrders[EffectiveQty],T_PlannedOrders[Part Name],$A7,T_PlannedOrders[WeekIndex],80)=0,"",SUMIFS(T_PlannedOrders[EffectiveQty],T_PlannedOrders[Part Name],$A7,T_PlannedOrders[WeekIndex],80)&amp;" ("&amp;TEXT(SUMPRODUCT(MAX((T_PlannedOrders[Part Name]=$A7)*(T_PlannedOrders[WeekIndex]=80)*(T_PlannedOrders[EffectiveQty]&gt;0)*T_PlannedOrders[Order_Month])),"m月")&amp;"発注)")</f>
        <v/>
      </c>
      <c r="CF41">
        <f>IF(SUMIFS(T_PlannedOrders[EffectiveQty],T_PlannedOrders[Part Name],$A7,T_PlannedOrders[WeekIndex],81)=0,"",SUMIFS(T_PlannedOrders[EffectiveQty],T_PlannedOrders[Part Name],$A7,T_PlannedOrders[WeekIndex],81)&amp;" ("&amp;TEXT(SUMPRODUCT(MAX((T_PlannedOrders[Part Name]=$A7)*(T_PlannedOrders[WeekIndex]=81)*(T_PlannedOrders[EffectiveQty]&gt;0)*T_PlannedOrders[Order_Month])),"m月")&amp;"発注)")</f>
        <v/>
      </c>
      <c r="CG41">
        <f>IF(SUMIFS(T_PlannedOrders[EffectiveQty],T_PlannedOrders[Part Name],$A7,T_PlannedOrders[WeekIndex],82)=0,"",SUMIFS(T_PlannedOrders[EffectiveQty],T_PlannedOrders[Part Name],$A7,T_PlannedOrders[WeekIndex],82)&amp;" ("&amp;TEXT(SUMPRODUCT(MAX((T_PlannedOrders[Part Name]=$A7)*(T_PlannedOrders[WeekIndex]=82)*(T_PlannedOrders[EffectiveQty]&gt;0)*T_PlannedOrders[Order_Month])),"m月")&amp;"発注)")</f>
        <v/>
      </c>
      <c r="CH41">
        <f>IF(SUMIFS(T_PlannedOrders[EffectiveQty],T_PlannedOrders[Part Name],$A7,T_PlannedOrders[WeekIndex],83)=0,"",SUMIFS(T_PlannedOrders[EffectiveQty],T_PlannedOrders[Part Name],$A7,T_PlannedOrders[WeekIndex],83)&amp;" ("&amp;TEXT(SUMPRODUCT(MAX((T_PlannedOrders[Part Name]=$A7)*(T_PlannedOrders[WeekIndex]=83)*(T_PlannedOrders[EffectiveQty]&gt;0)*T_PlannedOrders[Order_Month])),"m月")&amp;"発注)")</f>
        <v/>
      </c>
      <c r="CI41">
        <f>IF(SUMIFS(T_PlannedOrders[EffectiveQty],T_PlannedOrders[Part Name],$A7,T_PlannedOrders[WeekIndex],84)=0,"",SUMIFS(T_PlannedOrders[EffectiveQty],T_PlannedOrders[Part Name],$A7,T_PlannedOrders[WeekIndex],84)&amp;" ("&amp;TEXT(SUMPRODUCT(MAX((T_PlannedOrders[Part Name]=$A7)*(T_PlannedOrders[WeekIndex]=84)*(T_PlannedOrders[EffectiveQty]&gt;0)*T_PlannedOrders[Order_Month])),"m月")&amp;"発注)")</f>
        <v/>
      </c>
      <c r="CJ41">
        <f>IF(SUMIFS(T_PlannedOrders[EffectiveQty],T_PlannedOrders[Part Name],$A7,T_PlannedOrders[WeekIndex],85)=0,"",SUMIFS(T_PlannedOrders[EffectiveQty],T_PlannedOrders[Part Name],$A7,T_PlannedOrders[WeekIndex],85)&amp;" ("&amp;TEXT(SUMPRODUCT(MAX((T_PlannedOrders[Part Name]=$A7)*(T_PlannedOrders[WeekIndex]=85)*(T_PlannedOrders[EffectiveQty]&gt;0)*T_PlannedOrders[Order_Month])),"m月")&amp;"発注)")</f>
        <v/>
      </c>
      <c r="CK41">
        <f>IF(SUMIFS(T_PlannedOrders[EffectiveQty],T_PlannedOrders[Part Name],$A7,T_PlannedOrders[WeekIndex],86)=0,"",SUMIFS(T_PlannedOrders[EffectiveQty],T_PlannedOrders[Part Name],$A7,T_PlannedOrders[WeekIndex],86)&amp;" ("&amp;TEXT(SUMPRODUCT(MAX((T_PlannedOrders[Part Name]=$A7)*(T_PlannedOrders[WeekIndex]=86)*(T_PlannedOrders[EffectiveQty]&gt;0)*T_PlannedOrders[Order_Month])),"m月")&amp;"発注)")</f>
        <v/>
      </c>
      <c r="CL41">
        <f>IF(SUMIFS(T_PlannedOrders[EffectiveQty],T_PlannedOrders[Part Name],$A7,T_PlannedOrders[WeekIndex],87)=0,"",SUMIFS(T_PlannedOrders[EffectiveQty],T_PlannedOrders[Part Name],$A7,T_PlannedOrders[WeekIndex],87)&amp;" ("&amp;TEXT(SUMPRODUCT(MAX((T_PlannedOrders[Part Name]=$A7)*(T_PlannedOrders[WeekIndex]=87)*(T_PlannedOrders[EffectiveQty]&gt;0)*T_PlannedOrders[Order_Month])),"m月")&amp;"発注)")</f>
        <v/>
      </c>
      <c r="CM41">
        <f>IF(SUMIFS(T_PlannedOrders[EffectiveQty],T_PlannedOrders[Part Name],$A7,T_PlannedOrders[WeekIndex],88)=0,"",SUMIFS(T_PlannedOrders[EffectiveQty],T_PlannedOrders[Part Name],$A7,T_PlannedOrders[WeekIndex],88)&amp;" ("&amp;TEXT(SUMPRODUCT(MAX((T_PlannedOrders[Part Name]=$A7)*(T_PlannedOrders[WeekIndex]=88)*(T_PlannedOrders[EffectiveQty]&gt;0)*T_PlannedOrders[Order_Month])),"m月")&amp;"発注)")</f>
        <v/>
      </c>
      <c r="CN41">
        <f>IF(SUMIFS(T_PlannedOrders[EffectiveQty],T_PlannedOrders[Part Name],$A7,T_PlannedOrders[WeekIndex],89)=0,"",SUMIFS(T_PlannedOrders[EffectiveQty],T_PlannedOrders[Part Name],$A7,T_PlannedOrders[WeekIndex],89)&amp;" ("&amp;TEXT(SUMPRODUCT(MAX((T_PlannedOrders[Part Name]=$A7)*(T_PlannedOrders[WeekIndex]=89)*(T_PlannedOrders[EffectiveQty]&gt;0)*T_PlannedOrders[Order_Month])),"m月")&amp;"発注)")</f>
        <v/>
      </c>
      <c r="CO41">
        <f>IF(SUMIFS(T_PlannedOrders[EffectiveQty],T_PlannedOrders[Part Name],$A7,T_PlannedOrders[WeekIndex],90)=0,"",SUMIFS(T_PlannedOrders[EffectiveQty],T_PlannedOrders[Part Name],$A7,T_PlannedOrders[WeekIndex],90)&amp;" ("&amp;TEXT(SUMPRODUCT(MAX((T_PlannedOrders[Part Name]=$A7)*(T_PlannedOrders[WeekIndex]=90)*(T_PlannedOrders[EffectiveQty]&gt;0)*T_PlannedOrders[Order_Month])),"m月")&amp;"発注)")</f>
        <v/>
      </c>
      <c r="CP41">
        <f>IF(SUMIFS(T_PlannedOrders[EffectiveQty],T_PlannedOrders[Part Name],$A7,T_PlannedOrders[WeekIndex],91)=0,"",SUMIFS(T_PlannedOrders[EffectiveQty],T_PlannedOrders[Part Name],$A7,T_PlannedOrders[WeekIndex],91)&amp;" ("&amp;TEXT(SUMPRODUCT(MAX((T_PlannedOrders[Part Name]=$A7)*(T_PlannedOrders[WeekIndex]=91)*(T_PlannedOrders[EffectiveQty]&gt;0)*T_PlannedOrders[Order_Month])),"m月")&amp;"発注)")</f>
        <v/>
      </c>
      <c r="CQ41">
        <f>IF(SUMIFS(T_PlannedOrders[EffectiveQty],T_PlannedOrders[Part Name],$A7,T_PlannedOrders[WeekIndex],92)=0,"",SUMIFS(T_PlannedOrders[EffectiveQty],T_PlannedOrders[Part Name],$A7,T_PlannedOrders[WeekIndex],92)&amp;" ("&amp;TEXT(SUMPRODUCT(MAX((T_PlannedOrders[Part Name]=$A7)*(T_PlannedOrders[WeekIndex]=92)*(T_PlannedOrders[EffectiveQty]&gt;0)*T_PlannedOrders[Order_Month])),"m月")&amp;"発注)")</f>
        <v/>
      </c>
      <c r="CR41">
        <f>IF(SUMIFS(T_PlannedOrders[EffectiveQty],T_PlannedOrders[Part Name],$A7,T_PlannedOrders[WeekIndex],93)=0,"",SUMIFS(T_PlannedOrders[EffectiveQty],T_PlannedOrders[Part Name],$A7,T_PlannedOrders[WeekIndex],93)&amp;" ("&amp;TEXT(SUMPRODUCT(MAX((T_PlannedOrders[Part Name]=$A7)*(T_PlannedOrders[WeekIndex]=93)*(T_PlannedOrders[EffectiveQty]&gt;0)*T_PlannedOrders[Order_Month])),"m月")&amp;"発注)")</f>
        <v/>
      </c>
      <c r="CS41">
        <f>IF(SUMIFS(T_PlannedOrders[EffectiveQty],T_PlannedOrders[Part Name],$A7,T_PlannedOrders[WeekIndex],94)=0,"",SUMIFS(T_PlannedOrders[EffectiveQty],T_PlannedOrders[Part Name],$A7,T_PlannedOrders[WeekIndex],94)&amp;" ("&amp;TEXT(SUMPRODUCT(MAX((T_PlannedOrders[Part Name]=$A7)*(T_PlannedOrders[WeekIndex]=94)*(T_PlannedOrders[EffectiveQty]&gt;0)*T_PlannedOrders[Order_Month])),"m月")&amp;"発注)")</f>
        <v/>
      </c>
      <c r="CT41">
        <f>IF(SUMIFS(T_PlannedOrders[EffectiveQty],T_PlannedOrders[Part Name],$A7,T_PlannedOrders[WeekIndex],95)=0,"",SUMIFS(T_PlannedOrders[EffectiveQty],T_PlannedOrders[Part Name],$A7,T_PlannedOrders[WeekIndex],95)&amp;" ("&amp;TEXT(SUMPRODUCT(MAX((T_PlannedOrders[Part Name]=$A7)*(T_PlannedOrders[WeekIndex]=95)*(T_PlannedOrders[EffectiveQty]&gt;0)*T_PlannedOrders[Order_Month])),"m月")&amp;"発注)")</f>
        <v/>
      </c>
      <c r="CU41">
        <f>IF(SUMIFS(T_PlannedOrders[EffectiveQty],T_PlannedOrders[Part Name],$A7,T_PlannedOrders[WeekIndex],96)=0,"",SUMIFS(T_PlannedOrders[EffectiveQty],T_PlannedOrders[Part Name],$A7,T_PlannedOrders[WeekIndex],96)&amp;" ("&amp;TEXT(SUMPRODUCT(MAX((T_PlannedOrders[Part Name]=$A7)*(T_PlannedOrders[WeekIndex]=96)*(T_PlannedOrders[EffectiveQty]&gt;0)*T_PlannedOrders[Order_Month])),"m月")&amp;"発注)")</f>
        <v/>
      </c>
      <c r="CV41">
        <f>IF(SUMIFS(T_PlannedOrders[EffectiveQty],T_PlannedOrders[Part Name],$A7,T_PlannedOrders[WeekIndex],97)=0,"",SUMIFS(T_PlannedOrders[EffectiveQty],T_PlannedOrders[Part Name],$A7,T_PlannedOrders[WeekIndex],97)&amp;" ("&amp;TEXT(SUMPRODUCT(MAX((T_PlannedOrders[Part Name]=$A7)*(T_PlannedOrders[WeekIndex]=97)*(T_PlannedOrders[EffectiveQty]&gt;0)*T_PlannedOrders[Order_Month])),"m月")&amp;"発注)")</f>
        <v/>
      </c>
      <c r="CW41">
        <f>IF(SUMIFS(T_PlannedOrders[EffectiveQty],T_PlannedOrders[Part Name],$A7,T_PlannedOrders[WeekIndex],98)=0,"",SUMIFS(T_PlannedOrders[EffectiveQty],T_PlannedOrders[Part Name],$A7,T_PlannedOrders[WeekIndex],98)&amp;" ("&amp;TEXT(SUMPRODUCT(MAX((T_PlannedOrders[Part Name]=$A7)*(T_PlannedOrders[WeekIndex]=98)*(T_PlannedOrders[EffectiveQty]&gt;0)*T_PlannedOrders[Order_Month])),"m月")&amp;"発注)")</f>
        <v/>
      </c>
      <c r="CX41">
        <f>IF(SUMIFS(T_PlannedOrders[EffectiveQty],T_PlannedOrders[Part Name],$A7,T_PlannedOrders[WeekIndex],99)=0,"",SUMIFS(T_PlannedOrders[EffectiveQty],T_PlannedOrders[Part Name],$A7,T_PlannedOrders[WeekIndex],99)&amp;" ("&amp;TEXT(SUMPRODUCT(MAX((T_PlannedOrders[Part Name]=$A7)*(T_PlannedOrders[WeekIndex]=99)*(T_PlannedOrders[EffectiveQty]&gt;0)*T_PlannedOrders[Order_Month])),"m月")&amp;"発注)")</f>
        <v/>
      </c>
      <c r="CY41">
        <f>IF(SUMIFS(T_PlannedOrders[EffectiveQty],T_PlannedOrders[Part Name],$A7,T_PlannedOrders[WeekIndex],100)=0,"",SUMIFS(T_PlannedOrders[EffectiveQty],T_PlannedOrders[Part Name],$A7,T_PlannedOrders[WeekIndex],100)&amp;" ("&amp;TEXT(SUMPRODUCT(MAX((T_PlannedOrders[Part Name]=$A7)*(T_PlannedOrders[WeekIndex]=100)*(T_PlannedOrders[EffectiveQty]&gt;0)*T_PlannedOrders[Order_Month])),"m月")&amp;"発注)")</f>
        <v/>
      </c>
      <c r="CZ41">
        <f>IF(SUMIFS(T_PlannedOrders[EffectiveQty],T_PlannedOrders[Part Name],$A7,T_PlannedOrders[WeekIndex],101)=0,"",SUMIFS(T_PlannedOrders[EffectiveQty],T_PlannedOrders[Part Name],$A7,T_PlannedOrders[WeekIndex],101)&amp;" ("&amp;TEXT(SUMPRODUCT(MAX((T_PlannedOrders[Part Name]=$A7)*(T_PlannedOrders[WeekIndex]=101)*(T_PlannedOrders[EffectiveQty]&gt;0)*T_PlannedOrders[Order_Month])),"m月")&amp;"発注)")</f>
        <v/>
      </c>
      <c r="DA41">
        <f>IF(SUMIFS(T_PlannedOrders[EffectiveQty],T_PlannedOrders[Part Name],$A7,T_PlannedOrders[WeekIndex],102)=0,"",SUMIFS(T_PlannedOrders[EffectiveQty],T_PlannedOrders[Part Name],$A7,T_PlannedOrders[WeekIndex],102)&amp;" ("&amp;TEXT(SUMPRODUCT(MAX((T_PlannedOrders[Part Name]=$A7)*(T_PlannedOrders[WeekIndex]=102)*(T_PlannedOrders[EffectiveQty]&gt;0)*T_PlannedOrders[Order_Month])),"m月")&amp;"発注)")</f>
        <v/>
      </c>
      <c r="DB41">
        <f>IF(SUMIFS(T_PlannedOrders[EffectiveQty],T_PlannedOrders[Part Name],$A7,T_PlannedOrders[WeekIndex],103)=0,"",SUMIFS(T_PlannedOrders[EffectiveQty],T_PlannedOrders[Part Name],$A7,T_PlannedOrders[WeekIndex],103)&amp;" ("&amp;TEXT(SUMPRODUCT(MAX((T_PlannedOrders[Part Name]=$A7)*(T_PlannedOrders[WeekIndex]=103)*(T_PlannedOrders[EffectiveQty]&gt;0)*T_PlannedOrders[Order_Month])),"m月")&amp;"発注)")</f>
        <v/>
      </c>
      <c r="DC41">
        <f>IF(SUMIFS(T_PlannedOrders[EffectiveQty],T_PlannedOrders[Part Name],$A7,T_PlannedOrders[WeekIndex],104)=0,"",SUMIFS(T_PlannedOrders[EffectiveQty],T_PlannedOrders[Part Name],$A7,T_PlannedOrders[WeekIndex],104)&amp;" ("&amp;TEXT(SUMPRODUCT(MAX((T_PlannedOrders[Part Name]=$A7)*(T_PlannedOrders[WeekIndex]=104)*(T_PlannedOrders[EffectiveQty]&gt;0)*T_PlannedOrders[Order_Month])),"m月")&amp;"発注)")</f>
        <v/>
      </c>
    </row>
    <row r="42">
      <c r="B42" s="9" t="inlineStr">
        <is>
          <t>合計在庫(週末時点,kg)</t>
        </is>
      </c>
      <c r="D42">
        <f>'Grid_Stock'!B2</f>
        <v/>
      </c>
      <c r="E42">
        <f>'Grid_Stock'!C2</f>
        <v/>
      </c>
      <c r="F42">
        <f>'Grid_Stock'!D2</f>
        <v/>
      </c>
      <c r="G42">
        <f>'Grid_Stock'!E2</f>
        <v/>
      </c>
      <c r="H42">
        <f>'Grid_Stock'!F2</f>
        <v/>
      </c>
      <c r="I42">
        <f>'Grid_Stock'!G2</f>
        <v/>
      </c>
      <c r="J42">
        <f>'Grid_Stock'!H2</f>
        <v/>
      </c>
      <c r="K42">
        <f>'Grid_Stock'!I2</f>
        <v/>
      </c>
      <c r="L42">
        <f>'Grid_Stock'!J2</f>
        <v/>
      </c>
      <c r="M42">
        <f>'Grid_Stock'!K2</f>
        <v/>
      </c>
      <c r="N42">
        <f>'Grid_Stock'!L2</f>
        <v/>
      </c>
      <c r="O42">
        <f>'Grid_Stock'!M2</f>
        <v/>
      </c>
      <c r="P42">
        <f>'Grid_Stock'!N2</f>
        <v/>
      </c>
      <c r="Q42">
        <f>'Grid_Stock'!O2</f>
        <v/>
      </c>
      <c r="R42">
        <f>'Grid_Stock'!P2</f>
        <v/>
      </c>
      <c r="S42">
        <f>'Grid_Stock'!Q2</f>
        <v/>
      </c>
      <c r="T42">
        <f>'Grid_Stock'!R2</f>
        <v/>
      </c>
      <c r="U42">
        <f>'Grid_Stock'!S2</f>
        <v/>
      </c>
      <c r="V42">
        <f>'Grid_Stock'!T2</f>
        <v/>
      </c>
      <c r="W42">
        <f>'Grid_Stock'!U2</f>
        <v/>
      </c>
      <c r="X42">
        <f>'Grid_Stock'!V2</f>
        <v/>
      </c>
      <c r="Y42">
        <f>'Grid_Stock'!W2</f>
        <v/>
      </c>
      <c r="Z42">
        <f>'Grid_Stock'!X2</f>
        <v/>
      </c>
      <c r="AA42">
        <f>'Grid_Stock'!Y2</f>
        <v/>
      </c>
      <c r="AB42">
        <f>'Grid_Stock'!Z2</f>
        <v/>
      </c>
      <c r="AC42">
        <f>'Grid_Stock'!AA2</f>
        <v/>
      </c>
      <c r="AD42">
        <f>'Grid_Stock'!AB2</f>
        <v/>
      </c>
      <c r="AE42">
        <f>'Grid_Stock'!AC2</f>
        <v/>
      </c>
      <c r="AF42">
        <f>'Grid_Stock'!AD2</f>
        <v/>
      </c>
      <c r="AG42">
        <f>'Grid_Stock'!AE2</f>
        <v/>
      </c>
      <c r="AH42">
        <f>'Grid_Stock'!AF2</f>
        <v/>
      </c>
      <c r="AI42">
        <f>'Grid_Stock'!AG2</f>
        <v/>
      </c>
      <c r="AJ42">
        <f>'Grid_Stock'!AH2</f>
        <v/>
      </c>
      <c r="AK42">
        <f>'Grid_Stock'!AI2</f>
        <v/>
      </c>
      <c r="AL42">
        <f>'Grid_Stock'!AJ2</f>
        <v/>
      </c>
      <c r="AM42">
        <f>'Grid_Stock'!AK2</f>
        <v/>
      </c>
      <c r="AN42">
        <f>'Grid_Stock'!AL2</f>
        <v/>
      </c>
      <c r="AO42">
        <f>'Grid_Stock'!AM2</f>
        <v/>
      </c>
      <c r="AP42">
        <f>'Grid_Stock'!AN2</f>
        <v/>
      </c>
      <c r="AQ42">
        <f>'Grid_Stock'!AO2</f>
        <v/>
      </c>
      <c r="AR42">
        <f>'Grid_Stock'!AP2</f>
        <v/>
      </c>
      <c r="AS42">
        <f>'Grid_Stock'!AQ2</f>
        <v/>
      </c>
      <c r="AT42">
        <f>'Grid_Stock'!AR2</f>
        <v/>
      </c>
      <c r="AU42">
        <f>'Grid_Stock'!AS2</f>
        <v/>
      </c>
      <c r="AV42">
        <f>'Grid_Stock'!AT2</f>
        <v/>
      </c>
      <c r="AW42">
        <f>'Grid_Stock'!AU2</f>
        <v/>
      </c>
      <c r="AX42">
        <f>'Grid_Stock'!AV2</f>
        <v/>
      </c>
      <c r="AY42">
        <f>'Grid_Stock'!AW2</f>
        <v/>
      </c>
      <c r="AZ42">
        <f>'Grid_Stock'!AX2</f>
        <v/>
      </c>
      <c r="BA42">
        <f>'Grid_Stock'!AY2</f>
        <v/>
      </c>
      <c r="BB42">
        <f>'Grid_Stock'!AZ2</f>
        <v/>
      </c>
      <c r="BC42">
        <f>'Grid_Stock'!BA2</f>
        <v/>
      </c>
      <c r="BD42">
        <f>'Grid_Stock'!BB2</f>
        <v/>
      </c>
      <c r="BE42">
        <f>'Grid_Stock'!BC2</f>
        <v/>
      </c>
      <c r="BF42">
        <f>'Grid_Stock'!BD2</f>
        <v/>
      </c>
      <c r="BG42">
        <f>'Grid_Stock'!BE2</f>
        <v/>
      </c>
      <c r="BH42">
        <f>'Grid_Stock'!BF2</f>
        <v/>
      </c>
      <c r="BI42">
        <f>'Grid_Stock'!BG2</f>
        <v/>
      </c>
      <c r="BJ42">
        <f>'Grid_Stock'!BH2</f>
        <v/>
      </c>
      <c r="BK42">
        <f>'Grid_Stock'!BI2</f>
        <v/>
      </c>
      <c r="BL42">
        <f>'Grid_Stock'!BJ2</f>
        <v/>
      </c>
      <c r="BM42">
        <f>'Grid_Stock'!BK2</f>
        <v/>
      </c>
      <c r="BN42">
        <f>'Grid_Stock'!BL2</f>
        <v/>
      </c>
      <c r="BO42">
        <f>'Grid_Stock'!BM2</f>
        <v/>
      </c>
      <c r="BP42">
        <f>'Grid_Stock'!BN2</f>
        <v/>
      </c>
      <c r="BQ42">
        <f>'Grid_Stock'!BO2</f>
        <v/>
      </c>
      <c r="BR42">
        <f>'Grid_Stock'!BP2</f>
        <v/>
      </c>
      <c r="BS42">
        <f>'Grid_Stock'!BQ2</f>
        <v/>
      </c>
      <c r="BT42">
        <f>'Grid_Stock'!BR2</f>
        <v/>
      </c>
      <c r="BU42">
        <f>'Grid_Stock'!BS2</f>
        <v/>
      </c>
      <c r="BV42">
        <f>'Grid_Stock'!BT2</f>
        <v/>
      </c>
      <c r="BW42">
        <f>'Grid_Stock'!BU2</f>
        <v/>
      </c>
      <c r="BX42">
        <f>'Grid_Stock'!BV2</f>
        <v/>
      </c>
      <c r="BY42">
        <f>'Grid_Stock'!BW2</f>
        <v/>
      </c>
      <c r="BZ42">
        <f>'Grid_Stock'!BX2</f>
        <v/>
      </c>
      <c r="CA42">
        <f>'Grid_Stock'!BY2</f>
        <v/>
      </c>
      <c r="CB42">
        <f>'Grid_Stock'!BZ2</f>
        <v/>
      </c>
      <c r="CC42">
        <f>'Grid_Stock'!CA2</f>
        <v/>
      </c>
      <c r="CD42">
        <f>'Grid_Stock'!CB2</f>
        <v/>
      </c>
      <c r="CE42">
        <f>'Grid_Stock'!CC2</f>
        <v/>
      </c>
      <c r="CF42">
        <f>'Grid_Stock'!CD2</f>
        <v/>
      </c>
      <c r="CG42">
        <f>'Grid_Stock'!CE2</f>
        <v/>
      </c>
      <c r="CH42">
        <f>'Grid_Stock'!CF2</f>
        <v/>
      </c>
      <c r="CI42">
        <f>'Grid_Stock'!CG2</f>
        <v/>
      </c>
      <c r="CJ42">
        <f>'Grid_Stock'!CH2</f>
        <v/>
      </c>
      <c r="CK42">
        <f>'Grid_Stock'!CI2</f>
        <v/>
      </c>
      <c r="CL42">
        <f>'Grid_Stock'!CJ2</f>
        <v/>
      </c>
      <c r="CM42">
        <f>'Grid_Stock'!CK2</f>
        <v/>
      </c>
      <c r="CN42">
        <f>'Grid_Stock'!CL2</f>
        <v/>
      </c>
      <c r="CO42">
        <f>'Grid_Stock'!CM2</f>
        <v/>
      </c>
      <c r="CP42">
        <f>'Grid_Stock'!CN2</f>
        <v/>
      </c>
      <c r="CQ42">
        <f>'Grid_Stock'!CO2</f>
        <v/>
      </c>
      <c r="CR42">
        <f>'Grid_Stock'!CP2</f>
        <v/>
      </c>
      <c r="CS42">
        <f>'Grid_Stock'!CQ2</f>
        <v/>
      </c>
      <c r="CT42">
        <f>'Grid_Stock'!CR2</f>
        <v/>
      </c>
      <c r="CU42">
        <f>'Grid_Stock'!CS2</f>
        <v/>
      </c>
      <c r="CV42">
        <f>'Grid_Stock'!CT2</f>
        <v/>
      </c>
      <c r="CW42">
        <f>'Grid_Stock'!CU2</f>
        <v/>
      </c>
      <c r="CX42">
        <f>'Grid_Stock'!CV2</f>
        <v/>
      </c>
      <c r="CY42">
        <f>'Grid_Stock'!CW2</f>
        <v/>
      </c>
      <c r="CZ42">
        <f>'Grid_Stock'!CX2</f>
        <v/>
      </c>
      <c r="DA42">
        <f>'Grid_Stock'!CY2</f>
        <v/>
      </c>
      <c r="DB42">
        <f>'Grid_Stock'!CZ2</f>
        <v/>
      </c>
      <c r="DC42">
        <f>'Grid_Stock'!DA2</f>
        <v/>
      </c>
    </row>
    <row r="43">
      <c r="B43" s="21" t="inlineStr">
        <is>
          <t>（発注の目安はDashboardの基準在庫[下限/上限]と色分けを参照）</t>
        </is>
      </c>
    </row>
    <row r="45">
      <c r="A45" s="19" t="inlineStr">
        <is>
          <t>CHEM-1420</t>
        </is>
      </c>
      <c r="B45" s="19" t="inlineStr">
        <is>
          <t>HEC SE900</t>
        </is>
      </c>
      <c r="C45" s="20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19" t="n"/>
      <c r="AS45" s="19" t="n"/>
      <c r="AT45" s="19" t="n"/>
      <c r="AU45" s="19" t="n"/>
      <c r="AV45" s="19" t="n"/>
      <c r="AW45" s="19" t="n"/>
      <c r="AX45" s="19" t="n"/>
      <c r="AY45" s="19" t="n"/>
      <c r="AZ45" s="19" t="n"/>
      <c r="BA45" s="19" t="n"/>
      <c r="BB45" s="19" t="n"/>
      <c r="BC45" s="19" t="n"/>
      <c r="BD45" s="19" t="n"/>
      <c r="BE45" s="19" t="n"/>
      <c r="BF45" s="19" t="n"/>
      <c r="BG45" s="19" t="n"/>
      <c r="BH45" s="19" t="n"/>
      <c r="BI45" s="19" t="n"/>
      <c r="BJ45" s="19" t="n"/>
      <c r="BK45" s="19" t="n"/>
      <c r="BL45" s="19" t="n"/>
      <c r="BM45" s="19" t="n"/>
      <c r="BN45" s="19" t="n"/>
      <c r="BO45" s="19" t="n"/>
      <c r="BP45" s="19" t="n"/>
      <c r="BQ45" s="19" t="n"/>
      <c r="BR45" s="19" t="n"/>
      <c r="BS45" s="19" t="n"/>
      <c r="BT45" s="19" t="n"/>
      <c r="BU45" s="19" t="n"/>
      <c r="BV45" s="19" t="n"/>
      <c r="BW45" s="19" t="n"/>
      <c r="BX45" s="19" t="n"/>
      <c r="BY45" s="19" t="n"/>
      <c r="BZ45" s="19" t="n"/>
      <c r="CA45" s="19" t="n"/>
      <c r="CB45" s="19" t="n"/>
      <c r="CC45" s="19" t="n"/>
      <c r="CD45" s="19" t="n"/>
      <c r="CE45" s="19" t="n"/>
      <c r="CF45" s="19" t="n"/>
      <c r="CG45" s="19" t="n"/>
      <c r="CH45" s="19" t="n"/>
      <c r="CI45" s="19" t="n"/>
      <c r="CJ45" s="19" t="n"/>
      <c r="CK45" s="19" t="n"/>
      <c r="CL45" s="19" t="n"/>
      <c r="CM45" s="19" t="n"/>
      <c r="CN45" s="19" t="n"/>
      <c r="CO45" s="19" t="n"/>
      <c r="CP45" s="19" t="n"/>
      <c r="CQ45" s="19" t="n"/>
      <c r="CR45" s="19" t="n"/>
      <c r="CS45" s="19" t="n"/>
      <c r="CT45" s="19" t="n"/>
      <c r="CU45" s="19" t="n"/>
      <c r="CV45" s="19" t="n"/>
      <c r="CW45" s="19" t="n"/>
      <c r="CX45" s="19" t="n"/>
      <c r="CY45" s="19" t="n"/>
      <c r="CZ45" s="19" t="n"/>
      <c r="DA45" s="19" t="n"/>
      <c r="DB45" s="19" t="n"/>
      <c r="DC45" s="19" t="n"/>
    </row>
    <row r="46">
      <c r="B46" t="inlineStr">
        <is>
          <t>TSP-049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TSP-050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12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t="inlineStr">
        <is>
          <t>TSP-067</t>
        </is>
      </c>
      <c r="C50" t="inlineStr">
        <is>
          <t>No. of batches</t>
        </is>
      </c>
      <c r="D50">
        <f>IFERROR(INDEX(PP_Grid[#Data],$DD50,2),0)</f>
        <v/>
      </c>
      <c r="E50">
        <f>IFERROR(INDEX(PP_Grid[#Data],$DD50,3),0)</f>
        <v/>
      </c>
      <c r="F50">
        <f>IFERROR(INDEX(PP_Grid[#Data],$DD50,4),0)</f>
        <v/>
      </c>
      <c r="G50">
        <f>IFERROR(INDEX(PP_Grid[#Data],$DD50,5),0)</f>
        <v/>
      </c>
      <c r="H50">
        <f>IFERROR(INDEX(PP_Grid[#Data],$DD50,6),0)</f>
        <v/>
      </c>
      <c r="I50">
        <f>IFERROR(INDEX(PP_Grid[#Data],$DD50,7),0)</f>
        <v/>
      </c>
      <c r="J50">
        <f>IFERROR(INDEX(PP_Grid[#Data],$DD50,8),0)</f>
        <v/>
      </c>
      <c r="K50">
        <f>IFERROR(INDEX(PP_Grid[#Data],$DD50,9),0)</f>
        <v/>
      </c>
      <c r="L50">
        <f>IFERROR(INDEX(PP_Grid[#Data],$DD50,10),0)</f>
        <v/>
      </c>
      <c r="M50">
        <f>IFERROR(INDEX(PP_Grid[#Data],$DD50,11),0)</f>
        <v/>
      </c>
      <c r="N50">
        <f>IFERROR(INDEX(PP_Grid[#Data],$DD50,12),0)</f>
        <v/>
      </c>
      <c r="O50">
        <f>IFERROR(INDEX(PP_Grid[#Data],$DD50,13),0)</f>
        <v/>
      </c>
      <c r="P50">
        <f>IFERROR(INDEX(PP_Grid[#Data],$DD50,14),0)</f>
        <v/>
      </c>
      <c r="Q50">
        <f>IFERROR(INDEX(PP_Grid[#Data],$DD50,15),0)</f>
        <v/>
      </c>
      <c r="R50">
        <f>IFERROR(INDEX(PP_Grid[#Data],$DD50,16),0)</f>
        <v/>
      </c>
      <c r="S50">
        <f>IFERROR(INDEX(PP_Grid[#Data],$DD50,17),0)</f>
        <v/>
      </c>
      <c r="T50">
        <f>IFERROR(INDEX(PP_Grid[#Data],$DD50,18),0)</f>
        <v/>
      </c>
      <c r="U50">
        <f>IFERROR(INDEX(PP_Grid[#Data],$DD50,19),0)</f>
        <v/>
      </c>
      <c r="V50">
        <f>IFERROR(INDEX(PP_Grid[#Data],$DD50,20),0)</f>
        <v/>
      </c>
      <c r="W50">
        <f>IFERROR(INDEX(PP_Grid[#Data],$DD50,21),0)</f>
        <v/>
      </c>
      <c r="X50">
        <f>IFERROR(INDEX(PP_Grid[#Data],$DD50,22),0)</f>
        <v/>
      </c>
      <c r="Y50">
        <f>IFERROR(INDEX(PP_Grid[#Data],$DD50,23),0)</f>
        <v/>
      </c>
      <c r="Z50">
        <f>IFERROR(INDEX(PP_Grid[#Data],$DD50,24),0)</f>
        <v/>
      </c>
      <c r="AA50">
        <f>IFERROR(INDEX(PP_Grid[#Data],$DD50,25),0)</f>
        <v/>
      </c>
      <c r="AB50">
        <f>IFERROR(INDEX(PP_Grid[#Data],$DD50,26),0)</f>
        <v/>
      </c>
      <c r="AC50">
        <f>IFERROR(INDEX(PP_Grid[#Data],$DD50,27),0)</f>
        <v/>
      </c>
      <c r="AD50">
        <f>IFERROR(INDEX(PP_Grid[#Data],$DD50,28),0)</f>
        <v/>
      </c>
      <c r="AE50">
        <f>IFERROR(INDEX(PP_Grid[#Data],$DD50,29),0)</f>
        <v/>
      </c>
      <c r="AF50">
        <f>IFERROR(INDEX(PP_Grid[#Data],$DD50,30),0)</f>
        <v/>
      </c>
      <c r="AG50">
        <f>IFERROR(INDEX(PP_Grid[#Data],$DD50,31),0)</f>
        <v/>
      </c>
      <c r="AH50">
        <f>IFERROR(INDEX(PP_Grid[#Data],$DD50,32),0)</f>
        <v/>
      </c>
      <c r="AI50">
        <f>IFERROR(INDEX(PP_Grid[#Data],$DD50,33),0)</f>
        <v/>
      </c>
      <c r="AJ50">
        <f>IFERROR(INDEX(PP_Grid[#Data],$DD50,34),0)</f>
        <v/>
      </c>
      <c r="AK50">
        <f>IFERROR(INDEX(PP_Grid[#Data],$DD50,35),0)</f>
        <v/>
      </c>
      <c r="AL50">
        <f>IFERROR(INDEX(PP_Grid[#Data],$DD50,36),0)</f>
        <v/>
      </c>
      <c r="AM50">
        <f>IFERROR(INDEX(PP_Grid[#Data],$DD50,37),0)</f>
        <v/>
      </c>
      <c r="AN50">
        <f>IFERROR(INDEX(PP_Grid[#Data],$DD50,38),0)</f>
        <v/>
      </c>
      <c r="AO50">
        <f>IFERROR(INDEX(PP_Grid[#Data],$DD50,39),0)</f>
        <v/>
      </c>
      <c r="AP50">
        <f>IFERROR(INDEX(PP_Grid[#Data],$DD50,40),0)</f>
        <v/>
      </c>
      <c r="AQ50">
        <f>IFERROR(INDEX(PP_Grid[#Data],$DD50,41),0)</f>
        <v/>
      </c>
      <c r="AR50">
        <f>IFERROR(INDEX(PP_Grid[#Data],$DD50,42),0)</f>
        <v/>
      </c>
      <c r="AS50">
        <f>IFERROR(INDEX(PP_Grid[#Data],$DD50,43),0)</f>
        <v/>
      </c>
      <c r="AT50">
        <f>IFERROR(INDEX(PP_Grid[#Data],$DD50,44),0)</f>
        <v/>
      </c>
      <c r="AU50">
        <f>IFERROR(INDEX(PP_Grid[#Data],$DD50,45),0)</f>
        <v/>
      </c>
      <c r="AV50">
        <f>IFERROR(INDEX(PP_Grid[#Data],$DD50,46),0)</f>
        <v/>
      </c>
      <c r="AW50">
        <f>IFERROR(INDEX(PP_Grid[#Data],$DD50,47),0)</f>
        <v/>
      </c>
      <c r="AX50">
        <f>IFERROR(INDEX(PP_Grid[#Data],$DD50,48),0)</f>
        <v/>
      </c>
      <c r="AY50">
        <f>IFERROR(INDEX(PP_Grid[#Data],$DD50,49),0)</f>
        <v/>
      </c>
      <c r="AZ50">
        <f>IFERROR(INDEX(PP_Grid[#Data],$DD50,50),0)</f>
        <v/>
      </c>
      <c r="BA50">
        <f>IFERROR(INDEX(PP_Grid[#Data],$DD50,51),0)</f>
        <v/>
      </c>
      <c r="BB50">
        <f>IFERROR(INDEX(PP_Grid[#Data],$DD50,52),0)</f>
        <v/>
      </c>
      <c r="BC50">
        <f>IFERROR(INDEX(PP_Grid[#Data],$DD50,53),0)</f>
        <v/>
      </c>
      <c r="BD50">
        <f>IFERROR(INDEX(PP_Grid[#Data],$DD50,54),0)</f>
        <v/>
      </c>
      <c r="BE50">
        <f>IFERROR(INDEX(PP_Grid[#Data],$DD50,55),0)</f>
        <v/>
      </c>
      <c r="BF50">
        <f>IFERROR(INDEX(PP_Grid[#Data],$DD50,56),0)</f>
        <v/>
      </c>
      <c r="BG50">
        <f>IFERROR(INDEX(PP_Grid[#Data],$DD50,57),0)</f>
        <v/>
      </c>
      <c r="BH50">
        <f>IFERROR(INDEX(PP_Grid[#Data],$DD50,58),0)</f>
        <v/>
      </c>
      <c r="BI50">
        <f>IFERROR(INDEX(PP_Grid[#Data],$DD50,59),0)</f>
        <v/>
      </c>
      <c r="BJ50">
        <f>IFERROR(INDEX(PP_Grid[#Data],$DD50,60),0)</f>
        <v/>
      </c>
      <c r="BK50">
        <f>IFERROR(INDEX(PP_Grid[#Data],$DD50,61),0)</f>
        <v/>
      </c>
      <c r="BL50">
        <f>IFERROR(INDEX(PP_Grid[#Data],$DD50,62),0)</f>
        <v/>
      </c>
      <c r="BM50">
        <f>IFERROR(INDEX(PP_Grid[#Data],$DD50,63),0)</f>
        <v/>
      </c>
      <c r="BN50">
        <f>IFERROR(INDEX(PP_Grid[#Data],$DD50,64),0)</f>
        <v/>
      </c>
      <c r="BO50">
        <f>IFERROR(INDEX(PP_Grid[#Data],$DD50,65),0)</f>
        <v/>
      </c>
      <c r="BP50">
        <f>IFERROR(INDEX(PP_Grid[#Data],$DD50,66),0)</f>
        <v/>
      </c>
      <c r="BQ50">
        <f>IFERROR(INDEX(PP_Grid[#Data],$DD50,67),0)</f>
        <v/>
      </c>
      <c r="BR50">
        <f>IFERROR(INDEX(PP_Grid[#Data],$DD50,68),0)</f>
        <v/>
      </c>
      <c r="BS50">
        <f>IFERROR(INDEX(PP_Grid[#Data],$DD50,69),0)</f>
        <v/>
      </c>
      <c r="BT50">
        <f>IFERROR(INDEX(PP_Grid[#Data],$DD50,70),0)</f>
        <v/>
      </c>
      <c r="BU50">
        <f>IFERROR(INDEX(PP_Grid[#Data],$DD50,71),0)</f>
        <v/>
      </c>
      <c r="BV50">
        <f>IFERROR(INDEX(PP_Grid[#Data],$DD50,72),0)</f>
        <v/>
      </c>
      <c r="BW50">
        <f>IFERROR(INDEX(PP_Grid[#Data],$DD50,73),0)</f>
        <v/>
      </c>
      <c r="BX50">
        <f>IFERROR(INDEX(PP_Grid[#Data],$DD50,74),0)</f>
        <v/>
      </c>
      <c r="BY50">
        <f>IFERROR(INDEX(PP_Grid[#Data],$DD50,75),0)</f>
        <v/>
      </c>
      <c r="BZ50">
        <f>IFERROR(INDEX(PP_Grid[#Data],$DD50,76),0)</f>
        <v/>
      </c>
      <c r="CA50">
        <f>IFERROR(INDEX(PP_Grid[#Data],$DD50,77),0)</f>
        <v/>
      </c>
      <c r="CB50">
        <f>IFERROR(INDEX(PP_Grid[#Data],$DD50,78),0)</f>
        <v/>
      </c>
      <c r="CC50">
        <f>IFERROR(INDEX(PP_Grid[#Data],$DD50,79),0)</f>
        <v/>
      </c>
      <c r="CD50">
        <f>IFERROR(INDEX(PP_Grid[#Data],$DD50,80),0)</f>
        <v/>
      </c>
      <c r="CE50">
        <f>IFERROR(INDEX(PP_Grid[#Data],$DD50,81),0)</f>
        <v/>
      </c>
      <c r="CF50">
        <f>IFERROR(INDEX(PP_Grid[#Data],$DD50,82),0)</f>
        <v/>
      </c>
      <c r="CG50">
        <f>IFERROR(INDEX(PP_Grid[#Data],$DD50,83),0)</f>
        <v/>
      </c>
      <c r="CH50">
        <f>IFERROR(INDEX(PP_Grid[#Data],$DD50,84),0)</f>
        <v/>
      </c>
      <c r="CI50">
        <f>IFERROR(INDEX(PP_Grid[#Data],$DD50,85),0)</f>
        <v/>
      </c>
      <c r="CJ50">
        <f>IFERROR(INDEX(PP_Grid[#Data],$DD50,86),0)</f>
        <v/>
      </c>
      <c r="CK50">
        <f>IFERROR(INDEX(PP_Grid[#Data],$DD50,87),0)</f>
        <v/>
      </c>
      <c r="CL50">
        <f>IFERROR(INDEX(PP_Grid[#Data],$DD50,88),0)</f>
        <v/>
      </c>
      <c r="CM50">
        <f>IFERROR(INDEX(PP_Grid[#Data],$DD50,89),0)</f>
        <v/>
      </c>
      <c r="CN50">
        <f>IFERROR(INDEX(PP_Grid[#Data],$DD50,90),0)</f>
        <v/>
      </c>
      <c r="CO50">
        <f>IFERROR(INDEX(PP_Grid[#Data],$DD50,91),0)</f>
        <v/>
      </c>
      <c r="CP50">
        <f>IFERROR(INDEX(PP_Grid[#Data],$DD50,92),0)</f>
        <v/>
      </c>
      <c r="CQ50">
        <f>IFERROR(INDEX(PP_Grid[#Data],$DD50,93),0)</f>
        <v/>
      </c>
      <c r="CR50">
        <f>IFERROR(INDEX(PP_Grid[#Data],$DD50,94),0)</f>
        <v/>
      </c>
      <c r="CS50">
        <f>IFERROR(INDEX(PP_Grid[#Data],$DD50,95),0)</f>
        <v/>
      </c>
      <c r="CT50">
        <f>IFERROR(INDEX(PP_Grid[#Data],$DD50,96),0)</f>
        <v/>
      </c>
      <c r="CU50">
        <f>IFERROR(INDEX(PP_Grid[#Data],$DD50,97),0)</f>
        <v/>
      </c>
      <c r="CV50">
        <f>IFERROR(INDEX(PP_Grid[#Data],$DD50,98),0)</f>
        <v/>
      </c>
      <c r="CW50">
        <f>IFERROR(INDEX(PP_Grid[#Data],$DD50,99),0)</f>
        <v/>
      </c>
      <c r="CX50">
        <f>IFERROR(INDEX(PP_Grid[#Data],$DD50,100),0)</f>
        <v/>
      </c>
      <c r="CY50">
        <f>IFERROR(INDEX(PP_Grid[#Data],$DD50,101),0)</f>
        <v/>
      </c>
      <c r="CZ50">
        <f>IFERROR(INDEX(PP_Grid[#Data],$DD50,102),0)</f>
        <v/>
      </c>
      <c r="DA50">
        <f>IFERROR(INDEX(PP_Grid[#Data],$DD50,103),0)</f>
        <v/>
      </c>
      <c r="DB50">
        <f>IFERROR(INDEX(PP_Grid[#Data],$DD50,104),0)</f>
        <v/>
      </c>
      <c r="DC50">
        <f>IFERROR(INDEX(PP_Grid[#Data],$DD50,105),0)</f>
        <v/>
      </c>
      <c r="DD50" s="12">
        <f>IFERROR(MATCH($B50,PP_Grid[Intermediate],0),99999)</f>
        <v/>
      </c>
    </row>
    <row r="51">
      <c r="B51" t="inlineStr">
        <is>
          <t>使用量(kg)</t>
        </is>
      </c>
      <c r="C51">
        <f>SUMIFS(M_BOM[RM_Qty_Per_Batch],M_BOM[Intermediate],$B50,M_BOM[Part Name],$A45)</f>
        <v/>
      </c>
      <c r="D51">
        <f>$C51*D50</f>
        <v/>
      </c>
      <c r="E51">
        <f>$C51*E50</f>
        <v/>
      </c>
      <c r="F51">
        <f>$C51*F50</f>
        <v/>
      </c>
      <c r="G51">
        <f>$C51*G50</f>
        <v/>
      </c>
      <c r="H51">
        <f>$C51*H50</f>
        <v/>
      </c>
      <c r="I51">
        <f>$C51*I50</f>
        <v/>
      </c>
      <c r="J51">
        <f>$C51*J50</f>
        <v/>
      </c>
      <c r="K51">
        <f>$C51*K50</f>
        <v/>
      </c>
      <c r="L51">
        <f>$C51*L50</f>
        <v/>
      </c>
      <c r="M51">
        <f>$C51*M50</f>
        <v/>
      </c>
      <c r="N51">
        <f>$C51*N50</f>
        <v/>
      </c>
      <c r="O51">
        <f>$C51*O50</f>
        <v/>
      </c>
      <c r="P51">
        <f>$C51*P50</f>
        <v/>
      </c>
      <c r="Q51">
        <f>$C51*Q50</f>
        <v/>
      </c>
      <c r="R51">
        <f>$C51*R50</f>
        <v/>
      </c>
      <c r="S51">
        <f>$C51*S50</f>
        <v/>
      </c>
      <c r="T51">
        <f>$C51*T50</f>
        <v/>
      </c>
      <c r="U51">
        <f>$C51*U50</f>
        <v/>
      </c>
      <c r="V51">
        <f>$C51*V50</f>
        <v/>
      </c>
      <c r="W51">
        <f>$C51*W50</f>
        <v/>
      </c>
      <c r="X51">
        <f>$C51*X50</f>
        <v/>
      </c>
      <c r="Y51">
        <f>$C51*Y50</f>
        <v/>
      </c>
      <c r="Z51">
        <f>$C51*Z50</f>
        <v/>
      </c>
      <c r="AA51">
        <f>$C51*AA50</f>
        <v/>
      </c>
      <c r="AB51">
        <f>$C51*AB50</f>
        <v/>
      </c>
      <c r="AC51">
        <f>$C51*AC50</f>
        <v/>
      </c>
      <c r="AD51">
        <f>$C51*AD50</f>
        <v/>
      </c>
      <c r="AE51">
        <f>$C51*AE50</f>
        <v/>
      </c>
      <c r="AF51">
        <f>$C51*AF50</f>
        <v/>
      </c>
      <c r="AG51">
        <f>$C51*AG50</f>
        <v/>
      </c>
      <c r="AH51">
        <f>$C51*AH50</f>
        <v/>
      </c>
      <c r="AI51">
        <f>$C51*AI50</f>
        <v/>
      </c>
      <c r="AJ51">
        <f>$C51*AJ50</f>
        <v/>
      </c>
      <c r="AK51">
        <f>$C51*AK50</f>
        <v/>
      </c>
      <c r="AL51">
        <f>$C51*AL50</f>
        <v/>
      </c>
      <c r="AM51">
        <f>$C51*AM50</f>
        <v/>
      </c>
      <c r="AN51">
        <f>$C51*AN50</f>
        <v/>
      </c>
      <c r="AO51">
        <f>$C51*AO50</f>
        <v/>
      </c>
      <c r="AP51">
        <f>$C51*AP50</f>
        <v/>
      </c>
      <c r="AQ51">
        <f>$C51*AQ50</f>
        <v/>
      </c>
      <c r="AR51">
        <f>$C51*AR50</f>
        <v/>
      </c>
      <c r="AS51">
        <f>$C51*AS50</f>
        <v/>
      </c>
      <c r="AT51">
        <f>$C51*AT50</f>
        <v/>
      </c>
      <c r="AU51">
        <f>$C51*AU50</f>
        <v/>
      </c>
      <c r="AV51">
        <f>$C51*AV50</f>
        <v/>
      </c>
      <c r="AW51">
        <f>$C51*AW50</f>
        <v/>
      </c>
      <c r="AX51">
        <f>$C51*AX50</f>
        <v/>
      </c>
      <c r="AY51">
        <f>$C51*AY50</f>
        <v/>
      </c>
      <c r="AZ51">
        <f>$C51*AZ50</f>
        <v/>
      </c>
      <c r="BA51">
        <f>$C51*BA50</f>
        <v/>
      </c>
      <c r="BB51">
        <f>$C51*BB50</f>
        <v/>
      </c>
      <c r="BC51">
        <f>$C51*BC50</f>
        <v/>
      </c>
      <c r="BD51">
        <f>$C51*BD50</f>
        <v/>
      </c>
      <c r="BE51">
        <f>$C51*BE50</f>
        <v/>
      </c>
      <c r="BF51">
        <f>$C51*BF50</f>
        <v/>
      </c>
      <c r="BG51">
        <f>$C51*BG50</f>
        <v/>
      </c>
      <c r="BH51">
        <f>$C51*BH50</f>
        <v/>
      </c>
      <c r="BI51">
        <f>$C51*BI50</f>
        <v/>
      </c>
      <c r="BJ51">
        <f>$C51*BJ50</f>
        <v/>
      </c>
      <c r="BK51">
        <f>$C51*BK50</f>
        <v/>
      </c>
      <c r="BL51">
        <f>$C51*BL50</f>
        <v/>
      </c>
      <c r="BM51">
        <f>$C51*BM50</f>
        <v/>
      </c>
      <c r="BN51">
        <f>$C51*BN50</f>
        <v/>
      </c>
      <c r="BO51">
        <f>$C51*BO50</f>
        <v/>
      </c>
      <c r="BP51">
        <f>$C51*BP50</f>
        <v/>
      </c>
      <c r="BQ51">
        <f>$C51*BQ50</f>
        <v/>
      </c>
      <c r="BR51">
        <f>$C51*BR50</f>
        <v/>
      </c>
      <c r="BS51">
        <f>$C51*BS50</f>
        <v/>
      </c>
      <c r="BT51">
        <f>$C51*BT50</f>
        <v/>
      </c>
      <c r="BU51">
        <f>$C51*BU50</f>
        <v/>
      </c>
      <c r="BV51">
        <f>$C51*BV50</f>
        <v/>
      </c>
      <c r="BW51">
        <f>$C51*BW50</f>
        <v/>
      </c>
      <c r="BX51">
        <f>$C51*BX50</f>
        <v/>
      </c>
      <c r="BY51">
        <f>$C51*BY50</f>
        <v/>
      </c>
      <c r="BZ51">
        <f>$C51*BZ50</f>
        <v/>
      </c>
      <c r="CA51">
        <f>$C51*CA50</f>
        <v/>
      </c>
      <c r="CB51">
        <f>$C51*CB50</f>
        <v/>
      </c>
      <c r="CC51">
        <f>$C51*CC50</f>
        <v/>
      </c>
      <c r="CD51">
        <f>$C51*CD50</f>
        <v/>
      </c>
      <c r="CE51">
        <f>$C51*CE50</f>
        <v/>
      </c>
      <c r="CF51">
        <f>$C51*CF50</f>
        <v/>
      </c>
      <c r="CG51">
        <f>$C51*CG50</f>
        <v/>
      </c>
      <c r="CH51">
        <f>$C51*CH50</f>
        <v/>
      </c>
      <c r="CI51">
        <f>$C51*CI50</f>
        <v/>
      </c>
      <c r="CJ51">
        <f>$C51*CJ50</f>
        <v/>
      </c>
      <c r="CK51">
        <f>$C51*CK50</f>
        <v/>
      </c>
      <c r="CL51">
        <f>$C51*CL50</f>
        <v/>
      </c>
      <c r="CM51">
        <f>$C51*CM50</f>
        <v/>
      </c>
      <c r="CN51">
        <f>$C51*CN50</f>
        <v/>
      </c>
      <c r="CO51">
        <f>$C51*CO50</f>
        <v/>
      </c>
      <c r="CP51">
        <f>$C51*CP50</f>
        <v/>
      </c>
      <c r="CQ51">
        <f>$C51*CQ50</f>
        <v/>
      </c>
      <c r="CR51">
        <f>$C51*CR50</f>
        <v/>
      </c>
      <c r="CS51">
        <f>$C51*CS50</f>
        <v/>
      </c>
      <c r="CT51">
        <f>$C51*CT50</f>
        <v/>
      </c>
      <c r="CU51">
        <f>$C51*CU50</f>
        <v/>
      </c>
      <c r="CV51">
        <f>$C51*CV50</f>
        <v/>
      </c>
      <c r="CW51">
        <f>$C51*CW50</f>
        <v/>
      </c>
      <c r="CX51">
        <f>$C51*CX50</f>
        <v/>
      </c>
      <c r="CY51">
        <f>$C51*CY50</f>
        <v/>
      </c>
      <c r="CZ51">
        <f>$C51*CZ50</f>
        <v/>
      </c>
      <c r="DA51">
        <f>$C51*DA50</f>
        <v/>
      </c>
      <c r="DB51">
        <f>$C51*DB50</f>
        <v/>
      </c>
      <c r="DC51">
        <f>$C51*DC50</f>
        <v/>
      </c>
    </row>
    <row r="52">
      <c r="B52" t="inlineStr">
        <is>
          <t>TSP-069</t>
        </is>
      </c>
      <c r="C52" t="inlineStr">
        <is>
          <t>No. of batches</t>
        </is>
      </c>
      <c r="D52">
        <f>IFERROR(INDEX(PP_Grid[#Data],$DD52,2),0)</f>
        <v/>
      </c>
      <c r="E52">
        <f>IFERROR(INDEX(PP_Grid[#Data],$DD52,3),0)</f>
        <v/>
      </c>
      <c r="F52">
        <f>IFERROR(INDEX(PP_Grid[#Data],$DD52,4),0)</f>
        <v/>
      </c>
      <c r="G52">
        <f>IFERROR(INDEX(PP_Grid[#Data],$DD52,5),0)</f>
        <v/>
      </c>
      <c r="H52">
        <f>IFERROR(INDEX(PP_Grid[#Data],$DD52,6),0)</f>
        <v/>
      </c>
      <c r="I52">
        <f>IFERROR(INDEX(PP_Grid[#Data],$DD52,7),0)</f>
        <v/>
      </c>
      <c r="J52">
        <f>IFERROR(INDEX(PP_Grid[#Data],$DD52,8),0)</f>
        <v/>
      </c>
      <c r="K52">
        <f>IFERROR(INDEX(PP_Grid[#Data],$DD52,9),0)</f>
        <v/>
      </c>
      <c r="L52">
        <f>IFERROR(INDEX(PP_Grid[#Data],$DD52,10),0)</f>
        <v/>
      </c>
      <c r="M52">
        <f>IFERROR(INDEX(PP_Grid[#Data],$DD52,11),0)</f>
        <v/>
      </c>
      <c r="N52">
        <f>IFERROR(INDEX(PP_Grid[#Data],$DD52,12),0)</f>
        <v/>
      </c>
      <c r="O52">
        <f>IFERROR(INDEX(PP_Grid[#Data],$DD52,13),0)</f>
        <v/>
      </c>
      <c r="P52">
        <f>IFERROR(INDEX(PP_Grid[#Data],$DD52,14),0)</f>
        <v/>
      </c>
      <c r="Q52">
        <f>IFERROR(INDEX(PP_Grid[#Data],$DD52,15),0)</f>
        <v/>
      </c>
      <c r="R52">
        <f>IFERROR(INDEX(PP_Grid[#Data],$DD52,16),0)</f>
        <v/>
      </c>
      <c r="S52">
        <f>IFERROR(INDEX(PP_Grid[#Data],$DD52,17),0)</f>
        <v/>
      </c>
      <c r="T52">
        <f>IFERROR(INDEX(PP_Grid[#Data],$DD52,18),0)</f>
        <v/>
      </c>
      <c r="U52">
        <f>IFERROR(INDEX(PP_Grid[#Data],$DD52,19),0)</f>
        <v/>
      </c>
      <c r="V52">
        <f>IFERROR(INDEX(PP_Grid[#Data],$DD52,20),0)</f>
        <v/>
      </c>
      <c r="W52">
        <f>IFERROR(INDEX(PP_Grid[#Data],$DD52,21),0)</f>
        <v/>
      </c>
      <c r="X52">
        <f>IFERROR(INDEX(PP_Grid[#Data],$DD52,22),0)</f>
        <v/>
      </c>
      <c r="Y52">
        <f>IFERROR(INDEX(PP_Grid[#Data],$DD52,23),0)</f>
        <v/>
      </c>
      <c r="Z52">
        <f>IFERROR(INDEX(PP_Grid[#Data],$DD52,24),0)</f>
        <v/>
      </c>
      <c r="AA52">
        <f>IFERROR(INDEX(PP_Grid[#Data],$DD52,25),0)</f>
        <v/>
      </c>
      <c r="AB52">
        <f>IFERROR(INDEX(PP_Grid[#Data],$DD52,26),0)</f>
        <v/>
      </c>
      <c r="AC52">
        <f>IFERROR(INDEX(PP_Grid[#Data],$DD52,27),0)</f>
        <v/>
      </c>
      <c r="AD52">
        <f>IFERROR(INDEX(PP_Grid[#Data],$DD52,28),0)</f>
        <v/>
      </c>
      <c r="AE52">
        <f>IFERROR(INDEX(PP_Grid[#Data],$DD52,29),0)</f>
        <v/>
      </c>
      <c r="AF52">
        <f>IFERROR(INDEX(PP_Grid[#Data],$DD52,30),0)</f>
        <v/>
      </c>
      <c r="AG52">
        <f>IFERROR(INDEX(PP_Grid[#Data],$DD52,31),0)</f>
        <v/>
      </c>
      <c r="AH52">
        <f>IFERROR(INDEX(PP_Grid[#Data],$DD52,32),0)</f>
        <v/>
      </c>
      <c r="AI52">
        <f>IFERROR(INDEX(PP_Grid[#Data],$DD52,33),0)</f>
        <v/>
      </c>
      <c r="AJ52">
        <f>IFERROR(INDEX(PP_Grid[#Data],$DD52,34),0)</f>
        <v/>
      </c>
      <c r="AK52">
        <f>IFERROR(INDEX(PP_Grid[#Data],$DD52,35),0)</f>
        <v/>
      </c>
      <c r="AL52">
        <f>IFERROR(INDEX(PP_Grid[#Data],$DD52,36),0)</f>
        <v/>
      </c>
      <c r="AM52">
        <f>IFERROR(INDEX(PP_Grid[#Data],$DD52,37),0)</f>
        <v/>
      </c>
      <c r="AN52">
        <f>IFERROR(INDEX(PP_Grid[#Data],$DD52,38),0)</f>
        <v/>
      </c>
      <c r="AO52">
        <f>IFERROR(INDEX(PP_Grid[#Data],$DD52,39),0)</f>
        <v/>
      </c>
      <c r="AP52">
        <f>IFERROR(INDEX(PP_Grid[#Data],$DD52,40),0)</f>
        <v/>
      </c>
      <c r="AQ52">
        <f>IFERROR(INDEX(PP_Grid[#Data],$DD52,41),0)</f>
        <v/>
      </c>
      <c r="AR52">
        <f>IFERROR(INDEX(PP_Grid[#Data],$DD52,42),0)</f>
        <v/>
      </c>
      <c r="AS52">
        <f>IFERROR(INDEX(PP_Grid[#Data],$DD52,43),0)</f>
        <v/>
      </c>
      <c r="AT52">
        <f>IFERROR(INDEX(PP_Grid[#Data],$DD52,44),0)</f>
        <v/>
      </c>
      <c r="AU52">
        <f>IFERROR(INDEX(PP_Grid[#Data],$DD52,45),0)</f>
        <v/>
      </c>
      <c r="AV52">
        <f>IFERROR(INDEX(PP_Grid[#Data],$DD52,46),0)</f>
        <v/>
      </c>
      <c r="AW52">
        <f>IFERROR(INDEX(PP_Grid[#Data],$DD52,47),0)</f>
        <v/>
      </c>
      <c r="AX52">
        <f>IFERROR(INDEX(PP_Grid[#Data],$DD52,48),0)</f>
        <v/>
      </c>
      <c r="AY52">
        <f>IFERROR(INDEX(PP_Grid[#Data],$DD52,49),0)</f>
        <v/>
      </c>
      <c r="AZ52">
        <f>IFERROR(INDEX(PP_Grid[#Data],$DD52,50),0)</f>
        <v/>
      </c>
      <c r="BA52">
        <f>IFERROR(INDEX(PP_Grid[#Data],$DD52,51),0)</f>
        <v/>
      </c>
      <c r="BB52">
        <f>IFERROR(INDEX(PP_Grid[#Data],$DD52,52),0)</f>
        <v/>
      </c>
      <c r="BC52">
        <f>IFERROR(INDEX(PP_Grid[#Data],$DD52,53),0)</f>
        <v/>
      </c>
      <c r="BD52">
        <f>IFERROR(INDEX(PP_Grid[#Data],$DD52,54),0)</f>
        <v/>
      </c>
      <c r="BE52">
        <f>IFERROR(INDEX(PP_Grid[#Data],$DD52,55),0)</f>
        <v/>
      </c>
      <c r="BF52">
        <f>IFERROR(INDEX(PP_Grid[#Data],$DD52,56),0)</f>
        <v/>
      </c>
      <c r="BG52">
        <f>IFERROR(INDEX(PP_Grid[#Data],$DD52,57),0)</f>
        <v/>
      </c>
      <c r="BH52">
        <f>IFERROR(INDEX(PP_Grid[#Data],$DD52,58),0)</f>
        <v/>
      </c>
      <c r="BI52">
        <f>IFERROR(INDEX(PP_Grid[#Data],$DD52,59),0)</f>
        <v/>
      </c>
      <c r="BJ52">
        <f>IFERROR(INDEX(PP_Grid[#Data],$DD52,60),0)</f>
        <v/>
      </c>
      <c r="BK52">
        <f>IFERROR(INDEX(PP_Grid[#Data],$DD52,61),0)</f>
        <v/>
      </c>
      <c r="BL52">
        <f>IFERROR(INDEX(PP_Grid[#Data],$DD52,62),0)</f>
        <v/>
      </c>
      <c r="BM52">
        <f>IFERROR(INDEX(PP_Grid[#Data],$DD52,63),0)</f>
        <v/>
      </c>
      <c r="BN52">
        <f>IFERROR(INDEX(PP_Grid[#Data],$DD52,64),0)</f>
        <v/>
      </c>
      <c r="BO52">
        <f>IFERROR(INDEX(PP_Grid[#Data],$DD52,65),0)</f>
        <v/>
      </c>
      <c r="BP52">
        <f>IFERROR(INDEX(PP_Grid[#Data],$DD52,66),0)</f>
        <v/>
      </c>
      <c r="BQ52">
        <f>IFERROR(INDEX(PP_Grid[#Data],$DD52,67),0)</f>
        <v/>
      </c>
      <c r="BR52">
        <f>IFERROR(INDEX(PP_Grid[#Data],$DD52,68),0)</f>
        <v/>
      </c>
      <c r="BS52">
        <f>IFERROR(INDEX(PP_Grid[#Data],$DD52,69),0)</f>
        <v/>
      </c>
      <c r="BT52">
        <f>IFERROR(INDEX(PP_Grid[#Data],$DD52,70),0)</f>
        <v/>
      </c>
      <c r="BU52">
        <f>IFERROR(INDEX(PP_Grid[#Data],$DD52,71),0)</f>
        <v/>
      </c>
      <c r="BV52">
        <f>IFERROR(INDEX(PP_Grid[#Data],$DD52,72),0)</f>
        <v/>
      </c>
      <c r="BW52">
        <f>IFERROR(INDEX(PP_Grid[#Data],$DD52,73),0)</f>
        <v/>
      </c>
      <c r="BX52">
        <f>IFERROR(INDEX(PP_Grid[#Data],$DD52,74),0)</f>
        <v/>
      </c>
      <c r="BY52">
        <f>IFERROR(INDEX(PP_Grid[#Data],$DD52,75),0)</f>
        <v/>
      </c>
      <c r="BZ52">
        <f>IFERROR(INDEX(PP_Grid[#Data],$DD52,76),0)</f>
        <v/>
      </c>
      <c r="CA52">
        <f>IFERROR(INDEX(PP_Grid[#Data],$DD52,77),0)</f>
        <v/>
      </c>
      <c r="CB52">
        <f>IFERROR(INDEX(PP_Grid[#Data],$DD52,78),0)</f>
        <v/>
      </c>
      <c r="CC52">
        <f>IFERROR(INDEX(PP_Grid[#Data],$DD52,79),0)</f>
        <v/>
      </c>
      <c r="CD52">
        <f>IFERROR(INDEX(PP_Grid[#Data],$DD52,80),0)</f>
        <v/>
      </c>
      <c r="CE52">
        <f>IFERROR(INDEX(PP_Grid[#Data],$DD52,81),0)</f>
        <v/>
      </c>
      <c r="CF52">
        <f>IFERROR(INDEX(PP_Grid[#Data],$DD52,82),0)</f>
        <v/>
      </c>
      <c r="CG52">
        <f>IFERROR(INDEX(PP_Grid[#Data],$DD52,83),0)</f>
        <v/>
      </c>
      <c r="CH52">
        <f>IFERROR(INDEX(PP_Grid[#Data],$DD52,84),0)</f>
        <v/>
      </c>
      <c r="CI52">
        <f>IFERROR(INDEX(PP_Grid[#Data],$DD52,85),0)</f>
        <v/>
      </c>
      <c r="CJ52">
        <f>IFERROR(INDEX(PP_Grid[#Data],$DD52,86),0)</f>
        <v/>
      </c>
      <c r="CK52">
        <f>IFERROR(INDEX(PP_Grid[#Data],$DD52,87),0)</f>
        <v/>
      </c>
      <c r="CL52">
        <f>IFERROR(INDEX(PP_Grid[#Data],$DD52,88),0)</f>
        <v/>
      </c>
      <c r="CM52">
        <f>IFERROR(INDEX(PP_Grid[#Data],$DD52,89),0)</f>
        <v/>
      </c>
      <c r="CN52">
        <f>IFERROR(INDEX(PP_Grid[#Data],$DD52,90),0)</f>
        <v/>
      </c>
      <c r="CO52">
        <f>IFERROR(INDEX(PP_Grid[#Data],$DD52,91),0)</f>
        <v/>
      </c>
      <c r="CP52">
        <f>IFERROR(INDEX(PP_Grid[#Data],$DD52,92),0)</f>
        <v/>
      </c>
      <c r="CQ52">
        <f>IFERROR(INDEX(PP_Grid[#Data],$DD52,93),0)</f>
        <v/>
      </c>
      <c r="CR52">
        <f>IFERROR(INDEX(PP_Grid[#Data],$DD52,94),0)</f>
        <v/>
      </c>
      <c r="CS52">
        <f>IFERROR(INDEX(PP_Grid[#Data],$DD52,95),0)</f>
        <v/>
      </c>
      <c r="CT52">
        <f>IFERROR(INDEX(PP_Grid[#Data],$DD52,96),0)</f>
        <v/>
      </c>
      <c r="CU52">
        <f>IFERROR(INDEX(PP_Grid[#Data],$DD52,97),0)</f>
        <v/>
      </c>
      <c r="CV52">
        <f>IFERROR(INDEX(PP_Grid[#Data],$DD52,98),0)</f>
        <v/>
      </c>
      <c r="CW52">
        <f>IFERROR(INDEX(PP_Grid[#Data],$DD52,99),0)</f>
        <v/>
      </c>
      <c r="CX52">
        <f>IFERROR(INDEX(PP_Grid[#Data],$DD52,100),0)</f>
        <v/>
      </c>
      <c r="CY52">
        <f>IFERROR(INDEX(PP_Grid[#Data],$DD52,101),0)</f>
        <v/>
      </c>
      <c r="CZ52">
        <f>IFERROR(INDEX(PP_Grid[#Data],$DD52,102),0)</f>
        <v/>
      </c>
      <c r="DA52">
        <f>IFERROR(INDEX(PP_Grid[#Data],$DD52,103),0)</f>
        <v/>
      </c>
      <c r="DB52">
        <f>IFERROR(INDEX(PP_Grid[#Data],$DD52,104),0)</f>
        <v/>
      </c>
      <c r="DC52">
        <f>IFERROR(INDEX(PP_Grid[#Data],$DD52,105),0)</f>
        <v/>
      </c>
      <c r="DD52" s="12">
        <f>IFERROR(MATCH($B52,PP_Grid[Intermediate],0),99999)</f>
        <v/>
      </c>
    </row>
    <row r="53">
      <c r="B53" t="inlineStr">
        <is>
          <t>使用量(kg)</t>
        </is>
      </c>
      <c r="C53">
        <f>SUMIFS(M_BOM[RM_Qty_Per_Batch],M_BOM[Intermediate],$B52,M_BOM[Part Name],$A45)</f>
        <v/>
      </c>
      <c r="D53">
        <f>$C53*D52</f>
        <v/>
      </c>
      <c r="E53">
        <f>$C53*E52</f>
        <v/>
      </c>
      <c r="F53">
        <f>$C53*F52</f>
        <v/>
      </c>
      <c r="G53">
        <f>$C53*G52</f>
        <v/>
      </c>
      <c r="H53">
        <f>$C53*H52</f>
        <v/>
      </c>
      <c r="I53">
        <f>$C53*I52</f>
        <v/>
      </c>
      <c r="J53">
        <f>$C53*J52</f>
        <v/>
      </c>
      <c r="K53">
        <f>$C53*K52</f>
        <v/>
      </c>
      <c r="L53">
        <f>$C53*L52</f>
        <v/>
      </c>
      <c r="M53">
        <f>$C53*M52</f>
        <v/>
      </c>
      <c r="N53">
        <f>$C53*N52</f>
        <v/>
      </c>
      <c r="O53">
        <f>$C53*O52</f>
        <v/>
      </c>
      <c r="P53">
        <f>$C53*P52</f>
        <v/>
      </c>
      <c r="Q53">
        <f>$C53*Q52</f>
        <v/>
      </c>
      <c r="R53">
        <f>$C53*R52</f>
        <v/>
      </c>
      <c r="S53">
        <f>$C53*S52</f>
        <v/>
      </c>
      <c r="T53">
        <f>$C53*T52</f>
        <v/>
      </c>
      <c r="U53">
        <f>$C53*U52</f>
        <v/>
      </c>
      <c r="V53">
        <f>$C53*V52</f>
        <v/>
      </c>
      <c r="W53">
        <f>$C53*W52</f>
        <v/>
      </c>
      <c r="X53">
        <f>$C53*X52</f>
        <v/>
      </c>
      <c r="Y53">
        <f>$C53*Y52</f>
        <v/>
      </c>
      <c r="Z53">
        <f>$C53*Z52</f>
        <v/>
      </c>
      <c r="AA53">
        <f>$C53*AA52</f>
        <v/>
      </c>
      <c r="AB53">
        <f>$C53*AB52</f>
        <v/>
      </c>
      <c r="AC53">
        <f>$C53*AC52</f>
        <v/>
      </c>
      <c r="AD53">
        <f>$C53*AD52</f>
        <v/>
      </c>
      <c r="AE53">
        <f>$C53*AE52</f>
        <v/>
      </c>
      <c r="AF53">
        <f>$C53*AF52</f>
        <v/>
      </c>
      <c r="AG53">
        <f>$C53*AG52</f>
        <v/>
      </c>
      <c r="AH53">
        <f>$C53*AH52</f>
        <v/>
      </c>
      <c r="AI53">
        <f>$C53*AI52</f>
        <v/>
      </c>
      <c r="AJ53">
        <f>$C53*AJ52</f>
        <v/>
      </c>
      <c r="AK53">
        <f>$C53*AK52</f>
        <v/>
      </c>
      <c r="AL53">
        <f>$C53*AL52</f>
        <v/>
      </c>
      <c r="AM53">
        <f>$C53*AM52</f>
        <v/>
      </c>
      <c r="AN53">
        <f>$C53*AN52</f>
        <v/>
      </c>
      <c r="AO53">
        <f>$C53*AO52</f>
        <v/>
      </c>
      <c r="AP53">
        <f>$C53*AP52</f>
        <v/>
      </c>
      <c r="AQ53">
        <f>$C53*AQ52</f>
        <v/>
      </c>
      <c r="AR53">
        <f>$C53*AR52</f>
        <v/>
      </c>
      <c r="AS53">
        <f>$C53*AS52</f>
        <v/>
      </c>
      <c r="AT53">
        <f>$C53*AT52</f>
        <v/>
      </c>
      <c r="AU53">
        <f>$C53*AU52</f>
        <v/>
      </c>
      <c r="AV53">
        <f>$C53*AV52</f>
        <v/>
      </c>
      <c r="AW53">
        <f>$C53*AW52</f>
        <v/>
      </c>
      <c r="AX53">
        <f>$C53*AX52</f>
        <v/>
      </c>
      <c r="AY53">
        <f>$C53*AY52</f>
        <v/>
      </c>
      <c r="AZ53">
        <f>$C53*AZ52</f>
        <v/>
      </c>
      <c r="BA53">
        <f>$C53*BA52</f>
        <v/>
      </c>
      <c r="BB53">
        <f>$C53*BB52</f>
        <v/>
      </c>
      <c r="BC53">
        <f>$C53*BC52</f>
        <v/>
      </c>
      <c r="BD53">
        <f>$C53*BD52</f>
        <v/>
      </c>
      <c r="BE53">
        <f>$C53*BE52</f>
        <v/>
      </c>
      <c r="BF53">
        <f>$C53*BF52</f>
        <v/>
      </c>
      <c r="BG53">
        <f>$C53*BG52</f>
        <v/>
      </c>
      <c r="BH53">
        <f>$C53*BH52</f>
        <v/>
      </c>
      <c r="BI53">
        <f>$C53*BI52</f>
        <v/>
      </c>
      <c r="BJ53">
        <f>$C53*BJ52</f>
        <v/>
      </c>
      <c r="BK53">
        <f>$C53*BK52</f>
        <v/>
      </c>
      <c r="BL53">
        <f>$C53*BL52</f>
        <v/>
      </c>
      <c r="BM53">
        <f>$C53*BM52</f>
        <v/>
      </c>
      <c r="BN53">
        <f>$C53*BN52</f>
        <v/>
      </c>
      <c r="BO53">
        <f>$C53*BO52</f>
        <v/>
      </c>
      <c r="BP53">
        <f>$C53*BP52</f>
        <v/>
      </c>
      <c r="BQ53">
        <f>$C53*BQ52</f>
        <v/>
      </c>
      <c r="BR53">
        <f>$C53*BR52</f>
        <v/>
      </c>
      <c r="BS53">
        <f>$C53*BS52</f>
        <v/>
      </c>
      <c r="BT53">
        <f>$C53*BT52</f>
        <v/>
      </c>
      <c r="BU53">
        <f>$C53*BU52</f>
        <v/>
      </c>
      <c r="BV53">
        <f>$C53*BV52</f>
        <v/>
      </c>
      <c r="BW53">
        <f>$C53*BW52</f>
        <v/>
      </c>
      <c r="BX53">
        <f>$C53*BX52</f>
        <v/>
      </c>
      <c r="BY53">
        <f>$C53*BY52</f>
        <v/>
      </c>
      <c r="BZ53">
        <f>$C53*BZ52</f>
        <v/>
      </c>
      <c r="CA53">
        <f>$C53*CA52</f>
        <v/>
      </c>
      <c r="CB53">
        <f>$C53*CB52</f>
        <v/>
      </c>
      <c r="CC53">
        <f>$C53*CC52</f>
        <v/>
      </c>
      <c r="CD53">
        <f>$C53*CD52</f>
        <v/>
      </c>
      <c r="CE53">
        <f>$C53*CE52</f>
        <v/>
      </c>
      <c r="CF53">
        <f>$C53*CF52</f>
        <v/>
      </c>
      <c r="CG53">
        <f>$C53*CG52</f>
        <v/>
      </c>
      <c r="CH53">
        <f>$C53*CH52</f>
        <v/>
      </c>
      <c r="CI53">
        <f>$C53*CI52</f>
        <v/>
      </c>
      <c r="CJ53">
        <f>$C53*CJ52</f>
        <v/>
      </c>
      <c r="CK53">
        <f>$C53*CK52</f>
        <v/>
      </c>
      <c r="CL53">
        <f>$C53*CL52</f>
        <v/>
      </c>
      <c r="CM53">
        <f>$C53*CM52</f>
        <v/>
      </c>
      <c r="CN53">
        <f>$C53*CN52</f>
        <v/>
      </c>
      <c r="CO53">
        <f>$C53*CO52</f>
        <v/>
      </c>
      <c r="CP53">
        <f>$C53*CP52</f>
        <v/>
      </c>
      <c r="CQ53">
        <f>$C53*CQ52</f>
        <v/>
      </c>
      <c r="CR53">
        <f>$C53*CR52</f>
        <v/>
      </c>
      <c r="CS53">
        <f>$C53*CS52</f>
        <v/>
      </c>
      <c r="CT53">
        <f>$C53*CT52</f>
        <v/>
      </c>
      <c r="CU53">
        <f>$C53*CU52</f>
        <v/>
      </c>
      <c r="CV53">
        <f>$C53*CV52</f>
        <v/>
      </c>
      <c r="CW53">
        <f>$C53*CW52</f>
        <v/>
      </c>
      <c r="CX53">
        <f>$C53*CX52</f>
        <v/>
      </c>
      <c r="CY53">
        <f>$C53*CY52</f>
        <v/>
      </c>
      <c r="CZ53">
        <f>$C53*CZ52</f>
        <v/>
      </c>
      <c r="DA53">
        <f>$C53*DA52</f>
        <v/>
      </c>
      <c r="DB53">
        <f>$C53*DB52</f>
        <v/>
      </c>
      <c r="DC53">
        <f>$C53*DC52</f>
        <v/>
      </c>
    </row>
    <row r="54">
      <c r="B54" t="inlineStr">
        <is>
          <t>TSP-077</t>
        </is>
      </c>
      <c r="C54" t="inlineStr">
        <is>
          <t>No. of batches</t>
        </is>
      </c>
      <c r="D54">
        <f>IFERROR(INDEX(PP_Grid[#Data],$DD54,2),0)</f>
        <v/>
      </c>
      <c r="E54">
        <f>IFERROR(INDEX(PP_Grid[#Data],$DD54,3),0)</f>
        <v/>
      </c>
      <c r="F54">
        <f>IFERROR(INDEX(PP_Grid[#Data],$DD54,4),0)</f>
        <v/>
      </c>
      <c r="G54">
        <f>IFERROR(INDEX(PP_Grid[#Data],$DD54,5),0)</f>
        <v/>
      </c>
      <c r="H54">
        <f>IFERROR(INDEX(PP_Grid[#Data],$DD54,6),0)</f>
        <v/>
      </c>
      <c r="I54">
        <f>IFERROR(INDEX(PP_Grid[#Data],$DD54,7),0)</f>
        <v/>
      </c>
      <c r="J54">
        <f>IFERROR(INDEX(PP_Grid[#Data],$DD54,8),0)</f>
        <v/>
      </c>
      <c r="K54">
        <f>IFERROR(INDEX(PP_Grid[#Data],$DD54,9),0)</f>
        <v/>
      </c>
      <c r="L54">
        <f>IFERROR(INDEX(PP_Grid[#Data],$DD54,10),0)</f>
        <v/>
      </c>
      <c r="M54">
        <f>IFERROR(INDEX(PP_Grid[#Data],$DD54,11),0)</f>
        <v/>
      </c>
      <c r="N54">
        <f>IFERROR(INDEX(PP_Grid[#Data],$DD54,12),0)</f>
        <v/>
      </c>
      <c r="O54">
        <f>IFERROR(INDEX(PP_Grid[#Data],$DD54,13),0)</f>
        <v/>
      </c>
      <c r="P54">
        <f>IFERROR(INDEX(PP_Grid[#Data],$DD54,14),0)</f>
        <v/>
      </c>
      <c r="Q54">
        <f>IFERROR(INDEX(PP_Grid[#Data],$DD54,15),0)</f>
        <v/>
      </c>
      <c r="R54">
        <f>IFERROR(INDEX(PP_Grid[#Data],$DD54,16),0)</f>
        <v/>
      </c>
      <c r="S54">
        <f>IFERROR(INDEX(PP_Grid[#Data],$DD54,17),0)</f>
        <v/>
      </c>
      <c r="T54">
        <f>IFERROR(INDEX(PP_Grid[#Data],$DD54,18),0)</f>
        <v/>
      </c>
      <c r="U54">
        <f>IFERROR(INDEX(PP_Grid[#Data],$DD54,19),0)</f>
        <v/>
      </c>
      <c r="V54">
        <f>IFERROR(INDEX(PP_Grid[#Data],$DD54,20),0)</f>
        <v/>
      </c>
      <c r="W54">
        <f>IFERROR(INDEX(PP_Grid[#Data],$DD54,21),0)</f>
        <v/>
      </c>
      <c r="X54">
        <f>IFERROR(INDEX(PP_Grid[#Data],$DD54,22),0)</f>
        <v/>
      </c>
      <c r="Y54">
        <f>IFERROR(INDEX(PP_Grid[#Data],$DD54,23),0)</f>
        <v/>
      </c>
      <c r="Z54">
        <f>IFERROR(INDEX(PP_Grid[#Data],$DD54,24),0)</f>
        <v/>
      </c>
      <c r="AA54">
        <f>IFERROR(INDEX(PP_Grid[#Data],$DD54,25),0)</f>
        <v/>
      </c>
      <c r="AB54">
        <f>IFERROR(INDEX(PP_Grid[#Data],$DD54,26),0)</f>
        <v/>
      </c>
      <c r="AC54">
        <f>IFERROR(INDEX(PP_Grid[#Data],$DD54,27),0)</f>
        <v/>
      </c>
      <c r="AD54">
        <f>IFERROR(INDEX(PP_Grid[#Data],$DD54,28),0)</f>
        <v/>
      </c>
      <c r="AE54">
        <f>IFERROR(INDEX(PP_Grid[#Data],$DD54,29),0)</f>
        <v/>
      </c>
      <c r="AF54">
        <f>IFERROR(INDEX(PP_Grid[#Data],$DD54,30),0)</f>
        <v/>
      </c>
      <c r="AG54">
        <f>IFERROR(INDEX(PP_Grid[#Data],$DD54,31),0)</f>
        <v/>
      </c>
      <c r="AH54">
        <f>IFERROR(INDEX(PP_Grid[#Data],$DD54,32),0)</f>
        <v/>
      </c>
      <c r="AI54">
        <f>IFERROR(INDEX(PP_Grid[#Data],$DD54,33),0)</f>
        <v/>
      </c>
      <c r="AJ54">
        <f>IFERROR(INDEX(PP_Grid[#Data],$DD54,34),0)</f>
        <v/>
      </c>
      <c r="AK54">
        <f>IFERROR(INDEX(PP_Grid[#Data],$DD54,35),0)</f>
        <v/>
      </c>
      <c r="AL54">
        <f>IFERROR(INDEX(PP_Grid[#Data],$DD54,36),0)</f>
        <v/>
      </c>
      <c r="AM54">
        <f>IFERROR(INDEX(PP_Grid[#Data],$DD54,37),0)</f>
        <v/>
      </c>
      <c r="AN54">
        <f>IFERROR(INDEX(PP_Grid[#Data],$DD54,38),0)</f>
        <v/>
      </c>
      <c r="AO54">
        <f>IFERROR(INDEX(PP_Grid[#Data],$DD54,39),0)</f>
        <v/>
      </c>
      <c r="AP54">
        <f>IFERROR(INDEX(PP_Grid[#Data],$DD54,40),0)</f>
        <v/>
      </c>
      <c r="AQ54">
        <f>IFERROR(INDEX(PP_Grid[#Data],$DD54,41),0)</f>
        <v/>
      </c>
      <c r="AR54">
        <f>IFERROR(INDEX(PP_Grid[#Data],$DD54,42),0)</f>
        <v/>
      </c>
      <c r="AS54">
        <f>IFERROR(INDEX(PP_Grid[#Data],$DD54,43),0)</f>
        <v/>
      </c>
      <c r="AT54">
        <f>IFERROR(INDEX(PP_Grid[#Data],$DD54,44),0)</f>
        <v/>
      </c>
      <c r="AU54">
        <f>IFERROR(INDEX(PP_Grid[#Data],$DD54,45),0)</f>
        <v/>
      </c>
      <c r="AV54">
        <f>IFERROR(INDEX(PP_Grid[#Data],$DD54,46),0)</f>
        <v/>
      </c>
      <c r="AW54">
        <f>IFERROR(INDEX(PP_Grid[#Data],$DD54,47),0)</f>
        <v/>
      </c>
      <c r="AX54">
        <f>IFERROR(INDEX(PP_Grid[#Data],$DD54,48),0)</f>
        <v/>
      </c>
      <c r="AY54">
        <f>IFERROR(INDEX(PP_Grid[#Data],$DD54,49),0)</f>
        <v/>
      </c>
      <c r="AZ54">
        <f>IFERROR(INDEX(PP_Grid[#Data],$DD54,50),0)</f>
        <v/>
      </c>
      <c r="BA54">
        <f>IFERROR(INDEX(PP_Grid[#Data],$DD54,51),0)</f>
        <v/>
      </c>
      <c r="BB54">
        <f>IFERROR(INDEX(PP_Grid[#Data],$DD54,52),0)</f>
        <v/>
      </c>
      <c r="BC54">
        <f>IFERROR(INDEX(PP_Grid[#Data],$DD54,53),0)</f>
        <v/>
      </c>
      <c r="BD54">
        <f>IFERROR(INDEX(PP_Grid[#Data],$DD54,54),0)</f>
        <v/>
      </c>
      <c r="BE54">
        <f>IFERROR(INDEX(PP_Grid[#Data],$DD54,55),0)</f>
        <v/>
      </c>
      <c r="BF54">
        <f>IFERROR(INDEX(PP_Grid[#Data],$DD54,56),0)</f>
        <v/>
      </c>
      <c r="BG54">
        <f>IFERROR(INDEX(PP_Grid[#Data],$DD54,57),0)</f>
        <v/>
      </c>
      <c r="BH54">
        <f>IFERROR(INDEX(PP_Grid[#Data],$DD54,58),0)</f>
        <v/>
      </c>
      <c r="BI54">
        <f>IFERROR(INDEX(PP_Grid[#Data],$DD54,59),0)</f>
        <v/>
      </c>
      <c r="BJ54">
        <f>IFERROR(INDEX(PP_Grid[#Data],$DD54,60),0)</f>
        <v/>
      </c>
      <c r="BK54">
        <f>IFERROR(INDEX(PP_Grid[#Data],$DD54,61),0)</f>
        <v/>
      </c>
      <c r="BL54">
        <f>IFERROR(INDEX(PP_Grid[#Data],$DD54,62),0)</f>
        <v/>
      </c>
      <c r="BM54">
        <f>IFERROR(INDEX(PP_Grid[#Data],$DD54,63),0)</f>
        <v/>
      </c>
      <c r="BN54">
        <f>IFERROR(INDEX(PP_Grid[#Data],$DD54,64),0)</f>
        <v/>
      </c>
      <c r="BO54">
        <f>IFERROR(INDEX(PP_Grid[#Data],$DD54,65),0)</f>
        <v/>
      </c>
      <c r="BP54">
        <f>IFERROR(INDEX(PP_Grid[#Data],$DD54,66),0)</f>
        <v/>
      </c>
      <c r="BQ54">
        <f>IFERROR(INDEX(PP_Grid[#Data],$DD54,67),0)</f>
        <v/>
      </c>
      <c r="BR54">
        <f>IFERROR(INDEX(PP_Grid[#Data],$DD54,68),0)</f>
        <v/>
      </c>
      <c r="BS54">
        <f>IFERROR(INDEX(PP_Grid[#Data],$DD54,69),0)</f>
        <v/>
      </c>
      <c r="BT54">
        <f>IFERROR(INDEX(PP_Grid[#Data],$DD54,70),0)</f>
        <v/>
      </c>
      <c r="BU54">
        <f>IFERROR(INDEX(PP_Grid[#Data],$DD54,71),0)</f>
        <v/>
      </c>
      <c r="BV54">
        <f>IFERROR(INDEX(PP_Grid[#Data],$DD54,72),0)</f>
        <v/>
      </c>
      <c r="BW54">
        <f>IFERROR(INDEX(PP_Grid[#Data],$DD54,73),0)</f>
        <v/>
      </c>
      <c r="BX54">
        <f>IFERROR(INDEX(PP_Grid[#Data],$DD54,74),0)</f>
        <v/>
      </c>
      <c r="BY54">
        <f>IFERROR(INDEX(PP_Grid[#Data],$DD54,75),0)</f>
        <v/>
      </c>
      <c r="BZ54">
        <f>IFERROR(INDEX(PP_Grid[#Data],$DD54,76),0)</f>
        <v/>
      </c>
      <c r="CA54">
        <f>IFERROR(INDEX(PP_Grid[#Data],$DD54,77),0)</f>
        <v/>
      </c>
      <c r="CB54">
        <f>IFERROR(INDEX(PP_Grid[#Data],$DD54,78),0)</f>
        <v/>
      </c>
      <c r="CC54">
        <f>IFERROR(INDEX(PP_Grid[#Data],$DD54,79),0)</f>
        <v/>
      </c>
      <c r="CD54">
        <f>IFERROR(INDEX(PP_Grid[#Data],$DD54,80),0)</f>
        <v/>
      </c>
      <c r="CE54">
        <f>IFERROR(INDEX(PP_Grid[#Data],$DD54,81),0)</f>
        <v/>
      </c>
      <c r="CF54">
        <f>IFERROR(INDEX(PP_Grid[#Data],$DD54,82),0)</f>
        <v/>
      </c>
      <c r="CG54">
        <f>IFERROR(INDEX(PP_Grid[#Data],$DD54,83),0)</f>
        <v/>
      </c>
      <c r="CH54">
        <f>IFERROR(INDEX(PP_Grid[#Data],$DD54,84),0)</f>
        <v/>
      </c>
      <c r="CI54">
        <f>IFERROR(INDEX(PP_Grid[#Data],$DD54,85),0)</f>
        <v/>
      </c>
      <c r="CJ54">
        <f>IFERROR(INDEX(PP_Grid[#Data],$DD54,86),0)</f>
        <v/>
      </c>
      <c r="CK54">
        <f>IFERROR(INDEX(PP_Grid[#Data],$DD54,87),0)</f>
        <v/>
      </c>
      <c r="CL54">
        <f>IFERROR(INDEX(PP_Grid[#Data],$DD54,88),0)</f>
        <v/>
      </c>
      <c r="CM54">
        <f>IFERROR(INDEX(PP_Grid[#Data],$DD54,89),0)</f>
        <v/>
      </c>
      <c r="CN54">
        <f>IFERROR(INDEX(PP_Grid[#Data],$DD54,90),0)</f>
        <v/>
      </c>
      <c r="CO54">
        <f>IFERROR(INDEX(PP_Grid[#Data],$DD54,91),0)</f>
        <v/>
      </c>
      <c r="CP54">
        <f>IFERROR(INDEX(PP_Grid[#Data],$DD54,92),0)</f>
        <v/>
      </c>
      <c r="CQ54">
        <f>IFERROR(INDEX(PP_Grid[#Data],$DD54,93),0)</f>
        <v/>
      </c>
      <c r="CR54">
        <f>IFERROR(INDEX(PP_Grid[#Data],$DD54,94),0)</f>
        <v/>
      </c>
      <c r="CS54">
        <f>IFERROR(INDEX(PP_Grid[#Data],$DD54,95),0)</f>
        <v/>
      </c>
      <c r="CT54">
        <f>IFERROR(INDEX(PP_Grid[#Data],$DD54,96),0)</f>
        <v/>
      </c>
      <c r="CU54">
        <f>IFERROR(INDEX(PP_Grid[#Data],$DD54,97),0)</f>
        <v/>
      </c>
      <c r="CV54">
        <f>IFERROR(INDEX(PP_Grid[#Data],$DD54,98),0)</f>
        <v/>
      </c>
      <c r="CW54">
        <f>IFERROR(INDEX(PP_Grid[#Data],$DD54,99),0)</f>
        <v/>
      </c>
      <c r="CX54">
        <f>IFERROR(INDEX(PP_Grid[#Data],$DD54,100),0)</f>
        <v/>
      </c>
      <c r="CY54">
        <f>IFERROR(INDEX(PP_Grid[#Data],$DD54,101),0)</f>
        <v/>
      </c>
      <c r="CZ54">
        <f>IFERROR(INDEX(PP_Grid[#Data],$DD54,102),0)</f>
        <v/>
      </c>
      <c r="DA54">
        <f>IFERROR(INDEX(PP_Grid[#Data],$DD54,103),0)</f>
        <v/>
      </c>
      <c r="DB54">
        <f>IFERROR(INDEX(PP_Grid[#Data],$DD54,104),0)</f>
        <v/>
      </c>
      <c r="DC54">
        <f>IFERROR(INDEX(PP_Grid[#Data],$DD54,105),0)</f>
        <v/>
      </c>
      <c r="DD54" s="12">
        <f>IFERROR(MATCH($B54,PP_Grid[Intermediate],0),99999)</f>
        <v/>
      </c>
    </row>
    <row r="55">
      <c r="B55" t="inlineStr">
        <is>
          <t>使用量(kg)</t>
        </is>
      </c>
      <c r="C55">
        <f>SUMIFS(M_BOM[RM_Qty_Per_Batch],M_BOM[Intermediate],$B54,M_BOM[Part Name],$A45)</f>
        <v/>
      </c>
      <c r="D55">
        <f>$C55*D54</f>
        <v/>
      </c>
      <c r="E55">
        <f>$C55*E54</f>
        <v/>
      </c>
      <c r="F55">
        <f>$C55*F54</f>
        <v/>
      </c>
      <c r="G55">
        <f>$C55*G54</f>
        <v/>
      </c>
      <c r="H55">
        <f>$C55*H54</f>
        <v/>
      </c>
      <c r="I55">
        <f>$C55*I54</f>
        <v/>
      </c>
      <c r="J55">
        <f>$C55*J54</f>
        <v/>
      </c>
      <c r="K55">
        <f>$C55*K54</f>
        <v/>
      </c>
      <c r="L55">
        <f>$C55*L54</f>
        <v/>
      </c>
      <c r="M55">
        <f>$C55*M54</f>
        <v/>
      </c>
      <c r="N55">
        <f>$C55*N54</f>
        <v/>
      </c>
      <c r="O55">
        <f>$C55*O54</f>
        <v/>
      </c>
      <c r="P55">
        <f>$C55*P54</f>
        <v/>
      </c>
      <c r="Q55">
        <f>$C55*Q54</f>
        <v/>
      </c>
      <c r="R55">
        <f>$C55*R54</f>
        <v/>
      </c>
      <c r="S55">
        <f>$C55*S54</f>
        <v/>
      </c>
      <c r="T55">
        <f>$C55*T54</f>
        <v/>
      </c>
      <c r="U55">
        <f>$C55*U54</f>
        <v/>
      </c>
      <c r="V55">
        <f>$C55*V54</f>
        <v/>
      </c>
      <c r="W55">
        <f>$C55*W54</f>
        <v/>
      </c>
      <c r="X55">
        <f>$C55*X54</f>
        <v/>
      </c>
      <c r="Y55">
        <f>$C55*Y54</f>
        <v/>
      </c>
      <c r="Z55">
        <f>$C55*Z54</f>
        <v/>
      </c>
      <c r="AA55">
        <f>$C55*AA54</f>
        <v/>
      </c>
      <c r="AB55">
        <f>$C55*AB54</f>
        <v/>
      </c>
      <c r="AC55">
        <f>$C55*AC54</f>
        <v/>
      </c>
      <c r="AD55">
        <f>$C55*AD54</f>
        <v/>
      </c>
      <c r="AE55">
        <f>$C55*AE54</f>
        <v/>
      </c>
      <c r="AF55">
        <f>$C55*AF54</f>
        <v/>
      </c>
      <c r="AG55">
        <f>$C55*AG54</f>
        <v/>
      </c>
      <c r="AH55">
        <f>$C55*AH54</f>
        <v/>
      </c>
      <c r="AI55">
        <f>$C55*AI54</f>
        <v/>
      </c>
      <c r="AJ55">
        <f>$C55*AJ54</f>
        <v/>
      </c>
      <c r="AK55">
        <f>$C55*AK54</f>
        <v/>
      </c>
      <c r="AL55">
        <f>$C55*AL54</f>
        <v/>
      </c>
      <c r="AM55">
        <f>$C55*AM54</f>
        <v/>
      </c>
      <c r="AN55">
        <f>$C55*AN54</f>
        <v/>
      </c>
      <c r="AO55">
        <f>$C55*AO54</f>
        <v/>
      </c>
      <c r="AP55">
        <f>$C55*AP54</f>
        <v/>
      </c>
      <c r="AQ55">
        <f>$C55*AQ54</f>
        <v/>
      </c>
      <c r="AR55">
        <f>$C55*AR54</f>
        <v/>
      </c>
      <c r="AS55">
        <f>$C55*AS54</f>
        <v/>
      </c>
      <c r="AT55">
        <f>$C55*AT54</f>
        <v/>
      </c>
      <c r="AU55">
        <f>$C55*AU54</f>
        <v/>
      </c>
      <c r="AV55">
        <f>$C55*AV54</f>
        <v/>
      </c>
      <c r="AW55">
        <f>$C55*AW54</f>
        <v/>
      </c>
      <c r="AX55">
        <f>$C55*AX54</f>
        <v/>
      </c>
      <c r="AY55">
        <f>$C55*AY54</f>
        <v/>
      </c>
      <c r="AZ55">
        <f>$C55*AZ54</f>
        <v/>
      </c>
      <c r="BA55">
        <f>$C55*BA54</f>
        <v/>
      </c>
      <c r="BB55">
        <f>$C55*BB54</f>
        <v/>
      </c>
      <c r="BC55">
        <f>$C55*BC54</f>
        <v/>
      </c>
      <c r="BD55">
        <f>$C55*BD54</f>
        <v/>
      </c>
      <c r="BE55">
        <f>$C55*BE54</f>
        <v/>
      </c>
      <c r="BF55">
        <f>$C55*BF54</f>
        <v/>
      </c>
      <c r="BG55">
        <f>$C55*BG54</f>
        <v/>
      </c>
      <c r="BH55">
        <f>$C55*BH54</f>
        <v/>
      </c>
      <c r="BI55">
        <f>$C55*BI54</f>
        <v/>
      </c>
      <c r="BJ55">
        <f>$C55*BJ54</f>
        <v/>
      </c>
      <c r="BK55">
        <f>$C55*BK54</f>
        <v/>
      </c>
      <c r="BL55">
        <f>$C55*BL54</f>
        <v/>
      </c>
      <c r="BM55">
        <f>$C55*BM54</f>
        <v/>
      </c>
      <c r="BN55">
        <f>$C55*BN54</f>
        <v/>
      </c>
      <c r="BO55">
        <f>$C55*BO54</f>
        <v/>
      </c>
      <c r="BP55">
        <f>$C55*BP54</f>
        <v/>
      </c>
      <c r="BQ55">
        <f>$C55*BQ54</f>
        <v/>
      </c>
      <c r="BR55">
        <f>$C55*BR54</f>
        <v/>
      </c>
      <c r="BS55">
        <f>$C55*BS54</f>
        <v/>
      </c>
      <c r="BT55">
        <f>$C55*BT54</f>
        <v/>
      </c>
      <c r="BU55">
        <f>$C55*BU54</f>
        <v/>
      </c>
      <c r="BV55">
        <f>$C55*BV54</f>
        <v/>
      </c>
      <c r="BW55">
        <f>$C55*BW54</f>
        <v/>
      </c>
      <c r="BX55">
        <f>$C55*BX54</f>
        <v/>
      </c>
      <c r="BY55">
        <f>$C55*BY54</f>
        <v/>
      </c>
      <c r="BZ55">
        <f>$C55*BZ54</f>
        <v/>
      </c>
      <c r="CA55">
        <f>$C55*CA54</f>
        <v/>
      </c>
      <c r="CB55">
        <f>$C55*CB54</f>
        <v/>
      </c>
      <c r="CC55">
        <f>$C55*CC54</f>
        <v/>
      </c>
      <c r="CD55">
        <f>$C55*CD54</f>
        <v/>
      </c>
      <c r="CE55">
        <f>$C55*CE54</f>
        <v/>
      </c>
      <c r="CF55">
        <f>$C55*CF54</f>
        <v/>
      </c>
      <c r="CG55">
        <f>$C55*CG54</f>
        <v/>
      </c>
      <c r="CH55">
        <f>$C55*CH54</f>
        <v/>
      </c>
      <c r="CI55">
        <f>$C55*CI54</f>
        <v/>
      </c>
      <c r="CJ55">
        <f>$C55*CJ54</f>
        <v/>
      </c>
      <c r="CK55">
        <f>$C55*CK54</f>
        <v/>
      </c>
      <c r="CL55">
        <f>$C55*CL54</f>
        <v/>
      </c>
      <c r="CM55">
        <f>$C55*CM54</f>
        <v/>
      </c>
      <c r="CN55">
        <f>$C55*CN54</f>
        <v/>
      </c>
      <c r="CO55">
        <f>$C55*CO54</f>
        <v/>
      </c>
      <c r="CP55">
        <f>$C55*CP54</f>
        <v/>
      </c>
      <c r="CQ55">
        <f>$C55*CQ54</f>
        <v/>
      </c>
      <c r="CR55">
        <f>$C55*CR54</f>
        <v/>
      </c>
      <c r="CS55">
        <f>$C55*CS54</f>
        <v/>
      </c>
      <c r="CT55">
        <f>$C55*CT54</f>
        <v/>
      </c>
      <c r="CU55">
        <f>$C55*CU54</f>
        <v/>
      </c>
      <c r="CV55">
        <f>$C55*CV54</f>
        <v/>
      </c>
      <c r="CW55">
        <f>$C55*CW54</f>
        <v/>
      </c>
      <c r="CX55">
        <f>$C55*CX54</f>
        <v/>
      </c>
      <c r="CY55">
        <f>$C55*CY54</f>
        <v/>
      </c>
      <c r="CZ55">
        <f>$C55*CZ54</f>
        <v/>
      </c>
      <c r="DA55">
        <f>$C55*DA54</f>
        <v/>
      </c>
      <c r="DB55">
        <f>$C55*DB54</f>
        <v/>
      </c>
      <c r="DC55">
        <f>$C55*DC54</f>
        <v/>
      </c>
    </row>
    <row r="56">
      <c r="B56" t="inlineStr">
        <is>
          <t>TSP-078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12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Name],$A45)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t="inlineStr">
        <is>
          <t>TSP-080</t>
        </is>
      </c>
      <c r="C58" t="inlineStr">
        <is>
          <t>No. of batches</t>
        </is>
      </c>
      <c r="D58">
        <f>IFERROR(INDEX(PP_Grid[#Data],$DD58,2),0)</f>
        <v/>
      </c>
      <c r="E58">
        <f>IFERROR(INDEX(PP_Grid[#Data],$DD58,3),0)</f>
        <v/>
      </c>
      <c r="F58">
        <f>IFERROR(INDEX(PP_Grid[#Data],$DD58,4),0)</f>
        <v/>
      </c>
      <c r="G58">
        <f>IFERROR(INDEX(PP_Grid[#Data],$DD58,5),0)</f>
        <v/>
      </c>
      <c r="H58">
        <f>IFERROR(INDEX(PP_Grid[#Data],$DD58,6),0)</f>
        <v/>
      </c>
      <c r="I58">
        <f>IFERROR(INDEX(PP_Grid[#Data],$DD58,7),0)</f>
        <v/>
      </c>
      <c r="J58">
        <f>IFERROR(INDEX(PP_Grid[#Data],$DD58,8),0)</f>
        <v/>
      </c>
      <c r="K58">
        <f>IFERROR(INDEX(PP_Grid[#Data],$DD58,9),0)</f>
        <v/>
      </c>
      <c r="L58">
        <f>IFERROR(INDEX(PP_Grid[#Data],$DD58,10),0)</f>
        <v/>
      </c>
      <c r="M58">
        <f>IFERROR(INDEX(PP_Grid[#Data],$DD58,11),0)</f>
        <v/>
      </c>
      <c r="N58">
        <f>IFERROR(INDEX(PP_Grid[#Data],$DD58,12),0)</f>
        <v/>
      </c>
      <c r="O58">
        <f>IFERROR(INDEX(PP_Grid[#Data],$DD58,13),0)</f>
        <v/>
      </c>
      <c r="P58">
        <f>IFERROR(INDEX(PP_Grid[#Data],$DD58,14),0)</f>
        <v/>
      </c>
      <c r="Q58">
        <f>IFERROR(INDEX(PP_Grid[#Data],$DD58,15),0)</f>
        <v/>
      </c>
      <c r="R58">
        <f>IFERROR(INDEX(PP_Grid[#Data],$DD58,16),0)</f>
        <v/>
      </c>
      <c r="S58">
        <f>IFERROR(INDEX(PP_Grid[#Data],$DD58,17),0)</f>
        <v/>
      </c>
      <c r="T58">
        <f>IFERROR(INDEX(PP_Grid[#Data],$DD58,18),0)</f>
        <v/>
      </c>
      <c r="U58">
        <f>IFERROR(INDEX(PP_Grid[#Data],$DD58,19),0)</f>
        <v/>
      </c>
      <c r="V58">
        <f>IFERROR(INDEX(PP_Grid[#Data],$DD58,20),0)</f>
        <v/>
      </c>
      <c r="W58">
        <f>IFERROR(INDEX(PP_Grid[#Data],$DD58,21),0)</f>
        <v/>
      </c>
      <c r="X58">
        <f>IFERROR(INDEX(PP_Grid[#Data],$DD58,22),0)</f>
        <v/>
      </c>
      <c r="Y58">
        <f>IFERROR(INDEX(PP_Grid[#Data],$DD58,23),0)</f>
        <v/>
      </c>
      <c r="Z58">
        <f>IFERROR(INDEX(PP_Grid[#Data],$DD58,24),0)</f>
        <v/>
      </c>
      <c r="AA58">
        <f>IFERROR(INDEX(PP_Grid[#Data],$DD58,25),0)</f>
        <v/>
      </c>
      <c r="AB58">
        <f>IFERROR(INDEX(PP_Grid[#Data],$DD58,26),0)</f>
        <v/>
      </c>
      <c r="AC58">
        <f>IFERROR(INDEX(PP_Grid[#Data],$DD58,27),0)</f>
        <v/>
      </c>
      <c r="AD58">
        <f>IFERROR(INDEX(PP_Grid[#Data],$DD58,28),0)</f>
        <v/>
      </c>
      <c r="AE58">
        <f>IFERROR(INDEX(PP_Grid[#Data],$DD58,29),0)</f>
        <v/>
      </c>
      <c r="AF58">
        <f>IFERROR(INDEX(PP_Grid[#Data],$DD58,30),0)</f>
        <v/>
      </c>
      <c r="AG58">
        <f>IFERROR(INDEX(PP_Grid[#Data],$DD58,31),0)</f>
        <v/>
      </c>
      <c r="AH58">
        <f>IFERROR(INDEX(PP_Grid[#Data],$DD58,32),0)</f>
        <v/>
      </c>
      <c r="AI58">
        <f>IFERROR(INDEX(PP_Grid[#Data],$DD58,33),0)</f>
        <v/>
      </c>
      <c r="AJ58">
        <f>IFERROR(INDEX(PP_Grid[#Data],$DD58,34),0)</f>
        <v/>
      </c>
      <c r="AK58">
        <f>IFERROR(INDEX(PP_Grid[#Data],$DD58,35),0)</f>
        <v/>
      </c>
      <c r="AL58">
        <f>IFERROR(INDEX(PP_Grid[#Data],$DD58,36),0)</f>
        <v/>
      </c>
      <c r="AM58">
        <f>IFERROR(INDEX(PP_Grid[#Data],$DD58,37),0)</f>
        <v/>
      </c>
      <c r="AN58">
        <f>IFERROR(INDEX(PP_Grid[#Data],$DD58,38),0)</f>
        <v/>
      </c>
      <c r="AO58">
        <f>IFERROR(INDEX(PP_Grid[#Data],$DD58,39),0)</f>
        <v/>
      </c>
      <c r="AP58">
        <f>IFERROR(INDEX(PP_Grid[#Data],$DD58,40),0)</f>
        <v/>
      </c>
      <c r="AQ58">
        <f>IFERROR(INDEX(PP_Grid[#Data],$DD58,41),0)</f>
        <v/>
      </c>
      <c r="AR58">
        <f>IFERROR(INDEX(PP_Grid[#Data],$DD58,42),0)</f>
        <v/>
      </c>
      <c r="AS58">
        <f>IFERROR(INDEX(PP_Grid[#Data],$DD58,43),0)</f>
        <v/>
      </c>
      <c r="AT58">
        <f>IFERROR(INDEX(PP_Grid[#Data],$DD58,44),0)</f>
        <v/>
      </c>
      <c r="AU58">
        <f>IFERROR(INDEX(PP_Grid[#Data],$DD58,45),0)</f>
        <v/>
      </c>
      <c r="AV58">
        <f>IFERROR(INDEX(PP_Grid[#Data],$DD58,46),0)</f>
        <v/>
      </c>
      <c r="AW58">
        <f>IFERROR(INDEX(PP_Grid[#Data],$DD58,47),0)</f>
        <v/>
      </c>
      <c r="AX58">
        <f>IFERROR(INDEX(PP_Grid[#Data],$DD58,48),0)</f>
        <v/>
      </c>
      <c r="AY58">
        <f>IFERROR(INDEX(PP_Grid[#Data],$DD58,49),0)</f>
        <v/>
      </c>
      <c r="AZ58">
        <f>IFERROR(INDEX(PP_Grid[#Data],$DD58,50),0)</f>
        <v/>
      </c>
      <c r="BA58">
        <f>IFERROR(INDEX(PP_Grid[#Data],$DD58,51),0)</f>
        <v/>
      </c>
      <c r="BB58">
        <f>IFERROR(INDEX(PP_Grid[#Data],$DD58,52),0)</f>
        <v/>
      </c>
      <c r="BC58">
        <f>IFERROR(INDEX(PP_Grid[#Data],$DD58,53),0)</f>
        <v/>
      </c>
      <c r="BD58">
        <f>IFERROR(INDEX(PP_Grid[#Data],$DD58,54),0)</f>
        <v/>
      </c>
      <c r="BE58">
        <f>IFERROR(INDEX(PP_Grid[#Data],$DD58,55),0)</f>
        <v/>
      </c>
      <c r="BF58">
        <f>IFERROR(INDEX(PP_Grid[#Data],$DD58,56),0)</f>
        <v/>
      </c>
      <c r="BG58">
        <f>IFERROR(INDEX(PP_Grid[#Data],$DD58,57),0)</f>
        <v/>
      </c>
      <c r="BH58">
        <f>IFERROR(INDEX(PP_Grid[#Data],$DD58,58),0)</f>
        <v/>
      </c>
      <c r="BI58">
        <f>IFERROR(INDEX(PP_Grid[#Data],$DD58,59),0)</f>
        <v/>
      </c>
      <c r="BJ58">
        <f>IFERROR(INDEX(PP_Grid[#Data],$DD58,60),0)</f>
        <v/>
      </c>
      <c r="BK58">
        <f>IFERROR(INDEX(PP_Grid[#Data],$DD58,61),0)</f>
        <v/>
      </c>
      <c r="BL58">
        <f>IFERROR(INDEX(PP_Grid[#Data],$DD58,62),0)</f>
        <v/>
      </c>
      <c r="BM58">
        <f>IFERROR(INDEX(PP_Grid[#Data],$DD58,63),0)</f>
        <v/>
      </c>
      <c r="BN58">
        <f>IFERROR(INDEX(PP_Grid[#Data],$DD58,64),0)</f>
        <v/>
      </c>
      <c r="BO58">
        <f>IFERROR(INDEX(PP_Grid[#Data],$DD58,65),0)</f>
        <v/>
      </c>
      <c r="BP58">
        <f>IFERROR(INDEX(PP_Grid[#Data],$DD58,66),0)</f>
        <v/>
      </c>
      <c r="BQ58">
        <f>IFERROR(INDEX(PP_Grid[#Data],$DD58,67),0)</f>
        <v/>
      </c>
      <c r="BR58">
        <f>IFERROR(INDEX(PP_Grid[#Data],$DD58,68),0)</f>
        <v/>
      </c>
      <c r="BS58">
        <f>IFERROR(INDEX(PP_Grid[#Data],$DD58,69),0)</f>
        <v/>
      </c>
      <c r="BT58">
        <f>IFERROR(INDEX(PP_Grid[#Data],$DD58,70),0)</f>
        <v/>
      </c>
      <c r="BU58">
        <f>IFERROR(INDEX(PP_Grid[#Data],$DD58,71),0)</f>
        <v/>
      </c>
      <c r="BV58">
        <f>IFERROR(INDEX(PP_Grid[#Data],$DD58,72),0)</f>
        <v/>
      </c>
      <c r="BW58">
        <f>IFERROR(INDEX(PP_Grid[#Data],$DD58,73),0)</f>
        <v/>
      </c>
      <c r="BX58">
        <f>IFERROR(INDEX(PP_Grid[#Data],$DD58,74),0)</f>
        <v/>
      </c>
      <c r="BY58">
        <f>IFERROR(INDEX(PP_Grid[#Data],$DD58,75),0)</f>
        <v/>
      </c>
      <c r="BZ58">
        <f>IFERROR(INDEX(PP_Grid[#Data],$DD58,76),0)</f>
        <v/>
      </c>
      <c r="CA58">
        <f>IFERROR(INDEX(PP_Grid[#Data],$DD58,77),0)</f>
        <v/>
      </c>
      <c r="CB58">
        <f>IFERROR(INDEX(PP_Grid[#Data],$DD58,78),0)</f>
        <v/>
      </c>
      <c r="CC58">
        <f>IFERROR(INDEX(PP_Grid[#Data],$DD58,79),0)</f>
        <v/>
      </c>
      <c r="CD58">
        <f>IFERROR(INDEX(PP_Grid[#Data],$DD58,80),0)</f>
        <v/>
      </c>
      <c r="CE58">
        <f>IFERROR(INDEX(PP_Grid[#Data],$DD58,81),0)</f>
        <v/>
      </c>
      <c r="CF58">
        <f>IFERROR(INDEX(PP_Grid[#Data],$DD58,82),0)</f>
        <v/>
      </c>
      <c r="CG58">
        <f>IFERROR(INDEX(PP_Grid[#Data],$DD58,83),0)</f>
        <v/>
      </c>
      <c r="CH58">
        <f>IFERROR(INDEX(PP_Grid[#Data],$DD58,84),0)</f>
        <v/>
      </c>
      <c r="CI58">
        <f>IFERROR(INDEX(PP_Grid[#Data],$DD58,85),0)</f>
        <v/>
      </c>
      <c r="CJ58">
        <f>IFERROR(INDEX(PP_Grid[#Data],$DD58,86),0)</f>
        <v/>
      </c>
      <c r="CK58">
        <f>IFERROR(INDEX(PP_Grid[#Data],$DD58,87),0)</f>
        <v/>
      </c>
      <c r="CL58">
        <f>IFERROR(INDEX(PP_Grid[#Data],$DD58,88),0)</f>
        <v/>
      </c>
      <c r="CM58">
        <f>IFERROR(INDEX(PP_Grid[#Data],$DD58,89),0)</f>
        <v/>
      </c>
      <c r="CN58">
        <f>IFERROR(INDEX(PP_Grid[#Data],$DD58,90),0)</f>
        <v/>
      </c>
      <c r="CO58">
        <f>IFERROR(INDEX(PP_Grid[#Data],$DD58,91),0)</f>
        <v/>
      </c>
      <c r="CP58">
        <f>IFERROR(INDEX(PP_Grid[#Data],$DD58,92),0)</f>
        <v/>
      </c>
      <c r="CQ58">
        <f>IFERROR(INDEX(PP_Grid[#Data],$DD58,93),0)</f>
        <v/>
      </c>
      <c r="CR58">
        <f>IFERROR(INDEX(PP_Grid[#Data],$DD58,94),0)</f>
        <v/>
      </c>
      <c r="CS58">
        <f>IFERROR(INDEX(PP_Grid[#Data],$DD58,95),0)</f>
        <v/>
      </c>
      <c r="CT58">
        <f>IFERROR(INDEX(PP_Grid[#Data],$DD58,96),0)</f>
        <v/>
      </c>
      <c r="CU58">
        <f>IFERROR(INDEX(PP_Grid[#Data],$DD58,97),0)</f>
        <v/>
      </c>
      <c r="CV58">
        <f>IFERROR(INDEX(PP_Grid[#Data],$DD58,98),0)</f>
        <v/>
      </c>
      <c r="CW58">
        <f>IFERROR(INDEX(PP_Grid[#Data],$DD58,99),0)</f>
        <v/>
      </c>
      <c r="CX58">
        <f>IFERROR(INDEX(PP_Grid[#Data],$DD58,100),0)</f>
        <v/>
      </c>
      <c r="CY58">
        <f>IFERROR(INDEX(PP_Grid[#Data],$DD58,101),0)</f>
        <v/>
      </c>
      <c r="CZ58">
        <f>IFERROR(INDEX(PP_Grid[#Data],$DD58,102),0)</f>
        <v/>
      </c>
      <c r="DA58">
        <f>IFERROR(INDEX(PP_Grid[#Data],$DD58,103),0)</f>
        <v/>
      </c>
      <c r="DB58">
        <f>IFERROR(INDEX(PP_Grid[#Data],$DD58,104),0)</f>
        <v/>
      </c>
      <c r="DC58">
        <f>IFERROR(INDEX(PP_Grid[#Data],$DD58,105),0)</f>
        <v/>
      </c>
      <c r="DD58" s="12">
        <f>IFERROR(MATCH($B58,PP_Grid[Intermediate],0),99999)</f>
        <v/>
      </c>
    </row>
    <row r="59">
      <c r="B59" t="inlineStr">
        <is>
          <t>使用量(kg)</t>
        </is>
      </c>
      <c r="C59">
        <f>SUMIFS(M_BOM[RM_Qty_Per_Batch],M_BOM[Intermediate],$B58,M_BOM[Part Name],$A45)</f>
        <v/>
      </c>
      <c r="D59">
        <f>$C59*D58</f>
        <v/>
      </c>
      <c r="E59">
        <f>$C59*E58</f>
        <v/>
      </c>
      <c r="F59">
        <f>$C59*F58</f>
        <v/>
      </c>
      <c r="G59">
        <f>$C59*G58</f>
        <v/>
      </c>
      <c r="H59">
        <f>$C59*H58</f>
        <v/>
      </c>
      <c r="I59">
        <f>$C59*I58</f>
        <v/>
      </c>
      <c r="J59">
        <f>$C59*J58</f>
        <v/>
      </c>
      <c r="K59">
        <f>$C59*K58</f>
        <v/>
      </c>
      <c r="L59">
        <f>$C59*L58</f>
        <v/>
      </c>
      <c r="M59">
        <f>$C59*M58</f>
        <v/>
      </c>
      <c r="N59">
        <f>$C59*N58</f>
        <v/>
      </c>
      <c r="O59">
        <f>$C59*O58</f>
        <v/>
      </c>
      <c r="P59">
        <f>$C59*P58</f>
        <v/>
      </c>
      <c r="Q59">
        <f>$C59*Q58</f>
        <v/>
      </c>
      <c r="R59">
        <f>$C59*R58</f>
        <v/>
      </c>
      <c r="S59">
        <f>$C59*S58</f>
        <v/>
      </c>
      <c r="T59">
        <f>$C59*T58</f>
        <v/>
      </c>
      <c r="U59">
        <f>$C59*U58</f>
        <v/>
      </c>
      <c r="V59">
        <f>$C59*V58</f>
        <v/>
      </c>
      <c r="W59">
        <f>$C59*W58</f>
        <v/>
      </c>
      <c r="X59">
        <f>$C59*X58</f>
        <v/>
      </c>
      <c r="Y59">
        <f>$C59*Y58</f>
        <v/>
      </c>
      <c r="Z59">
        <f>$C59*Z58</f>
        <v/>
      </c>
      <c r="AA59">
        <f>$C59*AA58</f>
        <v/>
      </c>
      <c r="AB59">
        <f>$C59*AB58</f>
        <v/>
      </c>
      <c r="AC59">
        <f>$C59*AC58</f>
        <v/>
      </c>
      <c r="AD59">
        <f>$C59*AD58</f>
        <v/>
      </c>
      <c r="AE59">
        <f>$C59*AE58</f>
        <v/>
      </c>
      <c r="AF59">
        <f>$C59*AF58</f>
        <v/>
      </c>
      <c r="AG59">
        <f>$C59*AG58</f>
        <v/>
      </c>
      <c r="AH59">
        <f>$C59*AH58</f>
        <v/>
      </c>
      <c r="AI59">
        <f>$C59*AI58</f>
        <v/>
      </c>
      <c r="AJ59">
        <f>$C59*AJ58</f>
        <v/>
      </c>
      <c r="AK59">
        <f>$C59*AK58</f>
        <v/>
      </c>
      <c r="AL59">
        <f>$C59*AL58</f>
        <v/>
      </c>
      <c r="AM59">
        <f>$C59*AM58</f>
        <v/>
      </c>
      <c r="AN59">
        <f>$C59*AN58</f>
        <v/>
      </c>
      <c r="AO59">
        <f>$C59*AO58</f>
        <v/>
      </c>
      <c r="AP59">
        <f>$C59*AP58</f>
        <v/>
      </c>
      <c r="AQ59">
        <f>$C59*AQ58</f>
        <v/>
      </c>
      <c r="AR59">
        <f>$C59*AR58</f>
        <v/>
      </c>
      <c r="AS59">
        <f>$C59*AS58</f>
        <v/>
      </c>
      <c r="AT59">
        <f>$C59*AT58</f>
        <v/>
      </c>
      <c r="AU59">
        <f>$C59*AU58</f>
        <v/>
      </c>
      <c r="AV59">
        <f>$C59*AV58</f>
        <v/>
      </c>
      <c r="AW59">
        <f>$C59*AW58</f>
        <v/>
      </c>
      <c r="AX59">
        <f>$C59*AX58</f>
        <v/>
      </c>
      <c r="AY59">
        <f>$C59*AY58</f>
        <v/>
      </c>
      <c r="AZ59">
        <f>$C59*AZ58</f>
        <v/>
      </c>
      <c r="BA59">
        <f>$C59*BA58</f>
        <v/>
      </c>
      <c r="BB59">
        <f>$C59*BB58</f>
        <v/>
      </c>
      <c r="BC59">
        <f>$C59*BC58</f>
        <v/>
      </c>
      <c r="BD59">
        <f>$C59*BD58</f>
        <v/>
      </c>
      <c r="BE59">
        <f>$C59*BE58</f>
        <v/>
      </c>
      <c r="BF59">
        <f>$C59*BF58</f>
        <v/>
      </c>
      <c r="BG59">
        <f>$C59*BG58</f>
        <v/>
      </c>
      <c r="BH59">
        <f>$C59*BH58</f>
        <v/>
      </c>
      <c r="BI59">
        <f>$C59*BI58</f>
        <v/>
      </c>
      <c r="BJ59">
        <f>$C59*BJ58</f>
        <v/>
      </c>
      <c r="BK59">
        <f>$C59*BK58</f>
        <v/>
      </c>
      <c r="BL59">
        <f>$C59*BL58</f>
        <v/>
      </c>
      <c r="BM59">
        <f>$C59*BM58</f>
        <v/>
      </c>
      <c r="BN59">
        <f>$C59*BN58</f>
        <v/>
      </c>
      <c r="BO59">
        <f>$C59*BO58</f>
        <v/>
      </c>
      <c r="BP59">
        <f>$C59*BP58</f>
        <v/>
      </c>
      <c r="BQ59">
        <f>$C59*BQ58</f>
        <v/>
      </c>
      <c r="BR59">
        <f>$C59*BR58</f>
        <v/>
      </c>
      <c r="BS59">
        <f>$C59*BS58</f>
        <v/>
      </c>
      <c r="BT59">
        <f>$C59*BT58</f>
        <v/>
      </c>
      <c r="BU59">
        <f>$C59*BU58</f>
        <v/>
      </c>
      <c r="BV59">
        <f>$C59*BV58</f>
        <v/>
      </c>
      <c r="BW59">
        <f>$C59*BW58</f>
        <v/>
      </c>
      <c r="BX59">
        <f>$C59*BX58</f>
        <v/>
      </c>
      <c r="BY59">
        <f>$C59*BY58</f>
        <v/>
      </c>
      <c r="BZ59">
        <f>$C59*BZ58</f>
        <v/>
      </c>
      <c r="CA59">
        <f>$C59*CA58</f>
        <v/>
      </c>
      <c r="CB59">
        <f>$C59*CB58</f>
        <v/>
      </c>
      <c r="CC59">
        <f>$C59*CC58</f>
        <v/>
      </c>
      <c r="CD59">
        <f>$C59*CD58</f>
        <v/>
      </c>
      <c r="CE59">
        <f>$C59*CE58</f>
        <v/>
      </c>
      <c r="CF59">
        <f>$C59*CF58</f>
        <v/>
      </c>
      <c r="CG59">
        <f>$C59*CG58</f>
        <v/>
      </c>
      <c r="CH59">
        <f>$C59*CH58</f>
        <v/>
      </c>
      <c r="CI59">
        <f>$C59*CI58</f>
        <v/>
      </c>
      <c r="CJ59">
        <f>$C59*CJ58</f>
        <v/>
      </c>
      <c r="CK59">
        <f>$C59*CK58</f>
        <v/>
      </c>
      <c r="CL59">
        <f>$C59*CL58</f>
        <v/>
      </c>
      <c r="CM59">
        <f>$C59*CM58</f>
        <v/>
      </c>
      <c r="CN59">
        <f>$C59*CN58</f>
        <v/>
      </c>
      <c r="CO59">
        <f>$C59*CO58</f>
        <v/>
      </c>
      <c r="CP59">
        <f>$C59*CP58</f>
        <v/>
      </c>
      <c r="CQ59">
        <f>$C59*CQ58</f>
        <v/>
      </c>
      <c r="CR59">
        <f>$C59*CR58</f>
        <v/>
      </c>
      <c r="CS59">
        <f>$C59*CS58</f>
        <v/>
      </c>
      <c r="CT59">
        <f>$C59*CT58</f>
        <v/>
      </c>
      <c r="CU59">
        <f>$C59*CU58</f>
        <v/>
      </c>
      <c r="CV59">
        <f>$C59*CV58</f>
        <v/>
      </c>
      <c r="CW59">
        <f>$C59*CW58</f>
        <v/>
      </c>
      <c r="CX59">
        <f>$C59*CX58</f>
        <v/>
      </c>
      <c r="CY59">
        <f>$C59*CY58</f>
        <v/>
      </c>
      <c r="CZ59">
        <f>$C59*CZ58</f>
        <v/>
      </c>
      <c r="DA59">
        <f>$C59*DA58</f>
        <v/>
      </c>
      <c r="DB59">
        <f>$C59*DB58</f>
        <v/>
      </c>
      <c r="DC59">
        <f>$C59*DC58</f>
        <v/>
      </c>
    </row>
    <row r="60">
      <c r="B60" t="inlineStr">
        <is>
          <t>TSP-089</t>
        </is>
      </c>
      <c r="C60" t="inlineStr">
        <is>
          <t>No. of batches</t>
        </is>
      </c>
      <c r="D60">
        <f>IFERROR(INDEX(PP_Grid[#Data],$DD60,2),0)</f>
        <v/>
      </c>
      <c r="E60">
        <f>IFERROR(INDEX(PP_Grid[#Data],$DD60,3),0)</f>
        <v/>
      </c>
      <c r="F60">
        <f>IFERROR(INDEX(PP_Grid[#Data],$DD60,4),0)</f>
        <v/>
      </c>
      <c r="G60">
        <f>IFERROR(INDEX(PP_Grid[#Data],$DD60,5),0)</f>
        <v/>
      </c>
      <c r="H60">
        <f>IFERROR(INDEX(PP_Grid[#Data],$DD60,6),0)</f>
        <v/>
      </c>
      <c r="I60">
        <f>IFERROR(INDEX(PP_Grid[#Data],$DD60,7),0)</f>
        <v/>
      </c>
      <c r="J60">
        <f>IFERROR(INDEX(PP_Grid[#Data],$DD60,8),0)</f>
        <v/>
      </c>
      <c r="K60">
        <f>IFERROR(INDEX(PP_Grid[#Data],$DD60,9),0)</f>
        <v/>
      </c>
      <c r="L60">
        <f>IFERROR(INDEX(PP_Grid[#Data],$DD60,10),0)</f>
        <v/>
      </c>
      <c r="M60">
        <f>IFERROR(INDEX(PP_Grid[#Data],$DD60,11),0)</f>
        <v/>
      </c>
      <c r="N60">
        <f>IFERROR(INDEX(PP_Grid[#Data],$DD60,12),0)</f>
        <v/>
      </c>
      <c r="O60">
        <f>IFERROR(INDEX(PP_Grid[#Data],$DD60,13),0)</f>
        <v/>
      </c>
      <c r="P60">
        <f>IFERROR(INDEX(PP_Grid[#Data],$DD60,14),0)</f>
        <v/>
      </c>
      <c r="Q60">
        <f>IFERROR(INDEX(PP_Grid[#Data],$DD60,15),0)</f>
        <v/>
      </c>
      <c r="R60">
        <f>IFERROR(INDEX(PP_Grid[#Data],$DD60,16),0)</f>
        <v/>
      </c>
      <c r="S60">
        <f>IFERROR(INDEX(PP_Grid[#Data],$DD60,17),0)</f>
        <v/>
      </c>
      <c r="T60">
        <f>IFERROR(INDEX(PP_Grid[#Data],$DD60,18),0)</f>
        <v/>
      </c>
      <c r="U60">
        <f>IFERROR(INDEX(PP_Grid[#Data],$DD60,19),0)</f>
        <v/>
      </c>
      <c r="V60">
        <f>IFERROR(INDEX(PP_Grid[#Data],$DD60,20),0)</f>
        <v/>
      </c>
      <c r="W60">
        <f>IFERROR(INDEX(PP_Grid[#Data],$DD60,21),0)</f>
        <v/>
      </c>
      <c r="X60">
        <f>IFERROR(INDEX(PP_Grid[#Data],$DD60,22),0)</f>
        <v/>
      </c>
      <c r="Y60">
        <f>IFERROR(INDEX(PP_Grid[#Data],$DD60,23),0)</f>
        <v/>
      </c>
      <c r="Z60">
        <f>IFERROR(INDEX(PP_Grid[#Data],$DD60,24),0)</f>
        <v/>
      </c>
      <c r="AA60">
        <f>IFERROR(INDEX(PP_Grid[#Data],$DD60,25),0)</f>
        <v/>
      </c>
      <c r="AB60">
        <f>IFERROR(INDEX(PP_Grid[#Data],$DD60,26),0)</f>
        <v/>
      </c>
      <c r="AC60">
        <f>IFERROR(INDEX(PP_Grid[#Data],$DD60,27),0)</f>
        <v/>
      </c>
      <c r="AD60">
        <f>IFERROR(INDEX(PP_Grid[#Data],$DD60,28),0)</f>
        <v/>
      </c>
      <c r="AE60">
        <f>IFERROR(INDEX(PP_Grid[#Data],$DD60,29),0)</f>
        <v/>
      </c>
      <c r="AF60">
        <f>IFERROR(INDEX(PP_Grid[#Data],$DD60,30),0)</f>
        <v/>
      </c>
      <c r="AG60">
        <f>IFERROR(INDEX(PP_Grid[#Data],$DD60,31),0)</f>
        <v/>
      </c>
      <c r="AH60">
        <f>IFERROR(INDEX(PP_Grid[#Data],$DD60,32),0)</f>
        <v/>
      </c>
      <c r="AI60">
        <f>IFERROR(INDEX(PP_Grid[#Data],$DD60,33),0)</f>
        <v/>
      </c>
      <c r="AJ60">
        <f>IFERROR(INDEX(PP_Grid[#Data],$DD60,34),0)</f>
        <v/>
      </c>
      <c r="AK60">
        <f>IFERROR(INDEX(PP_Grid[#Data],$DD60,35),0)</f>
        <v/>
      </c>
      <c r="AL60">
        <f>IFERROR(INDEX(PP_Grid[#Data],$DD60,36),0)</f>
        <v/>
      </c>
      <c r="AM60">
        <f>IFERROR(INDEX(PP_Grid[#Data],$DD60,37),0)</f>
        <v/>
      </c>
      <c r="AN60">
        <f>IFERROR(INDEX(PP_Grid[#Data],$DD60,38),0)</f>
        <v/>
      </c>
      <c r="AO60">
        <f>IFERROR(INDEX(PP_Grid[#Data],$DD60,39),0)</f>
        <v/>
      </c>
      <c r="AP60">
        <f>IFERROR(INDEX(PP_Grid[#Data],$DD60,40),0)</f>
        <v/>
      </c>
      <c r="AQ60">
        <f>IFERROR(INDEX(PP_Grid[#Data],$DD60,41),0)</f>
        <v/>
      </c>
      <c r="AR60">
        <f>IFERROR(INDEX(PP_Grid[#Data],$DD60,42),0)</f>
        <v/>
      </c>
      <c r="AS60">
        <f>IFERROR(INDEX(PP_Grid[#Data],$DD60,43),0)</f>
        <v/>
      </c>
      <c r="AT60">
        <f>IFERROR(INDEX(PP_Grid[#Data],$DD60,44),0)</f>
        <v/>
      </c>
      <c r="AU60">
        <f>IFERROR(INDEX(PP_Grid[#Data],$DD60,45),0)</f>
        <v/>
      </c>
      <c r="AV60">
        <f>IFERROR(INDEX(PP_Grid[#Data],$DD60,46),0)</f>
        <v/>
      </c>
      <c r="AW60">
        <f>IFERROR(INDEX(PP_Grid[#Data],$DD60,47),0)</f>
        <v/>
      </c>
      <c r="AX60">
        <f>IFERROR(INDEX(PP_Grid[#Data],$DD60,48),0)</f>
        <v/>
      </c>
      <c r="AY60">
        <f>IFERROR(INDEX(PP_Grid[#Data],$DD60,49),0)</f>
        <v/>
      </c>
      <c r="AZ60">
        <f>IFERROR(INDEX(PP_Grid[#Data],$DD60,50),0)</f>
        <v/>
      </c>
      <c r="BA60">
        <f>IFERROR(INDEX(PP_Grid[#Data],$DD60,51),0)</f>
        <v/>
      </c>
      <c r="BB60">
        <f>IFERROR(INDEX(PP_Grid[#Data],$DD60,52),0)</f>
        <v/>
      </c>
      <c r="BC60">
        <f>IFERROR(INDEX(PP_Grid[#Data],$DD60,53),0)</f>
        <v/>
      </c>
      <c r="BD60">
        <f>IFERROR(INDEX(PP_Grid[#Data],$DD60,54),0)</f>
        <v/>
      </c>
      <c r="BE60">
        <f>IFERROR(INDEX(PP_Grid[#Data],$DD60,55),0)</f>
        <v/>
      </c>
      <c r="BF60">
        <f>IFERROR(INDEX(PP_Grid[#Data],$DD60,56),0)</f>
        <v/>
      </c>
      <c r="BG60">
        <f>IFERROR(INDEX(PP_Grid[#Data],$DD60,57),0)</f>
        <v/>
      </c>
      <c r="BH60">
        <f>IFERROR(INDEX(PP_Grid[#Data],$DD60,58),0)</f>
        <v/>
      </c>
      <c r="BI60">
        <f>IFERROR(INDEX(PP_Grid[#Data],$DD60,59),0)</f>
        <v/>
      </c>
      <c r="BJ60">
        <f>IFERROR(INDEX(PP_Grid[#Data],$DD60,60),0)</f>
        <v/>
      </c>
      <c r="BK60">
        <f>IFERROR(INDEX(PP_Grid[#Data],$DD60,61),0)</f>
        <v/>
      </c>
      <c r="BL60">
        <f>IFERROR(INDEX(PP_Grid[#Data],$DD60,62),0)</f>
        <v/>
      </c>
      <c r="BM60">
        <f>IFERROR(INDEX(PP_Grid[#Data],$DD60,63),0)</f>
        <v/>
      </c>
      <c r="BN60">
        <f>IFERROR(INDEX(PP_Grid[#Data],$DD60,64),0)</f>
        <v/>
      </c>
      <c r="BO60">
        <f>IFERROR(INDEX(PP_Grid[#Data],$DD60,65),0)</f>
        <v/>
      </c>
      <c r="BP60">
        <f>IFERROR(INDEX(PP_Grid[#Data],$DD60,66),0)</f>
        <v/>
      </c>
      <c r="BQ60">
        <f>IFERROR(INDEX(PP_Grid[#Data],$DD60,67),0)</f>
        <v/>
      </c>
      <c r="BR60">
        <f>IFERROR(INDEX(PP_Grid[#Data],$DD60,68),0)</f>
        <v/>
      </c>
      <c r="BS60">
        <f>IFERROR(INDEX(PP_Grid[#Data],$DD60,69),0)</f>
        <v/>
      </c>
      <c r="BT60">
        <f>IFERROR(INDEX(PP_Grid[#Data],$DD60,70),0)</f>
        <v/>
      </c>
      <c r="BU60">
        <f>IFERROR(INDEX(PP_Grid[#Data],$DD60,71),0)</f>
        <v/>
      </c>
      <c r="BV60">
        <f>IFERROR(INDEX(PP_Grid[#Data],$DD60,72),0)</f>
        <v/>
      </c>
      <c r="BW60">
        <f>IFERROR(INDEX(PP_Grid[#Data],$DD60,73),0)</f>
        <v/>
      </c>
      <c r="BX60">
        <f>IFERROR(INDEX(PP_Grid[#Data],$DD60,74),0)</f>
        <v/>
      </c>
      <c r="BY60">
        <f>IFERROR(INDEX(PP_Grid[#Data],$DD60,75),0)</f>
        <v/>
      </c>
      <c r="BZ60">
        <f>IFERROR(INDEX(PP_Grid[#Data],$DD60,76),0)</f>
        <v/>
      </c>
      <c r="CA60">
        <f>IFERROR(INDEX(PP_Grid[#Data],$DD60,77),0)</f>
        <v/>
      </c>
      <c r="CB60">
        <f>IFERROR(INDEX(PP_Grid[#Data],$DD60,78),0)</f>
        <v/>
      </c>
      <c r="CC60">
        <f>IFERROR(INDEX(PP_Grid[#Data],$DD60,79),0)</f>
        <v/>
      </c>
      <c r="CD60">
        <f>IFERROR(INDEX(PP_Grid[#Data],$DD60,80),0)</f>
        <v/>
      </c>
      <c r="CE60">
        <f>IFERROR(INDEX(PP_Grid[#Data],$DD60,81),0)</f>
        <v/>
      </c>
      <c r="CF60">
        <f>IFERROR(INDEX(PP_Grid[#Data],$DD60,82),0)</f>
        <v/>
      </c>
      <c r="CG60">
        <f>IFERROR(INDEX(PP_Grid[#Data],$DD60,83),0)</f>
        <v/>
      </c>
      <c r="CH60">
        <f>IFERROR(INDEX(PP_Grid[#Data],$DD60,84),0)</f>
        <v/>
      </c>
      <c r="CI60">
        <f>IFERROR(INDEX(PP_Grid[#Data],$DD60,85),0)</f>
        <v/>
      </c>
      <c r="CJ60">
        <f>IFERROR(INDEX(PP_Grid[#Data],$DD60,86),0)</f>
        <v/>
      </c>
      <c r="CK60">
        <f>IFERROR(INDEX(PP_Grid[#Data],$DD60,87),0)</f>
        <v/>
      </c>
      <c r="CL60">
        <f>IFERROR(INDEX(PP_Grid[#Data],$DD60,88),0)</f>
        <v/>
      </c>
      <c r="CM60">
        <f>IFERROR(INDEX(PP_Grid[#Data],$DD60,89),0)</f>
        <v/>
      </c>
      <c r="CN60">
        <f>IFERROR(INDEX(PP_Grid[#Data],$DD60,90),0)</f>
        <v/>
      </c>
      <c r="CO60">
        <f>IFERROR(INDEX(PP_Grid[#Data],$DD60,91),0)</f>
        <v/>
      </c>
      <c r="CP60">
        <f>IFERROR(INDEX(PP_Grid[#Data],$DD60,92),0)</f>
        <v/>
      </c>
      <c r="CQ60">
        <f>IFERROR(INDEX(PP_Grid[#Data],$DD60,93),0)</f>
        <v/>
      </c>
      <c r="CR60">
        <f>IFERROR(INDEX(PP_Grid[#Data],$DD60,94),0)</f>
        <v/>
      </c>
      <c r="CS60">
        <f>IFERROR(INDEX(PP_Grid[#Data],$DD60,95),0)</f>
        <v/>
      </c>
      <c r="CT60">
        <f>IFERROR(INDEX(PP_Grid[#Data],$DD60,96),0)</f>
        <v/>
      </c>
      <c r="CU60">
        <f>IFERROR(INDEX(PP_Grid[#Data],$DD60,97),0)</f>
        <v/>
      </c>
      <c r="CV60">
        <f>IFERROR(INDEX(PP_Grid[#Data],$DD60,98),0)</f>
        <v/>
      </c>
      <c r="CW60">
        <f>IFERROR(INDEX(PP_Grid[#Data],$DD60,99),0)</f>
        <v/>
      </c>
      <c r="CX60">
        <f>IFERROR(INDEX(PP_Grid[#Data],$DD60,100),0)</f>
        <v/>
      </c>
      <c r="CY60">
        <f>IFERROR(INDEX(PP_Grid[#Data],$DD60,101),0)</f>
        <v/>
      </c>
      <c r="CZ60">
        <f>IFERROR(INDEX(PP_Grid[#Data],$DD60,102),0)</f>
        <v/>
      </c>
      <c r="DA60">
        <f>IFERROR(INDEX(PP_Grid[#Data],$DD60,103),0)</f>
        <v/>
      </c>
      <c r="DB60">
        <f>IFERROR(INDEX(PP_Grid[#Data],$DD60,104),0)</f>
        <v/>
      </c>
      <c r="DC60">
        <f>IFERROR(INDEX(PP_Grid[#Data],$DD60,105),0)</f>
        <v/>
      </c>
      <c r="DD60" s="12">
        <f>IFERROR(MATCH($B60,PP_Grid[Intermediate],0),99999)</f>
        <v/>
      </c>
    </row>
    <row r="61">
      <c r="B61" t="inlineStr">
        <is>
          <t>使用量(kg)</t>
        </is>
      </c>
      <c r="C61">
        <f>SUMIFS(M_BOM[RM_Qty_Per_Batch],M_BOM[Intermediate],$B60,M_BOM[Part Name],$A45)</f>
        <v/>
      </c>
      <c r="D61">
        <f>$C61*D60</f>
        <v/>
      </c>
      <c r="E61">
        <f>$C61*E60</f>
        <v/>
      </c>
      <c r="F61">
        <f>$C61*F60</f>
        <v/>
      </c>
      <c r="G61">
        <f>$C61*G60</f>
        <v/>
      </c>
      <c r="H61">
        <f>$C61*H60</f>
        <v/>
      </c>
      <c r="I61">
        <f>$C61*I60</f>
        <v/>
      </c>
      <c r="J61">
        <f>$C61*J60</f>
        <v/>
      </c>
      <c r="K61">
        <f>$C61*K60</f>
        <v/>
      </c>
      <c r="L61">
        <f>$C61*L60</f>
        <v/>
      </c>
      <c r="M61">
        <f>$C61*M60</f>
        <v/>
      </c>
      <c r="N61">
        <f>$C61*N60</f>
        <v/>
      </c>
      <c r="O61">
        <f>$C61*O60</f>
        <v/>
      </c>
      <c r="P61">
        <f>$C61*P60</f>
        <v/>
      </c>
      <c r="Q61">
        <f>$C61*Q60</f>
        <v/>
      </c>
      <c r="R61">
        <f>$C61*R60</f>
        <v/>
      </c>
      <c r="S61">
        <f>$C61*S60</f>
        <v/>
      </c>
      <c r="T61">
        <f>$C61*T60</f>
        <v/>
      </c>
      <c r="U61">
        <f>$C61*U60</f>
        <v/>
      </c>
      <c r="V61">
        <f>$C61*V60</f>
        <v/>
      </c>
      <c r="W61">
        <f>$C61*W60</f>
        <v/>
      </c>
      <c r="X61">
        <f>$C61*X60</f>
        <v/>
      </c>
      <c r="Y61">
        <f>$C61*Y60</f>
        <v/>
      </c>
      <c r="Z61">
        <f>$C61*Z60</f>
        <v/>
      </c>
      <c r="AA61">
        <f>$C61*AA60</f>
        <v/>
      </c>
      <c r="AB61">
        <f>$C61*AB60</f>
        <v/>
      </c>
      <c r="AC61">
        <f>$C61*AC60</f>
        <v/>
      </c>
      <c r="AD61">
        <f>$C61*AD60</f>
        <v/>
      </c>
      <c r="AE61">
        <f>$C61*AE60</f>
        <v/>
      </c>
      <c r="AF61">
        <f>$C61*AF60</f>
        <v/>
      </c>
      <c r="AG61">
        <f>$C61*AG60</f>
        <v/>
      </c>
      <c r="AH61">
        <f>$C61*AH60</f>
        <v/>
      </c>
      <c r="AI61">
        <f>$C61*AI60</f>
        <v/>
      </c>
      <c r="AJ61">
        <f>$C61*AJ60</f>
        <v/>
      </c>
      <c r="AK61">
        <f>$C61*AK60</f>
        <v/>
      </c>
      <c r="AL61">
        <f>$C61*AL60</f>
        <v/>
      </c>
      <c r="AM61">
        <f>$C61*AM60</f>
        <v/>
      </c>
      <c r="AN61">
        <f>$C61*AN60</f>
        <v/>
      </c>
      <c r="AO61">
        <f>$C61*AO60</f>
        <v/>
      </c>
      <c r="AP61">
        <f>$C61*AP60</f>
        <v/>
      </c>
      <c r="AQ61">
        <f>$C61*AQ60</f>
        <v/>
      </c>
      <c r="AR61">
        <f>$C61*AR60</f>
        <v/>
      </c>
      <c r="AS61">
        <f>$C61*AS60</f>
        <v/>
      </c>
      <c r="AT61">
        <f>$C61*AT60</f>
        <v/>
      </c>
      <c r="AU61">
        <f>$C61*AU60</f>
        <v/>
      </c>
      <c r="AV61">
        <f>$C61*AV60</f>
        <v/>
      </c>
      <c r="AW61">
        <f>$C61*AW60</f>
        <v/>
      </c>
      <c r="AX61">
        <f>$C61*AX60</f>
        <v/>
      </c>
      <c r="AY61">
        <f>$C61*AY60</f>
        <v/>
      </c>
      <c r="AZ61">
        <f>$C61*AZ60</f>
        <v/>
      </c>
      <c r="BA61">
        <f>$C61*BA60</f>
        <v/>
      </c>
      <c r="BB61">
        <f>$C61*BB60</f>
        <v/>
      </c>
      <c r="BC61">
        <f>$C61*BC60</f>
        <v/>
      </c>
      <c r="BD61">
        <f>$C61*BD60</f>
        <v/>
      </c>
      <c r="BE61">
        <f>$C61*BE60</f>
        <v/>
      </c>
      <c r="BF61">
        <f>$C61*BF60</f>
        <v/>
      </c>
      <c r="BG61">
        <f>$C61*BG60</f>
        <v/>
      </c>
      <c r="BH61">
        <f>$C61*BH60</f>
        <v/>
      </c>
      <c r="BI61">
        <f>$C61*BI60</f>
        <v/>
      </c>
      <c r="BJ61">
        <f>$C61*BJ60</f>
        <v/>
      </c>
      <c r="BK61">
        <f>$C61*BK60</f>
        <v/>
      </c>
      <c r="BL61">
        <f>$C61*BL60</f>
        <v/>
      </c>
      <c r="BM61">
        <f>$C61*BM60</f>
        <v/>
      </c>
      <c r="BN61">
        <f>$C61*BN60</f>
        <v/>
      </c>
      <c r="BO61">
        <f>$C61*BO60</f>
        <v/>
      </c>
      <c r="BP61">
        <f>$C61*BP60</f>
        <v/>
      </c>
      <c r="BQ61">
        <f>$C61*BQ60</f>
        <v/>
      </c>
      <c r="BR61">
        <f>$C61*BR60</f>
        <v/>
      </c>
      <c r="BS61">
        <f>$C61*BS60</f>
        <v/>
      </c>
      <c r="BT61">
        <f>$C61*BT60</f>
        <v/>
      </c>
      <c r="BU61">
        <f>$C61*BU60</f>
        <v/>
      </c>
      <c r="BV61">
        <f>$C61*BV60</f>
        <v/>
      </c>
      <c r="BW61">
        <f>$C61*BW60</f>
        <v/>
      </c>
      <c r="BX61">
        <f>$C61*BX60</f>
        <v/>
      </c>
      <c r="BY61">
        <f>$C61*BY60</f>
        <v/>
      </c>
      <c r="BZ61">
        <f>$C61*BZ60</f>
        <v/>
      </c>
      <c r="CA61">
        <f>$C61*CA60</f>
        <v/>
      </c>
      <c r="CB61">
        <f>$C61*CB60</f>
        <v/>
      </c>
      <c r="CC61">
        <f>$C61*CC60</f>
        <v/>
      </c>
      <c r="CD61">
        <f>$C61*CD60</f>
        <v/>
      </c>
      <c r="CE61">
        <f>$C61*CE60</f>
        <v/>
      </c>
      <c r="CF61">
        <f>$C61*CF60</f>
        <v/>
      </c>
      <c r="CG61">
        <f>$C61*CG60</f>
        <v/>
      </c>
      <c r="CH61">
        <f>$C61*CH60</f>
        <v/>
      </c>
      <c r="CI61">
        <f>$C61*CI60</f>
        <v/>
      </c>
      <c r="CJ61">
        <f>$C61*CJ60</f>
        <v/>
      </c>
      <c r="CK61">
        <f>$C61*CK60</f>
        <v/>
      </c>
      <c r="CL61">
        <f>$C61*CL60</f>
        <v/>
      </c>
      <c r="CM61">
        <f>$C61*CM60</f>
        <v/>
      </c>
      <c r="CN61">
        <f>$C61*CN60</f>
        <v/>
      </c>
      <c r="CO61">
        <f>$C61*CO60</f>
        <v/>
      </c>
      <c r="CP61">
        <f>$C61*CP60</f>
        <v/>
      </c>
      <c r="CQ61">
        <f>$C61*CQ60</f>
        <v/>
      </c>
      <c r="CR61">
        <f>$C61*CR60</f>
        <v/>
      </c>
      <c r="CS61">
        <f>$C61*CS60</f>
        <v/>
      </c>
      <c r="CT61">
        <f>$C61*CT60</f>
        <v/>
      </c>
      <c r="CU61">
        <f>$C61*CU60</f>
        <v/>
      </c>
      <c r="CV61">
        <f>$C61*CV60</f>
        <v/>
      </c>
      <c r="CW61">
        <f>$C61*CW60</f>
        <v/>
      </c>
      <c r="CX61">
        <f>$C61*CX60</f>
        <v/>
      </c>
      <c r="CY61">
        <f>$C61*CY60</f>
        <v/>
      </c>
      <c r="CZ61">
        <f>$C61*CZ60</f>
        <v/>
      </c>
      <c r="DA61">
        <f>$C61*DA60</f>
        <v/>
      </c>
      <c r="DB61">
        <f>$C61*DB60</f>
        <v/>
      </c>
      <c r="DC61">
        <f>$C61*DC60</f>
        <v/>
      </c>
    </row>
    <row r="62">
      <c r="B62" t="inlineStr">
        <is>
          <t>TSP-104</t>
        </is>
      </c>
      <c r="C62" t="inlineStr">
        <is>
          <t>No. of batches</t>
        </is>
      </c>
      <c r="D62">
        <f>IFERROR(INDEX(PP_Grid[#Data],$DD62,2),0)</f>
        <v/>
      </c>
      <c r="E62">
        <f>IFERROR(INDEX(PP_Grid[#Data],$DD62,3),0)</f>
        <v/>
      </c>
      <c r="F62">
        <f>IFERROR(INDEX(PP_Grid[#Data],$DD62,4),0)</f>
        <v/>
      </c>
      <c r="G62">
        <f>IFERROR(INDEX(PP_Grid[#Data],$DD62,5),0)</f>
        <v/>
      </c>
      <c r="H62">
        <f>IFERROR(INDEX(PP_Grid[#Data],$DD62,6),0)</f>
        <v/>
      </c>
      <c r="I62">
        <f>IFERROR(INDEX(PP_Grid[#Data],$DD62,7),0)</f>
        <v/>
      </c>
      <c r="J62">
        <f>IFERROR(INDEX(PP_Grid[#Data],$DD62,8),0)</f>
        <v/>
      </c>
      <c r="K62">
        <f>IFERROR(INDEX(PP_Grid[#Data],$DD62,9),0)</f>
        <v/>
      </c>
      <c r="L62">
        <f>IFERROR(INDEX(PP_Grid[#Data],$DD62,10),0)</f>
        <v/>
      </c>
      <c r="M62">
        <f>IFERROR(INDEX(PP_Grid[#Data],$DD62,11),0)</f>
        <v/>
      </c>
      <c r="N62">
        <f>IFERROR(INDEX(PP_Grid[#Data],$DD62,12),0)</f>
        <v/>
      </c>
      <c r="O62">
        <f>IFERROR(INDEX(PP_Grid[#Data],$DD62,13),0)</f>
        <v/>
      </c>
      <c r="P62">
        <f>IFERROR(INDEX(PP_Grid[#Data],$DD62,14),0)</f>
        <v/>
      </c>
      <c r="Q62">
        <f>IFERROR(INDEX(PP_Grid[#Data],$DD62,15),0)</f>
        <v/>
      </c>
      <c r="R62">
        <f>IFERROR(INDEX(PP_Grid[#Data],$DD62,16),0)</f>
        <v/>
      </c>
      <c r="S62">
        <f>IFERROR(INDEX(PP_Grid[#Data],$DD62,17),0)</f>
        <v/>
      </c>
      <c r="T62">
        <f>IFERROR(INDEX(PP_Grid[#Data],$DD62,18),0)</f>
        <v/>
      </c>
      <c r="U62">
        <f>IFERROR(INDEX(PP_Grid[#Data],$DD62,19),0)</f>
        <v/>
      </c>
      <c r="V62">
        <f>IFERROR(INDEX(PP_Grid[#Data],$DD62,20),0)</f>
        <v/>
      </c>
      <c r="W62">
        <f>IFERROR(INDEX(PP_Grid[#Data],$DD62,21),0)</f>
        <v/>
      </c>
      <c r="X62">
        <f>IFERROR(INDEX(PP_Grid[#Data],$DD62,22),0)</f>
        <v/>
      </c>
      <c r="Y62">
        <f>IFERROR(INDEX(PP_Grid[#Data],$DD62,23),0)</f>
        <v/>
      </c>
      <c r="Z62">
        <f>IFERROR(INDEX(PP_Grid[#Data],$DD62,24),0)</f>
        <v/>
      </c>
      <c r="AA62">
        <f>IFERROR(INDEX(PP_Grid[#Data],$DD62,25),0)</f>
        <v/>
      </c>
      <c r="AB62">
        <f>IFERROR(INDEX(PP_Grid[#Data],$DD62,26),0)</f>
        <v/>
      </c>
      <c r="AC62">
        <f>IFERROR(INDEX(PP_Grid[#Data],$DD62,27),0)</f>
        <v/>
      </c>
      <c r="AD62">
        <f>IFERROR(INDEX(PP_Grid[#Data],$DD62,28),0)</f>
        <v/>
      </c>
      <c r="AE62">
        <f>IFERROR(INDEX(PP_Grid[#Data],$DD62,29),0)</f>
        <v/>
      </c>
      <c r="AF62">
        <f>IFERROR(INDEX(PP_Grid[#Data],$DD62,30),0)</f>
        <v/>
      </c>
      <c r="AG62">
        <f>IFERROR(INDEX(PP_Grid[#Data],$DD62,31),0)</f>
        <v/>
      </c>
      <c r="AH62">
        <f>IFERROR(INDEX(PP_Grid[#Data],$DD62,32),0)</f>
        <v/>
      </c>
      <c r="AI62">
        <f>IFERROR(INDEX(PP_Grid[#Data],$DD62,33),0)</f>
        <v/>
      </c>
      <c r="AJ62">
        <f>IFERROR(INDEX(PP_Grid[#Data],$DD62,34),0)</f>
        <v/>
      </c>
      <c r="AK62">
        <f>IFERROR(INDEX(PP_Grid[#Data],$DD62,35),0)</f>
        <v/>
      </c>
      <c r="AL62">
        <f>IFERROR(INDEX(PP_Grid[#Data],$DD62,36),0)</f>
        <v/>
      </c>
      <c r="AM62">
        <f>IFERROR(INDEX(PP_Grid[#Data],$DD62,37),0)</f>
        <v/>
      </c>
      <c r="AN62">
        <f>IFERROR(INDEX(PP_Grid[#Data],$DD62,38),0)</f>
        <v/>
      </c>
      <c r="AO62">
        <f>IFERROR(INDEX(PP_Grid[#Data],$DD62,39),0)</f>
        <v/>
      </c>
      <c r="AP62">
        <f>IFERROR(INDEX(PP_Grid[#Data],$DD62,40),0)</f>
        <v/>
      </c>
      <c r="AQ62">
        <f>IFERROR(INDEX(PP_Grid[#Data],$DD62,41),0)</f>
        <v/>
      </c>
      <c r="AR62">
        <f>IFERROR(INDEX(PP_Grid[#Data],$DD62,42),0)</f>
        <v/>
      </c>
      <c r="AS62">
        <f>IFERROR(INDEX(PP_Grid[#Data],$DD62,43),0)</f>
        <v/>
      </c>
      <c r="AT62">
        <f>IFERROR(INDEX(PP_Grid[#Data],$DD62,44),0)</f>
        <v/>
      </c>
      <c r="AU62">
        <f>IFERROR(INDEX(PP_Grid[#Data],$DD62,45),0)</f>
        <v/>
      </c>
      <c r="AV62">
        <f>IFERROR(INDEX(PP_Grid[#Data],$DD62,46),0)</f>
        <v/>
      </c>
      <c r="AW62">
        <f>IFERROR(INDEX(PP_Grid[#Data],$DD62,47),0)</f>
        <v/>
      </c>
      <c r="AX62">
        <f>IFERROR(INDEX(PP_Grid[#Data],$DD62,48),0)</f>
        <v/>
      </c>
      <c r="AY62">
        <f>IFERROR(INDEX(PP_Grid[#Data],$DD62,49),0)</f>
        <v/>
      </c>
      <c r="AZ62">
        <f>IFERROR(INDEX(PP_Grid[#Data],$DD62,50),0)</f>
        <v/>
      </c>
      <c r="BA62">
        <f>IFERROR(INDEX(PP_Grid[#Data],$DD62,51),0)</f>
        <v/>
      </c>
      <c r="BB62">
        <f>IFERROR(INDEX(PP_Grid[#Data],$DD62,52),0)</f>
        <v/>
      </c>
      <c r="BC62">
        <f>IFERROR(INDEX(PP_Grid[#Data],$DD62,53),0)</f>
        <v/>
      </c>
      <c r="BD62">
        <f>IFERROR(INDEX(PP_Grid[#Data],$DD62,54),0)</f>
        <v/>
      </c>
      <c r="BE62">
        <f>IFERROR(INDEX(PP_Grid[#Data],$DD62,55),0)</f>
        <v/>
      </c>
      <c r="BF62">
        <f>IFERROR(INDEX(PP_Grid[#Data],$DD62,56),0)</f>
        <v/>
      </c>
      <c r="BG62">
        <f>IFERROR(INDEX(PP_Grid[#Data],$DD62,57),0)</f>
        <v/>
      </c>
      <c r="BH62">
        <f>IFERROR(INDEX(PP_Grid[#Data],$DD62,58),0)</f>
        <v/>
      </c>
      <c r="BI62">
        <f>IFERROR(INDEX(PP_Grid[#Data],$DD62,59),0)</f>
        <v/>
      </c>
      <c r="BJ62">
        <f>IFERROR(INDEX(PP_Grid[#Data],$DD62,60),0)</f>
        <v/>
      </c>
      <c r="BK62">
        <f>IFERROR(INDEX(PP_Grid[#Data],$DD62,61),0)</f>
        <v/>
      </c>
      <c r="BL62">
        <f>IFERROR(INDEX(PP_Grid[#Data],$DD62,62),0)</f>
        <v/>
      </c>
      <c r="BM62">
        <f>IFERROR(INDEX(PP_Grid[#Data],$DD62,63),0)</f>
        <v/>
      </c>
      <c r="BN62">
        <f>IFERROR(INDEX(PP_Grid[#Data],$DD62,64),0)</f>
        <v/>
      </c>
      <c r="BO62">
        <f>IFERROR(INDEX(PP_Grid[#Data],$DD62,65),0)</f>
        <v/>
      </c>
      <c r="BP62">
        <f>IFERROR(INDEX(PP_Grid[#Data],$DD62,66),0)</f>
        <v/>
      </c>
      <c r="BQ62">
        <f>IFERROR(INDEX(PP_Grid[#Data],$DD62,67),0)</f>
        <v/>
      </c>
      <c r="BR62">
        <f>IFERROR(INDEX(PP_Grid[#Data],$DD62,68),0)</f>
        <v/>
      </c>
      <c r="BS62">
        <f>IFERROR(INDEX(PP_Grid[#Data],$DD62,69),0)</f>
        <v/>
      </c>
      <c r="BT62">
        <f>IFERROR(INDEX(PP_Grid[#Data],$DD62,70),0)</f>
        <v/>
      </c>
      <c r="BU62">
        <f>IFERROR(INDEX(PP_Grid[#Data],$DD62,71),0)</f>
        <v/>
      </c>
      <c r="BV62">
        <f>IFERROR(INDEX(PP_Grid[#Data],$DD62,72),0)</f>
        <v/>
      </c>
      <c r="BW62">
        <f>IFERROR(INDEX(PP_Grid[#Data],$DD62,73),0)</f>
        <v/>
      </c>
      <c r="BX62">
        <f>IFERROR(INDEX(PP_Grid[#Data],$DD62,74),0)</f>
        <v/>
      </c>
      <c r="BY62">
        <f>IFERROR(INDEX(PP_Grid[#Data],$DD62,75),0)</f>
        <v/>
      </c>
      <c r="BZ62">
        <f>IFERROR(INDEX(PP_Grid[#Data],$DD62,76),0)</f>
        <v/>
      </c>
      <c r="CA62">
        <f>IFERROR(INDEX(PP_Grid[#Data],$DD62,77),0)</f>
        <v/>
      </c>
      <c r="CB62">
        <f>IFERROR(INDEX(PP_Grid[#Data],$DD62,78),0)</f>
        <v/>
      </c>
      <c r="CC62">
        <f>IFERROR(INDEX(PP_Grid[#Data],$DD62,79),0)</f>
        <v/>
      </c>
      <c r="CD62">
        <f>IFERROR(INDEX(PP_Grid[#Data],$DD62,80),0)</f>
        <v/>
      </c>
      <c r="CE62">
        <f>IFERROR(INDEX(PP_Grid[#Data],$DD62,81),0)</f>
        <v/>
      </c>
      <c r="CF62">
        <f>IFERROR(INDEX(PP_Grid[#Data],$DD62,82),0)</f>
        <v/>
      </c>
      <c r="CG62">
        <f>IFERROR(INDEX(PP_Grid[#Data],$DD62,83),0)</f>
        <v/>
      </c>
      <c r="CH62">
        <f>IFERROR(INDEX(PP_Grid[#Data],$DD62,84),0)</f>
        <v/>
      </c>
      <c r="CI62">
        <f>IFERROR(INDEX(PP_Grid[#Data],$DD62,85),0)</f>
        <v/>
      </c>
      <c r="CJ62">
        <f>IFERROR(INDEX(PP_Grid[#Data],$DD62,86),0)</f>
        <v/>
      </c>
      <c r="CK62">
        <f>IFERROR(INDEX(PP_Grid[#Data],$DD62,87),0)</f>
        <v/>
      </c>
      <c r="CL62">
        <f>IFERROR(INDEX(PP_Grid[#Data],$DD62,88),0)</f>
        <v/>
      </c>
      <c r="CM62">
        <f>IFERROR(INDEX(PP_Grid[#Data],$DD62,89),0)</f>
        <v/>
      </c>
      <c r="CN62">
        <f>IFERROR(INDEX(PP_Grid[#Data],$DD62,90),0)</f>
        <v/>
      </c>
      <c r="CO62">
        <f>IFERROR(INDEX(PP_Grid[#Data],$DD62,91),0)</f>
        <v/>
      </c>
      <c r="CP62">
        <f>IFERROR(INDEX(PP_Grid[#Data],$DD62,92),0)</f>
        <v/>
      </c>
      <c r="CQ62">
        <f>IFERROR(INDEX(PP_Grid[#Data],$DD62,93),0)</f>
        <v/>
      </c>
      <c r="CR62">
        <f>IFERROR(INDEX(PP_Grid[#Data],$DD62,94),0)</f>
        <v/>
      </c>
      <c r="CS62">
        <f>IFERROR(INDEX(PP_Grid[#Data],$DD62,95),0)</f>
        <v/>
      </c>
      <c r="CT62">
        <f>IFERROR(INDEX(PP_Grid[#Data],$DD62,96),0)</f>
        <v/>
      </c>
      <c r="CU62">
        <f>IFERROR(INDEX(PP_Grid[#Data],$DD62,97),0)</f>
        <v/>
      </c>
      <c r="CV62">
        <f>IFERROR(INDEX(PP_Grid[#Data],$DD62,98),0)</f>
        <v/>
      </c>
      <c r="CW62">
        <f>IFERROR(INDEX(PP_Grid[#Data],$DD62,99),0)</f>
        <v/>
      </c>
      <c r="CX62">
        <f>IFERROR(INDEX(PP_Grid[#Data],$DD62,100),0)</f>
        <v/>
      </c>
      <c r="CY62">
        <f>IFERROR(INDEX(PP_Grid[#Data],$DD62,101),0)</f>
        <v/>
      </c>
      <c r="CZ62">
        <f>IFERROR(INDEX(PP_Grid[#Data],$DD62,102),0)</f>
        <v/>
      </c>
      <c r="DA62">
        <f>IFERROR(INDEX(PP_Grid[#Data],$DD62,103),0)</f>
        <v/>
      </c>
      <c r="DB62">
        <f>IFERROR(INDEX(PP_Grid[#Data],$DD62,104),0)</f>
        <v/>
      </c>
      <c r="DC62">
        <f>IFERROR(INDEX(PP_Grid[#Data],$DD62,105),0)</f>
        <v/>
      </c>
      <c r="DD62" s="12">
        <f>IFERROR(MATCH($B62,PP_Grid[Intermediate],0),99999)</f>
        <v/>
      </c>
    </row>
    <row r="63">
      <c r="B63" t="inlineStr">
        <is>
          <t>使用量(kg)</t>
        </is>
      </c>
      <c r="C63">
        <f>SUMIFS(M_BOM[RM_Qty_Per_Batch],M_BOM[Intermediate],$B62,M_BOM[Part Name],$A45)</f>
        <v/>
      </c>
      <c r="D63">
        <f>$C63*D62</f>
        <v/>
      </c>
      <c r="E63">
        <f>$C63*E62</f>
        <v/>
      </c>
      <c r="F63">
        <f>$C63*F62</f>
        <v/>
      </c>
      <c r="G63">
        <f>$C63*G62</f>
        <v/>
      </c>
      <c r="H63">
        <f>$C63*H62</f>
        <v/>
      </c>
      <c r="I63">
        <f>$C63*I62</f>
        <v/>
      </c>
      <c r="J63">
        <f>$C63*J62</f>
        <v/>
      </c>
      <c r="K63">
        <f>$C63*K62</f>
        <v/>
      </c>
      <c r="L63">
        <f>$C63*L62</f>
        <v/>
      </c>
      <c r="M63">
        <f>$C63*M62</f>
        <v/>
      </c>
      <c r="N63">
        <f>$C63*N62</f>
        <v/>
      </c>
      <c r="O63">
        <f>$C63*O62</f>
        <v/>
      </c>
      <c r="P63">
        <f>$C63*P62</f>
        <v/>
      </c>
      <c r="Q63">
        <f>$C63*Q62</f>
        <v/>
      </c>
      <c r="R63">
        <f>$C63*R62</f>
        <v/>
      </c>
      <c r="S63">
        <f>$C63*S62</f>
        <v/>
      </c>
      <c r="T63">
        <f>$C63*T62</f>
        <v/>
      </c>
      <c r="U63">
        <f>$C63*U62</f>
        <v/>
      </c>
      <c r="V63">
        <f>$C63*V62</f>
        <v/>
      </c>
      <c r="W63">
        <f>$C63*W62</f>
        <v/>
      </c>
      <c r="X63">
        <f>$C63*X62</f>
        <v/>
      </c>
      <c r="Y63">
        <f>$C63*Y62</f>
        <v/>
      </c>
      <c r="Z63">
        <f>$C63*Z62</f>
        <v/>
      </c>
      <c r="AA63">
        <f>$C63*AA62</f>
        <v/>
      </c>
      <c r="AB63">
        <f>$C63*AB62</f>
        <v/>
      </c>
      <c r="AC63">
        <f>$C63*AC62</f>
        <v/>
      </c>
      <c r="AD63">
        <f>$C63*AD62</f>
        <v/>
      </c>
      <c r="AE63">
        <f>$C63*AE62</f>
        <v/>
      </c>
      <c r="AF63">
        <f>$C63*AF62</f>
        <v/>
      </c>
      <c r="AG63">
        <f>$C63*AG62</f>
        <v/>
      </c>
      <c r="AH63">
        <f>$C63*AH62</f>
        <v/>
      </c>
      <c r="AI63">
        <f>$C63*AI62</f>
        <v/>
      </c>
      <c r="AJ63">
        <f>$C63*AJ62</f>
        <v/>
      </c>
      <c r="AK63">
        <f>$C63*AK62</f>
        <v/>
      </c>
      <c r="AL63">
        <f>$C63*AL62</f>
        <v/>
      </c>
      <c r="AM63">
        <f>$C63*AM62</f>
        <v/>
      </c>
      <c r="AN63">
        <f>$C63*AN62</f>
        <v/>
      </c>
      <c r="AO63">
        <f>$C63*AO62</f>
        <v/>
      </c>
      <c r="AP63">
        <f>$C63*AP62</f>
        <v/>
      </c>
      <c r="AQ63">
        <f>$C63*AQ62</f>
        <v/>
      </c>
      <c r="AR63">
        <f>$C63*AR62</f>
        <v/>
      </c>
      <c r="AS63">
        <f>$C63*AS62</f>
        <v/>
      </c>
      <c r="AT63">
        <f>$C63*AT62</f>
        <v/>
      </c>
      <c r="AU63">
        <f>$C63*AU62</f>
        <v/>
      </c>
      <c r="AV63">
        <f>$C63*AV62</f>
        <v/>
      </c>
      <c r="AW63">
        <f>$C63*AW62</f>
        <v/>
      </c>
      <c r="AX63">
        <f>$C63*AX62</f>
        <v/>
      </c>
      <c r="AY63">
        <f>$C63*AY62</f>
        <v/>
      </c>
      <c r="AZ63">
        <f>$C63*AZ62</f>
        <v/>
      </c>
      <c r="BA63">
        <f>$C63*BA62</f>
        <v/>
      </c>
      <c r="BB63">
        <f>$C63*BB62</f>
        <v/>
      </c>
      <c r="BC63">
        <f>$C63*BC62</f>
        <v/>
      </c>
      <c r="BD63">
        <f>$C63*BD62</f>
        <v/>
      </c>
      <c r="BE63">
        <f>$C63*BE62</f>
        <v/>
      </c>
      <c r="BF63">
        <f>$C63*BF62</f>
        <v/>
      </c>
      <c r="BG63">
        <f>$C63*BG62</f>
        <v/>
      </c>
      <c r="BH63">
        <f>$C63*BH62</f>
        <v/>
      </c>
      <c r="BI63">
        <f>$C63*BI62</f>
        <v/>
      </c>
      <c r="BJ63">
        <f>$C63*BJ62</f>
        <v/>
      </c>
      <c r="BK63">
        <f>$C63*BK62</f>
        <v/>
      </c>
      <c r="BL63">
        <f>$C63*BL62</f>
        <v/>
      </c>
      <c r="BM63">
        <f>$C63*BM62</f>
        <v/>
      </c>
      <c r="BN63">
        <f>$C63*BN62</f>
        <v/>
      </c>
      <c r="BO63">
        <f>$C63*BO62</f>
        <v/>
      </c>
      <c r="BP63">
        <f>$C63*BP62</f>
        <v/>
      </c>
      <c r="BQ63">
        <f>$C63*BQ62</f>
        <v/>
      </c>
      <c r="BR63">
        <f>$C63*BR62</f>
        <v/>
      </c>
      <c r="BS63">
        <f>$C63*BS62</f>
        <v/>
      </c>
      <c r="BT63">
        <f>$C63*BT62</f>
        <v/>
      </c>
      <c r="BU63">
        <f>$C63*BU62</f>
        <v/>
      </c>
      <c r="BV63">
        <f>$C63*BV62</f>
        <v/>
      </c>
      <c r="BW63">
        <f>$C63*BW62</f>
        <v/>
      </c>
      <c r="BX63">
        <f>$C63*BX62</f>
        <v/>
      </c>
      <c r="BY63">
        <f>$C63*BY62</f>
        <v/>
      </c>
      <c r="BZ63">
        <f>$C63*BZ62</f>
        <v/>
      </c>
      <c r="CA63">
        <f>$C63*CA62</f>
        <v/>
      </c>
      <c r="CB63">
        <f>$C63*CB62</f>
        <v/>
      </c>
      <c r="CC63">
        <f>$C63*CC62</f>
        <v/>
      </c>
      <c r="CD63">
        <f>$C63*CD62</f>
        <v/>
      </c>
      <c r="CE63">
        <f>$C63*CE62</f>
        <v/>
      </c>
      <c r="CF63">
        <f>$C63*CF62</f>
        <v/>
      </c>
      <c r="CG63">
        <f>$C63*CG62</f>
        <v/>
      </c>
      <c r="CH63">
        <f>$C63*CH62</f>
        <v/>
      </c>
      <c r="CI63">
        <f>$C63*CI62</f>
        <v/>
      </c>
      <c r="CJ63">
        <f>$C63*CJ62</f>
        <v/>
      </c>
      <c r="CK63">
        <f>$C63*CK62</f>
        <v/>
      </c>
      <c r="CL63">
        <f>$C63*CL62</f>
        <v/>
      </c>
      <c r="CM63">
        <f>$C63*CM62</f>
        <v/>
      </c>
      <c r="CN63">
        <f>$C63*CN62</f>
        <v/>
      </c>
      <c r="CO63">
        <f>$C63*CO62</f>
        <v/>
      </c>
      <c r="CP63">
        <f>$C63*CP62</f>
        <v/>
      </c>
      <c r="CQ63">
        <f>$C63*CQ62</f>
        <v/>
      </c>
      <c r="CR63">
        <f>$C63*CR62</f>
        <v/>
      </c>
      <c r="CS63">
        <f>$C63*CS62</f>
        <v/>
      </c>
      <c r="CT63">
        <f>$C63*CT62</f>
        <v/>
      </c>
      <c r="CU63">
        <f>$C63*CU62</f>
        <v/>
      </c>
      <c r="CV63">
        <f>$C63*CV62</f>
        <v/>
      </c>
      <c r="CW63">
        <f>$C63*CW62</f>
        <v/>
      </c>
      <c r="CX63">
        <f>$C63*CX62</f>
        <v/>
      </c>
      <c r="CY63">
        <f>$C63*CY62</f>
        <v/>
      </c>
      <c r="CZ63">
        <f>$C63*CZ62</f>
        <v/>
      </c>
      <c r="DA63">
        <f>$C63*DA62</f>
        <v/>
      </c>
      <c r="DB63">
        <f>$C63*DB62</f>
        <v/>
      </c>
      <c r="DC63">
        <f>$C63*DC62</f>
        <v/>
      </c>
    </row>
    <row r="64">
      <c r="B64" t="inlineStr">
        <is>
          <t>TSP-105</t>
        </is>
      </c>
      <c r="C64" t="inlineStr">
        <is>
          <t>No. of batches</t>
        </is>
      </c>
      <c r="D64">
        <f>IFERROR(INDEX(PP_Grid[#Data],$DD64,2),0)</f>
        <v/>
      </c>
      <c r="E64">
        <f>IFERROR(INDEX(PP_Grid[#Data],$DD64,3),0)</f>
        <v/>
      </c>
      <c r="F64">
        <f>IFERROR(INDEX(PP_Grid[#Data],$DD64,4),0)</f>
        <v/>
      </c>
      <c r="G64">
        <f>IFERROR(INDEX(PP_Grid[#Data],$DD64,5),0)</f>
        <v/>
      </c>
      <c r="H64">
        <f>IFERROR(INDEX(PP_Grid[#Data],$DD64,6),0)</f>
        <v/>
      </c>
      <c r="I64">
        <f>IFERROR(INDEX(PP_Grid[#Data],$DD64,7),0)</f>
        <v/>
      </c>
      <c r="J64">
        <f>IFERROR(INDEX(PP_Grid[#Data],$DD64,8),0)</f>
        <v/>
      </c>
      <c r="K64">
        <f>IFERROR(INDEX(PP_Grid[#Data],$DD64,9),0)</f>
        <v/>
      </c>
      <c r="L64">
        <f>IFERROR(INDEX(PP_Grid[#Data],$DD64,10),0)</f>
        <v/>
      </c>
      <c r="M64">
        <f>IFERROR(INDEX(PP_Grid[#Data],$DD64,11),0)</f>
        <v/>
      </c>
      <c r="N64">
        <f>IFERROR(INDEX(PP_Grid[#Data],$DD64,12),0)</f>
        <v/>
      </c>
      <c r="O64">
        <f>IFERROR(INDEX(PP_Grid[#Data],$DD64,13),0)</f>
        <v/>
      </c>
      <c r="P64">
        <f>IFERROR(INDEX(PP_Grid[#Data],$DD64,14),0)</f>
        <v/>
      </c>
      <c r="Q64">
        <f>IFERROR(INDEX(PP_Grid[#Data],$DD64,15),0)</f>
        <v/>
      </c>
      <c r="R64">
        <f>IFERROR(INDEX(PP_Grid[#Data],$DD64,16),0)</f>
        <v/>
      </c>
      <c r="S64">
        <f>IFERROR(INDEX(PP_Grid[#Data],$DD64,17),0)</f>
        <v/>
      </c>
      <c r="T64">
        <f>IFERROR(INDEX(PP_Grid[#Data],$DD64,18),0)</f>
        <v/>
      </c>
      <c r="U64">
        <f>IFERROR(INDEX(PP_Grid[#Data],$DD64,19),0)</f>
        <v/>
      </c>
      <c r="V64">
        <f>IFERROR(INDEX(PP_Grid[#Data],$DD64,20),0)</f>
        <v/>
      </c>
      <c r="W64">
        <f>IFERROR(INDEX(PP_Grid[#Data],$DD64,21),0)</f>
        <v/>
      </c>
      <c r="X64">
        <f>IFERROR(INDEX(PP_Grid[#Data],$DD64,22),0)</f>
        <v/>
      </c>
      <c r="Y64">
        <f>IFERROR(INDEX(PP_Grid[#Data],$DD64,23),0)</f>
        <v/>
      </c>
      <c r="Z64">
        <f>IFERROR(INDEX(PP_Grid[#Data],$DD64,24),0)</f>
        <v/>
      </c>
      <c r="AA64">
        <f>IFERROR(INDEX(PP_Grid[#Data],$DD64,25),0)</f>
        <v/>
      </c>
      <c r="AB64">
        <f>IFERROR(INDEX(PP_Grid[#Data],$DD64,26),0)</f>
        <v/>
      </c>
      <c r="AC64">
        <f>IFERROR(INDEX(PP_Grid[#Data],$DD64,27),0)</f>
        <v/>
      </c>
      <c r="AD64">
        <f>IFERROR(INDEX(PP_Grid[#Data],$DD64,28),0)</f>
        <v/>
      </c>
      <c r="AE64">
        <f>IFERROR(INDEX(PP_Grid[#Data],$DD64,29),0)</f>
        <v/>
      </c>
      <c r="AF64">
        <f>IFERROR(INDEX(PP_Grid[#Data],$DD64,30),0)</f>
        <v/>
      </c>
      <c r="AG64">
        <f>IFERROR(INDEX(PP_Grid[#Data],$DD64,31),0)</f>
        <v/>
      </c>
      <c r="AH64">
        <f>IFERROR(INDEX(PP_Grid[#Data],$DD64,32),0)</f>
        <v/>
      </c>
      <c r="AI64">
        <f>IFERROR(INDEX(PP_Grid[#Data],$DD64,33),0)</f>
        <v/>
      </c>
      <c r="AJ64">
        <f>IFERROR(INDEX(PP_Grid[#Data],$DD64,34),0)</f>
        <v/>
      </c>
      <c r="AK64">
        <f>IFERROR(INDEX(PP_Grid[#Data],$DD64,35),0)</f>
        <v/>
      </c>
      <c r="AL64">
        <f>IFERROR(INDEX(PP_Grid[#Data],$DD64,36),0)</f>
        <v/>
      </c>
      <c r="AM64">
        <f>IFERROR(INDEX(PP_Grid[#Data],$DD64,37),0)</f>
        <v/>
      </c>
      <c r="AN64">
        <f>IFERROR(INDEX(PP_Grid[#Data],$DD64,38),0)</f>
        <v/>
      </c>
      <c r="AO64">
        <f>IFERROR(INDEX(PP_Grid[#Data],$DD64,39),0)</f>
        <v/>
      </c>
      <c r="AP64">
        <f>IFERROR(INDEX(PP_Grid[#Data],$DD64,40),0)</f>
        <v/>
      </c>
      <c r="AQ64">
        <f>IFERROR(INDEX(PP_Grid[#Data],$DD64,41),0)</f>
        <v/>
      </c>
      <c r="AR64">
        <f>IFERROR(INDEX(PP_Grid[#Data],$DD64,42),0)</f>
        <v/>
      </c>
      <c r="AS64">
        <f>IFERROR(INDEX(PP_Grid[#Data],$DD64,43),0)</f>
        <v/>
      </c>
      <c r="AT64">
        <f>IFERROR(INDEX(PP_Grid[#Data],$DD64,44),0)</f>
        <v/>
      </c>
      <c r="AU64">
        <f>IFERROR(INDEX(PP_Grid[#Data],$DD64,45),0)</f>
        <v/>
      </c>
      <c r="AV64">
        <f>IFERROR(INDEX(PP_Grid[#Data],$DD64,46),0)</f>
        <v/>
      </c>
      <c r="AW64">
        <f>IFERROR(INDEX(PP_Grid[#Data],$DD64,47),0)</f>
        <v/>
      </c>
      <c r="AX64">
        <f>IFERROR(INDEX(PP_Grid[#Data],$DD64,48),0)</f>
        <v/>
      </c>
      <c r="AY64">
        <f>IFERROR(INDEX(PP_Grid[#Data],$DD64,49),0)</f>
        <v/>
      </c>
      <c r="AZ64">
        <f>IFERROR(INDEX(PP_Grid[#Data],$DD64,50),0)</f>
        <v/>
      </c>
      <c r="BA64">
        <f>IFERROR(INDEX(PP_Grid[#Data],$DD64,51),0)</f>
        <v/>
      </c>
      <c r="BB64">
        <f>IFERROR(INDEX(PP_Grid[#Data],$DD64,52),0)</f>
        <v/>
      </c>
      <c r="BC64">
        <f>IFERROR(INDEX(PP_Grid[#Data],$DD64,53),0)</f>
        <v/>
      </c>
      <c r="BD64">
        <f>IFERROR(INDEX(PP_Grid[#Data],$DD64,54),0)</f>
        <v/>
      </c>
      <c r="BE64">
        <f>IFERROR(INDEX(PP_Grid[#Data],$DD64,55),0)</f>
        <v/>
      </c>
      <c r="BF64">
        <f>IFERROR(INDEX(PP_Grid[#Data],$DD64,56),0)</f>
        <v/>
      </c>
      <c r="BG64">
        <f>IFERROR(INDEX(PP_Grid[#Data],$DD64,57),0)</f>
        <v/>
      </c>
      <c r="BH64">
        <f>IFERROR(INDEX(PP_Grid[#Data],$DD64,58),0)</f>
        <v/>
      </c>
      <c r="BI64">
        <f>IFERROR(INDEX(PP_Grid[#Data],$DD64,59),0)</f>
        <v/>
      </c>
      <c r="BJ64">
        <f>IFERROR(INDEX(PP_Grid[#Data],$DD64,60),0)</f>
        <v/>
      </c>
      <c r="BK64">
        <f>IFERROR(INDEX(PP_Grid[#Data],$DD64,61),0)</f>
        <v/>
      </c>
      <c r="BL64">
        <f>IFERROR(INDEX(PP_Grid[#Data],$DD64,62),0)</f>
        <v/>
      </c>
      <c r="BM64">
        <f>IFERROR(INDEX(PP_Grid[#Data],$DD64,63),0)</f>
        <v/>
      </c>
      <c r="BN64">
        <f>IFERROR(INDEX(PP_Grid[#Data],$DD64,64),0)</f>
        <v/>
      </c>
      <c r="BO64">
        <f>IFERROR(INDEX(PP_Grid[#Data],$DD64,65),0)</f>
        <v/>
      </c>
      <c r="BP64">
        <f>IFERROR(INDEX(PP_Grid[#Data],$DD64,66),0)</f>
        <v/>
      </c>
      <c r="BQ64">
        <f>IFERROR(INDEX(PP_Grid[#Data],$DD64,67),0)</f>
        <v/>
      </c>
      <c r="BR64">
        <f>IFERROR(INDEX(PP_Grid[#Data],$DD64,68),0)</f>
        <v/>
      </c>
      <c r="BS64">
        <f>IFERROR(INDEX(PP_Grid[#Data],$DD64,69),0)</f>
        <v/>
      </c>
      <c r="BT64">
        <f>IFERROR(INDEX(PP_Grid[#Data],$DD64,70),0)</f>
        <v/>
      </c>
      <c r="BU64">
        <f>IFERROR(INDEX(PP_Grid[#Data],$DD64,71),0)</f>
        <v/>
      </c>
      <c r="BV64">
        <f>IFERROR(INDEX(PP_Grid[#Data],$DD64,72),0)</f>
        <v/>
      </c>
      <c r="BW64">
        <f>IFERROR(INDEX(PP_Grid[#Data],$DD64,73),0)</f>
        <v/>
      </c>
      <c r="BX64">
        <f>IFERROR(INDEX(PP_Grid[#Data],$DD64,74),0)</f>
        <v/>
      </c>
      <c r="BY64">
        <f>IFERROR(INDEX(PP_Grid[#Data],$DD64,75),0)</f>
        <v/>
      </c>
      <c r="BZ64">
        <f>IFERROR(INDEX(PP_Grid[#Data],$DD64,76),0)</f>
        <v/>
      </c>
      <c r="CA64">
        <f>IFERROR(INDEX(PP_Grid[#Data],$DD64,77),0)</f>
        <v/>
      </c>
      <c r="CB64">
        <f>IFERROR(INDEX(PP_Grid[#Data],$DD64,78),0)</f>
        <v/>
      </c>
      <c r="CC64">
        <f>IFERROR(INDEX(PP_Grid[#Data],$DD64,79),0)</f>
        <v/>
      </c>
      <c r="CD64">
        <f>IFERROR(INDEX(PP_Grid[#Data],$DD64,80),0)</f>
        <v/>
      </c>
      <c r="CE64">
        <f>IFERROR(INDEX(PP_Grid[#Data],$DD64,81),0)</f>
        <v/>
      </c>
      <c r="CF64">
        <f>IFERROR(INDEX(PP_Grid[#Data],$DD64,82),0)</f>
        <v/>
      </c>
      <c r="CG64">
        <f>IFERROR(INDEX(PP_Grid[#Data],$DD64,83),0)</f>
        <v/>
      </c>
      <c r="CH64">
        <f>IFERROR(INDEX(PP_Grid[#Data],$DD64,84),0)</f>
        <v/>
      </c>
      <c r="CI64">
        <f>IFERROR(INDEX(PP_Grid[#Data],$DD64,85),0)</f>
        <v/>
      </c>
      <c r="CJ64">
        <f>IFERROR(INDEX(PP_Grid[#Data],$DD64,86),0)</f>
        <v/>
      </c>
      <c r="CK64">
        <f>IFERROR(INDEX(PP_Grid[#Data],$DD64,87),0)</f>
        <v/>
      </c>
      <c r="CL64">
        <f>IFERROR(INDEX(PP_Grid[#Data],$DD64,88),0)</f>
        <v/>
      </c>
      <c r="CM64">
        <f>IFERROR(INDEX(PP_Grid[#Data],$DD64,89),0)</f>
        <v/>
      </c>
      <c r="CN64">
        <f>IFERROR(INDEX(PP_Grid[#Data],$DD64,90),0)</f>
        <v/>
      </c>
      <c r="CO64">
        <f>IFERROR(INDEX(PP_Grid[#Data],$DD64,91),0)</f>
        <v/>
      </c>
      <c r="CP64">
        <f>IFERROR(INDEX(PP_Grid[#Data],$DD64,92),0)</f>
        <v/>
      </c>
      <c r="CQ64">
        <f>IFERROR(INDEX(PP_Grid[#Data],$DD64,93),0)</f>
        <v/>
      </c>
      <c r="CR64">
        <f>IFERROR(INDEX(PP_Grid[#Data],$DD64,94),0)</f>
        <v/>
      </c>
      <c r="CS64">
        <f>IFERROR(INDEX(PP_Grid[#Data],$DD64,95),0)</f>
        <v/>
      </c>
      <c r="CT64">
        <f>IFERROR(INDEX(PP_Grid[#Data],$DD64,96),0)</f>
        <v/>
      </c>
      <c r="CU64">
        <f>IFERROR(INDEX(PP_Grid[#Data],$DD64,97),0)</f>
        <v/>
      </c>
      <c r="CV64">
        <f>IFERROR(INDEX(PP_Grid[#Data],$DD64,98),0)</f>
        <v/>
      </c>
      <c r="CW64">
        <f>IFERROR(INDEX(PP_Grid[#Data],$DD64,99),0)</f>
        <v/>
      </c>
      <c r="CX64">
        <f>IFERROR(INDEX(PP_Grid[#Data],$DD64,100),0)</f>
        <v/>
      </c>
      <c r="CY64">
        <f>IFERROR(INDEX(PP_Grid[#Data],$DD64,101),0)</f>
        <v/>
      </c>
      <c r="CZ64">
        <f>IFERROR(INDEX(PP_Grid[#Data],$DD64,102),0)</f>
        <v/>
      </c>
      <c r="DA64">
        <f>IFERROR(INDEX(PP_Grid[#Data],$DD64,103),0)</f>
        <v/>
      </c>
      <c r="DB64">
        <f>IFERROR(INDEX(PP_Grid[#Data],$DD64,104),0)</f>
        <v/>
      </c>
      <c r="DC64">
        <f>IFERROR(INDEX(PP_Grid[#Data],$DD64,105),0)</f>
        <v/>
      </c>
      <c r="DD64" s="12">
        <f>IFERROR(MATCH($B64,PP_Grid[Intermediate],0),99999)</f>
        <v/>
      </c>
    </row>
    <row r="65">
      <c r="B65" t="inlineStr">
        <is>
          <t>使用量(kg)</t>
        </is>
      </c>
      <c r="C65">
        <f>SUMIFS(M_BOM[RM_Qty_Per_Batch],M_BOM[Intermediate],$B64,M_BOM[Part Name],$A45)</f>
        <v/>
      </c>
      <c r="D65">
        <f>$C65*D64</f>
        <v/>
      </c>
      <c r="E65">
        <f>$C65*E64</f>
        <v/>
      </c>
      <c r="F65">
        <f>$C65*F64</f>
        <v/>
      </c>
      <c r="G65">
        <f>$C65*G64</f>
        <v/>
      </c>
      <c r="H65">
        <f>$C65*H64</f>
        <v/>
      </c>
      <c r="I65">
        <f>$C65*I64</f>
        <v/>
      </c>
      <c r="J65">
        <f>$C65*J64</f>
        <v/>
      </c>
      <c r="K65">
        <f>$C65*K64</f>
        <v/>
      </c>
      <c r="L65">
        <f>$C65*L64</f>
        <v/>
      </c>
      <c r="M65">
        <f>$C65*M64</f>
        <v/>
      </c>
      <c r="N65">
        <f>$C65*N64</f>
        <v/>
      </c>
      <c r="O65">
        <f>$C65*O64</f>
        <v/>
      </c>
      <c r="P65">
        <f>$C65*P64</f>
        <v/>
      </c>
      <c r="Q65">
        <f>$C65*Q64</f>
        <v/>
      </c>
      <c r="R65">
        <f>$C65*R64</f>
        <v/>
      </c>
      <c r="S65">
        <f>$C65*S64</f>
        <v/>
      </c>
      <c r="T65">
        <f>$C65*T64</f>
        <v/>
      </c>
      <c r="U65">
        <f>$C65*U64</f>
        <v/>
      </c>
      <c r="V65">
        <f>$C65*V64</f>
        <v/>
      </c>
      <c r="W65">
        <f>$C65*W64</f>
        <v/>
      </c>
      <c r="X65">
        <f>$C65*X64</f>
        <v/>
      </c>
      <c r="Y65">
        <f>$C65*Y64</f>
        <v/>
      </c>
      <c r="Z65">
        <f>$C65*Z64</f>
        <v/>
      </c>
      <c r="AA65">
        <f>$C65*AA64</f>
        <v/>
      </c>
      <c r="AB65">
        <f>$C65*AB64</f>
        <v/>
      </c>
      <c r="AC65">
        <f>$C65*AC64</f>
        <v/>
      </c>
      <c r="AD65">
        <f>$C65*AD64</f>
        <v/>
      </c>
      <c r="AE65">
        <f>$C65*AE64</f>
        <v/>
      </c>
      <c r="AF65">
        <f>$C65*AF64</f>
        <v/>
      </c>
      <c r="AG65">
        <f>$C65*AG64</f>
        <v/>
      </c>
      <c r="AH65">
        <f>$C65*AH64</f>
        <v/>
      </c>
      <c r="AI65">
        <f>$C65*AI64</f>
        <v/>
      </c>
      <c r="AJ65">
        <f>$C65*AJ64</f>
        <v/>
      </c>
      <c r="AK65">
        <f>$C65*AK64</f>
        <v/>
      </c>
      <c r="AL65">
        <f>$C65*AL64</f>
        <v/>
      </c>
      <c r="AM65">
        <f>$C65*AM64</f>
        <v/>
      </c>
      <c r="AN65">
        <f>$C65*AN64</f>
        <v/>
      </c>
      <c r="AO65">
        <f>$C65*AO64</f>
        <v/>
      </c>
      <c r="AP65">
        <f>$C65*AP64</f>
        <v/>
      </c>
      <c r="AQ65">
        <f>$C65*AQ64</f>
        <v/>
      </c>
      <c r="AR65">
        <f>$C65*AR64</f>
        <v/>
      </c>
      <c r="AS65">
        <f>$C65*AS64</f>
        <v/>
      </c>
      <c r="AT65">
        <f>$C65*AT64</f>
        <v/>
      </c>
      <c r="AU65">
        <f>$C65*AU64</f>
        <v/>
      </c>
      <c r="AV65">
        <f>$C65*AV64</f>
        <v/>
      </c>
      <c r="AW65">
        <f>$C65*AW64</f>
        <v/>
      </c>
      <c r="AX65">
        <f>$C65*AX64</f>
        <v/>
      </c>
      <c r="AY65">
        <f>$C65*AY64</f>
        <v/>
      </c>
      <c r="AZ65">
        <f>$C65*AZ64</f>
        <v/>
      </c>
      <c r="BA65">
        <f>$C65*BA64</f>
        <v/>
      </c>
      <c r="BB65">
        <f>$C65*BB64</f>
        <v/>
      </c>
      <c r="BC65">
        <f>$C65*BC64</f>
        <v/>
      </c>
      <c r="BD65">
        <f>$C65*BD64</f>
        <v/>
      </c>
      <c r="BE65">
        <f>$C65*BE64</f>
        <v/>
      </c>
      <c r="BF65">
        <f>$C65*BF64</f>
        <v/>
      </c>
      <c r="BG65">
        <f>$C65*BG64</f>
        <v/>
      </c>
      <c r="BH65">
        <f>$C65*BH64</f>
        <v/>
      </c>
      <c r="BI65">
        <f>$C65*BI64</f>
        <v/>
      </c>
      <c r="BJ65">
        <f>$C65*BJ64</f>
        <v/>
      </c>
      <c r="BK65">
        <f>$C65*BK64</f>
        <v/>
      </c>
      <c r="BL65">
        <f>$C65*BL64</f>
        <v/>
      </c>
      <c r="BM65">
        <f>$C65*BM64</f>
        <v/>
      </c>
      <c r="BN65">
        <f>$C65*BN64</f>
        <v/>
      </c>
      <c r="BO65">
        <f>$C65*BO64</f>
        <v/>
      </c>
      <c r="BP65">
        <f>$C65*BP64</f>
        <v/>
      </c>
      <c r="BQ65">
        <f>$C65*BQ64</f>
        <v/>
      </c>
      <c r="BR65">
        <f>$C65*BR64</f>
        <v/>
      </c>
      <c r="BS65">
        <f>$C65*BS64</f>
        <v/>
      </c>
      <c r="BT65">
        <f>$C65*BT64</f>
        <v/>
      </c>
      <c r="BU65">
        <f>$C65*BU64</f>
        <v/>
      </c>
      <c r="BV65">
        <f>$C65*BV64</f>
        <v/>
      </c>
      <c r="BW65">
        <f>$C65*BW64</f>
        <v/>
      </c>
      <c r="BX65">
        <f>$C65*BX64</f>
        <v/>
      </c>
      <c r="BY65">
        <f>$C65*BY64</f>
        <v/>
      </c>
      <c r="BZ65">
        <f>$C65*BZ64</f>
        <v/>
      </c>
      <c r="CA65">
        <f>$C65*CA64</f>
        <v/>
      </c>
      <c r="CB65">
        <f>$C65*CB64</f>
        <v/>
      </c>
      <c r="CC65">
        <f>$C65*CC64</f>
        <v/>
      </c>
      <c r="CD65">
        <f>$C65*CD64</f>
        <v/>
      </c>
      <c r="CE65">
        <f>$C65*CE64</f>
        <v/>
      </c>
      <c r="CF65">
        <f>$C65*CF64</f>
        <v/>
      </c>
      <c r="CG65">
        <f>$C65*CG64</f>
        <v/>
      </c>
      <c r="CH65">
        <f>$C65*CH64</f>
        <v/>
      </c>
      <c r="CI65">
        <f>$C65*CI64</f>
        <v/>
      </c>
      <c r="CJ65">
        <f>$C65*CJ64</f>
        <v/>
      </c>
      <c r="CK65">
        <f>$C65*CK64</f>
        <v/>
      </c>
      <c r="CL65">
        <f>$C65*CL64</f>
        <v/>
      </c>
      <c r="CM65">
        <f>$C65*CM64</f>
        <v/>
      </c>
      <c r="CN65">
        <f>$C65*CN64</f>
        <v/>
      </c>
      <c r="CO65">
        <f>$C65*CO64</f>
        <v/>
      </c>
      <c r="CP65">
        <f>$C65*CP64</f>
        <v/>
      </c>
      <c r="CQ65">
        <f>$C65*CQ64</f>
        <v/>
      </c>
      <c r="CR65">
        <f>$C65*CR64</f>
        <v/>
      </c>
      <c r="CS65">
        <f>$C65*CS64</f>
        <v/>
      </c>
      <c r="CT65">
        <f>$C65*CT64</f>
        <v/>
      </c>
      <c r="CU65">
        <f>$C65*CU64</f>
        <v/>
      </c>
      <c r="CV65">
        <f>$C65*CV64</f>
        <v/>
      </c>
      <c r="CW65">
        <f>$C65*CW64</f>
        <v/>
      </c>
      <c r="CX65">
        <f>$C65*CX64</f>
        <v/>
      </c>
      <c r="CY65">
        <f>$C65*CY64</f>
        <v/>
      </c>
      <c r="CZ65">
        <f>$C65*CZ64</f>
        <v/>
      </c>
      <c r="DA65">
        <f>$C65*DA64</f>
        <v/>
      </c>
      <c r="DB65">
        <f>$C65*DB64</f>
        <v/>
      </c>
      <c r="DC65">
        <f>$C65*DC64</f>
        <v/>
      </c>
    </row>
    <row r="66">
      <c r="B66" t="inlineStr">
        <is>
          <t>TSP-199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Name],$A45)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TSP-205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Name],$A45)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TSP-206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Name],$A45)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TSP-218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Name],$A45)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TSP-219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Name],$A45)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TSP-224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12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Name],$A45)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TSP-225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12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Name],$A45)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t="inlineStr">
        <is>
          <t>TSP-360</t>
        </is>
      </c>
      <c r="C80" t="inlineStr">
        <is>
          <t>No. of batches</t>
        </is>
      </c>
      <c r="D80">
        <f>IFERROR(INDEX(PP_Grid[#Data],$DD80,2),0)</f>
        <v/>
      </c>
      <c r="E80">
        <f>IFERROR(INDEX(PP_Grid[#Data],$DD80,3),0)</f>
        <v/>
      </c>
      <c r="F80">
        <f>IFERROR(INDEX(PP_Grid[#Data],$DD80,4),0)</f>
        <v/>
      </c>
      <c r="G80">
        <f>IFERROR(INDEX(PP_Grid[#Data],$DD80,5),0)</f>
        <v/>
      </c>
      <c r="H80">
        <f>IFERROR(INDEX(PP_Grid[#Data],$DD80,6),0)</f>
        <v/>
      </c>
      <c r="I80">
        <f>IFERROR(INDEX(PP_Grid[#Data],$DD80,7),0)</f>
        <v/>
      </c>
      <c r="J80">
        <f>IFERROR(INDEX(PP_Grid[#Data],$DD80,8),0)</f>
        <v/>
      </c>
      <c r="K80">
        <f>IFERROR(INDEX(PP_Grid[#Data],$DD80,9),0)</f>
        <v/>
      </c>
      <c r="L80">
        <f>IFERROR(INDEX(PP_Grid[#Data],$DD80,10),0)</f>
        <v/>
      </c>
      <c r="M80">
        <f>IFERROR(INDEX(PP_Grid[#Data],$DD80,11),0)</f>
        <v/>
      </c>
      <c r="N80">
        <f>IFERROR(INDEX(PP_Grid[#Data],$DD80,12),0)</f>
        <v/>
      </c>
      <c r="O80">
        <f>IFERROR(INDEX(PP_Grid[#Data],$DD80,13),0)</f>
        <v/>
      </c>
      <c r="P80">
        <f>IFERROR(INDEX(PP_Grid[#Data],$DD80,14),0)</f>
        <v/>
      </c>
      <c r="Q80">
        <f>IFERROR(INDEX(PP_Grid[#Data],$DD80,15),0)</f>
        <v/>
      </c>
      <c r="R80">
        <f>IFERROR(INDEX(PP_Grid[#Data],$DD80,16),0)</f>
        <v/>
      </c>
      <c r="S80">
        <f>IFERROR(INDEX(PP_Grid[#Data],$DD80,17),0)</f>
        <v/>
      </c>
      <c r="T80">
        <f>IFERROR(INDEX(PP_Grid[#Data],$DD80,18),0)</f>
        <v/>
      </c>
      <c r="U80">
        <f>IFERROR(INDEX(PP_Grid[#Data],$DD80,19),0)</f>
        <v/>
      </c>
      <c r="V80">
        <f>IFERROR(INDEX(PP_Grid[#Data],$DD80,20),0)</f>
        <v/>
      </c>
      <c r="W80">
        <f>IFERROR(INDEX(PP_Grid[#Data],$DD80,21),0)</f>
        <v/>
      </c>
      <c r="X80">
        <f>IFERROR(INDEX(PP_Grid[#Data],$DD80,22),0)</f>
        <v/>
      </c>
      <c r="Y80">
        <f>IFERROR(INDEX(PP_Grid[#Data],$DD80,23),0)</f>
        <v/>
      </c>
      <c r="Z80">
        <f>IFERROR(INDEX(PP_Grid[#Data],$DD80,24),0)</f>
        <v/>
      </c>
      <c r="AA80">
        <f>IFERROR(INDEX(PP_Grid[#Data],$DD80,25),0)</f>
        <v/>
      </c>
      <c r="AB80">
        <f>IFERROR(INDEX(PP_Grid[#Data],$DD80,26),0)</f>
        <v/>
      </c>
      <c r="AC80">
        <f>IFERROR(INDEX(PP_Grid[#Data],$DD80,27),0)</f>
        <v/>
      </c>
      <c r="AD80">
        <f>IFERROR(INDEX(PP_Grid[#Data],$DD80,28),0)</f>
        <v/>
      </c>
      <c r="AE80">
        <f>IFERROR(INDEX(PP_Grid[#Data],$DD80,29),0)</f>
        <v/>
      </c>
      <c r="AF80">
        <f>IFERROR(INDEX(PP_Grid[#Data],$DD80,30),0)</f>
        <v/>
      </c>
      <c r="AG80">
        <f>IFERROR(INDEX(PP_Grid[#Data],$DD80,31),0)</f>
        <v/>
      </c>
      <c r="AH80">
        <f>IFERROR(INDEX(PP_Grid[#Data],$DD80,32),0)</f>
        <v/>
      </c>
      <c r="AI80">
        <f>IFERROR(INDEX(PP_Grid[#Data],$DD80,33),0)</f>
        <v/>
      </c>
      <c r="AJ80">
        <f>IFERROR(INDEX(PP_Grid[#Data],$DD80,34),0)</f>
        <v/>
      </c>
      <c r="AK80">
        <f>IFERROR(INDEX(PP_Grid[#Data],$DD80,35),0)</f>
        <v/>
      </c>
      <c r="AL80">
        <f>IFERROR(INDEX(PP_Grid[#Data],$DD80,36),0)</f>
        <v/>
      </c>
      <c r="AM80">
        <f>IFERROR(INDEX(PP_Grid[#Data],$DD80,37),0)</f>
        <v/>
      </c>
      <c r="AN80">
        <f>IFERROR(INDEX(PP_Grid[#Data],$DD80,38),0)</f>
        <v/>
      </c>
      <c r="AO80">
        <f>IFERROR(INDEX(PP_Grid[#Data],$DD80,39),0)</f>
        <v/>
      </c>
      <c r="AP80">
        <f>IFERROR(INDEX(PP_Grid[#Data],$DD80,40),0)</f>
        <v/>
      </c>
      <c r="AQ80">
        <f>IFERROR(INDEX(PP_Grid[#Data],$DD80,41),0)</f>
        <v/>
      </c>
      <c r="AR80">
        <f>IFERROR(INDEX(PP_Grid[#Data],$DD80,42),0)</f>
        <v/>
      </c>
      <c r="AS80">
        <f>IFERROR(INDEX(PP_Grid[#Data],$DD80,43),0)</f>
        <v/>
      </c>
      <c r="AT80">
        <f>IFERROR(INDEX(PP_Grid[#Data],$DD80,44),0)</f>
        <v/>
      </c>
      <c r="AU80">
        <f>IFERROR(INDEX(PP_Grid[#Data],$DD80,45),0)</f>
        <v/>
      </c>
      <c r="AV80">
        <f>IFERROR(INDEX(PP_Grid[#Data],$DD80,46),0)</f>
        <v/>
      </c>
      <c r="AW80">
        <f>IFERROR(INDEX(PP_Grid[#Data],$DD80,47),0)</f>
        <v/>
      </c>
      <c r="AX80">
        <f>IFERROR(INDEX(PP_Grid[#Data],$DD80,48),0)</f>
        <v/>
      </c>
      <c r="AY80">
        <f>IFERROR(INDEX(PP_Grid[#Data],$DD80,49),0)</f>
        <v/>
      </c>
      <c r="AZ80">
        <f>IFERROR(INDEX(PP_Grid[#Data],$DD80,50),0)</f>
        <v/>
      </c>
      <c r="BA80">
        <f>IFERROR(INDEX(PP_Grid[#Data],$DD80,51),0)</f>
        <v/>
      </c>
      <c r="BB80">
        <f>IFERROR(INDEX(PP_Grid[#Data],$DD80,52),0)</f>
        <v/>
      </c>
      <c r="BC80">
        <f>IFERROR(INDEX(PP_Grid[#Data],$DD80,53),0)</f>
        <v/>
      </c>
      <c r="BD80">
        <f>IFERROR(INDEX(PP_Grid[#Data],$DD80,54),0)</f>
        <v/>
      </c>
      <c r="BE80">
        <f>IFERROR(INDEX(PP_Grid[#Data],$DD80,55),0)</f>
        <v/>
      </c>
      <c r="BF80">
        <f>IFERROR(INDEX(PP_Grid[#Data],$DD80,56),0)</f>
        <v/>
      </c>
      <c r="BG80">
        <f>IFERROR(INDEX(PP_Grid[#Data],$DD80,57),0)</f>
        <v/>
      </c>
      <c r="BH80">
        <f>IFERROR(INDEX(PP_Grid[#Data],$DD80,58),0)</f>
        <v/>
      </c>
      <c r="BI80">
        <f>IFERROR(INDEX(PP_Grid[#Data],$DD80,59),0)</f>
        <v/>
      </c>
      <c r="BJ80">
        <f>IFERROR(INDEX(PP_Grid[#Data],$DD80,60),0)</f>
        <v/>
      </c>
      <c r="BK80">
        <f>IFERROR(INDEX(PP_Grid[#Data],$DD80,61),0)</f>
        <v/>
      </c>
      <c r="BL80">
        <f>IFERROR(INDEX(PP_Grid[#Data],$DD80,62),0)</f>
        <v/>
      </c>
      <c r="BM80">
        <f>IFERROR(INDEX(PP_Grid[#Data],$DD80,63),0)</f>
        <v/>
      </c>
      <c r="BN80">
        <f>IFERROR(INDEX(PP_Grid[#Data],$DD80,64),0)</f>
        <v/>
      </c>
      <c r="BO80">
        <f>IFERROR(INDEX(PP_Grid[#Data],$DD80,65),0)</f>
        <v/>
      </c>
      <c r="BP80">
        <f>IFERROR(INDEX(PP_Grid[#Data],$DD80,66),0)</f>
        <v/>
      </c>
      <c r="BQ80">
        <f>IFERROR(INDEX(PP_Grid[#Data],$DD80,67),0)</f>
        <v/>
      </c>
      <c r="BR80">
        <f>IFERROR(INDEX(PP_Grid[#Data],$DD80,68),0)</f>
        <v/>
      </c>
      <c r="BS80">
        <f>IFERROR(INDEX(PP_Grid[#Data],$DD80,69),0)</f>
        <v/>
      </c>
      <c r="BT80">
        <f>IFERROR(INDEX(PP_Grid[#Data],$DD80,70),0)</f>
        <v/>
      </c>
      <c r="BU80">
        <f>IFERROR(INDEX(PP_Grid[#Data],$DD80,71),0)</f>
        <v/>
      </c>
      <c r="BV80">
        <f>IFERROR(INDEX(PP_Grid[#Data],$DD80,72),0)</f>
        <v/>
      </c>
      <c r="BW80">
        <f>IFERROR(INDEX(PP_Grid[#Data],$DD80,73),0)</f>
        <v/>
      </c>
      <c r="BX80">
        <f>IFERROR(INDEX(PP_Grid[#Data],$DD80,74),0)</f>
        <v/>
      </c>
      <c r="BY80">
        <f>IFERROR(INDEX(PP_Grid[#Data],$DD80,75),0)</f>
        <v/>
      </c>
      <c r="BZ80">
        <f>IFERROR(INDEX(PP_Grid[#Data],$DD80,76),0)</f>
        <v/>
      </c>
      <c r="CA80">
        <f>IFERROR(INDEX(PP_Grid[#Data],$DD80,77),0)</f>
        <v/>
      </c>
      <c r="CB80">
        <f>IFERROR(INDEX(PP_Grid[#Data],$DD80,78),0)</f>
        <v/>
      </c>
      <c r="CC80">
        <f>IFERROR(INDEX(PP_Grid[#Data],$DD80,79),0)</f>
        <v/>
      </c>
      <c r="CD80">
        <f>IFERROR(INDEX(PP_Grid[#Data],$DD80,80),0)</f>
        <v/>
      </c>
      <c r="CE80">
        <f>IFERROR(INDEX(PP_Grid[#Data],$DD80,81),0)</f>
        <v/>
      </c>
      <c r="CF80">
        <f>IFERROR(INDEX(PP_Grid[#Data],$DD80,82),0)</f>
        <v/>
      </c>
      <c r="CG80">
        <f>IFERROR(INDEX(PP_Grid[#Data],$DD80,83),0)</f>
        <v/>
      </c>
      <c r="CH80">
        <f>IFERROR(INDEX(PP_Grid[#Data],$DD80,84),0)</f>
        <v/>
      </c>
      <c r="CI80">
        <f>IFERROR(INDEX(PP_Grid[#Data],$DD80,85),0)</f>
        <v/>
      </c>
      <c r="CJ80">
        <f>IFERROR(INDEX(PP_Grid[#Data],$DD80,86),0)</f>
        <v/>
      </c>
      <c r="CK80">
        <f>IFERROR(INDEX(PP_Grid[#Data],$DD80,87),0)</f>
        <v/>
      </c>
      <c r="CL80">
        <f>IFERROR(INDEX(PP_Grid[#Data],$DD80,88),0)</f>
        <v/>
      </c>
      <c r="CM80">
        <f>IFERROR(INDEX(PP_Grid[#Data],$DD80,89),0)</f>
        <v/>
      </c>
      <c r="CN80">
        <f>IFERROR(INDEX(PP_Grid[#Data],$DD80,90),0)</f>
        <v/>
      </c>
      <c r="CO80">
        <f>IFERROR(INDEX(PP_Grid[#Data],$DD80,91),0)</f>
        <v/>
      </c>
      <c r="CP80">
        <f>IFERROR(INDEX(PP_Grid[#Data],$DD80,92),0)</f>
        <v/>
      </c>
      <c r="CQ80">
        <f>IFERROR(INDEX(PP_Grid[#Data],$DD80,93),0)</f>
        <v/>
      </c>
      <c r="CR80">
        <f>IFERROR(INDEX(PP_Grid[#Data],$DD80,94),0)</f>
        <v/>
      </c>
      <c r="CS80">
        <f>IFERROR(INDEX(PP_Grid[#Data],$DD80,95),0)</f>
        <v/>
      </c>
      <c r="CT80">
        <f>IFERROR(INDEX(PP_Grid[#Data],$DD80,96),0)</f>
        <v/>
      </c>
      <c r="CU80">
        <f>IFERROR(INDEX(PP_Grid[#Data],$DD80,97),0)</f>
        <v/>
      </c>
      <c r="CV80">
        <f>IFERROR(INDEX(PP_Grid[#Data],$DD80,98),0)</f>
        <v/>
      </c>
      <c r="CW80">
        <f>IFERROR(INDEX(PP_Grid[#Data],$DD80,99),0)</f>
        <v/>
      </c>
      <c r="CX80">
        <f>IFERROR(INDEX(PP_Grid[#Data],$DD80,100),0)</f>
        <v/>
      </c>
      <c r="CY80">
        <f>IFERROR(INDEX(PP_Grid[#Data],$DD80,101),0)</f>
        <v/>
      </c>
      <c r="CZ80">
        <f>IFERROR(INDEX(PP_Grid[#Data],$DD80,102),0)</f>
        <v/>
      </c>
      <c r="DA80">
        <f>IFERROR(INDEX(PP_Grid[#Data],$DD80,103),0)</f>
        <v/>
      </c>
      <c r="DB80">
        <f>IFERROR(INDEX(PP_Grid[#Data],$DD80,104),0)</f>
        <v/>
      </c>
      <c r="DC80">
        <f>IFERROR(INDEX(PP_Grid[#Data],$DD80,105),0)</f>
        <v/>
      </c>
      <c r="DD80" s="12">
        <f>IFERROR(MATCH($B80,PP_Grid[Intermediate],0),99999)</f>
        <v/>
      </c>
    </row>
    <row r="81">
      <c r="B81" t="inlineStr">
        <is>
          <t>使用量(kg)</t>
        </is>
      </c>
      <c r="C81">
        <f>SUMIFS(M_BOM[RM_Qty_Per_Batch],M_BOM[Intermediate],$B80,M_BOM[Part Name],$A45)</f>
        <v/>
      </c>
      <c r="D81">
        <f>$C81*D80</f>
        <v/>
      </c>
      <c r="E81">
        <f>$C81*E80</f>
        <v/>
      </c>
      <c r="F81">
        <f>$C81*F80</f>
        <v/>
      </c>
      <c r="G81">
        <f>$C81*G80</f>
        <v/>
      </c>
      <c r="H81">
        <f>$C81*H80</f>
        <v/>
      </c>
      <c r="I81">
        <f>$C81*I80</f>
        <v/>
      </c>
      <c r="J81">
        <f>$C81*J80</f>
        <v/>
      </c>
      <c r="K81">
        <f>$C81*K80</f>
        <v/>
      </c>
      <c r="L81">
        <f>$C81*L80</f>
        <v/>
      </c>
      <c r="M81">
        <f>$C81*M80</f>
        <v/>
      </c>
      <c r="N81">
        <f>$C81*N80</f>
        <v/>
      </c>
      <c r="O81">
        <f>$C81*O80</f>
        <v/>
      </c>
      <c r="P81">
        <f>$C81*P80</f>
        <v/>
      </c>
      <c r="Q81">
        <f>$C81*Q80</f>
        <v/>
      </c>
      <c r="R81">
        <f>$C81*R80</f>
        <v/>
      </c>
      <c r="S81">
        <f>$C81*S80</f>
        <v/>
      </c>
      <c r="T81">
        <f>$C81*T80</f>
        <v/>
      </c>
      <c r="U81">
        <f>$C81*U80</f>
        <v/>
      </c>
      <c r="V81">
        <f>$C81*V80</f>
        <v/>
      </c>
      <c r="W81">
        <f>$C81*W80</f>
        <v/>
      </c>
      <c r="X81">
        <f>$C81*X80</f>
        <v/>
      </c>
      <c r="Y81">
        <f>$C81*Y80</f>
        <v/>
      </c>
      <c r="Z81">
        <f>$C81*Z80</f>
        <v/>
      </c>
      <c r="AA81">
        <f>$C81*AA80</f>
        <v/>
      </c>
      <c r="AB81">
        <f>$C81*AB80</f>
        <v/>
      </c>
      <c r="AC81">
        <f>$C81*AC80</f>
        <v/>
      </c>
      <c r="AD81">
        <f>$C81*AD80</f>
        <v/>
      </c>
      <c r="AE81">
        <f>$C81*AE80</f>
        <v/>
      </c>
      <c r="AF81">
        <f>$C81*AF80</f>
        <v/>
      </c>
      <c r="AG81">
        <f>$C81*AG80</f>
        <v/>
      </c>
      <c r="AH81">
        <f>$C81*AH80</f>
        <v/>
      </c>
      <c r="AI81">
        <f>$C81*AI80</f>
        <v/>
      </c>
      <c r="AJ81">
        <f>$C81*AJ80</f>
        <v/>
      </c>
      <c r="AK81">
        <f>$C81*AK80</f>
        <v/>
      </c>
      <c r="AL81">
        <f>$C81*AL80</f>
        <v/>
      </c>
      <c r="AM81">
        <f>$C81*AM80</f>
        <v/>
      </c>
      <c r="AN81">
        <f>$C81*AN80</f>
        <v/>
      </c>
      <c r="AO81">
        <f>$C81*AO80</f>
        <v/>
      </c>
      <c r="AP81">
        <f>$C81*AP80</f>
        <v/>
      </c>
      <c r="AQ81">
        <f>$C81*AQ80</f>
        <v/>
      </c>
      <c r="AR81">
        <f>$C81*AR80</f>
        <v/>
      </c>
      <c r="AS81">
        <f>$C81*AS80</f>
        <v/>
      </c>
      <c r="AT81">
        <f>$C81*AT80</f>
        <v/>
      </c>
      <c r="AU81">
        <f>$C81*AU80</f>
        <v/>
      </c>
      <c r="AV81">
        <f>$C81*AV80</f>
        <v/>
      </c>
      <c r="AW81">
        <f>$C81*AW80</f>
        <v/>
      </c>
      <c r="AX81">
        <f>$C81*AX80</f>
        <v/>
      </c>
      <c r="AY81">
        <f>$C81*AY80</f>
        <v/>
      </c>
      <c r="AZ81">
        <f>$C81*AZ80</f>
        <v/>
      </c>
      <c r="BA81">
        <f>$C81*BA80</f>
        <v/>
      </c>
      <c r="BB81">
        <f>$C81*BB80</f>
        <v/>
      </c>
      <c r="BC81">
        <f>$C81*BC80</f>
        <v/>
      </c>
      <c r="BD81">
        <f>$C81*BD80</f>
        <v/>
      </c>
      <c r="BE81">
        <f>$C81*BE80</f>
        <v/>
      </c>
      <c r="BF81">
        <f>$C81*BF80</f>
        <v/>
      </c>
      <c r="BG81">
        <f>$C81*BG80</f>
        <v/>
      </c>
      <c r="BH81">
        <f>$C81*BH80</f>
        <v/>
      </c>
      <c r="BI81">
        <f>$C81*BI80</f>
        <v/>
      </c>
      <c r="BJ81">
        <f>$C81*BJ80</f>
        <v/>
      </c>
      <c r="BK81">
        <f>$C81*BK80</f>
        <v/>
      </c>
      <c r="BL81">
        <f>$C81*BL80</f>
        <v/>
      </c>
      <c r="BM81">
        <f>$C81*BM80</f>
        <v/>
      </c>
      <c r="BN81">
        <f>$C81*BN80</f>
        <v/>
      </c>
      <c r="BO81">
        <f>$C81*BO80</f>
        <v/>
      </c>
      <c r="BP81">
        <f>$C81*BP80</f>
        <v/>
      </c>
      <c r="BQ81">
        <f>$C81*BQ80</f>
        <v/>
      </c>
      <c r="BR81">
        <f>$C81*BR80</f>
        <v/>
      </c>
      <c r="BS81">
        <f>$C81*BS80</f>
        <v/>
      </c>
      <c r="BT81">
        <f>$C81*BT80</f>
        <v/>
      </c>
      <c r="BU81">
        <f>$C81*BU80</f>
        <v/>
      </c>
      <c r="BV81">
        <f>$C81*BV80</f>
        <v/>
      </c>
      <c r="BW81">
        <f>$C81*BW80</f>
        <v/>
      </c>
      <c r="BX81">
        <f>$C81*BX80</f>
        <v/>
      </c>
      <c r="BY81">
        <f>$C81*BY80</f>
        <v/>
      </c>
      <c r="BZ81">
        <f>$C81*BZ80</f>
        <v/>
      </c>
      <c r="CA81">
        <f>$C81*CA80</f>
        <v/>
      </c>
      <c r="CB81">
        <f>$C81*CB80</f>
        <v/>
      </c>
      <c r="CC81">
        <f>$C81*CC80</f>
        <v/>
      </c>
      <c r="CD81">
        <f>$C81*CD80</f>
        <v/>
      </c>
      <c r="CE81">
        <f>$C81*CE80</f>
        <v/>
      </c>
      <c r="CF81">
        <f>$C81*CF80</f>
        <v/>
      </c>
      <c r="CG81">
        <f>$C81*CG80</f>
        <v/>
      </c>
      <c r="CH81">
        <f>$C81*CH80</f>
        <v/>
      </c>
      <c r="CI81">
        <f>$C81*CI80</f>
        <v/>
      </c>
      <c r="CJ81">
        <f>$C81*CJ80</f>
        <v/>
      </c>
      <c r="CK81">
        <f>$C81*CK80</f>
        <v/>
      </c>
      <c r="CL81">
        <f>$C81*CL80</f>
        <v/>
      </c>
      <c r="CM81">
        <f>$C81*CM80</f>
        <v/>
      </c>
      <c r="CN81">
        <f>$C81*CN80</f>
        <v/>
      </c>
      <c r="CO81">
        <f>$C81*CO80</f>
        <v/>
      </c>
      <c r="CP81">
        <f>$C81*CP80</f>
        <v/>
      </c>
      <c r="CQ81">
        <f>$C81*CQ80</f>
        <v/>
      </c>
      <c r="CR81">
        <f>$C81*CR80</f>
        <v/>
      </c>
      <c r="CS81">
        <f>$C81*CS80</f>
        <v/>
      </c>
      <c r="CT81">
        <f>$C81*CT80</f>
        <v/>
      </c>
      <c r="CU81">
        <f>$C81*CU80</f>
        <v/>
      </c>
      <c r="CV81">
        <f>$C81*CV80</f>
        <v/>
      </c>
      <c r="CW81">
        <f>$C81*CW80</f>
        <v/>
      </c>
      <c r="CX81">
        <f>$C81*CX80</f>
        <v/>
      </c>
      <c r="CY81">
        <f>$C81*CY80</f>
        <v/>
      </c>
      <c r="CZ81">
        <f>$C81*CZ80</f>
        <v/>
      </c>
      <c r="DA81">
        <f>$C81*DA80</f>
        <v/>
      </c>
      <c r="DB81">
        <f>$C81*DB80</f>
        <v/>
      </c>
      <c r="DC81">
        <f>$C81*DC80</f>
        <v/>
      </c>
    </row>
    <row r="82">
      <c r="B82" t="inlineStr">
        <is>
          <t>TSP-367</t>
        </is>
      </c>
      <c r="C82" t="inlineStr">
        <is>
          <t>No. of batches</t>
        </is>
      </c>
      <c r="D82">
        <f>IFERROR(INDEX(PP_Grid[#Data],$DD82,2),0)</f>
        <v/>
      </c>
      <c r="E82">
        <f>IFERROR(INDEX(PP_Grid[#Data],$DD82,3),0)</f>
        <v/>
      </c>
      <c r="F82">
        <f>IFERROR(INDEX(PP_Grid[#Data],$DD82,4),0)</f>
        <v/>
      </c>
      <c r="G82">
        <f>IFERROR(INDEX(PP_Grid[#Data],$DD82,5),0)</f>
        <v/>
      </c>
      <c r="H82">
        <f>IFERROR(INDEX(PP_Grid[#Data],$DD82,6),0)</f>
        <v/>
      </c>
      <c r="I82">
        <f>IFERROR(INDEX(PP_Grid[#Data],$DD82,7),0)</f>
        <v/>
      </c>
      <c r="J82">
        <f>IFERROR(INDEX(PP_Grid[#Data],$DD82,8),0)</f>
        <v/>
      </c>
      <c r="K82">
        <f>IFERROR(INDEX(PP_Grid[#Data],$DD82,9),0)</f>
        <v/>
      </c>
      <c r="L82">
        <f>IFERROR(INDEX(PP_Grid[#Data],$DD82,10),0)</f>
        <v/>
      </c>
      <c r="M82">
        <f>IFERROR(INDEX(PP_Grid[#Data],$DD82,11),0)</f>
        <v/>
      </c>
      <c r="N82">
        <f>IFERROR(INDEX(PP_Grid[#Data],$DD82,12),0)</f>
        <v/>
      </c>
      <c r="O82">
        <f>IFERROR(INDEX(PP_Grid[#Data],$DD82,13),0)</f>
        <v/>
      </c>
      <c r="P82">
        <f>IFERROR(INDEX(PP_Grid[#Data],$DD82,14),0)</f>
        <v/>
      </c>
      <c r="Q82">
        <f>IFERROR(INDEX(PP_Grid[#Data],$DD82,15),0)</f>
        <v/>
      </c>
      <c r="R82">
        <f>IFERROR(INDEX(PP_Grid[#Data],$DD82,16),0)</f>
        <v/>
      </c>
      <c r="S82">
        <f>IFERROR(INDEX(PP_Grid[#Data],$DD82,17),0)</f>
        <v/>
      </c>
      <c r="T82">
        <f>IFERROR(INDEX(PP_Grid[#Data],$DD82,18),0)</f>
        <v/>
      </c>
      <c r="U82">
        <f>IFERROR(INDEX(PP_Grid[#Data],$DD82,19),0)</f>
        <v/>
      </c>
      <c r="V82">
        <f>IFERROR(INDEX(PP_Grid[#Data],$DD82,20),0)</f>
        <v/>
      </c>
      <c r="W82">
        <f>IFERROR(INDEX(PP_Grid[#Data],$DD82,21),0)</f>
        <v/>
      </c>
      <c r="X82">
        <f>IFERROR(INDEX(PP_Grid[#Data],$DD82,22),0)</f>
        <v/>
      </c>
      <c r="Y82">
        <f>IFERROR(INDEX(PP_Grid[#Data],$DD82,23),0)</f>
        <v/>
      </c>
      <c r="Z82">
        <f>IFERROR(INDEX(PP_Grid[#Data],$DD82,24),0)</f>
        <v/>
      </c>
      <c r="AA82">
        <f>IFERROR(INDEX(PP_Grid[#Data],$DD82,25),0)</f>
        <v/>
      </c>
      <c r="AB82">
        <f>IFERROR(INDEX(PP_Grid[#Data],$DD82,26),0)</f>
        <v/>
      </c>
      <c r="AC82">
        <f>IFERROR(INDEX(PP_Grid[#Data],$DD82,27),0)</f>
        <v/>
      </c>
      <c r="AD82">
        <f>IFERROR(INDEX(PP_Grid[#Data],$DD82,28),0)</f>
        <v/>
      </c>
      <c r="AE82">
        <f>IFERROR(INDEX(PP_Grid[#Data],$DD82,29),0)</f>
        <v/>
      </c>
      <c r="AF82">
        <f>IFERROR(INDEX(PP_Grid[#Data],$DD82,30),0)</f>
        <v/>
      </c>
      <c r="AG82">
        <f>IFERROR(INDEX(PP_Grid[#Data],$DD82,31),0)</f>
        <v/>
      </c>
      <c r="AH82">
        <f>IFERROR(INDEX(PP_Grid[#Data],$DD82,32),0)</f>
        <v/>
      </c>
      <c r="AI82">
        <f>IFERROR(INDEX(PP_Grid[#Data],$DD82,33),0)</f>
        <v/>
      </c>
      <c r="AJ82">
        <f>IFERROR(INDEX(PP_Grid[#Data],$DD82,34),0)</f>
        <v/>
      </c>
      <c r="AK82">
        <f>IFERROR(INDEX(PP_Grid[#Data],$DD82,35),0)</f>
        <v/>
      </c>
      <c r="AL82">
        <f>IFERROR(INDEX(PP_Grid[#Data],$DD82,36),0)</f>
        <v/>
      </c>
      <c r="AM82">
        <f>IFERROR(INDEX(PP_Grid[#Data],$DD82,37),0)</f>
        <v/>
      </c>
      <c r="AN82">
        <f>IFERROR(INDEX(PP_Grid[#Data],$DD82,38),0)</f>
        <v/>
      </c>
      <c r="AO82">
        <f>IFERROR(INDEX(PP_Grid[#Data],$DD82,39),0)</f>
        <v/>
      </c>
      <c r="AP82">
        <f>IFERROR(INDEX(PP_Grid[#Data],$DD82,40),0)</f>
        <v/>
      </c>
      <c r="AQ82">
        <f>IFERROR(INDEX(PP_Grid[#Data],$DD82,41),0)</f>
        <v/>
      </c>
      <c r="AR82">
        <f>IFERROR(INDEX(PP_Grid[#Data],$DD82,42),0)</f>
        <v/>
      </c>
      <c r="AS82">
        <f>IFERROR(INDEX(PP_Grid[#Data],$DD82,43),0)</f>
        <v/>
      </c>
      <c r="AT82">
        <f>IFERROR(INDEX(PP_Grid[#Data],$DD82,44),0)</f>
        <v/>
      </c>
      <c r="AU82">
        <f>IFERROR(INDEX(PP_Grid[#Data],$DD82,45),0)</f>
        <v/>
      </c>
      <c r="AV82">
        <f>IFERROR(INDEX(PP_Grid[#Data],$DD82,46),0)</f>
        <v/>
      </c>
      <c r="AW82">
        <f>IFERROR(INDEX(PP_Grid[#Data],$DD82,47),0)</f>
        <v/>
      </c>
      <c r="AX82">
        <f>IFERROR(INDEX(PP_Grid[#Data],$DD82,48),0)</f>
        <v/>
      </c>
      <c r="AY82">
        <f>IFERROR(INDEX(PP_Grid[#Data],$DD82,49),0)</f>
        <v/>
      </c>
      <c r="AZ82">
        <f>IFERROR(INDEX(PP_Grid[#Data],$DD82,50),0)</f>
        <v/>
      </c>
      <c r="BA82">
        <f>IFERROR(INDEX(PP_Grid[#Data],$DD82,51),0)</f>
        <v/>
      </c>
      <c r="BB82">
        <f>IFERROR(INDEX(PP_Grid[#Data],$DD82,52),0)</f>
        <v/>
      </c>
      <c r="BC82">
        <f>IFERROR(INDEX(PP_Grid[#Data],$DD82,53),0)</f>
        <v/>
      </c>
      <c r="BD82">
        <f>IFERROR(INDEX(PP_Grid[#Data],$DD82,54),0)</f>
        <v/>
      </c>
      <c r="BE82">
        <f>IFERROR(INDEX(PP_Grid[#Data],$DD82,55),0)</f>
        <v/>
      </c>
      <c r="BF82">
        <f>IFERROR(INDEX(PP_Grid[#Data],$DD82,56),0)</f>
        <v/>
      </c>
      <c r="BG82">
        <f>IFERROR(INDEX(PP_Grid[#Data],$DD82,57),0)</f>
        <v/>
      </c>
      <c r="BH82">
        <f>IFERROR(INDEX(PP_Grid[#Data],$DD82,58),0)</f>
        <v/>
      </c>
      <c r="BI82">
        <f>IFERROR(INDEX(PP_Grid[#Data],$DD82,59),0)</f>
        <v/>
      </c>
      <c r="BJ82">
        <f>IFERROR(INDEX(PP_Grid[#Data],$DD82,60),0)</f>
        <v/>
      </c>
      <c r="BK82">
        <f>IFERROR(INDEX(PP_Grid[#Data],$DD82,61),0)</f>
        <v/>
      </c>
      <c r="BL82">
        <f>IFERROR(INDEX(PP_Grid[#Data],$DD82,62),0)</f>
        <v/>
      </c>
      <c r="BM82">
        <f>IFERROR(INDEX(PP_Grid[#Data],$DD82,63),0)</f>
        <v/>
      </c>
      <c r="BN82">
        <f>IFERROR(INDEX(PP_Grid[#Data],$DD82,64),0)</f>
        <v/>
      </c>
      <c r="BO82">
        <f>IFERROR(INDEX(PP_Grid[#Data],$DD82,65),0)</f>
        <v/>
      </c>
      <c r="BP82">
        <f>IFERROR(INDEX(PP_Grid[#Data],$DD82,66),0)</f>
        <v/>
      </c>
      <c r="BQ82">
        <f>IFERROR(INDEX(PP_Grid[#Data],$DD82,67),0)</f>
        <v/>
      </c>
      <c r="BR82">
        <f>IFERROR(INDEX(PP_Grid[#Data],$DD82,68),0)</f>
        <v/>
      </c>
      <c r="BS82">
        <f>IFERROR(INDEX(PP_Grid[#Data],$DD82,69),0)</f>
        <v/>
      </c>
      <c r="BT82">
        <f>IFERROR(INDEX(PP_Grid[#Data],$DD82,70),0)</f>
        <v/>
      </c>
      <c r="BU82">
        <f>IFERROR(INDEX(PP_Grid[#Data],$DD82,71),0)</f>
        <v/>
      </c>
      <c r="BV82">
        <f>IFERROR(INDEX(PP_Grid[#Data],$DD82,72),0)</f>
        <v/>
      </c>
      <c r="BW82">
        <f>IFERROR(INDEX(PP_Grid[#Data],$DD82,73),0)</f>
        <v/>
      </c>
      <c r="BX82">
        <f>IFERROR(INDEX(PP_Grid[#Data],$DD82,74),0)</f>
        <v/>
      </c>
      <c r="BY82">
        <f>IFERROR(INDEX(PP_Grid[#Data],$DD82,75),0)</f>
        <v/>
      </c>
      <c r="BZ82">
        <f>IFERROR(INDEX(PP_Grid[#Data],$DD82,76),0)</f>
        <v/>
      </c>
      <c r="CA82">
        <f>IFERROR(INDEX(PP_Grid[#Data],$DD82,77),0)</f>
        <v/>
      </c>
      <c r="CB82">
        <f>IFERROR(INDEX(PP_Grid[#Data],$DD82,78),0)</f>
        <v/>
      </c>
      <c r="CC82">
        <f>IFERROR(INDEX(PP_Grid[#Data],$DD82,79),0)</f>
        <v/>
      </c>
      <c r="CD82">
        <f>IFERROR(INDEX(PP_Grid[#Data],$DD82,80),0)</f>
        <v/>
      </c>
      <c r="CE82">
        <f>IFERROR(INDEX(PP_Grid[#Data],$DD82,81),0)</f>
        <v/>
      </c>
      <c r="CF82">
        <f>IFERROR(INDEX(PP_Grid[#Data],$DD82,82),0)</f>
        <v/>
      </c>
      <c r="CG82">
        <f>IFERROR(INDEX(PP_Grid[#Data],$DD82,83),0)</f>
        <v/>
      </c>
      <c r="CH82">
        <f>IFERROR(INDEX(PP_Grid[#Data],$DD82,84),0)</f>
        <v/>
      </c>
      <c r="CI82">
        <f>IFERROR(INDEX(PP_Grid[#Data],$DD82,85),0)</f>
        <v/>
      </c>
      <c r="CJ82">
        <f>IFERROR(INDEX(PP_Grid[#Data],$DD82,86),0)</f>
        <v/>
      </c>
      <c r="CK82">
        <f>IFERROR(INDEX(PP_Grid[#Data],$DD82,87),0)</f>
        <v/>
      </c>
      <c r="CL82">
        <f>IFERROR(INDEX(PP_Grid[#Data],$DD82,88),0)</f>
        <v/>
      </c>
      <c r="CM82">
        <f>IFERROR(INDEX(PP_Grid[#Data],$DD82,89),0)</f>
        <v/>
      </c>
      <c r="CN82">
        <f>IFERROR(INDEX(PP_Grid[#Data],$DD82,90),0)</f>
        <v/>
      </c>
      <c r="CO82">
        <f>IFERROR(INDEX(PP_Grid[#Data],$DD82,91),0)</f>
        <v/>
      </c>
      <c r="CP82">
        <f>IFERROR(INDEX(PP_Grid[#Data],$DD82,92),0)</f>
        <v/>
      </c>
      <c r="CQ82">
        <f>IFERROR(INDEX(PP_Grid[#Data],$DD82,93),0)</f>
        <v/>
      </c>
      <c r="CR82">
        <f>IFERROR(INDEX(PP_Grid[#Data],$DD82,94),0)</f>
        <v/>
      </c>
      <c r="CS82">
        <f>IFERROR(INDEX(PP_Grid[#Data],$DD82,95),0)</f>
        <v/>
      </c>
      <c r="CT82">
        <f>IFERROR(INDEX(PP_Grid[#Data],$DD82,96),0)</f>
        <v/>
      </c>
      <c r="CU82">
        <f>IFERROR(INDEX(PP_Grid[#Data],$DD82,97),0)</f>
        <v/>
      </c>
      <c r="CV82">
        <f>IFERROR(INDEX(PP_Grid[#Data],$DD82,98),0)</f>
        <v/>
      </c>
      <c r="CW82">
        <f>IFERROR(INDEX(PP_Grid[#Data],$DD82,99),0)</f>
        <v/>
      </c>
      <c r="CX82">
        <f>IFERROR(INDEX(PP_Grid[#Data],$DD82,100),0)</f>
        <v/>
      </c>
      <c r="CY82">
        <f>IFERROR(INDEX(PP_Grid[#Data],$DD82,101),0)</f>
        <v/>
      </c>
      <c r="CZ82">
        <f>IFERROR(INDEX(PP_Grid[#Data],$DD82,102),0)</f>
        <v/>
      </c>
      <c r="DA82">
        <f>IFERROR(INDEX(PP_Grid[#Data],$DD82,103),0)</f>
        <v/>
      </c>
      <c r="DB82">
        <f>IFERROR(INDEX(PP_Grid[#Data],$DD82,104),0)</f>
        <v/>
      </c>
      <c r="DC82">
        <f>IFERROR(INDEX(PP_Grid[#Data],$DD82,105),0)</f>
        <v/>
      </c>
      <c r="DD82" s="12">
        <f>IFERROR(MATCH($B82,PP_Grid[Intermediate],0),99999)</f>
        <v/>
      </c>
    </row>
    <row r="83">
      <c r="B83" t="inlineStr">
        <is>
          <t>使用量(kg)</t>
        </is>
      </c>
      <c r="C83">
        <f>SUMIFS(M_BOM[RM_Qty_Per_Batch],M_BOM[Intermediate],$B82,M_BOM[Part Name],$A45)</f>
        <v/>
      </c>
      <c r="D83">
        <f>$C83*D82</f>
        <v/>
      </c>
      <c r="E83">
        <f>$C83*E82</f>
        <v/>
      </c>
      <c r="F83">
        <f>$C83*F82</f>
        <v/>
      </c>
      <c r="G83">
        <f>$C83*G82</f>
        <v/>
      </c>
      <c r="H83">
        <f>$C83*H82</f>
        <v/>
      </c>
      <c r="I83">
        <f>$C83*I82</f>
        <v/>
      </c>
      <c r="J83">
        <f>$C83*J82</f>
        <v/>
      </c>
      <c r="K83">
        <f>$C83*K82</f>
        <v/>
      </c>
      <c r="L83">
        <f>$C83*L82</f>
        <v/>
      </c>
      <c r="M83">
        <f>$C83*M82</f>
        <v/>
      </c>
      <c r="N83">
        <f>$C83*N82</f>
        <v/>
      </c>
      <c r="O83">
        <f>$C83*O82</f>
        <v/>
      </c>
      <c r="P83">
        <f>$C83*P82</f>
        <v/>
      </c>
      <c r="Q83">
        <f>$C83*Q82</f>
        <v/>
      </c>
      <c r="R83">
        <f>$C83*R82</f>
        <v/>
      </c>
      <c r="S83">
        <f>$C83*S82</f>
        <v/>
      </c>
      <c r="T83">
        <f>$C83*T82</f>
        <v/>
      </c>
      <c r="U83">
        <f>$C83*U82</f>
        <v/>
      </c>
      <c r="V83">
        <f>$C83*V82</f>
        <v/>
      </c>
      <c r="W83">
        <f>$C83*W82</f>
        <v/>
      </c>
      <c r="X83">
        <f>$C83*X82</f>
        <v/>
      </c>
      <c r="Y83">
        <f>$C83*Y82</f>
        <v/>
      </c>
      <c r="Z83">
        <f>$C83*Z82</f>
        <v/>
      </c>
      <c r="AA83">
        <f>$C83*AA82</f>
        <v/>
      </c>
      <c r="AB83">
        <f>$C83*AB82</f>
        <v/>
      </c>
      <c r="AC83">
        <f>$C83*AC82</f>
        <v/>
      </c>
      <c r="AD83">
        <f>$C83*AD82</f>
        <v/>
      </c>
      <c r="AE83">
        <f>$C83*AE82</f>
        <v/>
      </c>
      <c r="AF83">
        <f>$C83*AF82</f>
        <v/>
      </c>
      <c r="AG83">
        <f>$C83*AG82</f>
        <v/>
      </c>
      <c r="AH83">
        <f>$C83*AH82</f>
        <v/>
      </c>
      <c r="AI83">
        <f>$C83*AI82</f>
        <v/>
      </c>
      <c r="AJ83">
        <f>$C83*AJ82</f>
        <v/>
      </c>
      <c r="AK83">
        <f>$C83*AK82</f>
        <v/>
      </c>
      <c r="AL83">
        <f>$C83*AL82</f>
        <v/>
      </c>
      <c r="AM83">
        <f>$C83*AM82</f>
        <v/>
      </c>
      <c r="AN83">
        <f>$C83*AN82</f>
        <v/>
      </c>
      <c r="AO83">
        <f>$C83*AO82</f>
        <v/>
      </c>
      <c r="AP83">
        <f>$C83*AP82</f>
        <v/>
      </c>
      <c r="AQ83">
        <f>$C83*AQ82</f>
        <v/>
      </c>
      <c r="AR83">
        <f>$C83*AR82</f>
        <v/>
      </c>
      <c r="AS83">
        <f>$C83*AS82</f>
        <v/>
      </c>
      <c r="AT83">
        <f>$C83*AT82</f>
        <v/>
      </c>
      <c r="AU83">
        <f>$C83*AU82</f>
        <v/>
      </c>
      <c r="AV83">
        <f>$C83*AV82</f>
        <v/>
      </c>
      <c r="AW83">
        <f>$C83*AW82</f>
        <v/>
      </c>
      <c r="AX83">
        <f>$C83*AX82</f>
        <v/>
      </c>
      <c r="AY83">
        <f>$C83*AY82</f>
        <v/>
      </c>
      <c r="AZ83">
        <f>$C83*AZ82</f>
        <v/>
      </c>
      <c r="BA83">
        <f>$C83*BA82</f>
        <v/>
      </c>
      <c r="BB83">
        <f>$C83*BB82</f>
        <v/>
      </c>
      <c r="BC83">
        <f>$C83*BC82</f>
        <v/>
      </c>
      <c r="BD83">
        <f>$C83*BD82</f>
        <v/>
      </c>
      <c r="BE83">
        <f>$C83*BE82</f>
        <v/>
      </c>
      <c r="BF83">
        <f>$C83*BF82</f>
        <v/>
      </c>
      <c r="BG83">
        <f>$C83*BG82</f>
        <v/>
      </c>
      <c r="BH83">
        <f>$C83*BH82</f>
        <v/>
      </c>
      <c r="BI83">
        <f>$C83*BI82</f>
        <v/>
      </c>
      <c r="BJ83">
        <f>$C83*BJ82</f>
        <v/>
      </c>
      <c r="BK83">
        <f>$C83*BK82</f>
        <v/>
      </c>
      <c r="BL83">
        <f>$C83*BL82</f>
        <v/>
      </c>
      <c r="BM83">
        <f>$C83*BM82</f>
        <v/>
      </c>
      <c r="BN83">
        <f>$C83*BN82</f>
        <v/>
      </c>
      <c r="BO83">
        <f>$C83*BO82</f>
        <v/>
      </c>
      <c r="BP83">
        <f>$C83*BP82</f>
        <v/>
      </c>
      <c r="BQ83">
        <f>$C83*BQ82</f>
        <v/>
      </c>
      <c r="BR83">
        <f>$C83*BR82</f>
        <v/>
      </c>
      <c r="BS83">
        <f>$C83*BS82</f>
        <v/>
      </c>
      <c r="BT83">
        <f>$C83*BT82</f>
        <v/>
      </c>
      <c r="BU83">
        <f>$C83*BU82</f>
        <v/>
      </c>
      <c r="BV83">
        <f>$C83*BV82</f>
        <v/>
      </c>
      <c r="BW83">
        <f>$C83*BW82</f>
        <v/>
      </c>
      <c r="BX83">
        <f>$C83*BX82</f>
        <v/>
      </c>
      <c r="BY83">
        <f>$C83*BY82</f>
        <v/>
      </c>
      <c r="BZ83">
        <f>$C83*BZ82</f>
        <v/>
      </c>
      <c r="CA83">
        <f>$C83*CA82</f>
        <v/>
      </c>
      <c r="CB83">
        <f>$C83*CB82</f>
        <v/>
      </c>
      <c r="CC83">
        <f>$C83*CC82</f>
        <v/>
      </c>
      <c r="CD83">
        <f>$C83*CD82</f>
        <v/>
      </c>
      <c r="CE83">
        <f>$C83*CE82</f>
        <v/>
      </c>
      <c r="CF83">
        <f>$C83*CF82</f>
        <v/>
      </c>
      <c r="CG83">
        <f>$C83*CG82</f>
        <v/>
      </c>
      <c r="CH83">
        <f>$C83*CH82</f>
        <v/>
      </c>
      <c r="CI83">
        <f>$C83*CI82</f>
        <v/>
      </c>
      <c r="CJ83">
        <f>$C83*CJ82</f>
        <v/>
      </c>
      <c r="CK83">
        <f>$C83*CK82</f>
        <v/>
      </c>
      <c r="CL83">
        <f>$C83*CL82</f>
        <v/>
      </c>
      <c r="CM83">
        <f>$C83*CM82</f>
        <v/>
      </c>
      <c r="CN83">
        <f>$C83*CN82</f>
        <v/>
      </c>
      <c r="CO83">
        <f>$C83*CO82</f>
        <v/>
      </c>
      <c r="CP83">
        <f>$C83*CP82</f>
        <v/>
      </c>
      <c r="CQ83">
        <f>$C83*CQ82</f>
        <v/>
      </c>
      <c r="CR83">
        <f>$C83*CR82</f>
        <v/>
      </c>
      <c r="CS83">
        <f>$C83*CS82</f>
        <v/>
      </c>
      <c r="CT83">
        <f>$C83*CT82</f>
        <v/>
      </c>
      <c r="CU83">
        <f>$C83*CU82</f>
        <v/>
      </c>
      <c r="CV83">
        <f>$C83*CV82</f>
        <v/>
      </c>
      <c r="CW83">
        <f>$C83*CW82</f>
        <v/>
      </c>
      <c r="CX83">
        <f>$C83*CX82</f>
        <v/>
      </c>
      <c r="CY83">
        <f>$C83*CY82</f>
        <v/>
      </c>
      <c r="CZ83">
        <f>$C83*CZ82</f>
        <v/>
      </c>
      <c r="DA83">
        <f>$C83*DA82</f>
        <v/>
      </c>
      <c r="DB83">
        <f>$C83*DB82</f>
        <v/>
      </c>
      <c r="DC83">
        <f>$C83*DC82</f>
        <v/>
      </c>
    </row>
    <row r="84">
      <c r="B84" t="inlineStr">
        <is>
          <t>TSP-369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12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Name],$A45)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t="inlineStr">
        <is>
          <t>TSP-390</t>
        </is>
      </c>
      <c r="C86" t="inlineStr">
        <is>
          <t>No. of batches</t>
        </is>
      </c>
      <c r="D86">
        <f>IFERROR(INDEX(PP_Grid[#Data],$DD86,2),0)</f>
        <v/>
      </c>
      <c r="E86">
        <f>IFERROR(INDEX(PP_Grid[#Data],$DD86,3),0)</f>
        <v/>
      </c>
      <c r="F86">
        <f>IFERROR(INDEX(PP_Grid[#Data],$DD86,4),0)</f>
        <v/>
      </c>
      <c r="G86">
        <f>IFERROR(INDEX(PP_Grid[#Data],$DD86,5),0)</f>
        <v/>
      </c>
      <c r="H86">
        <f>IFERROR(INDEX(PP_Grid[#Data],$DD86,6),0)</f>
        <v/>
      </c>
      <c r="I86">
        <f>IFERROR(INDEX(PP_Grid[#Data],$DD86,7),0)</f>
        <v/>
      </c>
      <c r="J86">
        <f>IFERROR(INDEX(PP_Grid[#Data],$DD86,8),0)</f>
        <v/>
      </c>
      <c r="K86">
        <f>IFERROR(INDEX(PP_Grid[#Data],$DD86,9),0)</f>
        <v/>
      </c>
      <c r="L86">
        <f>IFERROR(INDEX(PP_Grid[#Data],$DD86,10),0)</f>
        <v/>
      </c>
      <c r="M86">
        <f>IFERROR(INDEX(PP_Grid[#Data],$DD86,11),0)</f>
        <v/>
      </c>
      <c r="N86">
        <f>IFERROR(INDEX(PP_Grid[#Data],$DD86,12),0)</f>
        <v/>
      </c>
      <c r="O86">
        <f>IFERROR(INDEX(PP_Grid[#Data],$DD86,13),0)</f>
        <v/>
      </c>
      <c r="P86">
        <f>IFERROR(INDEX(PP_Grid[#Data],$DD86,14),0)</f>
        <v/>
      </c>
      <c r="Q86">
        <f>IFERROR(INDEX(PP_Grid[#Data],$DD86,15),0)</f>
        <v/>
      </c>
      <c r="R86">
        <f>IFERROR(INDEX(PP_Grid[#Data],$DD86,16),0)</f>
        <v/>
      </c>
      <c r="S86">
        <f>IFERROR(INDEX(PP_Grid[#Data],$DD86,17),0)</f>
        <v/>
      </c>
      <c r="T86">
        <f>IFERROR(INDEX(PP_Grid[#Data],$DD86,18),0)</f>
        <v/>
      </c>
      <c r="U86">
        <f>IFERROR(INDEX(PP_Grid[#Data],$DD86,19),0)</f>
        <v/>
      </c>
      <c r="V86">
        <f>IFERROR(INDEX(PP_Grid[#Data],$DD86,20),0)</f>
        <v/>
      </c>
      <c r="W86">
        <f>IFERROR(INDEX(PP_Grid[#Data],$DD86,21),0)</f>
        <v/>
      </c>
      <c r="X86">
        <f>IFERROR(INDEX(PP_Grid[#Data],$DD86,22),0)</f>
        <v/>
      </c>
      <c r="Y86">
        <f>IFERROR(INDEX(PP_Grid[#Data],$DD86,23),0)</f>
        <v/>
      </c>
      <c r="Z86">
        <f>IFERROR(INDEX(PP_Grid[#Data],$DD86,24),0)</f>
        <v/>
      </c>
      <c r="AA86">
        <f>IFERROR(INDEX(PP_Grid[#Data],$DD86,25),0)</f>
        <v/>
      </c>
      <c r="AB86">
        <f>IFERROR(INDEX(PP_Grid[#Data],$DD86,26),0)</f>
        <v/>
      </c>
      <c r="AC86">
        <f>IFERROR(INDEX(PP_Grid[#Data],$DD86,27),0)</f>
        <v/>
      </c>
      <c r="AD86">
        <f>IFERROR(INDEX(PP_Grid[#Data],$DD86,28),0)</f>
        <v/>
      </c>
      <c r="AE86">
        <f>IFERROR(INDEX(PP_Grid[#Data],$DD86,29),0)</f>
        <v/>
      </c>
      <c r="AF86">
        <f>IFERROR(INDEX(PP_Grid[#Data],$DD86,30),0)</f>
        <v/>
      </c>
      <c r="AG86">
        <f>IFERROR(INDEX(PP_Grid[#Data],$DD86,31),0)</f>
        <v/>
      </c>
      <c r="AH86">
        <f>IFERROR(INDEX(PP_Grid[#Data],$DD86,32),0)</f>
        <v/>
      </c>
      <c r="AI86">
        <f>IFERROR(INDEX(PP_Grid[#Data],$DD86,33),0)</f>
        <v/>
      </c>
      <c r="AJ86">
        <f>IFERROR(INDEX(PP_Grid[#Data],$DD86,34),0)</f>
        <v/>
      </c>
      <c r="AK86">
        <f>IFERROR(INDEX(PP_Grid[#Data],$DD86,35),0)</f>
        <v/>
      </c>
      <c r="AL86">
        <f>IFERROR(INDEX(PP_Grid[#Data],$DD86,36),0)</f>
        <v/>
      </c>
      <c r="AM86">
        <f>IFERROR(INDEX(PP_Grid[#Data],$DD86,37),0)</f>
        <v/>
      </c>
      <c r="AN86">
        <f>IFERROR(INDEX(PP_Grid[#Data],$DD86,38),0)</f>
        <v/>
      </c>
      <c r="AO86">
        <f>IFERROR(INDEX(PP_Grid[#Data],$DD86,39),0)</f>
        <v/>
      </c>
      <c r="AP86">
        <f>IFERROR(INDEX(PP_Grid[#Data],$DD86,40),0)</f>
        <v/>
      </c>
      <c r="AQ86">
        <f>IFERROR(INDEX(PP_Grid[#Data],$DD86,41),0)</f>
        <v/>
      </c>
      <c r="AR86">
        <f>IFERROR(INDEX(PP_Grid[#Data],$DD86,42),0)</f>
        <v/>
      </c>
      <c r="AS86">
        <f>IFERROR(INDEX(PP_Grid[#Data],$DD86,43),0)</f>
        <v/>
      </c>
      <c r="AT86">
        <f>IFERROR(INDEX(PP_Grid[#Data],$DD86,44),0)</f>
        <v/>
      </c>
      <c r="AU86">
        <f>IFERROR(INDEX(PP_Grid[#Data],$DD86,45),0)</f>
        <v/>
      </c>
      <c r="AV86">
        <f>IFERROR(INDEX(PP_Grid[#Data],$DD86,46),0)</f>
        <v/>
      </c>
      <c r="AW86">
        <f>IFERROR(INDEX(PP_Grid[#Data],$DD86,47),0)</f>
        <v/>
      </c>
      <c r="AX86">
        <f>IFERROR(INDEX(PP_Grid[#Data],$DD86,48),0)</f>
        <v/>
      </c>
      <c r="AY86">
        <f>IFERROR(INDEX(PP_Grid[#Data],$DD86,49),0)</f>
        <v/>
      </c>
      <c r="AZ86">
        <f>IFERROR(INDEX(PP_Grid[#Data],$DD86,50),0)</f>
        <v/>
      </c>
      <c r="BA86">
        <f>IFERROR(INDEX(PP_Grid[#Data],$DD86,51),0)</f>
        <v/>
      </c>
      <c r="BB86">
        <f>IFERROR(INDEX(PP_Grid[#Data],$DD86,52),0)</f>
        <v/>
      </c>
      <c r="BC86">
        <f>IFERROR(INDEX(PP_Grid[#Data],$DD86,53),0)</f>
        <v/>
      </c>
      <c r="BD86">
        <f>IFERROR(INDEX(PP_Grid[#Data],$DD86,54),0)</f>
        <v/>
      </c>
      <c r="BE86">
        <f>IFERROR(INDEX(PP_Grid[#Data],$DD86,55),0)</f>
        <v/>
      </c>
      <c r="BF86">
        <f>IFERROR(INDEX(PP_Grid[#Data],$DD86,56),0)</f>
        <v/>
      </c>
      <c r="BG86">
        <f>IFERROR(INDEX(PP_Grid[#Data],$DD86,57),0)</f>
        <v/>
      </c>
      <c r="BH86">
        <f>IFERROR(INDEX(PP_Grid[#Data],$DD86,58),0)</f>
        <v/>
      </c>
      <c r="BI86">
        <f>IFERROR(INDEX(PP_Grid[#Data],$DD86,59),0)</f>
        <v/>
      </c>
      <c r="BJ86">
        <f>IFERROR(INDEX(PP_Grid[#Data],$DD86,60),0)</f>
        <v/>
      </c>
      <c r="BK86">
        <f>IFERROR(INDEX(PP_Grid[#Data],$DD86,61),0)</f>
        <v/>
      </c>
      <c r="BL86">
        <f>IFERROR(INDEX(PP_Grid[#Data],$DD86,62),0)</f>
        <v/>
      </c>
      <c r="BM86">
        <f>IFERROR(INDEX(PP_Grid[#Data],$DD86,63),0)</f>
        <v/>
      </c>
      <c r="BN86">
        <f>IFERROR(INDEX(PP_Grid[#Data],$DD86,64),0)</f>
        <v/>
      </c>
      <c r="BO86">
        <f>IFERROR(INDEX(PP_Grid[#Data],$DD86,65),0)</f>
        <v/>
      </c>
      <c r="BP86">
        <f>IFERROR(INDEX(PP_Grid[#Data],$DD86,66),0)</f>
        <v/>
      </c>
      <c r="BQ86">
        <f>IFERROR(INDEX(PP_Grid[#Data],$DD86,67),0)</f>
        <v/>
      </c>
      <c r="BR86">
        <f>IFERROR(INDEX(PP_Grid[#Data],$DD86,68),0)</f>
        <v/>
      </c>
      <c r="BS86">
        <f>IFERROR(INDEX(PP_Grid[#Data],$DD86,69),0)</f>
        <v/>
      </c>
      <c r="BT86">
        <f>IFERROR(INDEX(PP_Grid[#Data],$DD86,70),0)</f>
        <v/>
      </c>
      <c r="BU86">
        <f>IFERROR(INDEX(PP_Grid[#Data],$DD86,71),0)</f>
        <v/>
      </c>
      <c r="BV86">
        <f>IFERROR(INDEX(PP_Grid[#Data],$DD86,72),0)</f>
        <v/>
      </c>
      <c r="BW86">
        <f>IFERROR(INDEX(PP_Grid[#Data],$DD86,73),0)</f>
        <v/>
      </c>
      <c r="BX86">
        <f>IFERROR(INDEX(PP_Grid[#Data],$DD86,74),0)</f>
        <v/>
      </c>
      <c r="BY86">
        <f>IFERROR(INDEX(PP_Grid[#Data],$DD86,75),0)</f>
        <v/>
      </c>
      <c r="BZ86">
        <f>IFERROR(INDEX(PP_Grid[#Data],$DD86,76),0)</f>
        <v/>
      </c>
      <c r="CA86">
        <f>IFERROR(INDEX(PP_Grid[#Data],$DD86,77),0)</f>
        <v/>
      </c>
      <c r="CB86">
        <f>IFERROR(INDEX(PP_Grid[#Data],$DD86,78),0)</f>
        <v/>
      </c>
      <c r="CC86">
        <f>IFERROR(INDEX(PP_Grid[#Data],$DD86,79),0)</f>
        <v/>
      </c>
      <c r="CD86">
        <f>IFERROR(INDEX(PP_Grid[#Data],$DD86,80),0)</f>
        <v/>
      </c>
      <c r="CE86">
        <f>IFERROR(INDEX(PP_Grid[#Data],$DD86,81),0)</f>
        <v/>
      </c>
      <c r="CF86">
        <f>IFERROR(INDEX(PP_Grid[#Data],$DD86,82),0)</f>
        <v/>
      </c>
      <c r="CG86">
        <f>IFERROR(INDEX(PP_Grid[#Data],$DD86,83),0)</f>
        <v/>
      </c>
      <c r="CH86">
        <f>IFERROR(INDEX(PP_Grid[#Data],$DD86,84),0)</f>
        <v/>
      </c>
      <c r="CI86">
        <f>IFERROR(INDEX(PP_Grid[#Data],$DD86,85),0)</f>
        <v/>
      </c>
      <c r="CJ86">
        <f>IFERROR(INDEX(PP_Grid[#Data],$DD86,86),0)</f>
        <v/>
      </c>
      <c r="CK86">
        <f>IFERROR(INDEX(PP_Grid[#Data],$DD86,87),0)</f>
        <v/>
      </c>
      <c r="CL86">
        <f>IFERROR(INDEX(PP_Grid[#Data],$DD86,88),0)</f>
        <v/>
      </c>
      <c r="CM86">
        <f>IFERROR(INDEX(PP_Grid[#Data],$DD86,89),0)</f>
        <v/>
      </c>
      <c r="CN86">
        <f>IFERROR(INDEX(PP_Grid[#Data],$DD86,90),0)</f>
        <v/>
      </c>
      <c r="CO86">
        <f>IFERROR(INDEX(PP_Grid[#Data],$DD86,91),0)</f>
        <v/>
      </c>
      <c r="CP86">
        <f>IFERROR(INDEX(PP_Grid[#Data],$DD86,92),0)</f>
        <v/>
      </c>
      <c r="CQ86">
        <f>IFERROR(INDEX(PP_Grid[#Data],$DD86,93),0)</f>
        <v/>
      </c>
      <c r="CR86">
        <f>IFERROR(INDEX(PP_Grid[#Data],$DD86,94),0)</f>
        <v/>
      </c>
      <c r="CS86">
        <f>IFERROR(INDEX(PP_Grid[#Data],$DD86,95),0)</f>
        <v/>
      </c>
      <c r="CT86">
        <f>IFERROR(INDEX(PP_Grid[#Data],$DD86,96),0)</f>
        <v/>
      </c>
      <c r="CU86">
        <f>IFERROR(INDEX(PP_Grid[#Data],$DD86,97),0)</f>
        <v/>
      </c>
      <c r="CV86">
        <f>IFERROR(INDEX(PP_Grid[#Data],$DD86,98),0)</f>
        <v/>
      </c>
      <c r="CW86">
        <f>IFERROR(INDEX(PP_Grid[#Data],$DD86,99),0)</f>
        <v/>
      </c>
      <c r="CX86">
        <f>IFERROR(INDEX(PP_Grid[#Data],$DD86,100),0)</f>
        <v/>
      </c>
      <c r="CY86">
        <f>IFERROR(INDEX(PP_Grid[#Data],$DD86,101),0)</f>
        <v/>
      </c>
      <c r="CZ86">
        <f>IFERROR(INDEX(PP_Grid[#Data],$DD86,102),0)</f>
        <v/>
      </c>
      <c r="DA86">
        <f>IFERROR(INDEX(PP_Grid[#Data],$DD86,103),0)</f>
        <v/>
      </c>
      <c r="DB86">
        <f>IFERROR(INDEX(PP_Grid[#Data],$DD86,104),0)</f>
        <v/>
      </c>
      <c r="DC86">
        <f>IFERROR(INDEX(PP_Grid[#Data],$DD86,105),0)</f>
        <v/>
      </c>
      <c r="DD86" s="12">
        <f>IFERROR(MATCH($B86,PP_Grid[Intermediate],0),99999)</f>
        <v/>
      </c>
    </row>
    <row r="87">
      <c r="B87" t="inlineStr">
        <is>
          <t>使用量(kg)</t>
        </is>
      </c>
      <c r="C87">
        <f>SUMIFS(M_BOM[RM_Qty_Per_Batch],M_BOM[Intermediate],$B86,M_BOM[Part Name],$A45)</f>
        <v/>
      </c>
      <c r="D87">
        <f>$C87*D86</f>
        <v/>
      </c>
      <c r="E87">
        <f>$C87*E86</f>
        <v/>
      </c>
      <c r="F87">
        <f>$C87*F86</f>
        <v/>
      </c>
      <c r="G87">
        <f>$C87*G86</f>
        <v/>
      </c>
      <c r="H87">
        <f>$C87*H86</f>
        <v/>
      </c>
      <c r="I87">
        <f>$C87*I86</f>
        <v/>
      </c>
      <c r="J87">
        <f>$C87*J86</f>
        <v/>
      </c>
      <c r="K87">
        <f>$C87*K86</f>
        <v/>
      </c>
      <c r="L87">
        <f>$C87*L86</f>
        <v/>
      </c>
      <c r="M87">
        <f>$C87*M86</f>
        <v/>
      </c>
      <c r="N87">
        <f>$C87*N86</f>
        <v/>
      </c>
      <c r="O87">
        <f>$C87*O86</f>
        <v/>
      </c>
      <c r="P87">
        <f>$C87*P86</f>
        <v/>
      </c>
      <c r="Q87">
        <f>$C87*Q86</f>
        <v/>
      </c>
      <c r="R87">
        <f>$C87*R86</f>
        <v/>
      </c>
      <c r="S87">
        <f>$C87*S86</f>
        <v/>
      </c>
      <c r="T87">
        <f>$C87*T86</f>
        <v/>
      </c>
      <c r="U87">
        <f>$C87*U86</f>
        <v/>
      </c>
      <c r="V87">
        <f>$C87*V86</f>
        <v/>
      </c>
      <c r="W87">
        <f>$C87*W86</f>
        <v/>
      </c>
      <c r="X87">
        <f>$C87*X86</f>
        <v/>
      </c>
      <c r="Y87">
        <f>$C87*Y86</f>
        <v/>
      </c>
      <c r="Z87">
        <f>$C87*Z86</f>
        <v/>
      </c>
      <c r="AA87">
        <f>$C87*AA86</f>
        <v/>
      </c>
      <c r="AB87">
        <f>$C87*AB86</f>
        <v/>
      </c>
      <c r="AC87">
        <f>$C87*AC86</f>
        <v/>
      </c>
      <c r="AD87">
        <f>$C87*AD86</f>
        <v/>
      </c>
      <c r="AE87">
        <f>$C87*AE86</f>
        <v/>
      </c>
      <c r="AF87">
        <f>$C87*AF86</f>
        <v/>
      </c>
      <c r="AG87">
        <f>$C87*AG86</f>
        <v/>
      </c>
      <c r="AH87">
        <f>$C87*AH86</f>
        <v/>
      </c>
      <c r="AI87">
        <f>$C87*AI86</f>
        <v/>
      </c>
      <c r="AJ87">
        <f>$C87*AJ86</f>
        <v/>
      </c>
      <c r="AK87">
        <f>$C87*AK86</f>
        <v/>
      </c>
      <c r="AL87">
        <f>$C87*AL86</f>
        <v/>
      </c>
      <c r="AM87">
        <f>$C87*AM86</f>
        <v/>
      </c>
      <c r="AN87">
        <f>$C87*AN86</f>
        <v/>
      </c>
      <c r="AO87">
        <f>$C87*AO86</f>
        <v/>
      </c>
      <c r="AP87">
        <f>$C87*AP86</f>
        <v/>
      </c>
      <c r="AQ87">
        <f>$C87*AQ86</f>
        <v/>
      </c>
      <c r="AR87">
        <f>$C87*AR86</f>
        <v/>
      </c>
      <c r="AS87">
        <f>$C87*AS86</f>
        <v/>
      </c>
      <c r="AT87">
        <f>$C87*AT86</f>
        <v/>
      </c>
      <c r="AU87">
        <f>$C87*AU86</f>
        <v/>
      </c>
      <c r="AV87">
        <f>$C87*AV86</f>
        <v/>
      </c>
      <c r="AW87">
        <f>$C87*AW86</f>
        <v/>
      </c>
      <c r="AX87">
        <f>$C87*AX86</f>
        <v/>
      </c>
      <c r="AY87">
        <f>$C87*AY86</f>
        <v/>
      </c>
      <c r="AZ87">
        <f>$C87*AZ86</f>
        <v/>
      </c>
      <c r="BA87">
        <f>$C87*BA86</f>
        <v/>
      </c>
      <c r="BB87">
        <f>$C87*BB86</f>
        <v/>
      </c>
      <c r="BC87">
        <f>$C87*BC86</f>
        <v/>
      </c>
      <c r="BD87">
        <f>$C87*BD86</f>
        <v/>
      </c>
      <c r="BE87">
        <f>$C87*BE86</f>
        <v/>
      </c>
      <c r="BF87">
        <f>$C87*BF86</f>
        <v/>
      </c>
      <c r="BG87">
        <f>$C87*BG86</f>
        <v/>
      </c>
      <c r="BH87">
        <f>$C87*BH86</f>
        <v/>
      </c>
      <c r="BI87">
        <f>$C87*BI86</f>
        <v/>
      </c>
      <c r="BJ87">
        <f>$C87*BJ86</f>
        <v/>
      </c>
      <c r="BK87">
        <f>$C87*BK86</f>
        <v/>
      </c>
      <c r="BL87">
        <f>$C87*BL86</f>
        <v/>
      </c>
      <c r="BM87">
        <f>$C87*BM86</f>
        <v/>
      </c>
      <c r="BN87">
        <f>$C87*BN86</f>
        <v/>
      </c>
      <c r="BO87">
        <f>$C87*BO86</f>
        <v/>
      </c>
      <c r="BP87">
        <f>$C87*BP86</f>
        <v/>
      </c>
      <c r="BQ87">
        <f>$C87*BQ86</f>
        <v/>
      </c>
      <c r="BR87">
        <f>$C87*BR86</f>
        <v/>
      </c>
      <c r="BS87">
        <f>$C87*BS86</f>
        <v/>
      </c>
      <c r="BT87">
        <f>$C87*BT86</f>
        <v/>
      </c>
      <c r="BU87">
        <f>$C87*BU86</f>
        <v/>
      </c>
      <c r="BV87">
        <f>$C87*BV86</f>
        <v/>
      </c>
      <c r="BW87">
        <f>$C87*BW86</f>
        <v/>
      </c>
      <c r="BX87">
        <f>$C87*BX86</f>
        <v/>
      </c>
      <c r="BY87">
        <f>$C87*BY86</f>
        <v/>
      </c>
      <c r="BZ87">
        <f>$C87*BZ86</f>
        <v/>
      </c>
      <c r="CA87">
        <f>$C87*CA86</f>
        <v/>
      </c>
      <c r="CB87">
        <f>$C87*CB86</f>
        <v/>
      </c>
      <c r="CC87">
        <f>$C87*CC86</f>
        <v/>
      </c>
      <c r="CD87">
        <f>$C87*CD86</f>
        <v/>
      </c>
      <c r="CE87">
        <f>$C87*CE86</f>
        <v/>
      </c>
      <c r="CF87">
        <f>$C87*CF86</f>
        <v/>
      </c>
      <c r="CG87">
        <f>$C87*CG86</f>
        <v/>
      </c>
      <c r="CH87">
        <f>$C87*CH86</f>
        <v/>
      </c>
      <c r="CI87">
        <f>$C87*CI86</f>
        <v/>
      </c>
      <c r="CJ87">
        <f>$C87*CJ86</f>
        <v/>
      </c>
      <c r="CK87">
        <f>$C87*CK86</f>
        <v/>
      </c>
      <c r="CL87">
        <f>$C87*CL86</f>
        <v/>
      </c>
      <c r="CM87">
        <f>$C87*CM86</f>
        <v/>
      </c>
      <c r="CN87">
        <f>$C87*CN86</f>
        <v/>
      </c>
      <c r="CO87">
        <f>$C87*CO86</f>
        <v/>
      </c>
      <c r="CP87">
        <f>$C87*CP86</f>
        <v/>
      </c>
      <c r="CQ87">
        <f>$C87*CQ86</f>
        <v/>
      </c>
      <c r="CR87">
        <f>$C87*CR86</f>
        <v/>
      </c>
      <c r="CS87">
        <f>$C87*CS86</f>
        <v/>
      </c>
      <c r="CT87">
        <f>$C87*CT86</f>
        <v/>
      </c>
      <c r="CU87">
        <f>$C87*CU86</f>
        <v/>
      </c>
      <c r="CV87">
        <f>$C87*CV86</f>
        <v/>
      </c>
      <c r="CW87">
        <f>$C87*CW86</f>
        <v/>
      </c>
      <c r="CX87">
        <f>$C87*CX86</f>
        <v/>
      </c>
      <c r="CY87">
        <f>$C87*CY86</f>
        <v/>
      </c>
      <c r="CZ87">
        <f>$C87*CZ86</f>
        <v/>
      </c>
      <c r="DA87">
        <f>$C87*DA86</f>
        <v/>
      </c>
      <c r="DB87">
        <f>$C87*DB86</f>
        <v/>
      </c>
      <c r="DC87">
        <f>$C87*DC86</f>
        <v/>
      </c>
    </row>
    <row r="88">
      <c r="B88" t="inlineStr">
        <is>
          <t>TSP-399</t>
        </is>
      </c>
      <c r="C88" t="inlineStr">
        <is>
          <t>No. of batches</t>
        </is>
      </c>
      <c r="D88">
        <f>IFERROR(INDEX(PP_Grid[#Data],$DD88,2),0)</f>
        <v/>
      </c>
      <c r="E88">
        <f>IFERROR(INDEX(PP_Grid[#Data],$DD88,3),0)</f>
        <v/>
      </c>
      <c r="F88">
        <f>IFERROR(INDEX(PP_Grid[#Data],$DD88,4),0)</f>
        <v/>
      </c>
      <c r="G88">
        <f>IFERROR(INDEX(PP_Grid[#Data],$DD88,5),0)</f>
        <v/>
      </c>
      <c r="H88">
        <f>IFERROR(INDEX(PP_Grid[#Data],$DD88,6),0)</f>
        <v/>
      </c>
      <c r="I88">
        <f>IFERROR(INDEX(PP_Grid[#Data],$DD88,7),0)</f>
        <v/>
      </c>
      <c r="J88">
        <f>IFERROR(INDEX(PP_Grid[#Data],$DD88,8),0)</f>
        <v/>
      </c>
      <c r="K88">
        <f>IFERROR(INDEX(PP_Grid[#Data],$DD88,9),0)</f>
        <v/>
      </c>
      <c r="L88">
        <f>IFERROR(INDEX(PP_Grid[#Data],$DD88,10),0)</f>
        <v/>
      </c>
      <c r="M88">
        <f>IFERROR(INDEX(PP_Grid[#Data],$DD88,11),0)</f>
        <v/>
      </c>
      <c r="N88">
        <f>IFERROR(INDEX(PP_Grid[#Data],$DD88,12),0)</f>
        <v/>
      </c>
      <c r="O88">
        <f>IFERROR(INDEX(PP_Grid[#Data],$DD88,13),0)</f>
        <v/>
      </c>
      <c r="P88">
        <f>IFERROR(INDEX(PP_Grid[#Data],$DD88,14),0)</f>
        <v/>
      </c>
      <c r="Q88">
        <f>IFERROR(INDEX(PP_Grid[#Data],$DD88,15),0)</f>
        <v/>
      </c>
      <c r="R88">
        <f>IFERROR(INDEX(PP_Grid[#Data],$DD88,16),0)</f>
        <v/>
      </c>
      <c r="S88">
        <f>IFERROR(INDEX(PP_Grid[#Data],$DD88,17),0)</f>
        <v/>
      </c>
      <c r="T88">
        <f>IFERROR(INDEX(PP_Grid[#Data],$DD88,18),0)</f>
        <v/>
      </c>
      <c r="U88">
        <f>IFERROR(INDEX(PP_Grid[#Data],$DD88,19),0)</f>
        <v/>
      </c>
      <c r="V88">
        <f>IFERROR(INDEX(PP_Grid[#Data],$DD88,20),0)</f>
        <v/>
      </c>
      <c r="W88">
        <f>IFERROR(INDEX(PP_Grid[#Data],$DD88,21),0)</f>
        <v/>
      </c>
      <c r="X88">
        <f>IFERROR(INDEX(PP_Grid[#Data],$DD88,22),0)</f>
        <v/>
      </c>
      <c r="Y88">
        <f>IFERROR(INDEX(PP_Grid[#Data],$DD88,23),0)</f>
        <v/>
      </c>
      <c r="Z88">
        <f>IFERROR(INDEX(PP_Grid[#Data],$DD88,24),0)</f>
        <v/>
      </c>
      <c r="AA88">
        <f>IFERROR(INDEX(PP_Grid[#Data],$DD88,25),0)</f>
        <v/>
      </c>
      <c r="AB88">
        <f>IFERROR(INDEX(PP_Grid[#Data],$DD88,26),0)</f>
        <v/>
      </c>
      <c r="AC88">
        <f>IFERROR(INDEX(PP_Grid[#Data],$DD88,27),0)</f>
        <v/>
      </c>
      <c r="AD88">
        <f>IFERROR(INDEX(PP_Grid[#Data],$DD88,28),0)</f>
        <v/>
      </c>
      <c r="AE88">
        <f>IFERROR(INDEX(PP_Grid[#Data],$DD88,29),0)</f>
        <v/>
      </c>
      <c r="AF88">
        <f>IFERROR(INDEX(PP_Grid[#Data],$DD88,30),0)</f>
        <v/>
      </c>
      <c r="AG88">
        <f>IFERROR(INDEX(PP_Grid[#Data],$DD88,31),0)</f>
        <v/>
      </c>
      <c r="AH88">
        <f>IFERROR(INDEX(PP_Grid[#Data],$DD88,32),0)</f>
        <v/>
      </c>
      <c r="AI88">
        <f>IFERROR(INDEX(PP_Grid[#Data],$DD88,33),0)</f>
        <v/>
      </c>
      <c r="AJ88">
        <f>IFERROR(INDEX(PP_Grid[#Data],$DD88,34),0)</f>
        <v/>
      </c>
      <c r="AK88">
        <f>IFERROR(INDEX(PP_Grid[#Data],$DD88,35),0)</f>
        <v/>
      </c>
      <c r="AL88">
        <f>IFERROR(INDEX(PP_Grid[#Data],$DD88,36),0)</f>
        <v/>
      </c>
      <c r="AM88">
        <f>IFERROR(INDEX(PP_Grid[#Data],$DD88,37),0)</f>
        <v/>
      </c>
      <c r="AN88">
        <f>IFERROR(INDEX(PP_Grid[#Data],$DD88,38),0)</f>
        <v/>
      </c>
      <c r="AO88">
        <f>IFERROR(INDEX(PP_Grid[#Data],$DD88,39),0)</f>
        <v/>
      </c>
      <c r="AP88">
        <f>IFERROR(INDEX(PP_Grid[#Data],$DD88,40),0)</f>
        <v/>
      </c>
      <c r="AQ88">
        <f>IFERROR(INDEX(PP_Grid[#Data],$DD88,41),0)</f>
        <v/>
      </c>
      <c r="AR88">
        <f>IFERROR(INDEX(PP_Grid[#Data],$DD88,42),0)</f>
        <v/>
      </c>
      <c r="AS88">
        <f>IFERROR(INDEX(PP_Grid[#Data],$DD88,43),0)</f>
        <v/>
      </c>
      <c r="AT88">
        <f>IFERROR(INDEX(PP_Grid[#Data],$DD88,44),0)</f>
        <v/>
      </c>
      <c r="AU88">
        <f>IFERROR(INDEX(PP_Grid[#Data],$DD88,45),0)</f>
        <v/>
      </c>
      <c r="AV88">
        <f>IFERROR(INDEX(PP_Grid[#Data],$DD88,46),0)</f>
        <v/>
      </c>
      <c r="AW88">
        <f>IFERROR(INDEX(PP_Grid[#Data],$DD88,47),0)</f>
        <v/>
      </c>
      <c r="AX88">
        <f>IFERROR(INDEX(PP_Grid[#Data],$DD88,48),0)</f>
        <v/>
      </c>
      <c r="AY88">
        <f>IFERROR(INDEX(PP_Grid[#Data],$DD88,49),0)</f>
        <v/>
      </c>
      <c r="AZ88">
        <f>IFERROR(INDEX(PP_Grid[#Data],$DD88,50),0)</f>
        <v/>
      </c>
      <c r="BA88">
        <f>IFERROR(INDEX(PP_Grid[#Data],$DD88,51),0)</f>
        <v/>
      </c>
      <c r="BB88">
        <f>IFERROR(INDEX(PP_Grid[#Data],$DD88,52),0)</f>
        <v/>
      </c>
      <c r="BC88">
        <f>IFERROR(INDEX(PP_Grid[#Data],$DD88,53),0)</f>
        <v/>
      </c>
      <c r="BD88">
        <f>IFERROR(INDEX(PP_Grid[#Data],$DD88,54),0)</f>
        <v/>
      </c>
      <c r="BE88">
        <f>IFERROR(INDEX(PP_Grid[#Data],$DD88,55),0)</f>
        <v/>
      </c>
      <c r="BF88">
        <f>IFERROR(INDEX(PP_Grid[#Data],$DD88,56),0)</f>
        <v/>
      </c>
      <c r="BG88">
        <f>IFERROR(INDEX(PP_Grid[#Data],$DD88,57),0)</f>
        <v/>
      </c>
      <c r="BH88">
        <f>IFERROR(INDEX(PP_Grid[#Data],$DD88,58),0)</f>
        <v/>
      </c>
      <c r="BI88">
        <f>IFERROR(INDEX(PP_Grid[#Data],$DD88,59),0)</f>
        <v/>
      </c>
      <c r="BJ88">
        <f>IFERROR(INDEX(PP_Grid[#Data],$DD88,60),0)</f>
        <v/>
      </c>
      <c r="BK88">
        <f>IFERROR(INDEX(PP_Grid[#Data],$DD88,61),0)</f>
        <v/>
      </c>
      <c r="BL88">
        <f>IFERROR(INDEX(PP_Grid[#Data],$DD88,62),0)</f>
        <v/>
      </c>
      <c r="BM88">
        <f>IFERROR(INDEX(PP_Grid[#Data],$DD88,63),0)</f>
        <v/>
      </c>
      <c r="BN88">
        <f>IFERROR(INDEX(PP_Grid[#Data],$DD88,64),0)</f>
        <v/>
      </c>
      <c r="BO88">
        <f>IFERROR(INDEX(PP_Grid[#Data],$DD88,65),0)</f>
        <v/>
      </c>
      <c r="BP88">
        <f>IFERROR(INDEX(PP_Grid[#Data],$DD88,66),0)</f>
        <v/>
      </c>
      <c r="BQ88">
        <f>IFERROR(INDEX(PP_Grid[#Data],$DD88,67),0)</f>
        <v/>
      </c>
      <c r="BR88">
        <f>IFERROR(INDEX(PP_Grid[#Data],$DD88,68),0)</f>
        <v/>
      </c>
      <c r="BS88">
        <f>IFERROR(INDEX(PP_Grid[#Data],$DD88,69),0)</f>
        <v/>
      </c>
      <c r="BT88">
        <f>IFERROR(INDEX(PP_Grid[#Data],$DD88,70),0)</f>
        <v/>
      </c>
      <c r="BU88">
        <f>IFERROR(INDEX(PP_Grid[#Data],$DD88,71),0)</f>
        <v/>
      </c>
      <c r="BV88">
        <f>IFERROR(INDEX(PP_Grid[#Data],$DD88,72),0)</f>
        <v/>
      </c>
      <c r="BW88">
        <f>IFERROR(INDEX(PP_Grid[#Data],$DD88,73),0)</f>
        <v/>
      </c>
      <c r="BX88">
        <f>IFERROR(INDEX(PP_Grid[#Data],$DD88,74),0)</f>
        <v/>
      </c>
      <c r="BY88">
        <f>IFERROR(INDEX(PP_Grid[#Data],$DD88,75),0)</f>
        <v/>
      </c>
      <c r="BZ88">
        <f>IFERROR(INDEX(PP_Grid[#Data],$DD88,76),0)</f>
        <v/>
      </c>
      <c r="CA88">
        <f>IFERROR(INDEX(PP_Grid[#Data],$DD88,77),0)</f>
        <v/>
      </c>
      <c r="CB88">
        <f>IFERROR(INDEX(PP_Grid[#Data],$DD88,78),0)</f>
        <v/>
      </c>
      <c r="CC88">
        <f>IFERROR(INDEX(PP_Grid[#Data],$DD88,79),0)</f>
        <v/>
      </c>
      <c r="CD88">
        <f>IFERROR(INDEX(PP_Grid[#Data],$DD88,80),0)</f>
        <v/>
      </c>
      <c r="CE88">
        <f>IFERROR(INDEX(PP_Grid[#Data],$DD88,81),0)</f>
        <v/>
      </c>
      <c r="CF88">
        <f>IFERROR(INDEX(PP_Grid[#Data],$DD88,82),0)</f>
        <v/>
      </c>
      <c r="CG88">
        <f>IFERROR(INDEX(PP_Grid[#Data],$DD88,83),0)</f>
        <v/>
      </c>
      <c r="CH88">
        <f>IFERROR(INDEX(PP_Grid[#Data],$DD88,84),0)</f>
        <v/>
      </c>
      <c r="CI88">
        <f>IFERROR(INDEX(PP_Grid[#Data],$DD88,85),0)</f>
        <v/>
      </c>
      <c r="CJ88">
        <f>IFERROR(INDEX(PP_Grid[#Data],$DD88,86),0)</f>
        <v/>
      </c>
      <c r="CK88">
        <f>IFERROR(INDEX(PP_Grid[#Data],$DD88,87),0)</f>
        <v/>
      </c>
      <c r="CL88">
        <f>IFERROR(INDEX(PP_Grid[#Data],$DD88,88),0)</f>
        <v/>
      </c>
      <c r="CM88">
        <f>IFERROR(INDEX(PP_Grid[#Data],$DD88,89),0)</f>
        <v/>
      </c>
      <c r="CN88">
        <f>IFERROR(INDEX(PP_Grid[#Data],$DD88,90),0)</f>
        <v/>
      </c>
      <c r="CO88">
        <f>IFERROR(INDEX(PP_Grid[#Data],$DD88,91),0)</f>
        <v/>
      </c>
      <c r="CP88">
        <f>IFERROR(INDEX(PP_Grid[#Data],$DD88,92),0)</f>
        <v/>
      </c>
      <c r="CQ88">
        <f>IFERROR(INDEX(PP_Grid[#Data],$DD88,93),0)</f>
        <v/>
      </c>
      <c r="CR88">
        <f>IFERROR(INDEX(PP_Grid[#Data],$DD88,94),0)</f>
        <v/>
      </c>
      <c r="CS88">
        <f>IFERROR(INDEX(PP_Grid[#Data],$DD88,95),0)</f>
        <v/>
      </c>
      <c r="CT88">
        <f>IFERROR(INDEX(PP_Grid[#Data],$DD88,96),0)</f>
        <v/>
      </c>
      <c r="CU88">
        <f>IFERROR(INDEX(PP_Grid[#Data],$DD88,97),0)</f>
        <v/>
      </c>
      <c r="CV88">
        <f>IFERROR(INDEX(PP_Grid[#Data],$DD88,98),0)</f>
        <v/>
      </c>
      <c r="CW88">
        <f>IFERROR(INDEX(PP_Grid[#Data],$DD88,99),0)</f>
        <v/>
      </c>
      <c r="CX88">
        <f>IFERROR(INDEX(PP_Grid[#Data],$DD88,100),0)</f>
        <v/>
      </c>
      <c r="CY88">
        <f>IFERROR(INDEX(PP_Grid[#Data],$DD88,101),0)</f>
        <v/>
      </c>
      <c r="CZ88">
        <f>IFERROR(INDEX(PP_Grid[#Data],$DD88,102),0)</f>
        <v/>
      </c>
      <c r="DA88">
        <f>IFERROR(INDEX(PP_Grid[#Data],$DD88,103),0)</f>
        <v/>
      </c>
      <c r="DB88">
        <f>IFERROR(INDEX(PP_Grid[#Data],$DD88,104),0)</f>
        <v/>
      </c>
      <c r="DC88">
        <f>IFERROR(INDEX(PP_Grid[#Data],$DD88,105),0)</f>
        <v/>
      </c>
      <c r="DD88" s="12">
        <f>IFERROR(MATCH($B88,PP_Grid[Intermediate],0),99999)</f>
        <v/>
      </c>
    </row>
    <row r="89">
      <c r="B89" t="inlineStr">
        <is>
          <t>使用量(kg)</t>
        </is>
      </c>
      <c r="C89">
        <f>SUMIFS(M_BOM[RM_Qty_Per_Batch],M_BOM[Intermediate],$B88,M_BOM[Part Name],$A45)</f>
        <v/>
      </c>
      <c r="D89">
        <f>$C89*D88</f>
        <v/>
      </c>
      <c r="E89">
        <f>$C89*E88</f>
        <v/>
      </c>
      <c r="F89">
        <f>$C89*F88</f>
        <v/>
      </c>
      <c r="G89">
        <f>$C89*G88</f>
        <v/>
      </c>
      <c r="H89">
        <f>$C89*H88</f>
        <v/>
      </c>
      <c r="I89">
        <f>$C89*I88</f>
        <v/>
      </c>
      <c r="J89">
        <f>$C89*J88</f>
        <v/>
      </c>
      <c r="K89">
        <f>$C89*K88</f>
        <v/>
      </c>
      <c r="L89">
        <f>$C89*L88</f>
        <v/>
      </c>
      <c r="M89">
        <f>$C89*M88</f>
        <v/>
      </c>
      <c r="N89">
        <f>$C89*N88</f>
        <v/>
      </c>
      <c r="O89">
        <f>$C89*O88</f>
        <v/>
      </c>
      <c r="P89">
        <f>$C89*P88</f>
        <v/>
      </c>
      <c r="Q89">
        <f>$C89*Q88</f>
        <v/>
      </c>
      <c r="R89">
        <f>$C89*R88</f>
        <v/>
      </c>
      <c r="S89">
        <f>$C89*S88</f>
        <v/>
      </c>
      <c r="T89">
        <f>$C89*T88</f>
        <v/>
      </c>
      <c r="U89">
        <f>$C89*U88</f>
        <v/>
      </c>
      <c r="V89">
        <f>$C89*V88</f>
        <v/>
      </c>
      <c r="W89">
        <f>$C89*W88</f>
        <v/>
      </c>
      <c r="X89">
        <f>$C89*X88</f>
        <v/>
      </c>
      <c r="Y89">
        <f>$C89*Y88</f>
        <v/>
      </c>
      <c r="Z89">
        <f>$C89*Z88</f>
        <v/>
      </c>
      <c r="AA89">
        <f>$C89*AA88</f>
        <v/>
      </c>
      <c r="AB89">
        <f>$C89*AB88</f>
        <v/>
      </c>
      <c r="AC89">
        <f>$C89*AC88</f>
        <v/>
      </c>
      <c r="AD89">
        <f>$C89*AD88</f>
        <v/>
      </c>
      <c r="AE89">
        <f>$C89*AE88</f>
        <v/>
      </c>
      <c r="AF89">
        <f>$C89*AF88</f>
        <v/>
      </c>
      <c r="AG89">
        <f>$C89*AG88</f>
        <v/>
      </c>
      <c r="AH89">
        <f>$C89*AH88</f>
        <v/>
      </c>
      <c r="AI89">
        <f>$C89*AI88</f>
        <v/>
      </c>
      <c r="AJ89">
        <f>$C89*AJ88</f>
        <v/>
      </c>
      <c r="AK89">
        <f>$C89*AK88</f>
        <v/>
      </c>
      <c r="AL89">
        <f>$C89*AL88</f>
        <v/>
      </c>
      <c r="AM89">
        <f>$C89*AM88</f>
        <v/>
      </c>
      <c r="AN89">
        <f>$C89*AN88</f>
        <v/>
      </c>
      <c r="AO89">
        <f>$C89*AO88</f>
        <v/>
      </c>
      <c r="AP89">
        <f>$C89*AP88</f>
        <v/>
      </c>
      <c r="AQ89">
        <f>$C89*AQ88</f>
        <v/>
      </c>
      <c r="AR89">
        <f>$C89*AR88</f>
        <v/>
      </c>
      <c r="AS89">
        <f>$C89*AS88</f>
        <v/>
      </c>
      <c r="AT89">
        <f>$C89*AT88</f>
        <v/>
      </c>
      <c r="AU89">
        <f>$C89*AU88</f>
        <v/>
      </c>
      <c r="AV89">
        <f>$C89*AV88</f>
        <v/>
      </c>
      <c r="AW89">
        <f>$C89*AW88</f>
        <v/>
      </c>
      <c r="AX89">
        <f>$C89*AX88</f>
        <v/>
      </c>
      <c r="AY89">
        <f>$C89*AY88</f>
        <v/>
      </c>
      <c r="AZ89">
        <f>$C89*AZ88</f>
        <v/>
      </c>
      <c r="BA89">
        <f>$C89*BA88</f>
        <v/>
      </c>
      <c r="BB89">
        <f>$C89*BB88</f>
        <v/>
      </c>
      <c r="BC89">
        <f>$C89*BC88</f>
        <v/>
      </c>
      <c r="BD89">
        <f>$C89*BD88</f>
        <v/>
      </c>
      <c r="BE89">
        <f>$C89*BE88</f>
        <v/>
      </c>
      <c r="BF89">
        <f>$C89*BF88</f>
        <v/>
      </c>
      <c r="BG89">
        <f>$C89*BG88</f>
        <v/>
      </c>
      <c r="BH89">
        <f>$C89*BH88</f>
        <v/>
      </c>
      <c r="BI89">
        <f>$C89*BI88</f>
        <v/>
      </c>
      <c r="BJ89">
        <f>$C89*BJ88</f>
        <v/>
      </c>
      <c r="BK89">
        <f>$C89*BK88</f>
        <v/>
      </c>
      <c r="BL89">
        <f>$C89*BL88</f>
        <v/>
      </c>
      <c r="BM89">
        <f>$C89*BM88</f>
        <v/>
      </c>
      <c r="BN89">
        <f>$C89*BN88</f>
        <v/>
      </c>
      <c r="BO89">
        <f>$C89*BO88</f>
        <v/>
      </c>
      <c r="BP89">
        <f>$C89*BP88</f>
        <v/>
      </c>
      <c r="BQ89">
        <f>$C89*BQ88</f>
        <v/>
      </c>
      <c r="BR89">
        <f>$C89*BR88</f>
        <v/>
      </c>
      <c r="BS89">
        <f>$C89*BS88</f>
        <v/>
      </c>
      <c r="BT89">
        <f>$C89*BT88</f>
        <v/>
      </c>
      <c r="BU89">
        <f>$C89*BU88</f>
        <v/>
      </c>
      <c r="BV89">
        <f>$C89*BV88</f>
        <v/>
      </c>
      <c r="BW89">
        <f>$C89*BW88</f>
        <v/>
      </c>
      <c r="BX89">
        <f>$C89*BX88</f>
        <v/>
      </c>
      <c r="BY89">
        <f>$C89*BY88</f>
        <v/>
      </c>
      <c r="BZ89">
        <f>$C89*BZ88</f>
        <v/>
      </c>
      <c r="CA89">
        <f>$C89*CA88</f>
        <v/>
      </c>
      <c r="CB89">
        <f>$C89*CB88</f>
        <v/>
      </c>
      <c r="CC89">
        <f>$C89*CC88</f>
        <v/>
      </c>
      <c r="CD89">
        <f>$C89*CD88</f>
        <v/>
      </c>
      <c r="CE89">
        <f>$C89*CE88</f>
        <v/>
      </c>
      <c r="CF89">
        <f>$C89*CF88</f>
        <v/>
      </c>
      <c r="CG89">
        <f>$C89*CG88</f>
        <v/>
      </c>
      <c r="CH89">
        <f>$C89*CH88</f>
        <v/>
      </c>
      <c r="CI89">
        <f>$C89*CI88</f>
        <v/>
      </c>
      <c r="CJ89">
        <f>$C89*CJ88</f>
        <v/>
      </c>
      <c r="CK89">
        <f>$C89*CK88</f>
        <v/>
      </c>
      <c r="CL89">
        <f>$C89*CL88</f>
        <v/>
      </c>
      <c r="CM89">
        <f>$C89*CM88</f>
        <v/>
      </c>
      <c r="CN89">
        <f>$C89*CN88</f>
        <v/>
      </c>
      <c r="CO89">
        <f>$C89*CO88</f>
        <v/>
      </c>
      <c r="CP89">
        <f>$C89*CP88</f>
        <v/>
      </c>
      <c r="CQ89">
        <f>$C89*CQ88</f>
        <v/>
      </c>
      <c r="CR89">
        <f>$C89*CR88</f>
        <v/>
      </c>
      <c r="CS89">
        <f>$C89*CS88</f>
        <v/>
      </c>
      <c r="CT89">
        <f>$C89*CT88</f>
        <v/>
      </c>
      <c r="CU89">
        <f>$C89*CU88</f>
        <v/>
      </c>
      <c r="CV89">
        <f>$C89*CV88</f>
        <v/>
      </c>
      <c r="CW89">
        <f>$C89*CW88</f>
        <v/>
      </c>
      <c r="CX89">
        <f>$C89*CX88</f>
        <v/>
      </c>
      <c r="CY89">
        <f>$C89*CY88</f>
        <v/>
      </c>
      <c r="CZ89">
        <f>$C89*CZ88</f>
        <v/>
      </c>
      <c r="DA89">
        <f>$C89*DA88</f>
        <v/>
      </c>
      <c r="DB89">
        <f>$C89*DB88</f>
        <v/>
      </c>
      <c r="DC89">
        <f>$C89*DC88</f>
        <v/>
      </c>
    </row>
    <row r="90">
      <c r="B90" t="inlineStr">
        <is>
          <t>TSP-402</t>
        </is>
      </c>
      <c r="C90" t="inlineStr">
        <is>
          <t>No. of batches</t>
        </is>
      </c>
      <c r="D90">
        <f>IFERROR(INDEX(PP_Grid[#Data],$DD90,2),0)</f>
        <v/>
      </c>
      <c r="E90">
        <f>IFERROR(INDEX(PP_Grid[#Data],$DD90,3),0)</f>
        <v/>
      </c>
      <c r="F90">
        <f>IFERROR(INDEX(PP_Grid[#Data],$DD90,4),0)</f>
        <v/>
      </c>
      <c r="G90">
        <f>IFERROR(INDEX(PP_Grid[#Data],$DD90,5),0)</f>
        <v/>
      </c>
      <c r="H90">
        <f>IFERROR(INDEX(PP_Grid[#Data],$DD90,6),0)</f>
        <v/>
      </c>
      <c r="I90">
        <f>IFERROR(INDEX(PP_Grid[#Data],$DD90,7),0)</f>
        <v/>
      </c>
      <c r="J90">
        <f>IFERROR(INDEX(PP_Grid[#Data],$DD90,8),0)</f>
        <v/>
      </c>
      <c r="K90">
        <f>IFERROR(INDEX(PP_Grid[#Data],$DD90,9),0)</f>
        <v/>
      </c>
      <c r="L90">
        <f>IFERROR(INDEX(PP_Grid[#Data],$DD90,10),0)</f>
        <v/>
      </c>
      <c r="M90">
        <f>IFERROR(INDEX(PP_Grid[#Data],$DD90,11),0)</f>
        <v/>
      </c>
      <c r="N90">
        <f>IFERROR(INDEX(PP_Grid[#Data],$DD90,12),0)</f>
        <v/>
      </c>
      <c r="O90">
        <f>IFERROR(INDEX(PP_Grid[#Data],$DD90,13),0)</f>
        <v/>
      </c>
      <c r="P90">
        <f>IFERROR(INDEX(PP_Grid[#Data],$DD90,14),0)</f>
        <v/>
      </c>
      <c r="Q90">
        <f>IFERROR(INDEX(PP_Grid[#Data],$DD90,15),0)</f>
        <v/>
      </c>
      <c r="R90">
        <f>IFERROR(INDEX(PP_Grid[#Data],$DD90,16),0)</f>
        <v/>
      </c>
      <c r="S90">
        <f>IFERROR(INDEX(PP_Grid[#Data],$DD90,17),0)</f>
        <v/>
      </c>
      <c r="T90">
        <f>IFERROR(INDEX(PP_Grid[#Data],$DD90,18),0)</f>
        <v/>
      </c>
      <c r="U90">
        <f>IFERROR(INDEX(PP_Grid[#Data],$DD90,19),0)</f>
        <v/>
      </c>
      <c r="V90">
        <f>IFERROR(INDEX(PP_Grid[#Data],$DD90,20),0)</f>
        <v/>
      </c>
      <c r="W90">
        <f>IFERROR(INDEX(PP_Grid[#Data],$DD90,21),0)</f>
        <v/>
      </c>
      <c r="X90">
        <f>IFERROR(INDEX(PP_Grid[#Data],$DD90,22),0)</f>
        <v/>
      </c>
      <c r="Y90">
        <f>IFERROR(INDEX(PP_Grid[#Data],$DD90,23),0)</f>
        <v/>
      </c>
      <c r="Z90">
        <f>IFERROR(INDEX(PP_Grid[#Data],$DD90,24),0)</f>
        <v/>
      </c>
      <c r="AA90">
        <f>IFERROR(INDEX(PP_Grid[#Data],$DD90,25),0)</f>
        <v/>
      </c>
      <c r="AB90">
        <f>IFERROR(INDEX(PP_Grid[#Data],$DD90,26),0)</f>
        <v/>
      </c>
      <c r="AC90">
        <f>IFERROR(INDEX(PP_Grid[#Data],$DD90,27),0)</f>
        <v/>
      </c>
      <c r="AD90">
        <f>IFERROR(INDEX(PP_Grid[#Data],$DD90,28),0)</f>
        <v/>
      </c>
      <c r="AE90">
        <f>IFERROR(INDEX(PP_Grid[#Data],$DD90,29),0)</f>
        <v/>
      </c>
      <c r="AF90">
        <f>IFERROR(INDEX(PP_Grid[#Data],$DD90,30),0)</f>
        <v/>
      </c>
      <c r="AG90">
        <f>IFERROR(INDEX(PP_Grid[#Data],$DD90,31),0)</f>
        <v/>
      </c>
      <c r="AH90">
        <f>IFERROR(INDEX(PP_Grid[#Data],$DD90,32),0)</f>
        <v/>
      </c>
      <c r="AI90">
        <f>IFERROR(INDEX(PP_Grid[#Data],$DD90,33),0)</f>
        <v/>
      </c>
      <c r="AJ90">
        <f>IFERROR(INDEX(PP_Grid[#Data],$DD90,34),0)</f>
        <v/>
      </c>
      <c r="AK90">
        <f>IFERROR(INDEX(PP_Grid[#Data],$DD90,35),0)</f>
        <v/>
      </c>
      <c r="AL90">
        <f>IFERROR(INDEX(PP_Grid[#Data],$DD90,36),0)</f>
        <v/>
      </c>
      <c r="AM90">
        <f>IFERROR(INDEX(PP_Grid[#Data],$DD90,37),0)</f>
        <v/>
      </c>
      <c r="AN90">
        <f>IFERROR(INDEX(PP_Grid[#Data],$DD90,38),0)</f>
        <v/>
      </c>
      <c r="AO90">
        <f>IFERROR(INDEX(PP_Grid[#Data],$DD90,39),0)</f>
        <v/>
      </c>
      <c r="AP90">
        <f>IFERROR(INDEX(PP_Grid[#Data],$DD90,40),0)</f>
        <v/>
      </c>
      <c r="AQ90">
        <f>IFERROR(INDEX(PP_Grid[#Data],$DD90,41),0)</f>
        <v/>
      </c>
      <c r="AR90">
        <f>IFERROR(INDEX(PP_Grid[#Data],$DD90,42),0)</f>
        <v/>
      </c>
      <c r="AS90">
        <f>IFERROR(INDEX(PP_Grid[#Data],$DD90,43),0)</f>
        <v/>
      </c>
      <c r="AT90">
        <f>IFERROR(INDEX(PP_Grid[#Data],$DD90,44),0)</f>
        <v/>
      </c>
      <c r="AU90">
        <f>IFERROR(INDEX(PP_Grid[#Data],$DD90,45),0)</f>
        <v/>
      </c>
      <c r="AV90">
        <f>IFERROR(INDEX(PP_Grid[#Data],$DD90,46),0)</f>
        <v/>
      </c>
      <c r="AW90">
        <f>IFERROR(INDEX(PP_Grid[#Data],$DD90,47),0)</f>
        <v/>
      </c>
      <c r="AX90">
        <f>IFERROR(INDEX(PP_Grid[#Data],$DD90,48),0)</f>
        <v/>
      </c>
      <c r="AY90">
        <f>IFERROR(INDEX(PP_Grid[#Data],$DD90,49),0)</f>
        <v/>
      </c>
      <c r="AZ90">
        <f>IFERROR(INDEX(PP_Grid[#Data],$DD90,50),0)</f>
        <v/>
      </c>
      <c r="BA90">
        <f>IFERROR(INDEX(PP_Grid[#Data],$DD90,51),0)</f>
        <v/>
      </c>
      <c r="BB90">
        <f>IFERROR(INDEX(PP_Grid[#Data],$DD90,52),0)</f>
        <v/>
      </c>
      <c r="BC90">
        <f>IFERROR(INDEX(PP_Grid[#Data],$DD90,53),0)</f>
        <v/>
      </c>
      <c r="BD90">
        <f>IFERROR(INDEX(PP_Grid[#Data],$DD90,54),0)</f>
        <v/>
      </c>
      <c r="BE90">
        <f>IFERROR(INDEX(PP_Grid[#Data],$DD90,55),0)</f>
        <v/>
      </c>
      <c r="BF90">
        <f>IFERROR(INDEX(PP_Grid[#Data],$DD90,56),0)</f>
        <v/>
      </c>
      <c r="BG90">
        <f>IFERROR(INDEX(PP_Grid[#Data],$DD90,57),0)</f>
        <v/>
      </c>
      <c r="BH90">
        <f>IFERROR(INDEX(PP_Grid[#Data],$DD90,58),0)</f>
        <v/>
      </c>
      <c r="BI90">
        <f>IFERROR(INDEX(PP_Grid[#Data],$DD90,59),0)</f>
        <v/>
      </c>
      <c r="BJ90">
        <f>IFERROR(INDEX(PP_Grid[#Data],$DD90,60),0)</f>
        <v/>
      </c>
      <c r="BK90">
        <f>IFERROR(INDEX(PP_Grid[#Data],$DD90,61),0)</f>
        <v/>
      </c>
      <c r="BL90">
        <f>IFERROR(INDEX(PP_Grid[#Data],$DD90,62),0)</f>
        <v/>
      </c>
      <c r="BM90">
        <f>IFERROR(INDEX(PP_Grid[#Data],$DD90,63),0)</f>
        <v/>
      </c>
      <c r="BN90">
        <f>IFERROR(INDEX(PP_Grid[#Data],$DD90,64),0)</f>
        <v/>
      </c>
      <c r="BO90">
        <f>IFERROR(INDEX(PP_Grid[#Data],$DD90,65),0)</f>
        <v/>
      </c>
      <c r="BP90">
        <f>IFERROR(INDEX(PP_Grid[#Data],$DD90,66),0)</f>
        <v/>
      </c>
      <c r="BQ90">
        <f>IFERROR(INDEX(PP_Grid[#Data],$DD90,67),0)</f>
        <v/>
      </c>
      <c r="BR90">
        <f>IFERROR(INDEX(PP_Grid[#Data],$DD90,68),0)</f>
        <v/>
      </c>
      <c r="BS90">
        <f>IFERROR(INDEX(PP_Grid[#Data],$DD90,69),0)</f>
        <v/>
      </c>
      <c r="BT90">
        <f>IFERROR(INDEX(PP_Grid[#Data],$DD90,70),0)</f>
        <v/>
      </c>
      <c r="BU90">
        <f>IFERROR(INDEX(PP_Grid[#Data],$DD90,71),0)</f>
        <v/>
      </c>
      <c r="BV90">
        <f>IFERROR(INDEX(PP_Grid[#Data],$DD90,72),0)</f>
        <v/>
      </c>
      <c r="BW90">
        <f>IFERROR(INDEX(PP_Grid[#Data],$DD90,73),0)</f>
        <v/>
      </c>
      <c r="BX90">
        <f>IFERROR(INDEX(PP_Grid[#Data],$DD90,74),0)</f>
        <v/>
      </c>
      <c r="BY90">
        <f>IFERROR(INDEX(PP_Grid[#Data],$DD90,75),0)</f>
        <v/>
      </c>
      <c r="BZ90">
        <f>IFERROR(INDEX(PP_Grid[#Data],$DD90,76),0)</f>
        <v/>
      </c>
      <c r="CA90">
        <f>IFERROR(INDEX(PP_Grid[#Data],$DD90,77),0)</f>
        <v/>
      </c>
      <c r="CB90">
        <f>IFERROR(INDEX(PP_Grid[#Data],$DD90,78),0)</f>
        <v/>
      </c>
      <c r="CC90">
        <f>IFERROR(INDEX(PP_Grid[#Data],$DD90,79),0)</f>
        <v/>
      </c>
      <c r="CD90">
        <f>IFERROR(INDEX(PP_Grid[#Data],$DD90,80),0)</f>
        <v/>
      </c>
      <c r="CE90">
        <f>IFERROR(INDEX(PP_Grid[#Data],$DD90,81),0)</f>
        <v/>
      </c>
      <c r="CF90">
        <f>IFERROR(INDEX(PP_Grid[#Data],$DD90,82),0)</f>
        <v/>
      </c>
      <c r="CG90">
        <f>IFERROR(INDEX(PP_Grid[#Data],$DD90,83),0)</f>
        <v/>
      </c>
      <c r="CH90">
        <f>IFERROR(INDEX(PP_Grid[#Data],$DD90,84),0)</f>
        <v/>
      </c>
      <c r="CI90">
        <f>IFERROR(INDEX(PP_Grid[#Data],$DD90,85),0)</f>
        <v/>
      </c>
      <c r="CJ90">
        <f>IFERROR(INDEX(PP_Grid[#Data],$DD90,86),0)</f>
        <v/>
      </c>
      <c r="CK90">
        <f>IFERROR(INDEX(PP_Grid[#Data],$DD90,87),0)</f>
        <v/>
      </c>
      <c r="CL90">
        <f>IFERROR(INDEX(PP_Grid[#Data],$DD90,88),0)</f>
        <v/>
      </c>
      <c r="CM90">
        <f>IFERROR(INDEX(PP_Grid[#Data],$DD90,89),0)</f>
        <v/>
      </c>
      <c r="CN90">
        <f>IFERROR(INDEX(PP_Grid[#Data],$DD90,90),0)</f>
        <v/>
      </c>
      <c r="CO90">
        <f>IFERROR(INDEX(PP_Grid[#Data],$DD90,91),0)</f>
        <v/>
      </c>
      <c r="CP90">
        <f>IFERROR(INDEX(PP_Grid[#Data],$DD90,92),0)</f>
        <v/>
      </c>
      <c r="CQ90">
        <f>IFERROR(INDEX(PP_Grid[#Data],$DD90,93),0)</f>
        <v/>
      </c>
      <c r="CR90">
        <f>IFERROR(INDEX(PP_Grid[#Data],$DD90,94),0)</f>
        <v/>
      </c>
      <c r="CS90">
        <f>IFERROR(INDEX(PP_Grid[#Data],$DD90,95),0)</f>
        <v/>
      </c>
      <c r="CT90">
        <f>IFERROR(INDEX(PP_Grid[#Data],$DD90,96),0)</f>
        <v/>
      </c>
      <c r="CU90">
        <f>IFERROR(INDEX(PP_Grid[#Data],$DD90,97),0)</f>
        <v/>
      </c>
      <c r="CV90">
        <f>IFERROR(INDEX(PP_Grid[#Data],$DD90,98),0)</f>
        <v/>
      </c>
      <c r="CW90">
        <f>IFERROR(INDEX(PP_Grid[#Data],$DD90,99),0)</f>
        <v/>
      </c>
      <c r="CX90">
        <f>IFERROR(INDEX(PP_Grid[#Data],$DD90,100),0)</f>
        <v/>
      </c>
      <c r="CY90">
        <f>IFERROR(INDEX(PP_Grid[#Data],$DD90,101),0)</f>
        <v/>
      </c>
      <c r="CZ90">
        <f>IFERROR(INDEX(PP_Grid[#Data],$DD90,102),0)</f>
        <v/>
      </c>
      <c r="DA90">
        <f>IFERROR(INDEX(PP_Grid[#Data],$DD90,103),0)</f>
        <v/>
      </c>
      <c r="DB90">
        <f>IFERROR(INDEX(PP_Grid[#Data],$DD90,104),0)</f>
        <v/>
      </c>
      <c r="DC90">
        <f>IFERROR(INDEX(PP_Grid[#Data],$DD90,105),0)</f>
        <v/>
      </c>
      <c r="DD90" s="12">
        <f>IFERROR(MATCH($B90,PP_Grid[Intermediate],0),99999)</f>
        <v/>
      </c>
    </row>
    <row r="91">
      <c r="B91" t="inlineStr">
        <is>
          <t>使用量(kg)</t>
        </is>
      </c>
      <c r="C91">
        <f>SUMIFS(M_BOM[RM_Qty_Per_Batch],M_BOM[Intermediate],$B90,M_BOM[Part Name],$A45)</f>
        <v/>
      </c>
      <c r="D91">
        <f>$C91*D90</f>
        <v/>
      </c>
      <c r="E91">
        <f>$C91*E90</f>
        <v/>
      </c>
      <c r="F91">
        <f>$C91*F90</f>
        <v/>
      </c>
      <c r="G91">
        <f>$C91*G90</f>
        <v/>
      </c>
      <c r="H91">
        <f>$C91*H90</f>
        <v/>
      </c>
      <c r="I91">
        <f>$C91*I90</f>
        <v/>
      </c>
      <c r="J91">
        <f>$C91*J90</f>
        <v/>
      </c>
      <c r="K91">
        <f>$C91*K90</f>
        <v/>
      </c>
      <c r="L91">
        <f>$C91*L90</f>
        <v/>
      </c>
      <c r="M91">
        <f>$C91*M90</f>
        <v/>
      </c>
      <c r="N91">
        <f>$C91*N90</f>
        <v/>
      </c>
      <c r="O91">
        <f>$C91*O90</f>
        <v/>
      </c>
      <c r="P91">
        <f>$C91*P90</f>
        <v/>
      </c>
      <c r="Q91">
        <f>$C91*Q90</f>
        <v/>
      </c>
      <c r="R91">
        <f>$C91*R90</f>
        <v/>
      </c>
      <c r="S91">
        <f>$C91*S90</f>
        <v/>
      </c>
      <c r="T91">
        <f>$C91*T90</f>
        <v/>
      </c>
      <c r="U91">
        <f>$C91*U90</f>
        <v/>
      </c>
      <c r="V91">
        <f>$C91*V90</f>
        <v/>
      </c>
      <c r="W91">
        <f>$C91*W90</f>
        <v/>
      </c>
      <c r="X91">
        <f>$C91*X90</f>
        <v/>
      </c>
      <c r="Y91">
        <f>$C91*Y90</f>
        <v/>
      </c>
      <c r="Z91">
        <f>$C91*Z90</f>
        <v/>
      </c>
      <c r="AA91">
        <f>$C91*AA90</f>
        <v/>
      </c>
      <c r="AB91">
        <f>$C91*AB90</f>
        <v/>
      </c>
      <c r="AC91">
        <f>$C91*AC90</f>
        <v/>
      </c>
      <c r="AD91">
        <f>$C91*AD90</f>
        <v/>
      </c>
      <c r="AE91">
        <f>$C91*AE90</f>
        <v/>
      </c>
      <c r="AF91">
        <f>$C91*AF90</f>
        <v/>
      </c>
      <c r="AG91">
        <f>$C91*AG90</f>
        <v/>
      </c>
      <c r="AH91">
        <f>$C91*AH90</f>
        <v/>
      </c>
      <c r="AI91">
        <f>$C91*AI90</f>
        <v/>
      </c>
      <c r="AJ91">
        <f>$C91*AJ90</f>
        <v/>
      </c>
      <c r="AK91">
        <f>$C91*AK90</f>
        <v/>
      </c>
      <c r="AL91">
        <f>$C91*AL90</f>
        <v/>
      </c>
      <c r="AM91">
        <f>$C91*AM90</f>
        <v/>
      </c>
      <c r="AN91">
        <f>$C91*AN90</f>
        <v/>
      </c>
      <c r="AO91">
        <f>$C91*AO90</f>
        <v/>
      </c>
      <c r="AP91">
        <f>$C91*AP90</f>
        <v/>
      </c>
      <c r="AQ91">
        <f>$C91*AQ90</f>
        <v/>
      </c>
      <c r="AR91">
        <f>$C91*AR90</f>
        <v/>
      </c>
      <c r="AS91">
        <f>$C91*AS90</f>
        <v/>
      </c>
      <c r="AT91">
        <f>$C91*AT90</f>
        <v/>
      </c>
      <c r="AU91">
        <f>$C91*AU90</f>
        <v/>
      </c>
      <c r="AV91">
        <f>$C91*AV90</f>
        <v/>
      </c>
      <c r="AW91">
        <f>$C91*AW90</f>
        <v/>
      </c>
      <c r="AX91">
        <f>$C91*AX90</f>
        <v/>
      </c>
      <c r="AY91">
        <f>$C91*AY90</f>
        <v/>
      </c>
      <c r="AZ91">
        <f>$C91*AZ90</f>
        <v/>
      </c>
      <c r="BA91">
        <f>$C91*BA90</f>
        <v/>
      </c>
      <c r="BB91">
        <f>$C91*BB90</f>
        <v/>
      </c>
      <c r="BC91">
        <f>$C91*BC90</f>
        <v/>
      </c>
      <c r="BD91">
        <f>$C91*BD90</f>
        <v/>
      </c>
      <c r="BE91">
        <f>$C91*BE90</f>
        <v/>
      </c>
      <c r="BF91">
        <f>$C91*BF90</f>
        <v/>
      </c>
      <c r="BG91">
        <f>$C91*BG90</f>
        <v/>
      </c>
      <c r="BH91">
        <f>$C91*BH90</f>
        <v/>
      </c>
      <c r="BI91">
        <f>$C91*BI90</f>
        <v/>
      </c>
      <c r="BJ91">
        <f>$C91*BJ90</f>
        <v/>
      </c>
      <c r="BK91">
        <f>$C91*BK90</f>
        <v/>
      </c>
      <c r="BL91">
        <f>$C91*BL90</f>
        <v/>
      </c>
      <c r="BM91">
        <f>$C91*BM90</f>
        <v/>
      </c>
      <c r="BN91">
        <f>$C91*BN90</f>
        <v/>
      </c>
      <c r="BO91">
        <f>$C91*BO90</f>
        <v/>
      </c>
      <c r="BP91">
        <f>$C91*BP90</f>
        <v/>
      </c>
      <c r="BQ91">
        <f>$C91*BQ90</f>
        <v/>
      </c>
      <c r="BR91">
        <f>$C91*BR90</f>
        <v/>
      </c>
      <c r="BS91">
        <f>$C91*BS90</f>
        <v/>
      </c>
      <c r="BT91">
        <f>$C91*BT90</f>
        <v/>
      </c>
      <c r="BU91">
        <f>$C91*BU90</f>
        <v/>
      </c>
      <c r="BV91">
        <f>$C91*BV90</f>
        <v/>
      </c>
      <c r="BW91">
        <f>$C91*BW90</f>
        <v/>
      </c>
      <c r="BX91">
        <f>$C91*BX90</f>
        <v/>
      </c>
      <c r="BY91">
        <f>$C91*BY90</f>
        <v/>
      </c>
      <c r="BZ91">
        <f>$C91*BZ90</f>
        <v/>
      </c>
      <c r="CA91">
        <f>$C91*CA90</f>
        <v/>
      </c>
      <c r="CB91">
        <f>$C91*CB90</f>
        <v/>
      </c>
      <c r="CC91">
        <f>$C91*CC90</f>
        <v/>
      </c>
      <c r="CD91">
        <f>$C91*CD90</f>
        <v/>
      </c>
      <c r="CE91">
        <f>$C91*CE90</f>
        <v/>
      </c>
      <c r="CF91">
        <f>$C91*CF90</f>
        <v/>
      </c>
      <c r="CG91">
        <f>$C91*CG90</f>
        <v/>
      </c>
      <c r="CH91">
        <f>$C91*CH90</f>
        <v/>
      </c>
      <c r="CI91">
        <f>$C91*CI90</f>
        <v/>
      </c>
      <c r="CJ91">
        <f>$C91*CJ90</f>
        <v/>
      </c>
      <c r="CK91">
        <f>$C91*CK90</f>
        <v/>
      </c>
      <c r="CL91">
        <f>$C91*CL90</f>
        <v/>
      </c>
      <c r="CM91">
        <f>$C91*CM90</f>
        <v/>
      </c>
      <c r="CN91">
        <f>$C91*CN90</f>
        <v/>
      </c>
      <c r="CO91">
        <f>$C91*CO90</f>
        <v/>
      </c>
      <c r="CP91">
        <f>$C91*CP90</f>
        <v/>
      </c>
      <c r="CQ91">
        <f>$C91*CQ90</f>
        <v/>
      </c>
      <c r="CR91">
        <f>$C91*CR90</f>
        <v/>
      </c>
      <c r="CS91">
        <f>$C91*CS90</f>
        <v/>
      </c>
      <c r="CT91">
        <f>$C91*CT90</f>
        <v/>
      </c>
      <c r="CU91">
        <f>$C91*CU90</f>
        <v/>
      </c>
      <c r="CV91">
        <f>$C91*CV90</f>
        <v/>
      </c>
      <c r="CW91">
        <f>$C91*CW90</f>
        <v/>
      </c>
      <c r="CX91">
        <f>$C91*CX90</f>
        <v/>
      </c>
      <c r="CY91">
        <f>$C91*CY90</f>
        <v/>
      </c>
      <c r="CZ91">
        <f>$C91*CZ90</f>
        <v/>
      </c>
      <c r="DA91">
        <f>$C91*DA90</f>
        <v/>
      </c>
      <c r="DB91">
        <f>$C91*DB90</f>
        <v/>
      </c>
      <c r="DC91">
        <f>$C91*DC90</f>
        <v/>
      </c>
    </row>
    <row r="92">
      <c r="B92" t="inlineStr">
        <is>
          <t>TSP-403</t>
        </is>
      </c>
      <c r="C92" t="inlineStr">
        <is>
          <t>No. of batches</t>
        </is>
      </c>
      <c r="D92">
        <f>IFERROR(INDEX(PP_Grid[#Data],$DD92,2),0)</f>
        <v/>
      </c>
      <c r="E92">
        <f>IFERROR(INDEX(PP_Grid[#Data],$DD92,3),0)</f>
        <v/>
      </c>
      <c r="F92">
        <f>IFERROR(INDEX(PP_Grid[#Data],$DD92,4),0)</f>
        <v/>
      </c>
      <c r="G92">
        <f>IFERROR(INDEX(PP_Grid[#Data],$DD92,5),0)</f>
        <v/>
      </c>
      <c r="H92">
        <f>IFERROR(INDEX(PP_Grid[#Data],$DD92,6),0)</f>
        <v/>
      </c>
      <c r="I92">
        <f>IFERROR(INDEX(PP_Grid[#Data],$DD92,7),0)</f>
        <v/>
      </c>
      <c r="J92">
        <f>IFERROR(INDEX(PP_Grid[#Data],$DD92,8),0)</f>
        <v/>
      </c>
      <c r="K92">
        <f>IFERROR(INDEX(PP_Grid[#Data],$DD92,9),0)</f>
        <v/>
      </c>
      <c r="L92">
        <f>IFERROR(INDEX(PP_Grid[#Data],$DD92,10),0)</f>
        <v/>
      </c>
      <c r="M92">
        <f>IFERROR(INDEX(PP_Grid[#Data],$DD92,11),0)</f>
        <v/>
      </c>
      <c r="N92">
        <f>IFERROR(INDEX(PP_Grid[#Data],$DD92,12),0)</f>
        <v/>
      </c>
      <c r="O92">
        <f>IFERROR(INDEX(PP_Grid[#Data],$DD92,13),0)</f>
        <v/>
      </c>
      <c r="P92">
        <f>IFERROR(INDEX(PP_Grid[#Data],$DD92,14),0)</f>
        <v/>
      </c>
      <c r="Q92">
        <f>IFERROR(INDEX(PP_Grid[#Data],$DD92,15),0)</f>
        <v/>
      </c>
      <c r="R92">
        <f>IFERROR(INDEX(PP_Grid[#Data],$DD92,16),0)</f>
        <v/>
      </c>
      <c r="S92">
        <f>IFERROR(INDEX(PP_Grid[#Data],$DD92,17),0)</f>
        <v/>
      </c>
      <c r="T92">
        <f>IFERROR(INDEX(PP_Grid[#Data],$DD92,18),0)</f>
        <v/>
      </c>
      <c r="U92">
        <f>IFERROR(INDEX(PP_Grid[#Data],$DD92,19),0)</f>
        <v/>
      </c>
      <c r="V92">
        <f>IFERROR(INDEX(PP_Grid[#Data],$DD92,20),0)</f>
        <v/>
      </c>
      <c r="W92">
        <f>IFERROR(INDEX(PP_Grid[#Data],$DD92,21),0)</f>
        <v/>
      </c>
      <c r="X92">
        <f>IFERROR(INDEX(PP_Grid[#Data],$DD92,22),0)</f>
        <v/>
      </c>
      <c r="Y92">
        <f>IFERROR(INDEX(PP_Grid[#Data],$DD92,23),0)</f>
        <v/>
      </c>
      <c r="Z92">
        <f>IFERROR(INDEX(PP_Grid[#Data],$DD92,24),0)</f>
        <v/>
      </c>
      <c r="AA92">
        <f>IFERROR(INDEX(PP_Grid[#Data],$DD92,25),0)</f>
        <v/>
      </c>
      <c r="AB92">
        <f>IFERROR(INDEX(PP_Grid[#Data],$DD92,26),0)</f>
        <v/>
      </c>
      <c r="AC92">
        <f>IFERROR(INDEX(PP_Grid[#Data],$DD92,27),0)</f>
        <v/>
      </c>
      <c r="AD92">
        <f>IFERROR(INDEX(PP_Grid[#Data],$DD92,28),0)</f>
        <v/>
      </c>
      <c r="AE92">
        <f>IFERROR(INDEX(PP_Grid[#Data],$DD92,29),0)</f>
        <v/>
      </c>
      <c r="AF92">
        <f>IFERROR(INDEX(PP_Grid[#Data],$DD92,30),0)</f>
        <v/>
      </c>
      <c r="AG92">
        <f>IFERROR(INDEX(PP_Grid[#Data],$DD92,31),0)</f>
        <v/>
      </c>
      <c r="AH92">
        <f>IFERROR(INDEX(PP_Grid[#Data],$DD92,32),0)</f>
        <v/>
      </c>
      <c r="AI92">
        <f>IFERROR(INDEX(PP_Grid[#Data],$DD92,33),0)</f>
        <v/>
      </c>
      <c r="AJ92">
        <f>IFERROR(INDEX(PP_Grid[#Data],$DD92,34),0)</f>
        <v/>
      </c>
      <c r="AK92">
        <f>IFERROR(INDEX(PP_Grid[#Data],$DD92,35),0)</f>
        <v/>
      </c>
      <c r="AL92">
        <f>IFERROR(INDEX(PP_Grid[#Data],$DD92,36),0)</f>
        <v/>
      </c>
      <c r="AM92">
        <f>IFERROR(INDEX(PP_Grid[#Data],$DD92,37),0)</f>
        <v/>
      </c>
      <c r="AN92">
        <f>IFERROR(INDEX(PP_Grid[#Data],$DD92,38),0)</f>
        <v/>
      </c>
      <c r="AO92">
        <f>IFERROR(INDEX(PP_Grid[#Data],$DD92,39),0)</f>
        <v/>
      </c>
      <c r="AP92">
        <f>IFERROR(INDEX(PP_Grid[#Data],$DD92,40),0)</f>
        <v/>
      </c>
      <c r="AQ92">
        <f>IFERROR(INDEX(PP_Grid[#Data],$DD92,41),0)</f>
        <v/>
      </c>
      <c r="AR92">
        <f>IFERROR(INDEX(PP_Grid[#Data],$DD92,42),0)</f>
        <v/>
      </c>
      <c r="AS92">
        <f>IFERROR(INDEX(PP_Grid[#Data],$DD92,43),0)</f>
        <v/>
      </c>
      <c r="AT92">
        <f>IFERROR(INDEX(PP_Grid[#Data],$DD92,44),0)</f>
        <v/>
      </c>
      <c r="AU92">
        <f>IFERROR(INDEX(PP_Grid[#Data],$DD92,45),0)</f>
        <v/>
      </c>
      <c r="AV92">
        <f>IFERROR(INDEX(PP_Grid[#Data],$DD92,46),0)</f>
        <v/>
      </c>
      <c r="AW92">
        <f>IFERROR(INDEX(PP_Grid[#Data],$DD92,47),0)</f>
        <v/>
      </c>
      <c r="AX92">
        <f>IFERROR(INDEX(PP_Grid[#Data],$DD92,48),0)</f>
        <v/>
      </c>
      <c r="AY92">
        <f>IFERROR(INDEX(PP_Grid[#Data],$DD92,49),0)</f>
        <v/>
      </c>
      <c r="AZ92">
        <f>IFERROR(INDEX(PP_Grid[#Data],$DD92,50),0)</f>
        <v/>
      </c>
      <c r="BA92">
        <f>IFERROR(INDEX(PP_Grid[#Data],$DD92,51),0)</f>
        <v/>
      </c>
      <c r="BB92">
        <f>IFERROR(INDEX(PP_Grid[#Data],$DD92,52),0)</f>
        <v/>
      </c>
      <c r="BC92">
        <f>IFERROR(INDEX(PP_Grid[#Data],$DD92,53),0)</f>
        <v/>
      </c>
      <c r="BD92">
        <f>IFERROR(INDEX(PP_Grid[#Data],$DD92,54),0)</f>
        <v/>
      </c>
      <c r="BE92">
        <f>IFERROR(INDEX(PP_Grid[#Data],$DD92,55),0)</f>
        <v/>
      </c>
      <c r="BF92">
        <f>IFERROR(INDEX(PP_Grid[#Data],$DD92,56),0)</f>
        <v/>
      </c>
      <c r="BG92">
        <f>IFERROR(INDEX(PP_Grid[#Data],$DD92,57),0)</f>
        <v/>
      </c>
      <c r="BH92">
        <f>IFERROR(INDEX(PP_Grid[#Data],$DD92,58),0)</f>
        <v/>
      </c>
      <c r="BI92">
        <f>IFERROR(INDEX(PP_Grid[#Data],$DD92,59),0)</f>
        <v/>
      </c>
      <c r="BJ92">
        <f>IFERROR(INDEX(PP_Grid[#Data],$DD92,60),0)</f>
        <v/>
      </c>
      <c r="BK92">
        <f>IFERROR(INDEX(PP_Grid[#Data],$DD92,61),0)</f>
        <v/>
      </c>
      <c r="BL92">
        <f>IFERROR(INDEX(PP_Grid[#Data],$DD92,62),0)</f>
        <v/>
      </c>
      <c r="BM92">
        <f>IFERROR(INDEX(PP_Grid[#Data],$DD92,63),0)</f>
        <v/>
      </c>
      <c r="BN92">
        <f>IFERROR(INDEX(PP_Grid[#Data],$DD92,64),0)</f>
        <v/>
      </c>
      <c r="BO92">
        <f>IFERROR(INDEX(PP_Grid[#Data],$DD92,65),0)</f>
        <v/>
      </c>
      <c r="BP92">
        <f>IFERROR(INDEX(PP_Grid[#Data],$DD92,66),0)</f>
        <v/>
      </c>
      <c r="BQ92">
        <f>IFERROR(INDEX(PP_Grid[#Data],$DD92,67),0)</f>
        <v/>
      </c>
      <c r="BR92">
        <f>IFERROR(INDEX(PP_Grid[#Data],$DD92,68),0)</f>
        <v/>
      </c>
      <c r="BS92">
        <f>IFERROR(INDEX(PP_Grid[#Data],$DD92,69),0)</f>
        <v/>
      </c>
      <c r="BT92">
        <f>IFERROR(INDEX(PP_Grid[#Data],$DD92,70),0)</f>
        <v/>
      </c>
      <c r="BU92">
        <f>IFERROR(INDEX(PP_Grid[#Data],$DD92,71),0)</f>
        <v/>
      </c>
      <c r="BV92">
        <f>IFERROR(INDEX(PP_Grid[#Data],$DD92,72),0)</f>
        <v/>
      </c>
      <c r="BW92">
        <f>IFERROR(INDEX(PP_Grid[#Data],$DD92,73),0)</f>
        <v/>
      </c>
      <c r="BX92">
        <f>IFERROR(INDEX(PP_Grid[#Data],$DD92,74),0)</f>
        <v/>
      </c>
      <c r="BY92">
        <f>IFERROR(INDEX(PP_Grid[#Data],$DD92,75),0)</f>
        <v/>
      </c>
      <c r="BZ92">
        <f>IFERROR(INDEX(PP_Grid[#Data],$DD92,76),0)</f>
        <v/>
      </c>
      <c r="CA92">
        <f>IFERROR(INDEX(PP_Grid[#Data],$DD92,77),0)</f>
        <v/>
      </c>
      <c r="CB92">
        <f>IFERROR(INDEX(PP_Grid[#Data],$DD92,78),0)</f>
        <v/>
      </c>
      <c r="CC92">
        <f>IFERROR(INDEX(PP_Grid[#Data],$DD92,79),0)</f>
        <v/>
      </c>
      <c r="CD92">
        <f>IFERROR(INDEX(PP_Grid[#Data],$DD92,80),0)</f>
        <v/>
      </c>
      <c r="CE92">
        <f>IFERROR(INDEX(PP_Grid[#Data],$DD92,81),0)</f>
        <v/>
      </c>
      <c r="CF92">
        <f>IFERROR(INDEX(PP_Grid[#Data],$DD92,82),0)</f>
        <v/>
      </c>
      <c r="CG92">
        <f>IFERROR(INDEX(PP_Grid[#Data],$DD92,83),0)</f>
        <v/>
      </c>
      <c r="CH92">
        <f>IFERROR(INDEX(PP_Grid[#Data],$DD92,84),0)</f>
        <v/>
      </c>
      <c r="CI92">
        <f>IFERROR(INDEX(PP_Grid[#Data],$DD92,85),0)</f>
        <v/>
      </c>
      <c r="CJ92">
        <f>IFERROR(INDEX(PP_Grid[#Data],$DD92,86),0)</f>
        <v/>
      </c>
      <c r="CK92">
        <f>IFERROR(INDEX(PP_Grid[#Data],$DD92,87),0)</f>
        <v/>
      </c>
      <c r="CL92">
        <f>IFERROR(INDEX(PP_Grid[#Data],$DD92,88),0)</f>
        <v/>
      </c>
      <c r="CM92">
        <f>IFERROR(INDEX(PP_Grid[#Data],$DD92,89),0)</f>
        <v/>
      </c>
      <c r="CN92">
        <f>IFERROR(INDEX(PP_Grid[#Data],$DD92,90),0)</f>
        <v/>
      </c>
      <c r="CO92">
        <f>IFERROR(INDEX(PP_Grid[#Data],$DD92,91),0)</f>
        <v/>
      </c>
      <c r="CP92">
        <f>IFERROR(INDEX(PP_Grid[#Data],$DD92,92),0)</f>
        <v/>
      </c>
      <c r="CQ92">
        <f>IFERROR(INDEX(PP_Grid[#Data],$DD92,93),0)</f>
        <v/>
      </c>
      <c r="CR92">
        <f>IFERROR(INDEX(PP_Grid[#Data],$DD92,94),0)</f>
        <v/>
      </c>
      <c r="CS92">
        <f>IFERROR(INDEX(PP_Grid[#Data],$DD92,95),0)</f>
        <v/>
      </c>
      <c r="CT92">
        <f>IFERROR(INDEX(PP_Grid[#Data],$DD92,96),0)</f>
        <v/>
      </c>
      <c r="CU92">
        <f>IFERROR(INDEX(PP_Grid[#Data],$DD92,97),0)</f>
        <v/>
      </c>
      <c r="CV92">
        <f>IFERROR(INDEX(PP_Grid[#Data],$DD92,98),0)</f>
        <v/>
      </c>
      <c r="CW92">
        <f>IFERROR(INDEX(PP_Grid[#Data],$DD92,99),0)</f>
        <v/>
      </c>
      <c r="CX92">
        <f>IFERROR(INDEX(PP_Grid[#Data],$DD92,100),0)</f>
        <v/>
      </c>
      <c r="CY92">
        <f>IFERROR(INDEX(PP_Grid[#Data],$DD92,101),0)</f>
        <v/>
      </c>
      <c r="CZ92">
        <f>IFERROR(INDEX(PP_Grid[#Data],$DD92,102),0)</f>
        <v/>
      </c>
      <c r="DA92">
        <f>IFERROR(INDEX(PP_Grid[#Data],$DD92,103),0)</f>
        <v/>
      </c>
      <c r="DB92">
        <f>IFERROR(INDEX(PP_Grid[#Data],$DD92,104),0)</f>
        <v/>
      </c>
      <c r="DC92">
        <f>IFERROR(INDEX(PP_Grid[#Data],$DD92,105),0)</f>
        <v/>
      </c>
      <c r="DD92" s="12">
        <f>IFERROR(MATCH($B92,PP_Grid[Intermediate],0),99999)</f>
        <v/>
      </c>
    </row>
    <row r="93">
      <c r="B93" t="inlineStr">
        <is>
          <t>使用量(kg)</t>
        </is>
      </c>
      <c r="C93">
        <f>SUMIFS(M_BOM[RM_Qty_Per_Batch],M_BOM[Intermediate],$B92,M_BOM[Part Name],$A45)</f>
        <v/>
      </c>
      <c r="D93">
        <f>$C93*D92</f>
        <v/>
      </c>
      <c r="E93">
        <f>$C93*E92</f>
        <v/>
      </c>
      <c r="F93">
        <f>$C93*F92</f>
        <v/>
      </c>
      <c r="G93">
        <f>$C93*G92</f>
        <v/>
      </c>
      <c r="H93">
        <f>$C93*H92</f>
        <v/>
      </c>
      <c r="I93">
        <f>$C93*I92</f>
        <v/>
      </c>
      <c r="J93">
        <f>$C93*J92</f>
        <v/>
      </c>
      <c r="K93">
        <f>$C93*K92</f>
        <v/>
      </c>
      <c r="L93">
        <f>$C93*L92</f>
        <v/>
      </c>
      <c r="M93">
        <f>$C93*M92</f>
        <v/>
      </c>
      <c r="N93">
        <f>$C93*N92</f>
        <v/>
      </c>
      <c r="O93">
        <f>$C93*O92</f>
        <v/>
      </c>
      <c r="P93">
        <f>$C93*P92</f>
        <v/>
      </c>
      <c r="Q93">
        <f>$C93*Q92</f>
        <v/>
      </c>
      <c r="R93">
        <f>$C93*R92</f>
        <v/>
      </c>
      <c r="S93">
        <f>$C93*S92</f>
        <v/>
      </c>
      <c r="T93">
        <f>$C93*T92</f>
        <v/>
      </c>
      <c r="U93">
        <f>$C93*U92</f>
        <v/>
      </c>
      <c r="V93">
        <f>$C93*V92</f>
        <v/>
      </c>
      <c r="W93">
        <f>$C93*W92</f>
        <v/>
      </c>
      <c r="X93">
        <f>$C93*X92</f>
        <v/>
      </c>
      <c r="Y93">
        <f>$C93*Y92</f>
        <v/>
      </c>
      <c r="Z93">
        <f>$C93*Z92</f>
        <v/>
      </c>
      <c r="AA93">
        <f>$C93*AA92</f>
        <v/>
      </c>
      <c r="AB93">
        <f>$C93*AB92</f>
        <v/>
      </c>
      <c r="AC93">
        <f>$C93*AC92</f>
        <v/>
      </c>
      <c r="AD93">
        <f>$C93*AD92</f>
        <v/>
      </c>
      <c r="AE93">
        <f>$C93*AE92</f>
        <v/>
      </c>
      <c r="AF93">
        <f>$C93*AF92</f>
        <v/>
      </c>
      <c r="AG93">
        <f>$C93*AG92</f>
        <v/>
      </c>
      <c r="AH93">
        <f>$C93*AH92</f>
        <v/>
      </c>
      <c r="AI93">
        <f>$C93*AI92</f>
        <v/>
      </c>
      <c r="AJ93">
        <f>$C93*AJ92</f>
        <v/>
      </c>
      <c r="AK93">
        <f>$C93*AK92</f>
        <v/>
      </c>
      <c r="AL93">
        <f>$C93*AL92</f>
        <v/>
      </c>
      <c r="AM93">
        <f>$C93*AM92</f>
        <v/>
      </c>
      <c r="AN93">
        <f>$C93*AN92</f>
        <v/>
      </c>
      <c r="AO93">
        <f>$C93*AO92</f>
        <v/>
      </c>
      <c r="AP93">
        <f>$C93*AP92</f>
        <v/>
      </c>
      <c r="AQ93">
        <f>$C93*AQ92</f>
        <v/>
      </c>
      <c r="AR93">
        <f>$C93*AR92</f>
        <v/>
      </c>
      <c r="AS93">
        <f>$C93*AS92</f>
        <v/>
      </c>
      <c r="AT93">
        <f>$C93*AT92</f>
        <v/>
      </c>
      <c r="AU93">
        <f>$C93*AU92</f>
        <v/>
      </c>
      <c r="AV93">
        <f>$C93*AV92</f>
        <v/>
      </c>
      <c r="AW93">
        <f>$C93*AW92</f>
        <v/>
      </c>
      <c r="AX93">
        <f>$C93*AX92</f>
        <v/>
      </c>
      <c r="AY93">
        <f>$C93*AY92</f>
        <v/>
      </c>
      <c r="AZ93">
        <f>$C93*AZ92</f>
        <v/>
      </c>
      <c r="BA93">
        <f>$C93*BA92</f>
        <v/>
      </c>
      <c r="BB93">
        <f>$C93*BB92</f>
        <v/>
      </c>
      <c r="BC93">
        <f>$C93*BC92</f>
        <v/>
      </c>
      <c r="BD93">
        <f>$C93*BD92</f>
        <v/>
      </c>
      <c r="BE93">
        <f>$C93*BE92</f>
        <v/>
      </c>
      <c r="BF93">
        <f>$C93*BF92</f>
        <v/>
      </c>
      <c r="BG93">
        <f>$C93*BG92</f>
        <v/>
      </c>
      <c r="BH93">
        <f>$C93*BH92</f>
        <v/>
      </c>
      <c r="BI93">
        <f>$C93*BI92</f>
        <v/>
      </c>
      <c r="BJ93">
        <f>$C93*BJ92</f>
        <v/>
      </c>
      <c r="BK93">
        <f>$C93*BK92</f>
        <v/>
      </c>
      <c r="BL93">
        <f>$C93*BL92</f>
        <v/>
      </c>
      <c r="BM93">
        <f>$C93*BM92</f>
        <v/>
      </c>
      <c r="BN93">
        <f>$C93*BN92</f>
        <v/>
      </c>
      <c r="BO93">
        <f>$C93*BO92</f>
        <v/>
      </c>
      <c r="BP93">
        <f>$C93*BP92</f>
        <v/>
      </c>
      <c r="BQ93">
        <f>$C93*BQ92</f>
        <v/>
      </c>
      <c r="BR93">
        <f>$C93*BR92</f>
        <v/>
      </c>
      <c r="BS93">
        <f>$C93*BS92</f>
        <v/>
      </c>
      <c r="BT93">
        <f>$C93*BT92</f>
        <v/>
      </c>
      <c r="BU93">
        <f>$C93*BU92</f>
        <v/>
      </c>
      <c r="BV93">
        <f>$C93*BV92</f>
        <v/>
      </c>
      <c r="BW93">
        <f>$C93*BW92</f>
        <v/>
      </c>
      <c r="BX93">
        <f>$C93*BX92</f>
        <v/>
      </c>
      <c r="BY93">
        <f>$C93*BY92</f>
        <v/>
      </c>
      <c r="BZ93">
        <f>$C93*BZ92</f>
        <v/>
      </c>
      <c r="CA93">
        <f>$C93*CA92</f>
        <v/>
      </c>
      <c r="CB93">
        <f>$C93*CB92</f>
        <v/>
      </c>
      <c r="CC93">
        <f>$C93*CC92</f>
        <v/>
      </c>
      <c r="CD93">
        <f>$C93*CD92</f>
        <v/>
      </c>
      <c r="CE93">
        <f>$C93*CE92</f>
        <v/>
      </c>
      <c r="CF93">
        <f>$C93*CF92</f>
        <v/>
      </c>
      <c r="CG93">
        <f>$C93*CG92</f>
        <v/>
      </c>
      <c r="CH93">
        <f>$C93*CH92</f>
        <v/>
      </c>
      <c r="CI93">
        <f>$C93*CI92</f>
        <v/>
      </c>
      <c r="CJ93">
        <f>$C93*CJ92</f>
        <v/>
      </c>
      <c r="CK93">
        <f>$C93*CK92</f>
        <v/>
      </c>
      <c r="CL93">
        <f>$C93*CL92</f>
        <v/>
      </c>
      <c r="CM93">
        <f>$C93*CM92</f>
        <v/>
      </c>
      <c r="CN93">
        <f>$C93*CN92</f>
        <v/>
      </c>
      <c r="CO93">
        <f>$C93*CO92</f>
        <v/>
      </c>
      <c r="CP93">
        <f>$C93*CP92</f>
        <v/>
      </c>
      <c r="CQ93">
        <f>$C93*CQ92</f>
        <v/>
      </c>
      <c r="CR93">
        <f>$C93*CR92</f>
        <v/>
      </c>
      <c r="CS93">
        <f>$C93*CS92</f>
        <v/>
      </c>
      <c r="CT93">
        <f>$C93*CT92</f>
        <v/>
      </c>
      <c r="CU93">
        <f>$C93*CU92</f>
        <v/>
      </c>
      <c r="CV93">
        <f>$C93*CV92</f>
        <v/>
      </c>
      <c r="CW93">
        <f>$C93*CW92</f>
        <v/>
      </c>
      <c r="CX93">
        <f>$C93*CX92</f>
        <v/>
      </c>
      <c r="CY93">
        <f>$C93*CY92</f>
        <v/>
      </c>
      <c r="CZ93">
        <f>$C93*CZ92</f>
        <v/>
      </c>
      <c r="DA93">
        <f>$C93*DA92</f>
        <v/>
      </c>
      <c r="DB93">
        <f>$C93*DB92</f>
        <v/>
      </c>
      <c r="DC93">
        <f>$C93*DC92</f>
        <v/>
      </c>
    </row>
    <row r="94">
      <c r="B94" t="inlineStr">
        <is>
          <t>TSP-404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12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Name],$A45)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t="inlineStr">
        <is>
          <t>TSP-405</t>
        </is>
      </c>
      <c r="C96" t="inlineStr">
        <is>
          <t>No. of batches</t>
        </is>
      </c>
      <c r="D96">
        <f>IFERROR(INDEX(PP_Grid[#Data],$DD96,2),0)</f>
        <v/>
      </c>
      <c r="E96">
        <f>IFERROR(INDEX(PP_Grid[#Data],$DD96,3),0)</f>
        <v/>
      </c>
      <c r="F96">
        <f>IFERROR(INDEX(PP_Grid[#Data],$DD96,4),0)</f>
        <v/>
      </c>
      <c r="G96">
        <f>IFERROR(INDEX(PP_Grid[#Data],$DD96,5),0)</f>
        <v/>
      </c>
      <c r="H96">
        <f>IFERROR(INDEX(PP_Grid[#Data],$DD96,6),0)</f>
        <v/>
      </c>
      <c r="I96">
        <f>IFERROR(INDEX(PP_Grid[#Data],$DD96,7),0)</f>
        <v/>
      </c>
      <c r="J96">
        <f>IFERROR(INDEX(PP_Grid[#Data],$DD96,8),0)</f>
        <v/>
      </c>
      <c r="K96">
        <f>IFERROR(INDEX(PP_Grid[#Data],$DD96,9),0)</f>
        <v/>
      </c>
      <c r="L96">
        <f>IFERROR(INDEX(PP_Grid[#Data],$DD96,10),0)</f>
        <v/>
      </c>
      <c r="M96">
        <f>IFERROR(INDEX(PP_Grid[#Data],$DD96,11),0)</f>
        <v/>
      </c>
      <c r="N96">
        <f>IFERROR(INDEX(PP_Grid[#Data],$DD96,12),0)</f>
        <v/>
      </c>
      <c r="O96">
        <f>IFERROR(INDEX(PP_Grid[#Data],$DD96,13),0)</f>
        <v/>
      </c>
      <c r="P96">
        <f>IFERROR(INDEX(PP_Grid[#Data],$DD96,14),0)</f>
        <v/>
      </c>
      <c r="Q96">
        <f>IFERROR(INDEX(PP_Grid[#Data],$DD96,15),0)</f>
        <v/>
      </c>
      <c r="R96">
        <f>IFERROR(INDEX(PP_Grid[#Data],$DD96,16),0)</f>
        <v/>
      </c>
      <c r="S96">
        <f>IFERROR(INDEX(PP_Grid[#Data],$DD96,17),0)</f>
        <v/>
      </c>
      <c r="T96">
        <f>IFERROR(INDEX(PP_Grid[#Data],$DD96,18),0)</f>
        <v/>
      </c>
      <c r="U96">
        <f>IFERROR(INDEX(PP_Grid[#Data],$DD96,19),0)</f>
        <v/>
      </c>
      <c r="V96">
        <f>IFERROR(INDEX(PP_Grid[#Data],$DD96,20),0)</f>
        <v/>
      </c>
      <c r="W96">
        <f>IFERROR(INDEX(PP_Grid[#Data],$DD96,21),0)</f>
        <v/>
      </c>
      <c r="X96">
        <f>IFERROR(INDEX(PP_Grid[#Data],$DD96,22),0)</f>
        <v/>
      </c>
      <c r="Y96">
        <f>IFERROR(INDEX(PP_Grid[#Data],$DD96,23),0)</f>
        <v/>
      </c>
      <c r="Z96">
        <f>IFERROR(INDEX(PP_Grid[#Data],$DD96,24),0)</f>
        <v/>
      </c>
      <c r="AA96">
        <f>IFERROR(INDEX(PP_Grid[#Data],$DD96,25),0)</f>
        <v/>
      </c>
      <c r="AB96">
        <f>IFERROR(INDEX(PP_Grid[#Data],$DD96,26),0)</f>
        <v/>
      </c>
      <c r="AC96">
        <f>IFERROR(INDEX(PP_Grid[#Data],$DD96,27),0)</f>
        <v/>
      </c>
      <c r="AD96">
        <f>IFERROR(INDEX(PP_Grid[#Data],$DD96,28),0)</f>
        <v/>
      </c>
      <c r="AE96">
        <f>IFERROR(INDEX(PP_Grid[#Data],$DD96,29),0)</f>
        <v/>
      </c>
      <c r="AF96">
        <f>IFERROR(INDEX(PP_Grid[#Data],$DD96,30),0)</f>
        <v/>
      </c>
      <c r="AG96">
        <f>IFERROR(INDEX(PP_Grid[#Data],$DD96,31),0)</f>
        <v/>
      </c>
      <c r="AH96">
        <f>IFERROR(INDEX(PP_Grid[#Data],$DD96,32),0)</f>
        <v/>
      </c>
      <c r="AI96">
        <f>IFERROR(INDEX(PP_Grid[#Data],$DD96,33),0)</f>
        <v/>
      </c>
      <c r="AJ96">
        <f>IFERROR(INDEX(PP_Grid[#Data],$DD96,34),0)</f>
        <v/>
      </c>
      <c r="AK96">
        <f>IFERROR(INDEX(PP_Grid[#Data],$DD96,35),0)</f>
        <v/>
      </c>
      <c r="AL96">
        <f>IFERROR(INDEX(PP_Grid[#Data],$DD96,36),0)</f>
        <v/>
      </c>
      <c r="AM96">
        <f>IFERROR(INDEX(PP_Grid[#Data],$DD96,37),0)</f>
        <v/>
      </c>
      <c r="AN96">
        <f>IFERROR(INDEX(PP_Grid[#Data],$DD96,38),0)</f>
        <v/>
      </c>
      <c r="AO96">
        <f>IFERROR(INDEX(PP_Grid[#Data],$DD96,39),0)</f>
        <v/>
      </c>
      <c r="AP96">
        <f>IFERROR(INDEX(PP_Grid[#Data],$DD96,40),0)</f>
        <v/>
      </c>
      <c r="AQ96">
        <f>IFERROR(INDEX(PP_Grid[#Data],$DD96,41),0)</f>
        <v/>
      </c>
      <c r="AR96">
        <f>IFERROR(INDEX(PP_Grid[#Data],$DD96,42),0)</f>
        <v/>
      </c>
      <c r="AS96">
        <f>IFERROR(INDEX(PP_Grid[#Data],$DD96,43),0)</f>
        <v/>
      </c>
      <c r="AT96">
        <f>IFERROR(INDEX(PP_Grid[#Data],$DD96,44),0)</f>
        <v/>
      </c>
      <c r="AU96">
        <f>IFERROR(INDEX(PP_Grid[#Data],$DD96,45),0)</f>
        <v/>
      </c>
      <c r="AV96">
        <f>IFERROR(INDEX(PP_Grid[#Data],$DD96,46),0)</f>
        <v/>
      </c>
      <c r="AW96">
        <f>IFERROR(INDEX(PP_Grid[#Data],$DD96,47),0)</f>
        <v/>
      </c>
      <c r="AX96">
        <f>IFERROR(INDEX(PP_Grid[#Data],$DD96,48),0)</f>
        <v/>
      </c>
      <c r="AY96">
        <f>IFERROR(INDEX(PP_Grid[#Data],$DD96,49),0)</f>
        <v/>
      </c>
      <c r="AZ96">
        <f>IFERROR(INDEX(PP_Grid[#Data],$DD96,50),0)</f>
        <v/>
      </c>
      <c r="BA96">
        <f>IFERROR(INDEX(PP_Grid[#Data],$DD96,51),0)</f>
        <v/>
      </c>
      <c r="BB96">
        <f>IFERROR(INDEX(PP_Grid[#Data],$DD96,52),0)</f>
        <v/>
      </c>
      <c r="BC96">
        <f>IFERROR(INDEX(PP_Grid[#Data],$DD96,53),0)</f>
        <v/>
      </c>
      <c r="BD96">
        <f>IFERROR(INDEX(PP_Grid[#Data],$DD96,54),0)</f>
        <v/>
      </c>
      <c r="BE96">
        <f>IFERROR(INDEX(PP_Grid[#Data],$DD96,55),0)</f>
        <v/>
      </c>
      <c r="BF96">
        <f>IFERROR(INDEX(PP_Grid[#Data],$DD96,56),0)</f>
        <v/>
      </c>
      <c r="BG96">
        <f>IFERROR(INDEX(PP_Grid[#Data],$DD96,57),0)</f>
        <v/>
      </c>
      <c r="BH96">
        <f>IFERROR(INDEX(PP_Grid[#Data],$DD96,58),0)</f>
        <v/>
      </c>
      <c r="BI96">
        <f>IFERROR(INDEX(PP_Grid[#Data],$DD96,59),0)</f>
        <v/>
      </c>
      <c r="BJ96">
        <f>IFERROR(INDEX(PP_Grid[#Data],$DD96,60),0)</f>
        <v/>
      </c>
      <c r="BK96">
        <f>IFERROR(INDEX(PP_Grid[#Data],$DD96,61),0)</f>
        <v/>
      </c>
      <c r="BL96">
        <f>IFERROR(INDEX(PP_Grid[#Data],$DD96,62),0)</f>
        <v/>
      </c>
      <c r="BM96">
        <f>IFERROR(INDEX(PP_Grid[#Data],$DD96,63),0)</f>
        <v/>
      </c>
      <c r="BN96">
        <f>IFERROR(INDEX(PP_Grid[#Data],$DD96,64),0)</f>
        <v/>
      </c>
      <c r="BO96">
        <f>IFERROR(INDEX(PP_Grid[#Data],$DD96,65),0)</f>
        <v/>
      </c>
      <c r="BP96">
        <f>IFERROR(INDEX(PP_Grid[#Data],$DD96,66),0)</f>
        <v/>
      </c>
      <c r="BQ96">
        <f>IFERROR(INDEX(PP_Grid[#Data],$DD96,67),0)</f>
        <v/>
      </c>
      <c r="BR96">
        <f>IFERROR(INDEX(PP_Grid[#Data],$DD96,68),0)</f>
        <v/>
      </c>
      <c r="BS96">
        <f>IFERROR(INDEX(PP_Grid[#Data],$DD96,69),0)</f>
        <v/>
      </c>
      <c r="BT96">
        <f>IFERROR(INDEX(PP_Grid[#Data],$DD96,70),0)</f>
        <v/>
      </c>
      <c r="BU96">
        <f>IFERROR(INDEX(PP_Grid[#Data],$DD96,71),0)</f>
        <v/>
      </c>
      <c r="BV96">
        <f>IFERROR(INDEX(PP_Grid[#Data],$DD96,72),0)</f>
        <v/>
      </c>
      <c r="BW96">
        <f>IFERROR(INDEX(PP_Grid[#Data],$DD96,73),0)</f>
        <v/>
      </c>
      <c r="BX96">
        <f>IFERROR(INDEX(PP_Grid[#Data],$DD96,74),0)</f>
        <v/>
      </c>
      <c r="BY96">
        <f>IFERROR(INDEX(PP_Grid[#Data],$DD96,75),0)</f>
        <v/>
      </c>
      <c r="BZ96">
        <f>IFERROR(INDEX(PP_Grid[#Data],$DD96,76),0)</f>
        <v/>
      </c>
      <c r="CA96">
        <f>IFERROR(INDEX(PP_Grid[#Data],$DD96,77),0)</f>
        <v/>
      </c>
      <c r="CB96">
        <f>IFERROR(INDEX(PP_Grid[#Data],$DD96,78),0)</f>
        <v/>
      </c>
      <c r="CC96">
        <f>IFERROR(INDEX(PP_Grid[#Data],$DD96,79),0)</f>
        <v/>
      </c>
      <c r="CD96">
        <f>IFERROR(INDEX(PP_Grid[#Data],$DD96,80),0)</f>
        <v/>
      </c>
      <c r="CE96">
        <f>IFERROR(INDEX(PP_Grid[#Data],$DD96,81),0)</f>
        <v/>
      </c>
      <c r="CF96">
        <f>IFERROR(INDEX(PP_Grid[#Data],$DD96,82),0)</f>
        <v/>
      </c>
      <c r="CG96">
        <f>IFERROR(INDEX(PP_Grid[#Data],$DD96,83),0)</f>
        <v/>
      </c>
      <c r="CH96">
        <f>IFERROR(INDEX(PP_Grid[#Data],$DD96,84),0)</f>
        <v/>
      </c>
      <c r="CI96">
        <f>IFERROR(INDEX(PP_Grid[#Data],$DD96,85),0)</f>
        <v/>
      </c>
      <c r="CJ96">
        <f>IFERROR(INDEX(PP_Grid[#Data],$DD96,86),0)</f>
        <v/>
      </c>
      <c r="CK96">
        <f>IFERROR(INDEX(PP_Grid[#Data],$DD96,87),0)</f>
        <v/>
      </c>
      <c r="CL96">
        <f>IFERROR(INDEX(PP_Grid[#Data],$DD96,88),0)</f>
        <v/>
      </c>
      <c r="CM96">
        <f>IFERROR(INDEX(PP_Grid[#Data],$DD96,89),0)</f>
        <v/>
      </c>
      <c r="CN96">
        <f>IFERROR(INDEX(PP_Grid[#Data],$DD96,90),0)</f>
        <v/>
      </c>
      <c r="CO96">
        <f>IFERROR(INDEX(PP_Grid[#Data],$DD96,91),0)</f>
        <v/>
      </c>
      <c r="CP96">
        <f>IFERROR(INDEX(PP_Grid[#Data],$DD96,92),0)</f>
        <v/>
      </c>
      <c r="CQ96">
        <f>IFERROR(INDEX(PP_Grid[#Data],$DD96,93),0)</f>
        <v/>
      </c>
      <c r="CR96">
        <f>IFERROR(INDEX(PP_Grid[#Data],$DD96,94),0)</f>
        <v/>
      </c>
      <c r="CS96">
        <f>IFERROR(INDEX(PP_Grid[#Data],$DD96,95),0)</f>
        <v/>
      </c>
      <c r="CT96">
        <f>IFERROR(INDEX(PP_Grid[#Data],$DD96,96),0)</f>
        <v/>
      </c>
      <c r="CU96">
        <f>IFERROR(INDEX(PP_Grid[#Data],$DD96,97),0)</f>
        <v/>
      </c>
      <c r="CV96">
        <f>IFERROR(INDEX(PP_Grid[#Data],$DD96,98),0)</f>
        <v/>
      </c>
      <c r="CW96">
        <f>IFERROR(INDEX(PP_Grid[#Data],$DD96,99),0)</f>
        <v/>
      </c>
      <c r="CX96">
        <f>IFERROR(INDEX(PP_Grid[#Data],$DD96,100),0)</f>
        <v/>
      </c>
      <c r="CY96">
        <f>IFERROR(INDEX(PP_Grid[#Data],$DD96,101),0)</f>
        <v/>
      </c>
      <c r="CZ96">
        <f>IFERROR(INDEX(PP_Grid[#Data],$DD96,102),0)</f>
        <v/>
      </c>
      <c r="DA96">
        <f>IFERROR(INDEX(PP_Grid[#Data],$DD96,103),0)</f>
        <v/>
      </c>
      <c r="DB96">
        <f>IFERROR(INDEX(PP_Grid[#Data],$DD96,104),0)</f>
        <v/>
      </c>
      <c r="DC96">
        <f>IFERROR(INDEX(PP_Grid[#Data],$DD96,105),0)</f>
        <v/>
      </c>
      <c r="DD96" s="12">
        <f>IFERROR(MATCH($B96,PP_Grid[Intermediate],0),99999)</f>
        <v/>
      </c>
    </row>
    <row r="97">
      <c r="B97" t="inlineStr">
        <is>
          <t>使用量(kg)</t>
        </is>
      </c>
      <c r="C97">
        <f>SUMIFS(M_BOM[RM_Qty_Per_Batch],M_BOM[Intermediate],$B96,M_BOM[Part Name],$A45)</f>
        <v/>
      </c>
      <c r="D97">
        <f>$C97*D96</f>
        <v/>
      </c>
      <c r="E97">
        <f>$C97*E96</f>
        <v/>
      </c>
      <c r="F97">
        <f>$C97*F96</f>
        <v/>
      </c>
      <c r="G97">
        <f>$C97*G96</f>
        <v/>
      </c>
      <c r="H97">
        <f>$C97*H96</f>
        <v/>
      </c>
      <c r="I97">
        <f>$C97*I96</f>
        <v/>
      </c>
      <c r="J97">
        <f>$C97*J96</f>
        <v/>
      </c>
      <c r="K97">
        <f>$C97*K96</f>
        <v/>
      </c>
      <c r="L97">
        <f>$C97*L96</f>
        <v/>
      </c>
      <c r="M97">
        <f>$C97*M96</f>
        <v/>
      </c>
      <c r="N97">
        <f>$C97*N96</f>
        <v/>
      </c>
      <c r="O97">
        <f>$C97*O96</f>
        <v/>
      </c>
      <c r="P97">
        <f>$C97*P96</f>
        <v/>
      </c>
      <c r="Q97">
        <f>$C97*Q96</f>
        <v/>
      </c>
      <c r="R97">
        <f>$C97*R96</f>
        <v/>
      </c>
      <c r="S97">
        <f>$C97*S96</f>
        <v/>
      </c>
      <c r="T97">
        <f>$C97*T96</f>
        <v/>
      </c>
      <c r="U97">
        <f>$C97*U96</f>
        <v/>
      </c>
      <c r="V97">
        <f>$C97*V96</f>
        <v/>
      </c>
      <c r="W97">
        <f>$C97*W96</f>
        <v/>
      </c>
      <c r="X97">
        <f>$C97*X96</f>
        <v/>
      </c>
      <c r="Y97">
        <f>$C97*Y96</f>
        <v/>
      </c>
      <c r="Z97">
        <f>$C97*Z96</f>
        <v/>
      </c>
      <c r="AA97">
        <f>$C97*AA96</f>
        <v/>
      </c>
      <c r="AB97">
        <f>$C97*AB96</f>
        <v/>
      </c>
      <c r="AC97">
        <f>$C97*AC96</f>
        <v/>
      </c>
      <c r="AD97">
        <f>$C97*AD96</f>
        <v/>
      </c>
      <c r="AE97">
        <f>$C97*AE96</f>
        <v/>
      </c>
      <c r="AF97">
        <f>$C97*AF96</f>
        <v/>
      </c>
      <c r="AG97">
        <f>$C97*AG96</f>
        <v/>
      </c>
      <c r="AH97">
        <f>$C97*AH96</f>
        <v/>
      </c>
      <c r="AI97">
        <f>$C97*AI96</f>
        <v/>
      </c>
      <c r="AJ97">
        <f>$C97*AJ96</f>
        <v/>
      </c>
      <c r="AK97">
        <f>$C97*AK96</f>
        <v/>
      </c>
      <c r="AL97">
        <f>$C97*AL96</f>
        <v/>
      </c>
      <c r="AM97">
        <f>$C97*AM96</f>
        <v/>
      </c>
      <c r="AN97">
        <f>$C97*AN96</f>
        <v/>
      </c>
      <c r="AO97">
        <f>$C97*AO96</f>
        <v/>
      </c>
      <c r="AP97">
        <f>$C97*AP96</f>
        <v/>
      </c>
      <c r="AQ97">
        <f>$C97*AQ96</f>
        <v/>
      </c>
      <c r="AR97">
        <f>$C97*AR96</f>
        <v/>
      </c>
      <c r="AS97">
        <f>$C97*AS96</f>
        <v/>
      </c>
      <c r="AT97">
        <f>$C97*AT96</f>
        <v/>
      </c>
      <c r="AU97">
        <f>$C97*AU96</f>
        <v/>
      </c>
      <c r="AV97">
        <f>$C97*AV96</f>
        <v/>
      </c>
      <c r="AW97">
        <f>$C97*AW96</f>
        <v/>
      </c>
      <c r="AX97">
        <f>$C97*AX96</f>
        <v/>
      </c>
      <c r="AY97">
        <f>$C97*AY96</f>
        <v/>
      </c>
      <c r="AZ97">
        <f>$C97*AZ96</f>
        <v/>
      </c>
      <c r="BA97">
        <f>$C97*BA96</f>
        <v/>
      </c>
      <c r="BB97">
        <f>$C97*BB96</f>
        <v/>
      </c>
      <c r="BC97">
        <f>$C97*BC96</f>
        <v/>
      </c>
      <c r="BD97">
        <f>$C97*BD96</f>
        <v/>
      </c>
      <c r="BE97">
        <f>$C97*BE96</f>
        <v/>
      </c>
      <c r="BF97">
        <f>$C97*BF96</f>
        <v/>
      </c>
      <c r="BG97">
        <f>$C97*BG96</f>
        <v/>
      </c>
      <c r="BH97">
        <f>$C97*BH96</f>
        <v/>
      </c>
      <c r="BI97">
        <f>$C97*BI96</f>
        <v/>
      </c>
      <c r="BJ97">
        <f>$C97*BJ96</f>
        <v/>
      </c>
      <c r="BK97">
        <f>$C97*BK96</f>
        <v/>
      </c>
      <c r="BL97">
        <f>$C97*BL96</f>
        <v/>
      </c>
      <c r="BM97">
        <f>$C97*BM96</f>
        <v/>
      </c>
      <c r="BN97">
        <f>$C97*BN96</f>
        <v/>
      </c>
      <c r="BO97">
        <f>$C97*BO96</f>
        <v/>
      </c>
      <c r="BP97">
        <f>$C97*BP96</f>
        <v/>
      </c>
      <c r="BQ97">
        <f>$C97*BQ96</f>
        <v/>
      </c>
      <c r="BR97">
        <f>$C97*BR96</f>
        <v/>
      </c>
      <c r="BS97">
        <f>$C97*BS96</f>
        <v/>
      </c>
      <c r="BT97">
        <f>$C97*BT96</f>
        <v/>
      </c>
      <c r="BU97">
        <f>$C97*BU96</f>
        <v/>
      </c>
      <c r="BV97">
        <f>$C97*BV96</f>
        <v/>
      </c>
      <c r="BW97">
        <f>$C97*BW96</f>
        <v/>
      </c>
      <c r="BX97">
        <f>$C97*BX96</f>
        <v/>
      </c>
      <c r="BY97">
        <f>$C97*BY96</f>
        <v/>
      </c>
      <c r="BZ97">
        <f>$C97*BZ96</f>
        <v/>
      </c>
      <c r="CA97">
        <f>$C97*CA96</f>
        <v/>
      </c>
      <c r="CB97">
        <f>$C97*CB96</f>
        <v/>
      </c>
      <c r="CC97">
        <f>$C97*CC96</f>
        <v/>
      </c>
      <c r="CD97">
        <f>$C97*CD96</f>
        <v/>
      </c>
      <c r="CE97">
        <f>$C97*CE96</f>
        <v/>
      </c>
      <c r="CF97">
        <f>$C97*CF96</f>
        <v/>
      </c>
      <c r="CG97">
        <f>$C97*CG96</f>
        <v/>
      </c>
      <c r="CH97">
        <f>$C97*CH96</f>
        <v/>
      </c>
      <c r="CI97">
        <f>$C97*CI96</f>
        <v/>
      </c>
      <c r="CJ97">
        <f>$C97*CJ96</f>
        <v/>
      </c>
      <c r="CK97">
        <f>$C97*CK96</f>
        <v/>
      </c>
      <c r="CL97">
        <f>$C97*CL96</f>
        <v/>
      </c>
      <c r="CM97">
        <f>$C97*CM96</f>
        <v/>
      </c>
      <c r="CN97">
        <f>$C97*CN96</f>
        <v/>
      </c>
      <c r="CO97">
        <f>$C97*CO96</f>
        <v/>
      </c>
      <c r="CP97">
        <f>$C97*CP96</f>
        <v/>
      </c>
      <c r="CQ97">
        <f>$C97*CQ96</f>
        <v/>
      </c>
      <c r="CR97">
        <f>$C97*CR96</f>
        <v/>
      </c>
      <c r="CS97">
        <f>$C97*CS96</f>
        <v/>
      </c>
      <c r="CT97">
        <f>$C97*CT96</f>
        <v/>
      </c>
      <c r="CU97">
        <f>$C97*CU96</f>
        <v/>
      </c>
      <c r="CV97">
        <f>$C97*CV96</f>
        <v/>
      </c>
      <c r="CW97">
        <f>$C97*CW96</f>
        <v/>
      </c>
      <c r="CX97">
        <f>$C97*CX96</f>
        <v/>
      </c>
      <c r="CY97">
        <f>$C97*CY96</f>
        <v/>
      </c>
      <c r="CZ97">
        <f>$C97*CZ96</f>
        <v/>
      </c>
      <c r="DA97">
        <f>$C97*DA96</f>
        <v/>
      </c>
      <c r="DB97">
        <f>$C97*DB96</f>
        <v/>
      </c>
      <c r="DC97">
        <f>$C97*DC96</f>
        <v/>
      </c>
    </row>
    <row r="98">
      <c r="B98" t="inlineStr">
        <is>
          <t>TSP-544</t>
        </is>
      </c>
      <c r="C98" t="inlineStr">
        <is>
          <t>No. of batches</t>
        </is>
      </c>
      <c r="D98">
        <f>IFERROR(INDEX(PP_Grid[#Data],$DD98,2),0)</f>
        <v/>
      </c>
      <c r="E98">
        <f>IFERROR(INDEX(PP_Grid[#Data],$DD98,3),0)</f>
        <v/>
      </c>
      <c r="F98">
        <f>IFERROR(INDEX(PP_Grid[#Data],$DD98,4),0)</f>
        <v/>
      </c>
      <c r="G98">
        <f>IFERROR(INDEX(PP_Grid[#Data],$DD98,5),0)</f>
        <v/>
      </c>
      <c r="H98">
        <f>IFERROR(INDEX(PP_Grid[#Data],$DD98,6),0)</f>
        <v/>
      </c>
      <c r="I98">
        <f>IFERROR(INDEX(PP_Grid[#Data],$DD98,7),0)</f>
        <v/>
      </c>
      <c r="J98">
        <f>IFERROR(INDEX(PP_Grid[#Data],$DD98,8),0)</f>
        <v/>
      </c>
      <c r="K98">
        <f>IFERROR(INDEX(PP_Grid[#Data],$DD98,9),0)</f>
        <v/>
      </c>
      <c r="L98">
        <f>IFERROR(INDEX(PP_Grid[#Data],$DD98,10),0)</f>
        <v/>
      </c>
      <c r="M98">
        <f>IFERROR(INDEX(PP_Grid[#Data],$DD98,11),0)</f>
        <v/>
      </c>
      <c r="N98">
        <f>IFERROR(INDEX(PP_Grid[#Data],$DD98,12),0)</f>
        <v/>
      </c>
      <c r="O98">
        <f>IFERROR(INDEX(PP_Grid[#Data],$DD98,13),0)</f>
        <v/>
      </c>
      <c r="P98">
        <f>IFERROR(INDEX(PP_Grid[#Data],$DD98,14),0)</f>
        <v/>
      </c>
      <c r="Q98">
        <f>IFERROR(INDEX(PP_Grid[#Data],$DD98,15),0)</f>
        <v/>
      </c>
      <c r="R98">
        <f>IFERROR(INDEX(PP_Grid[#Data],$DD98,16),0)</f>
        <v/>
      </c>
      <c r="S98">
        <f>IFERROR(INDEX(PP_Grid[#Data],$DD98,17),0)</f>
        <v/>
      </c>
      <c r="T98">
        <f>IFERROR(INDEX(PP_Grid[#Data],$DD98,18),0)</f>
        <v/>
      </c>
      <c r="U98">
        <f>IFERROR(INDEX(PP_Grid[#Data],$DD98,19),0)</f>
        <v/>
      </c>
      <c r="V98">
        <f>IFERROR(INDEX(PP_Grid[#Data],$DD98,20),0)</f>
        <v/>
      </c>
      <c r="W98">
        <f>IFERROR(INDEX(PP_Grid[#Data],$DD98,21),0)</f>
        <v/>
      </c>
      <c r="X98">
        <f>IFERROR(INDEX(PP_Grid[#Data],$DD98,22),0)</f>
        <v/>
      </c>
      <c r="Y98">
        <f>IFERROR(INDEX(PP_Grid[#Data],$DD98,23),0)</f>
        <v/>
      </c>
      <c r="Z98">
        <f>IFERROR(INDEX(PP_Grid[#Data],$DD98,24),0)</f>
        <v/>
      </c>
      <c r="AA98">
        <f>IFERROR(INDEX(PP_Grid[#Data],$DD98,25),0)</f>
        <v/>
      </c>
      <c r="AB98">
        <f>IFERROR(INDEX(PP_Grid[#Data],$DD98,26),0)</f>
        <v/>
      </c>
      <c r="AC98">
        <f>IFERROR(INDEX(PP_Grid[#Data],$DD98,27),0)</f>
        <v/>
      </c>
      <c r="AD98">
        <f>IFERROR(INDEX(PP_Grid[#Data],$DD98,28),0)</f>
        <v/>
      </c>
      <c r="AE98">
        <f>IFERROR(INDEX(PP_Grid[#Data],$DD98,29),0)</f>
        <v/>
      </c>
      <c r="AF98">
        <f>IFERROR(INDEX(PP_Grid[#Data],$DD98,30),0)</f>
        <v/>
      </c>
      <c r="AG98">
        <f>IFERROR(INDEX(PP_Grid[#Data],$DD98,31),0)</f>
        <v/>
      </c>
      <c r="AH98">
        <f>IFERROR(INDEX(PP_Grid[#Data],$DD98,32),0)</f>
        <v/>
      </c>
      <c r="AI98">
        <f>IFERROR(INDEX(PP_Grid[#Data],$DD98,33),0)</f>
        <v/>
      </c>
      <c r="AJ98">
        <f>IFERROR(INDEX(PP_Grid[#Data],$DD98,34),0)</f>
        <v/>
      </c>
      <c r="AK98">
        <f>IFERROR(INDEX(PP_Grid[#Data],$DD98,35),0)</f>
        <v/>
      </c>
      <c r="AL98">
        <f>IFERROR(INDEX(PP_Grid[#Data],$DD98,36),0)</f>
        <v/>
      </c>
      <c r="AM98">
        <f>IFERROR(INDEX(PP_Grid[#Data],$DD98,37),0)</f>
        <v/>
      </c>
      <c r="AN98">
        <f>IFERROR(INDEX(PP_Grid[#Data],$DD98,38),0)</f>
        <v/>
      </c>
      <c r="AO98">
        <f>IFERROR(INDEX(PP_Grid[#Data],$DD98,39),0)</f>
        <v/>
      </c>
      <c r="AP98">
        <f>IFERROR(INDEX(PP_Grid[#Data],$DD98,40),0)</f>
        <v/>
      </c>
      <c r="AQ98">
        <f>IFERROR(INDEX(PP_Grid[#Data],$DD98,41),0)</f>
        <v/>
      </c>
      <c r="AR98">
        <f>IFERROR(INDEX(PP_Grid[#Data],$DD98,42),0)</f>
        <v/>
      </c>
      <c r="AS98">
        <f>IFERROR(INDEX(PP_Grid[#Data],$DD98,43),0)</f>
        <v/>
      </c>
      <c r="AT98">
        <f>IFERROR(INDEX(PP_Grid[#Data],$DD98,44),0)</f>
        <v/>
      </c>
      <c r="AU98">
        <f>IFERROR(INDEX(PP_Grid[#Data],$DD98,45),0)</f>
        <v/>
      </c>
      <c r="AV98">
        <f>IFERROR(INDEX(PP_Grid[#Data],$DD98,46),0)</f>
        <v/>
      </c>
      <c r="AW98">
        <f>IFERROR(INDEX(PP_Grid[#Data],$DD98,47),0)</f>
        <v/>
      </c>
      <c r="AX98">
        <f>IFERROR(INDEX(PP_Grid[#Data],$DD98,48),0)</f>
        <v/>
      </c>
      <c r="AY98">
        <f>IFERROR(INDEX(PP_Grid[#Data],$DD98,49),0)</f>
        <v/>
      </c>
      <c r="AZ98">
        <f>IFERROR(INDEX(PP_Grid[#Data],$DD98,50),0)</f>
        <v/>
      </c>
      <c r="BA98">
        <f>IFERROR(INDEX(PP_Grid[#Data],$DD98,51),0)</f>
        <v/>
      </c>
      <c r="BB98">
        <f>IFERROR(INDEX(PP_Grid[#Data],$DD98,52),0)</f>
        <v/>
      </c>
      <c r="BC98">
        <f>IFERROR(INDEX(PP_Grid[#Data],$DD98,53),0)</f>
        <v/>
      </c>
      <c r="BD98">
        <f>IFERROR(INDEX(PP_Grid[#Data],$DD98,54),0)</f>
        <v/>
      </c>
      <c r="BE98">
        <f>IFERROR(INDEX(PP_Grid[#Data],$DD98,55),0)</f>
        <v/>
      </c>
      <c r="BF98">
        <f>IFERROR(INDEX(PP_Grid[#Data],$DD98,56),0)</f>
        <v/>
      </c>
      <c r="BG98">
        <f>IFERROR(INDEX(PP_Grid[#Data],$DD98,57),0)</f>
        <v/>
      </c>
      <c r="BH98">
        <f>IFERROR(INDEX(PP_Grid[#Data],$DD98,58),0)</f>
        <v/>
      </c>
      <c r="BI98">
        <f>IFERROR(INDEX(PP_Grid[#Data],$DD98,59),0)</f>
        <v/>
      </c>
      <c r="BJ98">
        <f>IFERROR(INDEX(PP_Grid[#Data],$DD98,60),0)</f>
        <v/>
      </c>
      <c r="BK98">
        <f>IFERROR(INDEX(PP_Grid[#Data],$DD98,61),0)</f>
        <v/>
      </c>
      <c r="BL98">
        <f>IFERROR(INDEX(PP_Grid[#Data],$DD98,62),0)</f>
        <v/>
      </c>
      <c r="BM98">
        <f>IFERROR(INDEX(PP_Grid[#Data],$DD98,63),0)</f>
        <v/>
      </c>
      <c r="BN98">
        <f>IFERROR(INDEX(PP_Grid[#Data],$DD98,64),0)</f>
        <v/>
      </c>
      <c r="BO98">
        <f>IFERROR(INDEX(PP_Grid[#Data],$DD98,65),0)</f>
        <v/>
      </c>
      <c r="BP98">
        <f>IFERROR(INDEX(PP_Grid[#Data],$DD98,66),0)</f>
        <v/>
      </c>
      <c r="BQ98">
        <f>IFERROR(INDEX(PP_Grid[#Data],$DD98,67),0)</f>
        <v/>
      </c>
      <c r="BR98">
        <f>IFERROR(INDEX(PP_Grid[#Data],$DD98,68),0)</f>
        <v/>
      </c>
      <c r="BS98">
        <f>IFERROR(INDEX(PP_Grid[#Data],$DD98,69),0)</f>
        <v/>
      </c>
      <c r="BT98">
        <f>IFERROR(INDEX(PP_Grid[#Data],$DD98,70),0)</f>
        <v/>
      </c>
      <c r="BU98">
        <f>IFERROR(INDEX(PP_Grid[#Data],$DD98,71),0)</f>
        <v/>
      </c>
      <c r="BV98">
        <f>IFERROR(INDEX(PP_Grid[#Data],$DD98,72),0)</f>
        <v/>
      </c>
      <c r="BW98">
        <f>IFERROR(INDEX(PP_Grid[#Data],$DD98,73),0)</f>
        <v/>
      </c>
      <c r="BX98">
        <f>IFERROR(INDEX(PP_Grid[#Data],$DD98,74),0)</f>
        <v/>
      </c>
      <c r="BY98">
        <f>IFERROR(INDEX(PP_Grid[#Data],$DD98,75),0)</f>
        <v/>
      </c>
      <c r="BZ98">
        <f>IFERROR(INDEX(PP_Grid[#Data],$DD98,76),0)</f>
        <v/>
      </c>
      <c r="CA98">
        <f>IFERROR(INDEX(PP_Grid[#Data],$DD98,77),0)</f>
        <v/>
      </c>
      <c r="CB98">
        <f>IFERROR(INDEX(PP_Grid[#Data],$DD98,78),0)</f>
        <v/>
      </c>
      <c r="CC98">
        <f>IFERROR(INDEX(PP_Grid[#Data],$DD98,79),0)</f>
        <v/>
      </c>
      <c r="CD98">
        <f>IFERROR(INDEX(PP_Grid[#Data],$DD98,80),0)</f>
        <v/>
      </c>
      <c r="CE98">
        <f>IFERROR(INDEX(PP_Grid[#Data],$DD98,81),0)</f>
        <v/>
      </c>
      <c r="CF98">
        <f>IFERROR(INDEX(PP_Grid[#Data],$DD98,82),0)</f>
        <v/>
      </c>
      <c r="CG98">
        <f>IFERROR(INDEX(PP_Grid[#Data],$DD98,83),0)</f>
        <v/>
      </c>
      <c r="CH98">
        <f>IFERROR(INDEX(PP_Grid[#Data],$DD98,84),0)</f>
        <v/>
      </c>
      <c r="CI98">
        <f>IFERROR(INDEX(PP_Grid[#Data],$DD98,85),0)</f>
        <v/>
      </c>
      <c r="CJ98">
        <f>IFERROR(INDEX(PP_Grid[#Data],$DD98,86),0)</f>
        <v/>
      </c>
      <c r="CK98">
        <f>IFERROR(INDEX(PP_Grid[#Data],$DD98,87),0)</f>
        <v/>
      </c>
      <c r="CL98">
        <f>IFERROR(INDEX(PP_Grid[#Data],$DD98,88),0)</f>
        <v/>
      </c>
      <c r="CM98">
        <f>IFERROR(INDEX(PP_Grid[#Data],$DD98,89),0)</f>
        <v/>
      </c>
      <c r="CN98">
        <f>IFERROR(INDEX(PP_Grid[#Data],$DD98,90),0)</f>
        <v/>
      </c>
      <c r="CO98">
        <f>IFERROR(INDEX(PP_Grid[#Data],$DD98,91),0)</f>
        <v/>
      </c>
      <c r="CP98">
        <f>IFERROR(INDEX(PP_Grid[#Data],$DD98,92),0)</f>
        <v/>
      </c>
      <c r="CQ98">
        <f>IFERROR(INDEX(PP_Grid[#Data],$DD98,93),0)</f>
        <v/>
      </c>
      <c r="CR98">
        <f>IFERROR(INDEX(PP_Grid[#Data],$DD98,94),0)</f>
        <v/>
      </c>
      <c r="CS98">
        <f>IFERROR(INDEX(PP_Grid[#Data],$DD98,95),0)</f>
        <v/>
      </c>
      <c r="CT98">
        <f>IFERROR(INDEX(PP_Grid[#Data],$DD98,96),0)</f>
        <v/>
      </c>
      <c r="CU98">
        <f>IFERROR(INDEX(PP_Grid[#Data],$DD98,97),0)</f>
        <v/>
      </c>
      <c r="CV98">
        <f>IFERROR(INDEX(PP_Grid[#Data],$DD98,98),0)</f>
        <v/>
      </c>
      <c r="CW98">
        <f>IFERROR(INDEX(PP_Grid[#Data],$DD98,99),0)</f>
        <v/>
      </c>
      <c r="CX98">
        <f>IFERROR(INDEX(PP_Grid[#Data],$DD98,100),0)</f>
        <v/>
      </c>
      <c r="CY98">
        <f>IFERROR(INDEX(PP_Grid[#Data],$DD98,101),0)</f>
        <v/>
      </c>
      <c r="CZ98">
        <f>IFERROR(INDEX(PP_Grid[#Data],$DD98,102),0)</f>
        <v/>
      </c>
      <c r="DA98">
        <f>IFERROR(INDEX(PP_Grid[#Data],$DD98,103),0)</f>
        <v/>
      </c>
      <c r="DB98">
        <f>IFERROR(INDEX(PP_Grid[#Data],$DD98,104),0)</f>
        <v/>
      </c>
      <c r="DC98">
        <f>IFERROR(INDEX(PP_Grid[#Data],$DD98,105),0)</f>
        <v/>
      </c>
      <c r="DD98" s="12">
        <f>IFERROR(MATCH($B98,PP_Grid[Intermediate],0),99999)</f>
        <v/>
      </c>
    </row>
    <row r="99">
      <c r="B99" t="inlineStr">
        <is>
          <t>使用量(kg)</t>
        </is>
      </c>
      <c r="C99">
        <f>SUMIFS(M_BOM[RM_Qty_Per_Batch],M_BOM[Intermediate],$B98,M_BOM[Part Name],$A45)</f>
        <v/>
      </c>
      <c r="D99">
        <f>$C99*D98</f>
        <v/>
      </c>
      <c r="E99">
        <f>$C99*E98</f>
        <v/>
      </c>
      <c r="F99">
        <f>$C99*F98</f>
        <v/>
      </c>
      <c r="G99">
        <f>$C99*G98</f>
        <v/>
      </c>
      <c r="H99">
        <f>$C99*H98</f>
        <v/>
      </c>
      <c r="I99">
        <f>$C99*I98</f>
        <v/>
      </c>
      <c r="J99">
        <f>$C99*J98</f>
        <v/>
      </c>
      <c r="K99">
        <f>$C99*K98</f>
        <v/>
      </c>
      <c r="L99">
        <f>$C99*L98</f>
        <v/>
      </c>
      <c r="M99">
        <f>$C99*M98</f>
        <v/>
      </c>
      <c r="N99">
        <f>$C99*N98</f>
        <v/>
      </c>
      <c r="O99">
        <f>$C99*O98</f>
        <v/>
      </c>
      <c r="P99">
        <f>$C99*P98</f>
        <v/>
      </c>
      <c r="Q99">
        <f>$C99*Q98</f>
        <v/>
      </c>
      <c r="R99">
        <f>$C99*R98</f>
        <v/>
      </c>
      <c r="S99">
        <f>$C99*S98</f>
        <v/>
      </c>
      <c r="T99">
        <f>$C99*T98</f>
        <v/>
      </c>
      <c r="U99">
        <f>$C99*U98</f>
        <v/>
      </c>
      <c r="V99">
        <f>$C99*V98</f>
        <v/>
      </c>
      <c r="W99">
        <f>$C99*W98</f>
        <v/>
      </c>
      <c r="X99">
        <f>$C99*X98</f>
        <v/>
      </c>
      <c r="Y99">
        <f>$C99*Y98</f>
        <v/>
      </c>
      <c r="Z99">
        <f>$C99*Z98</f>
        <v/>
      </c>
      <c r="AA99">
        <f>$C99*AA98</f>
        <v/>
      </c>
      <c r="AB99">
        <f>$C99*AB98</f>
        <v/>
      </c>
      <c r="AC99">
        <f>$C99*AC98</f>
        <v/>
      </c>
      <c r="AD99">
        <f>$C99*AD98</f>
        <v/>
      </c>
      <c r="AE99">
        <f>$C99*AE98</f>
        <v/>
      </c>
      <c r="AF99">
        <f>$C99*AF98</f>
        <v/>
      </c>
      <c r="AG99">
        <f>$C99*AG98</f>
        <v/>
      </c>
      <c r="AH99">
        <f>$C99*AH98</f>
        <v/>
      </c>
      <c r="AI99">
        <f>$C99*AI98</f>
        <v/>
      </c>
      <c r="AJ99">
        <f>$C99*AJ98</f>
        <v/>
      </c>
      <c r="AK99">
        <f>$C99*AK98</f>
        <v/>
      </c>
      <c r="AL99">
        <f>$C99*AL98</f>
        <v/>
      </c>
      <c r="AM99">
        <f>$C99*AM98</f>
        <v/>
      </c>
      <c r="AN99">
        <f>$C99*AN98</f>
        <v/>
      </c>
      <c r="AO99">
        <f>$C99*AO98</f>
        <v/>
      </c>
      <c r="AP99">
        <f>$C99*AP98</f>
        <v/>
      </c>
      <c r="AQ99">
        <f>$C99*AQ98</f>
        <v/>
      </c>
      <c r="AR99">
        <f>$C99*AR98</f>
        <v/>
      </c>
      <c r="AS99">
        <f>$C99*AS98</f>
        <v/>
      </c>
      <c r="AT99">
        <f>$C99*AT98</f>
        <v/>
      </c>
      <c r="AU99">
        <f>$C99*AU98</f>
        <v/>
      </c>
      <c r="AV99">
        <f>$C99*AV98</f>
        <v/>
      </c>
      <c r="AW99">
        <f>$C99*AW98</f>
        <v/>
      </c>
      <c r="AX99">
        <f>$C99*AX98</f>
        <v/>
      </c>
      <c r="AY99">
        <f>$C99*AY98</f>
        <v/>
      </c>
      <c r="AZ99">
        <f>$C99*AZ98</f>
        <v/>
      </c>
      <c r="BA99">
        <f>$C99*BA98</f>
        <v/>
      </c>
      <c r="BB99">
        <f>$C99*BB98</f>
        <v/>
      </c>
      <c r="BC99">
        <f>$C99*BC98</f>
        <v/>
      </c>
      <c r="BD99">
        <f>$C99*BD98</f>
        <v/>
      </c>
      <c r="BE99">
        <f>$C99*BE98</f>
        <v/>
      </c>
      <c r="BF99">
        <f>$C99*BF98</f>
        <v/>
      </c>
      <c r="BG99">
        <f>$C99*BG98</f>
        <v/>
      </c>
      <c r="BH99">
        <f>$C99*BH98</f>
        <v/>
      </c>
      <c r="BI99">
        <f>$C99*BI98</f>
        <v/>
      </c>
      <c r="BJ99">
        <f>$C99*BJ98</f>
        <v/>
      </c>
      <c r="BK99">
        <f>$C99*BK98</f>
        <v/>
      </c>
      <c r="BL99">
        <f>$C99*BL98</f>
        <v/>
      </c>
      <c r="BM99">
        <f>$C99*BM98</f>
        <v/>
      </c>
      <c r="BN99">
        <f>$C99*BN98</f>
        <v/>
      </c>
      <c r="BO99">
        <f>$C99*BO98</f>
        <v/>
      </c>
      <c r="BP99">
        <f>$C99*BP98</f>
        <v/>
      </c>
      <c r="BQ99">
        <f>$C99*BQ98</f>
        <v/>
      </c>
      <c r="BR99">
        <f>$C99*BR98</f>
        <v/>
      </c>
      <c r="BS99">
        <f>$C99*BS98</f>
        <v/>
      </c>
      <c r="BT99">
        <f>$C99*BT98</f>
        <v/>
      </c>
      <c r="BU99">
        <f>$C99*BU98</f>
        <v/>
      </c>
      <c r="BV99">
        <f>$C99*BV98</f>
        <v/>
      </c>
      <c r="BW99">
        <f>$C99*BW98</f>
        <v/>
      </c>
      <c r="BX99">
        <f>$C99*BX98</f>
        <v/>
      </c>
      <c r="BY99">
        <f>$C99*BY98</f>
        <v/>
      </c>
      <c r="BZ99">
        <f>$C99*BZ98</f>
        <v/>
      </c>
      <c r="CA99">
        <f>$C99*CA98</f>
        <v/>
      </c>
      <c r="CB99">
        <f>$C99*CB98</f>
        <v/>
      </c>
      <c r="CC99">
        <f>$C99*CC98</f>
        <v/>
      </c>
      <c r="CD99">
        <f>$C99*CD98</f>
        <v/>
      </c>
      <c r="CE99">
        <f>$C99*CE98</f>
        <v/>
      </c>
      <c r="CF99">
        <f>$C99*CF98</f>
        <v/>
      </c>
      <c r="CG99">
        <f>$C99*CG98</f>
        <v/>
      </c>
      <c r="CH99">
        <f>$C99*CH98</f>
        <v/>
      </c>
      <c r="CI99">
        <f>$C99*CI98</f>
        <v/>
      </c>
      <c r="CJ99">
        <f>$C99*CJ98</f>
        <v/>
      </c>
      <c r="CK99">
        <f>$C99*CK98</f>
        <v/>
      </c>
      <c r="CL99">
        <f>$C99*CL98</f>
        <v/>
      </c>
      <c r="CM99">
        <f>$C99*CM98</f>
        <v/>
      </c>
      <c r="CN99">
        <f>$C99*CN98</f>
        <v/>
      </c>
      <c r="CO99">
        <f>$C99*CO98</f>
        <v/>
      </c>
      <c r="CP99">
        <f>$C99*CP98</f>
        <v/>
      </c>
      <c r="CQ99">
        <f>$C99*CQ98</f>
        <v/>
      </c>
      <c r="CR99">
        <f>$C99*CR98</f>
        <v/>
      </c>
      <c r="CS99">
        <f>$C99*CS98</f>
        <v/>
      </c>
      <c r="CT99">
        <f>$C99*CT98</f>
        <v/>
      </c>
      <c r="CU99">
        <f>$C99*CU98</f>
        <v/>
      </c>
      <c r="CV99">
        <f>$C99*CV98</f>
        <v/>
      </c>
      <c r="CW99">
        <f>$C99*CW98</f>
        <v/>
      </c>
      <c r="CX99">
        <f>$C99*CX98</f>
        <v/>
      </c>
      <c r="CY99">
        <f>$C99*CY98</f>
        <v/>
      </c>
      <c r="CZ99">
        <f>$C99*CZ98</f>
        <v/>
      </c>
      <c r="DA99">
        <f>$C99*DA98</f>
        <v/>
      </c>
      <c r="DB99">
        <f>$C99*DB98</f>
        <v/>
      </c>
      <c r="DC99">
        <f>$C99*DC98</f>
        <v/>
      </c>
    </row>
    <row r="100">
      <c r="B100" t="inlineStr">
        <is>
          <t>TSP-558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12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Name],$A45)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t="inlineStr">
        <is>
          <t>TSP-618</t>
        </is>
      </c>
      <c r="C102" t="inlineStr">
        <is>
          <t>No. of batches</t>
        </is>
      </c>
      <c r="D102">
        <f>IFERROR(INDEX(PP_Grid[#Data],$DD102,2),0)</f>
        <v/>
      </c>
      <c r="E102">
        <f>IFERROR(INDEX(PP_Grid[#Data],$DD102,3),0)</f>
        <v/>
      </c>
      <c r="F102">
        <f>IFERROR(INDEX(PP_Grid[#Data],$DD102,4),0)</f>
        <v/>
      </c>
      <c r="G102">
        <f>IFERROR(INDEX(PP_Grid[#Data],$DD102,5),0)</f>
        <v/>
      </c>
      <c r="H102">
        <f>IFERROR(INDEX(PP_Grid[#Data],$DD102,6),0)</f>
        <v/>
      </c>
      <c r="I102">
        <f>IFERROR(INDEX(PP_Grid[#Data],$DD102,7),0)</f>
        <v/>
      </c>
      <c r="J102">
        <f>IFERROR(INDEX(PP_Grid[#Data],$DD102,8),0)</f>
        <v/>
      </c>
      <c r="K102">
        <f>IFERROR(INDEX(PP_Grid[#Data],$DD102,9),0)</f>
        <v/>
      </c>
      <c r="L102">
        <f>IFERROR(INDEX(PP_Grid[#Data],$DD102,10),0)</f>
        <v/>
      </c>
      <c r="M102">
        <f>IFERROR(INDEX(PP_Grid[#Data],$DD102,11),0)</f>
        <v/>
      </c>
      <c r="N102">
        <f>IFERROR(INDEX(PP_Grid[#Data],$DD102,12),0)</f>
        <v/>
      </c>
      <c r="O102">
        <f>IFERROR(INDEX(PP_Grid[#Data],$DD102,13),0)</f>
        <v/>
      </c>
      <c r="P102">
        <f>IFERROR(INDEX(PP_Grid[#Data],$DD102,14),0)</f>
        <v/>
      </c>
      <c r="Q102">
        <f>IFERROR(INDEX(PP_Grid[#Data],$DD102,15),0)</f>
        <v/>
      </c>
      <c r="R102">
        <f>IFERROR(INDEX(PP_Grid[#Data],$DD102,16),0)</f>
        <v/>
      </c>
      <c r="S102">
        <f>IFERROR(INDEX(PP_Grid[#Data],$DD102,17),0)</f>
        <v/>
      </c>
      <c r="T102">
        <f>IFERROR(INDEX(PP_Grid[#Data],$DD102,18),0)</f>
        <v/>
      </c>
      <c r="U102">
        <f>IFERROR(INDEX(PP_Grid[#Data],$DD102,19),0)</f>
        <v/>
      </c>
      <c r="V102">
        <f>IFERROR(INDEX(PP_Grid[#Data],$DD102,20),0)</f>
        <v/>
      </c>
      <c r="W102">
        <f>IFERROR(INDEX(PP_Grid[#Data],$DD102,21),0)</f>
        <v/>
      </c>
      <c r="X102">
        <f>IFERROR(INDEX(PP_Grid[#Data],$DD102,22),0)</f>
        <v/>
      </c>
      <c r="Y102">
        <f>IFERROR(INDEX(PP_Grid[#Data],$DD102,23),0)</f>
        <v/>
      </c>
      <c r="Z102">
        <f>IFERROR(INDEX(PP_Grid[#Data],$DD102,24),0)</f>
        <v/>
      </c>
      <c r="AA102">
        <f>IFERROR(INDEX(PP_Grid[#Data],$DD102,25),0)</f>
        <v/>
      </c>
      <c r="AB102">
        <f>IFERROR(INDEX(PP_Grid[#Data],$DD102,26),0)</f>
        <v/>
      </c>
      <c r="AC102">
        <f>IFERROR(INDEX(PP_Grid[#Data],$DD102,27),0)</f>
        <v/>
      </c>
      <c r="AD102">
        <f>IFERROR(INDEX(PP_Grid[#Data],$DD102,28),0)</f>
        <v/>
      </c>
      <c r="AE102">
        <f>IFERROR(INDEX(PP_Grid[#Data],$DD102,29),0)</f>
        <v/>
      </c>
      <c r="AF102">
        <f>IFERROR(INDEX(PP_Grid[#Data],$DD102,30),0)</f>
        <v/>
      </c>
      <c r="AG102">
        <f>IFERROR(INDEX(PP_Grid[#Data],$DD102,31),0)</f>
        <v/>
      </c>
      <c r="AH102">
        <f>IFERROR(INDEX(PP_Grid[#Data],$DD102,32),0)</f>
        <v/>
      </c>
      <c r="AI102">
        <f>IFERROR(INDEX(PP_Grid[#Data],$DD102,33),0)</f>
        <v/>
      </c>
      <c r="AJ102">
        <f>IFERROR(INDEX(PP_Grid[#Data],$DD102,34),0)</f>
        <v/>
      </c>
      <c r="AK102">
        <f>IFERROR(INDEX(PP_Grid[#Data],$DD102,35),0)</f>
        <v/>
      </c>
      <c r="AL102">
        <f>IFERROR(INDEX(PP_Grid[#Data],$DD102,36),0)</f>
        <v/>
      </c>
      <c r="AM102">
        <f>IFERROR(INDEX(PP_Grid[#Data],$DD102,37),0)</f>
        <v/>
      </c>
      <c r="AN102">
        <f>IFERROR(INDEX(PP_Grid[#Data],$DD102,38),0)</f>
        <v/>
      </c>
      <c r="AO102">
        <f>IFERROR(INDEX(PP_Grid[#Data],$DD102,39),0)</f>
        <v/>
      </c>
      <c r="AP102">
        <f>IFERROR(INDEX(PP_Grid[#Data],$DD102,40),0)</f>
        <v/>
      </c>
      <c r="AQ102">
        <f>IFERROR(INDEX(PP_Grid[#Data],$DD102,41),0)</f>
        <v/>
      </c>
      <c r="AR102">
        <f>IFERROR(INDEX(PP_Grid[#Data],$DD102,42),0)</f>
        <v/>
      </c>
      <c r="AS102">
        <f>IFERROR(INDEX(PP_Grid[#Data],$DD102,43),0)</f>
        <v/>
      </c>
      <c r="AT102">
        <f>IFERROR(INDEX(PP_Grid[#Data],$DD102,44),0)</f>
        <v/>
      </c>
      <c r="AU102">
        <f>IFERROR(INDEX(PP_Grid[#Data],$DD102,45),0)</f>
        <v/>
      </c>
      <c r="AV102">
        <f>IFERROR(INDEX(PP_Grid[#Data],$DD102,46),0)</f>
        <v/>
      </c>
      <c r="AW102">
        <f>IFERROR(INDEX(PP_Grid[#Data],$DD102,47),0)</f>
        <v/>
      </c>
      <c r="AX102">
        <f>IFERROR(INDEX(PP_Grid[#Data],$DD102,48),0)</f>
        <v/>
      </c>
      <c r="AY102">
        <f>IFERROR(INDEX(PP_Grid[#Data],$DD102,49),0)</f>
        <v/>
      </c>
      <c r="AZ102">
        <f>IFERROR(INDEX(PP_Grid[#Data],$DD102,50),0)</f>
        <v/>
      </c>
      <c r="BA102">
        <f>IFERROR(INDEX(PP_Grid[#Data],$DD102,51),0)</f>
        <v/>
      </c>
      <c r="BB102">
        <f>IFERROR(INDEX(PP_Grid[#Data],$DD102,52),0)</f>
        <v/>
      </c>
      <c r="BC102">
        <f>IFERROR(INDEX(PP_Grid[#Data],$DD102,53),0)</f>
        <v/>
      </c>
      <c r="BD102">
        <f>IFERROR(INDEX(PP_Grid[#Data],$DD102,54),0)</f>
        <v/>
      </c>
      <c r="BE102">
        <f>IFERROR(INDEX(PP_Grid[#Data],$DD102,55),0)</f>
        <v/>
      </c>
      <c r="BF102">
        <f>IFERROR(INDEX(PP_Grid[#Data],$DD102,56),0)</f>
        <v/>
      </c>
      <c r="BG102">
        <f>IFERROR(INDEX(PP_Grid[#Data],$DD102,57),0)</f>
        <v/>
      </c>
      <c r="BH102">
        <f>IFERROR(INDEX(PP_Grid[#Data],$DD102,58),0)</f>
        <v/>
      </c>
      <c r="BI102">
        <f>IFERROR(INDEX(PP_Grid[#Data],$DD102,59),0)</f>
        <v/>
      </c>
      <c r="BJ102">
        <f>IFERROR(INDEX(PP_Grid[#Data],$DD102,60),0)</f>
        <v/>
      </c>
      <c r="BK102">
        <f>IFERROR(INDEX(PP_Grid[#Data],$DD102,61),0)</f>
        <v/>
      </c>
      <c r="BL102">
        <f>IFERROR(INDEX(PP_Grid[#Data],$DD102,62),0)</f>
        <v/>
      </c>
      <c r="BM102">
        <f>IFERROR(INDEX(PP_Grid[#Data],$DD102,63),0)</f>
        <v/>
      </c>
      <c r="BN102">
        <f>IFERROR(INDEX(PP_Grid[#Data],$DD102,64),0)</f>
        <v/>
      </c>
      <c r="BO102">
        <f>IFERROR(INDEX(PP_Grid[#Data],$DD102,65),0)</f>
        <v/>
      </c>
      <c r="BP102">
        <f>IFERROR(INDEX(PP_Grid[#Data],$DD102,66),0)</f>
        <v/>
      </c>
      <c r="BQ102">
        <f>IFERROR(INDEX(PP_Grid[#Data],$DD102,67),0)</f>
        <v/>
      </c>
      <c r="BR102">
        <f>IFERROR(INDEX(PP_Grid[#Data],$DD102,68),0)</f>
        <v/>
      </c>
      <c r="BS102">
        <f>IFERROR(INDEX(PP_Grid[#Data],$DD102,69),0)</f>
        <v/>
      </c>
      <c r="BT102">
        <f>IFERROR(INDEX(PP_Grid[#Data],$DD102,70),0)</f>
        <v/>
      </c>
      <c r="BU102">
        <f>IFERROR(INDEX(PP_Grid[#Data],$DD102,71),0)</f>
        <v/>
      </c>
      <c r="BV102">
        <f>IFERROR(INDEX(PP_Grid[#Data],$DD102,72),0)</f>
        <v/>
      </c>
      <c r="BW102">
        <f>IFERROR(INDEX(PP_Grid[#Data],$DD102,73),0)</f>
        <v/>
      </c>
      <c r="BX102">
        <f>IFERROR(INDEX(PP_Grid[#Data],$DD102,74),0)</f>
        <v/>
      </c>
      <c r="BY102">
        <f>IFERROR(INDEX(PP_Grid[#Data],$DD102,75),0)</f>
        <v/>
      </c>
      <c r="BZ102">
        <f>IFERROR(INDEX(PP_Grid[#Data],$DD102,76),0)</f>
        <v/>
      </c>
      <c r="CA102">
        <f>IFERROR(INDEX(PP_Grid[#Data],$DD102,77),0)</f>
        <v/>
      </c>
      <c r="CB102">
        <f>IFERROR(INDEX(PP_Grid[#Data],$DD102,78),0)</f>
        <v/>
      </c>
      <c r="CC102">
        <f>IFERROR(INDEX(PP_Grid[#Data],$DD102,79),0)</f>
        <v/>
      </c>
      <c r="CD102">
        <f>IFERROR(INDEX(PP_Grid[#Data],$DD102,80),0)</f>
        <v/>
      </c>
      <c r="CE102">
        <f>IFERROR(INDEX(PP_Grid[#Data],$DD102,81),0)</f>
        <v/>
      </c>
      <c r="CF102">
        <f>IFERROR(INDEX(PP_Grid[#Data],$DD102,82),0)</f>
        <v/>
      </c>
      <c r="CG102">
        <f>IFERROR(INDEX(PP_Grid[#Data],$DD102,83),0)</f>
        <v/>
      </c>
      <c r="CH102">
        <f>IFERROR(INDEX(PP_Grid[#Data],$DD102,84),0)</f>
        <v/>
      </c>
      <c r="CI102">
        <f>IFERROR(INDEX(PP_Grid[#Data],$DD102,85),0)</f>
        <v/>
      </c>
      <c r="CJ102">
        <f>IFERROR(INDEX(PP_Grid[#Data],$DD102,86),0)</f>
        <v/>
      </c>
      <c r="CK102">
        <f>IFERROR(INDEX(PP_Grid[#Data],$DD102,87),0)</f>
        <v/>
      </c>
      <c r="CL102">
        <f>IFERROR(INDEX(PP_Grid[#Data],$DD102,88),0)</f>
        <v/>
      </c>
      <c r="CM102">
        <f>IFERROR(INDEX(PP_Grid[#Data],$DD102,89),0)</f>
        <v/>
      </c>
      <c r="CN102">
        <f>IFERROR(INDEX(PP_Grid[#Data],$DD102,90),0)</f>
        <v/>
      </c>
      <c r="CO102">
        <f>IFERROR(INDEX(PP_Grid[#Data],$DD102,91),0)</f>
        <v/>
      </c>
      <c r="CP102">
        <f>IFERROR(INDEX(PP_Grid[#Data],$DD102,92),0)</f>
        <v/>
      </c>
      <c r="CQ102">
        <f>IFERROR(INDEX(PP_Grid[#Data],$DD102,93),0)</f>
        <v/>
      </c>
      <c r="CR102">
        <f>IFERROR(INDEX(PP_Grid[#Data],$DD102,94),0)</f>
        <v/>
      </c>
      <c r="CS102">
        <f>IFERROR(INDEX(PP_Grid[#Data],$DD102,95),0)</f>
        <v/>
      </c>
      <c r="CT102">
        <f>IFERROR(INDEX(PP_Grid[#Data],$DD102,96),0)</f>
        <v/>
      </c>
      <c r="CU102">
        <f>IFERROR(INDEX(PP_Grid[#Data],$DD102,97),0)</f>
        <v/>
      </c>
      <c r="CV102">
        <f>IFERROR(INDEX(PP_Grid[#Data],$DD102,98),0)</f>
        <v/>
      </c>
      <c r="CW102">
        <f>IFERROR(INDEX(PP_Grid[#Data],$DD102,99),0)</f>
        <v/>
      </c>
      <c r="CX102">
        <f>IFERROR(INDEX(PP_Grid[#Data],$DD102,100),0)</f>
        <v/>
      </c>
      <c r="CY102">
        <f>IFERROR(INDEX(PP_Grid[#Data],$DD102,101),0)</f>
        <v/>
      </c>
      <c r="CZ102">
        <f>IFERROR(INDEX(PP_Grid[#Data],$DD102,102),0)</f>
        <v/>
      </c>
      <c r="DA102">
        <f>IFERROR(INDEX(PP_Grid[#Data],$DD102,103),0)</f>
        <v/>
      </c>
      <c r="DB102">
        <f>IFERROR(INDEX(PP_Grid[#Data],$DD102,104),0)</f>
        <v/>
      </c>
      <c r="DC102">
        <f>IFERROR(INDEX(PP_Grid[#Data],$DD102,105),0)</f>
        <v/>
      </c>
      <c r="DD102" s="12">
        <f>IFERROR(MATCH($B102,PP_Grid[Intermediate],0),99999)</f>
        <v/>
      </c>
    </row>
    <row r="103">
      <c r="B103" t="inlineStr">
        <is>
          <t>使用量(kg)</t>
        </is>
      </c>
      <c r="C103">
        <f>SUMIFS(M_BOM[RM_Qty_Per_Batch],M_BOM[Intermediate],$B102,M_BOM[Part Name],$A45)</f>
        <v/>
      </c>
      <c r="D103">
        <f>$C103*D102</f>
        <v/>
      </c>
      <c r="E103">
        <f>$C103*E102</f>
        <v/>
      </c>
      <c r="F103">
        <f>$C103*F102</f>
        <v/>
      </c>
      <c r="G103">
        <f>$C103*G102</f>
        <v/>
      </c>
      <c r="H103">
        <f>$C103*H102</f>
        <v/>
      </c>
      <c r="I103">
        <f>$C103*I102</f>
        <v/>
      </c>
      <c r="J103">
        <f>$C103*J102</f>
        <v/>
      </c>
      <c r="K103">
        <f>$C103*K102</f>
        <v/>
      </c>
      <c r="L103">
        <f>$C103*L102</f>
        <v/>
      </c>
      <c r="M103">
        <f>$C103*M102</f>
        <v/>
      </c>
      <c r="N103">
        <f>$C103*N102</f>
        <v/>
      </c>
      <c r="O103">
        <f>$C103*O102</f>
        <v/>
      </c>
      <c r="P103">
        <f>$C103*P102</f>
        <v/>
      </c>
      <c r="Q103">
        <f>$C103*Q102</f>
        <v/>
      </c>
      <c r="R103">
        <f>$C103*R102</f>
        <v/>
      </c>
      <c r="S103">
        <f>$C103*S102</f>
        <v/>
      </c>
      <c r="T103">
        <f>$C103*T102</f>
        <v/>
      </c>
      <c r="U103">
        <f>$C103*U102</f>
        <v/>
      </c>
      <c r="V103">
        <f>$C103*V102</f>
        <v/>
      </c>
      <c r="W103">
        <f>$C103*W102</f>
        <v/>
      </c>
      <c r="X103">
        <f>$C103*X102</f>
        <v/>
      </c>
      <c r="Y103">
        <f>$C103*Y102</f>
        <v/>
      </c>
      <c r="Z103">
        <f>$C103*Z102</f>
        <v/>
      </c>
      <c r="AA103">
        <f>$C103*AA102</f>
        <v/>
      </c>
      <c r="AB103">
        <f>$C103*AB102</f>
        <v/>
      </c>
      <c r="AC103">
        <f>$C103*AC102</f>
        <v/>
      </c>
      <c r="AD103">
        <f>$C103*AD102</f>
        <v/>
      </c>
      <c r="AE103">
        <f>$C103*AE102</f>
        <v/>
      </c>
      <c r="AF103">
        <f>$C103*AF102</f>
        <v/>
      </c>
      <c r="AG103">
        <f>$C103*AG102</f>
        <v/>
      </c>
      <c r="AH103">
        <f>$C103*AH102</f>
        <v/>
      </c>
      <c r="AI103">
        <f>$C103*AI102</f>
        <v/>
      </c>
      <c r="AJ103">
        <f>$C103*AJ102</f>
        <v/>
      </c>
      <c r="AK103">
        <f>$C103*AK102</f>
        <v/>
      </c>
      <c r="AL103">
        <f>$C103*AL102</f>
        <v/>
      </c>
      <c r="AM103">
        <f>$C103*AM102</f>
        <v/>
      </c>
      <c r="AN103">
        <f>$C103*AN102</f>
        <v/>
      </c>
      <c r="AO103">
        <f>$C103*AO102</f>
        <v/>
      </c>
      <c r="AP103">
        <f>$C103*AP102</f>
        <v/>
      </c>
      <c r="AQ103">
        <f>$C103*AQ102</f>
        <v/>
      </c>
      <c r="AR103">
        <f>$C103*AR102</f>
        <v/>
      </c>
      <c r="AS103">
        <f>$C103*AS102</f>
        <v/>
      </c>
      <c r="AT103">
        <f>$C103*AT102</f>
        <v/>
      </c>
      <c r="AU103">
        <f>$C103*AU102</f>
        <v/>
      </c>
      <c r="AV103">
        <f>$C103*AV102</f>
        <v/>
      </c>
      <c r="AW103">
        <f>$C103*AW102</f>
        <v/>
      </c>
      <c r="AX103">
        <f>$C103*AX102</f>
        <v/>
      </c>
      <c r="AY103">
        <f>$C103*AY102</f>
        <v/>
      </c>
      <c r="AZ103">
        <f>$C103*AZ102</f>
        <v/>
      </c>
      <c r="BA103">
        <f>$C103*BA102</f>
        <v/>
      </c>
      <c r="BB103">
        <f>$C103*BB102</f>
        <v/>
      </c>
      <c r="BC103">
        <f>$C103*BC102</f>
        <v/>
      </c>
      <c r="BD103">
        <f>$C103*BD102</f>
        <v/>
      </c>
      <c r="BE103">
        <f>$C103*BE102</f>
        <v/>
      </c>
      <c r="BF103">
        <f>$C103*BF102</f>
        <v/>
      </c>
      <c r="BG103">
        <f>$C103*BG102</f>
        <v/>
      </c>
      <c r="BH103">
        <f>$C103*BH102</f>
        <v/>
      </c>
      <c r="BI103">
        <f>$C103*BI102</f>
        <v/>
      </c>
      <c r="BJ103">
        <f>$C103*BJ102</f>
        <v/>
      </c>
      <c r="BK103">
        <f>$C103*BK102</f>
        <v/>
      </c>
      <c r="BL103">
        <f>$C103*BL102</f>
        <v/>
      </c>
      <c r="BM103">
        <f>$C103*BM102</f>
        <v/>
      </c>
      <c r="BN103">
        <f>$C103*BN102</f>
        <v/>
      </c>
      <c r="BO103">
        <f>$C103*BO102</f>
        <v/>
      </c>
      <c r="BP103">
        <f>$C103*BP102</f>
        <v/>
      </c>
      <c r="BQ103">
        <f>$C103*BQ102</f>
        <v/>
      </c>
      <c r="BR103">
        <f>$C103*BR102</f>
        <v/>
      </c>
      <c r="BS103">
        <f>$C103*BS102</f>
        <v/>
      </c>
      <c r="BT103">
        <f>$C103*BT102</f>
        <v/>
      </c>
      <c r="BU103">
        <f>$C103*BU102</f>
        <v/>
      </c>
      <c r="BV103">
        <f>$C103*BV102</f>
        <v/>
      </c>
      <c r="BW103">
        <f>$C103*BW102</f>
        <v/>
      </c>
      <c r="BX103">
        <f>$C103*BX102</f>
        <v/>
      </c>
      <c r="BY103">
        <f>$C103*BY102</f>
        <v/>
      </c>
      <c r="BZ103">
        <f>$C103*BZ102</f>
        <v/>
      </c>
      <c r="CA103">
        <f>$C103*CA102</f>
        <v/>
      </c>
      <c r="CB103">
        <f>$C103*CB102</f>
        <v/>
      </c>
      <c r="CC103">
        <f>$C103*CC102</f>
        <v/>
      </c>
      <c r="CD103">
        <f>$C103*CD102</f>
        <v/>
      </c>
      <c r="CE103">
        <f>$C103*CE102</f>
        <v/>
      </c>
      <c r="CF103">
        <f>$C103*CF102</f>
        <v/>
      </c>
      <c r="CG103">
        <f>$C103*CG102</f>
        <v/>
      </c>
      <c r="CH103">
        <f>$C103*CH102</f>
        <v/>
      </c>
      <c r="CI103">
        <f>$C103*CI102</f>
        <v/>
      </c>
      <c r="CJ103">
        <f>$C103*CJ102</f>
        <v/>
      </c>
      <c r="CK103">
        <f>$C103*CK102</f>
        <v/>
      </c>
      <c r="CL103">
        <f>$C103*CL102</f>
        <v/>
      </c>
      <c r="CM103">
        <f>$C103*CM102</f>
        <v/>
      </c>
      <c r="CN103">
        <f>$C103*CN102</f>
        <v/>
      </c>
      <c r="CO103">
        <f>$C103*CO102</f>
        <v/>
      </c>
      <c r="CP103">
        <f>$C103*CP102</f>
        <v/>
      </c>
      <c r="CQ103">
        <f>$C103*CQ102</f>
        <v/>
      </c>
      <c r="CR103">
        <f>$C103*CR102</f>
        <v/>
      </c>
      <c r="CS103">
        <f>$C103*CS102</f>
        <v/>
      </c>
      <c r="CT103">
        <f>$C103*CT102</f>
        <v/>
      </c>
      <c r="CU103">
        <f>$C103*CU102</f>
        <v/>
      </c>
      <c r="CV103">
        <f>$C103*CV102</f>
        <v/>
      </c>
      <c r="CW103">
        <f>$C103*CW102</f>
        <v/>
      </c>
      <c r="CX103">
        <f>$C103*CX102</f>
        <v/>
      </c>
      <c r="CY103">
        <f>$C103*CY102</f>
        <v/>
      </c>
      <c r="CZ103">
        <f>$C103*CZ102</f>
        <v/>
      </c>
      <c r="DA103">
        <f>$C103*DA102</f>
        <v/>
      </c>
      <c r="DB103">
        <f>$C103*DB102</f>
        <v/>
      </c>
      <c r="DC103">
        <f>$C103*DC102</f>
        <v/>
      </c>
    </row>
    <row r="104">
      <c r="B104" t="inlineStr">
        <is>
          <t>TSP-620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12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Name],$A45)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t="inlineStr">
        <is>
          <t>TSP-623</t>
        </is>
      </c>
      <c r="C106" t="inlineStr">
        <is>
          <t>No. of batches</t>
        </is>
      </c>
      <c r="D106">
        <f>IFERROR(INDEX(PP_Grid[#Data],$DD106,2),0)</f>
        <v/>
      </c>
      <c r="E106">
        <f>IFERROR(INDEX(PP_Grid[#Data],$DD106,3),0)</f>
        <v/>
      </c>
      <c r="F106">
        <f>IFERROR(INDEX(PP_Grid[#Data],$DD106,4),0)</f>
        <v/>
      </c>
      <c r="G106">
        <f>IFERROR(INDEX(PP_Grid[#Data],$DD106,5),0)</f>
        <v/>
      </c>
      <c r="H106">
        <f>IFERROR(INDEX(PP_Grid[#Data],$DD106,6),0)</f>
        <v/>
      </c>
      <c r="I106">
        <f>IFERROR(INDEX(PP_Grid[#Data],$DD106,7),0)</f>
        <v/>
      </c>
      <c r="J106">
        <f>IFERROR(INDEX(PP_Grid[#Data],$DD106,8),0)</f>
        <v/>
      </c>
      <c r="K106">
        <f>IFERROR(INDEX(PP_Grid[#Data],$DD106,9),0)</f>
        <v/>
      </c>
      <c r="L106">
        <f>IFERROR(INDEX(PP_Grid[#Data],$DD106,10),0)</f>
        <v/>
      </c>
      <c r="M106">
        <f>IFERROR(INDEX(PP_Grid[#Data],$DD106,11),0)</f>
        <v/>
      </c>
      <c r="N106">
        <f>IFERROR(INDEX(PP_Grid[#Data],$DD106,12),0)</f>
        <v/>
      </c>
      <c r="O106">
        <f>IFERROR(INDEX(PP_Grid[#Data],$DD106,13),0)</f>
        <v/>
      </c>
      <c r="P106">
        <f>IFERROR(INDEX(PP_Grid[#Data],$DD106,14),0)</f>
        <v/>
      </c>
      <c r="Q106">
        <f>IFERROR(INDEX(PP_Grid[#Data],$DD106,15),0)</f>
        <v/>
      </c>
      <c r="R106">
        <f>IFERROR(INDEX(PP_Grid[#Data],$DD106,16),0)</f>
        <v/>
      </c>
      <c r="S106">
        <f>IFERROR(INDEX(PP_Grid[#Data],$DD106,17),0)</f>
        <v/>
      </c>
      <c r="T106">
        <f>IFERROR(INDEX(PP_Grid[#Data],$DD106,18),0)</f>
        <v/>
      </c>
      <c r="U106">
        <f>IFERROR(INDEX(PP_Grid[#Data],$DD106,19),0)</f>
        <v/>
      </c>
      <c r="V106">
        <f>IFERROR(INDEX(PP_Grid[#Data],$DD106,20),0)</f>
        <v/>
      </c>
      <c r="W106">
        <f>IFERROR(INDEX(PP_Grid[#Data],$DD106,21),0)</f>
        <v/>
      </c>
      <c r="X106">
        <f>IFERROR(INDEX(PP_Grid[#Data],$DD106,22),0)</f>
        <v/>
      </c>
      <c r="Y106">
        <f>IFERROR(INDEX(PP_Grid[#Data],$DD106,23),0)</f>
        <v/>
      </c>
      <c r="Z106">
        <f>IFERROR(INDEX(PP_Grid[#Data],$DD106,24),0)</f>
        <v/>
      </c>
      <c r="AA106">
        <f>IFERROR(INDEX(PP_Grid[#Data],$DD106,25),0)</f>
        <v/>
      </c>
      <c r="AB106">
        <f>IFERROR(INDEX(PP_Grid[#Data],$DD106,26),0)</f>
        <v/>
      </c>
      <c r="AC106">
        <f>IFERROR(INDEX(PP_Grid[#Data],$DD106,27),0)</f>
        <v/>
      </c>
      <c r="AD106">
        <f>IFERROR(INDEX(PP_Grid[#Data],$DD106,28),0)</f>
        <v/>
      </c>
      <c r="AE106">
        <f>IFERROR(INDEX(PP_Grid[#Data],$DD106,29),0)</f>
        <v/>
      </c>
      <c r="AF106">
        <f>IFERROR(INDEX(PP_Grid[#Data],$DD106,30),0)</f>
        <v/>
      </c>
      <c r="AG106">
        <f>IFERROR(INDEX(PP_Grid[#Data],$DD106,31),0)</f>
        <v/>
      </c>
      <c r="AH106">
        <f>IFERROR(INDEX(PP_Grid[#Data],$DD106,32),0)</f>
        <v/>
      </c>
      <c r="AI106">
        <f>IFERROR(INDEX(PP_Grid[#Data],$DD106,33),0)</f>
        <v/>
      </c>
      <c r="AJ106">
        <f>IFERROR(INDEX(PP_Grid[#Data],$DD106,34),0)</f>
        <v/>
      </c>
      <c r="AK106">
        <f>IFERROR(INDEX(PP_Grid[#Data],$DD106,35),0)</f>
        <v/>
      </c>
      <c r="AL106">
        <f>IFERROR(INDEX(PP_Grid[#Data],$DD106,36),0)</f>
        <v/>
      </c>
      <c r="AM106">
        <f>IFERROR(INDEX(PP_Grid[#Data],$DD106,37),0)</f>
        <v/>
      </c>
      <c r="AN106">
        <f>IFERROR(INDEX(PP_Grid[#Data],$DD106,38),0)</f>
        <v/>
      </c>
      <c r="AO106">
        <f>IFERROR(INDEX(PP_Grid[#Data],$DD106,39),0)</f>
        <v/>
      </c>
      <c r="AP106">
        <f>IFERROR(INDEX(PP_Grid[#Data],$DD106,40),0)</f>
        <v/>
      </c>
      <c r="AQ106">
        <f>IFERROR(INDEX(PP_Grid[#Data],$DD106,41),0)</f>
        <v/>
      </c>
      <c r="AR106">
        <f>IFERROR(INDEX(PP_Grid[#Data],$DD106,42),0)</f>
        <v/>
      </c>
      <c r="AS106">
        <f>IFERROR(INDEX(PP_Grid[#Data],$DD106,43),0)</f>
        <v/>
      </c>
      <c r="AT106">
        <f>IFERROR(INDEX(PP_Grid[#Data],$DD106,44),0)</f>
        <v/>
      </c>
      <c r="AU106">
        <f>IFERROR(INDEX(PP_Grid[#Data],$DD106,45),0)</f>
        <v/>
      </c>
      <c r="AV106">
        <f>IFERROR(INDEX(PP_Grid[#Data],$DD106,46),0)</f>
        <v/>
      </c>
      <c r="AW106">
        <f>IFERROR(INDEX(PP_Grid[#Data],$DD106,47),0)</f>
        <v/>
      </c>
      <c r="AX106">
        <f>IFERROR(INDEX(PP_Grid[#Data],$DD106,48),0)</f>
        <v/>
      </c>
      <c r="AY106">
        <f>IFERROR(INDEX(PP_Grid[#Data],$DD106,49),0)</f>
        <v/>
      </c>
      <c r="AZ106">
        <f>IFERROR(INDEX(PP_Grid[#Data],$DD106,50),0)</f>
        <v/>
      </c>
      <c r="BA106">
        <f>IFERROR(INDEX(PP_Grid[#Data],$DD106,51),0)</f>
        <v/>
      </c>
      <c r="BB106">
        <f>IFERROR(INDEX(PP_Grid[#Data],$DD106,52),0)</f>
        <v/>
      </c>
      <c r="BC106">
        <f>IFERROR(INDEX(PP_Grid[#Data],$DD106,53),0)</f>
        <v/>
      </c>
      <c r="BD106">
        <f>IFERROR(INDEX(PP_Grid[#Data],$DD106,54),0)</f>
        <v/>
      </c>
      <c r="BE106">
        <f>IFERROR(INDEX(PP_Grid[#Data],$DD106,55),0)</f>
        <v/>
      </c>
      <c r="BF106">
        <f>IFERROR(INDEX(PP_Grid[#Data],$DD106,56),0)</f>
        <v/>
      </c>
      <c r="BG106">
        <f>IFERROR(INDEX(PP_Grid[#Data],$DD106,57),0)</f>
        <v/>
      </c>
      <c r="BH106">
        <f>IFERROR(INDEX(PP_Grid[#Data],$DD106,58),0)</f>
        <v/>
      </c>
      <c r="BI106">
        <f>IFERROR(INDEX(PP_Grid[#Data],$DD106,59),0)</f>
        <v/>
      </c>
      <c r="BJ106">
        <f>IFERROR(INDEX(PP_Grid[#Data],$DD106,60),0)</f>
        <v/>
      </c>
      <c r="BK106">
        <f>IFERROR(INDEX(PP_Grid[#Data],$DD106,61),0)</f>
        <v/>
      </c>
      <c r="BL106">
        <f>IFERROR(INDEX(PP_Grid[#Data],$DD106,62),0)</f>
        <v/>
      </c>
      <c r="BM106">
        <f>IFERROR(INDEX(PP_Grid[#Data],$DD106,63),0)</f>
        <v/>
      </c>
      <c r="BN106">
        <f>IFERROR(INDEX(PP_Grid[#Data],$DD106,64),0)</f>
        <v/>
      </c>
      <c r="BO106">
        <f>IFERROR(INDEX(PP_Grid[#Data],$DD106,65),0)</f>
        <v/>
      </c>
      <c r="BP106">
        <f>IFERROR(INDEX(PP_Grid[#Data],$DD106,66),0)</f>
        <v/>
      </c>
      <c r="BQ106">
        <f>IFERROR(INDEX(PP_Grid[#Data],$DD106,67),0)</f>
        <v/>
      </c>
      <c r="BR106">
        <f>IFERROR(INDEX(PP_Grid[#Data],$DD106,68),0)</f>
        <v/>
      </c>
      <c r="BS106">
        <f>IFERROR(INDEX(PP_Grid[#Data],$DD106,69),0)</f>
        <v/>
      </c>
      <c r="BT106">
        <f>IFERROR(INDEX(PP_Grid[#Data],$DD106,70),0)</f>
        <v/>
      </c>
      <c r="BU106">
        <f>IFERROR(INDEX(PP_Grid[#Data],$DD106,71),0)</f>
        <v/>
      </c>
      <c r="BV106">
        <f>IFERROR(INDEX(PP_Grid[#Data],$DD106,72),0)</f>
        <v/>
      </c>
      <c r="BW106">
        <f>IFERROR(INDEX(PP_Grid[#Data],$DD106,73),0)</f>
        <v/>
      </c>
      <c r="BX106">
        <f>IFERROR(INDEX(PP_Grid[#Data],$DD106,74),0)</f>
        <v/>
      </c>
      <c r="BY106">
        <f>IFERROR(INDEX(PP_Grid[#Data],$DD106,75),0)</f>
        <v/>
      </c>
      <c r="BZ106">
        <f>IFERROR(INDEX(PP_Grid[#Data],$DD106,76),0)</f>
        <v/>
      </c>
      <c r="CA106">
        <f>IFERROR(INDEX(PP_Grid[#Data],$DD106,77),0)</f>
        <v/>
      </c>
      <c r="CB106">
        <f>IFERROR(INDEX(PP_Grid[#Data],$DD106,78),0)</f>
        <v/>
      </c>
      <c r="CC106">
        <f>IFERROR(INDEX(PP_Grid[#Data],$DD106,79),0)</f>
        <v/>
      </c>
      <c r="CD106">
        <f>IFERROR(INDEX(PP_Grid[#Data],$DD106,80),0)</f>
        <v/>
      </c>
      <c r="CE106">
        <f>IFERROR(INDEX(PP_Grid[#Data],$DD106,81),0)</f>
        <v/>
      </c>
      <c r="CF106">
        <f>IFERROR(INDEX(PP_Grid[#Data],$DD106,82),0)</f>
        <v/>
      </c>
      <c r="CG106">
        <f>IFERROR(INDEX(PP_Grid[#Data],$DD106,83),0)</f>
        <v/>
      </c>
      <c r="CH106">
        <f>IFERROR(INDEX(PP_Grid[#Data],$DD106,84),0)</f>
        <v/>
      </c>
      <c r="CI106">
        <f>IFERROR(INDEX(PP_Grid[#Data],$DD106,85),0)</f>
        <v/>
      </c>
      <c r="CJ106">
        <f>IFERROR(INDEX(PP_Grid[#Data],$DD106,86),0)</f>
        <v/>
      </c>
      <c r="CK106">
        <f>IFERROR(INDEX(PP_Grid[#Data],$DD106,87),0)</f>
        <v/>
      </c>
      <c r="CL106">
        <f>IFERROR(INDEX(PP_Grid[#Data],$DD106,88),0)</f>
        <v/>
      </c>
      <c r="CM106">
        <f>IFERROR(INDEX(PP_Grid[#Data],$DD106,89),0)</f>
        <v/>
      </c>
      <c r="CN106">
        <f>IFERROR(INDEX(PP_Grid[#Data],$DD106,90),0)</f>
        <v/>
      </c>
      <c r="CO106">
        <f>IFERROR(INDEX(PP_Grid[#Data],$DD106,91),0)</f>
        <v/>
      </c>
      <c r="CP106">
        <f>IFERROR(INDEX(PP_Grid[#Data],$DD106,92),0)</f>
        <v/>
      </c>
      <c r="CQ106">
        <f>IFERROR(INDEX(PP_Grid[#Data],$DD106,93),0)</f>
        <v/>
      </c>
      <c r="CR106">
        <f>IFERROR(INDEX(PP_Grid[#Data],$DD106,94),0)</f>
        <v/>
      </c>
      <c r="CS106">
        <f>IFERROR(INDEX(PP_Grid[#Data],$DD106,95),0)</f>
        <v/>
      </c>
      <c r="CT106">
        <f>IFERROR(INDEX(PP_Grid[#Data],$DD106,96),0)</f>
        <v/>
      </c>
      <c r="CU106">
        <f>IFERROR(INDEX(PP_Grid[#Data],$DD106,97),0)</f>
        <v/>
      </c>
      <c r="CV106">
        <f>IFERROR(INDEX(PP_Grid[#Data],$DD106,98),0)</f>
        <v/>
      </c>
      <c r="CW106">
        <f>IFERROR(INDEX(PP_Grid[#Data],$DD106,99),0)</f>
        <v/>
      </c>
      <c r="CX106">
        <f>IFERROR(INDEX(PP_Grid[#Data],$DD106,100),0)</f>
        <v/>
      </c>
      <c r="CY106">
        <f>IFERROR(INDEX(PP_Grid[#Data],$DD106,101),0)</f>
        <v/>
      </c>
      <c r="CZ106">
        <f>IFERROR(INDEX(PP_Grid[#Data],$DD106,102),0)</f>
        <v/>
      </c>
      <c r="DA106">
        <f>IFERROR(INDEX(PP_Grid[#Data],$DD106,103),0)</f>
        <v/>
      </c>
      <c r="DB106">
        <f>IFERROR(INDEX(PP_Grid[#Data],$DD106,104),0)</f>
        <v/>
      </c>
      <c r="DC106">
        <f>IFERROR(INDEX(PP_Grid[#Data],$DD106,105),0)</f>
        <v/>
      </c>
      <c r="DD106" s="12">
        <f>IFERROR(MATCH($B106,PP_Grid[Intermediate],0),99999)</f>
        <v/>
      </c>
    </row>
    <row r="107">
      <c r="B107" t="inlineStr">
        <is>
          <t>使用量(kg)</t>
        </is>
      </c>
      <c r="C107">
        <f>SUMIFS(M_BOM[RM_Qty_Per_Batch],M_BOM[Intermediate],$B106,M_BOM[Part Name],$A45)</f>
        <v/>
      </c>
      <c r="D107">
        <f>$C107*D106</f>
        <v/>
      </c>
      <c r="E107">
        <f>$C107*E106</f>
        <v/>
      </c>
      <c r="F107">
        <f>$C107*F106</f>
        <v/>
      </c>
      <c r="G107">
        <f>$C107*G106</f>
        <v/>
      </c>
      <c r="H107">
        <f>$C107*H106</f>
        <v/>
      </c>
      <c r="I107">
        <f>$C107*I106</f>
        <v/>
      </c>
      <c r="J107">
        <f>$C107*J106</f>
        <v/>
      </c>
      <c r="K107">
        <f>$C107*K106</f>
        <v/>
      </c>
      <c r="L107">
        <f>$C107*L106</f>
        <v/>
      </c>
      <c r="M107">
        <f>$C107*M106</f>
        <v/>
      </c>
      <c r="N107">
        <f>$C107*N106</f>
        <v/>
      </c>
      <c r="O107">
        <f>$C107*O106</f>
        <v/>
      </c>
      <c r="P107">
        <f>$C107*P106</f>
        <v/>
      </c>
      <c r="Q107">
        <f>$C107*Q106</f>
        <v/>
      </c>
      <c r="R107">
        <f>$C107*R106</f>
        <v/>
      </c>
      <c r="S107">
        <f>$C107*S106</f>
        <v/>
      </c>
      <c r="T107">
        <f>$C107*T106</f>
        <v/>
      </c>
      <c r="U107">
        <f>$C107*U106</f>
        <v/>
      </c>
      <c r="V107">
        <f>$C107*V106</f>
        <v/>
      </c>
      <c r="W107">
        <f>$C107*W106</f>
        <v/>
      </c>
      <c r="X107">
        <f>$C107*X106</f>
        <v/>
      </c>
      <c r="Y107">
        <f>$C107*Y106</f>
        <v/>
      </c>
      <c r="Z107">
        <f>$C107*Z106</f>
        <v/>
      </c>
      <c r="AA107">
        <f>$C107*AA106</f>
        <v/>
      </c>
      <c r="AB107">
        <f>$C107*AB106</f>
        <v/>
      </c>
      <c r="AC107">
        <f>$C107*AC106</f>
        <v/>
      </c>
      <c r="AD107">
        <f>$C107*AD106</f>
        <v/>
      </c>
      <c r="AE107">
        <f>$C107*AE106</f>
        <v/>
      </c>
      <c r="AF107">
        <f>$C107*AF106</f>
        <v/>
      </c>
      <c r="AG107">
        <f>$C107*AG106</f>
        <v/>
      </c>
      <c r="AH107">
        <f>$C107*AH106</f>
        <v/>
      </c>
      <c r="AI107">
        <f>$C107*AI106</f>
        <v/>
      </c>
      <c r="AJ107">
        <f>$C107*AJ106</f>
        <v/>
      </c>
      <c r="AK107">
        <f>$C107*AK106</f>
        <v/>
      </c>
      <c r="AL107">
        <f>$C107*AL106</f>
        <v/>
      </c>
      <c r="AM107">
        <f>$C107*AM106</f>
        <v/>
      </c>
      <c r="AN107">
        <f>$C107*AN106</f>
        <v/>
      </c>
      <c r="AO107">
        <f>$C107*AO106</f>
        <v/>
      </c>
      <c r="AP107">
        <f>$C107*AP106</f>
        <v/>
      </c>
      <c r="AQ107">
        <f>$C107*AQ106</f>
        <v/>
      </c>
      <c r="AR107">
        <f>$C107*AR106</f>
        <v/>
      </c>
      <c r="AS107">
        <f>$C107*AS106</f>
        <v/>
      </c>
      <c r="AT107">
        <f>$C107*AT106</f>
        <v/>
      </c>
      <c r="AU107">
        <f>$C107*AU106</f>
        <v/>
      </c>
      <c r="AV107">
        <f>$C107*AV106</f>
        <v/>
      </c>
      <c r="AW107">
        <f>$C107*AW106</f>
        <v/>
      </c>
      <c r="AX107">
        <f>$C107*AX106</f>
        <v/>
      </c>
      <c r="AY107">
        <f>$C107*AY106</f>
        <v/>
      </c>
      <c r="AZ107">
        <f>$C107*AZ106</f>
        <v/>
      </c>
      <c r="BA107">
        <f>$C107*BA106</f>
        <v/>
      </c>
      <c r="BB107">
        <f>$C107*BB106</f>
        <v/>
      </c>
      <c r="BC107">
        <f>$C107*BC106</f>
        <v/>
      </c>
      <c r="BD107">
        <f>$C107*BD106</f>
        <v/>
      </c>
      <c r="BE107">
        <f>$C107*BE106</f>
        <v/>
      </c>
      <c r="BF107">
        <f>$C107*BF106</f>
        <v/>
      </c>
      <c r="BG107">
        <f>$C107*BG106</f>
        <v/>
      </c>
      <c r="BH107">
        <f>$C107*BH106</f>
        <v/>
      </c>
      <c r="BI107">
        <f>$C107*BI106</f>
        <v/>
      </c>
      <c r="BJ107">
        <f>$C107*BJ106</f>
        <v/>
      </c>
      <c r="BK107">
        <f>$C107*BK106</f>
        <v/>
      </c>
      <c r="BL107">
        <f>$C107*BL106</f>
        <v/>
      </c>
      <c r="BM107">
        <f>$C107*BM106</f>
        <v/>
      </c>
      <c r="BN107">
        <f>$C107*BN106</f>
        <v/>
      </c>
      <c r="BO107">
        <f>$C107*BO106</f>
        <v/>
      </c>
      <c r="BP107">
        <f>$C107*BP106</f>
        <v/>
      </c>
      <c r="BQ107">
        <f>$C107*BQ106</f>
        <v/>
      </c>
      <c r="BR107">
        <f>$C107*BR106</f>
        <v/>
      </c>
      <c r="BS107">
        <f>$C107*BS106</f>
        <v/>
      </c>
      <c r="BT107">
        <f>$C107*BT106</f>
        <v/>
      </c>
      <c r="BU107">
        <f>$C107*BU106</f>
        <v/>
      </c>
      <c r="BV107">
        <f>$C107*BV106</f>
        <v/>
      </c>
      <c r="BW107">
        <f>$C107*BW106</f>
        <v/>
      </c>
      <c r="BX107">
        <f>$C107*BX106</f>
        <v/>
      </c>
      <c r="BY107">
        <f>$C107*BY106</f>
        <v/>
      </c>
      <c r="BZ107">
        <f>$C107*BZ106</f>
        <v/>
      </c>
      <c r="CA107">
        <f>$C107*CA106</f>
        <v/>
      </c>
      <c r="CB107">
        <f>$C107*CB106</f>
        <v/>
      </c>
      <c r="CC107">
        <f>$C107*CC106</f>
        <v/>
      </c>
      <c r="CD107">
        <f>$C107*CD106</f>
        <v/>
      </c>
      <c r="CE107">
        <f>$C107*CE106</f>
        <v/>
      </c>
      <c r="CF107">
        <f>$C107*CF106</f>
        <v/>
      </c>
      <c r="CG107">
        <f>$C107*CG106</f>
        <v/>
      </c>
      <c r="CH107">
        <f>$C107*CH106</f>
        <v/>
      </c>
      <c r="CI107">
        <f>$C107*CI106</f>
        <v/>
      </c>
      <c r="CJ107">
        <f>$C107*CJ106</f>
        <v/>
      </c>
      <c r="CK107">
        <f>$C107*CK106</f>
        <v/>
      </c>
      <c r="CL107">
        <f>$C107*CL106</f>
        <v/>
      </c>
      <c r="CM107">
        <f>$C107*CM106</f>
        <v/>
      </c>
      <c r="CN107">
        <f>$C107*CN106</f>
        <v/>
      </c>
      <c r="CO107">
        <f>$C107*CO106</f>
        <v/>
      </c>
      <c r="CP107">
        <f>$C107*CP106</f>
        <v/>
      </c>
      <c r="CQ107">
        <f>$C107*CQ106</f>
        <v/>
      </c>
      <c r="CR107">
        <f>$C107*CR106</f>
        <v/>
      </c>
      <c r="CS107">
        <f>$C107*CS106</f>
        <v/>
      </c>
      <c r="CT107">
        <f>$C107*CT106</f>
        <v/>
      </c>
      <c r="CU107">
        <f>$C107*CU106</f>
        <v/>
      </c>
      <c r="CV107">
        <f>$C107*CV106</f>
        <v/>
      </c>
      <c r="CW107">
        <f>$C107*CW106</f>
        <v/>
      </c>
      <c r="CX107">
        <f>$C107*CX106</f>
        <v/>
      </c>
      <c r="CY107">
        <f>$C107*CY106</f>
        <v/>
      </c>
      <c r="CZ107">
        <f>$C107*CZ106</f>
        <v/>
      </c>
      <c r="DA107">
        <f>$C107*DA106</f>
        <v/>
      </c>
      <c r="DB107">
        <f>$C107*DB106</f>
        <v/>
      </c>
      <c r="DC107">
        <f>$C107*DC106</f>
        <v/>
      </c>
    </row>
    <row r="108">
      <c r="B108" t="inlineStr">
        <is>
          <t>TSP-655</t>
        </is>
      </c>
      <c r="C108" t="inlineStr">
        <is>
          <t>No. of batches</t>
        </is>
      </c>
      <c r="D108">
        <f>IFERROR(INDEX(PP_Grid[#Data],$DD108,2),0)</f>
        <v/>
      </c>
      <c r="E108">
        <f>IFERROR(INDEX(PP_Grid[#Data],$DD108,3),0)</f>
        <v/>
      </c>
      <c r="F108">
        <f>IFERROR(INDEX(PP_Grid[#Data],$DD108,4),0)</f>
        <v/>
      </c>
      <c r="G108">
        <f>IFERROR(INDEX(PP_Grid[#Data],$DD108,5),0)</f>
        <v/>
      </c>
      <c r="H108">
        <f>IFERROR(INDEX(PP_Grid[#Data],$DD108,6),0)</f>
        <v/>
      </c>
      <c r="I108">
        <f>IFERROR(INDEX(PP_Grid[#Data],$DD108,7),0)</f>
        <v/>
      </c>
      <c r="J108">
        <f>IFERROR(INDEX(PP_Grid[#Data],$DD108,8),0)</f>
        <v/>
      </c>
      <c r="K108">
        <f>IFERROR(INDEX(PP_Grid[#Data],$DD108,9),0)</f>
        <v/>
      </c>
      <c r="L108">
        <f>IFERROR(INDEX(PP_Grid[#Data],$DD108,10),0)</f>
        <v/>
      </c>
      <c r="M108">
        <f>IFERROR(INDEX(PP_Grid[#Data],$DD108,11),0)</f>
        <v/>
      </c>
      <c r="N108">
        <f>IFERROR(INDEX(PP_Grid[#Data],$DD108,12),0)</f>
        <v/>
      </c>
      <c r="O108">
        <f>IFERROR(INDEX(PP_Grid[#Data],$DD108,13),0)</f>
        <v/>
      </c>
      <c r="P108">
        <f>IFERROR(INDEX(PP_Grid[#Data],$DD108,14),0)</f>
        <v/>
      </c>
      <c r="Q108">
        <f>IFERROR(INDEX(PP_Grid[#Data],$DD108,15),0)</f>
        <v/>
      </c>
      <c r="R108">
        <f>IFERROR(INDEX(PP_Grid[#Data],$DD108,16),0)</f>
        <v/>
      </c>
      <c r="S108">
        <f>IFERROR(INDEX(PP_Grid[#Data],$DD108,17),0)</f>
        <v/>
      </c>
      <c r="T108">
        <f>IFERROR(INDEX(PP_Grid[#Data],$DD108,18),0)</f>
        <v/>
      </c>
      <c r="U108">
        <f>IFERROR(INDEX(PP_Grid[#Data],$DD108,19),0)</f>
        <v/>
      </c>
      <c r="V108">
        <f>IFERROR(INDEX(PP_Grid[#Data],$DD108,20),0)</f>
        <v/>
      </c>
      <c r="W108">
        <f>IFERROR(INDEX(PP_Grid[#Data],$DD108,21),0)</f>
        <v/>
      </c>
      <c r="X108">
        <f>IFERROR(INDEX(PP_Grid[#Data],$DD108,22),0)</f>
        <v/>
      </c>
      <c r="Y108">
        <f>IFERROR(INDEX(PP_Grid[#Data],$DD108,23),0)</f>
        <v/>
      </c>
      <c r="Z108">
        <f>IFERROR(INDEX(PP_Grid[#Data],$DD108,24),0)</f>
        <v/>
      </c>
      <c r="AA108">
        <f>IFERROR(INDEX(PP_Grid[#Data],$DD108,25),0)</f>
        <v/>
      </c>
      <c r="AB108">
        <f>IFERROR(INDEX(PP_Grid[#Data],$DD108,26),0)</f>
        <v/>
      </c>
      <c r="AC108">
        <f>IFERROR(INDEX(PP_Grid[#Data],$DD108,27),0)</f>
        <v/>
      </c>
      <c r="AD108">
        <f>IFERROR(INDEX(PP_Grid[#Data],$DD108,28),0)</f>
        <v/>
      </c>
      <c r="AE108">
        <f>IFERROR(INDEX(PP_Grid[#Data],$DD108,29),0)</f>
        <v/>
      </c>
      <c r="AF108">
        <f>IFERROR(INDEX(PP_Grid[#Data],$DD108,30),0)</f>
        <v/>
      </c>
      <c r="AG108">
        <f>IFERROR(INDEX(PP_Grid[#Data],$DD108,31),0)</f>
        <v/>
      </c>
      <c r="AH108">
        <f>IFERROR(INDEX(PP_Grid[#Data],$DD108,32),0)</f>
        <v/>
      </c>
      <c r="AI108">
        <f>IFERROR(INDEX(PP_Grid[#Data],$DD108,33),0)</f>
        <v/>
      </c>
      <c r="AJ108">
        <f>IFERROR(INDEX(PP_Grid[#Data],$DD108,34),0)</f>
        <v/>
      </c>
      <c r="AK108">
        <f>IFERROR(INDEX(PP_Grid[#Data],$DD108,35),0)</f>
        <v/>
      </c>
      <c r="AL108">
        <f>IFERROR(INDEX(PP_Grid[#Data],$DD108,36),0)</f>
        <v/>
      </c>
      <c r="AM108">
        <f>IFERROR(INDEX(PP_Grid[#Data],$DD108,37),0)</f>
        <v/>
      </c>
      <c r="AN108">
        <f>IFERROR(INDEX(PP_Grid[#Data],$DD108,38),0)</f>
        <v/>
      </c>
      <c r="AO108">
        <f>IFERROR(INDEX(PP_Grid[#Data],$DD108,39),0)</f>
        <v/>
      </c>
      <c r="AP108">
        <f>IFERROR(INDEX(PP_Grid[#Data],$DD108,40),0)</f>
        <v/>
      </c>
      <c r="AQ108">
        <f>IFERROR(INDEX(PP_Grid[#Data],$DD108,41),0)</f>
        <v/>
      </c>
      <c r="AR108">
        <f>IFERROR(INDEX(PP_Grid[#Data],$DD108,42),0)</f>
        <v/>
      </c>
      <c r="AS108">
        <f>IFERROR(INDEX(PP_Grid[#Data],$DD108,43),0)</f>
        <v/>
      </c>
      <c r="AT108">
        <f>IFERROR(INDEX(PP_Grid[#Data],$DD108,44),0)</f>
        <v/>
      </c>
      <c r="AU108">
        <f>IFERROR(INDEX(PP_Grid[#Data],$DD108,45),0)</f>
        <v/>
      </c>
      <c r="AV108">
        <f>IFERROR(INDEX(PP_Grid[#Data],$DD108,46),0)</f>
        <v/>
      </c>
      <c r="AW108">
        <f>IFERROR(INDEX(PP_Grid[#Data],$DD108,47),0)</f>
        <v/>
      </c>
      <c r="AX108">
        <f>IFERROR(INDEX(PP_Grid[#Data],$DD108,48),0)</f>
        <v/>
      </c>
      <c r="AY108">
        <f>IFERROR(INDEX(PP_Grid[#Data],$DD108,49),0)</f>
        <v/>
      </c>
      <c r="AZ108">
        <f>IFERROR(INDEX(PP_Grid[#Data],$DD108,50),0)</f>
        <v/>
      </c>
      <c r="BA108">
        <f>IFERROR(INDEX(PP_Grid[#Data],$DD108,51),0)</f>
        <v/>
      </c>
      <c r="BB108">
        <f>IFERROR(INDEX(PP_Grid[#Data],$DD108,52),0)</f>
        <v/>
      </c>
      <c r="BC108">
        <f>IFERROR(INDEX(PP_Grid[#Data],$DD108,53),0)</f>
        <v/>
      </c>
      <c r="BD108">
        <f>IFERROR(INDEX(PP_Grid[#Data],$DD108,54),0)</f>
        <v/>
      </c>
      <c r="BE108">
        <f>IFERROR(INDEX(PP_Grid[#Data],$DD108,55),0)</f>
        <v/>
      </c>
      <c r="BF108">
        <f>IFERROR(INDEX(PP_Grid[#Data],$DD108,56),0)</f>
        <v/>
      </c>
      <c r="BG108">
        <f>IFERROR(INDEX(PP_Grid[#Data],$DD108,57),0)</f>
        <v/>
      </c>
      <c r="BH108">
        <f>IFERROR(INDEX(PP_Grid[#Data],$DD108,58),0)</f>
        <v/>
      </c>
      <c r="BI108">
        <f>IFERROR(INDEX(PP_Grid[#Data],$DD108,59),0)</f>
        <v/>
      </c>
      <c r="BJ108">
        <f>IFERROR(INDEX(PP_Grid[#Data],$DD108,60),0)</f>
        <v/>
      </c>
      <c r="BK108">
        <f>IFERROR(INDEX(PP_Grid[#Data],$DD108,61),0)</f>
        <v/>
      </c>
      <c r="BL108">
        <f>IFERROR(INDEX(PP_Grid[#Data],$DD108,62),0)</f>
        <v/>
      </c>
      <c r="BM108">
        <f>IFERROR(INDEX(PP_Grid[#Data],$DD108,63),0)</f>
        <v/>
      </c>
      <c r="BN108">
        <f>IFERROR(INDEX(PP_Grid[#Data],$DD108,64),0)</f>
        <v/>
      </c>
      <c r="BO108">
        <f>IFERROR(INDEX(PP_Grid[#Data],$DD108,65),0)</f>
        <v/>
      </c>
      <c r="BP108">
        <f>IFERROR(INDEX(PP_Grid[#Data],$DD108,66),0)</f>
        <v/>
      </c>
      <c r="BQ108">
        <f>IFERROR(INDEX(PP_Grid[#Data],$DD108,67),0)</f>
        <v/>
      </c>
      <c r="BR108">
        <f>IFERROR(INDEX(PP_Grid[#Data],$DD108,68),0)</f>
        <v/>
      </c>
      <c r="BS108">
        <f>IFERROR(INDEX(PP_Grid[#Data],$DD108,69),0)</f>
        <v/>
      </c>
      <c r="BT108">
        <f>IFERROR(INDEX(PP_Grid[#Data],$DD108,70),0)</f>
        <v/>
      </c>
      <c r="BU108">
        <f>IFERROR(INDEX(PP_Grid[#Data],$DD108,71),0)</f>
        <v/>
      </c>
      <c r="BV108">
        <f>IFERROR(INDEX(PP_Grid[#Data],$DD108,72),0)</f>
        <v/>
      </c>
      <c r="BW108">
        <f>IFERROR(INDEX(PP_Grid[#Data],$DD108,73),0)</f>
        <v/>
      </c>
      <c r="BX108">
        <f>IFERROR(INDEX(PP_Grid[#Data],$DD108,74),0)</f>
        <v/>
      </c>
      <c r="BY108">
        <f>IFERROR(INDEX(PP_Grid[#Data],$DD108,75),0)</f>
        <v/>
      </c>
      <c r="BZ108">
        <f>IFERROR(INDEX(PP_Grid[#Data],$DD108,76),0)</f>
        <v/>
      </c>
      <c r="CA108">
        <f>IFERROR(INDEX(PP_Grid[#Data],$DD108,77),0)</f>
        <v/>
      </c>
      <c r="CB108">
        <f>IFERROR(INDEX(PP_Grid[#Data],$DD108,78),0)</f>
        <v/>
      </c>
      <c r="CC108">
        <f>IFERROR(INDEX(PP_Grid[#Data],$DD108,79),0)</f>
        <v/>
      </c>
      <c r="CD108">
        <f>IFERROR(INDEX(PP_Grid[#Data],$DD108,80),0)</f>
        <v/>
      </c>
      <c r="CE108">
        <f>IFERROR(INDEX(PP_Grid[#Data],$DD108,81),0)</f>
        <v/>
      </c>
      <c r="CF108">
        <f>IFERROR(INDEX(PP_Grid[#Data],$DD108,82),0)</f>
        <v/>
      </c>
      <c r="CG108">
        <f>IFERROR(INDEX(PP_Grid[#Data],$DD108,83),0)</f>
        <v/>
      </c>
      <c r="CH108">
        <f>IFERROR(INDEX(PP_Grid[#Data],$DD108,84),0)</f>
        <v/>
      </c>
      <c r="CI108">
        <f>IFERROR(INDEX(PP_Grid[#Data],$DD108,85),0)</f>
        <v/>
      </c>
      <c r="CJ108">
        <f>IFERROR(INDEX(PP_Grid[#Data],$DD108,86),0)</f>
        <v/>
      </c>
      <c r="CK108">
        <f>IFERROR(INDEX(PP_Grid[#Data],$DD108,87),0)</f>
        <v/>
      </c>
      <c r="CL108">
        <f>IFERROR(INDEX(PP_Grid[#Data],$DD108,88),0)</f>
        <v/>
      </c>
      <c r="CM108">
        <f>IFERROR(INDEX(PP_Grid[#Data],$DD108,89),0)</f>
        <v/>
      </c>
      <c r="CN108">
        <f>IFERROR(INDEX(PP_Grid[#Data],$DD108,90),0)</f>
        <v/>
      </c>
      <c r="CO108">
        <f>IFERROR(INDEX(PP_Grid[#Data],$DD108,91),0)</f>
        <v/>
      </c>
      <c r="CP108">
        <f>IFERROR(INDEX(PP_Grid[#Data],$DD108,92),0)</f>
        <v/>
      </c>
      <c r="CQ108">
        <f>IFERROR(INDEX(PP_Grid[#Data],$DD108,93),0)</f>
        <v/>
      </c>
      <c r="CR108">
        <f>IFERROR(INDEX(PP_Grid[#Data],$DD108,94),0)</f>
        <v/>
      </c>
      <c r="CS108">
        <f>IFERROR(INDEX(PP_Grid[#Data],$DD108,95),0)</f>
        <v/>
      </c>
      <c r="CT108">
        <f>IFERROR(INDEX(PP_Grid[#Data],$DD108,96),0)</f>
        <v/>
      </c>
      <c r="CU108">
        <f>IFERROR(INDEX(PP_Grid[#Data],$DD108,97),0)</f>
        <v/>
      </c>
      <c r="CV108">
        <f>IFERROR(INDEX(PP_Grid[#Data],$DD108,98),0)</f>
        <v/>
      </c>
      <c r="CW108">
        <f>IFERROR(INDEX(PP_Grid[#Data],$DD108,99),0)</f>
        <v/>
      </c>
      <c r="CX108">
        <f>IFERROR(INDEX(PP_Grid[#Data],$DD108,100),0)</f>
        <v/>
      </c>
      <c r="CY108">
        <f>IFERROR(INDEX(PP_Grid[#Data],$DD108,101),0)</f>
        <v/>
      </c>
      <c r="CZ108">
        <f>IFERROR(INDEX(PP_Grid[#Data],$DD108,102),0)</f>
        <v/>
      </c>
      <c r="DA108">
        <f>IFERROR(INDEX(PP_Grid[#Data],$DD108,103),0)</f>
        <v/>
      </c>
      <c r="DB108">
        <f>IFERROR(INDEX(PP_Grid[#Data],$DD108,104),0)</f>
        <v/>
      </c>
      <c r="DC108">
        <f>IFERROR(INDEX(PP_Grid[#Data],$DD108,105),0)</f>
        <v/>
      </c>
      <c r="DD108" s="12">
        <f>IFERROR(MATCH($B108,PP_Grid[Intermediate],0),99999)</f>
        <v/>
      </c>
    </row>
    <row r="109">
      <c r="B109" t="inlineStr">
        <is>
          <t>使用量(kg)</t>
        </is>
      </c>
      <c r="C109">
        <f>SUMIFS(M_BOM[RM_Qty_Per_Batch],M_BOM[Intermediate],$B108,M_BOM[Part Name],$A45)</f>
        <v/>
      </c>
      <c r="D109">
        <f>$C109*D108</f>
        <v/>
      </c>
      <c r="E109">
        <f>$C109*E108</f>
        <v/>
      </c>
      <c r="F109">
        <f>$C109*F108</f>
        <v/>
      </c>
      <c r="G109">
        <f>$C109*G108</f>
        <v/>
      </c>
      <c r="H109">
        <f>$C109*H108</f>
        <v/>
      </c>
      <c r="I109">
        <f>$C109*I108</f>
        <v/>
      </c>
      <c r="J109">
        <f>$C109*J108</f>
        <v/>
      </c>
      <c r="K109">
        <f>$C109*K108</f>
        <v/>
      </c>
      <c r="L109">
        <f>$C109*L108</f>
        <v/>
      </c>
      <c r="M109">
        <f>$C109*M108</f>
        <v/>
      </c>
      <c r="N109">
        <f>$C109*N108</f>
        <v/>
      </c>
      <c r="O109">
        <f>$C109*O108</f>
        <v/>
      </c>
      <c r="P109">
        <f>$C109*P108</f>
        <v/>
      </c>
      <c r="Q109">
        <f>$C109*Q108</f>
        <v/>
      </c>
      <c r="R109">
        <f>$C109*R108</f>
        <v/>
      </c>
      <c r="S109">
        <f>$C109*S108</f>
        <v/>
      </c>
      <c r="T109">
        <f>$C109*T108</f>
        <v/>
      </c>
      <c r="U109">
        <f>$C109*U108</f>
        <v/>
      </c>
      <c r="V109">
        <f>$C109*V108</f>
        <v/>
      </c>
      <c r="W109">
        <f>$C109*W108</f>
        <v/>
      </c>
      <c r="X109">
        <f>$C109*X108</f>
        <v/>
      </c>
      <c r="Y109">
        <f>$C109*Y108</f>
        <v/>
      </c>
      <c r="Z109">
        <f>$C109*Z108</f>
        <v/>
      </c>
      <c r="AA109">
        <f>$C109*AA108</f>
        <v/>
      </c>
      <c r="AB109">
        <f>$C109*AB108</f>
        <v/>
      </c>
      <c r="AC109">
        <f>$C109*AC108</f>
        <v/>
      </c>
      <c r="AD109">
        <f>$C109*AD108</f>
        <v/>
      </c>
      <c r="AE109">
        <f>$C109*AE108</f>
        <v/>
      </c>
      <c r="AF109">
        <f>$C109*AF108</f>
        <v/>
      </c>
      <c r="AG109">
        <f>$C109*AG108</f>
        <v/>
      </c>
      <c r="AH109">
        <f>$C109*AH108</f>
        <v/>
      </c>
      <c r="AI109">
        <f>$C109*AI108</f>
        <v/>
      </c>
      <c r="AJ109">
        <f>$C109*AJ108</f>
        <v/>
      </c>
      <c r="AK109">
        <f>$C109*AK108</f>
        <v/>
      </c>
      <c r="AL109">
        <f>$C109*AL108</f>
        <v/>
      </c>
      <c r="AM109">
        <f>$C109*AM108</f>
        <v/>
      </c>
      <c r="AN109">
        <f>$C109*AN108</f>
        <v/>
      </c>
      <c r="AO109">
        <f>$C109*AO108</f>
        <v/>
      </c>
      <c r="AP109">
        <f>$C109*AP108</f>
        <v/>
      </c>
      <c r="AQ109">
        <f>$C109*AQ108</f>
        <v/>
      </c>
      <c r="AR109">
        <f>$C109*AR108</f>
        <v/>
      </c>
      <c r="AS109">
        <f>$C109*AS108</f>
        <v/>
      </c>
      <c r="AT109">
        <f>$C109*AT108</f>
        <v/>
      </c>
      <c r="AU109">
        <f>$C109*AU108</f>
        <v/>
      </c>
      <c r="AV109">
        <f>$C109*AV108</f>
        <v/>
      </c>
      <c r="AW109">
        <f>$C109*AW108</f>
        <v/>
      </c>
      <c r="AX109">
        <f>$C109*AX108</f>
        <v/>
      </c>
      <c r="AY109">
        <f>$C109*AY108</f>
        <v/>
      </c>
      <c r="AZ109">
        <f>$C109*AZ108</f>
        <v/>
      </c>
      <c r="BA109">
        <f>$C109*BA108</f>
        <v/>
      </c>
      <c r="BB109">
        <f>$C109*BB108</f>
        <v/>
      </c>
      <c r="BC109">
        <f>$C109*BC108</f>
        <v/>
      </c>
      <c r="BD109">
        <f>$C109*BD108</f>
        <v/>
      </c>
      <c r="BE109">
        <f>$C109*BE108</f>
        <v/>
      </c>
      <c r="BF109">
        <f>$C109*BF108</f>
        <v/>
      </c>
      <c r="BG109">
        <f>$C109*BG108</f>
        <v/>
      </c>
      <c r="BH109">
        <f>$C109*BH108</f>
        <v/>
      </c>
      <c r="BI109">
        <f>$C109*BI108</f>
        <v/>
      </c>
      <c r="BJ109">
        <f>$C109*BJ108</f>
        <v/>
      </c>
      <c r="BK109">
        <f>$C109*BK108</f>
        <v/>
      </c>
      <c r="BL109">
        <f>$C109*BL108</f>
        <v/>
      </c>
      <c r="BM109">
        <f>$C109*BM108</f>
        <v/>
      </c>
      <c r="BN109">
        <f>$C109*BN108</f>
        <v/>
      </c>
      <c r="BO109">
        <f>$C109*BO108</f>
        <v/>
      </c>
      <c r="BP109">
        <f>$C109*BP108</f>
        <v/>
      </c>
      <c r="BQ109">
        <f>$C109*BQ108</f>
        <v/>
      </c>
      <c r="BR109">
        <f>$C109*BR108</f>
        <v/>
      </c>
      <c r="BS109">
        <f>$C109*BS108</f>
        <v/>
      </c>
      <c r="BT109">
        <f>$C109*BT108</f>
        <v/>
      </c>
      <c r="BU109">
        <f>$C109*BU108</f>
        <v/>
      </c>
      <c r="BV109">
        <f>$C109*BV108</f>
        <v/>
      </c>
      <c r="BW109">
        <f>$C109*BW108</f>
        <v/>
      </c>
      <c r="BX109">
        <f>$C109*BX108</f>
        <v/>
      </c>
      <c r="BY109">
        <f>$C109*BY108</f>
        <v/>
      </c>
      <c r="BZ109">
        <f>$C109*BZ108</f>
        <v/>
      </c>
      <c r="CA109">
        <f>$C109*CA108</f>
        <v/>
      </c>
      <c r="CB109">
        <f>$C109*CB108</f>
        <v/>
      </c>
      <c r="CC109">
        <f>$C109*CC108</f>
        <v/>
      </c>
      <c r="CD109">
        <f>$C109*CD108</f>
        <v/>
      </c>
      <c r="CE109">
        <f>$C109*CE108</f>
        <v/>
      </c>
      <c r="CF109">
        <f>$C109*CF108</f>
        <v/>
      </c>
      <c r="CG109">
        <f>$C109*CG108</f>
        <v/>
      </c>
      <c r="CH109">
        <f>$C109*CH108</f>
        <v/>
      </c>
      <c r="CI109">
        <f>$C109*CI108</f>
        <v/>
      </c>
      <c r="CJ109">
        <f>$C109*CJ108</f>
        <v/>
      </c>
      <c r="CK109">
        <f>$C109*CK108</f>
        <v/>
      </c>
      <c r="CL109">
        <f>$C109*CL108</f>
        <v/>
      </c>
      <c r="CM109">
        <f>$C109*CM108</f>
        <v/>
      </c>
      <c r="CN109">
        <f>$C109*CN108</f>
        <v/>
      </c>
      <c r="CO109">
        <f>$C109*CO108</f>
        <v/>
      </c>
      <c r="CP109">
        <f>$C109*CP108</f>
        <v/>
      </c>
      <c r="CQ109">
        <f>$C109*CQ108</f>
        <v/>
      </c>
      <c r="CR109">
        <f>$C109*CR108</f>
        <v/>
      </c>
      <c r="CS109">
        <f>$C109*CS108</f>
        <v/>
      </c>
      <c r="CT109">
        <f>$C109*CT108</f>
        <v/>
      </c>
      <c r="CU109">
        <f>$C109*CU108</f>
        <v/>
      </c>
      <c r="CV109">
        <f>$C109*CV108</f>
        <v/>
      </c>
      <c r="CW109">
        <f>$C109*CW108</f>
        <v/>
      </c>
      <c r="CX109">
        <f>$C109*CX108</f>
        <v/>
      </c>
      <c r="CY109">
        <f>$C109*CY108</f>
        <v/>
      </c>
      <c r="CZ109">
        <f>$C109*CZ108</f>
        <v/>
      </c>
      <c r="DA109">
        <f>$C109*DA108</f>
        <v/>
      </c>
      <c r="DB109">
        <f>$C109*DB108</f>
        <v/>
      </c>
      <c r="DC109">
        <f>$C109*DC108</f>
        <v/>
      </c>
    </row>
    <row r="110">
      <c r="B110" t="inlineStr">
        <is>
          <t>TSP-656</t>
        </is>
      </c>
      <c r="C110" t="inlineStr">
        <is>
          <t>No. of batches</t>
        </is>
      </c>
      <c r="D110">
        <f>IFERROR(INDEX(PP_Grid[#Data],$DD110,2),0)</f>
        <v/>
      </c>
      <c r="E110">
        <f>IFERROR(INDEX(PP_Grid[#Data],$DD110,3),0)</f>
        <v/>
      </c>
      <c r="F110">
        <f>IFERROR(INDEX(PP_Grid[#Data],$DD110,4),0)</f>
        <v/>
      </c>
      <c r="G110">
        <f>IFERROR(INDEX(PP_Grid[#Data],$DD110,5),0)</f>
        <v/>
      </c>
      <c r="H110">
        <f>IFERROR(INDEX(PP_Grid[#Data],$DD110,6),0)</f>
        <v/>
      </c>
      <c r="I110">
        <f>IFERROR(INDEX(PP_Grid[#Data],$DD110,7),0)</f>
        <v/>
      </c>
      <c r="J110">
        <f>IFERROR(INDEX(PP_Grid[#Data],$DD110,8),0)</f>
        <v/>
      </c>
      <c r="K110">
        <f>IFERROR(INDEX(PP_Grid[#Data],$DD110,9),0)</f>
        <v/>
      </c>
      <c r="L110">
        <f>IFERROR(INDEX(PP_Grid[#Data],$DD110,10),0)</f>
        <v/>
      </c>
      <c r="M110">
        <f>IFERROR(INDEX(PP_Grid[#Data],$DD110,11),0)</f>
        <v/>
      </c>
      <c r="N110">
        <f>IFERROR(INDEX(PP_Grid[#Data],$DD110,12),0)</f>
        <v/>
      </c>
      <c r="O110">
        <f>IFERROR(INDEX(PP_Grid[#Data],$DD110,13),0)</f>
        <v/>
      </c>
      <c r="P110">
        <f>IFERROR(INDEX(PP_Grid[#Data],$DD110,14),0)</f>
        <v/>
      </c>
      <c r="Q110">
        <f>IFERROR(INDEX(PP_Grid[#Data],$DD110,15),0)</f>
        <v/>
      </c>
      <c r="R110">
        <f>IFERROR(INDEX(PP_Grid[#Data],$DD110,16),0)</f>
        <v/>
      </c>
      <c r="S110">
        <f>IFERROR(INDEX(PP_Grid[#Data],$DD110,17),0)</f>
        <v/>
      </c>
      <c r="T110">
        <f>IFERROR(INDEX(PP_Grid[#Data],$DD110,18),0)</f>
        <v/>
      </c>
      <c r="U110">
        <f>IFERROR(INDEX(PP_Grid[#Data],$DD110,19),0)</f>
        <v/>
      </c>
      <c r="V110">
        <f>IFERROR(INDEX(PP_Grid[#Data],$DD110,20),0)</f>
        <v/>
      </c>
      <c r="W110">
        <f>IFERROR(INDEX(PP_Grid[#Data],$DD110,21),0)</f>
        <v/>
      </c>
      <c r="X110">
        <f>IFERROR(INDEX(PP_Grid[#Data],$DD110,22),0)</f>
        <v/>
      </c>
      <c r="Y110">
        <f>IFERROR(INDEX(PP_Grid[#Data],$DD110,23),0)</f>
        <v/>
      </c>
      <c r="Z110">
        <f>IFERROR(INDEX(PP_Grid[#Data],$DD110,24),0)</f>
        <v/>
      </c>
      <c r="AA110">
        <f>IFERROR(INDEX(PP_Grid[#Data],$DD110,25),0)</f>
        <v/>
      </c>
      <c r="AB110">
        <f>IFERROR(INDEX(PP_Grid[#Data],$DD110,26),0)</f>
        <v/>
      </c>
      <c r="AC110">
        <f>IFERROR(INDEX(PP_Grid[#Data],$DD110,27),0)</f>
        <v/>
      </c>
      <c r="AD110">
        <f>IFERROR(INDEX(PP_Grid[#Data],$DD110,28),0)</f>
        <v/>
      </c>
      <c r="AE110">
        <f>IFERROR(INDEX(PP_Grid[#Data],$DD110,29),0)</f>
        <v/>
      </c>
      <c r="AF110">
        <f>IFERROR(INDEX(PP_Grid[#Data],$DD110,30),0)</f>
        <v/>
      </c>
      <c r="AG110">
        <f>IFERROR(INDEX(PP_Grid[#Data],$DD110,31),0)</f>
        <v/>
      </c>
      <c r="AH110">
        <f>IFERROR(INDEX(PP_Grid[#Data],$DD110,32),0)</f>
        <v/>
      </c>
      <c r="AI110">
        <f>IFERROR(INDEX(PP_Grid[#Data],$DD110,33),0)</f>
        <v/>
      </c>
      <c r="AJ110">
        <f>IFERROR(INDEX(PP_Grid[#Data],$DD110,34),0)</f>
        <v/>
      </c>
      <c r="AK110">
        <f>IFERROR(INDEX(PP_Grid[#Data],$DD110,35),0)</f>
        <v/>
      </c>
      <c r="AL110">
        <f>IFERROR(INDEX(PP_Grid[#Data],$DD110,36),0)</f>
        <v/>
      </c>
      <c r="AM110">
        <f>IFERROR(INDEX(PP_Grid[#Data],$DD110,37),0)</f>
        <v/>
      </c>
      <c r="AN110">
        <f>IFERROR(INDEX(PP_Grid[#Data],$DD110,38),0)</f>
        <v/>
      </c>
      <c r="AO110">
        <f>IFERROR(INDEX(PP_Grid[#Data],$DD110,39),0)</f>
        <v/>
      </c>
      <c r="AP110">
        <f>IFERROR(INDEX(PP_Grid[#Data],$DD110,40),0)</f>
        <v/>
      </c>
      <c r="AQ110">
        <f>IFERROR(INDEX(PP_Grid[#Data],$DD110,41),0)</f>
        <v/>
      </c>
      <c r="AR110">
        <f>IFERROR(INDEX(PP_Grid[#Data],$DD110,42),0)</f>
        <v/>
      </c>
      <c r="AS110">
        <f>IFERROR(INDEX(PP_Grid[#Data],$DD110,43),0)</f>
        <v/>
      </c>
      <c r="AT110">
        <f>IFERROR(INDEX(PP_Grid[#Data],$DD110,44),0)</f>
        <v/>
      </c>
      <c r="AU110">
        <f>IFERROR(INDEX(PP_Grid[#Data],$DD110,45),0)</f>
        <v/>
      </c>
      <c r="AV110">
        <f>IFERROR(INDEX(PP_Grid[#Data],$DD110,46),0)</f>
        <v/>
      </c>
      <c r="AW110">
        <f>IFERROR(INDEX(PP_Grid[#Data],$DD110,47),0)</f>
        <v/>
      </c>
      <c r="AX110">
        <f>IFERROR(INDEX(PP_Grid[#Data],$DD110,48),0)</f>
        <v/>
      </c>
      <c r="AY110">
        <f>IFERROR(INDEX(PP_Grid[#Data],$DD110,49),0)</f>
        <v/>
      </c>
      <c r="AZ110">
        <f>IFERROR(INDEX(PP_Grid[#Data],$DD110,50),0)</f>
        <v/>
      </c>
      <c r="BA110">
        <f>IFERROR(INDEX(PP_Grid[#Data],$DD110,51),0)</f>
        <v/>
      </c>
      <c r="BB110">
        <f>IFERROR(INDEX(PP_Grid[#Data],$DD110,52),0)</f>
        <v/>
      </c>
      <c r="BC110">
        <f>IFERROR(INDEX(PP_Grid[#Data],$DD110,53),0)</f>
        <v/>
      </c>
      <c r="BD110">
        <f>IFERROR(INDEX(PP_Grid[#Data],$DD110,54),0)</f>
        <v/>
      </c>
      <c r="BE110">
        <f>IFERROR(INDEX(PP_Grid[#Data],$DD110,55),0)</f>
        <v/>
      </c>
      <c r="BF110">
        <f>IFERROR(INDEX(PP_Grid[#Data],$DD110,56),0)</f>
        <v/>
      </c>
      <c r="BG110">
        <f>IFERROR(INDEX(PP_Grid[#Data],$DD110,57),0)</f>
        <v/>
      </c>
      <c r="BH110">
        <f>IFERROR(INDEX(PP_Grid[#Data],$DD110,58),0)</f>
        <v/>
      </c>
      <c r="BI110">
        <f>IFERROR(INDEX(PP_Grid[#Data],$DD110,59),0)</f>
        <v/>
      </c>
      <c r="BJ110">
        <f>IFERROR(INDEX(PP_Grid[#Data],$DD110,60),0)</f>
        <v/>
      </c>
      <c r="BK110">
        <f>IFERROR(INDEX(PP_Grid[#Data],$DD110,61),0)</f>
        <v/>
      </c>
      <c r="BL110">
        <f>IFERROR(INDEX(PP_Grid[#Data],$DD110,62),0)</f>
        <v/>
      </c>
      <c r="BM110">
        <f>IFERROR(INDEX(PP_Grid[#Data],$DD110,63),0)</f>
        <v/>
      </c>
      <c r="BN110">
        <f>IFERROR(INDEX(PP_Grid[#Data],$DD110,64),0)</f>
        <v/>
      </c>
      <c r="BO110">
        <f>IFERROR(INDEX(PP_Grid[#Data],$DD110,65),0)</f>
        <v/>
      </c>
      <c r="BP110">
        <f>IFERROR(INDEX(PP_Grid[#Data],$DD110,66),0)</f>
        <v/>
      </c>
      <c r="BQ110">
        <f>IFERROR(INDEX(PP_Grid[#Data],$DD110,67),0)</f>
        <v/>
      </c>
      <c r="BR110">
        <f>IFERROR(INDEX(PP_Grid[#Data],$DD110,68),0)</f>
        <v/>
      </c>
      <c r="BS110">
        <f>IFERROR(INDEX(PP_Grid[#Data],$DD110,69),0)</f>
        <v/>
      </c>
      <c r="BT110">
        <f>IFERROR(INDEX(PP_Grid[#Data],$DD110,70),0)</f>
        <v/>
      </c>
      <c r="BU110">
        <f>IFERROR(INDEX(PP_Grid[#Data],$DD110,71),0)</f>
        <v/>
      </c>
      <c r="BV110">
        <f>IFERROR(INDEX(PP_Grid[#Data],$DD110,72),0)</f>
        <v/>
      </c>
      <c r="BW110">
        <f>IFERROR(INDEX(PP_Grid[#Data],$DD110,73),0)</f>
        <v/>
      </c>
      <c r="BX110">
        <f>IFERROR(INDEX(PP_Grid[#Data],$DD110,74),0)</f>
        <v/>
      </c>
      <c r="BY110">
        <f>IFERROR(INDEX(PP_Grid[#Data],$DD110,75),0)</f>
        <v/>
      </c>
      <c r="BZ110">
        <f>IFERROR(INDEX(PP_Grid[#Data],$DD110,76),0)</f>
        <v/>
      </c>
      <c r="CA110">
        <f>IFERROR(INDEX(PP_Grid[#Data],$DD110,77),0)</f>
        <v/>
      </c>
      <c r="CB110">
        <f>IFERROR(INDEX(PP_Grid[#Data],$DD110,78),0)</f>
        <v/>
      </c>
      <c r="CC110">
        <f>IFERROR(INDEX(PP_Grid[#Data],$DD110,79),0)</f>
        <v/>
      </c>
      <c r="CD110">
        <f>IFERROR(INDEX(PP_Grid[#Data],$DD110,80),0)</f>
        <v/>
      </c>
      <c r="CE110">
        <f>IFERROR(INDEX(PP_Grid[#Data],$DD110,81),0)</f>
        <v/>
      </c>
      <c r="CF110">
        <f>IFERROR(INDEX(PP_Grid[#Data],$DD110,82),0)</f>
        <v/>
      </c>
      <c r="CG110">
        <f>IFERROR(INDEX(PP_Grid[#Data],$DD110,83),0)</f>
        <v/>
      </c>
      <c r="CH110">
        <f>IFERROR(INDEX(PP_Grid[#Data],$DD110,84),0)</f>
        <v/>
      </c>
      <c r="CI110">
        <f>IFERROR(INDEX(PP_Grid[#Data],$DD110,85),0)</f>
        <v/>
      </c>
      <c r="CJ110">
        <f>IFERROR(INDEX(PP_Grid[#Data],$DD110,86),0)</f>
        <v/>
      </c>
      <c r="CK110">
        <f>IFERROR(INDEX(PP_Grid[#Data],$DD110,87),0)</f>
        <v/>
      </c>
      <c r="CL110">
        <f>IFERROR(INDEX(PP_Grid[#Data],$DD110,88),0)</f>
        <v/>
      </c>
      <c r="CM110">
        <f>IFERROR(INDEX(PP_Grid[#Data],$DD110,89),0)</f>
        <v/>
      </c>
      <c r="CN110">
        <f>IFERROR(INDEX(PP_Grid[#Data],$DD110,90),0)</f>
        <v/>
      </c>
      <c r="CO110">
        <f>IFERROR(INDEX(PP_Grid[#Data],$DD110,91),0)</f>
        <v/>
      </c>
      <c r="CP110">
        <f>IFERROR(INDEX(PP_Grid[#Data],$DD110,92),0)</f>
        <v/>
      </c>
      <c r="CQ110">
        <f>IFERROR(INDEX(PP_Grid[#Data],$DD110,93),0)</f>
        <v/>
      </c>
      <c r="CR110">
        <f>IFERROR(INDEX(PP_Grid[#Data],$DD110,94),0)</f>
        <v/>
      </c>
      <c r="CS110">
        <f>IFERROR(INDEX(PP_Grid[#Data],$DD110,95),0)</f>
        <v/>
      </c>
      <c r="CT110">
        <f>IFERROR(INDEX(PP_Grid[#Data],$DD110,96),0)</f>
        <v/>
      </c>
      <c r="CU110">
        <f>IFERROR(INDEX(PP_Grid[#Data],$DD110,97),0)</f>
        <v/>
      </c>
      <c r="CV110">
        <f>IFERROR(INDEX(PP_Grid[#Data],$DD110,98),0)</f>
        <v/>
      </c>
      <c r="CW110">
        <f>IFERROR(INDEX(PP_Grid[#Data],$DD110,99),0)</f>
        <v/>
      </c>
      <c r="CX110">
        <f>IFERROR(INDEX(PP_Grid[#Data],$DD110,100),0)</f>
        <v/>
      </c>
      <c r="CY110">
        <f>IFERROR(INDEX(PP_Grid[#Data],$DD110,101),0)</f>
        <v/>
      </c>
      <c r="CZ110">
        <f>IFERROR(INDEX(PP_Grid[#Data],$DD110,102),0)</f>
        <v/>
      </c>
      <c r="DA110">
        <f>IFERROR(INDEX(PP_Grid[#Data],$DD110,103),0)</f>
        <v/>
      </c>
      <c r="DB110">
        <f>IFERROR(INDEX(PP_Grid[#Data],$DD110,104),0)</f>
        <v/>
      </c>
      <c r="DC110">
        <f>IFERROR(INDEX(PP_Grid[#Data],$DD110,105),0)</f>
        <v/>
      </c>
      <c r="DD110" s="12">
        <f>IFERROR(MATCH($B110,PP_Grid[Intermediate],0),99999)</f>
        <v/>
      </c>
    </row>
    <row r="111">
      <c r="B111" t="inlineStr">
        <is>
          <t>使用量(kg)</t>
        </is>
      </c>
      <c r="C111">
        <f>SUMIFS(M_BOM[RM_Qty_Per_Batch],M_BOM[Intermediate],$B110,M_BOM[Part Name],$A45)</f>
        <v/>
      </c>
      <c r="D111">
        <f>$C111*D110</f>
        <v/>
      </c>
      <c r="E111">
        <f>$C111*E110</f>
        <v/>
      </c>
      <c r="F111">
        <f>$C111*F110</f>
        <v/>
      </c>
      <c r="G111">
        <f>$C111*G110</f>
        <v/>
      </c>
      <c r="H111">
        <f>$C111*H110</f>
        <v/>
      </c>
      <c r="I111">
        <f>$C111*I110</f>
        <v/>
      </c>
      <c r="J111">
        <f>$C111*J110</f>
        <v/>
      </c>
      <c r="K111">
        <f>$C111*K110</f>
        <v/>
      </c>
      <c r="L111">
        <f>$C111*L110</f>
        <v/>
      </c>
      <c r="M111">
        <f>$C111*M110</f>
        <v/>
      </c>
      <c r="N111">
        <f>$C111*N110</f>
        <v/>
      </c>
      <c r="O111">
        <f>$C111*O110</f>
        <v/>
      </c>
      <c r="P111">
        <f>$C111*P110</f>
        <v/>
      </c>
      <c r="Q111">
        <f>$C111*Q110</f>
        <v/>
      </c>
      <c r="R111">
        <f>$C111*R110</f>
        <v/>
      </c>
      <c r="S111">
        <f>$C111*S110</f>
        <v/>
      </c>
      <c r="T111">
        <f>$C111*T110</f>
        <v/>
      </c>
      <c r="U111">
        <f>$C111*U110</f>
        <v/>
      </c>
      <c r="V111">
        <f>$C111*V110</f>
        <v/>
      </c>
      <c r="W111">
        <f>$C111*W110</f>
        <v/>
      </c>
      <c r="X111">
        <f>$C111*X110</f>
        <v/>
      </c>
      <c r="Y111">
        <f>$C111*Y110</f>
        <v/>
      </c>
      <c r="Z111">
        <f>$C111*Z110</f>
        <v/>
      </c>
      <c r="AA111">
        <f>$C111*AA110</f>
        <v/>
      </c>
      <c r="AB111">
        <f>$C111*AB110</f>
        <v/>
      </c>
      <c r="AC111">
        <f>$C111*AC110</f>
        <v/>
      </c>
      <c r="AD111">
        <f>$C111*AD110</f>
        <v/>
      </c>
      <c r="AE111">
        <f>$C111*AE110</f>
        <v/>
      </c>
      <c r="AF111">
        <f>$C111*AF110</f>
        <v/>
      </c>
      <c r="AG111">
        <f>$C111*AG110</f>
        <v/>
      </c>
      <c r="AH111">
        <f>$C111*AH110</f>
        <v/>
      </c>
      <c r="AI111">
        <f>$C111*AI110</f>
        <v/>
      </c>
      <c r="AJ111">
        <f>$C111*AJ110</f>
        <v/>
      </c>
      <c r="AK111">
        <f>$C111*AK110</f>
        <v/>
      </c>
      <c r="AL111">
        <f>$C111*AL110</f>
        <v/>
      </c>
      <c r="AM111">
        <f>$C111*AM110</f>
        <v/>
      </c>
      <c r="AN111">
        <f>$C111*AN110</f>
        <v/>
      </c>
      <c r="AO111">
        <f>$C111*AO110</f>
        <v/>
      </c>
      <c r="AP111">
        <f>$C111*AP110</f>
        <v/>
      </c>
      <c r="AQ111">
        <f>$C111*AQ110</f>
        <v/>
      </c>
      <c r="AR111">
        <f>$C111*AR110</f>
        <v/>
      </c>
      <c r="AS111">
        <f>$C111*AS110</f>
        <v/>
      </c>
      <c r="AT111">
        <f>$C111*AT110</f>
        <v/>
      </c>
      <c r="AU111">
        <f>$C111*AU110</f>
        <v/>
      </c>
      <c r="AV111">
        <f>$C111*AV110</f>
        <v/>
      </c>
      <c r="AW111">
        <f>$C111*AW110</f>
        <v/>
      </c>
      <c r="AX111">
        <f>$C111*AX110</f>
        <v/>
      </c>
      <c r="AY111">
        <f>$C111*AY110</f>
        <v/>
      </c>
      <c r="AZ111">
        <f>$C111*AZ110</f>
        <v/>
      </c>
      <c r="BA111">
        <f>$C111*BA110</f>
        <v/>
      </c>
      <c r="BB111">
        <f>$C111*BB110</f>
        <v/>
      </c>
      <c r="BC111">
        <f>$C111*BC110</f>
        <v/>
      </c>
      <c r="BD111">
        <f>$C111*BD110</f>
        <v/>
      </c>
      <c r="BE111">
        <f>$C111*BE110</f>
        <v/>
      </c>
      <c r="BF111">
        <f>$C111*BF110</f>
        <v/>
      </c>
      <c r="BG111">
        <f>$C111*BG110</f>
        <v/>
      </c>
      <c r="BH111">
        <f>$C111*BH110</f>
        <v/>
      </c>
      <c r="BI111">
        <f>$C111*BI110</f>
        <v/>
      </c>
      <c r="BJ111">
        <f>$C111*BJ110</f>
        <v/>
      </c>
      <c r="BK111">
        <f>$C111*BK110</f>
        <v/>
      </c>
      <c r="BL111">
        <f>$C111*BL110</f>
        <v/>
      </c>
      <c r="BM111">
        <f>$C111*BM110</f>
        <v/>
      </c>
      <c r="BN111">
        <f>$C111*BN110</f>
        <v/>
      </c>
      <c r="BO111">
        <f>$C111*BO110</f>
        <v/>
      </c>
      <c r="BP111">
        <f>$C111*BP110</f>
        <v/>
      </c>
      <c r="BQ111">
        <f>$C111*BQ110</f>
        <v/>
      </c>
      <c r="BR111">
        <f>$C111*BR110</f>
        <v/>
      </c>
      <c r="BS111">
        <f>$C111*BS110</f>
        <v/>
      </c>
      <c r="BT111">
        <f>$C111*BT110</f>
        <v/>
      </c>
      <c r="BU111">
        <f>$C111*BU110</f>
        <v/>
      </c>
      <c r="BV111">
        <f>$C111*BV110</f>
        <v/>
      </c>
      <c r="BW111">
        <f>$C111*BW110</f>
        <v/>
      </c>
      <c r="BX111">
        <f>$C111*BX110</f>
        <v/>
      </c>
      <c r="BY111">
        <f>$C111*BY110</f>
        <v/>
      </c>
      <c r="BZ111">
        <f>$C111*BZ110</f>
        <v/>
      </c>
      <c r="CA111">
        <f>$C111*CA110</f>
        <v/>
      </c>
      <c r="CB111">
        <f>$C111*CB110</f>
        <v/>
      </c>
      <c r="CC111">
        <f>$C111*CC110</f>
        <v/>
      </c>
      <c r="CD111">
        <f>$C111*CD110</f>
        <v/>
      </c>
      <c r="CE111">
        <f>$C111*CE110</f>
        <v/>
      </c>
      <c r="CF111">
        <f>$C111*CF110</f>
        <v/>
      </c>
      <c r="CG111">
        <f>$C111*CG110</f>
        <v/>
      </c>
      <c r="CH111">
        <f>$C111*CH110</f>
        <v/>
      </c>
      <c r="CI111">
        <f>$C111*CI110</f>
        <v/>
      </c>
      <c r="CJ111">
        <f>$C111*CJ110</f>
        <v/>
      </c>
      <c r="CK111">
        <f>$C111*CK110</f>
        <v/>
      </c>
      <c r="CL111">
        <f>$C111*CL110</f>
        <v/>
      </c>
      <c r="CM111">
        <f>$C111*CM110</f>
        <v/>
      </c>
      <c r="CN111">
        <f>$C111*CN110</f>
        <v/>
      </c>
      <c r="CO111">
        <f>$C111*CO110</f>
        <v/>
      </c>
      <c r="CP111">
        <f>$C111*CP110</f>
        <v/>
      </c>
      <c r="CQ111">
        <f>$C111*CQ110</f>
        <v/>
      </c>
      <c r="CR111">
        <f>$C111*CR110</f>
        <v/>
      </c>
      <c r="CS111">
        <f>$C111*CS110</f>
        <v/>
      </c>
      <c r="CT111">
        <f>$C111*CT110</f>
        <v/>
      </c>
      <c r="CU111">
        <f>$C111*CU110</f>
        <v/>
      </c>
      <c r="CV111">
        <f>$C111*CV110</f>
        <v/>
      </c>
      <c r="CW111">
        <f>$C111*CW110</f>
        <v/>
      </c>
      <c r="CX111">
        <f>$C111*CX110</f>
        <v/>
      </c>
      <c r="CY111">
        <f>$C111*CY110</f>
        <v/>
      </c>
      <c r="CZ111">
        <f>$C111*CZ110</f>
        <v/>
      </c>
      <c r="DA111">
        <f>$C111*DA110</f>
        <v/>
      </c>
      <c r="DB111">
        <f>$C111*DB110</f>
        <v/>
      </c>
      <c r="DC111">
        <f>$C111*DC110</f>
        <v/>
      </c>
    </row>
    <row r="112">
      <c r="B112" t="inlineStr">
        <is>
          <t>TSP-668</t>
        </is>
      </c>
      <c r="C112" t="inlineStr">
        <is>
          <t>No. of batches</t>
        </is>
      </c>
      <c r="D112">
        <f>IFERROR(INDEX(PP_Grid[#Data],$DD112,2),0)</f>
        <v/>
      </c>
      <c r="E112">
        <f>IFERROR(INDEX(PP_Grid[#Data],$DD112,3),0)</f>
        <v/>
      </c>
      <c r="F112">
        <f>IFERROR(INDEX(PP_Grid[#Data],$DD112,4),0)</f>
        <v/>
      </c>
      <c r="G112">
        <f>IFERROR(INDEX(PP_Grid[#Data],$DD112,5),0)</f>
        <v/>
      </c>
      <c r="H112">
        <f>IFERROR(INDEX(PP_Grid[#Data],$DD112,6),0)</f>
        <v/>
      </c>
      <c r="I112">
        <f>IFERROR(INDEX(PP_Grid[#Data],$DD112,7),0)</f>
        <v/>
      </c>
      <c r="J112">
        <f>IFERROR(INDEX(PP_Grid[#Data],$DD112,8),0)</f>
        <v/>
      </c>
      <c r="K112">
        <f>IFERROR(INDEX(PP_Grid[#Data],$DD112,9),0)</f>
        <v/>
      </c>
      <c r="L112">
        <f>IFERROR(INDEX(PP_Grid[#Data],$DD112,10),0)</f>
        <v/>
      </c>
      <c r="M112">
        <f>IFERROR(INDEX(PP_Grid[#Data],$DD112,11),0)</f>
        <v/>
      </c>
      <c r="N112">
        <f>IFERROR(INDEX(PP_Grid[#Data],$DD112,12),0)</f>
        <v/>
      </c>
      <c r="O112">
        <f>IFERROR(INDEX(PP_Grid[#Data],$DD112,13),0)</f>
        <v/>
      </c>
      <c r="P112">
        <f>IFERROR(INDEX(PP_Grid[#Data],$DD112,14),0)</f>
        <v/>
      </c>
      <c r="Q112">
        <f>IFERROR(INDEX(PP_Grid[#Data],$DD112,15),0)</f>
        <v/>
      </c>
      <c r="R112">
        <f>IFERROR(INDEX(PP_Grid[#Data],$DD112,16),0)</f>
        <v/>
      </c>
      <c r="S112">
        <f>IFERROR(INDEX(PP_Grid[#Data],$DD112,17),0)</f>
        <v/>
      </c>
      <c r="T112">
        <f>IFERROR(INDEX(PP_Grid[#Data],$DD112,18),0)</f>
        <v/>
      </c>
      <c r="U112">
        <f>IFERROR(INDEX(PP_Grid[#Data],$DD112,19),0)</f>
        <v/>
      </c>
      <c r="V112">
        <f>IFERROR(INDEX(PP_Grid[#Data],$DD112,20),0)</f>
        <v/>
      </c>
      <c r="W112">
        <f>IFERROR(INDEX(PP_Grid[#Data],$DD112,21),0)</f>
        <v/>
      </c>
      <c r="X112">
        <f>IFERROR(INDEX(PP_Grid[#Data],$DD112,22),0)</f>
        <v/>
      </c>
      <c r="Y112">
        <f>IFERROR(INDEX(PP_Grid[#Data],$DD112,23),0)</f>
        <v/>
      </c>
      <c r="Z112">
        <f>IFERROR(INDEX(PP_Grid[#Data],$DD112,24),0)</f>
        <v/>
      </c>
      <c r="AA112">
        <f>IFERROR(INDEX(PP_Grid[#Data],$DD112,25),0)</f>
        <v/>
      </c>
      <c r="AB112">
        <f>IFERROR(INDEX(PP_Grid[#Data],$DD112,26),0)</f>
        <v/>
      </c>
      <c r="AC112">
        <f>IFERROR(INDEX(PP_Grid[#Data],$DD112,27),0)</f>
        <v/>
      </c>
      <c r="AD112">
        <f>IFERROR(INDEX(PP_Grid[#Data],$DD112,28),0)</f>
        <v/>
      </c>
      <c r="AE112">
        <f>IFERROR(INDEX(PP_Grid[#Data],$DD112,29),0)</f>
        <v/>
      </c>
      <c r="AF112">
        <f>IFERROR(INDEX(PP_Grid[#Data],$DD112,30),0)</f>
        <v/>
      </c>
      <c r="AG112">
        <f>IFERROR(INDEX(PP_Grid[#Data],$DD112,31),0)</f>
        <v/>
      </c>
      <c r="AH112">
        <f>IFERROR(INDEX(PP_Grid[#Data],$DD112,32),0)</f>
        <v/>
      </c>
      <c r="AI112">
        <f>IFERROR(INDEX(PP_Grid[#Data],$DD112,33),0)</f>
        <v/>
      </c>
      <c r="AJ112">
        <f>IFERROR(INDEX(PP_Grid[#Data],$DD112,34),0)</f>
        <v/>
      </c>
      <c r="AK112">
        <f>IFERROR(INDEX(PP_Grid[#Data],$DD112,35),0)</f>
        <v/>
      </c>
      <c r="AL112">
        <f>IFERROR(INDEX(PP_Grid[#Data],$DD112,36),0)</f>
        <v/>
      </c>
      <c r="AM112">
        <f>IFERROR(INDEX(PP_Grid[#Data],$DD112,37),0)</f>
        <v/>
      </c>
      <c r="AN112">
        <f>IFERROR(INDEX(PP_Grid[#Data],$DD112,38),0)</f>
        <v/>
      </c>
      <c r="AO112">
        <f>IFERROR(INDEX(PP_Grid[#Data],$DD112,39),0)</f>
        <v/>
      </c>
      <c r="AP112">
        <f>IFERROR(INDEX(PP_Grid[#Data],$DD112,40),0)</f>
        <v/>
      </c>
      <c r="AQ112">
        <f>IFERROR(INDEX(PP_Grid[#Data],$DD112,41),0)</f>
        <v/>
      </c>
      <c r="AR112">
        <f>IFERROR(INDEX(PP_Grid[#Data],$DD112,42),0)</f>
        <v/>
      </c>
      <c r="AS112">
        <f>IFERROR(INDEX(PP_Grid[#Data],$DD112,43),0)</f>
        <v/>
      </c>
      <c r="AT112">
        <f>IFERROR(INDEX(PP_Grid[#Data],$DD112,44),0)</f>
        <v/>
      </c>
      <c r="AU112">
        <f>IFERROR(INDEX(PP_Grid[#Data],$DD112,45),0)</f>
        <v/>
      </c>
      <c r="AV112">
        <f>IFERROR(INDEX(PP_Grid[#Data],$DD112,46),0)</f>
        <v/>
      </c>
      <c r="AW112">
        <f>IFERROR(INDEX(PP_Grid[#Data],$DD112,47),0)</f>
        <v/>
      </c>
      <c r="AX112">
        <f>IFERROR(INDEX(PP_Grid[#Data],$DD112,48),0)</f>
        <v/>
      </c>
      <c r="AY112">
        <f>IFERROR(INDEX(PP_Grid[#Data],$DD112,49),0)</f>
        <v/>
      </c>
      <c r="AZ112">
        <f>IFERROR(INDEX(PP_Grid[#Data],$DD112,50),0)</f>
        <v/>
      </c>
      <c r="BA112">
        <f>IFERROR(INDEX(PP_Grid[#Data],$DD112,51),0)</f>
        <v/>
      </c>
      <c r="BB112">
        <f>IFERROR(INDEX(PP_Grid[#Data],$DD112,52),0)</f>
        <v/>
      </c>
      <c r="BC112">
        <f>IFERROR(INDEX(PP_Grid[#Data],$DD112,53),0)</f>
        <v/>
      </c>
      <c r="BD112">
        <f>IFERROR(INDEX(PP_Grid[#Data],$DD112,54),0)</f>
        <v/>
      </c>
      <c r="BE112">
        <f>IFERROR(INDEX(PP_Grid[#Data],$DD112,55),0)</f>
        <v/>
      </c>
      <c r="BF112">
        <f>IFERROR(INDEX(PP_Grid[#Data],$DD112,56),0)</f>
        <v/>
      </c>
      <c r="BG112">
        <f>IFERROR(INDEX(PP_Grid[#Data],$DD112,57),0)</f>
        <v/>
      </c>
      <c r="BH112">
        <f>IFERROR(INDEX(PP_Grid[#Data],$DD112,58),0)</f>
        <v/>
      </c>
      <c r="BI112">
        <f>IFERROR(INDEX(PP_Grid[#Data],$DD112,59),0)</f>
        <v/>
      </c>
      <c r="BJ112">
        <f>IFERROR(INDEX(PP_Grid[#Data],$DD112,60),0)</f>
        <v/>
      </c>
      <c r="BK112">
        <f>IFERROR(INDEX(PP_Grid[#Data],$DD112,61),0)</f>
        <v/>
      </c>
      <c r="BL112">
        <f>IFERROR(INDEX(PP_Grid[#Data],$DD112,62),0)</f>
        <v/>
      </c>
      <c r="BM112">
        <f>IFERROR(INDEX(PP_Grid[#Data],$DD112,63),0)</f>
        <v/>
      </c>
      <c r="BN112">
        <f>IFERROR(INDEX(PP_Grid[#Data],$DD112,64),0)</f>
        <v/>
      </c>
      <c r="BO112">
        <f>IFERROR(INDEX(PP_Grid[#Data],$DD112,65),0)</f>
        <v/>
      </c>
      <c r="BP112">
        <f>IFERROR(INDEX(PP_Grid[#Data],$DD112,66),0)</f>
        <v/>
      </c>
      <c r="BQ112">
        <f>IFERROR(INDEX(PP_Grid[#Data],$DD112,67),0)</f>
        <v/>
      </c>
      <c r="BR112">
        <f>IFERROR(INDEX(PP_Grid[#Data],$DD112,68),0)</f>
        <v/>
      </c>
      <c r="BS112">
        <f>IFERROR(INDEX(PP_Grid[#Data],$DD112,69),0)</f>
        <v/>
      </c>
      <c r="BT112">
        <f>IFERROR(INDEX(PP_Grid[#Data],$DD112,70),0)</f>
        <v/>
      </c>
      <c r="BU112">
        <f>IFERROR(INDEX(PP_Grid[#Data],$DD112,71),0)</f>
        <v/>
      </c>
      <c r="BV112">
        <f>IFERROR(INDEX(PP_Grid[#Data],$DD112,72),0)</f>
        <v/>
      </c>
      <c r="BW112">
        <f>IFERROR(INDEX(PP_Grid[#Data],$DD112,73),0)</f>
        <v/>
      </c>
      <c r="BX112">
        <f>IFERROR(INDEX(PP_Grid[#Data],$DD112,74),0)</f>
        <v/>
      </c>
      <c r="BY112">
        <f>IFERROR(INDEX(PP_Grid[#Data],$DD112,75),0)</f>
        <v/>
      </c>
      <c r="BZ112">
        <f>IFERROR(INDEX(PP_Grid[#Data],$DD112,76),0)</f>
        <v/>
      </c>
      <c r="CA112">
        <f>IFERROR(INDEX(PP_Grid[#Data],$DD112,77),0)</f>
        <v/>
      </c>
      <c r="CB112">
        <f>IFERROR(INDEX(PP_Grid[#Data],$DD112,78),0)</f>
        <v/>
      </c>
      <c r="CC112">
        <f>IFERROR(INDEX(PP_Grid[#Data],$DD112,79),0)</f>
        <v/>
      </c>
      <c r="CD112">
        <f>IFERROR(INDEX(PP_Grid[#Data],$DD112,80),0)</f>
        <v/>
      </c>
      <c r="CE112">
        <f>IFERROR(INDEX(PP_Grid[#Data],$DD112,81),0)</f>
        <v/>
      </c>
      <c r="CF112">
        <f>IFERROR(INDEX(PP_Grid[#Data],$DD112,82),0)</f>
        <v/>
      </c>
      <c r="CG112">
        <f>IFERROR(INDEX(PP_Grid[#Data],$DD112,83),0)</f>
        <v/>
      </c>
      <c r="CH112">
        <f>IFERROR(INDEX(PP_Grid[#Data],$DD112,84),0)</f>
        <v/>
      </c>
      <c r="CI112">
        <f>IFERROR(INDEX(PP_Grid[#Data],$DD112,85),0)</f>
        <v/>
      </c>
      <c r="CJ112">
        <f>IFERROR(INDEX(PP_Grid[#Data],$DD112,86),0)</f>
        <v/>
      </c>
      <c r="CK112">
        <f>IFERROR(INDEX(PP_Grid[#Data],$DD112,87),0)</f>
        <v/>
      </c>
      <c r="CL112">
        <f>IFERROR(INDEX(PP_Grid[#Data],$DD112,88),0)</f>
        <v/>
      </c>
      <c r="CM112">
        <f>IFERROR(INDEX(PP_Grid[#Data],$DD112,89),0)</f>
        <v/>
      </c>
      <c r="CN112">
        <f>IFERROR(INDEX(PP_Grid[#Data],$DD112,90),0)</f>
        <v/>
      </c>
      <c r="CO112">
        <f>IFERROR(INDEX(PP_Grid[#Data],$DD112,91),0)</f>
        <v/>
      </c>
      <c r="CP112">
        <f>IFERROR(INDEX(PP_Grid[#Data],$DD112,92),0)</f>
        <v/>
      </c>
      <c r="CQ112">
        <f>IFERROR(INDEX(PP_Grid[#Data],$DD112,93),0)</f>
        <v/>
      </c>
      <c r="CR112">
        <f>IFERROR(INDEX(PP_Grid[#Data],$DD112,94),0)</f>
        <v/>
      </c>
      <c r="CS112">
        <f>IFERROR(INDEX(PP_Grid[#Data],$DD112,95),0)</f>
        <v/>
      </c>
      <c r="CT112">
        <f>IFERROR(INDEX(PP_Grid[#Data],$DD112,96),0)</f>
        <v/>
      </c>
      <c r="CU112">
        <f>IFERROR(INDEX(PP_Grid[#Data],$DD112,97),0)</f>
        <v/>
      </c>
      <c r="CV112">
        <f>IFERROR(INDEX(PP_Grid[#Data],$DD112,98),0)</f>
        <v/>
      </c>
      <c r="CW112">
        <f>IFERROR(INDEX(PP_Grid[#Data],$DD112,99),0)</f>
        <v/>
      </c>
      <c r="CX112">
        <f>IFERROR(INDEX(PP_Grid[#Data],$DD112,100),0)</f>
        <v/>
      </c>
      <c r="CY112">
        <f>IFERROR(INDEX(PP_Grid[#Data],$DD112,101),0)</f>
        <v/>
      </c>
      <c r="CZ112">
        <f>IFERROR(INDEX(PP_Grid[#Data],$DD112,102),0)</f>
        <v/>
      </c>
      <c r="DA112">
        <f>IFERROR(INDEX(PP_Grid[#Data],$DD112,103),0)</f>
        <v/>
      </c>
      <c r="DB112">
        <f>IFERROR(INDEX(PP_Grid[#Data],$DD112,104),0)</f>
        <v/>
      </c>
      <c r="DC112">
        <f>IFERROR(INDEX(PP_Grid[#Data],$DD112,105),0)</f>
        <v/>
      </c>
      <c r="DD112" s="12">
        <f>IFERROR(MATCH($B112,PP_Grid[Intermediate],0),99999)</f>
        <v/>
      </c>
    </row>
    <row r="113">
      <c r="B113" t="inlineStr">
        <is>
          <t>使用量(kg)</t>
        </is>
      </c>
      <c r="C113">
        <f>SUMIFS(M_BOM[RM_Qty_Per_Batch],M_BOM[Intermediate],$B112,M_BOM[Part Name],$A45)</f>
        <v/>
      </c>
      <c r="D113">
        <f>$C113*D112</f>
        <v/>
      </c>
      <c r="E113">
        <f>$C113*E112</f>
        <v/>
      </c>
      <c r="F113">
        <f>$C113*F112</f>
        <v/>
      </c>
      <c r="G113">
        <f>$C113*G112</f>
        <v/>
      </c>
      <c r="H113">
        <f>$C113*H112</f>
        <v/>
      </c>
      <c r="I113">
        <f>$C113*I112</f>
        <v/>
      </c>
      <c r="J113">
        <f>$C113*J112</f>
        <v/>
      </c>
      <c r="K113">
        <f>$C113*K112</f>
        <v/>
      </c>
      <c r="L113">
        <f>$C113*L112</f>
        <v/>
      </c>
      <c r="M113">
        <f>$C113*M112</f>
        <v/>
      </c>
      <c r="N113">
        <f>$C113*N112</f>
        <v/>
      </c>
      <c r="O113">
        <f>$C113*O112</f>
        <v/>
      </c>
      <c r="P113">
        <f>$C113*P112</f>
        <v/>
      </c>
      <c r="Q113">
        <f>$C113*Q112</f>
        <v/>
      </c>
      <c r="R113">
        <f>$C113*R112</f>
        <v/>
      </c>
      <c r="S113">
        <f>$C113*S112</f>
        <v/>
      </c>
      <c r="T113">
        <f>$C113*T112</f>
        <v/>
      </c>
      <c r="U113">
        <f>$C113*U112</f>
        <v/>
      </c>
      <c r="V113">
        <f>$C113*V112</f>
        <v/>
      </c>
      <c r="W113">
        <f>$C113*W112</f>
        <v/>
      </c>
      <c r="X113">
        <f>$C113*X112</f>
        <v/>
      </c>
      <c r="Y113">
        <f>$C113*Y112</f>
        <v/>
      </c>
      <c r="Z113">
        <f>$C113*Z112</f>
        <v/>
      </c>
      <c r="AA113">
        <f>$C113*AA112</f>
        <v/>
      </c>
      <c r="AB113">
        <f>$C113*AB112</f>
        <v/>
      </c>
      <c r="AC113">
        <f>$C113*AC112</f>
        <v/>
      </c>
      <c r="AD113">
        <f>$C113*AD112</f>
        <v/>
      </c>
      <c r="AE113">
        <f>$C113*AE112</f>
        <v/>
      </c>
      <c r="AF113">
        <f>$C113*AF112</f>
        <v/>
      </c>
      <c r="AG113">
        <f>$C113*AG112</f>
        <v/>
      </c>
      <c r="AH113">
        <f>$C113*AH112</f>
        <v/>
      </c>
      <c r="AI113">
        <f>$C113*AI112</f>
        <v/>
      </c>
      <c r="AJ113">
        <f>$C113*AJ112</f>
        <v/>
      </c>
      <c r="AK113">
        <f>$C113*AK112</f>
        <v/>
      </c>
      <c r="AL113">
        <f>$C113*AL112</f>
        <v/>
      </c>
      <c r="AM113">
        <f>$C113*AM112</f>
        <v/>
      </c>
      <c r="AN113">
        <f>$C113*AN112</f>
        <v/>
      </c>
      <c r="AO113">
        <f>$C113*AO112</f>
        <v/>
      </c>
      <c r="AP113">
        <f>$C113*AP112</f>
        <v/>
      </c>
      <c r="AQ113">
        <f>$C113*AQ112</f>
        <v/>
      </c>
      <c r="AR113">
        <f>$C113*AR112</f>
        <v/>
      </c>
      <c r="AS113">
        <f>$C113*AS112</f>
        <v/>
      </c>
      <c r="AT113">
        <f>$C113*AT112</f>
        <v/>
      </c>
      <c r="AU113">
        <f>$C113*AU112</f>
        <v/>
      </c>
      <c r="AV113">
        <f>$C113*AV112</f>
        <v/>
      </c>
      <c r="AW113">
        <f>$C113*AW112</f>
        <v/>
      </c>
      <c r="AX113">
        <f>$C113*AX112</f>
        <v/>
      </c>
      <c r="AY113">
        <f>$C113*AY112</f>
        <v/>
      </c>
      <c r="AZ113">
        <f>$C113*AZ112</f>
        <v/>
      </c>
      <c r="BA113">
        <f>$C113*BA112</f>
        <v/>
      </c>
      <c r="BB113">
        <f>$C113*BB112</f>
        <v/>
      </c>
      <c r="BC113">
        <f>$C113*BC112</f>
        <v/>
      </c>
      <c r="BD113">
        <f>$C113*BD112</f>
        <v/>
      </c>
      <c r="BE113">
        <f>$C113*BE112</f>
        <v/>
      </c>
      <c r="BF113">
        <f>$C113*BF112</f>
        <v/>
      </c>
      <c r="BG113">
        <f>$C113*BG112</f>
        <v/>
      </c>
      <c r="BH113">
        <f>$C113*BH112</f>
        <v/>
      </c>
      <c r="BI113">
        <f>$C113*BI112</f>
        <v/>
      </c>
      <c r="BJ113">
        <f>$C113*BJ112</f>
        <v/>
      </c>
      <c r="BK113">
        <f>$C113*BK112</f>
        <v/>
      </c>
      <c r="BL113">
        <f>$C113*BL112</f>
        <v/>
      </c>
      <c r="BM113">
        <f>$C113*BM112</f>
        <v/>
      </c>
      <c r="BN113">
        <f>$C113*BN112</f>
        <v/>
      </c>
      <c r="BO113">
        <f>$C113*BO112</f>
        <v/>
      </c>
      <c r="BP113">
        <f>$C113*BP112</f>
        <v/>
      </c>
      <c r="BQ113">
        <f>$C113*BQ112</f>
        <v/>
      </c>
      <c r="BR113">
        <f>$C113*BR112</f>
        <v/>
      </c>
      <c r="BS113">
        <f>$C113*BS112</f>
        <v/>
      </c>
      <c r="BT113">
        <f>$C113*BT112</f>
        <v/>
      </c>
      <c r="BU113">
        <f>$C113*BU112</f>
        <v/>
      </c>
      <c r="BV113">
        <f>$C113*BV112</f>
        <v/>
      </c>
      <c r="BW113">
        <f>$C113*BW112</f>
        <v/>
      </c>
      <c r="BX113">
        <f>$C113*BX112</f>
        <v/>
      </c>
      <c r="BY113">
        <f>$C113*BY112</f>
        <v/>
      </c>
      <c r="BZ113">
        <f>$C113*BZ112</f>
        <v/>
      </c>
      <c r="CA113">
        <f>$C113*CA112</f>
        <v/>
      </c>
      <c r="CB113">
        <f>$C113*CB112</f>
        <v/>
      </c>
      <c r="CC113">
        <f>$C113*CC112</f>
        <v/>
      </c>
      <c r="CD113">
        <f>$C113*CD112</f>
        <v/>
      </c>
      <c r="CE113">
        <f>$C113*CE112</f>
        <v/>
      </c>
      <c r="CF113">
        <f>$C113*CF112</f>
        <v/>
      </c>
      <c r="CG113">
        <f>$C113*CG112</f>
        <v/>
      </c>
      <c r="CH113">
        <f>$C113*CH112</f>
        <v/>
      </c>
      <c r="CI113">
        <f>$C113*CI112</f>
        <v/>
      </c>
      <c r="CJ113">
        <f>$C113*CJ112</f>
        <v/>
      </c>
      <c r="CK113">
        <f>$C113*CK112</f>
        <v/>
      </c>
      <c r="CL113">
        <f>$C113*CL112</f>
        <v/>
      </c>
      <c r="CM113">
        <f>$C113*CM112</f>
        <v/>
      </c>
      <c r="CN113">
        <f>$C113*CN112</f>
        <v/>
      </c>
      <c r="CO113">
        <f>$C113*CO112</f>
        <v/>
      </c>
      <c r="CP113">
        <f>$C113*CP112</f>
        <v/>
      </c>
      <c r="CQ113">
        <f>$C113*CQ112</f>
        <v/>
      </c>
      <c r="CR113">
        <f>$C113*CR112</f>
        <v/>
      </c>
      <c r="CS113">
        <f>$C113*CS112</f>
        <v/>
      </c>
      <c r="CT113">
        <f>$C113*CT112</f>
        <v/>
      </c>
      <c r="CU113">
        <f>$C113*CU112</f>
        <v/>
      </c>
      <c r="CV113">
        <f>$C113*CV112</f>
        <v/>
      </c>
      <c r="CW113">
        <f>$C113*CW112</f>
        <v/>
      </c>
      <c r="CX113">
        <f>$C113*CX112</f>
        <v/>
      </c>
      <c r="CY113">
        <f>$C113*CY112</f>
        <v/>
      </c>
      <c r="CZ113">
        <f>$C113*CZ112</f>
        <v/>
      </c>
      <c r="DA113">
        <f>$C113*DA112</f>
        <v/>
      </c>
      <c r="DB113">
        <f>$C113*DB112</f>
        <v/>
      </c>
      <c r="DC113">
        <f>$C113*DC112</f>
        <v/>
      </c>
    </row>
    <row r="114">
      <c r="B114" t="inlineStr">
        <is>
          <t>TSP-669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12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Name],$A45)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TSP-670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Name],$A45)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TSP-699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Name],$A45)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TSP-710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Name],$A45)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TSP-828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Name],$A45)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TSP-903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Name],$A45)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TSP-924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Name],$A45)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TSP-925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12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Name],$A45)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TSP-927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12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Name],$A45)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TSP-928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12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Name],$A45)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TSP-929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12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Name],$A45)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t="inlineStr">
        <is>
          <t>TSP-930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12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Name],$A45)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t="inlineStr">
        <is>
          <t>TSP-934</t>
        </is>
      </c>
      <c r="C138" t="inlineStr">
        <is>
          <t>No. of batches</t>
        </is>
      </c>
      <c r="D138">
        <f>IFERROR(INDEX(PP_Grid[#Data],$DD138,2),0)</f>
        <v/>
      </c>
      <c r="E138">
        <f>IFERROR(INDEX(PP_Grid[#Data],$DD138,3),0)</f>
        <v/>
      </c>
      <c r="F138">
        <f>IFERROR(INDEX(PP_Grid[#Data],$DD138,4),0)</f>
        <v/>
      </c>
      <c r="G138">
        <f>IFERROR(INDEX(PP_Grid[#Data],$DD138,5),0)</f>
        <v/>
      </c>
      <c r="H138">
        <f>IFERROR(INDEX(PP_Grid[#Data],$DD138,6),0)</f>
        <v/>
      </c>
      <c r="I138">
        <f>IFERROR(INDEX(PP_Grid[#Data],$DD138,7),0)</f>
        <v/>
      </c>
      <c r="J138">
        <f>IFERROR(INDEX(PP_Grid[#Data],$DD138,8),0)</f>
        <v/>
      </c>
      <c r="K138">
        <f>IFERROR(INDEX(PP_Grid[#Data],$DD138,9),0)</f>
        <v/>
      </c>
      <c r="L138">
        <f>IFERROR(INDEX(PP_Grid[#Data],$DD138,10),0)</f>
        <v/>
      </c>
      <c r="M138">
        <f>IFERROR(INDEX(PP_Grid[#Data],$DD138,11),0)</f>
        <v/>
      </c>
      <c r="N138">
        <f>IFERROR(INDEX(PP_Grid[#Data],$DD138,12),0)</f>
        <v/>
      </c>
      <c r="O138">
        <f>IFERROR(INDEX(PP_Grid[#Data],$DD138,13),0)</f>
        <v/>
      </c>
      <c r="P138">
        <f>IFERROR(INDEX(PP_Grid[#Data],$DD138,14),0)</f>
        <v/>
      </c>
      <c r="Q138">
        <f>IFERROR(INDEX(PP_Grid[#Data],$DD138,15),0)</f>
        <v/>
      </c>
      <c r="R138">
        <f>IFERROR(INDEX(PP_Grid[#Data],$DD138,16),0)</f>
        <v/>
      </c>
      <c r="S138">
        <f>IFERROR(INDEX(PP_Grid[#Data],$DD138,17),0)</f>
        <v/>
      </c>
      <c r="T138">
        <f>IFERROR(INDEX(PP_Grid[#Data],$DD138,18),0)</f>
        <v/>
      </c>
      <c r="U138">
        <f>IFERROR(INDEX(PP_Grid[#Data],$DD138,19),0)</f>
        <v/>
      </c>
      <c r="V138">
        <f>IFERROR(INDEX(PP_Grid[#Data],$DD138,20),0)</f>
        <v/>
      </c>
      <c r="W138">
        <f>IFERROR(INDEX(PP_Grid[#Data],$DD138,21),0)</f>
        <v/>
      </c>
      <c r="X138">
        <f>IFERROR(INDEX(PP_Grid[#Data],$DD138,22),0)</f>
        <v/>
      </c>
      <c r="Y138">
        <f>IFERROR(INDEX(PP_Grid[#Data],$DD138,23),0)</f>
        <v/>
      </c>
      <c r="Z138">
        <f>IFERROR(INDEX(PP_Grid[#Data],$DD138,24),0)</f>
        <v/>
      </c>
      <c r="AA138">
        <f>IFERROR(INDEX(PP_Grid[#Data],$DD138,25),0)</f>
        <v/>
      </c>
      <c r="AB138">
        <f>IFERROR(INDEX(PP_Grid[#Data],$DD138,26),0)</f>
        <v/>
      </c>
      <c r="AC138">
        <f>IFERROR(INDEX(PP_Grid[#Data],$DD138,27),0)</f>
        <v/>
      </c>
      <c r="AD138">
        <f>IFERROR(INDEX(PP_Grid[#Data],$DD138,28),0)</f>
        <v/>
      </c>
      <c r="AE138">
        <f>IFERROR(INDEX(PP_Grid[#Data],$DD138,29),0)</f>
        <v/>
      </c>
      <c r="AF138">
        <f>IFERROR(INDEX(PP_Grid[#Data],$DD138,30),0)</f>
        <v/>
      </c>
      <c r="AG138">
        <f>IFERROR(INDEX(PP_Grid[#Data],$DD138,31),0)</f>
        <v/>
      </c>
      <c r="AH138">
        <f>IFERROR(INDEX(PP_Grid[#Data],$DD138,32),0)</f>
        <v/>
      </c>
      <c r="AI138">
        <f>IFERROR(INDEX(PP_Grid[#Data],$DD138,33),0)</f>
        <v/>
      </c>
      <c r="AJ138">
        <f>IFERROR(INDEX(PP_Grid[#Data],$DD138,34),0)</f>
        <v/>
      </c>
      <c r="AK138">
        <f>IFERROR(INDEX(PP_Grid[#Data],$DD138,35),0)</f>
        <v/>
      </c>
      <c r="AL138">
        <f>IFERROR(INDEX(PP_Grid[#Data],$DD138,36),0)</f>
        <v/>
      </c>
      <c r="AM138">
        <f>IFERROR(INDEX(PP_Grid[#Data],$DD138,37),0)</f>
        <v/>
      </c>
      <c r="AN138">
        <f>IFERROR(INDEX(PP_Grid[#Data],$DD138,38),0)</f>
        <v/>
      </c>
      <c r="AO138">
        <f>IFERROR(INDEX(PP_Grid[#Data],$DD138,39),0)</f>
        <v/>
      </c>
      <c r="AP138">
        <f>IFERROR(INDEX(PP_Grid[#Data],$DD138,40),0)</f>
        <v/>
      </c>
      <c r="AQ138">
        <f>IFERROR(INDEX(PP_Grid[#Data],$DD138,41),0)</f>
        <v/>
      </c>
      <c r="AR138">
        <f>IFERROR(INDEX(PP_Grid[#Data],$DD138,42),0)</f>
        <v/>
      </c>
      <c r="AS138">
        <f>IFERROR(INDEX(PP_Grid[#Data],$DD138,43),0)</f>
        <v/>
      </c>
      <c r="AT138">
        <f>IFERROR(INDEX(PP_Grid[#Data],$DD138,44),0)</f>
        <v/>
      </c>
      <c r="AU138">
        <f>IFERROR(INDEX(PP_Grid[#Data],$DD138,45),0)</f>
        <v/>
      </c>
      <c r="AV138">
        <f>IFERROR(INDEX(PP_Grid[#Data],$DD138,46),0)</f>
        <v/>
      </c>
      <c r="AW138">
        <f>IFERROR(INDEX(PP_Grid[#Data],$DD138,47),0)</f>
        <v/>
      </c>
      <c r="AX138">
        <f>IFERROR(INDEX(PP_Grid[#Data],$DD138,48),0)</f>
        <v/>
      </c>
      <c r="AY138">
        <f>IFERROR(INDEX(PP_Grid[#Data],$DD138,49),0)</f>
        <v/>
      </c>
      <c r="AZ138">
        <f>IFERROR(INDEX(PP_Grid[#Data],$DD138,50),0)</f>
        <v/>
      </c>
      <c r="BA138">
        <f>IFERROR(INDEX(PP_Grid[#Data],$DD138,51),0)</f>
        <v/>
      </c>
      <c r="BB138">
        <f>IFERROR(INDEX(PP_Grid[#Data],$DD138,52),0)</f>
        <v/>
      </c>
      <c r="BC138">
        <f>IFERROR(INDEX(PP_Grid[#Data],$DD138,53),0)</f>
        <v/>
      </c>
      <c r="BD138">
        <f>IFERROR(INDEX(PP_Grid[#Data],$DD138,54),0)</f>
        <v/>
      </c>
      <c r="BE138">
        <f>IFERROR(INDEX(PP_Grid[#Data],$DD138,55),0)</f>
        <v/>
      </c>
      <c r="BF138">
        <f>IFERROR(INDEX(PP_Grid[#Data],$DD138,56),0)</f>
        <v/>
      </c>
      <c r="BG138">
        <f>IFERROR(INDEX(PP_Grid[#Data],$DD138,57),0)</f>
        <v/>
      </c>
      <c r="BH138">
        <f>IFERROR(INDEX(PP_Grid[#Data],$DD138,58),0)</f>
        <v/>
      </c>
      <c r="BI138">
        <f>IFERROR(INDEX(PP_Grid[#Data],$DD138,59),0)</f>
        <v/>
      </c>
      <c r="BJ138">
        <f>IFERROR(INDEX(PP_Grid[#Data],$DD138,60),0)</f>
        <v/>
      </c>
      <c r="BK138">
        <f>IFERROR(INDEX(PP_Grid[#Data],$DD138,61),0)</f>
        <v/>
      </c>
      <c r="BL138">
        <f>IFERROR(INDEX(PP_Grid[#Data],$DD138,62),0)</f>
        <v/>
      </c>
      <c r="BM138">
        <f>IFERROR(INDEX(PP_Grid[#Data],$DD138,63),0)</f>
        <v/>
      </c>
      <c r="BN138">
        <f>IFERROR(INDEX(PP_Grid[#Data],$DD138,64),0)</f>
        <v/>
      </c>
      <c r="BO138">
        <f>IFERROR(INDEX(PP_Grid[#Data],$DD138,65),0)</f>
        <v/>
      </c>
      <c r="BP138">
        <f>IFERROR(INDEX(PP_Grid[#Data],$DD138,66),0)</f>
        <v/>
      </c>
      <c r="BQ138">
        <f>IFERROR(INDEX(PP_Grid[#Data],$DD138,67),0)</f>
        <v/>
      </c>
      <c r="BR138">
        <f>IFERROR(INDEX(PP_Grid[#Data],$DD138,68),0)</f>
        <v/>
      </c>
      <c r="BS138">
        <f>IFERROR(INDEX(PP_Grid[#Data],$DD138,69),0)</f>
        <v/>
      </c>
      <c r="BT138">
        <f>IFERROR(INDEX(PP_Grid[#Data],$DD138,70),0)</f>
        <v/>
      </c>
      <c r="BU138">
        <f>IFERROR(INDEX(PP_Grid[#Data],$DD138,71),0)</f>
        <v/>
      </c>
      <c r="BV138">
        <f>IFERROR(INDEX(PP_Grid[#Data],$DD138,72),0)</f>
        <v/>
      </c>
      <c r="BW138">
        <f>IFERROR(INDEX(PP_Grid[#Data],$DD138,73),0)</f>
        <v/>
      </c>
      <c r="BX138">
        <f>IFERROR(INDEX(PP_Grid[#Data],$DD138,74),0)</f>
        <v/>
      </c>
      <c r="BY138">
        <f>IFERROR(INDEX(PP_Grid[#Data],$DD138,75),0)</f>
        <v/>
      </c>
      <c r="BZ138">
        <f>IFERROR(INDEX(PP_Grid[#Data],$DD138,76),0)</f>
        <v/>
      </c>
      <c r="CA138">
        <f>IFERROR(INDEX(PP_Grid[#Data],$DD138,77),0)</f>
        <v/>
      </c>
      <c r="CB138">
        <f>IFERROR(INDEX(PP_Grid[#Data],$DD138,78),0)</f>
        <v/>
      </c>
      <c r="CC138">
        <f>IFERROR(INDEX(PP_Grid[#Data],$DD138,79),0)</f>
        <v/>
      </c>
      <c r="CD138">
        <f>IFERROR(INDEX(PP_Grid[#Data],$DD138,80),0)</f>
        <v/>
      </c>
      <c r="CE138">
        <f>IFERROR(INDEX(PP_Grid[#Data],$DD138,81),0)</f>
        <v/>
      </c>
      <c r="CF138">
        <f>IFERROR(INDEX(PP_Grid[#Data],$DD138,82),0)</f>
        <v/>
      </c>
      <c r="CG138">
        <f>IFERROR(INDEX(PP_Grid[#Data],$DD138,83),0)</f>
        <v/>
      </c>
      <c r="CH138">
        <f>IFERROR(INDEX(PP_Grid[#Data],$DD138,84),0)</f>
        <v/>
      </c>
      <c r="CI138">
        <f>IFERROR(INDEX(PP_Grid[#Data],$DD138,85),0)</f>
        <v/>
      </c>
      <c r="CJ138">
        <f>IFERROR(INDEX(PP_Grid[#Data],$DD138,86),0)</f>
        <v/>
      </c>
      <c r="CK138">
        <f>IFERROR(INDEX(PP_Grid[#Data],$DD138,87),0)</f>
        <v/>
      </c>
      <c r="CL138">
        <f>IFERROR(INDEX(PP_Grid[#Data],$DD138,88),0)</f>
        <v/>
      </c>
      <c r="CM138">
        <f>IFERROR(INDEX(PP_Grid[#Data],$DD138,89),0)</f>
        <v/>
      </c>
      <c r="CN138">
        <f>IFERROR(INDEX(PP_Grid[#Data],$DD138,90),0)</f>
        <v/>
      </c>
      <c r="CO138">
        <f>IFERROR(INDEX(PP_Grid[#Data],$DD138,91),0)</f>
        <v/>
      </c>
      <c r="CP138">
        <f>IFERROR(INDEX(PP_Grid[#Data],$DD138,92),0)</f>
        <v/>
      </c>
      <c r="CQ138">
        <f>IFERROR(INDEX(PP_Grid[#Data],$DD138,93),0)</f>
        <v/>
      </c>
      <c r="CR138">
        <f>IFERROR(INDEX(PP_Grid[#Data],$DD138,94),0)</f>
        <v/>
      </c>
      <c r="CS138">
        <f>IFERROR(INDEX(PP_Grid[#Data],$DD138,95),0)</f>
        <v/>
      </c>
      <c r="CT138">
        <f>IFERROR(INDEX(PP_Grid[#Data],$DD138,96),0)</f>
        <v/>
      </c>
      <c r="CU138">
        <f>IFERROR(INDEX(PP_Grid[#Data],$DD138,97),0)</f>
        <v/>
      </c>
      <c r="CV138">
        <f>IFERROR(INDEX(PP_Grid[#Data],$DD138,98),0)</f>
        <v/>
      </c>
      <c r="CW138">
        <f>IFERROR(INDEX(PP_Grid[#Data],$DD138,99),0)</f>
        <v/>
      </c>
      <c r="CX138">
        <f>IFERROR(INDEX(PP_Grid[#Data],$DD138,100),0)</f>
        <v/>
      </c>
      <c r="CY138">
        <f>IFERROR(INDEX(PP_Grid[#Data],$DD138,101),0)</f>
        <v/>
      </c>
      <c r="CZ138">
        <f>IFERROR(INDEX(PP_Grid[#Data],$DD138,102),0)</f>
        <v/>
      </c>
      <c r="DA138">
        <f>IFERROR(INDEX(PP_Grid[#Data],$DD138,103),0)</f>
        <v/>
      </c>
      <c r="DB138">
        <f>IFERROR(INDEX(PP_Grid[#Data],$DD138,104),0)</f>
        <v/>
      </c>
      <c r="DC138">
        <f>IFERROR(INDEX(PP_Grid[#Data],$DD138,105),0)</f>
        <v/>
      </c>
      <c r="DD138" s="12">
        <f>IFERROR(MATCH($B138,PP_Grid[Intermediate],0),99999)</f>
        <v/>
      </c>
    </row>
    <row r="139">
      <c r="B139" t="inlineStr">
        <is>
          <t>使用量(kg)</t>
        </is>
      </c>
      <c r="C139">
        <f>SUMIFS(M_BOM[RM_Qty_Per_Batch],M_BOM[Intermediate],$B138,M_BOM[Part Name],$A45)</f>
        <v/>
      </c>
      <c r="D139">
        <f>$C139*D138</f>
        <v/>
      </c>
      <c r="E139">
        <f>$C139*E138</f>
        <v/>
      </c>
      <c r="F139">
        <f>$C139*F138</f>
        <v/>
      </c>
      <c r="G139">
        <f>$C139*G138</f>
        <v/>
      </c>
      <c r="H139">
        <f>$C139*H138</f>
        <v/>
      </c>
      <c r="I139">
        <f>$C139*I138</f>
        <v/>
      </c>
      <c r="J139">
        <f>$C139*J138</f>
        <v/>
      </c>
      <c r="K139">
        <f>$C139*K138</f>
        <v/>
      </c>
      <c r="L139">
        <f>$C139*L138</f>
        <v/>
      </c>
      <c r="M139">
        <f>$C139*M138</f>
        <v/>
      </c>
      <c r="N139">
        <f>$C139*N138</f>
        <v/>
      </c>
      <c r="O139">
        <f>$C139*O138</f>
        <v/>
      </c>
      <c r="P139">
        <f>$C139*P138</f>
        <v/>
      </c>
      <c r="Q139">
        <f>$C139*Q138</f>
        <v/>
      </c>
      <c r="R139">
        <f>$C139*R138</f>
        <v/>
      </c>
      <c r="S139">
        <f>$C139*S138</f>
        <v/>
      </c>
      <c r="T139">
        <f>$C139*T138</f>
        <v/>
      </c>
      <c r="U139">
        <f>$C139*U138</f>
        <v/>
      </c>
      <c r="V139">
        <f>$C139*V138</f>
        <v/>
      </c>
      <c r="W139">
        <f>$C139*W138</f>
        <v/>
      </c>
      <c r="X139">
        <f>$C139*X138</f>
        <v/>
      </c>
      <c r="Y139">
        <f>$C139*Y138</f>
        <v/>
      </c>
      <c r="Z139">
        <f>$C139*Z138</f>
        <v/>
      </c>
      <c r="AA139">
        <f>$C139*AA138</f>
        <v/>
      </c>
      <c r="AB139">
        <f>$C139*AB138</f>
        <v/>
      </c>
      <c r="AC139">
        <f>$C139*AC138</f>
        <v/>
      </c>
      <c r="AD139">
        <f>$C139*AD138</f>
        <v/>
      </c>
      <c r="AE139">
        <f>$C139*AE138</f>
        <v/>
      </c>
      <c r="AF139">
        <f>$C139*AF138</f>
        <v/>
      </c>
      <c r="AG139">
        <f>$C139*AG138</f>
        <v/>
      </c>
      <c r="AH139">
        <f>$C139*AH138</f>
        <v/>
      </c>
      <c r="AI139">
        <f>$C139*AI138</f>
        <v/>
      </c>
      <c r="AJ139">
        <f>$C139*AJ138</f>
        <v/>
      </c>
      <c r="AK139">
        <f>$C139*AK138</f>
        <v/>
      </c>
      <c r="AL139">
        <f>$C139*AL138</f>
        <v/>
      </c>
      <c r="AM139">
        <f>$C139*AM138</f>
        <v/>
      </c>
      <c r="AN139">
        <f>$C139*AN138</f>
        <v/>
      </c>
      <c r="AO139">
        <f>$C139*AO138</f>
        <v/>
      </c>
      <c r="AP139">
        <f>$C139*AP138</f>
        <v/>
      </c>
      <c r="AQ139">
        <f>$C139*AQ138</f>
        <v/>
      </c>
      <c r="AR139">
        <f>$C139*AR138</f>
        <v/>
      </c>
      <c r="AS139">
        <f>$C139*AS138</f>
        <v/>
      </c>
      <c r="AT139">
        <f>$C139*AT138</f>
        <v/>
      </c>
      <c r="AU139">
        <f>$C139*AU138</f>
        <v/>
      </c>
      <c r="AV139">
        <f>$C139*AV138</f>
        <v/>
      </c>
      <c r="AW139">
        <f>$C139*AW138</f>
        <v/>
      </c>
      <c r="AX139">
        <f>$C139*AX138</f>
        <v/>
      </c>
      <c r="AY139">
        <f>$C139*AY138</f>
        <v/>
      </c>
      <c r="AZ139">
        <f>$C139*AZ138</f>
        <v/>
      </c>
      <c r="BA139">
        <f>$C139*BA138</f>
        <v/>
      </c>
      <c r="BB139">
        <f>$C139*BB138</f>
        <v/>
      </c>
      <c r="BC139">
        <f>$C139*BC138</f>
        <v/>
      </c>
      <c r="BD139">
        <f>$C139*BD138</f>
        <v/>
      </c>
      <c r="BE139">
        <f>$C139*BE138</f>
        <v/>
      </c>
      <c r="BF139">
        <f>$C139*BF138</f>
        <v/>
      </c>
      <c r="BG139">
        <f>$C139*BG138</f>
        <v/>
      </c>
      <c r="BH139">
        <f>$C139*BH138</f>
        <v/>
      </c>
      <c r="BI139">
        <f>$C139*BI138</f>
        <v/>
      </c>
      <c r="BJ139">
        <f>$C139*BJ138</f>
        <v/>
      </c>
      <c r="BK139">
        <f>$C139*BK138</f>
        <v/>
      </c>
      <c r="BL139">
        <f>$C139*BL138</f>
        <v/>
      </c>
      <c r="BM139">
        <f>$C139*BM138</f>
        <v/>
      </c>
      <c r="BN139">
        <f>$C139*BN138</f>
        <v/>
      </c>
      <c r="BO139">
        <f>$C139*BO138</f>
        <v/>
      </c>
      <c r="BP139">
        <f>$C139*BP138</f>
        <v/>
      </c>
      <c r="BQ139">
        <f>$C139*BQ138</f>
        <v/>
      </c>
      <c r="BR139">
        <f>$C139*BR138</f>
        <v/>
      </c>
      <c r="BS139">
        <f>$C139*BS138</f>
        <v/>
      </c>
      <c r="BT139">
        <f>$C139*BT138</f>
        <v/>
      </c>
      <c r="BU139">
        <f>$C139*BU138</f>
        <v/>
      </c>
      <c r="BV139">
        <f>$C139*BV138</f>
        <v/>
      </c>
      <c r="BW139">
        <f>$C139*BW138</f>
        <v/>
      </c>
      <c r="BX139">
        <f>$C139*BX138</f>
        <v/>
      </c>
      <c r="BY139">
        <f>$C139*BY138</f>
        <v/>
      </c>
      <c r="BZ139">
        <f>$C139*BZ138</f>
        <v/>
      </c>
      <c r="CA139">
        <f>$C139*CA138</f>
        <v/>
      </c>
      <c r="CB139">
        <f>$C139*CB138</f>
        <v/>
      </c>
      <c r="CC139">
        <f>$C139*CC138</f>
        <v/>
      </c>
      <c r="CD139">
        <f>$C139*CD138</f>
        <v/>
      </c>
      <c r="CE139">
        <f>$C139*CE138</f>
        <v/>
      </c>
      <c r="CF139">
        <f>$C139*CF138</f>
        <v/>
      </c>
      <c r="CG139">
        <f>$C139*CG138</f>
        <v/>
      </c>
      <c r="CH139">
        <f>$C139*CH138</f>
        <v/>
      </c>
      <c r="CI139">
        <f>$C139*CI138</f>
        <v/>
      </c>
      <c r="CJ139">
        <f>$C139*CJ138</f>
        <v/>
      </c>
      <c r="CK139">
        <f>$C139*CK138</f>
        <v/>
      </c>
      <c r="CL139">
        <f>$C139*CL138</f>
        <v/>
      </c>
      <c r="CM139">
        <f>$C139*CM138</f>
        <v/>
      </c>
      <c r="CN139">
        <f>$C139*CN138</f>
        <v/>
      </c>
      <c r="CO139">
        <f>$C139*CO138</f>
        <v/>
      </c>
      <c r="CP139">
        <f>$C139*CP138</f>
        <v/>
      </c>
      <c r="CQ139">
        <f>$C139*CQ138</f>
        <v/>
      </c>
      <c r="CR139">
        <f>$C139*CR138</f>
        <v/>
      </c>
      <c r="CS139">
        <f>$C139*CS138</f>
        <v/>
      </c>
      <c r="CT139">
        <f>$C139*CT138</f>
        <v/>
      </c>
      <c r="CU139">
        <f>$C139*CU138</f>
        <v/>
      </c>
      <c r="CV139">
        <f>$C139*CV138</f>
        <v/>
      </c>
      <c r="CW139">
        <f>$C139*CW138</f>
        <v/>
      </c>
      <c r="CX139">
        <f>$C139*CX138</f>
        <v/>
      </c>
      <c r="CY139">
        <f>$C139*CY138</f>
        <v/>
      </c>
      <c r="CZ139">
        <f>$C139*CZ138</f>
        <v/>
      </c>
      <c r="DA139">
        <f>$C139*DA138</f>
        <v/>
      </c>
      <c r="DB139">
        <f>$C139*DB138</f>
        <v/>
      </c>
      <c r="DC139">
        <f>$C139*DC138</f>
        <v/>
      </c>
    </row>
    <row r="140">
      <c r="B140" t="inlineStr">
        <is>
          <t>TSP-935</t>
        </is>
      </c>
      <c r="C140" t="inlineStr">
        <is>
          <t>No. of batches</t>
        </is>
      </c>
      <c r="D140">
        <f>IFERROR(INDEX(PP_Grid[#Data],$DD140,2),0)</f>
        <v/>
      </c>
      <c r="E140">
        <f>IFERROR(INDEX(PP_Grid[#Data],$DD140,3),0)</f>
        <v/>
      </c>
      <c r="F140">
        <f>IFERROR(INDEX(PP_Grid[#Data],$DD140,4),0)</f>
        <v/>
      </c>
      <c r="G140">
        <f>IFERROR(INDEX(PP_Grid[#Data],$DD140,5),0)</f>
        <v/>
      </c>
      <c r="H140">
        <f>IFERROR(INDEX(PP_Grid[#Data],$DD140,6),0)</f>
        <v/>
      </c>
      <c r="I140">
        <f>IFERROR(INDEX(PP_Grid[#Data],$DD140,7),0)</f>
        <v/>
      </c>
      <c r="J140">
        <f>IFERROR(INDEX(PP_Grid[#Data],$DD140,8),0)</f>
        <v/>
      </c>
      <c r="K140">
        <f>IFERROR(INDEX(PP_Grid[#Data],$DD140,9),0)</f>
        <v/>
      </c>
      <c r="L140">
        <f>IFERROR(INDEX(PP_Grid[#Data],$DD140,10),0)</f>
        <v/>
      </c>
      <c r="M140">
        <f>IFERROR(INDEX(PP_Grid[#Data],$DD140,11),0)</f>
        <v/>
      </c>
      <c r="N140">
        <f>IFERROR(INDEX(PP_Grid[#Data],$DD140,12),0)</f>
        <v/>
      </c>
      <c r="O140">
        <f>IFERROR(INDEX(PP_Grid[#Data],$DD140,13),0)</f>
        <v/>
      </c>
      <c r="P140">
        <f>IFERROR(INDEX(PP_Grid[#Data],$DD140,14),0)</f>
        <v/>
      </c>
      <c r="Q140">
        <f>IFERROR(INDEX(PP_Grid[#Data],$DD140,15),0)</f>
        <v/>
      </c>
      <c r="R140">
        <f>IFERROR(INDEX(PP_Grid[#Data],$DD140,16),0)</f>
        <v/>
      </c>
      <c r="S140">
        <f>IFERROR(INDEX(PP_Grid[#Data],$DD140,17),0)</f>
        <v/>
      </c>
      <c r="T140">
        <f>IFERROR(INDEX(PP_Grid[#Data],$DD140,18),0)</f>
        <v/>
      </c>
      <c r="U140">
        <f>IFERROR(INDEX(PP_Grid[#Data],$DD140,19),0)</f>
        <v/>
      </c>
      <c r="V140">
        <f>IFERROR(INDEX(PP_Grid[#Data],$DD140,20),0)</f>
        <v/>
      </c>
      <c r="W140">
        <f>IFERROR(INDEX(PP_Grid[#Data],$DD140,21),0)</f>
        <v/>
      </c>
      <c r="X140">
        <f>IFERROR(INDEX(PP_Grid[#Data],$DD140,22),0)</f>
        <v/>
      </c>
      <c r="Y140">
        <f>IFERROR(INDEX(PP_Grid[#Data],$DD140,23),0)</f>
        <v/>
      </c>
      <c r="Z140">
        <f>IFERROR(INDEX(PP_Grid[#Data],$DD140,24),0)</f>
        <v/>
      </c>
      <c r="AA140">
        <f>IFERROR(INDEX(PP_Grid[#Data],$DD140,25),0)</f>
        <v/>
      </c>
      <c r="AB140">
        <f>IFERROR(INDEX(PP_Grid[#Data],$DD140,26),0)</f>
        <v/>
      </c>
      <c r="AC140">
        <f>IFERROR(INDEX(PP_Grid[#Data],$DD140,27),0)</f>
        <v/>
      </c>
      <c r="AD140">
        <f>IFERROR(INDEX(PP_Grid[#Data],$DD140,28),0)</f>
        <v/>
      </c>
      <c r="AE140">
        <f>IFERROR(INDEX(PP_Grid[#Data],$DD140,29),0)</f>
        <v/>
      </c>
      <c r="AF140">
        <f>IFERROR(INDEX(PP_Grid[#Data],$DD140,30),0)</f>
        <v/>
      </c>
      <c r="AG140">
        <f>IFERROR(INDEX(PP_Grid[#Data],$DD140,31),0)</f>
        <v/>
      </c>
      <c r="AH140">
        <f>IFERROR(INDEX(PP_Grid[#Data],$DD140,32),0)</f>
        <v/>
      </c>
      <c r="AI140">
        <f>IFERROR(INDEX(PP_Grid[#Data],$DD140,33),0)</f>
        <v/>
      </c>
      <c r="AJ140">
        <f>IFERROR(INDEX(PP_Grid[#Data],$DD140,34),0)</f>
        <v/>
      </c>
      <c r="AK140">
        <f>IFERROR(INDEX(PP_Grid[#Data],$DD140,35),0)</f>
        <v/>
      </c>
      <c r="AL140">
        <f>IFERROR(INDEX(PP_Grid[#Data],$DD140,36),0)</f>
        <v/>
      </c>
      <c r="AM140">
        <f>IFERROR(INDEX(PP_Grid[#Data],$DD140,37),0)</f>
        <v/>
      </c>
      <c r="AN140">
        <f>IFERROR(INDEX(PP_Grid[#Data],$DD140,38),0)</f>
        <v/>
      </c>
      <c r="AO140">
        <f>IFERROR(INDEX(PP_Grid[#Data],$DD140,39),0)</f>
        <v/>
      </c>
      <c r="AP140">
        <f>IFERROR(INDEX(PP_Grid[#Data],$DD140,40),0)</f>
        <v/>
      </c>
      <c r="AQ140">
        <f>IFERROR(INDEX(PP_Grid[#Data],$DD140,41),0)</f>
        <v/>
      </c>
      <c r="AR140">
        <f>IFERROR(INDEX(PP_Grid[#Data],$DD140,42),0)</f>
        <v/>
      </c>
      <c r="AS140">
        <f>IFERROR(INDEX(PP_Grid[#Data],$DD140,43),0)</f>
        <v/>
      </c>
      <c r="AT140">
        <f>IFERROR(INDEX(PP_Grid[#Data],$DD140,44),0)</f>
        <v/>
      </c>
      <c r="AU140">
        <f>IFERROR(INDEX(PP_Grid[#Data],$DD140,45),0)</f>
        <v/>
      </c>
      <c r="AV140">
        <f>IFERROR(INDEX(PP_Grid[#Data],$DD140,46),0)</f>
        <v/>
      </c>
      <c r="AW140">
        <f>IFERROR(INDEX(PP_Grid[#Data],$DD140,47),0)</f>
        <v/>
      </c>
      <c r="AX140">
        <f>IFERROR(INDEX(PP_Grid[#Data],$DD140,48),0)</f>
        <v/>
      </c>
      <c r="AY140">
        <f>IFERROR(INDEX(PP_Grid[#Data],$DD140,49),0)</f>
        <v/>
      </c>
      <c r="AZ140">
        <f>IFERROR(INDEX(PP_Grid[#Data],$DD140,50),0)</f>
        <v/>
      </c>
      <c r="BA140">
        <f>IFERROR(INDEX(PP_Grid[#Data],$DD140,51),0)</f>
        <v/>
      </c>
      <c r="BB140">
        <f>IFERROR(INDEX(PP_Grid[#Data],$DD140,52),0)</f>
        <v/>
      </c>
      <c r="BC140">
        <f>IFERROR(INDEX(PP_Grid[#Data],$DD140,53),0)</f>
        <v/>
      </c>
      <c r="BD140">
        <f>IFERROR(INDEX(PP_Grid[#Data],$DD140,54),0)</f>
        <v/>
      </c>
      <c r="BE140">
        <f>IFERROR(INDEX(PP_Grid[#Data],$DD140,55),0)</f>
        <v/>
      </c>
      <c r="BF140">
        <f>IFERROR(INDEX(PP_Grid[#Data],$DD140,56),0)</f>
        <v/>
      </c>
      <c r="BG140">
        <f>IFERROR(INDEX(PP_Grid[#Data],$DD140,57),0)</f>
        <v/>
      </c>
      <c r="BH140">
        <f>IFERROR(INDEX(PP_Grid[#Data],$DD140,58),0)</f>
        <v/>
      </c>
      <c r="BI140">
        <f>IFERROR(INDEX(PP_Grid[#Data],$DD140,59),0)</f>
        <v/>
      </c>
      <c r="BJ140">
        <f>IFERROR(INDEX(PP_Grid[#Data],$DD140,60),0)</f>
        <v/>
      </c>
      <c r="BK140">
        <f>IFERROR(INDEX(PP_Grid[#Data],$DD140,61),0)</f>
        <v/>
      </c>
      <c r="BL140">
        <f>IFERROR(INDEX(PP_Grid[#Data],$DD140,62),0)</f>
        <v/>
      </c>
      <c r="BM140">
        <f>IFERROR(INDEX(PP_Grid[#Data],$DD140,63),0)</f>
        <v/>
      </c>
      <c r="BN140">
        <f>IFERROR(INDEX(PP_Grid[#Data],$DD140,64),0)</f>
        <v/>
      </c>
      <c r="BO140">
        <f>IFERROR(INDEX(PP_Grid[#Data],$DD140,65),0)</f>
        <v/>
      </c>
      <c r="BP140">
        <f>IFERROR(INDEX(PP_Grid[#Data],$DD140,66),0)</f>
        <v/>
      </c>
      <c r="BQ140">
        <f>IFERROR(INDEX(PP_Grid[#Data],$DD140,67),0)</f>
        <v/>
      </c>
      <c r="BR140">
        <f>IFERROR(INDEX(PP_Grid[#Data],$DD140,68),0)</f>
        <v/>
      </c>
      <c r="BS140">
        <f>IFERROR(INDEX(PP_Grid[#Data],$DD140,69),0)</f>
        <v/>
      </c>
      <c r="BT140">
        <f>IFERROR(INDEX(PP_Grid[#Data],$DD140,70),0)</f>
        <v/>
      </c>
      <c r="BU140">
        <f>IFERROR(INDEX(PP_Grid[#Data],$DD140,71),0)</f>
        <v/>
      </c>
      <c r="BV140">
        <f>IFERROR(INDEX(PP_Grid[#Data],$DD140,72),0)</f>
        <v/>
      </c>
      <c r="BW140">
        <f>IFERROR(INDEX(PP_Grid[#Data],$DD140,73),0)</f>
        <v/>
      </c>
      <c r="BX140">
        <f>IFERROR(INDEX(PP_Grid[#Data],$DD140,74),0)</f>
        <v/>
      </c>
      <c r="BY140">
        <f>IFERROR(INDEX(PP_Grid[#Data],$DD140,75),0)</f>
        <v/>
      </c>
      <c r="BZ140">
        <f>IFERROR(INDEX(PP_Grid[#Data],$DD140,76),0)</f>
        <v/>
      </c>
      <c r="CA140">
        <f>IFERROR(INDEX(PP_Grid[#Data],$DD140,77),0)</f>
        <v/>
      </c>
      <c r="CB140">
        <f>IFERROR(INDEX(PP_Grid[#Data],$DD140,78),0)</f>
        <v/>
      </c>
      <c r="CC140">
        <f>IFERROR(INDEX(PP_Grid[#Data],$DD140,79),0)</f>
        <v/>
      </c>
      <c r="CD140">
        <f>IFERROR(INDEX(PP_Grid[#Data],$DD140,80),0)</f>
        <v/>
      </c>
      <c r="CE140">
        <f>IFERROR(INDEX(PP_Grid[#Data],$DD140,81),0)</f>
        <v/>
      </c>
      <c r="CF140">
        <f>IFERROR(INDEX(PP_Grid[#Data],$DD140,82),0)</f>
        <v/>
      </c>
      <c r="CG140">
        <f>IFERROR(INDEX(PP_Grid[#Data],$DD140,83),0)</f>
        <v/>
      </c>
      <c r="CH140">
        <f>IFERROR(INDEX(PP_Grid[#Data],$DD140,84),0)</f>
        <v/>
      </c>
      <c r="CI140">
        <f>IFERROR(INDEX(PP_Grid[#Data],$DD140,85),0)</f>
        <v/>
      </c>
      <c r="CJ140">
        <f>IFERROR(INDEX(PP_Grid[#Data],$DD140,86),0)</f>
        <v/>
      </c>
      <c r="CK140">
        <f>IFERROR(INDEX(PP_Grid[#Data],$DD140,87),0)</f>
        <v/>
      </c>
      <c r="CL140">
        <f>IFERROR(INDEX(PP_Grid[#Data],$DD140,88),0)</f>
        <v/>
      </c>
      <c r="CM140">
        <f>IFERROR(INDEX(PP_Grid[#Data],$DD140,89),0)</f>
        <v/>
      </c>
      <c r="CN140">
        <f>IFERROR(INDEX(PP_Grid[#Data],$DD140,90),0)</f>
        <v/>
      </c>
      <c r="CO140">
        <f>IFERROR(INDEX(PP_Grid[#Data],$DD140,91),0)</f>
        <v/>
      </c>
      <c r="CP140">
        <f>IFERROR(INDEX(PP_Grid[#Data],$DD140,92),0)</f>
        <v/>
      </c>
      <c r="CQ140">
        <f>IFERROR(INDEX(PP_Grid[#Data],$DD140,93),0)</f>
        <v/>
      </c>
      <c r="CR140">
        <f>IFERROR(INDEX(PP_Grid[#Data],$DD140,94),0)</f>
        <v/>
      </c>
      <c r="CS140">
        <f>IFERROR(INDEX(PP_Grid[#Data],$DD140,95),0)</f>
        <v/>
      </c>
      <c r="CT140">
        <f>IFERROR(INDEX(PP_Grid[#Data],$DD140,96),0)</f>
        <v/>
      </c>
      <c r="CU140">
        <f>IFERROR(INDEX(PP_Grid[#Data],$DD140,97),0)</f>
        <v/>
      </c>
      <c r="CV140">
        <f>IFERROR(INDEX(PP_Grid[#Data],$DD140,98),0)</f>
        <v/>
      </c>
      <c r="CW140">
        <f>IFERROR(INDEX(PP_Grid[#Data],$DD140,99),0)</f>
        <v/>
      </c>
      <c r="CX140">
        <f>IFERROR(INDEX(PP_Grid[#Data],$DD140,100),0)</f>
        <v/>
      </c>
      <c r="CY140">
        <f>IFERROR(INDEX(PP_Grid[#Data],$DD140,101),0)</f>
        <v/>
      </c>
      <c r="CZ140">
        <f>IFERROR(INDEX(PP_Grid[#Data],$DD140,102),0)</f>
        <v/>
      </c>
      <c r="DA140">
        <f>IFERROR(INDEX(PP_Grid[#Data],$DD140,103),0)</f>
        <v/>
      </c>
      <c r="DB140">
        <f>IFERROR(INDEX(PP_Grid[#Data],$DD140,104),0)</f>
        <v/>
      </c>
      <c r="DC140">
        <f>IFERROR(INDEX(PP_Grid[#Data],$DD140,105),0)</f>
        <v/>
      </c>
      <c r="DD140" s="12">
        <f>IFERROR(MATCH($B140,PP_Grid[Intermediate],0),99999)</f>
        <v/>
      </c>
    </row>
    <row r="141">
      <c r="B141" t="inlineStr">
        <is>
          <t>使用量(kg)</t>
        </is>
      </c>
      <c r="C141">
        <f>SUMIFS(M_BOM[RM_Qty_Per_Batch],M_BOM[Intermediate],$B140,M_BOM[Part Name],$A45)</f>
        <v/>
      </c>
      <c r="D141">
        <f>$C141*D140</f>
        <v/>
      </c>
      <c r="E141">
        <f>$C141*E140</f>
        <v/>
      </c>
      <c r="F141">
        <f>$C141*F140</f>
        <v/>
      </c>
      <c r="G141">
        <f>$C141*G140</f>
        <v/>
      </c>
      <c r="H141">
        <f>$C141*H140</f>
        <v/>
      </c>
      <c r="I141">
        <f>$C141*I140</f>
        <v/>
      </c>
      <c r="J141">
        <f>$C141*J140</f>
        <v/>
      </c>
      <c r="K141">
        <f>$C141*K140</f>
        <v/>
      </c>
      <c r="L141">
        <f>$C141*L140</f>
        <v/>
      </c>
      <c r="M141">
        <f>$C141*M140</f>
        <v/>
      </c>
      <c r="N141">
        <f>$C141*N140</f>
        <v/>
      </c>
      <c r="O141">
        <f>$C141*O140</f>
        <v/>
      </c>
      <c r="P141">
        <f>$C141*P140</f>
        <v/>
      </c>
      <c r="Q141">
        <f>$C141*Q140</f>
        <v/>
      </c>
      <c r="R141">
        <f>$C141*R140</f>
        <v/>
      </c>
      <c r="S141">
        <f>$C141*S140</f>
        <v/>
      </c>
      <c r="T141">
        <f>$C141*T140</f>
        <v/>
      </c>
      <c r="U141">
        <f>$C141*U140</f>
        <v/>
      </c>
      <c r="V141">
        <f>$C141*V140</f>
        <v/>
      </c>
      <c r="W141">
        <f>$C141*W140</f>
        <v/>
      </c>
      <c r="X141">
        <f>$C141*X140</f>
        <v/>
      </c>
      <c r="Y141">
        <f>$C141*Y140</f>
        <v/>
      </c>
      <c r="Z141">
        <f>$C141*Z140</f>
        <v/>
      </c>
      <c r="AA141">
        <f>$C141*AA140</f>
        <v/>
      </c>
      <c r="AB141">
        <f>$C141*AB140</f>
        <v/>
      </c>
      <c r="AC141">
        <f>$C141*AC140</f>
        <v/>
      </c>
      <c r="AD141">
        <f>$C141*AD140</f>
        <v/>
      </c>
      <c r="AE141">
        <f>$C141*AE140</f>
        <v/>
      </c>
      <c r="AF141">
        <f>$C141*AF140</f>
        <v/>
      </c>
      <c r="AG141">
        <f>$C141*AG140</f>
        <v/>
      </c>
      <c r="AH141">
        <f>$C141*AH140</f>
        <v/>
      </c>
      <c r="AI141">
        <f>$C141*AI140</f>
        <v/>
      </c>
      <c r="AJ141">
        <f>$C141*AJ140</f>
        <v/>
      </c>
      <c r="AK141">
        <f>$C141*AK140</f>
        <v/>
      </c>
      <c r="AL141">
        <f>$C141*AL140</f>
        <v/>
      </c>
      <c r="AM141">
        <f>$C141*AM140</f>
        <v/>
      </c>
      <c r="AN141">
        <f>$C141*AN140</f>
        <v/>
      </c>
      <c r="AO141">
        <f>$C141*AO140</f>
        <v/>
      </c>
      <c r="AP141">
        <f>$C141*AP140</f>
        <v/>
      </c>
      <c r="AQ141">
        <f>$C141*AQ140</f>
        <v/>
      </c>
      <c r="AR141">
        <f>$C141*AR140</f>
        <v/>
      </c>
      <c r="AS141">
        <f>$C141*AS140</f>
        <v/>
      </c>
      <c r="AT141">
        <f>$C141*AT140</f>
        <v/>
      </c>
      <c r="AU141">
        <f>$C141*AU140</f>
        <v/>
      </c>
      <c r="AV141">
        <f>$C141*AV140</f>
        <v/>
      </c>
      <c r="AW141">
        <f>$C141*AW140</f>
        <v/>
      </c>
      <c r="AX141">
        <f>$C141*AX140</f>
        <v/>
      </c>
      <c r="AY141">
        <f>$C141*AY140</f>
        <v/>
      </c>
      <c r="AZ141">
        <f>$C141*AZ140</f>
        <v/>
      </c>
      <c r="BA141">
        <f>$C141*BA140</f>
        <v/>
      </c>
      <c r="BB141">
        <f>$C141*BB140</f>
        <v/>
      </c>
      <c r="BC141">
        <f>$C141*BC140</f>
        <v/>
      </c>
      <c r="BD141">
        <f>$C141*BD140</f>
        <v/>
      </c>
      <c r="BE141">
        <f>$C141*BE140</f>
        <v/>
      </c>
      <c r="BF141">
        <f>$C141*BF140</f>
        <v/>
      </c>
      <c r="BG141">
        <f>$C141*BG140</f>
        <v/>
      </c>
      <c r="BH141">
        <f>$C141*BH140</f>
        <v/>
      </c>
      <c r="BI141">
        <f>$C141*BI140</f>
        <v/>
      </c>
      <c r="BJ141">
        <f>$C141*BJ140</f>
        <v/>
      </c>
      <c r="BK141">
        <f>$C141*BK140</f>
        <v/>
      </c>
      <c r="BL141">
        <f>$C141*BL140</f>
        <v/>
      </c>
      <c r="BM141">
        <f>$C141*BM140</f>
        <v/>
      </c>
      <c r="BN141">
        <f>$C141*BN140</f>
        <v/>
      </c>
      <c r="BO141">
        <f>$C141*BO140</f>
        <v/>
      </c>
      <c r="BP141">
        <f>$C141*BP140</f>
        <v/>
      </c>
      <c r="BQ141">
        <f>$C141*BQ140</f>
        <v/>
      </c>
      <c r="BR141">
        <f>$C141*BR140</f>
        <v/>
      </c>
      <c r="BS141">
        <f>$C141*BS140</f>
        <v/>
      </c>
      <c r="BT141">
        <f>$C141*BT140</f>
        <v/>
      </c>
      <c r="BU141">
        <f>$C141*BU140</f>
        <v/>
      </c>
      <c r="BV141">
        <f>$C141*BV140</f>
        <v/>
      </c>
      <c r="BW141">
        <f>$C141*BW140</f>
        <v/>
      </c>
      <c r="BX141">
        <f>$C141*BX140</f>
        <v/>
      </c>
      <c r="BY141">
        <f>$C141*BY140</f>
        <v/>
      </c>
      <c r="BZ141">
        <f>$C141*BZ140</f>
        <v/>
      </c>
      <c r="CA141">
        <f>$C141*CA140</f>
        <v/>
      </c>
      <c r="CB141">
        <f>$C141*CB140</f>
        <v/>
      </c>
      <c r="CC141">
        <f>$C141*CC140</f>
        <v/>
      </c>
      <c r="CD141">
        <f>$C141*CD140</f>
        <v/>
      </c>
      <c r="CE141">
        <f>$C141*CE140</f>
        <v/>
      </c>
      <c r="CF141">
        <f>$C141*CF140</f>
        <v/>
      </c>
      <c r="CG141">
        <f>$C141*CG140</f>
        <v/>
      </c>
      <c r="CH141">
        <f>$C141*CH140</f>
        <v/>
      </c>
      <c r="CI141">
        <f>$C141*CI140</f>
        <v/>
      </c>
      <c r="CJ141">
        <f>$C141*CJ140</f>
        <v/>
      </c>
      <c r="CK141">
        <f>$C141*CK140</f>
        <v/>
      </c>
      <c r="CL141">
        <f>$C141*CL140</f>
        <v/>
      </c>
      <c r="CM141">
        <f>$C141*CM140</f>
        <v/>
      </c>
      <c r="CN141">
        <f>$C141*CN140</f>
        <v/>
      </c>
      <c r="CO141">
        <f>$C141*CO140</f>
        <v/>
      </c>
      <c r="CP141">
        <f>$C141*CP140</f>
        <v/>
      </c>
      <c r="CQ141">
        <f>$C141*CQ140</f>
        <v/>
      </c>
      <c r="CR141">
        <f>$C141*CR140</f>
        <v/>
      </c>
      <c r="CS141">
        <f>$C141*CS140</f>
        <v/>
      </c>
      <c r="CT141">
        <f>$C141*CT140</f>
        <v/>
      </c>
      <c r="CU141">
        <f>$C141*CU140</f>
        <v/>
      </c>
      <c r="CV141">
        <f>$C141*CV140</f>
        <v/>
      </c>
      <c r="CW141">
        <f>$C141*CW140</f>
        <v/>
      </c>
      <c r="CX141">
        <f>$C141*CX140</f>
        <v/>
      </c>
      <c r="CY141">
        <f>$C141*CY140</f>
        <v/>
      </c>
      <c r="CZ141">
        <f>$C141*CZ140</f>
        <v/>
      </c>
      <c r="DA141">
        <f>$C141*DA140</f>
        <v/>
      </c>
      <c r="DB141">
        <f>$C141*DB140</f>
        <v/>
      </c>
      <c r="DC141">
        <f>$C141*DC140</f>
        <v/>
      </c>
    </row>
    <row r="142">
      <c r="B142" t="inlineStr">
        <is>
          <t>TSP-936</t>
        </is>
      </c>
      <c r="C142" t="inlineStr">
        <is>
          <t>No. of batches</t>
        </is>
      </c>
      <c r="D142">
        <f>IFERROR(INDEX(PP_Grid[#Data],$DD142,2),0)</f>
        <v/>
      </c>
      <c r="E142">
        <f>IFERROR(INDEX(PP_Grid[#Data],$DD142,3),0)</f>
        <v/>
      </c>
      <c r="F142">
        <f>IFERROR(INDEX(PP_Grid[#Data],$DD142,4),0)</f>
        <v/>
      </c>
      <c r="G142">
        <f>IFERROR(INDEX(PP_Grid[#Data],$DD142,5),0)</f>
        <v/>
      </c>
      <c r="H142">
        <f>IFERROR(INDEX(PP_Grid[#Data],$DD142,6),0)</f>
        <v/>
      </c>
      <c r="I142">
        <f>IFERROR(INDEX(PP_Grid[#Data],$DD142,7),0)</f>
        <v/>
      </c>
      <c r="J142">
        <f>IFERROR(INDEX(PP_Grid[#Data],$DD142,8),0)</f>
        <v/>
      </c>
      <c r="K142">
        <f>IFERROR(INDEX(PP_Grid[#Data],$DD142,9),0)</f>
        <v/>
      </c>
      <c r="L142">
        <f>IFERROR(INDEX(PP_Grid[#Data],$DD142,10),0)</f>
        <v/>
      </c>
      <c r="M142">
        <f>IFERROR(INDEX(PP_Grid[#Data],$DD142,11),0)</f>
        <v/>
      </c>
      <c r="N142">
        <f>IFERROR(INDEX(PP_Grid[#Data],$DD142,12),0)</f>
        <v/>
      </c>
      <c r="O142">
        <f>IFERROR(INDEX(PP_Grid[#Data],$DD142,13),0)</f>
        <v/>
      </c>
      <c r="P142">
        <f>IFERROR(INDEX(PP_Grid[#Data],$DD142,14),0)</f>
        <v/>
      </c>
      <c r="Q142">
        <f>IFERROR(INDEX(PP_Grid[#Data],$DD142,15),0)</f>
        <v/>
      </c>
      <c r="R142">
        <f>IFERROR(INDEX(PP_Grid[#Data],$DD142,16),0)</f>
        <v/>
      </c>
      <c r="S142">
        <f>IFERROR(INDEX(PP_Grid[#Data],$DD142,17),0)</f>
        <v/>
      </c>
      <c r="T142">
        <f>IFERROR(INDEX(PP_Grid[#Data],$DD142,18),0)</f>
        <v/>
      </c>
      <c r="U142">
        <f>IFERROR(INDEX(PP_Grid[#Data],$DD142,19),0)</f>
        <v/>
      </c>
      <c r="V142">
        <f>IFERROR(INDEX(PP_Grid[#Data],$DD142,20),0)</f>
        <v/>
      </c>
      <c r="W142">
        <f>IFERROR(INDEX(PP_Grid[#Data],$DD142,21),0)</f>
        <v/>
      </c>
      <c r="X142">
        <f>IFERROR(INDEX(PP_Grid[#Data],$DD142,22),0)</f>
        <v/>
      </c>
      <c r="Y142">
        <f>IFERROR(INDEX(PP_Grid[#Data],$DD142,23),0)</f>
        <v/>
      </c>
      <c r="Z142">
        <f>IFERROR(INDEX(PP_Grid[#Data],$DD142,24),0)</f>
        <v/>
      </c>
      <c r="AA142">
        <f>IFERROR(INDEX(PP_Grid[#Data],$DD142,25),0)</f>
        <v/>
      </c>
      <c r="AB142">
        <f>IFERROR(INDEX(PP_Grid[#Data],$DD142,26),0)</f>
        <v/>
      </c>
      <c r="AC142">
        <f>IFERROR(INDEX(PP_Grid[#Data],$DD142,27),0)</f>
        <v/>
      </c>
      <c r="AD142">
        <f>IFERROR(INDEX(PP_Grid[#Data],$DD142,28),0)</f>
        <v/>
      </c>
      <c r="AE142">
        <f>IFERROR(INDEX(PP_Grid[#Data],$DD142,29),0)</f>
        <v/>
      </c>
      <c r="AF142">
        <f>IFERROR(INDEX(PP_Grid[#Data],$DD142,30),0)</f>
        <v/>
      </c>
      <c r="AG142">
        <f>IFERROR(INDEX(PP_Grid[#Data],$DD142,31),0)</f>
        <v/>
      </c>
      <c r="AH142">
        <f>IFERROR(INDEX(PP_Grid[#Data],$DD142,32),0)</f>
        <v/>
      </c>
      <c r="AI142">
        <f>IFERROR(INDEX(PP_Grid[#Data],$DD142,33),0)</f>
        <v/>
      </c>
      <c r="AJ142">
        <f>IFERROR(INDEX(PP_Grid[#Data],$DD142,34),0)</f>
        <v/>
      </c>
      <c r="AK142">
        <f>IFERROR(INDEX(PP_Grid[#Data],$DD142,35),0)</f>
        <v/>
      </c>
      <c r="AL142">
        <f>IFERROR(INDEX(PP_Grid[#Data],$DD142,36),0)</f>
        <v/>
      </c>
      <c r="AM142">
        <f>IFERROR(INDEX(PP_Grid[#Data],$DD142,37),0)</f>
        <v/>
      </c>
      <c r="AN142">
        <f>IFERROR(INDEX(PP_Grid[#Data],$DD142,38),0)</f>
        <v/>
      </c>
      <c r="AO142">
        <f>IFERROR(INDEX(PP_Grid[#Data],$DD142,39),0)</f>
        <v/>
      </c>
      <c r="AP142">
        <f>IFERROR(INDEX(PP_Grid[#Data],$DD142,40),0)</f>
        <v/>
      </c>
      <c r="AQ142">
        <f>IFERROR(INDEX(PP_Grid[#Data],$DD142,41),0)</f>
        <v/>
      </c>
      <c r="AR142">
        <f>IFERROR(INDEX(PP_Grid[#Data],$DD142,42),0)</f>
        <v/>
      </c>
      <c r="AS142">
        <f>IFERROR(INDEX(PP_Grid[#Data],$DD142,43),0)</f>
        <v/>
      </c>
      <c r="AT142">
        <f>IFERROR(INDEX(PP_Grid[#Data],$DD142,44),0)</f>
        <v/>
      </c>
      <c r="AU142">
        <f>IFERROR(INDEX(PP_Grid[#Data],$DD142,45),0)</f>
        <v/>
      </c>
      <c r="AV142">
        <f>IFERROR(INDEX(PP_Grid[#Data],$DD142,46),0)</f>
        <v/>
      </c>
      <c r="AW142">
        <f>IFERROR(INDEX(PP_Grid[#Data],$DD142,47),0)</f>
        <v/>
      </c>
      <c r="AX142">
        <f>IFERROR(INDEX(PP_Grid[#Data],$DD142,48),0)</f>
        <v/>
      </c>
      <c r="AY142">
        <f>IFERROR(INDEX(PP_Grid[#Data],$DD142,49),0)</f>
        <v/>
      </c>
      <c r="AZ142">
        <f>IFERROR(INDEX(PP_Grid[#Data],$DD142,50),0)</f>
        <v/>
      </c>
      <c r="BA142">
        <f>IFERROR(INDEX(PP_Grid[#Data],$DD142,51),0)</f>
        <v/>
      </c>
      <c r="BB142">
        <f>IFERROR(INDEX(PP_Grid[#Data],$DD142,52),0)</f>
        <v/>
      </c>
      <c r="BC142">
        <f>IFERROR(INDEX(PP_Grid[#Data],$DD142,53),0)</f>
        <v/>
      </c>
      <c r="BD142">
        <f>IFERROR(INDEX(PP_Grid[#Data],$DD142,54),0)</f>
        <v/>
      </c>
      <c r="BE142">
        <f>IFERROR(INDEX(PP_Grid[#Data],$DD142,55),0)</f>
        <v/>
      </c>
      <c r="BF142">
        <f>IFERROR(INDEX(PP_Grid[#Data],$DD142,56),0)</f>
        <v/>
      </c>
      <c r="BG142">
        <f>IFERROR(INDEX(PP_Grid[#Data],$DD142,57),0)</f>
        <v/>
      </c>
      <c r="BH142">
        <f>IFERROR(INDEX(PP_Grid[#Data],$DD142,58),0)</f>
        <v/>
      </c>
      <c r="BI142">
        <f>IFERROR(INDEX(PP_Grid[#Data],$DD142,59),0)</f>
        <v/>
      </c>
      <c r="BJ142">
        <f>IFERROR(INDEX(PP_Grid[#Data],$DD142,60),0)</f>
        <v/>
      </c>
      <c r="BK142">
        <f>IFERROR(INDEX(PP_Grid[#Data],$DD142,61),0)</f>
        <v/>
      </c>
      <c r="BL142">
        <f>IFERROR(INDEX(PP_Grid[#Data],$DD142,62),0)</f>
        <v/>
      </c>
      <c r="BM142">
        <f>IFERROR(INDEX(PP_Grid[#Data],$DD142,63),0)</f>
        <v/>
      </c>
      <c r="BN142">
        <f>IFERROR(INDEX(PP_Grid[#Data],$DD142,64),0)</f>
        <v/>
      </c>
      <c r="BO142">
        <f>IFERROR(INDEX(PP_Grid[#Data],$DD142,65),0)</f>
        <v/>
      </c>
      <c r="BP142">
        <f>IFERROR(INDEX(PP_Grid[#Data],$DD142,66),0)</f>
        <v/>
      </c>
      <c r="BQ142">
        <f>IFERROR(INDEX(PP_Grid[#Data],$DD142,67),0)</f>
        <v/>
      </c>
      <c r="BR142">
        <f>IFERROR(INDEX(PP_Grid[#Data],$DD142,68),0)</f>
        <v/>
      </c>
      <c r="BS142">
        <f>IFERROR(INDEX(PP_Grid[#Data],$DD142,69),0)</f>
        <v/>
      </c>
      <c r="BT142">
        <f>IFERROR(INDEX(PP_Grid[#Data],$DD142,70),0)</f>
        <v/>
      </c>
      <c r="BU142">
        <f>IFERROR(INDEX(PP_Grid[#Data],$DD142,71),0)</f>
        <v/>
      </c>
      <c r="BV142">
        <f>IFERROR(INDEX(PP_Grid[#Data],$DD142,72),0)</f>
        <v/>
      </c>
      <c r="BW142">
        <f>IFERROR(INDEX(PP_Grid[#Data],$DD142,73),0)</f>
        <v/>
      </c>
      <c r="BX142">
        <f>IFERROR(INDEX(PP_Grid[#Data],$DD142,74),0)</f>
        <v/>
      </c>
      <c r="BY142">
        <f>IFERROR(INDEX(PP_Grid[#Data],$DD142,75),0)</f>
        <v/>
      </c>
      <c r="BZ142">
        <f>IFERROR(INDEX(PP_Grid[#Data],$DD142,76),0)</f>
        <v/>
      </c>
      <c r="CA142">
        <f>IFERROR(INDEX(PP_Grid[#Data],$DD142,77),0)</f>
        <v/>
      </c>
      <c r="CB142">
        <f>IFERROR(INDEX(PP_Grid[#Data],$DD142,78),0)</f>
        <v/>
      </c>
      <c r="CC142">
        <f>IFERROR(INDEX(PP_Grid[#Data],$DD142,79),0)</f>
        <v/>
      </c>
      <c r="CD142">
        <f>IFERROR(INDEX(PP_Grid[#Data],$DD142,80),0)</f>
        <v/>
      </c>
      <c r="CE142">
        <f>IFERROR(INDEX(PP_Grid[#Data],$DD142,81),0)</f>
        <v/>
      </c>
      <c r="CF142">
        <f>IFERROR(INDEX(PP_Grid[#Data],$DD142,82),0)</f>
        <v/>
      </c>
      <c r="CG142">
        <f>IFERROR(INDEX(PP_Grid[#Data],$DD142,83),0)</f>
        <v/>
      </c>
      <c r="CH142">
        <f>IFERROR(INDEX(PP_Grid[#Data],$DD142,84),0)</f>
        <v/>
      </c>
      <c r="CI142">
        <f>IFERROR(INDEX(PP_Grid[#Data],$DD142,85),0)</f>
        <v/>
      </c>
      <c r="CJ142">
        <f>IFERROR(INDEX(PP_Grid[#Data],$DD142,86),0)</f>
        <v/>
      </c>
      <c r="CK142">
        <f>IFERROR(INDEX(PP_Grid[#Data],$DD142,87),0)</f>
        <v/>
      </c>
      <c r="CL142">
        <f>IFERROR(INDEX(PP_Grid[#Data],$DD142,88),0)</f>
        <v/>
      </c>
      <c r="CM142">
        <f>IFERROR(INDEX(PP_Grid[#Data],$DD142,89),0)</f>
        <v/>
      </c>
      <c r="CN142">
        <f>IFERROR(INDEX(PP_Grid[#Data],$DD142,90),0)</f>
        <v/>
      </c>
      <c r="CO142">
        <f>IFERROR(INDEX(PP_Grid[#Data],$DD142,91),0)</f>
        <v/>
      </c>
      <c r="CP142">
        <f>IFERROR(INDEX(PP_Grid[#Data],$DD142,92),0)</f>
        <v/>
      </c>
      <c r="CQ142">
        <f>IFERROR(INDEX(PP_Grid[#Data],$DD142,93),0)</f>
        <v/>
      </c>
      <c r="CR142">
        <f>IFERROR(INDEX(PP_Grid[#Data],$DD142,94),0)</f>
        <v/>
      </c>
      <c r="CS142">
        <f>IFERROR(INDEX(PP_Grid[#Data],$DD142,95),0)</f>
        <v/>
      </c>
      <c r="CT142">
        <f>IFERROR(INDEX(PP_Grid[#Data],$DD142,96),0)</f>
        <v/>
      </c>
      <c r="CU142">
        <f>IFERROR(INDEX(PP_Grid[#Data],$DD142,97),0)</f>
        <v/>
      </c>
      <c r="CV142">
        <f>IFERROR(INDEX(PP_Grid[#Data],$DD142,98),0)</f>
        <v/>
      </c>
      <c r="CW142">
        <f>IFERROR(INDEX(PP_Grid[#Data],$DD142,99),0)</f>
        <v/>
      </c>
      <c r="CX142">
        <f>IFERROR(INDEX(PP_Grid[#Data],$DD142,100),0)</f>
        <v/>
      </c>
      <c r="CY142">
        <f>IFERROR(INDEX(PP_Grid[#Data],$DD142,101),0)</f>
        <v/>
      </c>
      <c r="CZ142">
        <f>IFERROR(INDEX(PP_Grid[#Data],$DD142,102),0)</f>
        <v/>
      </c>
      <c r="DA142">
        <f>IFERROR(INDEX(PP_Grid[#Data],$DD142,103),0)</f>
        <v/>
      </c>
      <c r="DB142">
        <f>IFERROR(INDEX(PP_Grid[#Data],$DD142,104),0)</f>
        <v/>
      </c>
      <c r="DC142">
        <f>IFERROR(INDEX(PP_Grid[#Data],$DD142,105),0)</f>
        <v/>
      </c>
      <c r="DD142" s="12">
        <f>IFERROR(MATCH($B142,PP_Grid[Intermediate],0),99999)</f>
        <v/>
      </c>
    </row>
    <row r="143">
      <c r="B143" t="inlineStr">
        <is>
          <t>使用量(kg)</t>
        </is>
      </c>
      <c r="C143">
        <f>SUMIFS(M_BOM[RM_Qty_Per_Batch],M_BOM[Intermediate],$B142,M_BOM[Part Name],$A45)</f>
        <v/>
      </c>
      <c r="D143">
        <f>$C143*D142</f>
        <v/>
      </c>
      <c r="E143">
        <f>$C143*E142</f>
        <v/>
      </c>
      <c r="F143">
        <f>$C143*F142</f>
        <v/>
      </c>
      <c r="G143">
        <f>$C143*G142</f>
        <v/>
      </c>
      <c r="H143">
        <f>$C143*H142</f>
        <v/>
      </c>
      <c r="I143">
        <f>$C143*I142</f>
        <v/>
      </c>
      <c r="J143">
        <f>$C143*J142</f>
        <v/>
      </c>
      <c r="K143">
        <f>$C143*K142</f>
        <v/>
      </c>
      <c r="L143">
        <f>$C143*L142</f>
        <v/>
      </c>
      <c r="M143">
        <f>$C143*M142</f>
        <v/>
      </c>
      <c r="N143">
        <f>$C143*N142</f>
        <v/>
      </c>
      <c r="O143">
        <f>$C143*O142</f>
        <v/>
      </c>
      <c r="P143">
        <f>$C143*P142</f>
        <v/>
      </c>
      <c r="Q143">
        <f>$C143*Q142</f>
        <v/>
      </c>
      <c r="R143">
        <f>$C143*R142</f>
        <v/>
      </c>
      <c r="S143">
        <f>$C143*S142</f>
        <v/>
      </c>
      <c r="T143">
        <f>$C143*T142</f>
        <v/>
      </c>
      <c r="U143">
        <f>$C143*U142</f>
        <v/>
      </c>
      <c r="V143">
        <f>$C143*V142</f>
        <v/>
      </c>
      <c r="W143">
        <f>$C143*W142</f>
        <v/>
      </c>
      <c r="X143">
        <f>$C143*X142</f>
        <v/>
      </c>
      <c r="Y143">
        <f>$C143*Y142</f>
        <v/>
      </c>
      <c r="Z143">
        <f>$C143*Z142</f>
        <v/>
      </c>
      <c r="AA143">
        <f>$C143*AA142</f>
        <v/>
      </c>
      <c r="AB143">
        <f>$C143*AB142</f>
        <v/>
      </c>
      <c r="AC143">
        <f>$C143*AC142</f>
        <v/>
      </c>
      <c r="AD143">
        <f>$C143*AD142</f>
        <v/>
      </c>
      <c r="AE143">
        <f>$C143*AE142</f>
        <v/>
      </c>
      <c r="AF143">
        <f>$C143*AF142</f>
        <v/>
      </c>
      <c r="AG143">
        <f>$C143*AG142</f>
        <v/>
      </c>
      <c r="AH143">
        <f>$C143*AH142</f>
        <v/>
      </c>
      <c r="AI143">
        <f>$C143*AI142</f>
        <v/>
      </c>
      <c r="AJ143">
        <f>$C143*AJ142</f>
        <v/>
      </c>
      <c r="AK143">
        <f>$C143*AK142</f>
        <v/>
      </c>
      <c r="AL143">
        <f>$C143*AL142</f>
        <v/>
      </c>
      <c r="AM143">
        <f>$C143*AM142</f>
        <v/>
      </c>
      <c r="AN143">
        <f>$C143*AN142</f>
        <v/>
      </c>
      <c r="AO143">
        <f>$C143*AO142</f>
        <v/>
      </c>
      <c r="AP143">
        <f>$C143*AP142</f>
        <v/>
      </c>
      <c r="AQ143">
        <f>$C143*AQ142</f>
        <v/>
      </c>
      <c r="AR143">
        <f>$C143*AR142</f>
        <v/>
      </c>
      <c r="AS143">
        <f>$C143*AS142</f>
        <v/>
      </c>
      <c r="AT143">
        <f>$C143*AT142</f>
        <v/>
      </c>
      <c r="AU143">
        <f>$C143*AU142</f>
        <v/>
      </c>
      <c r="AV143">
        <f>$C143*AV142</f>
        <v/>
      </c>
      <c r="AW143">
        <f>$C143*AW142</f>
        <v/>
      </c>
      <c r="AX143">
        <f>$C143*AX142</f>
        <v/>
      </c>
      <c r="AY143">
        <f>$C143*AY142</f>
        <v/>
      </c>
      <c r="AZ143">
        <f>$C143*AZ142</f>
        <v/>
      </c>
      <c r="BA143">
        <f>$C143*BA142</f>
        <v/>
      </c>
      <c r="BB143">
        <f>$C143*BB142</f>
        <v/>
      </c>
      <c r="BC143">
        <f>$C143*BC142</f>
        <v/>
      </c>
      <c r="BD143">
        <f>$C143*BD142</f>
        <v/>
      </c>
      <c r="BE143">
        <f>$C143*BE142</f>
        <v/>
      </c>
      <c r="BF143">
        <f>$C143*BF142</f>
        <v/>
      </c>
      <c r="BG143">
        <f>$C143*BG142</f>
        <v/>
      </c>
      <c r="BH143">
        <f>$C143*BH142</f>
        <v/>
      </c>
      <c r="BI143">
        <f>$C143*BI142</f>
        <v/>
      </c>
      <c r="BJ143">
        <f>$C143*BJ142</f>
        <v/>
      </c>
      <c r="BK143">
        <f>$C143*BK142</f>
        <v/>
      </c>
      <c r="BL143">
        <f>$C143*BL142</f>
        <v/>
      </c>
      <c r="BM143">
        <f>$C143*BM142</f>
        <v/>
      </c>
      <c r="BN143">
        <f>$C143*BN142</f>
        <v/>
      </c>
      <c r="BO143">
        <f>$C143*BO142</f>
        <v/>
      </c>
      <c r="BP143">
        <f>$C143*BP142</f>
        <v/>
      </c>
      <c r="BQ143">
        <f>$C143*BQ142</f>
        <v/>
      </c>
      <c r="BR143">
        <f>$C143*BR142</f>
        <v/>
      </c>
      <c r="BS143">
        <f>$C143*BS142</f>
        <v/>
      </c>
      <c r="BT143">
        <f>$C143*BT142</f>
        <v/>
      </c>
      <c r="BU143">
        <f>$C143*BU142</f>
        <v/>
      </c>
      <c r="BV143">
        <f>$C143*BV142</f>
        <v/>
      </c>
      <c r="BW143">
        <f>$C143*BW142</f>
        <v/>
      </c>
      <c r="BX143">
        <f>$C143*BX142</f>
        <v/>
      </c>
      <c r="BY143">
        <f>$C143*BY142</f>
        <v/>
      </c>
      <c r="BZ143">
        <f>$C143*BZ142</f>
        <v/>
      </c>
      <c r="CA143">
        <f>$C143*CA142</f>
        <v/>
      </c>
      <c r="CB143">
        <f>$C143*CB142</f>
        <v/>
      </c>
      <c r="CC143">
        <f>$C143*CC142</f>
        <v/>
      </c>
      <c r="CD143">
        <f>$C143*CD142</f>
        <v/>
      </c>
      <c r="CE143">
        <f>$C143*CE142</f>
        <v/>
      </c>
      <c r="CF143">
        <f>$C143*CF142</f>
        <v/>
      </c>
      <c r="CG143">
        <f>$C143*CG142</f>
        <v/>
      </c>
      <c r="CH143">
        <f>$C143*CH142</f>
        <v/>
      </c>
      <c r="CI143">
        <f>$C143*CI142</f>
        <v/>
      </c>
      <c r="CJ143">
        <f>$C143*CJ142</f>
        <v/>
      </c>
      <c r="CK143">
        <f>$C143*CK142</f>
        <v/>
      </c>
      <c r="CL143">
        <f>$C143*CL142</f>
        <v/>
      </c>
      <c r="CM143">
        <f>$C143*CM142</f>
        <v/>
      </c>
      <c r="CN143">
        <f>$C143*CN142</f>
        <v/>
      </c>
      <c r="CO143">
        <f>$C143*CO142</f>
        <v/>
      </c>
      <c r="CP143">
        <f>$C143*CP142</f>
        <v/>
      </c>
      <c r="CQ143">
        <f>$C143*CQ142</f>
        <v/>
      </c>
      <c r="CR143">
        <f>$C143*CR142</f>
        <v/>
      </c>
      <c r="CS143">
        <f>$C143*CS142</f>
        <v/>
      </c>
      <c r="CT143">
        <f>$C143*CT142</f>
        <v/>
      </c>
      <c r="CU143">
        <f>$C143*CU142</f>
        <v/>
      </c>
      <c r="CV143">
        <f>$C143*CV142</f>
        <v/>
      </c>
      <c r="CW143">
        <f>$C143*CW142</f>
        <v/>
      </c>
      <c r="CX143">
        <f>$C143*CX142</f>
        <v/>
      </c>
      <c r="CY143">
        <f>$C143*CY142</f>
        <v/>
      </c>
      <c r="CZ143">
        <f>$C143*CZ142</f>
        <v/>
      </c>
      <c r="DA143">
        <f>$C143*DA142</f>
        <v/>
      </c>
      <c r="DB143">
        <f>$C143*DB142</f>
        <v/>
      </c>
      <c r="DC143">
        <f>$C143*DC142</f>
        <v/>
      </c>
    </row>
    <row r="144">
      <c r="B144" t="inlineStr">
        <is>
          <t>TSP-937</t>
        </is>
      </c>
      <c r="C144" t="inlineStr">
        <is>
          <t>No. of batches</t>
        </is>
      </c>
      <c r="D144">
        <f>IFERROR(INDEX(PP_Grid[#Data],$DD144,2),0)</f>
        <v/>
      </c>
      <c r="E144">
        <f>IFERROR(INDEX(PP_Grid[#Data],$DD144,3),0)</f>
        <v/>
      </c>
      <c r="F144">
        <f>IFERROR(INDEX(PP_Grid[#Data],$DD144,4),0)</f>
        <v/>
      </c>
      <c r="G144">
        <f>IFERROR(INDEX(PP_Grid[#Data],$DD144,5),0)</f>
        <v/>
      </c>
      <c r="H144">
        <f>IFERROR(INDEX(PP_Grid[#Data],$DD144,6),0)</f>
        <v/>
      </c>
      <c r="I144">
        <f>IFERROR(INDEX(PP_Grid[#Data],$DD144,7),0)</f>
        <v/>
      </c>
      <c r="J144">
        <f>IFERROR(INDEX(PP_Grid[#Data],$DD144,8),0)</f>
        <v/>
      </c>
      <c r="K144">
        <f>IFERROR(INDEX(PP_Grid[#Data],$DD144,9),0)</f>
        <v/>
      </c>
      <c r="L144">
        <f>IFERROR(INDEX(PP_Grid[#Data],$DD144,10),0)</f>
        <v/>
      </c>
      <c r="M144">
        <f>IFERROR(INDEX(PP_Grid[#Data],$DD144,11),0)</f>
        <v/>
      </c>
      <c r="N144">
        <f>IFERROR(INDEX(PP_Grid[#Data],$DD144,12),0)</f>
        <v/>
      </c>
      <c r="O144">
        <f>IFERROR(INDEX(PP_Grid[#Data],$DD144,13),0)</f>
        <v/>
      </c>
      <c r="P144">
        <f>IFERROR(INDEX(PP_Grid[#Data],$DD144,14),0)</f>
        <v/>
      </c>
      <c r="Q144">
        <f>IFERROR(INDEX(PP_Grid[#Data],$DD144,15),0)</f>
        <v/>
      </c>
      <c r="R144">
        <f>IFERROR(INDEX(PP_Grid[#Data],$DD144,16),0)</f>
        <v/>
      </c>
      <c r="S144">
        <f>IFERROR(INDEX(PP_Grid[#Data],$DD144,17),0)</f>
        <v/>
      </c>
      <c r="T144">
        <f>IFERROR(INDEX(PP_Grid[#Data],$DD144,18),0)</f>
        <v/>
      </c>
      <c r="U144">
        <f>IFERROR(INDEX(PP_Grid[#Data],$DD144,19),0)</f>
        <v/>
      </c>
      <c r="V144">
        <f>IFERROR(INDEX(PP_Grid[#Data],$DD144,20),0)</f>
        <v/>
      </c>
      <c r="W144">
        <f>IFERROR(INDEX(PP_Grid[#Data],$DD144,21),0)</f>
        <v/>
      </c>
      <c r="X144">
        <f>IFERROR(INDEX(PP_Grid[#Data],$DD144,22),0)</f>
        <v/>
      </c>
      <c r="Y144">
        <f>IFERROR(INDEX(PP_Grid[#Data],$DD144,23),0)</f>
        <v/>
      </c>
      <c r="Z144">
        <f>IFERROR(INDEX(PP_Grid[#Data],$DD144,24),0)</f>
        <v/>
      </c>
      <c r="AA144">
        <f>IFERROR(INDEX(PP_Grid[#Data],$DD144,25),0)</f>
        <v/>
      </c>
      <c r="AB144">
        <f>IFERROR(INDEX(PP_Grid[#Data],$DD144,26),0)</f>
        <v/>
      </c>
      <c r="AC144">
        <f>IFERROR(INDEX(PP_Grid[#Data],$DD144,27),0)</f>
        <v/>
      </c>
      <c r="AD144">
        <f>IFERROR(INDEX(PP_Grid[#Data],$DD144,28),0)</f>
        <v/>
      </c>
      <c r="AE144">
        <f>IFERROR(INDEX(PP_Grid[#Data],$DD144,29),0)</f>
        <v/>
      </c>
      <c r="AF144">
        <f>IFERROR(INDEX(PP_Grid[#Data],$DD144,30),0)</f>
        <v/>
      </c>
      <c r="AG144">
        <f>IFERROR(INDEX(PP_Grid[#Data],$DD144,31),0)</f>
        <v/>
      </c>
      <c r="AH144">
        <f>IFERROR(INDEX(PP_Grid[#Data],$DD144,32),0)</f>
        <v/>
      </c>
      <c r="AI144">
        <f>IFERROR(INDEX(PP_Grid[#Data],$DD144,33),0)</f>
        <v/>
      </c>
      <c r="AJ144">
        <f>IFERROR(INDEX(PP_Grid[#Data],$DD144,34),0)</f>
        <v/>
      </c>
      <c r="AK144">
        <f>IFERROR(INDEX(PP_Grid[#Data],$DD144,35),0)</f>
        <v/>
      </c>
      <c r="AL144">
        <f>IFERROR(INDEX(PP_Grid[#Data],$DD144,36),0)</f>
        <v/>
      </c>
      <c r="AM144">
        <f>IFERROR(INDEX(PP_Grid[#Data],$DD144,37),0)</f>
        <v/>
      </c>
      <c r="AN144">
        <f>IFERROR(INDEX(PP_Grid[#Data],$DD144,38),0)</f>
        <v/>
      </c>
      <c r="AO144">
        <f>IFERROR(INDEX(PP_Grid[#Data],$DD144,39),0)</f>
        <v/>
      </c>
      <c r="AP144">
        <f>IFERROR(INDEX(PP_Grid[#Data],$DD144,40),0)</f>
        <v/>
      </c>
      <c r="AQ144">
        <f>IFERROR(INDEX(PP_Grid[#Data],$DD144,41),0)</f>
        <v/>
      </c>
      <c r="AR144">
        <f>IFERROR(INDEX(PP_Grid[#Data],$DD144,42),0)</f>
        <v/>
      </c>
      <c r="AS144">
        <f>IFERROR(INDEX(PP_Grid[#Data],$DD144,43),0)</f>
        <v/>
      </c>
      <c r="AT144">
        <f>IFERROR(INDEX(PP_Grid[#Data],$DD144,44),0)</f>
        <v/>
      </c>
      <c r="AU144">
        <f>IFERROR(INDEX(PP_Grid[#Data],$DD144,45),0)</f>
        <v/>
      </c>
      <c r="AV144">
        <f>IFERROR(INDEX(PP_Grid[#Data],$DD144,46),0)</f>
        <v/>
      </c>
      <c r="AW144">
        <f>IFERROR(INDEX(PP_Grid[#Data],$DD144,47),0)</f>
        <v/>
      </c>
      <c r="AX144">
        <f>IFERROR(INDEX(PP_Grid[#Data],$DD144,48),0)</f>
        <v/>
      </c>
      <c r="AY144">
        <f>IFERROR(INDEX(PP_Grid[#Data],$DD144,49),0)</f>
        <v/>
      </c>
      <c r="AZ144">
        <f>IFERROR(INDEX(PP_Grid[#Data],$DD144,50),0)</f>
        <v/>
      </c>
      <c r="BA144">
        <f>IFERROR(INDEX(PP_Grid[#Data],$DD144,51),0)</f>
        <v/>
      </c>
      <c r="BB144">
        <f>IFERROR(INDEX(PP_Grid[#Data],$DD144,52),0)</f>
        <v/>
      </c>
      <c r="BC144">
        <f>IFERROR(INDEX(PP_Grid[#Data],$DD144,53),0)</f>
        <v/>
      </c>
      <c r="BD144">
        <f>IFERROR(INDEX(PP_Grid[#Data],$DD144,54),0)</f>
        <v/>
      </c>
      <c r="BE144">
        <f>IFERROR(INDEX(PP_Grid[#Data],$DD144,55),0)</f>
        <v/>
      </c>
      <c r="BF144">
        <f>IFERROR(INDEX(PP_Grid[#Data],$DD144,56),0)</f>
        <v/>
      </c>
      <c r="BG144">
        <f>IFERROR(INDEX(PP_Grid[#Data],$DD144,57),0)</f>
        <v/>
      </c>
      <c r="BH144">
        <f>IFERROR(INDEX(PP_Grid[#Data],$DD144,58),0)</f>
        <v/>
      </c>
      <c r="BI144">
        <f>IFERROR(INDEX(PP_Grid[#Data],$DD144,59),0)</f>
        <v/>
      </c>
      <c r="BJ144">
        <f>IFERROR(INDEX(PP_Grid[#Data],$DD144,60),0)</f>
        <v/>
      </c>
      <c r="BK144">
        <f>IFERROR(INDEX(PP_Grid[#Data],$DD144,61),0)</f>
        <v/>
      </c>
      <c r="BL144">
        <f>IFERROR(INDEX(PP_Grid[#Data],$DD144,62),0)</f>
        <v/>
      </c>
      <c r="BM144">
        <f>IFERROR(INDEX(PP_Grid[#Data],$DD144,63),0)</f>
        <v/>
      </c>
      <c r="BN144">
        <f>IFERROR(INDEX(PP_Grid[#Data],$DD144,64),0)</f>
        <v/>
      </c>
      <c r="BO144">
        <f>IFERROR(INDEX(PP_Grid[#Data],$DD144,65),0)</f>
        <v/>
      </c>
      <c r="BP144">
        <f>IFERROR(INDEX(PP_Grid[#Data],$DD144,66),0)</f>
        <v/>
      </c>
      <c r="BQ144">
        <f>IFERROR(INDEX(PP_Grid[#Data],$DD144,67),0)</f>
        <v/>
      </c>
      <c r="BR144">
        <f>IFERROR(INDEX(PP_Grid[#Data],$DD144,68),0)</f>
        <v/>
      </c>
      <c r="BS144">
        <f>IFERROR(INDEX(PP_Grid[#Data],$DD144,69),0)</f>
        <v/>
      </c>
      <c r="BT144">
        <f>IFERROR(INDEX(PP_Grid[#Data],$DD144,70),0)</f>
        <v/>
      </c>
      <c r="BU144">
        <f>IFERROR(INDEX(PP_Grid[#Data],$DD144,71),0)</f>
        <v/>
      </c>
      <c r="BV144">
        <f>IFERROR(INDEX(PP_Grid[#Data],$DD144,72),0)</f>
        <v/>
      </c>
      <c r="BW144">
        <f>IFERROR(INDEX(PP_Grid[#Data],$DD144,73),0)</f>
        <v/>
      </c>
      <c r="BX144">
        <f>IFERROR(INDEX(PP_Grid[#Data],$DD144,74),0)</f>
        <v/>
      </c>
      <c r="BY144">
        <f>IFERROR(INDEX(PP_Grid[#Data],$DD144,75),0)</f>
        <v/>
      </c>
      <c r="BZ144">
        <f>IFERROR(INDEX(PP_Grid[#Data],$DD144,76),0)</f>
        <v/>
      </c>
      <c r="CA144">
        <f>IFERROR(INDEX(PP_Grid[#Data],$DD144,77),0)</f>
        <v/>
      </c>
      <c r="CB144">
        <f>IFERROR(INDEX(PP_Grid[#Data],$DD144,78),0)</f>
        <v/>
      </c>
      <c r="CC144">
        <f>IFERROR(INDEX(PP_Grid[#Data],$DD144,79),0)</f>
        <v/>
      </c>
      <c r="CD144">
        <f>IFERROR(INDEX(PP_Grid[#Data],$DD144,80),0)</f>
        <v/>
      </c>
      <c r="CE144">
        <f>IFERROR(INDEX(PP_Grid[#Data],$DD144,81),0)</f>
        <v/>
      </c>
      <c r="CF144">
        <f>IFERROR(INDEX(PP_Grid[#Data],$DD144,82),0)</f>
        <v/>
      </c>
      <c r="CG144">
        <f>IFERROR(INDEX(PP_Grid[#Data],$DD144,83),0)</f>
        <v/>
      </c>
      <c r="CH144">
        <f>IFERROR(INDEX(PP_Grid[#Data],$DD144,84),0)</f>
        <v/>
      </c>
      <c r="CI144">
        <f>IFERROR(INDEX(PP_Grid[#Data],$DD144,85),0)</f>
        <v/>
      </c>
      <c r="CJ144">
        <f>IFERROR(INDEX(PP_Grid[#Data],$DD144,86),0)</f>
        <v/>
      </c>
      <c r="CK144">
        <f>IFERROR(INDEX(PP_Grid[#Data],$DD144,87),0)</f>
        <v/>
      </c>
      <c r="CL144">
        <f>IFERROR(INDEX(PP_Grid[#Data],$DD144,88),0)</f>
        <v/>
      </c>
      <c r="CM144">
        <f>IFERROR(INDEX(PP_Grid[#Data],$DD144,89),0)</f>
        <v/>
      </c>
      <c r="CN144">
        <f>IFERROR(INDEX(PP_Grid[#Data],$DD144,90),0)</f>
        <v/>
      </c>
      <c r="CO144">
        <f>IFERROR(INDEX(PP_Grid[#Data],$DD144,91),0)</f>
        <v/>
      </c>
      <c r="CP144">
        <f>IFERROR(INDEX(PP_Grid[#Data],$DD144,92),0)</f>
        <v/>
      </c>
      <c r="CQ144">
        <f>IFERROR(INDEX(PP_Grid[#Data],$DD144,93),0)</f>
        <v/>
      </c>
      <c r="CR144">
        <f>IFERROR(INDEX(PP_Grid[#Data],$DD144,94),0)</f>
        <v/>
      </c>
      <c r="CS144">
        <f>IFERROR(INDEX(PP_Grid[#Data],$DD144,95),0)</f>
        <v/>
      </c>
      <c r="CT144">
        <f>IFERROR(INDEX(PP_Grid[#Data],$DD144,96),0)</f>
        <v/>
      </c>
      <c r="CU144">
        <f>IFERROR(INDEX(PP_Grid[#Data],$DD144,97),0)</f>
        <v/>
      </c>
      <c r="CV144">
        <f>IFERROR(INDEX(PP_Grid[#Data],$DD144,98),0)</f>
        <v/>
      </c>
      <c r="CW144">
        <f>IFERROR(INDEX(PP_Grid[#Data],$DD144,99),0)</f>
        <v/>
      </c>
      <c r="CX144">
        <f>IFERROR(INDEX(PP_Grid[#Data],$DD144,100),0)</f>
        <v/>
      </c>
      <c r="CY144">
        <f>IFERROR(INDEX(PP_Grid[#Data],$DD144,101),0)</f>
        <v/>
      </c>
      <c r="CZ144">
        <f>IFERROR(INDEX(PP_Grid[#Data],$DD144,102),0)</f>
        <v/>
      </c>
      <c r="DA144">
        <f>IFERROR(INDEX(PP_Grid[#Data],$DD144,103),0)</f>
        <v/>
      </c>
      <c r="DB144">
        <f>IFERROR(INDEX(PP_Grid[#Data],$DD144,104),0)</f>
        <v/>
      </c>
      <c r="DC144">
        <f>IFERROR(INDEX(PP_Grid[#Data],$DD144,105),0)</f>
        <v/>
      </c>
      <c r="DD144" s="12">
        <f>IFERROR(MATCH($B144,PP_Grid[Intermediate],0),99999)</f>
        <v/>
      </c>
    </row>
    <row r="145">
      <c r="B145" t="inlineStr">
        <is>
          <t>使用量(kg)</t>
        </is>
      </c>
      <c r="C145">
        <f>SUMIFS(M_BOM[RM_Qty_Per_Batch],M_BOM[Intermediate],$B144,M_BOM[Part Name],$A45)</f>
        <v/>
      </c>
      <c r="D145">
        <f>$C145*D144</f>
        <v/>
      </c>
      <c r="E145">
        <f>$C145*E144</f>
        <v/>
      </c>
      <c r="F145">
        <f>$C145*F144</f>
        <v/>
      </c>
      <c r="G145">
        <f>$C145*G144</f>
        <v/>
      </c>
      <c r="H145">
        <f>$C145*H144</f>
        <v/>
      </c>
      <c r="I145">
        <f>$C145*I144</f>
        <v/>
      </c>
      <c r="J145">
        <f>$C145*J144</f>
        <v/>
      </c>
      <c r="K145">
        <f>$C145*K144</f>
        <v/>
      </c>
      <c r="L145">
        <f>$C145*L144</f>
        <v/>
      </c>
      <c r="M145">
        <f>$C145*M144</f>
        <v/>
      </c>
      <c r="N145">
        <f>$C145*N144</f>
        <v/>
      </c>
      <c r="O145">
        <f>$C145*O144</f>
        <v/>
      </c>
      <c r="P145">
        <f>$C145*P144</f>
        <v/>
      </c>
      <c r="Q145">
        <f>$C145*Q144</f>
        <v/>
      </c>
      <c r="R145">
        <f>$C145*R144</f>
        <v/>
      </c>
      <c r="S145">
        <f>$C145*S144</f>
        <v/>
      </c>
      <c r="T145">
        <f>$C145*T144</f>
        <v/>
      </c>
      <c r="U145">
        <f>$C145*U144</f>
        <v/>
      </c>
      <c r="V145">
        <f>$C145*V144</f>
        <v/>
      </c>
      <c r="W145">
        <f>$C145*W144</f>
        <v/>
      </c>
      <c r="X145">
        <f>$C145*X144</f>
        <v/>
      </c>
      <c r="Y145">
        <f>$C145*Y144</f>
        <v/>
      </c>
      <c r="Z145">
        <f>$C145*Z144</f>
        <v/>
      </c>
      <c r="AA145">
        <f>$C145*AA144</f>
        <v/>
      </c>
      <c r="AB145">
        <f>$C145*AB144</f>
        <v/>
      </c>
      <c r="AC145">
        <f>$C145*AC144</f>
        <v/>
      </c>
      <c r="AD145">
        <f>$C145*AD144</f>
        <v/>
      </c>
      <c r="AE145">
        <f>$C145*AE144</f>
        <v/>
      </c>
      <c r="AF145">
        <f>$C145*AF144</f>
        <v/>
      </c>
      <c r="AG145">
        <f>$C145*AG144</f>
        <v/>
      </c>
      <c r="AH145">
        <f>$C145*AH144</f>
        <v/>
      </c>
      <c r="AI145">
        <f>$C145*AI144</f>
        <v/>
      </c>
      <c r="AJ145">
        <f>$C145*AJ144</f>
        <v/>
      </c>
      <c r="AK145">
        <f>$C145*AK144</f>
        <v/>
      </c>
      <c r="AL145">
        <f>$C145*AL144</f>
        <v/>
      </c>
      <c r="AM145">
        <f>$C145*AM144</f>
        <v/>
      </c>
      <c r="AN145">
        <f>$C145*AN144</f>
        <v/>
      </c>
      <c r="AO145">
        <f>$C145*AO144</f>
        <v/>
      </c>
      <c r="AP145">
        <f>$C145*AP144</f>
        <v/>
      </c>
      <c r="AQ145">
        <f>$C145*AQ144</f>
        <v/>
      </c>
      <c r="AR145">
        <f>$C145*AR144</f>
        <v/>
      </c>
      <c r="AS145">
        <f>$C145*AS144</f>
        <v/>
      </c>
      <c r="AT145">
        <f>$C145*AT144</f>
        <v/>
      </c>
      <c r="AU145">
        <f>$C145*AU144</f>
        <v/>
      </c>
      <c r="AV145">
        <f>$C145*AV144</f>
        <v/>
      </c>
      <c r="AW145">
        <f>$C145*AW144</f>
        <v/>
      </c>
      <c r="AX145">
        <f>$C145*AX144</f>
        <v/>
      </c>
      <c r="AY145">
        <f>$C145*AY144</f>
        <v/>
      </c>
      <c r="AZ145">
        <f>$C145*AZ144</f>
        <v/>
      </c>
      <c r="BA145">
        <f>$C145*BA144</f>
        <v/>
      </c>
      <c r="BB145">
        <f>$C145*BB144</f>
        <v/>
      </c>
      <c r="BC145">
        <f>$C145*BC144</f>
        <v/>
      </c>
      <c r="BD145">
        <f>$C145*BD144</f>
        <v/>
      </c>
      <c r="BE145">
        <f>$C145*BE144</f>
        <v/>
      </c>
      <c r="BF145">
        <f>$C145*BF144</f>
        <v/>
      </c>
      <c r="BG145">
        <f>$C145*BG144</f>
        <v/>
      </c>
      <c r="BH145">
        <f>$C145*BH144</f>
        <v/>
      </c>
      <c r="BI145">
        <f>$C145*BI144</f>
        <v/>
      </c>
      <c r="BJ145">
        <f>$C145*BJ144</f>
        <v/>
      </c>
      <c r="BK145">
        <f>$C145*BK144</f>
        <v/>
      </c>
      <c r="BL145">
        <f>$C145*BL144</f>
        <v/>
      </c>
      <c r="BM145">
        <f>$C145*BM144</f>
        <v/>
      </c>
      <c r="BN145">
        <f>$C145*BN144</f>
        <v/>
      </c>
      <c r="BO145">
        <f>$C145*BO144</f>
        <v/>
      </c>
      <c r="BP145">
        <f>$C145*BP144</f>
        <v/>
      </c>
      <c r="BQ145">
        <f>$C145*BQ144</f>
        <v/>
      </c>
      <c r="BR145">
        <f>$C145*BR144</f>
        <v/>
      </c>
      <c r="BS145">
        <f>$C145*BS144</f>
        <v/>
      </c>
      <c r="BT145">
        <f>$C145*BT144</f>
        <v/>
      </c>
      <c r="BU145">
        <f>$C145*BU144</f>
        <v/>
      </c>
      <c r="BV145">
        <f>$C145*BV144</f>
        <v/>
      </c>
      <c r="BW145">
        <f>$C145*BW144</f>
        <v/>
      </c>
      <c r="BX145">
        <f>$C145*BX144</f>
        <v/>
      </c>
      <c r="BY145">
        <f>$C145*BY144</f>
        <v/>
      </c>
      <c r="BZ145">
        <f>$C145*BZ144</f>
        <v/>
      </c>
      <c r="CA145">
        <f>$C145*CA144</f>
        <v/>
      </c>
      <c r="CB145">
        <f>$C145*CB144</f>
        <v/>
      </c>
      <c r="CC145">
        <f>$C145*CC144</f>
        <v/>
      </c>
      <c r="CD145">
        <f>$C145*CD144</f>
        <v/>
      </c>
      <c r="CE145">
        <f>$C145*CE144</f>
        <v/>
      </c>
      <c r="CF145">
        <f>$C145*CF144</f>
        <v/>
      </c>
      <c r="CG145">
        <f>$C145*CG144</f>
        <v/>
      </c>
      <c r="CH145">
        <f>$C145*CH144</f>
        <v/>
      </c>
      <c r="CI145">
        <f>$C145*CI144</f>
        <v/>
      </c>
      <c r="CJ145">
        <f>$C145*CJ144</f>
        <v/>
      </c>
      <c r="CK145">
        <f>$C145*CK144</f>
        <v/>
      </c>
      <c r="CL145">
        <f>$C145*CL144</f>
        <v/>
      </c>
      <c r="CM145">
        <f>$C145*CM144</f>
        <v/>
      </c>
      <c r="CN145">
        <f>$C145*CN144</f>
        <v/>
      </c>
      <c r="CO145">
        <f>$C145*CO144</f>
        <v/>
      </c>
      <c r="CP145">
        <f>$C145*CP144</f>
        <v/>
      </c>
      <c r="CQ145">
        <f>$C145*CQ144</f>
        <v/>
      </c>
      <c r="CR145">
        <f>$C145*CR144</f>
        <v/>
      </c>
      <c r="CS145">
        <f>$C145*CS144</f>
        <v/>
      </c>
      <c r="CT145">
        <f>$C145*CT144</f>
        <v/>
      </c>
      <c r="CU145">
        <f>$C145*CU144</f>
        <v/>
      </c>
      <c r="CV145">
        <f>$C145*CV144</f>
        <v/>
      </c>
      <c r="CW145">
        <f>$C145*CW144</f>
        <v/>
      </c>
      <c r="CX145">
        <f>$C145*CX144</f>
        <v/>
      </c>
      <c r="CY145">
        <f>$C145*CY144</f>
        <v/>
      </c>
      <c r="CZ145">
        <f>$C145*CZ144</f>
        <v/>
      </c>
      <c r="DA145">
        <f>$C145*DA144</f>
        <v/>
      </c>
      <c r="DB145">
        <f>$C145*DB144</f>
        <v/>
      </c>
      <c r="DC145">
        <f>$C145*DC144</f>
        <v/>
      </c>
    </row>
    <row r="146">
      <c r="B146" t="inlineStr">
        <is>
          <t>TSP-959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12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TSP-966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12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TVS-833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12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t="inlineStr">
        <is>
          <t>TSP-1388</t>
        </is>
      </c>
      <c r="C152" t="inlineStr">
        <is>
          <t>No. of batches</t>
        </is>
      </c>
      <c r="D152">
        <f>IFERROR(INDEX(PP_Grid[#Data],$DD152,2),0)</f>
        <v/>
      </c>
      <c r="E152">
        <f>IFERROR(INDEX(PP_Grid[#Data],$DD152,3),0)</f>
        <v/>
      </c>
      <c r="F152">
        <f>IFERROR(INDEX(PP_Grid[#Data],$DD152,4),0)</f>
        <v/>
      </c>
      <c r="G152">
        <f>IFERROR(INDEX(PP_Grid[#Data],$DD152,5),0)</f>
        <v/>
      </c>
      <c r="H152">
        <f>IFERROR(INDEX(PP_Grid[#Data],$DD152,6),0)</f>
        <v/>
      </c>
      <c r="I152">
        <f>IFERROR(INDEX(PP_Grid[#Data],$DD152,7),0)</f>
        <v/>
      </c>
      <c r="J152">
        <f>IFERROR(INDEX(PP_Grid[#Data],$DD152,8),0)</f>
        <v/>
      </c>
      <c r="K152">
        <f>IFERROR(INDEX(PP_Grid[#Data],$DD152,9),0)</f>
        <v/>
      </c>
      <c r="L152">
        <f>IFERROR(INDEX(PP_Grid[#Data],$DD152,10),0)</f>
        <v/>
      </c>
      <c r="M152">
        <f>IFERROR(INDEX(PP_Grid[#Data],$DD152,11),0)</f>
        <v/>
      </c>
      <c r="N152">
        <f>IFERROR(INDEX(PP_Grid[#Data],$DD152,12),0)</f>
        <v/>
      </c>
      <c r="O152">
        <f>IFERROR(INDEX(PP_Grid[#Data],$DD152,13),0)</f>
        <v/>
      </c>
      <c r="P152">
        <f>IFERROR(INDEX(PP_Grid[#Data],$DD152,14),0)</f>
        <v/>
      </c>
      <c r="Q152">
        <f>IFERROR(INDEX(PP_Grid[#Data],$DD152,15),0)</f>
        <v/>
      </c>
      <c r="R152">
        <f>IFERROR(INDEX(PP_Grid[#Data],$DD152,16),0)</f>
        <v/>
      </c>
      <c r="S152">
        <f>IFERROR(INDEX(PP_Grid[#Data],$DD152,17),0)</f>
        <v/>
      </c>
      <c r="T152">
        <f>IFERROR(INDEX(PP_Grid[#Data],$DD152,18),0)</f>
        <v/>
      </c>
      <c r="U152">
        <f>IFERROR(INDEX(PP_Grid[#Data],$DD152,19),0)</f>
        <v/>
      </c>
      <c r="V152">
        <f>IFERROR(INDEX(PP_Grid[#Data],$DD152,20),0)</f>
        <v/>
      </c>
      <c r="W152">
        <f>IFERROR(INDEX(PP_Grid[#Data],$DD152,21),0)</f>
        <v/>
      </c>
      <c r="X152">
        <f>IFERROR(INDEX(PP_Grid[#Data],$DD152,22),0)</f>
        <v/>
      </c>
      <c r="Y152">
        <f>IFERROR(INDEX(PP_Grid[#Data],$DD152,23),0)</f>
        <v/>
      </c>
      <c r="Z152">
        <f>IFERROR(INDEX(PP_Grid[#Data],$DD152,24),0)</f>
        <v/>
      </c>
      <c r="AA152">
        <f>IFERROR(INDEX(PP_Grid[#Data],$DD152,25),0)</f>
        <v/>
      </c>
      <c r="AB152">
        <f>IFERROR(INDEX(PP_Grid[#Data],$DD152,26),0)</f>
        <v/>
      </c>
      <c r="AC152">
        <f>IFERROR(INDEX(PP_Grid[#Data],$DD152,27),0)</f>
        <v/>
      </c>
      <c r="AD152">
        <f>IFERROR(INDEX(PP_Grid[#Data],$DD152,28),0)</f>
        <v/>
      </c>
      <c r="AE152">
        <f>IFERROR(INDEX(PP_Grid[#Data],$DD152,29),0)</f>
        <v/>
      </c>
      <c r="AF152">
        <f>IFERROR(INDEX(PP_Grid[#Data],$DD152,30),0)</f>
        <v/>
      </c>
      <c r="AG152">
        <f>IFERROR(INDEX(PP_Grid[#Data],$DD152,31),0)</f>
        <v/>
      </c>
      <c r="AH152">
        <f>IFERROR(INDEX(PP_Grid[#Data],$DD152,32),0)</f>
        <v/>
      </c>
      <c r="AI152">
        <f>IFERROR(INDEX(PP_Grid[#Data],$DD152,33),0)</f>
        <v/>
      </c>
      <c r="AJ152">
        <f>IFERROR(INDEX(PP_Grid[#Data],$DD152,34),0)</f>
        <v/>
      </c>
      <c r="AK152">
        <f>IFERROR(INDEX(PP_Grid[#Data],$DD152,35),0)</f>
        <v/>
      </c>
      <c r="AL152">
        <f>IFERROR(INDEX(PP_Grid[#Data],$DD152,36),0)</f>
        <v/>
      </c>
      <c r="AM152">
        <f>IFERROR(INDEX(PP_Grid[#Data],$DD152,37),0)</f>
        <v/>
      </c>
      <c r="AN152">
        <f>IFERROR(INDEX(PP_Grid[#Data],$DD152,38),0)</f>
        <v/>
      </c>
      <c r="AO152">
        <f>IFERROR(INDEX(PP_Grid[#Data],$DD152,39),0)</f>
        <v/>
      </c>
      <c r="AP152">
        <f>IFERROR(INDEX(PP_Grid[#Data],$DD152,40),0)</f>
        <v/>
      </c>
      <c r="AQ152">
        <f>IFERROR(INDEX(PP_Grid[#Data],$DD152,41),0)</f>
        <v/>
      </c>
      <c r="AR152">
        <f>IFERROR(INDEX(PP_Grid[#Data],$DD152,42),0)</f>
        <v/>
      </c>
      <c r="AS152">
        <f>IFERROR(INDEX(PP_Grid[#Data],$DD152,43),0)</f>
        <v/>
      </c>
      <c r="AT152">
        <f>IFERROR(INDEX(PP_Grid[#Data],$DD152,44),0)</f>
        <v/>
      </c>
      <c r="AU152">
        <f>IFERROR(INDEX(PP_Grid[#Data],$DD152,45),0)</f>
        <v/>
      </c>
      <c r="AV152">
        <f>IFERROR(INDEX(PP_Grid[#Data],$DD152,46),0)</f>
        <v/>
      </c>
      <c r="AW152">
        <f>IFERROR(INDEX(PP_Grid[#Data],$DD152,47),0)</f>
        <v/>
      </c>
      <c r="AX152">
        <f>IFERROR(INDEX(PP_Grid[#Data],$DD152,48),0)</f>
        <v/>
      </c>
      <c r="AY152">
        <f>IFERROR(INDEX(PP_Grid[#Data],$DD152,49),0)</f>
        <v/>
      </c>
      <c r="AZ152">
        <f>IFERROR(INDEX(PP_Grid[#Data],$DD152,50),0)</f>
        <v/>
      </c>
      <c r="BA152">
        <f>IFERROR(INDEX(PP_Grid[#Data],$DD152,51),0)</f>
        <v/>
      </c>
      <c r="BB152">
        <f>IFERROR(INDEX(PP_Grid[#Data],$DD152,52),0)</f>
        <v/>
      </c>
      <c r="BC152">
        <f>IFERROR(INDEX(PP_Grid[#Data],$DD152,53),0)</f>
        <v/>
      </c>
      <c r="BD152">
        <f>IFERROR(INDEX(PP_Grid[#Data],$DD152,54),0)</f>
        <v/>
      </c>
      <c r="BE152">
        <f>IFERROR(INDEX(PP_Grid[#Data],$DD152,55),0)</f>
        <v/>
      </c>
      <c r="BF152">
        <f>IFERROR(INDEX(PP_Grid[#Data],$DD152,56),0)</f>
        <v/>
      </c>
      <c r="BG152">
        <f>IFERROR(INDEX(PP_Grid[#Data],$DD152,57),0)</f>
        <v/>
      </c>
      <c r="BH152">
        <f>IFERROR(INDEX(PP_Grid[#Data],$DD152,58),0)</f>
        <v/>
      </c>
      <c r="BI152">
        <f>IFERROR(INDEX(PP_Grid[#Data],$DD152,59),0)</f>
        <v/>
      </c>
      <c r="BJ152">
        <f>IFERROR(INDEX(PP_Grid[#Data],$DD152,60),0)</f>
        <v/>
      </c>
      <c r="BK152">
        <f>IFERROR(INDEX(PP_Grid[#Data],$DD152,61),0)</f>
        <v/>
      </c>
      <c r="BL152">
        <f>IFERROR(INDEX(PP_Grid[#Data],$DD152,62),0)</f>
        <v/>
      </c>
      <c r="BM152">
        <f>IFERROR(INDEX(PP_Grid[#Data],$DD152,63),0)</f>
        <v/>
      </c>
      <c r="BN152">
        <f>IFERROR(INDEX(PP_Grid[#Data],$DD152,64),0)</f>
        <v/>
      </c>
      <c r="BO152">
        <f>IFERROR(INDEX(PP_Grid[#Data],$DD152,65),0)</f>
        <v/>
      </c>
      <c r="BP152">
        <f>IFERROR(INDEX(PP_Grid[#Data],$DD152,66),0)</f>
        <v/>
      </c>
      <c r="BQ152">
        <f>IFERROR(INDEX(PP_Grid[#Data],$DD152,67),0)</f>
        <v/>
      </c>
      <c r="BR152">
        <f>IFERROR(INDEX(PP_Grid[#Data],$DD152,68),0)</f>
        <v/>
      </c>
      <c r="BS152">
        <f>IFERROR(INDEX(PP_Grid[#Data],$DD152,69),0)</f>
        <v/>
      </c>
      <c r="BT152">
        <f>IFERROR(INDEX(PP_Grid[#Data],$DD152,70),0)</f>
        <v/>
      </c>
      <c r="BU152">
        <f>IFERROR(INDEX(PP_Grid[#Data],$DD152,71),0)</f>
        <v/>
      </c>
      <c r="BV152">
        <f>IFERROR(INDEX(PP_Grid[#Data],$DD152,72),0)</f>
        <v/>
      </c>
      <c r="BW152">
        <f>IFERROR(INDEX(PP_Grid[#Data],$DD152,73),0)</f>
        <v/>
      </c>
      <c r="BX152">
        <f>IFERROR(INDEX(PP_Grid[#Data],$DD152,74),0)</f>
        <v/>
      </c>
      <c r="BY152">
        <f>IFERROR(INDEX(PP_Grid[#Data],$DD152,75),0)</f>
        <v/>
      </c>
      <c r="BZ152">
        <f>IFERROR(INDEX(PP_Grid[#Data],$DD152,76),0)</f>
        <v/>
      </c>
      <c r="CA152">
        <f>IFERROR(INDEX(PP_Grid[#Data],$DD152,77),0)</f>
        <v/>
      </c>
      <c r="CB152">
        <f>IFERROR(INDEX(PP_Grid[#Data],$DD152,78),0)</f>
        <v/>
      </c>
      <c r="CC152">
        <f>IFERROR(INDEX(PP_Grid[#Data],$DD152,79),0)</f>
        <v/>
      </c>
      <c r="CD152">
        <f>IFERROR(INDEX(PP_Grid[#Data],$DD152,80),0)</f>
        <v/>
      </c>
      <c r="CE152">
        <f>IFERROR(INDEX(PP_Grid[#Data],$DD152,81),0)</f>
        <v/>
      </c>
      <c r="CF152">
        <f>IFERROR(INDEX(PP_Grid[#Data],$DD152,82),0)</f>
        <v/>
      </c>
      <c r="CG152">
        <f>IFERROR(INDEX(PP_Grid[#Data],$DD152,83),0)</f>
        <v/>
      </c>
      <c r="CH152">
        <f>IFERROR(INDEX(PP_Grid[#Data],$DD152,84),0)</f>
        <v/>
      </c>
      <c r="CI152">
        <f>IFERROR(INDEX(PP_Grid[#Data],$DD152,85),0)</f>
        <v/>
      </c>
      <c r="CJ152">
        <f>IFERROR(INDEX(PP_Grid[#Data],$DD152,86),0)</f>
        <v/>
      </c>
      <c r="CK152">
        <f>IFERROR(INDEX(PP_Grid[#Data],$DD152,87),0)</f>
        <v/>
      </c>
      <c r="CL152">
        <f>IFERROR(INDEX(PP_Grid[#Data],$DD152,88),0)</f>
        <v/>
      </c>
      <c r="CM152">
        <f>IFERROR(INDEX(PP_Grid[#Data],$DD152,89),0)</f>
        <v/>
      </c>
      <c r="CN152">
        <f>IFERROR(INDEX(PP_Grid[#Data],$DD152,90),0)</f>
        <v/>
      </c>
      <c r="CO152">
        <f>IFERROR(INDEX(PP_Grid[#Data],$DD152,91),0)</f>
        <v/>
      </c>
      <c r="CP152">
        <f>IFERROR(INDEX(PP_Grid[#Data],$DD152,92),0)</f>
        <v/>
      </c>
      <c r="CQ152">
        <f>IFERROR(INDEX(PP_Grid[#Data],$DD152,93),0)</f>
        <v/>
      </c>
      <c r="CR152">
        <f>IFERROR(INDEX(PP_Grid[#Data],$DD152,94),0)</f>
        <v/>
      </c>
      <c r="CS152">
        <f>IFERROR(INDEX(PP_Grid[#Data],$DD152,95),0)</f>
        <v/>
      </c>
      <c r="CT152">
        <f>IFERROR(INDEX(PP_Grid[#Data],$DD152,96),0)</f>
        <v/>
      </c>
      <c r="CU152">
        <f>IFERROR(INDEX(PP_Grid[#Data],$DD152,97),0)</f>
        <v/>
      </c>
      <c r="CV152">
        <f>IFERROR(INDEX(PP_Grid[#Data],$DD152,98),0)</f>
        <v/>
      </c>
      <c r="CW152">
        <f>IFERROR(INDEX(PP_Grid[#Data],$DD152,99),0)</f>
        <v/>
      </c>
      <c r="CX152">
        <f>IFERROR(INDEX(PP_Grid[#Data],$DD152,100),0)</f>
        <v/>
      </c>
      <c r="CY152">
        <f>IFERROR(INDEX(PP_Grid[#Data],$DD152,101),0)</f>
        <v/>
      </c>
      <c r="CZ152">
        <f>IFERROR(INDEX(PP_Grid[#Data],$DD152,102),0)</f>
        <v/>
      </c>
      <c r="DA152">
        <f>IFERROR(INDEX(PP_Grid[#Data],$DD152,103),0)</f>
        <v/>
      </c>
      <c r="DB152">
        <f>IFERROR(INDEX(PP_Grid[#Data],$DD152,104),0)</f>
        <v/>
      </c>
      <c r="DC152">
        <f>IFERROR(INDEX(PP_Grid[#Data],$DD152,105),0)</f>
        <v/>
      </c>
      <c r="DD152" s="12">
        <f>IFERROR(MATCH($B152,PP_Grid[Intermediate],0),99999)</f>
        <v/>
      </c>
    </row>
    <row r="153">
      <c r="B153" t="inlineStr">
        <is>
          <t>使用量(kg)</t>
        </is>
      </c>
      <c r="C153">
        <f>SUMIFS(M_BOM[RM_Qty_Per_Batch],M_BOM[Intermediate],$B152,M_BOM[Part Name],$A45)</f>
        <v/>
      </c>
      <c r="D153">
        <f>$C153*D152</f>
        <v/>
      </c>
      <c r="E153">
        <f>$C153*E152</f>
        <v/>
      </c>
      <c r="F153">
        <f>$C153*F152</f>
        <v/>
      </c>
      <c r="G153">
        <f>$C153*G152</f>
        <v/>
      </c>
      <c r="H153">
        <f>$C153*H152</f>
        <v/>
      </c>
      <c r="I153">
        <f>$C153*I152</f>
        <v/>
      </c>
      <c r="J153">
        <f>$C153*J152</f>
        <v/>
      </c>
      <c r="K153">
        <f>$C153*K152</f>
        <v/>
      </c>
      <c r="L153">
        <f>$C153*L152</f>
        <v/>
      </c>
      <c r="M153">
        <f>$C153*M152</f>
        <v/>
      </c>
      <c r="N153">
        <f>$C153*N152</f>
        <v/>
      </c>
      <c r="O153">
        <f>$C153*O152</f>
        <v/>
      </c>
      <c r="P153">
        <f>$C153*P152</f>
        <v/>
      </c>
      <c r="Q153">
        <f>$C153*Q152</f>
        <v/>
      </c>
      <c r="R153">
        <f>$C153*R152</f>
        <v/>
      </c>
      <c r="S153">
        <f>$C153*S152</f>
        <v/>
      </c>
      <c r="T153">
        <f>$C153*T152</f>
        <v/>
      </c>
      <c r="U153">
        <f>$C153*U152</f>
        <v/>
      </c>
      <c r="V153">
        <f>$C153*V152</f>
        <v/>
      </c>
      <c r="W153">
        <f>$C153*W152</f>
        <v/>
      </c>
      <c r="X153">
        <f>$C153*X152</f>
        <v/>
      </c>
      <c r="Y153">
        <f>$C153*Y152</f>
        <v/>
      </c>
      <c r="Z153">
        <f>$C153*Z152</f>
        <v/>
      </c>
      <c r="AA153">
        <f>$C153*AA152</f>
        <v/>
      </c>
      <c r="AB153">
        <f>$C153*AB152</f>
        <v/>
      </c>
      <c r="AC153">
        <f>$C153*AC152</f>
        <v/>
      </c>
      <c r="AD153">
        <f>$C153*AD152</f>
        <v/>
      </c>
      <c r="AE153">
        <f>$C153*AE152</f>
        <v/>
      </c>
      <c r="AF153">
        <f>$C153*AF152</f>
        <v/>
      </c>
      <c r="AG153">
        <f>$C153*AG152</f>
        <v/>
      </c>
      <c r="AH153">
        <f>$C153*AH152</f>
        <v/>
      </c>
      <c r="AI153">
        <f>$C153*AI152</f>
        <v/>
      </c>
      <c r="AJ153">
        <f>$C153*AJ152</f>
        <v/>
      </c>
      <c r="AK153">
        <f>$C153*AK152</f>
        <v/>
      </c>
      <c r="AL153">
        <f>$C153*AL152</f>
        <v/>
      </c>
      <c r="AM153">
        <f>$C153*AM152</f>
        <v/>
      </c>
      <c r="AN153">
        <f>$C153*AN152</f>
        <v/>
      </c>
      <c r="AO153">
        <f>$C153*AO152</f>
        <v/>
      </c>
      <c r="AP153">
        <f>$C153*AP152</f>
        <v/>
      </c>
      <c r="AQ153">
        <f>$C153*AQ152</f>
        <v/>
      </c>
      <c r="AR153">
        <f>$C153*AR152</f>
        <v/>
      </c>
      <c r="AS153">
        <f>$C153*AS152</f>
        <v/>
      </c>
      <c r="AT153">
        <f>$C153*AT152</f>
        <v/>
      </c>
      <c r="AU153">
        <f>$C153*AU152</f>
        <v/>
      </c>
      <c r="AV153">
        <f>$C153*AV152</f>
        <v/>
      </c>
      <c r="AW153">
        <f>$C153*AW152</f>
        <v/>
      </c>
      <c r="AX153">
        <f>$C153*AX152</f>
        <v/>
      </c>
      <c r="AY153">
        <f>$C153*AY152</f>
        <v/>
      </c>
      <c r="AZ153">
        <f>$C153*AZ152</f>
        <v/>
      </c>
      <c r="BA153">
        <f>$C153*BA152</f>
        <v/>
      </c>
      <c r="BB153">
        <f>$C153*BB152</f>
        <v/>
      </c>
      <c r="BC153">
        <f>$C153*BC152</f>
        <v/>
      </c>
      <c r="BD153">
        <f>$C153*BD152</f>
        <v/>
      </c>
      <c r="BE153">
        <f>$C153*BE152</f>
        <v/>
      </c>
      <c r="BF153">
        <f>$C153*BF152</f>
        <v/>
      </c>
      <c r="BG153">
        <f>$C153*BG152</f>
        <v/>
      </c>
      <c r="BH153">
        <f>$C153*BH152</f>
        <v/>
      </c>
      <c r="BI153">
        <f>$C153*BI152</f>
        <v/>
      </c>
      <c r="BJ153">
        <f>$C153*BJ152</f>
        <v/>
      </c>
      <c r="BK153">
        <f>$C153*BK152</f>
        <v/>
      </c>
      <c r="BL153">
        <f>$C153*BL152</f>
        <v/>
      </c>
      <c r="BM153">
        <f>$C153*BM152</f>
        <v/>
      </c>
      <c r="BN153">
        <f>$C153*BN152</f>
        <v/>
      </c>
      <c r="BO153">
        <f>$C153*BO152</f>
        <v/>
      </c>
      <c r="BP153">
        <f>$C153*BP152</f>
        <v/>
      </c>
      <c r="BQ153">
        <f>$C153*BQ152</f>
        <v/>
      </c>
      <c r="BR153">
        <f>$C153*BR152</f>
        <v/>
      </c>
      <c r="BS153">
        <f>$C153*BS152</f>
        <v/>
      </c>
      <c r="BT153">
        <f>$C153*BT152</f>
        <v/>
      </c>
      <c r="BU153">
        <f>$C153*BU152</f>
        <v/>
      </c>
      <c r="BV153">
        <f>$C153*BV152</f>
        <v/>
      </c>
      <c r="BW153">
        <f>$C153*BW152</f>
        <v/>
      </c>
      <c r="BX153">
        <f>$C153*BX152</f>
        <v/>
      </c>
      <c r="BY153">
        <f>$C153*BY152</f>
        <v/>
      </c>
      <c r="BZ153">
        <f>$C153*BZ152</f>
        <v/>
      </c>
      <c r="CA153">
        <f>$C153*CA152</f>
        <v/>
      </c>
      <c r="CB153">
        <f>$C153*CB152</f>
        <v/>
      </c>
      <c r="CC153">
        <f>$C153*CC152</f>
        <v/>
      </c>
      <c r="CD153">
        <f>$C153*CD152</f>
        <v/>
      </c>
      <c r="CE153">
        <f>$C153*CE152</f>
        <v/>
      </c>
      <c r="CF153">
        <f>$C153*CF152</f>
        <v/>
      </c>
      <c r="CG153">
        <f>$C153*CG152</f>
        <v/>
      </c>
      <c r="CH153">
        <f>$C153*CH152</f>
        <v/>
      </c>
      <c r="CI153">
        <f>$C153*CI152</f>
        <v/>
      </c>
      <c r="CJ153">
        <f>$C153*CJ152</f>
        <v/>
      </c>
      <c r="CK153">
        <f>$C153*CK152</f>
        <v/>
      </c>
      <c r="CL153">
        <f>$C153*CL152</f>
        <v/>
      </c>
      <c r="CM153">
        <f>$C153*CM152</f>
        <v/>
      </c>
      <c r="CN153">
        <f>$C153*CN152</f>
        <v/>
      </c>
      <c r="CO153">
        <f>$C153*CO152</f>
        <v/>
      </c>
      <c r="CP153">
        <f>$C153*CP152</f>
        <v/>
      </c>
      <c r="CQ153">
        <f>$C153*CQ152</f>
        <v/>
      </c>
      <c r="CR153">
        <f>$C153*CR152</f>
        <v/>
      </c>
      <c r="CS153">
        <f>$C153*CS152</f>
        <v/>
      </c>
      <c r="CT153">
        <f>$C153*CT152</f>
        <v/>
      </c>
      <c r="CU153">
        <f>$C153*CU152</f>
        <v/>
      </c>
      <c r="CV153">
        <f>$C153*CV152</f>
        <v/>
      </c>
      <c r="CW153">
        <f>$C153*CW152</f>
        <v/>
      </c>
      <c r="CX153">
        <f>$C153*CX152</f>
        <v/>
      </c>
      <c r="CY153">
        <f>$C153*CY152</f>
        <v/>
      </c>
      <c r="CZ153">
        <f>$C153*CZ152</f>
        <v/>
      </c>
      <c r="DA153">
        <f>$C153*DA152</f>
        <v/>
      </c>
      <c r="DB153">
        <f>$C153*DB152</f>
        <v/>
      </c>
      <c r="DC153">
        <f>$C153*DC152</f>
        <v/>
      </c>
    </row>
    <row r="154">
      <c r="B154" t="inlineStr">
        <is>
          <t>TSP-1444</t>
        </is>
      </c>
      <c r="C154" t="inlineStr">
        <is>
          <t>No. of batches</t>
        </is>
      </c>
      <c r="D154">
        <f>IFERROR(INDEX(PP_Grid[#Data],$DD154,2),0)</f>
        <v/>
      </c>
      <c r="E154">
        <f>IFERROR(INDEX(PP_Grid[#Data],$DD154,3),0)</f>
        <v/>
      </c>
      <c r="F154">
        <f>IFERROR(INDEX(PP_Grid[#Data],$DD154,4),0)</f>
        <v/>
      </c>
      <c r="G154">
        <f>IFERROR(INDEX(PP_Grid[#Data],$DD154,5),0)</f>
        <v/>
      </c>
      <c r="H154">
        <f>IFERROR(INDEX(PP_Grid[#Data],$DD154,6),0)</f>
        <v/>
      </c>
      <c r="I154">
        <f>IFERROR(INDEX(PP_Grid[#Data],$DD154,7),0)</f>
        <v/>
      </c>
      <c r="J154">
        <f>IFERROR(INDEX(PP_Grid[#Data],$DD154,8),0)</f>
        <v/>
      </c>
      <c r="K154">
        <f>IFERROR(INDEX(PP_Grid[#Data],$DD154,9),0)</f>
        <v/>
      </c>
      <c r="L154">
        <f>IFERROR(INDEX(PP_Grid[#Data],$DD154,10),0)</f>
        <v/>
      </c>
      <c r="M154">
        <f>IFERROR(INDEX(PP_Grid[#Data],$DD154,11),0)</f>
        <v/>
      </c>
      <c r="N154">
        <f>IFERROR(INDEX(PP_Grid[#Data],$DD154,12),0)</f>
        <v/>
      </c>
      <c r="O154">
        <f>IFERROR(INDEX(PP_Grid[#Data],$DD154,13),0)</f>
        <v/>
      </c>
      <c r="P154">
        <f>IFERROR(INDEX(PP_Grid[#Data],$DD154,14),0)</f>
        <v/>
      </c>
      <c r="Q154">
        <f>IFERROR(INDEX(PP_Grid[#Data],$DD154,15),0)</f>
        <v/>
      </c>
      <c r="R154">
        <f>IFERROR(INDEX(PP_Grid[#Data],$DD154,16),0)</f>
        <v/>
      </c>
      <c r="S154">
        <f>IFERROR(INDEX(PP_Grid[#Data],$DD154,17),0)</f>
        <v/>
      </c>
      <c r="T154">
        <f>IFERROR(INDEX(PP_Grid[#Data],$DD154,18),0)</f>
        <v/>
      </c>
      <c r="U154">
        <f>IFERROR(INDEX(PP_Grid[#Data],$DD154,19),0)</f>
        <v/>
      </c>
      <c r="V154">
        <f>IFERROR(INDEX(PP_Grid[#Data],$DD154,20),0)</f>
        <v/>
      </c>
      <c r="W154">
        <f>IFERROR(INDEX(PP_Grid[#Data],$DD154,21),0)</f>
        <v/>
      </c>
      <c r="X154">
        <f>IFERROR(INDEX(PP_Grid[#Data],$DD154,22),0)</f>
        <v/>
      </c>
      <c r="Y154">
        <f>IFERROR(INDEX(PP_Grid[#Data],$DD154,23),0)</f>
        <v/>
      </c>
      <c r="Z154">
        <f>IFERROR(INDEX(PP_Grid[#Data],$DD154,24),0)</f>
        <v/>
      </c>
      <c r="AA154">
        <f>IFERROR(INDEX(PP_Grid[#Data],$DD154,25),0)</f>
        <v/>
      </c>
      <c r="AB154">
        <f>IFERROR(INDEX(PP_Grid[#Data],$DD154,26),0)</f>
        <v/>
      </c>
      <c r="AC154">
        <f>IFERROR(INDEX(PP_Grid[#Data],$DD154,27),0)</f>
        <v/>
      </c>
      <c r="AD154">
        <f>IFERROR(INDEX(PP_Grid[#Data],$DD154,28),0)</f>
        <v/>
      </c>
      <c r="AE154">
        <f>IFERROR(INDEX(PP_Grid[#Data],$DD154,29),0)</f>
        <v/>
      </c>
      <c r="AF154">
        <f>IFERROR(INDEX(PP_Grid[#Data],$DD154,30),0)</f>
        <v/>
      </c>
      <c r="AG154">
        <f>IFERROR(INDEX(PP_Grid[#Data],$DD154,31),0)</f>
        <v/>
      </c>
      <c r="AH154">
        <f>IFERROR(INDEX(PP_Grid[#Data],$DD154,32),0)</f>
        <v/>
      </c>
      <c r="AI154">
        <f>IFERROR(INDEX(PP_Grid[#Data],$DD154,33),0)</f>
        <v/>
      </c>
      <c r="AJ154">
        <f>IFERROR(INDEX(PP_Grid[#Data],$DD154,34),0)</f>
        <v/>
      </c>
      <c r="AK154">
        <f>IFERROR(INDEX(PP_Grid[#Data],$DD154,35),0)</f>
        <v/>
      </c>
      <c r="AL154">
        <f>IFERROR(INDEX(PP_Grid[#Data],$DD154,36),0)</f>
        <v/>
      </c>
      <c r="AM154">
        <f>IFERROR(INDEX(PP_Grid[#Data],$DD154,37),0)</f>
        <v/>
      </c>
      <c r="AN154">
        <f>IFERROR(INDEX(PP_Grid[#Data],$DD154,38),0)</f>
        <v/>
      </c>
      <c r="AO154">
        <f>IFERROR(INDEX(PP_Grid[#Data],$DD154,39),0)</f>
        <v/>
      </c>
      <c r="AP154">
        <f>IFERROR(INDEX(PP_Grid[#Data],$DD154,40),0)</f>
        <v/>
      </c>
      <c r="AQ154">
        <f>IFERROR(INDEX(PP_Grid[#Data],$DD154,41),0)</f>
        <v/>
      </c>
      <c r="AR154">
        <f>IFERROR(INDEX(PP_Grid[#Data],$DD154,42),0)</f>
        <v/>
      </c>
      <c r="AS154">
        <f>IFERROR(INDEX(PP_Grid[#Data],$DD154,43),0)</f>
        <v/>
      </c>
      <c r="AT154">
        <f>IFERROR(INDEX(PP_Grid[#Data],$DD154,44),0)</f>
        <v/>
      </c>
      <c r="AU154">
        <f>IFERROR(INDEX(PP_Grid[#Data],$DD154,45),0)</f>
        <v/>
      </c>
      <c r="AV154">
        <f>IFERROR(INDEX(PP_Grid[#Data],$DD154,46),0)</f>
        <v/>
      </c>
      <c r="AW154">
        <f>IFERROR(INDEX(PP_Grid[#Data],$DD154,47),0)</f>
        <v/>
      </c>
      <c r="AX154">
        <f>IFERROR(INDEX(PP_Grid[#Data],$DD154,48),0)</f>
        <v/>
      </c>
      <c r="AY154">
        <f>IFERROR(INDEX(PP_Grid[#Data],$DD154,49),0)</f>
        <v/>
      </c>
      <c r="AZ154">
        <f>IFERROR(INDEX(PP_Grid[#Data],$DD154,50),0)</f>
        <v/>
      </c>
      <c r="BA154">
        <f>IFERROR(INDEX(PP_Grid[#Data],$DD154,51),0)</f>
        <v/>
      </c>
      <c r="BB154">
        <f>IFERROR(INDEX(PP_Grid[#Data],$DD154,52),0)</f>
        <v/>
      </c>
      <c r="BC154">
        <f>IFERROR(INDEX(PP_Grid[#Data],$DD154,53),0)</f>
        <v/>
      </c>
      <c r="BD154">
        <f>IFERROR(INDEX(PP_Grid[#Data],$DD154,54),0)</f>
        <v/>
      </c>
      <c r="BE154">
        <f>IFERROR(INDEX(PP_Grid[#Data],$DD154,55),0)</f>
        <v/>
      </c>
      <c r="BF154">
        <f>IFERROR(INDEX(PP_Grid[#Data],$DD154,56),0)</f>
        <v/>
      </c>
      <c r="BG154">
        <f>IFERROR(INDEX(PP_Grid[#Data],$DD154,57),0)</f>
        <v/>
      </c>
      <c r="BH154">
        <f>IFERROR(INDEX(PP_Grid[#Data],$DD154,58),0)</f>
        <v/>
      </c>
      <c r="BI154">
        <f>IFERROR(INDEX(PP_Grid[#Data],$DD154,59),0)</f>
        <v/>
      </c>
      <c r="BJ154">
        <f>IFERROR(INDEX(PP_Grid[#Data],$DD154,60),0)</f>
        <v/>
      </c>
      <c r="BK154">
        <f>IFERROR(INDEX(PP_Grid[#Data],$DD154,61),0)</f>
        <v/>
      </c>
      <c r="BL154">
        <f>IFERROR(INDEX(PP_Grid[#Data],$DD154,62),0)</f>
        <v/>
      </c>
      <c r="BM154">
        <f>IFERROR(INDEX(PP_Grid[#Data],$DD154,63),0)</f>
        <v/>
      </c>
      <c r="BN154">
        <f>IFERROR(INDEX(PP_Grid[#Data],$DD154,64),0)</f>
        <v/>
      </c>
      <c r="BO154">
        <f>IFERROR(INDEX(PP_Grid[#Data],$DD154,65),0)</f>
        <v/>
      </c>
      <c r="BP154">
        <f>IFERROR(INDEX(PP_Grid[#Data],$DD154,66),0)</f>
        <v/>
      </c>
      <c r="BQ154">
        <f>IFERROR(INDEX(PP_Grid[#Data],$DD154,67),0)</f>
        <v/>
      </c>
      <c r="BR154">
        <f>IFERROR(INDEX(PP_Grid[#Data],$DD154,68),0)</f>
        <v/>
      </c>
      <c r="BS154">
        <f>IFERROR(INDEX(PP_Grid[#Data],$DD154,69),0)</f>
        <v/>
      </c>
      <c r="BT154">
        <f>IFERROR(INDEX(PP_Grid[#Data],$DD154,70),0)</f>
        <v/>
      </c>
      <c r="BU154">
        <f>IFERROR(INDEX(PP_Grid[#Data],$DD154,71),0)</f>
        <v/>
      </c>
      <c r="BV154">
        <f>IFERROR(INDEX(PP_Grid[#Data],$DD154,72),0)</f>
        <v/>
      </c>
      <c r="BW154">
        <f>IFERROR(INDEX(PP_Grid[#Data],$DD154,73),0)</f>
        <v/>
      </c>
      <c r="BX154">
        <f>IFERROR(INDEX(PP_Grid[#Data],$DD154,74),0)</f>
        <v/>
      </c>
      <c r="BY154">
        <f>IFERROR(INDEX(PP_Grid[#Data],$DD154,75),0)</f>
        <v/>
      </c>
      <c r="BZ154">
        <f>IFERROR(INDEX(PP_Grid[#Data],$DD154,76),0)</f>
        <v/>
      </c>
      <c r="CA154">
        <f>IFERROR(INDEX(PP_Grid[#Data],$DD154,77),0)</f>
        <v/>
      </c>
      <c r="CB154">
        <f>IFERROR(INDEX(PP_Grid[#Data],$DD154,78),0)</f>
        <v/>
      </c>
      <c r="CC154">
        <f>IFERROR(INDEX(PP_Grid[#Data],$DD154,79),0)</f>
        <v/>
      </c>
      <c r="CD154">
        <f>IFERROR(INDEX(PP_Grid[#Data],$DD154,80),0)</f>
        <v/>
      </c>
      <c r="CE154">
        <f>IFERROR(INDEX(PP_Grid[#Data],$DD154,81),0)</f>
        <v/>
      </c>
      <c r="CF154">
        <f>IFERROR(INDEX(PP_Grid[#Data],$DD154,82),0)</f>
        <v/>
      </c>
      <c r="CG154">
        <f>IFERROR(INDEX(PP_Grid[#Data],$DD154,83),0)</f>
        <v/>
      </c>
      <c r="CH154">
        <f>IFERROR(INDEX(PP_Grid[#Data],$DD154,84),0)</f>
        <v/>
      </c>
      <c r="CI154">
        <f>IFERROR(INDEX(PP_Grid[#Data],$DD154,85),0)</f>
        <v/>
      </c>
      <c r="CJ154">
        <f>IFERROR(INDEX(PP_Grid[#Data],$DD154,86),0)</f>
        <v/>
      </c>
      <c r="CK154">
        <f>IFERROR(INDEX(PP_Grid[#Data],$DD154,87),0)</f>
        <v/>
      </c>
      <c r="CL154">
        <f>IFERROR(INDEX(PP_Grid[#Data],$DD154,88),0)</f>
        <v/>
      </c>
      <c r="CM154">
        <f>IFERROR(INDEX(PP_Grid[#Data],$DD154,89),0)</f>
        <v/>
      </c>
      <c r="CN154">
        <f>IFERROR(INDEX(PP_Grid[#Data],$DD154,90),0)</f>
        <v/>
      </c>
      <c r="CO154">
        <f>IFERROR(INDEX(PP_Grid[#Data],$DD154,91),0)</f>
        <v/>
      </c>
      <c r="CP154">
        <f>IFERROR(INDEX(PP_Grid[#Data],$DD154,92),0)</f>
        <v/>
      </c>
      <c r="CQ154">
        <f>IFERROR(INDEX(PP_Grid[#Data],$DD154,93),0)</f>
        <v/>
      </c>
      <c r="CR154">
        <f>IFERROR(INDEX(PP_Grid[#Data],$DD154,94),0)</f>
        <v/>
      </c>
      <c r="CS154">
        <f>IFERROR(INDEX(PP_Grid[#Data],$DD154,95),0)</f>
        <v/>
      </c>
      <c r="CT154">
        <f>IFERROR(INDEX(PP_Grid[#Data],$DD154,96),0)</f>
        <v/>
      </c>
      <c r="CU154">
        <f>IFERROR(INDEX(PP_Grid[#Data],$DD154,97),0)</f>
        <v/>
      </c>
      <c r="CV154">
        <f>IFERROR(INDEX(PP_Grid[#Data],$DD154,98),0)</f>
        <v/>
      </c>
      <c r="CW154">
        <f>IFERROR(INDEX(PP_Grid[#Data],$DD154,99),0)</f>
        <v/>
      </c>
      <c r="CX154">
        <f>IFERROR(INDEX(PP_Grid[#Data],$DD154,100),0)</f>
        <v/>
      </c>
      <c r="CY154">
        <f>IFERROR(INDEX(PP_Grid[#Data],$DD154,101),0)</f>
        <v/>
      </c>
      <c r="CZ154">
        <f>IFERROR(INDEX(PP_Grid[#Data],$DD154,102),0)</f>
        <v/>
      </c>
      <c r="DA154">
        <f>IFERROR(INDEX(PP_Grid[#Data],$DD154,103),0)</f>
        <v/>
      </c>
      <c r="DB154">
        <f>IFERROR(INDEX(PP_Grid[#Data],$DD154,104),0)</f>
        <v/>
      </c>
      <c r="DC154">
        <f>IFERROR(INDEX(PP_Grid[#Data],$DD154,105),0)</f>
        <v/>
      </c>
      <c r="DD154" s="12">
        <f>IFERROR(MATCH($B154,PP_Grid[Intermediate],0),99999)</f>
        <v/>
      </c>
    </row>
    <row r="155">
      <c r="B155" t="inlineStr">
        <is>
          <t>使用量(kg)</t>
        </is>
      </c>
      <c r="C155">
        <f>SUMIFS(M_BOM[RM_Qty_Per_Batch],M_BOM[Intermediate],$B154,M_BOM[Part Name],$A45)</f>
        <v/>
      </c>
      <c r="D155">
        <f>$C155*D154</f>
        <v/>
      </c>
      <c r="E155">
        <f>$C155*E154</f>
        <v/>
      </c>
      <c r="F155">
        <f>$C155*F154</f>
        <v/>
      </c>
      <c r="G155">
        <f>$C155*G154</f>
        <v/>
      </c>
      <c r="H155">
        <f>$C155*H154</f>
        <v/>
      </c>
      <c r="I155">
        <f>$C155*I154</f>
        <v/>
      </c>
      <c r="J155">
        <f>$C155*J154</f>
        <v/>
      </c>
      <c r="K155">
        <f>$C155*K154</f>
        <v/>
      </c>
      <c r="L155">
        <f>$C155*L154</f>
        <v/>
      </c>
      <c r="M155">
        <f>$C155*M154</f>
        <v/>
      </c>
      <c r="N155">
        <f>$C155*N154</f>
        <v/>
      </c>
      <c r="O155">
        <f>$C155*O154</f>
        <v/>
      </c>
      <c r="P155">
        <f>$C155*P154</f>
        <v/>
      </c>
      <c r="Q155">
        <f>$C155*Q154</f>
        <v/>
      </c>
      <c r="R155">
        <f>$C155*R154</f>
        <v/>
      </c>
      <c r="S155">
        <f>$C155*S154</f>
        <v/>
      </c>
      <c r="T155">
        <f>$C155*T154</f>
        <v/>
      </c>
      <c r="U155">
        <f>$C155*U154</f>
        <v/>
      </c>
      <c r="V155">
        <f>$C155*V154</f>
        <v/>
      </c>
      <c r="W155">
        <f>$C155*W154</f>
        <v/>
      </c>
      <c r="X155">
        <f>$C155*X154</f>
        <v/>
      </c>
      <c r="Y155">
        <f>$C155*Y154</f>
        <v/>
      </c>
      <c r="Z155">
        <f>$C155*Z154</f>
        <v/>
      </c>
      <c r="AA155">
        <f>$C155*AA154</f>
        <v/>
      </c>
      <c r="AB155">
        <f>$C155*AB154</f>
        <v/>
      </c>
      <c r="AC155">
        <f>$C155*AC154</f>
        <v/>
      </c>
      <c r="AD155">
        <f>$C155*AD154</f>
        <v/>
      </c>
      <c r="AE155">
        <f>$C155*AE154</f>
        <v/>
      </c>
      <c r="AF155">
        <f>$C155*AF154</f>
        <v/>
      </c>
      <c r="AG155">
        <f>$C155*AG154</f>
        <v/>
      </c>
      <c r="AH155">
        <f>$C155*AH154</f>
        <v/>
      </c>
      <c r="AI155">
        <f>$C155*AI154</f>
        <v/>
      </c>
      <c r="AJ155">
        <f>$C155*AJ154</f>
        <v/>
      </c>
      <c r="AK155">
        <f>$C155*AK154</f>
        <v/>
      </c>
      <c r="AL155">
        <f>$C155*AL154</f>
        <v/>
      </c>
      <c r="AM155">
        <f>$C155*AM154</f>
        <v/>
      </c>
      <c r="AN155">
        <f>$C155*AN154</f>
        <v/>
      </c>
      <c r="AO155">
        <f>$C155*AO154</f>
        <v/>
      </c>
      <c r="AP155">
        <f>$C155*AP154</f>
        <v/>
      </c>
      <c r="AQ155">
        <f>$C155*AQ154</f>
        <v/>
      </c>
      <c r="AR155">
        <f>$C155*AR154</f>
        <v/>
      </c>
      <c r="AS155">
        <f>$C155*AS154</f>
        <v/>
      </c>
      <c r="AT155">
        <f>$C155*AT154</f>
        <v/>
      </c>
      <c r="AU155">
        <f>$C155*AU154</f>
        <v/>
      </c>
      <c r="AV155">
        <f>$C155*AV154</f>
        <v/>
      </c>
      <c r="AW155">
        <f>$C155*AW154</f>
        <v/>
      </c>
      <c r="AX155">
        <f>$C155*AX154</f>
        <v/>
      </c>
      <c r="AY155">
        <f>$C155*AY154</f>
        <v/>
      </c>
      <c r="AZ155">
        <f>$C155*AZ154</f>
        <v/>
      </c>
      <c r="BA155">
        <f>$C155*BA154</f>
        <v/>
      </c>
      <c r="BB155">
        <f>$C155*BB154</f>
        <v/>
      </c>
      <c r="BC155">
        <f>$C155*BC154</f>
        <v/>
      </c>
      <c r="BD155">
        <f>$C155*BD154</f>
        <v/>
      </c>
      <c r="BE155">
        <f>$C155*BE154</f>
        <v/>
      </c>
      <c r="BF155">
        <f>$C155*BF154</f>
        <v/>
      </c>
      <c r="BG155">
        <f>$C155*BG154</f>
        <v/>
      </c>
      <c r="BH155">
        <f>$C155*BH154</f>
        <v/>
      </c>
      <c r="BI155">
        <f>$C155*BI154</f>
        <v/>
      </c>
      <c r="BJ155">
        <f>$C155*BJ154</f>
        <v/>
      </c>
      <c r="BK155">
        <f>$C155*BK154</f>
        <v/>
      </c>
      <c r="BL155">
        <f>$C155*BL154</f>
        <v/>
      </c>
      <c r="BM155">
        <f>$C155*BM154</f>
        <v/>
      </c>
      <c r="BN155">
        <f>$C155*BN154</f>
        <v/>
      </c>
      <c r="BO155">
        <f>$C155*BO154</f>
        <v/>
      </c>
      <c r="BP155">
        <f>$C155*BP154</f>
        <v/>
      </c>
      <c r="BQ155">
        <f>$C155*BQ154</f>
        <v/>
      </c>
      <c r="BR155">
        <f>$C155*BR154</f>
        <v/>
      </c>
      <c r="BS155">
        <f>$C155*BS154</f>
        <v/>
      </c>
      <c r="BT155">
        <f>$C155*BT154</f>
        <v/>
      </c>
      <c r="BU155">
        <f>$C155*BU154</f>
        <v/>
      </c>
      <c r="BV155">
        <f>$C155*BV154</f>
        <v/>
      </c>
      <c r="BW155">
        <f>$C155*BW154</f>
        <v/>
      </c>
      <c r="BX155">
        <f>$C155*BX154</f>
        <v/>
      </c>
      <c r="BY155">
        <f>$C155*BY154</f>
        <v/>
      </c>
      <c r="BZ155">
        <f>$C155*BZ154</f>
        <v/>
      </c>
      <c r="CA155">
        <f>$C155*CA154</f>
        <v/>
      </c>
      <c r="CB155">
        <f>$C155*CB154</f>
        <v/>
      </c>
      <c r="CC155">
        <f>$C155*CC154</f>
        <v/>
      </c>
      <c r="CD155">
        <f>$C155*CD154</f>
        <v/>
      </c>
      <c r="CE155">
        <f>$C155*CE154</f>
        <v/>
      </c>
      <c r="CF155">
        <f>$C155*CF154</f>
        <v/>
      </c>
      <c r="CG155">
        <f>$C155*CG154</f>
        <v/>
      </c>
      <c r="CH155">
        <f>$C155*CH154</f>
        <v/>
      </c>
      <c r="CI155">
        <f>$C155*CI154</f>
        <v/>
      </c>
      <c r="CJ155">
        <f>$C155*CJ154</f>
        <v/>
      </c>
      <c r="CK155">
        <f>$C155*CK154</f>
        <v/>
      </c>
      <c r="CL155">
        <f>$C155*CL154</f>
        <v/>
      </c>
      <c r="CM155">
        <f>$C155*CM154</f>
        <v/>
      </c>
      <c r="CN155">
        <f>$C155*CN154</f>
        <v/>
      </c>
      <c r="CO155">
        <f>$C155*CO154</f>
        <v/>
      </c>
      <c r="CP155">
        <f>$C155*CP154</f>
        <v/>
      </c>
      <c r="CQ155">
        <f>$C155*CQ154</f>
        <v/>
      </c>
      <c r="CR155">
        <f>$C155*CR154</f>
        <v/>
      </c>
      <c r="CS155">
        <f>$C155*CS154</f>
        <v/>
      </c>
      <c r="CT155">
        <f>$C155*CT154</f>
        <v/>
      </c>
      <c r="CU155">
        <f>$C155*CU154</f>
        <v/>
      </c>
      <c r="CV155">
        <f>$C155*CV154</f>
        <v/>
      </c>
      <c r="CW155">
        <f>$C155*CW154</f>
        <v/>
      </c>
      <c r="CX155">
        <f>$C155*CX154</f>
        <v/>
      </c>
      <c r="CY155">
        <f>$C155*CY154</f>
        <v/>
      </c>
      <c r="CZ155">
        <f>$C155*CZ154</f>
        <v/>
      </c>
      <c r="DA155">
        <f>$C155*DA154</f>
        <v/>
      </c>
      <c r="DB155">
        <f>$C155*DB154</f>
        <v/>
      </c>
      <c r="DC155">
        <f>$C155*DC154</f>
        <v/>
      </c>
    </row>
    <row r="156">
      <c r="B156" t="inlineStr">
        <is>
          <t>TSP-1448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12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Name],$A45)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TSP-1445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12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Name],$A45)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TSP-1446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Name],$A45)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t="inlineStr">
        <is>
          <t>TSP-1449</t>
        </is>
      </c>
      <c r="C162" t="inlineStr">
        <is>
          <t>No. of batches</t>
        </is>
      </c>
      <c r="D162">
        <f>IFERROR(INDEX(PP_Grid[#Data],$DD162,2),0)</f>
        <v/>
      </c>
      <c r="E162">
        <f>IFERROR(INDEX(PP_Grid[#Data],$DD162,3),0)</f>
        <v/>
      </c>
      <c r="F162">
        <f>IFERROR(INDEX(PP_Grid[#Data],$DD162,4),0)</f>
        <v/>
      </c>
      <c r="G162">
        <f>IFERROR(INDEX(PP_Grid[#Data],$DD162,5),0)</f>
        <v/>
      </c>
      <c r="H162">
        <f>IFERROR(INDEX(PP_Grid[#Data],$DD162,6),0)</f>
        <v/>
      </c>
      <c r="I162">
        <f>IFERROR(INDEX(PP_Grid[#Data],$DD162,7),0)</f>
        <v/>
      </c>
      <c r="J162">
        <f>IFERROR(INDEX(PP_Grid[#Data],$DD162,8),0)</f>
        <v/>
      </c>
      <c r="K162">
        <f>IFERROR(INDEX(PP_Grid[#Data],$DD162,9),0)</f>
        <v/>
      </c>
      <c r="L162">
        <f>IFERROR(INDEX(PP_Grid[#Data],$DD162,10),0)</f>
        <v/>
      </c>
      <c r="M162">
        <f>IFERROR(INDEX(PP_Grid[#Data],$DD162,11),0)</f>
        <v/>
      </c>
      <c r="N162">
        <f>IFERROR(INDEX(PP_Grid[#Data],$DD162,12),0)</f>
        <v/>
      </c>
      <c r="O162">
        <f>IFERROR(INDEX(PP_Grid[#Data],$DD162,13),0)</f>
        <v/>
      </c>
      <c r="P162">
        <f>IFERROR(INDEX(PP_Grid[#Data],$DD162,14),0)</f>
        <v/>
      </c>
      <c r="Q162">
        <f>IFERROR(INDEX(PP_Grid[#Data],$DD162,15),0)</f>
        <v/>
      </c>
      <c r="R162">
        <f>IFERROR(INDEX(PP_Grid[#Data],$DD162,16),0)</f>
        <v/>
      </c>
      <c r="S162">
        <f>IFERROR(INDEX(PP_Grid[#Data],$DD162,17),0)</f>
        <v/>
      </c>
      <c r="T162">
        <f>IFERROR(INDEX(PP_Grid[#Data],$DD162,18),0)</f>
        <v/>
      </c>
      <c r="U162">
        <f>IFERROR(INDEX(PP_Grid[#Data],$DD162,19),0)</f>
        <v/>
      </c>
      <c r="V162">
        <f>IFERROR(INDEX(PP_Grid[#Data],$DD162,20),0)</f>
        <v/>
      </c>
      <c r="W162">
        <f>IFERROR(INDEX(PP_Grid[#Data],$DD162,21),0)</f>
        <v/>
      </c>
      <c r="X162">
        <f>IFERROR(INDEX(PP_Grid[#Data],$DD162,22),0)</f>
        <v/>
      </c>
      <c r="Y162">
        <f>IFERROR(INDEX(PP_Grid[#Data],$DD162,23),0)</f>
        <v/>
      </c>
      <c r="Z162">
        <f>IFERROR(INDEX(PP_Grid[#Data],$DD162,24),0)</f>
        <v/>
      </c>
      <c r="AA162">
        <f>IFERROR(INDEX(PP_Grid[#Data],$DD162,25),0)</f>
        <v/>
      </c>
      <c r="AB162">
        <f>IFERROR(INDEX(PP_Grid[#Data],$DD162,26),0)</f>
        <v/>
      </c>
      <c r="AC162">
        <f>IFERROR(INDEX(PP_Grid[#Data],$DD162,27),0)</f>
        <v/>
      </c>
      <c r="AD162">
        <f>IFERROR(INDEX(PP_Grid[#Data],$DD162,28),0)</f>
        <v/>
      </c>
      <c r="AE162">
        <f>IFERROR(INDEX(PP_Grid[#Data],$DD162,29),0)</f>
        <v/>
      </c>
      <c r="AF162">
        <f>IFERROR(INDEX(PP_Grid[#Data],$DD162,30),0)</f>
        <v/>
      </c>
      <c r="AG162">
        <f>IFERROR(INDEX(PP_Grid[#Data],$DD162,31),0)</f>
        <v/>
      </c>
      <c r="AH162">
        <f>IFERROR(INDEX(PP_Grid[#Data],$DD162,32),0)</f>
        <v/>
      </c>
      <c r="AI162">
        <f>IFERROR(INDEX(PP_Grid[#Data],$DD162,33),0)</f>
        <v/>
      </c>
      <c r="AJ162">
        <f>IFERROR(INDEX(PP_Grid[#Data],$DD162,34),0)</f>
        <v/>
      </c>
      <c r="AK162">
        <f>IFERROR(INDEX(PP_Grid[#Data],$DD162,35),0)</f>
        <v/>
      </c>
      <c r="AL162">
        <f>IFERROR(INDEX(PP_Grid[#Data],$DD162,36),0)</f>
        <v/>
      </c>
      <c r="AM162">
        <f>IFERROR(INDEX(PP_Grid[#Data],$DD162,37),0)</f>
        <v/>
      </c>
      <c r="AN162">
        <f>IFERROR(INDEX(PP_Grid[#Data],$DD162,38),0)</f>
        <v/>
      </c>
      <c r="AO162">
        <f>IFERROR(INDEX(PP_Grid[#Data],$DD162,39),0)</f>
        <v/>
      </c>
      <c r="AP162">
        <f>IFERROR(INDEX(PP_Grid[#Data],$DD162,40),0)</f>
        <v/>
      </c>
      <c r="AQ162">
        <f>IFERROR(INDEX(PP_Grid[#Data],$DD162,41),0)</f>
        <v/>
      </c>
      <c r="AR162">
        <f>IFERROR(INDEX(PP_Grid[#Data],$DD162,42),0)</f>
        <v/>
      </c>
      <c r="AS162">
        <f>IFERROR(INDEX(PP_Grid[#Data],$DD162,43),0)</f>
        <v/>
      </c>
      <c r="AT162">
        <f>IFERROR(INDEX(PP_Grid[#Data],$DD162,44),0)</f>
        <v/>
      </c>
      <c r="AU162">
        <f>IFERROR(INDEX(PP_Grid[#Data],$DD162,45),0)</f>
        <v/>
      </c>
      <c r="AV162">
        <f>IFERROR(INDEX(PP_Grid[#Data],$DD162,46),0)</f>
        <v/>
      </c>
      <c r="AW162">
        <f>IFERROR(INDEX(PP_Grid[#Data],$DD162,47),0)</f>
        <v/>
      </c>
      <c r="AX162">
        <f>IFERROR(INDEX(PP_Grid[#Data],$DD162,48),0)</f>
        <v/>
      </c>
      <c r="AY162">
        <f>IFERROR(INDEX(PP_Grid[#Data],$DD162,49),0)</f>
        <v/>
      </c>
      <c r="AZ162">
        <f>IFERROR(INDEX(PP_Grid[#Data],$DD162,50),0)</f>
        <v/>
      </c>
      <c r="BA162">
        <f>IFERROR(INDEX(PP_Grid[#Data],$DD162,51),0)</f>
        <v/>
      </c>
      <c r="BB162">
        <f>IFERROR(INDEX(PP_Grid[#Data],$DD162,52),0)</f>
        <v/>
      </c>
      <c r="BC162">
        <f>IFERROR(INDEX(PP_Grid[#Data],$DD162,53),0)</f>
        <v/>
      </c>
      <c r="BD162">
        <f>IFERROR(INDEX(PP_Grid[#Data],$DD162,54),0)</f>
        <v/>
      </c>
      <c r="BE162">
        <f>IFERROR(INDEX(PP_Grid[#Data],$DD162,55),0)</f>
        <v/>
      </c>
      <c r="BF162">
        <f>IFERROR(INDEX(PP_Grid[#Data],$DD162,56),0)</f>
        <v/>
      </c>
      <c r="BG162">
        <f>IFERROR(INDEX(PP_Grid[#Data],$DD162,57),0)</f>
        <v/>
      </c>
      <c r="BH162">
        <f>IFERROR(INDEX(PP_Grid[#Data],$DD162,58),0)</f>
        <v/>
      </c>
      <c r="BI162">
        <f>IFERROR(INDEX(PP_Grid[#Data],$DD162,59),0)</f>
        <v/>
      </c>
      <c r="BJ162">
        <f>IFERROR(INDEX(PP_Grid[#Data],$DD162,60),0)</f>
        <v/>
      </c>
      <c r="BK162">
        <f>IFERROR(INDEX(PP_Grid[#Data],$DD162,61),0)</f>
        <v/>
      </c>
      <c r="BL162">
        <f>IFERROR(INDEX(PP_Grid[#Data],$DD162,62),0)</f>
        <v/>
      </c>
      <c r="BM162">
        <f>IFERROR(INDEX(PP_Grid[#Data],$DD162,63),0)</f>
        <v/>
      </c>
      <c r="BN162">
        <f>IFERROR(INDEX(PP_Grid[#Data],$DD162,64),0)</f>
        <v/>
      </c>
      <c r="BO162">
        <f>IFERROR(INDEX(PP_Grid[#Data],$DD162,65),0)</f>
        <v/>
      </c>
      <c r="BP162">
        <f>IFERROR(INDEX(PP_Grid[#Data],$DD162,66),0)</f>
        <v/>
      </c>
      <c r="BQ162">
        <f>IFERROR(INDEX(PP_Grid[#Data],$DD162,67),0)</f>
        <v/>
      </c>
      <c r="BR162">
        <f>IFERROR(INDEX(PP_Grid[#Data],$DD162,68),0)</f>
        <v/>
      </c>
      <c r="BS162">
        <f>IFERROR(INDEX(PP_Grid[#Data],$DD162,69),0)</f>
        <v/>
      </c>
      <c r="BT162">
        <f>IFERROR(INDEX(PP_Grid[#Data],$DD162,70),0)</f>
        <v/>
      </c>
      <c r="BU162">
        <f>IFERROR(INDEX(PP_Grid[#Data],$DD162,71),0)</f>
        <v/>
      </c>
      <c r="BV162">
        <f>IFERROR(INDEX(PP_Grid[#Data],$DD162,72),0)</f>
        <v/>
      </c>
      <c r="BW162">
        <f>IFERROR(INDEX(PP_Grid[#Data],$DD162,73),0)</f>
        <v/>
      </c>
      <c r="BX162">
        <f>IFERROR(INDEX(PP_Grid[#Data],$DD162,74),0)</f>
        <v/>
      </c>
      <c r="BY162">
        <f>IFERROR(INDEX(PP_Grid[#Data],$DD162,75),0)</f>
        <v/>
      </c>
      <c r="BZ162">
        <f>IFERROR(INDEX(PP_Grid[#Data],$DD162,76),0)</f>
        <v/>
      </c>
      <c r="CA162">
        <f>IFERROR(INDEX(PP_Grid[#Data],$DD162,77),0)</f>
        <v/>
      </c>
      <c r="CB162">
        <f>IFERROR(INDEX(PP_Grid[#Data],$DD162,78),0)</f>
        <v/>
      </c>
      <c r="CC162">
        <f>IFERROR(INDEX(PP_Grid[#Data],$DD162,79),0)</f>
        <v/>
      </c>
      <c r="CD162">
        <f>IFERROR(INDEX(PP_Grid[#Data],$DD162,80),0)</f>
        <v/>
      </c>
      <c r="CE162">
        <f>IFERROR(INDEX(PP_Grid[#Data],$DD162,81),0)</f>
        <v/>
      </c>
      <c r="CF162">
        <f>IFERROR(INDEX(PP_Grid[#Data],$DD162,82),0)</f>
        <v/>
      </c>
      <c r="CG162">
        <f>IFERROR(INDEX(PP_Grid[#Data],$DD162,83),0)</f>
        <v/>
      </c>
      <c r="CH162">
        <f>IFERROR(INDEX(PP_Grid[#Data],$DD162,84),0)</f>
        <v/>
      </c>
      <c r="CI162">
        <f>IFERROR(INDEX(PP_Grid[#Data],$DD162,85),0)</f>
        <v/>
      </c>
      <c r="CJ162">
        <f>IFERROR(INDEX(PP_Grid[#Data],$DD162,86),0)</f>
        <v/>
      </c>
      <c r="CK162">
        <f>IFERROR(INDEX(PP_Grid[#Data],$DD162,87),0)</f>
        <v/>
      </c>
      <c r="CL162">
        <f>IFERROR(INDEX(PP_Grid[#Data],$DD162,88),0)</f>
        <v/>
      </c>
      <c r="CM162">
        <f>IFERROR(INDEX(PP_Grid[#Data],$DD162,89),0)</f>
        <v/>
      </c>
      <c r="CN162">
        <f>IFERROR(INDEX(PP_Grid[#Data],$DD162,90),0)</f>
        <v/>
      </c>
      <c r="CO162">
        <f>IFERROR(INDEX(PP_Grid[#Data],$DD162,91),0)</f>
        <v/>
      </c>
      <c r="CP162">
        <f>IFERROR(INDEX(PP_Grid[#Data],$DD162,92),0)</f>
        <v/>
      </c>
      <c r="CQ162">
        <f>IFERROR(INDEX(PP_Grid[#Data],$DD162,93),0)</f>
        <v/>
      </c>
      <c r="CR162">
        <f>IFERROR(INDEX(PP_Grid[#Data],$DD162,94),0)</f>
        <v/>
      </c>
      <c r="CS162">
        <f>IFERROR(INDEX(PP_Grid[#Data],$DD162,95),0)</f>
        <v/>
      </c>
      <c r="CT162">
        <f>IFERROR(INDEX(PP_Grid[#Data],$DD162,96),0)</f>
        <v/>
      </c>
      <c r="CU162">
        <f>IFERROR(INDEX(PP_Grid[#Data],$DD162,97),0)</f>
        <v/>
      </c>
      <c r="CV162">
        <f>IFERROR(INDEX(PP_Grid[#Data],$DD162,98),0)</f>
        <v/>
      </c>
      <c r="CW162">
        <f>IFERROR(INDEX(PP_Grid[#Data],$DD162,99),0)</f>
        <v/>
      </c>
      <c r="CX162">
        <f>IFERROR(INDEX(PP_Grid[#Data],$DD162,100),0)</f>
        <v/>
      </c>
      <c r="CY162">
        <f>IFERROR(INDEX(PP_Grid[#Data],$DD162,101),0)</f>
        <v/>
      </c>
      <c r="CZ162">
        <f>IFERROR(INDEX(PP_Grid[#Data],$DD162,102),0)</f>
        <v/>
      </c>
      <c r="DA162">
        <f>IFERROR(INDEX(PP_Grid[#Data],$DD162,103),0)</f>
        <v/>
      </c>
      <c r="DB162">
        <f>IFERROR(INDEX(PP_Grid[#Data],$DD162,104),0)</f>
        <v/>
      </c>
      <c r="DC162">
        <f>IFERROR(INDEX(PP_Grid[#Data],$DD162,105),0)</f>
        <v/>
      </c>
      <c r="DD162" s="12">
        <f>IFERROR(MATCH($B162,PP_Grid[Intermediate],0),99999)</f>
        <v/>
      </c>
    </row>
    <row r="163">
      <c r="B163" t="inlineStr">
        <is>
          <t>使用量(kg)</t>
        </is>
      </c>
      <c r="C163">
        <f>SUMIFS(M_BOM[RM_Qty_Per_Batch],M_BOM[Intermediate],$B162,M_BOM[Part Name],$A45)</f>
        <v/>
      </c>
      <c r="D163">
        <f>$C163*D162</f>
        <v/>
      </c>
      <c r="E163">
        <f>$C163*E162</f>
        <v/>
      </c>
      <c r="F163">
        <f>$C163*F162</f>
        <v/>
      </c>
      <c r="G163">
        <f>$C163*G162</f>
        <v/>
      </c>
      <c r="H163">
        <f>$C163*H162</f>
        <v/>
      </c>
      <c r="I163">
        <f>$C163*I162</f>
        <v/>
      </c>
      <c r="J163">
        <f>$C163*J162</f>
        <v/>
      </c>
      <c r="K163">
        <f>$C163*K162</f>
        <v/>
      </c>
      <c r="L163">
        <f>$C163*L162</f>
        <v/>
      </c>
      <c r="M163">
        <f>$C163*M162</f>
        <v/>
      </c>
      <c r="N163">
        <f>$C163*N162</f>
        <v/>
      </c>
      <c r="O163">
        <f>$C163*O162</f>
        <v/>
      </c>
      <c r="P163">
        <f>$C163*P162</f>
        <v/>
      </c>
      <c r="Q163">
        <f>$C163*Q162</f>
        <v/>
      </c>
      <c r="R163">
        <f>$C163*R162</f>
        <v/>
      </c>
      <c r="S163">
        <f>$C163*S162</f>
        <v/>
      </c>
      <c r="T163">
        <f>$C163*T162</f>
        <v/>
      </c>
      <c r="U163">
        <f>$C163*U162</f>
        <v/>
      </c>
      <c r="V163">
        <f>$C163*V162</f>
        <v/>
      </c>
      <c r="W163">
        <f>$C163*W162</f>
        <v/>
      </c>
      <c r="X163">
        <f>$C163*X162</f>
        <v/>
      </c>
      <c r="Y163">
        <f>$C163*Y162</f>
        <v/>
      </c>
      <c r="Z163">
        <f>$C163*Z162</f>
        <v/>
      </c>
      <c r="AA163">
        <f>$C163*AA162</f>
        <v/>
      </c>
      <c r="AB163">
        <f>$C163*AB162</f>
        <v/>
      </c>
      <c r="AC163">
        <f>$C163*AC162</f>
        <v/>
      </c>
      <c r="AD163">
        <f>$C163*AD162</f>
        <v/>
      </c>
      <c r="AE163">
        <f>$C163*AE162</f>
        <v/>
      </c>
      <c r="AF163">
        <f>$C163*AF162</f>
        <v/>
      </c>
      <c r="AG163">
        <f>$C163*AG162</f>
        <v/>
      </c>
      <c r="AH163">
        <f>$C163*AH162</f>
        <v/>
      </c>
      <c r="AI163">
        <f>$C163*AI162</f>
        <v/>
      </c>
      <c r="AJ163">
        <f>$C163*AJ162</f>
        <v/>
      </c>
      <c r="AK163">
        <f>$C163*AK162</f>
        <v/>
      </c>
      <c r="AL163">
        <f>$C163*AL162</f>
        <v/>
      </c>
      <c r="AM163">
        <f>$C163*AM162</f>
        <v/>
      </c>
      <c r="AN163">
        <f>$C163*AN162</f>
        <v/>
      </c>
      <c r="AO163">
        <f>$C163*AO162</f>
        <v/>
      </c>
      <c r="AP163">
        <f>$C163*AP162</f>
        <v/>
      </c>
      <c r="AQ163">
        <f>$C163*AQ162</f>
        <v/>
      </c>
      <c r="AR163">
        <f>$C163*AR162</f>
        <v/>
      </c>
      <c r="AS163">
        <f>$C163*AS162</f>
        <v/>
      </c>
      <c r="AT163">
        <f>$C163*AT162</f>
        <v/>
      </c>
      <c r="AU163">
        <f>$C163*AU162</f>
        <v/>
      </c>
      <c r="AV163">
        <f>$C163*AV162</f>
        <v/>
      </c>
      <c r="AW163">
        <f>$C163*AW162</f>
        <v/>
      </c>
      <c r="AX163">
        <f>$C163*AX162</f>
        <v/>
      </c>
      <c r="AY163">
        <f>$C163*AY162</f>
        <v/>
      </c>
      <c r="AZ163">
        <f>$C163*AZ162</f>
        <v/>
      </c>
      <c r="BA163">
        <f>$C163*BA162</f>
        <v/>
      </c>
      <c r="BB163">
        <f>$C163*BB162</f>
        <v/>
      </c>
      <c r="BC163">
        <f>$C163*BC162</f>
        <v/>
      </c>
      <c r="BD163">
        <f>$C163*BD162</f>
        <v/>
      </c>
      <c r="BE163">
        <f>$C163*BE162</f>
        <v/>
      </c>
      <c r="BF163">
        <f>$C163*BF162</f>
        <v/>
      </c>
      <c r="BG163">
        <f>$C163*BG162</f>
        <v/>
      </c>
      <c r="BH163">
        <f>$C163*BH162</f>
        <v/>
      </c>
      <c r="BI163">
        <f>$C163*BI162</f>
        <v/>
      </c>
      <c r="BJ163">
        <f>$C163*BJ162</f>
        <v/>
      </c>
      <c r="BK163">
        <f>$C163*BK162</f>
        <v/>
      </c>
      <c r="BL163">
        <f>$C163*BL162</f>
        <v/>
      </c>
      <c r="BM163">
        <f>$C163*BM162</f>
        <v/>
      </c>
      <c r="BN163">
        <f>$C163*BN162</f>
        <v/>
      </c>
      <c r="BO163">
        <f>$C163*BO162</f>
        <v/>
      </c>
      <c r="BP163">
        <f>$C163*BP162</f>
        <v/>
      </c>
      <c r="BQ163">
        <f>$C163*BQ162</f>
        <v/>
      </c>
      <c r="BR163">
        <f>$C163*BR162</f>
        <v/>
      </c>
      <c r="BS163">
        <f>$C163*BS162</f>
        <v/>
      </c>
      <c r="BT163">
        <f>$C163*BT162</f>
        <v/>
      </c>
      <c r="BU163">
        <f>$C163*BU162</f>
        <v/>
      </c>
      <c r="BV163">
        <f>$C163*BV162</f>
        <v/>
      </c>
      <c r="BW163">
        <f>$C163*BW162</f>
        <v/>
      </c>
      <c r="BX163">
        <f>$C163*BX162</f>
        <v/>
      </c>
      <c r="BY163">
        <f>$C163*BY162</f>
        <v/>
      </c>
      <c r="BZ163">
        <f>$C163*BZ162</f>
        <v/>
      </c>
      <c r="CA163">
        <f>$C163*CA162</f>
        <v/>
      </c>
      <c r="CB163">
        <f>$C163*CB162</f>
        <v/>
      </c>
      <c r="CC163">
        <f>$C163*CC162</f>
        <v/>
      </c>
      <c r="CD163">
        <f>$C163*CD162</f>
        <v/>
      </c>
      <c r="CE163">
        <f>$C163*CE162</f>
        <v/>
      </c>
      <c r="CF163">
        <f>$C163*CF162</f>
        <v/>
      </c>
      <c r="CG163">
        <f>$C163*CG162</f>
        <v/>
      </c>
      <c r="CH163">
        <f>$C163*CH162</f>
        <v/>
      </c>
      <c r="CI163">
        <f>$C163*CI162</f>
        <v/>
      </c>
      <c r="CJ163">
        <f>$C163*CJ162</f>
        <v/>
      </c>
      <c r="CK163">
        <f>$C163*CK162</f>
        <v/>
      </c>
      <c r="CL163">
        <f>$C163*CL162</f>
        <v/>
      </c>
      <c r="CM163">
        <f>$C163*CM162</f>
        <v/>
      </c>
      <c r="CN163">
        <f>$C163*CN162</f>
        <v/>
      </c>
      <c r="CO163">
        <f>$C163*CO162</f>
        <v/>
      </c>
      <c r="CP163">
        <f>$C163*CP162</f>
        <v/>
      </c>
      <c r="CQ163">
        <f>$C163*CQ162</f>
        <v/>
      </c>
      <c r="CR163">
        <f>$C163*CR162</f>
        <v/>
      </c>
      <c r="CS163">
        <f>$C163*CS162</f>
        <v/>
      </c>
      <c r="CT163">
        <f>$C163*CT162</f>
        <v/>
      </c>
      <c r="CU163">
        <f>$C163*CU162</f>
        <v/>
      </c>
      <c r="CV163">
        <f>$C163*CV162</f>
        <v/>
      </c>
      <c r="CW163">
        <f>$C163*CW162</f>
        <v/>
      </c>
      <c r="CX163">
        <f>$C163*CX162</f>
        <v/>
      </c>
      <c r="CY163">
        <f>$C163*CY162</f>
        <v/>
      </c>
      <c r="CZ163">
        <f>$C163*CZ162</f>
        <v/>
      </c>
      <c r="DA163">
        <f>$C163*DA162</f>
        <v/>
      </c>
      <c r="DB163">
        <f>$C163*DB162</f>
        <v/>
      </c>
      <c r="DC163">
        <f>$C163*DC162</f>
        <v/>
      </c>
    </row>
    <row r="164">
      <c r="B164" t="inlineStr">
        <is>
          <t>VSP-567</t>
        </is>
      </c>
      <c r="C164" t="inlineStr">
        <is>
          <t>No. of batches</t>
        </is>
      </c>
      <c r="D164">
        <f>IFERROR(INDEX(PP_Grid[#Data],$DD164,2),0)</f>
        <v/>
      </c>
      <c r="E164">
        <f>IFERROR(INDEX(PP_Grid[#Data],$DD164,3),0)</f>
        <v/>
      </c>
      <c r="F164">
        <f>IFERROR(INDEX(PP_Grid[#Data],$DD164,4),0)</f>
        <v/>
      </c>
      <c r="G164">
        <f>IFERROR(INDEX(PP_Grid[#Data],$DD164,5),0)</f>
        <v/>
      </c>
      <c r="H164">
        <f>IFERROR(INDEX(PP_Grid[#Data],$DD164,6),0)</f>
        <v/>
      </c>
      <c r="I164">
        <f>IFERROR(INDEX(PP_Grid[#Data],$DD164,7),0)</f>
        <v/>
      </c>
      <c r="J164">
        <f>IFERROR(INDEX(PP_Grid[#Data],$DD164,8),0)</f>
        <v/>
      </c>
      <c r="K164">
        <f>IFERROR(INDEX(PP_Grid[#Data],$DD164,9),0)</f>
        <v/>
      </c>
      <c r="L164">
        <f>IFERROR(INDEX(PP_Grid[#Data],$DD164,10),0)</f>
        <v/>
      </c>
      <c r="M164">
        <f>IFERROR(INDEX(PP_Grid[#Data],$DD164,11),0)</f>
        <v/>
      </c>
      <c r="N164">
        <f>IFERROR(INDEX(PP_Grid[#Data],$DD164,12),0)</f>
        <v/>
      </c>
      <c r="O164">
        <f>IFERROR(INDEX(PP_Grid[#Data],$DD164,13),0)</f>
        <v/>
      </c>
      <c r="P164">
        <f>IFERROR(INDEX(PP_Grid[#Data],$DD164,14),0)</f>
        <v/>
      </c>
      <c r="Q164">
        <f>IFERROR(INDEX(PP_Grid[#Data],$DD164,15),0)</f>
        <v/>
      </c>
      <c r="R164">
        <f>IFERROR(INDEX(PP_Grid[#Data],$DD164,16),0)</f>
        <v/>
      </c>
      <c r="S164">
        <f>IFERROR(INDEX(PP_Grid[#Data],$DD164,17),0)</f>
        <v/>
      </c>
      <c r="T164">
        <f>IFERROR(INDEX(PP_Grid[#Data],$DD164,18),0)</f>
        <v/>
      </c>
      <c r="U164">
        <f>IFERROR(INDEX(PP_Grid[#Data],$DD164,19),0)</f>
        <v/>
      </c>
      <c r="V164">
        <f>IFERROR(INDEX(PP_Grid[#Data],$DD164,20),0)</f>
        <v/>
      </c>
      <c r="W164">
        <f>IFERROR(INDEX(PP_Grid[#Data],$DD164,21),0)</f>
        <v/>
      </c>
      <c r="X164">
        <f>IFERROR(INDEX(PP_Grid[#Data],$DD164,22),0)</f>
        <v/>
      </c>
      <c r="Y164">
        <f>IFERROR(INDEX(PP_Grid[#Data],$DD164,23),0)</f>
        <v/>
      </c>
      <c r="Z164">
        <f>IFERROR(INDEX(PP_Grid[#Data],$DD164,24),0)</f>
        <v/>
      </c>
      <c r="AA164">
        <f>IFERROR(INDEX(PP_Grid[#Data],$DD164,25),0)</f>
        <v/>
      </c>
      <c r="AB164">
        <f>IFERROR(INDEX(PP_Grid[#Data],$DD164,26),0)</f>
        <v/>
      </c>
      <c r="AC164">
        <f>IFERROR(INDEX(PP_Grid[#Data],$DD164,27),0)</f>
        <v/>
      </c>
      <c r="AD164">
        <f>IFERROR(INDEX(PP_Grid[#Data],$DD164,28),0)</f>
        <v/>
      </c>
      <c r="AE164">
        <f>IFERROR(INDEX(PP_Grid[#Data],$DD164,29),0)</f>
        <v/>
      </c>
      <c r="AF164">
        <f>IFERROR(INDEX(PP_Grid[#Data],$DD164,30),0)</f>
        <v/>
      </c>
      <c r="AG164">
        <f>IFERROR(INDEX(PP_Grid[#Data],$DD164,31),0)</f>
        <v/>
      </c>
      <c r="AH164">
        <f>IFERROR(INDEX(PP_Grid[#Data],$DD164,32),0)</f>
        <v/>
      </c>
      <c r="AI164">
        <f>IFERROR(INDEX(PP_Grid[#Data],$DD164,33),0)</f>
        <v/>
      </c>
      <c r="AJ164">
        <f>IFERROR(INDEX(PP_Grid[#Data],$DD164,34),0)</f>
        <v/>
      </c>
      <c r="AK164">
        <f>IFERROR(INDEX(PP_Grid[#Data],$DD164,35),0)</f>
        <v/>
      </c>
      <c r="AL164">
        <f>IFERROR(INDEX(PP_Grid[#Data],$DD164,36),0)</f>
        <v/>
      </c>
      <c r="AM164">
        <f>IFERROR(INDEX(PP_Grid[#Data],$DD164,37),0)</f>
        <v/>
      </c>
      <c r="AN164">
        <f>IFERROR(INDEX(PP_Grid[#Data],$DD164,38),0)</f>
        <v/>
      </c>
      <c r="AO164">
        <f>IFERROR(INDEX(PP_Grid[#Data],$DD164,39),0)</f>
        <v/>
      </c>
      <c r="AP164">
        <f>IFERROR(INDEX(PP_Grid[#Data],$DD164,40),0)</f>
        <v/>
      </c>
      <c r="AQ164">
        <f>IFERROR(INDEX(PP_Grid[#Data],$DD164,41),0)</f>
        <v/>
      </c>
      <c r="AR164">
        <f>IFERROR(INDEX(PP_Grid[#Data],$DD164,42),0)</f>
        <v/>
      </c>
      <c r="AS164">
        <f>IFERROR(INDEX(PP_Grid[#Data],$DD164,43),0)</f>
        <v/>
      </c>
      <c r="AT164">
        <f>IFERROR(INDEX(PP_Grid[#Data],$DD164,44),0)</f>
        <v/>
      </c>
      <c r="AU164">
        <f>IFERROR(INDEX(PP_Grid[#Data],$DD164,45),0)</f>
        <v/>
      </c>
      <c r="AV164">
        <f>IFERROR(INDEX(PP_Grid[#Data],$DD164,46),0)</f>
        <v/>
      </c>
      <c r="AW164">
        <f>IFERROR(INDEX(PP_Grid[#Data],$DD164,47),0)</f>
        <v/>
      </c>
      <c r="AX164">
        <f>IFERROR(INDEX(PP_Grid[#Data],$DD164,48),0)</f>
        <v/>
      </c>
      <c r="AY164">
        <f>IFERROR(INDEX(PP_Grid[#Data],$DD164,49),0)</f>
        <v/>
      </c>
      <c r="AZ164">
        <f>IFERROR(INDEX(PP_Grid[#Data],$DD164,50),0)</f>
        <v/>
      </c>
      <c r="BA164">
        <f>IFERROR(INDEX(PP_Grid[#Data],$DD164,51),0)</f>
        <v/>
      </c>
      <c r="BB164">
        <f>IFERROR(INDEX(PP_Grid[#Data],$DD164,52),0)</f>
        <v/>
      </c>
      <c r="BC164">
        <f>IFERROR(INDEX(PP_Grid[#Data],$DD164,53),0)</f>
        <v/>
      </c>
      <c r="BD164">
        <f>IFERROR(INDEX(PP_Grid[#Data],$DD164,54),0)</f>
        <v/>
      </c>
      <c r="BE164">
        <f>IFERROR(INDEX(PP_Grid[#Data],$DD164,55),0)</f>
        <v/>
      </c>
      <c r="BF164">
        <f>IFERROR(INDEX(PP_Grid[#Data],$DD164,56),0)</f>
        <v/>
      </c>
      <c r="BG164">
        <f>IFERROR(INDEX(PP_Grid[#Data],$DD164,57),0)</f>
        <v/>
      </c>
      <c r="BH164">
        <f>IFERROR(INDEX(PP_Grid[#Data],$DD164,58),0)</f>
        <v/>
      </c>
      <c r="BI164">
        <f>IFERROR(INDEX(PP_Grid[#Data],$DD164,59),0)</f>
        <v/>
      </c>
      <c r="BJ164">
        <f>IFERROR(INDEX(PP_Grid[#Data],$DD164,60),0)</f>
        <v/>
      </c>
      <c r="BK164">
        <f>IFERROR(INDEX(PP_Grid[#Data],$DD164,61),0)</f>
        <v/>
      </c>
      <c r="BL164">
        <f>IFERROR(INDEX(PP_Grid[#Data],$DD164,62),0)</f>
        <v/>
      </c>
      <c r="BM164">
        <f>IFERROR(INDEX(PP_Grid[#Data],$DD164,63),0)</f>
        <v/>
      </c>
      <c r="BN164">
        <f>IFERROR(INDEX(PP_Grid[#Data],$DD164,64),0)</f>
        <v/>
      </c>
      <c r="BO164">
        <f>IFERROR(INDEX(PP_Grid[#Data],$DD164,65),0)</f>
        <v/>
      </c>
      <c r="BP164">
        <f>IFERROR(INDEX(PP_Grid[#Data],$DD164,66),0)</f>
        <v/>
      </c>
      <c r="BQ164">
        <f>IFERROR(INDEX(PP_Grid[#Data],$DD164,67),0)</f>
        <v/>
      </c>
      <c r="BR164">
        <f>IFERROR(INDEX(PP_Grid[#Data],$DD164,68),0)</f>
        <v/>
      </c>
      <c r="BS164">
        <f>IFERROR(INDEX(PP_Grid[#Data],$DD164,69),0)</f>
        <v/>
      </c>
      <c r="BT164">
        <f>IFERROR(INDEX(PP_Grid[#Data],$DD164,70),0)</f>
        <v/>
      </c>
      <c r="BU164">
        <f>IFERROR(INDEX(PP_Grid[#Data],$DD164,71),0)</f>
        <v/>
      </c>
      <c r="BV164">
        <f>IFERROR(INDEX(PP_Grid[#Data],$DD164,72),0)</f>
        <v/>
      </c>
      <c r="BW164">
        <f>IFERROR(INDEX(PP_Grid[#Data],$DD164,73),0)</f>
        <v/>
      </c>
      <c r="BX164">
        <f>IFERROR(INDEX(PP_Grid[#Data],$DD164,74),0)</f>
        <v/>
      </c>
      <c r="BY164">
        <f>IFERROR(INDEX(PP_Grid[#Data],$DD164,75),0)</f>
        <v/>
      </c>
      <c r="BZ164">
        <f>IFERROR(INDEX(PP_Grid[#Data],$DD164,76),0)</f>
        <v/>
      </c>
      <c r="CA164">
        <f>IFERROR(INDEX(PP_Grid[#Data],$DD164,77),0)</f>
        <v/>
      </c>
      <c r="CB164">
        <f>IFERROR(INDEX(PP_Grid[#Data],$DD164,78),0)</f>
        <v/>
      </c>
      <c r="CC164">
        <f>IFERROR(INDEX(PP_Grid[#Data],$DD164,79),0)</f>
        <v/>
      </c>
      <c r="CD164">
        <f>IFERROR(INDEX(PP_Grid[#Data],$DD164,80),0)</f>
        <v/>
      </c>
      <c r="CE164">
        <f>IFERROR(INDEX(PP_Grid[#Data],$DD164,81),0)</f>
        <v/>
      </c>
      <c r="CF164">
        <f>IFERROR(INDEX(PP_Grid[#Data],$DD164,82),0)</f>
        <v/>
      </c>
      <c r="CG164">
        <f>IFERROR(INDEX(PP_Grid[#Data],$DD164,83),0)</f>
        <v/>
      </c>
      <c r="CH164">
        <f>IFERROR(INDEX(PP_Grid[#Data],$DD164,84),0)</f>
        <v/>
      </c>
      <c r="CI164">
        <f>IFERROR(INDEX(PP_Grid[#Data],$DD164,85),0)</f>
        <v/>
      </c>
      <c r="CJ164">
        <f>IFERROR(INDEX(PP_Grid[#Data],$DD164,86),0)</f>
        <v/>
      </c>
      <c r="CK164">
        <f>IFERROR(INDEX(PP_Grid[#Data],$DD164,87),0)</f>
        <v/>
      </c>
      <c r="CL164">
        <f>IFERROR(INDEX(PP_Grid[#Data],$DD164,88),0)</f>
        <v/>
      </c>
      <c r="CM164">
        <f>IFERROR(INDEX(PP_Grid[#Data],$DD164,89),0)</f>
        <v/>
      </c>
      <c r="CN164">
        <f>IFERROR(INDEX(PP_Grid[#Data],$DD164,90),0)</f>
        <v/>
      </c>
      <c r="CO164">
        <f>IFERROR(INDEX(PP_Grid[#Data],$DD164,91),0)</f>
        <v/>
      </c>
      <c r="CP164">
        <f>IFERROR(INDEX(PP_Grid[#Data],$DD164,92),0)</f>
        <v/>
      </c>
      <c r="CQ164">
        <f>IFERROR(INDEX(PP_Grid[#Data],$DD164,93),0)</f>
        <v/>
      </c>
      <c r="CR164">
        <f>IFERROR(INDEX(PP_Grid[#Data],$DD164,94),0)</f>
        <v/>
      </c>
      <c r="CS164">
        <f>IFERROR(INDEX(PP_Grid[#Data],$DD164,95),0)</f>
        <v/>
      </c>
      <c r="CT164">
        <f>IFERROR(INDEX(PP_Grid[#Data],$DD164,96),0)</f>
        <v/>
      </c>
      <c r="CU164">
        <f>IFERROR(INDEX(PP_Grid[#Data],$DD164,97),0)</f>
        <v/>
      </c>
      <c r="CV164">
        <f>IFERROR(INDEX(PP_Grid[#Data],$DD164,98),0)</f>
        <v/>
      </c>
      <c r="CW164">
        <f>IFERROR(INDEX(PP_Grid[#Data],$DD164,99),0)</f>
        <v/>
      </c>
      <c r="CX164">
        <f>IFERROR(INDEX(PP_Grid[#Data],$DD164,100),0)</f>
        <v/>
      </c>
      <c r="CY164">
        <f>IFERROR(INDEX(PP_Grid[#Data],$DD164,101),0)</f>
        <v/>
      </c>
      <c r="CZ164">
        <f>IFERROR(INDEX(PP_Grid[#Data],$DD164,102),0)</f>
        <v/>
      </c>
      <c r="DA164">
        <f>IFERROR(INDEX(PP_Grid[#Data],$DD164,103),0)</f>
        <v/>
      </c>
      <c r="DB164">
        <f>IFERROR(INDEX(PP_Grid[#Data],$DD164,104),0)</f>
        <v/>
      </c>
      <c r="DC164">
        <f>IFERROR(INDEX(PP_Grid[#Data],$DD164,105),0)</f>
        <v/>
      </c>
      <c r="DD164" s="12">
        <f>IFERROR(MATCH($B164,PP_Grid[Intermediate],0),99999)</f>
        <v/>
      </c>
    </row>
    <row r="165">
      <c r="B165" t="inlineStr">
        <is>
          <t>使用量(kg)</t>
        </is>
      </c>
      <c r="C165">
        <f>SUMIFS(M_BOM[RM_Qty_Per_Batch],M_BOM[Intermediate],$B164,M_BOM[Part Name],$A45)</f>
        <v/>
      </c>
      <c r="D165">
        <f>$C165*D164</f>
        <v/>
      </c>
      <c r="E165">
        <f>$C165*E164</f>
        <v/>
      </c>
      <c r="F165">
        <f>$C165*F164</f>
        <v/>
      </c>
      <c r="G165">
        <f>$C165*G164</f>
        <v/>
      </c>
      <c r="H165">
        <f>$C165*H164</f>
        <v/>
      </c>
      <c r="I165">
        <f>$C165*I164</f>
        <v/>
      </c>
      <c r="J165">
        <f>$C165*J164</f>
        <v/>
      </c>
      <c r="K165">
        <f>$C165*K164</f>
        <v/>
      </c>
      <c r="L165">
        <f>$C165*L164</f>
        <v/>
      </c>
      <c r="M165">
        <f>$C165*M164</f>
        <v/>
      </c>
      <c r="N165">
        <f>$C165*N164</f>
        <v/>
      </c>
      <c r="O165">
        <f>$C165*O164</f>
        <v/>
      </c>
      <c r="P165">
        <f>$C165*P164</f>
        <v/>
      </c>
      <c r="Q165">
        <f>$C165*Q164</f>
        <v/>
      </c>
      <c r="R165">
        <f>$C165*R164</f>
        <v/>
      </c>
      <c r="S165">
        <f>$C165*S164</f>
        <v/>
      </c>
      <c r="T165">
        <f>$C165*T164</f>
        <v/>
      </c>
      <c r="U165">
        <f>$C165*U164</f>
        <v/>
      </c>
      <c r="V165">
        <f>$C165*V164</f>
        <v/>
      </c>
      <c r="W165">
        <f>$C165*W164</f>
        <v/>
      </c>
      <c r="X165">
        <f>$C165*X164</f>
        <v/>
      </c>
      <c r="Y165">
        <f>$C165*Y164</f>
        <v/>
      </c>
      <c r="Z165">
        <f>$C165*Z164</f>
        <v/>
      </c>
      <c r="AA165">
        <f>$C165*AA164</f>
        <v/>
      </c>
      <c r="AB165">
        <f>$C165*AB164</f>
        <v/>
      </c>
      <c r="AC165">
        <f>$C165*AC164</f>
        <v/>
      </c>
      <c r="AD165">
        <f>$C165*AD164</f>
        <v/>
      </c>
      <c r="AE165">
        <f>$C165*AE164</f>
        <v/>
      </c>
      <c r="AF165">
        <f>$C165*AF164</f>
        <v/>
      </c>
      <c r="AG165">
        <f>$C165*AG164</f>
        <v/>
      </c>
      <c r="AH165">
        <f>$C165*AH164</f>
        <v/>
      </c>
      <c r="AI165">
        <f>$C165*AI164</f>
        <v/>
      </c>
      <c r="AJ165">
        <f>$C165*AJ164</f>
        <v/>
      </c>
      <c r="AK165">
        <f>$C165*AK164</f>
        <v/>
      </c>
      <c r="AL165">
        <f>$C165*AL164</f>
        <v/>
      </c>
      <c r="AM165">
        <f>$C165*AM164</f>
        <v/>
      </c>
      <c r="AN165">
        <f>$C165*AN164</f>
        <v/>
      </c>
      <c r="AO165">
        <f>$C165*AO164</f>
        <v/>
      </c>
      <c r="AP165">
        <f>$C165*AP164</f>
        <v/>
      </c>
      <c r="AQ165">
        <f>$C165*AQ164</f>
        <v/>
      </c>
      <c r="AR165">
        <f>$C165*AR164</f>
        <v/>
      </c>
      <c r="AS165">
        <f>$C165*AS164</f>
        <v/>
      </c>
      <c r="AT165">
        <f>$C165*AT164</f>
        <v/>
      </c>
      <c r="AU165">
        <f>$C165*AU164</f>
        <v/>
      </c>
      <c r="AV165">
        <f>$C165*AV164</f>
        <v/>
      </c>
      <c r="AW165">
        <f>$C165*AW164</f>
        <v/>
      </c>
      <c r="AX165">
        <f>$C165*AX164</f>
        <v/>
      </c>
      <c r="AY165">
        <f>$C165*AY164</f>
        <v/>
      </c>
      <c r="AZ165">
        <f>$C165*AZ164</f>
        <v/>
      </c>
      <c r="BA165">
        <f>$C165*BA164</f>
        <v/>
      </c>
      <c r="BB165">
        <f>$C165*BB164</f>
        <v/>
      </c>
      <c r="BC165">
        <f>$C165*BC164</f>
        <v/>
      </c>
      <c r="BD165">
        <f>$C165*BD164</f>
        <v/>
      </c>
      <c r="BE165">
        <f>$C165*BE164</f>
        <v/>
      </c>
      <c r="BF165">
        <f>$C165*BF164</f>
        <v/>
      </c>
      <c r="BG165">
        <f>$C165*BG164</f>
        <v/>
      </c>
      <c r="BH165">
        <f>$C165*BH164</f>
        <v/>
      </c>
      <c r="BI165">
        <f>$C165*BI164</f>
        <v/>
      </c>
      <c r="BJ165">
        <f>$C165*BJ164</f>
        <v/>
      </c>
      <c r="BK165">
        <f>$C165*BK164</f>
        <v/>
      </c>
      <c r="BL165">
        <f>$C165*BL164</f>
        <v/>
      </c>
      <c r="BM165">
        <f>$C165*BM164</f>
        <v/>
      </c>
      <c r="BN165">
        <f>$C165*BN164</f>
        <v/>
      </c>
      <c r="BO165">
        <f>$C165*BO164</f>
        <v/>
      </c>
      <c r="BP165">
        <f>$C165*BP164</f>
        <v/>
      </c>
      <c r="BQ165">
        <f>$C165*BQ164</f>
        <v/>
      </c>
      <c r="BR165">
        <f>$C165*BR164</f>
        <v/>
      </c>
      <c r="BS165">
        <f>$C165*BS164</f>
        <v/>
      </c>
      <c r="BT165">
        <f>$C165*BT164</f>
        <v/>
      </c>
      <c r="BU165">
        <f>$C165*BU164</f>
        <v/>
      </c>
      <c r="BV165">
        <f>$C165*BV164</f>
        <v/>
      </c>
      <c r="BW165">
        <f>$C165*BW164</f>
        <v/>
      </c>
      <c r="BX165">
        <f>$C165*BX164</f>
        <v/>
      </c>
      <c r="BY165">
        <f>$C165*BY164</f>
        <v/>
      </c>
      <c r="BZ165">
        <f>$C165*BZ164</f>
        <v/>
      </c>
      <c r="CA165">
        <f>$C165*CA164</f>
        <v/>
      </c>
      <c r="CB165">
        <f>$C165*CB164</f>
        <v/>
      </c>
      <c r="CC165">
        <f>$C165*CC164</f>
        <v/>
      </c>
      <c r="CD165">
        <f>$C165*CD164</f>
        <v/>
      </c>
      <c r="CE165">
        <f>$C165*CE164</f>
        <v/>
      </c>
      <c r="CF165">
        <f>$C165*CF164</f>
        <v/>
      </c>
      <c r="CG165">
        <f>$C165*CG164</f>
        <v/>
      </c>
      <c r="CH165">
        <f>$C165*CH164</f>
        <v/>
      </c>
      <c r="CI165">
        <f>$C165*CI164</f>
        <v/>
      </c>
      <c r="CJ165">
        <f>$C165*CJ164</f>
        <v/>
      </c>
      <c r="CK165">
        <f>$C165*CK164</f>
        <v/>
      </c>
      <c r="CL165">
        <f>$C165*CL164</f>
        <v/>
      </c>
      <c r="CM165">
        <f>$C165*CM164</f>
        <v/>
      </c>
      <c r="CN165">
        <f>$C165*CN164</f>
        <v/>
      </c>
      <c r="CO165">
        <f>$C165*CO164</f>
        <v/>
      </c>
      <c r="CP165">
        <f>$C165*CP164</f>
        <v/>
      </c>
      <c r="CQ165">
        <f>$C165*CQ164</f>
        <v/>
      </c>
      <c r="CR165">
        <f>$C165*CR164</f>
        <v/>
      </c>
      <c r="CS165">
        <f>$C165*CS164</f>
        <v/>
      </c>
      <c r="CT165">
        <f>$C165*CT164</f>
        <v/>
      </c>
      <c r="CU165">
        <f>$C165*CU164</f>
        <v/>
      </c>
      <c r="CV165">
        <f>$C165*CV164</f>
        <v/>
      </c>
      <c r="CW165">
        <f>$C165*CW164</f>
        <v/>
      </c>
      <c r="CX165">
        <f>$C165*CX164</f>
        <v/>
      </c>
      <c r="CY165">
        <f>$C165*CY164</f>
        <v/>
      </c>
      <c r="CZ165">
        <f>$C165*CZ164</f>
        <v/>
      </c>
      <c r="DA165">
        <f>$C165*DA164</f>
        <v/>
      </c>
      <c r="DB165">
        <f>$C165*DB164</f>
        <v/>
      </c>
      <c r="DC165">
        <f>$C165*DC164</f>
        <v/>
      </c>
    </row>
    <row r="166">
      <c r="B166" t="inlineStr">
        <is>
          <t>VSP-600</t>
        </is>
      </c>
      <c r="C166" t="inlineStr">
        <is>
          <t>No. of batches</t>
        </is>
      </c>
      <c r="D166">
        <f>IFERROR(INDEX(PP_Grid[#Data],$DD166,2),0)</f>
        <v/>
      </c>
      <c r="E166">
        <f>IFERROR(INDEX(PP_Grid[#Data],$DD166,3),0)</f>
        <v/>
      </c>
      <c r="F166">
        <f>IFERROR(INDEX(PP_Grid[#Data],$DD166,4),0)</f>
        <v/>
      </c>
      <c r="G166">
        <f>IFERROR(INDEX(PP_Grid[#Data],$DD166,5),0)</f>
        <v/>
      </c>
      <c r="H166">
        <f>IFERROR(INDEX(PP_Grid[#Data],$DD166,6),0)</f>
        <v/>
      </c>
      <c r="I166">
        <f>IFERROR(INDEX(PP_Grid[#Data],$DD166,7),0)</f>
        <v/>
      </c>
      <c r="J166">
        <f>IFERROR(INDEX(PP_Grid[#Data],$DD166,8),0)</f>
        <v/>
      </c>
      <c r="K166">
        <f>IFERROR(INDEX(PP_Grid[#Data],$DD166,9),0)</f>
        <v/>
      </c>
      <c r="L166">
        <f>IFERROR(INDEX(PP_Grid[#Data],$DD166,10),0)</f>
        <v/>
      </c>
      <c r="M166">
        <f>IFERROR(INDEX(PP_Grid[#Data],$DD166,11),0)</f>
        <v/>
      </c>
      <c r="N166">
        <f>IFERROR(INDEX(PP_Grid[#Data],$DD166,12),0)</f>
        <v/>
      </c>
      <c r="O166">
        <f>IFERROR(INDEX(PP_Grid[#Data],$DD166,13),0)</f>
        <v/>
      </c>
      <c r="P166">
        <f>IFERROR(INDEX(PP_Grid[#Data],$DD166,14),0)</f>
        <v/>
      </c>
      <c r="Q166">
        <f>IFERROR(INDEX(PP_Grid[#Data],$DD166,15),0)</f>
        <v/>
      </c>
      <c r="R166">
        <f>IFERROR(INDEX(PP_Grid[#Data],$DD166,16),0)</f>
        <v/>
      </c>
      <c r="S166">
        <f>IFERROR(INDEX(PP_Grid[#Data],$DD166,17),0)</f>
        <v/>
      </c>
      <c r="T166">
        <f>IFERROR(INDEX(PP_Grid[#Data],$DD166,18),0)</f>
        <v/>
      </c>
      <c r="U166">
        <f>IFERROR(INDEX(PP_Grid[#Data],$DD166,19),0)</f>
        <v/>
      </c>
      <c r="V166">
        <f>IFERROR(INDEX(PP_Grid[#Data],$DD166,20),0)</f>
        <v/>
      </c>
      <c r="W166">
        <f>IFERROR(INDEX(PP_Grid[#Data],$DD166,21),0)</f>
        <v/>
      </c>
      <c r="X166">
        <f>IFERROR(INDEX(PP_Grid[#Data],$DD166,22),0)</f>
        <v/>
      </c>
      <c r="Y166">
        <f>IFERROR(INDEX(PP_Grid[#Data],$DD166,23),0)</f>
        <v/>
      </c>
      <c r="Z166">
        <f>IFERROR(INDEX(PP_Grid[#Data],$DD166,24),0)</f>
        <v/>
      </c>
      <c r="AA166">
        <f>IFERROR(INDEX(PP_Grid[#Data],$DD166,25),0)</f>
        <v/>
      </c>
      <c r="AB166">
        <f>IFERROR(INDEX(PP_Grid[#Data],$DD166,26),0)</f>
        <v/>
      </c>
      <c r="AC166">
        <f>IFERROR(INDEX(PP_Grid[#Data],$DD166,27),0)</f>
        <v/>
      </c>
      <c r="AD166">
        <f>IFERROR(INDEX(PP_Grid[#Data],$DD166,28),0)</f>
        <v/>
      </c>
      <c r="AE166">
        <f>IFERROR(INDEX(PP_Grid[#Data],$DD166,29),0)</f>
        <v/>
      </c>
      <c r="AF166">
        <f>IFERROR(INDEX(PP_Grid[#Data],$DD166,30),0)</f>
        <v/>
      </c>
      <c r="AG166">
        <f>IFERROR(INDEX(PP_Grid[#Data],$DD166,31),0)</f>
        <v/>
      </c>
      <c r="AH166">
        <f>IFERROR(INDEX(PP_Grid[#Data],$DD166,32),0)</f>
        <v/>
      </c>
      <c r="AI166">
        <f>IFERROR(INDEX(PP_Grid[#Data],$DD166,33),0)</f>
        <v/>
      </c>
      <c r="AJ166">
        <f>IFERROR(INDEX(PP_Grid[#Data],$DD166,34),0)</f>
        <v/>
      </c>
      <c r="AK166">
        <f>IFERROR(INDEX(PP_Grid[#Data],$DD166,35),0)</f>
        <v/>
      </c>
      <c r="AL166">
        <f>IFERROR(INDEX(PP_Grid[#Data],$DD166,36),0)</f>
        <v/>
      </c>
      <c r="AM166">
        <f>IFERROR(INDEX(PP_Grid[#Data],$DD166,37),0)</f>
        <v/>
      </c>
      <c r="AN166">
        <f>IFERROR(INDEX(PP_Grid[#Data],$DD166,38),0)</f>
        <v/>
      </c>
      <c r="AO166">
        <f>IFERROR(INDEX(PP_Grid[#Data],$DD166,39),0)</f>
        <v/>
      </c>
      <c r="AP166">
        <f>IFERROR(INDEX(PP_Grid[#Data],$DD166,40),0)</f>
        <v/>
      </c>
      <c r="AQ166">
        <f>IFERROR(INDEX(PP_Grid[#Data],$DD166,41),0)</f>
        <v/>
      </c>
      <c r="AR166">
        <f>IFERROR(INDEX(PP_Grid[#Data],$DD166,42),0)</f>
        <v/>
      </c>
      <c r="AS166">
        <f>IFERROR(INDEX(PP_Grid[#Data],$DD166,43),0)</f>
        <v/>
      </c>
      <c r="AT166">
        <f>IFERROR(INDEX(PP_Grid[#Data],$DD166,44),0)</f>
        <v/>
      </c>
      <c r="AU166">
        <f>IFERROR(INDEX(PP_Grid[#Data],$DD166,45),0)</f>
        <v/>
      </c>
      <c r="AV166">
        <f>IFERROR(INDEX(PP_Grid[#Data],$DD166,46),0)</f>
        <v/>
      </c>
      <c r="AW166">
        <f>IFERROR(INDEX(PP_Grid[#Data],$DD166,47),0)</f>
        <v/>
      </c>
      <c r="AX166">
        <f>IFERROR(INDEX(PP_Grid[#Data],$DD166,48),0)</f>
        <v/>
      </c>
      <c r="AY166">
        <f>IFERROR(INDEX(PP_Grid[#Data],$DD166,49),0)</f>
        <v/>
      </c>
      <c r="AZ166">
        <f>IFERROR(INDEX(PP_Grid[#Data],$DD166,50),0)</f>
        <v/>
      </c>
      <c r="BA166">
        <f>IFERROR(INDEX(PP_Grid[#Data],$DD166,51),0)</f>
        <v/>
      </c>
      <c r="BB166">
        <f>IFERROR(INDEX(PP_Grid[#Data],$DD166,52),0)</f>
        <v/>
      </c>
      <c r="BC166">
        <f>IFERROR(INDEX(PP_Grid[#Data],$DD166,53),0)</f>
        <v/>
      </c>
      <c r="BD166">
        <f>IFERROR(INDEX(PP_Grid[#Data],$DD166,54),0)</f>
        <v/>
      </c>
      <c r="BE166">
        <f>IFERROR(INDEX(PP_Grid[#Data],$DD166,55),0)</f>
        <v/>
      </c>
      <c r="BF166">
        <f>IFERROR(INDEX(PP_Grid[#Data],$DD166,56),0)</f>
        <v/>
      </c>
      <c r="BG166">
        <f>IFERROR(INDEX(PP_Grid[#Data],$DD166,57),0)</f>
        <v/>
      </c>
      <c r="BH166">
        <f>IFERROR(INDEX(PP_Grid[#Data],$DD166,58),0)</f>
        <v/>
      </c>
      <c r="BI166">
        <f>IFERROR(INDEX(PP_Grid[#Data],$DD166,59),0)</f>
        <v/>
      </c>
      <c r="BJ166">
        <f>IFERROR(INDEX(PP_Grid[#Data],$DD166,60),0)</f>
        <v/>
      </c>
      <c r="BK166">
        <f>IFERROR(INDEX(PP_Grid[#Data],$DD166,61),0)</f>
        <v/>
      </c>
      <c r="BL166">
        <f>IFERROR(INDEX(PP_Grid[#Data],$DD166,62),0)</f>
        <v/>
      </c>
      <c r="BM166">
        <f>IFERROR(INDEX(PP_Grid[#Data],$DD166,63),0)</f>
        <v/>
      </c>
      <c r="BN166">
        <f>IFERROR(INDEX(PP_Grid[#Data],$DD166,64),0)</f>
        <v/>
      </c>
      <c r="BO166">
        <f>IFERROR(INDEX(PP_Grid[#Data],$DD166,65),0)</f>
        <v/>
      </c>
      <c r="BP166">
        <f>IFERROR(INDEX(PP_Grid[#Data],$DD166,66),0)</f>
        <v/>
      </c>
      <c r="BQ166">
        <f>IFERROR(INDEX(PP_Grid[#Data],$DD166,67),0)</f>
        <v/>
      </c>
      <c r="BR166">
        <f>IFERROR(INDEX(PP_Grid[#Data],$DD166,68),0)</f>
        <v/>
      </c>
      <c r="BS166">
        <f>IFERROR(INDEX(PP_Grid[#Data],$DD166,69),0)</f>
        <v/>
      </c>
      <c r="BT166">
        <f>IFERROR(INDEX(PP_Grid[#Data],$DD166,70),0)</f>
        <v/>
      </c>
      <c r="BU166">
        <f>IFERROR(INDEX(PP_Grid[#Data],$DD166,71),0)</f>
        <v/>
      </c>
      <c r="BV166">
        <f>IFERROR(INDEX(PP_Grid[#Data],$DD166,72),0)</f>
        <v/>
      </c>
      <c r="BW166">
        <f>IFERROR(INDEX(PP_Grid[#Data],$DD166,73),0)</f>
        <v/>
      </c>
      <c r="BX166">
        <f>IFERROR(INDEX(PP_Grid[#Data],$DD166,74),0)</f>
        <v/>
      </c>
      <c r="BY166">
        <f>IFERROR(INDEX(PP_Grid[#Data],$DD166,75),0)</f>
        <v/>
      </c>
      <c r="BZ166">
        <f>IFERROR(INDEX(PP_Grid[#Data],$DD166,76),0)</f>
        <v/>
      </c>
      <c r="CA166">
        <f>IFERROR(INDEX(PP_Grid[#Data],$DD166,77),0)</f>
        <v/>
      </c>
      <c r="CB166">
        <f>IFERROR(INDEX(PP_Grid[#Data],$DD166,78),0)</f>
        <v/>
      </c>
      <c r="CC166">
        <f>IFERROR(INDEX(PP_Grid[#Data],$DD166,79),0)</f>
        <v/>
      </c>
      <c r="CD166">
        <f>IFERROR(INDEX(PP_Grid[#Data],$DD166,80),0)</f>
        <v/>
      </c>
      <c r="CE166">
        <f>IFERROR(INDEX(PP_Grid[#Data],$DD166,81),0)</f>
        <v/>
      </c>
      <c r="CF166">
        <f>IFERROR(INDEX(PP_Grid[#Data],$DD166,82),0)</f>
        <v/>
      </c>
      <c r="CG166">
        <f>IFERROR(INDEX(PP_Grid[#Data],$DD166,83),0)</f>
        <v/>
      </c>
      <c r="CH166">
        <f>IFERROR(INDEX(PP_Grid[#Data],$DD166,84),0)</f>
        <v/>
      </c>
      <c r="CI166">
        <f>IFERROR(INDEX(PP_Grid[#Data],$DD166,85),0)</f>
        <v/>
      </c>
      <c r="CJ166">
        <f>IFERROR(INDEX(PP_Grid[#Data],$DD166,86),0)</f>
        <v/>
      </c>
      <c r="CK166">
        <f>IFERROR(INDEX(PP_Grid[#Data],$DD166,87),0)</f>
        <v/>
      </c>
      <c r="CL166">
        <f>IFERROR(INDEX(PP_Grid[#Data],$DD166,88),0)</f>
        <v/>
      </c>
      <c r="CM166">
        <f>IFERROR(INDEX(PP_Grid[#Data],$DD166,89),0)</f>
        <v/>
      </c>
      <c r="CN166">
        <f>IFERROR(INDEX(PP_Grid[#Data],$DD166,90),0)</f>
        <v/>
      </c>
      <c r="CO166">
        <f>IFERROR(INDEX(PP_Grid[#Data],$DD166,91),0)</f>
        <v/>
      </c>
      <c r="CP166">
        <f>IFERROR(INDEX(PP_Grid[#Data],$DD166,92),0)</f>
        <v/>
      </c>
      <c r="CQ166">
        <f>IFERROR(INDEX(PP_Grid[#Data],$DD166,93),0)</f>
        <v/>
      </c>
      <c r="CR166">
        <f>IFERROR(INDEX(PP_Grid[#Data],$DD166,94),0)</f>
        <v/>
      </c>
      <c r="CS166">
        <f>IFERROR(INDEX(PP_Grid[#Data],$DD166,95),0)</f>
        <v/>
      </c>
      <c r="CT166">
        <f>IFERROR(INDEX(PP_Grid[#Data],$DD166,96),0)</f>
        <v/>
      </c>
      <c r="CU166">
        <f>IFERROR(INDEX(PP_Grid[#Data],$DD166,97),0)</f>
        <v/>
      </c>
      <c r="CV166">
        <f>IFERROR(INDEX(PP_Grid[#Data],$DD166,98),0)</f>
        <v/>
      </c>
      <c r="CW166">
        <f>IFERROR(INDEX(PP_Grid[#Data],$DD166,99),0)</f>
        <v/>
      </c>
      <c r="CX166">
        <f>IFERROR(INDEX(PP_Grid[#Data],$DD166,100),0)</f>
        <v/>
      </c>
      <c r="CY166">
        <f>IFERROR(INDEX(PP_Grid[#Data],$DD166,101),0)</f>
        <v/>
      </c>
      <c r="CZ166">
        <f>IFERROR(INDEX(PP_Grid[#Data],$DD166,102),0)</f>
        <v/>
      </c>
      <c r="DA166">
        <f>IFERROR(INDEX(PP_Grid[#Data],$DD166,103),0)</f>
        <v/>
      </c>
      <c r="DB166">
        <f>IFERROR(INDEX(PP_Grid[#Data],$DD166,104),0)</f>
        <v/>
      </c>
      <c r="DC166">
        <f>IFERROR(INDEX(PP_Grid[#Data],$DD166,105),0)</f>
        <v/>
      </c>
      <c r="DD166" s="12">
        <f>IFERROR(MATCH($B166,PP_Grid[Intermediate],0),99999)</f>
        <v/>
      </c>
    </row>
    <row r="167">
      <c r="B167" t="inlineStr">
        <is>
          <t>使用量(kg)</t>
        </is>
      </c>
      <c r="C167">
        <f>SUMIFS(M_BOM[RM_Qty_Per_Batch],M_BOM[Intermediate],$B166,M_BOM[Part Name],$A45)</f>
        <v/>
      </c>
      <c r="D167">
        <f>$C167*D166</f>
        <v/>
      </c>
      <c r="E167">
        <f>$C167*E166</f>
        <v/>
      </c>
      <c r="F167">
        <f>$C167*F166</f>
        <v/>
      </c>
      <c r="G167">
        <f>$C167*G166</f>
        <v/>
      </c>
      <c r="H167">
        <f>$C167*H166</f>
        <v/>
      </c>
      <c r="I167">
        <f>$C167*I166</f>
        <v/>
      </c>
      <c r="J167">
        <f>$C167*J166</f>
        <v/>
      </c>
      <c r="K167">
        <f>$C167*K166</f>
        <v/>
      </c>
      <c r="L167">
        <f>$C167*L166</f>
        <v/>
      </c>
      <c r="M167">
        <f>$C167*M166</f>
        <v/>
      </c>
      <c r="N167">
        <f>$C167*N166</f>
        <v/>
      </c>
      <c r="O167">
        <f>$C167*O166</f>
        <v/>
      </c>
      <c r="P167">
        <f>$C167*P166</f>
        <v/>
      </c>
      <c r="Q167">
        <f>$C167*Q166</f>
        <v/>
      </c>
      <c r="R167">
        <f>$C167*R166</f>
        <v/>
      </c>
      <c r="S167">
        <f>$C167*S166</f>
        <v/>
      </c>
      <c r="T167">
        <f>$C167*T166</f>
        <v/>
      </c>
      <c r="U167">
        <f>$C167*U166</f>
        <v/>
      </c>
      <c r="V167">
        <f>$C167*V166</f>
        <v/>
      </c>
      <c r="W167">
        <f>$C167*W166</f>
        <v/>
      </c>
      <c r="X167">
        <f>$C167*X166</f>
        <v/>
      </c>
      <c r="Y167">
        <f>$C167*Y166</f>
        <v/>
      </c>
      <c r="Z167">
        <f>$C167*Z166</f>
        <v/>
      </c>
      <c r="AA167">
        <f>$C167*AA166</f>
        <v/>
      </c>
      <c r="AB167">
        <f>$C167*AB166</f>
        <v/>
      </c>
      <c r="AC167">
        <f>$C167*AC166</f>
        <v/>
      </c>
      <c r="AD167">
        <f>$C167*AD166</f>
        <v/>
      </c>
      <c r="AE167">
        <f>$C167*AE166</f>
        <v/>
      </c>
      <c r="AF167">
        <f>$C167*AF166</f>
        <v/>
      </c>
      <c r="AG167">
        <f>$C167*AG166</f>
        <v/>
      </c>
      <c r="AH167">
        <f>$C167*AH166</f>
        <v/>
      </c>
      <c r="AI167">
        <f>$C167*AI166</f>
        <v/>
      </c>
      <c r="AJ167">
        <f>$C167*AJ166</f>
        <v/>
      </c>
      <c r="AK167">
        <f>$C167*AK166</f>
        <v/>
      </c>
      <c r="AL167">
        <f>$C167*AL166</f>
        <v/>
      </c>
      <c r="AM167">
        <f>$C167*AM166</f>
        <v/>
      </c>
      <c r="AN167">
        <f>$C167*AN166</f>
        <v/>
      </c>
      <c r="AO167">
        <f>$C167*AO166</f>
        <v/>
      </c>
      <c r="AP167">
        <f>$C167*AP166</f>
        <v/>
      </c>
      <c r="AQ167">
        <f>$C167*AQ166</f>
        <v/>
      </c>
      <c r="AR167">
        <f>$C167*AR166</f>
        <v/>
      </c>
      <c r="AS167">
        <f>$C167*AS166</f>
        <v/>
      </c>
      <c r="AT167">
        <f>$C167*AT166</f>
        <v/>
      </c>
      <c r="AU167">
        <f>$C167*AU166</f>
        <v/>
      </c>
      <c r="AV167">
        <f>$C167*AV166</f>
        <v/>
      </c>
      <c r="AW167">
        <f>$C167*AW166</f>
        <v/>
      </c>
      <c r="AX167">
        <f>$C167*AX166</f>
        <v/>
      </c>
      <c r="AY167">
        <f>$C167*AY166</f>
        <v/>
      </c>
      <c r="AZ167">
        <f>$C167*AZ166</f>
        <v/>
      </c>
      <c r="BA167">
        <f>$C167*BA166</f>
        <v/>
      </c>
      <c r="BB167">
        <f>$C167*BB166</f>
        <v/>
      </c>
      <c r="BC167">
        <f>$C167*BC166</f>
        <v/>
      </c>
      <c r="BD167">
        <f>$C167*BD166</f>
        <v/>
      </c>
      <c r="BE167">
        <f>$C167*BE166</f>
        <v/>
      </c>
      <c r="BF167">
        <f>$C167*BF166</f>
        <v/>
      </c>
      <c r="BG167">
        <f>$C167*BG166</f>
        <v/>
      </c>
      <c r="BH167">
        <f>$C167*BH166</f>
        <v/>
      </c>
      <c r="BI167">
        <f>$C167*BI166</f>
        <v/>
      </c>
      <c r="BJ167">
        <f>$C167*BJ166</f>
        <v/>
      </c>
      <c r="BK167">
        <f>$C167*BK166</f>
        <v/>
      </c>
      <c r="BL167">
        <f>$C167*BL166</f>
        <v/>
      </c>
      <c r="BM167">
        <f>$C167*BM166</f>
        <v/>
      </c>
      <c r="BN167">
        <f>$C167*BN166</f>
        <v/>
      </c>
      <c r="BO167">
        <f>$C167*BO166</f>
        <v/>
      </c>
      <c r="BP167">
        <f>$C167*BP166</f>
        <v/>
      </c>
      <c r="BQ167">
        <f>$C167*BQ166</f>
        <v/>
      </c>
      <c r="BR167">
        <f>$C167*BR166</f>
        <v/>
      </c>
      <c r="BS167">
        <f>$C167*BS166</f>
        <v/>
      </c>
      <c r="BT167">
        <f>$C167*BT166</f>
        <v/>
      </c>
      <c r="BU167">
        <f>$C167*BU166</f>
        <v/>
      </c>
      <c r="BV167">
        <f>$C167*BV166</f>
        <v/>
      </c>
      <c r="BW167">
        <f>$C167*BW166</f>
        <v/>
      </c>
      <c r="BX167">
        <f>$C167*BX166</f>
        <v/>
      </c>
      <c r="BY167">
        <f>$C167*BY166</f>
        <v/>
      </c>
      <c r="BZ167">
        <f>$C167*BZ166</f>
        <v/>
      </c>
      <c r="CA167">
        <f>$C167*CA166</f>
        <v/>
      </c>
      <c r="CB167">
        <f>$C167*CB166</f>
        <v/>
      </c>
      <c r="CC167">
        <f>$C167*CC166</f>
        <v/>
      </c>
      <c r="CD167">
        <f>$C167*CD166</f>
        <v/>
      </c>
      <c r="CE167">
        <f>$C167*CE166</f>
        <v/>
      </c>
      <c r="CF167">
        <f>$C167*CF166</f>
        <v/>
      </c>
      <c r="CG167">
        <f>$C167*CG166</f>
        <v/>
      </c>
      <c r="CH167">
        <f>$C167*CH166</f>
        <v/>
      </c>
      <c r="CI167">
        <f>$C167*CI166</f>
        <v/>
      </c>
      <c r="CJ167">
        <f>$C167*CJ166</f>
        <v/>
      </c>
      <c r="CK167">
        <f>$C167*CK166</f>
        <v/>
      </c>
      <c r="CL167">
        <f>$C167*CL166</f>
        <v/>
      </c>
      <c r="CM167">
        <f>$C167*CM166</f>
        <v/>
      </c>
      <c r="CN167">
        <f>$C167*CN166</f>
        <v/>
      </c>
      <c r="CO167">
        <f>$C167*CO166</f>
        <v/>
      </c>
      <c r="CP167">
        <f>$C167*CP166</f>
        <v/>
      </c>
      <c r="CQ167">
        <f>$C167*CQ166</f>
        <v/>
      </c>
      <c r="CR167">
        <f>$C167*CR166</f>
        <v/>
      </c>
      <c r="CS167">
        <f>$C167*CS166</f>
        <v/>
      </c>
      <c r="CT167">
        <f>$C167*CT166</f>
        <v/>
      </c>
      <c r="CU167">
        <f>$C167*CU166</f>
        <v/>
      </c>
      <c r="CV167">
        <f>$C167*CV166</f>
        <v/>
      </c>
      <c r="CW167">
        <f>$C167*CW166</f>
        <v/>
      </c>
      <c r="CX167">
        <f>$C167*CX166</f>
        <v/>
      </c>
      <c r="CY167">
        <f>$C167*CY166</f>
        <v/>
      </c>
      <c r="CZ167">
        <f>$C167*CZ166</f>
        <v/>
      </c>
      <c r="DA167">
        <f>$C167*DA166</f>
        <v/>
      </c>
      <c r="DB167">
        <f>$C167*DB166</f>
        <v/>
      </c>
      <c r="DC167">
        <f>$C167*DC166</f>
        <v/>
      </c>
    </row>
    <row r="168">
      <c r="B168" t="inlineStr">
        <is>
          <t>VSP-601</t>
        </is>
      </c>
      <c r="C168" t="inlineStr">
        <is>
          <t>No. of batches</t>
        </is>
      </c>
      <c r="D168">
        <f>IFERROR(INDEX(PP_Grid[#Data],$DD168,2),0)</f>
        <v/>
      </c>
      <c r="E168">
        <f>IFERROR(INDEX(PP_Grid[#Data],$DD168,3),0)</f>
        <v/>
      </c>
      <c r="F168">
        <f>IFERROR(INDEX(PP_Grid[#Data],$DD168,4),0)</f>
        <v/>
      </c>
      <c r="G168">
        <f>IFERROR(INDEX(PP_Grid[#Data],$DD168,5),0)</f>
        <v/>
      </c>
      <c r="H168">
        <f>IFERROR(INDEX(PP_Grid[#Data],$DD168,6),0)</f>
        <v/>
      </c>
      <c r="I168">
        <f>IFERROR(INDEX(PP_Grid[#Data],$DD168,7),0)</f>
        <v/>
      </c>
      <c r="J168">
        <f>IFERROR(INDEX(PP_Grid[#Data],$DD168,8),0)</f>
        <v/>
      </c>
      <c r="K168">
        <f>IFERROR(INDEX(PP_Grid[#Data],$DD168,9),0)</f>
        <v/>
      </c>
      <c r="L168">
        <f>IFERROR(INDEX(PP_Grid[#Data],$DD168,10),0)</f>
        <v/>
      </c>
      <c r="M168">
        <f>IFERROR(INDEX(PP_Grid[#Data],$DD168,11),0)</f>
        <v/>
      </c>
      <c r="N168">
        <f>IFERROR(INDEX(PP_Grid[#Data],$DD168,12),0)</f>
        <v/>
      </c>
      <c r="O168">
        <f>IFERROR(INDEX(PP_Grid[#Data],$DD168,13),0)</f>
        <v/>
      </c>
      <c r="P168">
        <f>IFERROR(INDEX(PP_Grid[#Data],$DD168,14),0)</f>
        <v/>
      </c>
      <c r="Q168">
        <f>IFERROR(INDEX(PP_Grid[#Data],$DD168,15),0)</f>
        <v/>
      </c>
      <c r="R168">
        <f>IFERROR(INDEX(PP_Grid[#Data],$DD168,16),0)</f>
        <v/>
      </c>
      <c r="S168">
        <f>IFERROR(INDEX(PP_Grid[#Data],$DD168,17),0)</f>
        <v/>
      </c>
      <c r="T168">
        <f>IFERROR(INDEX(PP_Grid[#Data],$DD168,18),0)</f>
        <v/>
      </c>
      <c r="U168">
        <f>IFERROR(INDEX(PP_Grid[#Data],$DD168,19),0)</f>
        <v/>
      </c>
      <c r="V168">
        <f>IFERROR(INDEX(PP_Grid[#Data],$DD168,20),0)</f>
        <v/>
      </c>
      <c r="W168">
        <f>IFERROR(INDEX(PP_Grid[#Data],$DD168,21),0)</f>
        <v/>
      </c>
      <c r="X168">
        <f>IFERROR(INDEX(PP_Grid[#Data],$DD168,22),0)</f>
        <v/>
      </c>
      <c r="Y168">
        <f>IFERROR(INDEX(PP_Grid[#Data],$DD168,23),0)</f>
        <v/>
      </c>
      <c r="Z168">
        <f>IFERROR(INDEX(PP_Grid[#Data],$DD168,24),0)</f>
        <v/>
      </c>
      <c r="AA168">
        <f>IFERROR(INDEX(PP_Grid[#Data],$DD168,25),0)</f>
        <v/>
      </c>
      <c r="AB168">
        <f>IFERROR(INDEX(PP_Grid[#Data],$DD168,26),0)</f>
        <v/>
      </c>
      <c r="AC168">
        <f>IFERROR(INDEX(PP_Grid[#Data],$DD168,27),0)</f>
        <v/>
      </c>
      <c r="AD168">
        <f>IFERROR(INDEX(PP_Grid[#Data],$DD168,28),0)</f>
        <v/>
      </c>
      <c r="AE168">
        <f>IFERROR(INDEX(PP_Grid[#Data],$DD168,29),0)</f>
        <v/>
      </c>
      <c r="AF168">
        <f>IFERROR(INDEX(PP_Grid[#Data],$DD168,30),0)</f>
        <v/>
      </c>
      <c r="AG168">
        <f>IFERROR(INDEX(PP_Grid[#Data],$DD168,31),0)</f>
        <v/>
      </c>
      <c r="AH168">
        <f>IFERROR(INDEX(PP_Grid[#Data],$DD168,32),0)</f>
        <v/>
      </c>
      <c r="AI168">
        <f>IFERROR(INDEX(PP_Grid[#Data],$DD168,33),0)</f>
        <v/>
      </c>
      <c r="AJ168">
        <f>IFERROR(INDEX(PP_Grid[#Data],$DD168,34),0)</f>
        <v/>
      </c>
      <c r="AK168">
        <f>IFERROR(INDEX(PP_Grid[#Data],$DD168,35),0)</f>
        <v/>
      </c>
      <c r="AL168">
        <f>IFERROR(INDEX(PP_Grid[#Data],$DD168,36),0)</f>
        <v/>
      </c>
      <c r="AM168">
        <f>IFERROR(INDEX(PP_Grid[#Data],$DD168,37),0)</f>
        <v/>
      </c>
      <c r="AN168">
        <f>IFERROR(INDEX(PP_Grid[#Data],$DD168,38),0)</f>
        <v/>
      </c>
      <c r="AO168">
        <f>IFERROR(INDEX(PP_Grid[#Data],$DD168,39),0)</f>
        <v/>
      </c>
      <c r="AP168">
        <f>IFERROR(INDEX(PP_Grid[#Data],$DD168,40),0)</f>
        <v/>
      </c>
      <c r="AQ168">
        <f>IFERROR(INDEX(PP_Grid[#Data],$DD168,41),0)</f>
        <v/>
      </c>
      <c r="AR168">
        <f>IFERROR(INDEX(PP_Grid[#Data],$DD168,42),0)</f>
        <v/>
      </c>
      <c r="AS168">
        <f>IFERROR(INDEX(PP_Grid[#Data],$DD168,43),0)</f>
        <v/>
      </c>
      <c r="AT168">
        <f>IFERROR(INDEX(PP_Grid[#Data],$DD168,44),0)</f>
        <v/>
      </c>
      <c r="AU168">
        <f>IFERROR(INDEX(PP_Grid[#Data],$DD168,45),0)</f>
        <v/>
      </c>
      <c r="AV168">
        <f>IFERROR(INDEX(PP_Grid[#Data],$DD168,46),0)</f>
        <v/>
      </c>
      <c r="AW168">
        <f>IFERROR(INDEX(PP_Grid[#Data],$DD168,47),0)</f>
        <v/>
      </c>
      <c r="AX168">
        <f>IFERROR(INDEX(PP_Grid[#Data],$DD168,48),0)</f>
        <v/>
      </c>
      <c r="AY168">
        <f>IFERROR(INDEX(PP_Grid[#Data],$DD168,49),0)</f>
        <v/>
      </c>
      <c r="AZ168">
        <f>IFERROR(INDEX(PP_Grid[#Data],$DD168,50),0)</f>
        <v/>
      </c>
      <c r="BA168">
        <f>IFERROR(INDEX(PP_Grid[#Data],$DD168,51),0)</f>
        <v/>
      </c>
      <c r="BB168">
        <f>IFERROR(INDEX(PP_Grid[#Data],$DD168,52),0)</f>
        <v/>
      </c>
      <c r="BC168">
        <f>IFERROR(INDEX(PP_Grid[#Data],$DD168,53),0)</f>
        <v/>
      </c>
      <c r="BD168">
        <f>IFERROR(INDEX(PP_Grid[#Data],$DD168,54),0)</f>
        <v/>
      </c>
      <c r="BE168">
        <f>IFERROR(INDEX(PP_Grid[#Data],$DD168,55),0)</f>
        <v/>
      </c>
      <c r="BF168">
        <f>IFERROR(INDEX(PP_Grid[#Data],$DD168,56),0)</f>
        <v/>
      </c>
      <c r="BG168">
        <f>IFERROR(INDEX(PP_Grid[#Data],$DD168,57),0)</f>
        <v/>
      </c>
      <c r="BH168">
        <f>IFERROR(INDEX(PP_Grid[#Data],$DD168,58),0)</f>
        <v/>
      </c>
      <c r="BI168">
        <f>IFERROR(INDEX(PP_Grid[#Data],$DD168,59),0)</f>
        <v/>
      </c>
      <c r="BJ168">
        <f>IFERROR(INDEX(PP_Grid[#Data],$DD168,60),0)</f>
        <v/>
      </c>
      <c r="BK168">
        <f>IFERROR(INDEX(PP_Grid[#Data],$DD168,61),0)</f>
        <v/>
      </c>
      <c r="BL168">
        <f>IFERROR(INDEX(PP_Grid[#Data],$DD168,62),0)</f>
        <v/>
      </c>
      <c r="BM168">
        <f>IFERROR(INDEX(PP_Grid[#Data],$DD168,63),0)</f>
        <v/>
      </c>
      <c r="BN168">
        <f>IFERROR(INDEX(PP_Grid[#Data],$DD168,64),0)</f>
        <v/>
      </c>
      <c r="BO168">
        <f>IFERROR(INDEX(PP_Grid[#Data],$DD168,65),0)</f>
        <v/>
      </c>
      <c r="BP168">
        <f>IFERROR(INDEX(PP_Grid[#Data],$DD168,66),0)</f>
        <v/>
      </c>
      <c r="BQ168">
        <f>IFERROR(INDEX(PP_Grid[#Data],$DD168,67),0)</f>
        <v/>
      </c>
      <c r="BR168">
        <f>IFERROR(INDEX(PP_Grid[#Data],$DD168,68),0)</f>
        <v/>
      </c>
      <c r="BS168">
        <f>IFERROR(INDEX(PP_Grid[#Data],$DD168,69),0)</f>
        <v/>
      </c>
      <c r="BT168">
        <f>IFERROR(INDEX(PP_Grid[#Data],$DD168,70),0)</f>
        <v/>
      </c>
      <c r="BU168">
        <f>IFERROR(INDEX(PP_Grid[#Data],$DD168,71),0)</f>
        <v/>
      </c>
      <c r="BV168">
        <f>IFERROR(INDEX(PP_Grid[#Data],$DD168,72),0)</f>
        <v/>
      </c>
      <c r="BW168">
        <f>IFERROR(INDEX(PP_Grid[#Data],$DD168,73),0)</f>
        <v/>
      </c>
      <c r="BX168">
        <f>IFERROR(INDEX(PP_Grid[#Data],$DD168,74),0)</f>
        <v/>
      </c>
      <c r="BY168">
        <f>IFERROR(INDEX(PP_Grid[#Data],$DD168,75),0)</f>
        <v/>
      </c>
      <c r="BZ168">
        <f>IFERROR(INDEX(PP_Grid[#Data],$DD168,76),0)</f>
        <v/>
      </c>
      <c r="CA168">
        <f>IFERROR(INDEX(PP_Grid[#Data],$DD168,77),0)</f>
        <v/>
      </c>
      <c r="CB168">
        <f>IFERROR(INDEX(PP_Grid[#Data],$DD168,78),0)</f>
        <v/>
      </c>
      <c r="CC168">
        <f>IFERROR(INDEX(PP_Grid[#Data],$DD168,79),0)</f>
        <v/>
      </c>
      <c r="CD168">
        <f>IFERROR(INDEX(PP_Grid[#Data],$DD168,80),0)</f>
        <v/>
      </c>
      <c r="CE168">
        <f>IFERROR(INDEX(PP_Grid[#Data],$DD168,81),0)</f>
        <v/>
      </c>
      <c r="CF168">
        <f>IFERROR(INDEX(PP_Grid[#Data],$DD168,82),0)</f>
        <v/>
      </c>
      <c r="CG168">
        <f>IFERROR(INDEX(PP_Grid[#Data],$DD168,83),0)</f>
        <v/>
      </c>
      <c r="CH168">
        <f>IFERROR(INDEX(PP_Grid[#Data],$DD168,84),0)</f>
        <v/>
      </c>
      <c r="CI168">
        <f>IFERROR(INDEX(PP_Grid[#Data],$DD168,85),0)</f>
        <v/>
      </c>
      <c r="CJ168">
        <f>IFERROR(INDEX(PP_Grid[#Data],$DD168,86),0)</f>
        <v/>
      </c>
      <c r="CK168">
        <f>IFERROR(INDEX(PP_Grid[#Data],$DD168,87),0)</f>
        <v/>
      </c>
      <c r="CL168">
        <f>IFERROR(INDEX(PP_Grid[#Data],$DD168,88),0)</f>
        <v/>
      </c>
      <c r="CM168">
        <f>IFERROR(INDEX(PP_Grid[#Data],$DD168,89),0)</f>
        <v/>
      </c>
      <c r="CN168">
        <f>IFERROR(INDEX(PP_Grid[#Data],$DD168,90),0)</f>
        <v/>
      </c>
      <c r="CO168">
        <f>IFERROR(INDEX(PP_Grid[#Data],$DD168,91),0)</f>
        <v/>
      </c>
      <c r="CP168">
        <f>IFERROR(INDEX(PP_Grid[#Data],$DD168,92),0)</f>
        <v/>
      </c>
      <c r="CQ168">
        <f>IFERROR(INDEX(PP_Grid[#Data],$DD168,93),0)</f>
        <v/>
      </c>
      <c r="CR168">
        <f>IFERROR(INDEX(PP_Grid[#Data],$DD168,94),0)</f>
        <v/>
      </c>
      <c r="CS168">
        <f>IFERROR(INDEX(PP_Grid[#Data],$DD168,95),0)</f>
        <v/>
      </c>
      <c r="CT168">
        <f>IFERROR(INDEX(PP_Grid[#Data],$DD168,96),0)</f>
        <v/>
      </c>
      <c r="CU168">
        <f>IFERROR(INDEX(PP_Grid[#Data],$DD168,97),0)</f>
        <v/>
      </c>
      <c r="CV168">
        <f>IFERROR(INDEX(PP_Grid[#Data],$DD168,98),0)</f>
        <v/>
      </c>
      <c r="CW168">
        <f>IFERROR(INDEX(PP_Grid[#Data],$DD168,99),0)</f>
        <v/>
      </c>
      <c r="CX168">
        <f>IFERROR(INDEX(PP_Grid[#Data],$DD168,100),0)</f>
        <v/>
      </c>
      <c r="CY168">
        <f>IFERROR(INDEX(PP_Grid[#Data],$DD168,101),0)</f>
        <v/>
      </c>
      <c r="CZ168">
        <f>IFERROR(INDEX(PP_Grid[#Data],$DD168,102),0)</f>
        <v/>
      </c>
      <c r="DA168">
        <f>IFERROR(INDEX(PP_Grid[#Data],$DD168,103),0)</f>
        <v/>
      </c>
      <c r="DB168">
        <f>IFERROR(INDEX(PP_Grid[#Data],$DD168,104),0)</f>
        <v/>
      </c>
      <c r="DC168">
        <f>IFERROR(INDEX(PP_Grid[#Data],$DD168,105),0)</f>
        <v/>
      </c>
      <c r="DD168" s="12">
        <f>IFERROR(MATCH($B168,PP_Grid[Intermediate],0),99999)</f>
        <v/>
      </c>
    </row>
    <row r="169">
      <c r="B169" t="inlineStr">
        <is>
          <t>使用量(kg)</t>
        </is>
      </c>
      <c r="C169">
        <f>SUMIFS(M_BOM[RM_Qty_Per_Batch],M_BOM[Intermediate],$B168,M_BOM[Part Name],$A45)</f>
        <v/>
      </c>
      <c r="D169">
        <f>$C169*D168</f>
        <v/>
      </c>
      <c r="E169">
        <f>$C169*E168</f>
        <v/>
      </c>
      <c r="F169">
        <f>$C169*F168</f>
        <v/>
      </c>
      <c r="G169">
        <f>$C169*G168</f>
        <v/>
      </c>
      <c r="H169">
        <f>$C169*H168</f>
        <v/>
      </c>
      <c r="I169">
        <f>$C169*I168</f>
        <v/>
      </c>
      <c r="J169">
        <f>$C169*J168</f>
        <v/>
      </c>
      <c r="K169">
        <f>$C169*K168</f>
        <v/>
      </c>
      <c r="L169">
        <f>$C169*L168</f>
        <v/>
      </c>
      <c r="M169">
        <f>$C169*M168</f>
        <v/>
      </c>
      <c r="N169">
        <f>$C169*N168</f>
        <v/>
      </c>
      <c r="O169">
        <f>$C169*O168</f>
        <v/>
      </c>
      <c r="P169">
        <f>$C169*P168</f>
        <v/>
      </c>
      <c r="Q169">
        <f>$C169*Q168</f>
        <v/>
      </c>
      <c r="R169">
        <f>$C169*R168</f>
        <v/>
      </c>
      <c r="S169">
        <f>$C169*S168</f>
        <v/>
      </c>
      <c r="T169">
        <f>$C169*T168</f>
        <v/>
      </c>
      <c r="U169">
        <f>$C169*U168</f>
        <v/>
      </c>
      <c r="V169">
        <f>$C169*V168</f>
        <v/>
      </c>
      <c r="W169">
        <f>$C169*W168</f>
        <v/>
      </c>
      <c r="X169">
        <f>$C169*X168</f>
        <v/>
      </c>
      <c r="Y169">
        <f>$C169*Y168</f>
        <v/>
      </c>
      <c r="Z169">
        <f>$C169*Z168</f>
        <v/>
      </c>
      <c r="AA169">
        <f>$C169*AA168</f>
        <v/>
      </c>
      <c r="AB169">
        <f>$C169*AB168</f>
        <v/>
      </c>
      <c r="AC169">
        <f>$C169*AC168</f>
        <v/>
      </c>
      <c r="AD169">
        <f>$C169*AD168</f>
        <v/>
      </c>
      <c r="AE169">
        <f>$C169*AE168</f>
        <v/>
      </c>
      <c r="AF169">
        <f>$C169*AF168</f>
        <v/>
      </c>
      <c r="AG169">
        <f>$C169*AG168</f>
        <v/>
      </c>
      <c r="AH169">
        <f>$C169*AH168</f>
        <v/>
      </c>
      <c r="AI169">
        <f>$C169*AI168</f>
        <v/>
      </c>
      <c r="AJ169">
        <f>$C169*AJ168</f>
        <v/>
      </c>
      <c r="AK169">
        <f>$C169*AK168</f>
        <v/>
      </c>
      <c r="AL169">
        <f>$C169*AL168</f>
        <v/>
      </c>
      <c r="AM169">
        <f>$C169*AM168</f>
        <v/>
      </c>
      <c r="AN169">
        <f>$C169*AN168</f>
        <v/>
      </c>
      <c r="AO169">
        <f>$C169*AO168</f>
        <v/>
      </c>
      <c r="AP169">
        <f>$C169*AP168</f>
        <v/>
      </c>
      <c r="AQ169">
        <f>$C169*AQ168</f>
        <v/>
      </c>
      <c r="AR169">
        <f>$C169*AR168</f>
        <v/>
      </c>
      <c r="AS169">
        <f>$C169*AS168</f>
        <v/>
      </c>
      <c r="AT169">
        <f>$C169*AT168</f>
        <v/>
      </c>
      <c r="AU169">
        <f>$C169*AU168</f>
        <v/>
      </c>
      <c r="AV169">
        <f>$C169*AV168</f>
        <v/>
      </c>
      <c r="AW169">
        <f>$C169*AW168</f>
        <v/>
      </c>
      <c r="AX169">
        <f>$C169*AX168</f>
        <v/>
      </c>
      <c r="AY169">
        <f>$C169*AY168</f>
        <v/>
      </c>
      <c r="AZ169">
        <f>$C169*AZ168</f>
        <v/>
      </c>
      <c r="BA169">
        <f>$C169*BA168</f>
        <v/>
      </c>
      <c r="BB169">
        <f>$C169*BB168</f>
        <v/>
      </c>
      <c r="BC169">
        <f>$C169*BC168</f>
        <v/>
      </c>
      <c r="BD169">
        <f>$C169*BD168</f>
        <v/>
      </c>
      <c r="BE169">
        <f>$C169*BE168</f>
        <v/>
      </c>
      <c r="BF169">
        <f>$C169*BF168</f>
        <v/>
      </c>
      <c r="BG169">
        <f>$C169*BG168</f>
        <v/>
      </c>
      <c r="BH169">
        <f>$C169*BH168</f>
        <v/>
      </c>
      <c r="BI169">
        <f>$C169*BI168</f>
        <v/>
      </c>
      <c r="BJ169">
        <f>$C169*BJ168</f>
        <v/>
      </c>
      <c r="BK169">
        <f>$C169*BK168</f>
        <v/>
      </c>
      <c r="BL169">
        <f>$C169*BL168</f>
        <v/>
      </c>
      <c r="BM169">
        <f>$C169*BM168</f>
        <v/>
      </c>
      <c r="BN169">
        <f>$C169*BN168</f>
        <v/>
      </c>
      <c r="BO169">
        <f>$C169*BO168</f>
        <v/>
      </c>
      <c r="BP169">
        <f>$C169*BP168</f>
        <v/>
      </c>
      <c r="BQ169">
        <f>$C169*BQ168</f>
        <v/>
      </c>
      <c r="BR169">
        <f>$C169*BR168</f>
        <v/>
      </c>
      <c r="BS169">
        <f>$C169*BS168</f>
        <v/>
      </c>
      <c r="BT169">
        <f>$C169*BT168</f>
        <v/>
      </c>
      <c r="BU169">
        <f>$C169*BU168</f>
        <v/>
      </c>
      <c r="BV169">
        <f>$C169*BV168</f>
        <v/>
      </c>
      <c r="BW169">
        <f>$C169*BW168</f>
        <v/>
      </c>
      <c r="BX169">
        <f>$C169*BX168</f>
        <v/>
      </c>
      <c r="BY169">
        <f>$C169*BY168</f>
        <v/>
      </c>
      <c r="BZ169">
        <f>$C169*BZ168</f>
        <v/>
      </c>
      <c r="CA169">
        <f>$C169*CA168</f>
        <v/>
      </c>
      <c r="CB169">
        <f>$C169*CB168</f>
        <v/>
      </c>
      <c r="CC169">
        <f>$C169*CC168</f>
        <v/>
      </c>
      <c r="CD169">
        <f>$C169*CD168</f>
        <v/>
      </c>
      <c r="CE169">
        <f>$C169*CE168</f>
        <v/>
      </c>
      <c r="CF169">
        <f>$C169*CF168</f>
        <v/>
      </c>
      <c r="CG169">
        <f>$C169*CG168</f>
        <v/>
      </c>
      <c r="CH169">
        <f>$C169*CH168</f>
        <v/>
      </c>
      <c r="CI169">
        <f>$C169*CI168</f>
        <v/>
      </c>
      <c r="CJ169">
        <f>$C169*CJ168</f>
        <v/>
      </c>
      <c r="CK169">
        <f>$C169*CK168</f>
        <v/>
      </c>
      <c r="CL169">
        <f>$C169*CL168</f>
        <v/>
      </c>
      <c r="CM169">
        <f>$C169*CM168</f>
        <v/>
      </c>
      <c r="CN169">
        <f>$C169*CN168</f>
        <v/>
      </c>
      <c r="CO169">
        <f>$C169*CO168</f>
        <v/>
      </c>
      <c r="CP169">
        <f>$C169*CP168</f>
        <v/>
      </c>
      <c r="CQ169">
        <f>$C169*CQ168</f>
        <v/>
      </c>
      <c r="CR169">
        <f>$C169*CR168</f>
        <v/>
      </c>
      <c r="CS169">
        <f>$C169*CS168</f>
        <v/>
      </c>
      <c r="CT169">
        <f>$C169*CT168</f>
        <v/>
      </c>
      <c r="CU169">
        <f>$C169*CU168</f>
        <v/>
      </c>
      <c r="CV169">
        <f>$C169*CV168</f>
        <v/>
      </c>
      <c r="CW169">
        <f>$C169*CW168</f>
        <v/>
      </c>
      <c r="CX169">
        <f>$C169*CX168</f>
        <v/>
      </c>
      <c r="CY169">
        <f>$C169*CY168</f>
        <v/>
      </c>
      <c r="CZ169">
        <f>$C169*CZ168</f>
        <v/>
      </c>
      <c r="DA169">
        <f>$C169*DA168</f>
        <v/>
      </c>
      <c r="DB169">
        <f>$C169*DB168</f>
        <v/>
      </c>
      <c r="DC169">
        <f>$C169*DC168</f>
        <v/>
      </c>
    </row>
    <row r="170">
      <c r="B170" t="inlineStr">
        <is>
          <t>VSP-602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12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Name],$A45)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t="inlineStr">
        <is>
          <t>VSP-603</t>
        </is>
      </c>
      <c r="C172" t="inlineStr">
        <is>
          <t>No. of batches</t>
        </is>
      </c>
      <c r="D172">
        <f>IFERROR(INDEX(PP_Grid[#Data],$DD172,2),0)</f>
        <v/>
      </c>
      <c r="E172">
        <f>IFERROR(INDEX(PP_Grid[#Data],$DD172,3),0)</f>
        <v/>
      </c>
      <c r="F172">
        <f>IFERROR(INDEX(PP_Grid[#Data],$DD172,4),0)</f>
        <v/>
      </c>
      <c r="G172">
        <f>IFERROR(INDEX(PP_Grid[#Data],$DD172,5),0)</f>
        <v/>
      </c>
      <c r="H172">
        <f>IFERROR(INDEX(PP_Grid[#Data],$DD172,6),0)</f>
        <v/>
      </c>
      <c r="I172">
        <f>IFERROR(INDEX(PP_Grid[#Data],$DD172,7),0)</f>
        <v/>
      </c>
      <c r="J172">
        <f>IFERROR(INDEX(PP_Grid[#Data],$DD172,8),0)</f>
        <v/>
      </c>
      <c r="K172">
        <f>IFERROR(INDEX(PP_Grid[#Data],$DD172,9),0)</f>
        <v/>
      </c>
      <c r="L172">
        <f>IFERROR(INDEX(PP_Grid[#Data],$DD172,10),0)</f>
        <v/>
      </c>
      <c r="M172">
        <f>IFERROR(INDEX(PP_Grid[#Data],$DD172,11),0)</f>
        <v/>
      </c>
      <c r="N172">
        <f>IFERROR(INDEX(PP_Grid[#Data],$DD172,12),0)</f>
        <v/>
      </c>
      <c r="O172">
        <f>IFERROR(INDEX(PP_Grid[#Data],$DD172,13),0)</f>
        <v/>
      </c>
      <c r="P172">
        <f>IFERROR(INDEX(PP_Grid[#Data],$DD172,14),0)</f>
        <v/>
      </c>
      <c r="Q172">
        <f>IFERROR(INDEX(PP_Grid[#Data],$DD172,15),0)</f>
        <v/>
      </c>
      <c r="R172">
        <f>IFERROR(INDEX(PP_Grid[#Data],$DD172,16),0)</f>
        <v/>
      </c>
      <c r="S172">
        <f>IFERROR(INDEX(PP_Grid[#Data],$DD172,17),0)</f>
        <v/>
      </c>
      <c r="T172">
        <f>IFERROR(INDEX(PP_Grid[#Data],$DD172,18),0)</f>
        <v/>
      </c>
      <c r="U172">
        <f>IFERROR(INDEX(PP_Grid[#Data],$DD172,19),0)</f>
        <v/>
      </c>
      <c r="V172">
        <f>IFERROR(INDEX(PP_Grid[#Data],$DD172,20),0)</f>
        <v/>
      </c>
      <c r="W172">
        <f>IFERROR(INDEX(PP_Grid[#Data],$DD172,21),0)</f>
        <v/>
      </c>
      <c r="X172">
        <f>IFERROR(INDEX(PP_Grid[#Data],$DD172,22),0)</f>
        <v/>
      </c>
      <c r="Y172">
        <f>IFERROR(INDEX(PP_Grid[#Data],$DD172,23),0)</f>
        <v/>
      </c>
      <c r="Z172">
        <f>IFERROR(INDEX(PP_Grid[#Data],$DD172,24),0)</f>
        <v/>
      </c>
      <c r="AA172">
        <f>IFERROR(INDEX(PP_Grid[#Data],$DD172,25),0)</f>
        <v/>
      </c>
      <c r="AB172">
        <f>IFERROR(INDEX(PP_Grid[#Data],$DD172,26),0)</f>
        <v/>
      </c>
      <c r="AC172">
        <f>IFERROR(INDEX(PP_Grid[#Data],$DD172,27),0)</f>
        <v/>
      </c>
      <c r="AD172">
        <f>IFERROR(INDEX(PP_Grid[#Data],$DD172,28),0)</f>
        <v/>
      </c>
      <c r="AE172">
        <f>IFERROR(INDEX(PP_Grid[#Data],$DD172,29),0)</f>
        <v/>
      </c>
      <c r="AF172">
        <f>IFERROR(INDEX(PP_Grid[#Data],$DD172,30),0)</f>
        <v/>
      </c>
      <c r="AG172">
        <f>IFERROR(INDEX(PP_Grid[#Data],$DD172,31),0)</f>
        <v/>
      </c>
      <c r="AH172">
        <f>IFERROR(INDEX(PP_Grid[#Data],$DD172,32),0)</f>
        <v/>
      </c>
      <c r="AI172">
        <f>IFERROR(INDEX(PP_Grid[#Data],$DD172,33),0)</f>
        <v/>
      </c>
      <c r="AJ172">
        <f>IFERROR(INDEX(PP_Grid[#Data],$DD172,34),0)</f>
        <v/>
      </c>
      <c r="AK172">
        <f>IFERROR(INDEX(PP_Grid[#Data],$DD172,35),0)</f>
        <v/>
      </c>
      <c r="AL172">
        <f>IFERROR(INDEX(PP_Grid[#Data],$DD172,36),0)</f>
        <v/>
      </c>
      <c r="AM172">
        <f>IFERROR(INDEX(PP_Grid[#Data],$DD172,37),0)</f>
        <v/>
      </c>
      <c r="AN172">
        <f>IFERROR(INDEX(PP_Grid[#Data],$DD172,38),0)</f>
        <v/>
      </c>
      <c r="AO172">
        <f>IFERROR(INDEX(PP_Grid[#Data],$DD172,39),0)</f>
        <v/>
      </c>
      <c r="AP172">
        <f>IFERROR(INDEX(PP_Grid[#Data],$DD172,40),0)</f>
        <v/>
      </c>
      <c r="AQ172">
        <f>IFERROR(INDEX(PP_Grid[#Data],$DD172,41),0)</f>
        <v/>
      </c>
      <c r="AR172">
        <f>IFERROR(INDEX(PP_Grid[#Data],$DD172,42),0)</f>
        <v/>
      </c>
      <c r="AS172">
        <f>IFERROR(INDEX(PP_Grid[#Data],$DD172,43),0)</f>
        <v/>
      </c>
      <c r="AT172">
        <f>IFERROR(INDEX(PP_Grid[#Data],$DD172,44),0)</f>
        <v/>
      </c>
      <c r="AU172">
        <f>IFERROR(INDEX(PP_Grid[#Data],$DD172,45),0)</f>
        <v/>
      </c>
      <c r="AV172">
        <f>IFERROR(INDEX(PP_Grid[#Data],$DD172,46),0)</f>
        <v/>
      </c>
      <c r="AW172">
        <f>IFERROR(INDEX(PP_Grid[#Data],$DD172,47),0)</f>
        <v/>
      </c>
      <c r="AX172">
        <f>IFERROR(INDEX(PP_Grid[#Data],$DD172,48),0)</f>
        <v/>
      </c>
      <c r="AY172">
        <f>IFERROR(INDEX(PP_Grid[#Data],$DD172,49),0)</f>
        <v/>
      </c>
      <c r="AZ172">
        <f>IFERROR(INDEX(PP_Grid[#Data],$DD172,50),0)</f>
        <v/>
      </c>
      <c r="BA172">
        <f>IFERROR(INDEX(PP_Grid[#Data],$DD172,51),0)</f>
        <v/>
      </c>
      <c r="BB172">
        <f>IFERROR(INDEX(PP_Grid[#Data],$DD172,52),0)</f>
        <v/>
      </c>
      <c r="BC172">
        <f>IFERROR(INDEX(PP_Grid[#Data],$DD172,53),0)</f>
        <v/>
      </c>
      <c r="BD172">
        <f>IFERROR(INDEX(PP_Grid[#Data],$DD172,54),0)</f>
        <v/>
      </c>
      <c r="BE172">
        <f>IFERROR(INDEX(PP_Grid[#Data],$DD172,55),0)</f>
        <v/>
      </c>
      <c r="BF172">
        <f>IFERROR(INDEX(PP_Grid[#Data],$DD172,56),0)</f>
        <v/>
      </c>
      <c r="BG172">
        <f>IFERROR(INDEX(PP_Grid[#Data],$DD172,57),0)</f>
        <v/>
      </c>
      <c r="BH172">
        <f>IFERROR(INDEX(PP_Grid[#Data],$DD172,58),0)</f>
        <v/>
      </c>
      <c r="BI172">
        <f>IFERROR(INDEX(PP_Grid[#Data],$DD172,59),0)</f>
        <v/>
      </c>
      <c r="BJ172">
        <f>IFERROR(INDEX(PP_Grid[#Data],$DD172,60),0)</f>
        <v/>
      </c>
      <c r="BK172">
        <f>IFERROR(INDEX(PP_Grid[#Data],$DD172,61),0)</f>
        <v/>
      </c>
      <c r="BL172">
        <f>IFERROR(INDEX(PP_Grid[#Data],$DD172,62),0)</f>
        <v/>
      </c>
      <c r="BM172">
        <f>IFERROR(INDEX(PP_Grid[#Data],$DD172,63),0)</f>
        <v/>
      </c>
      <c r="BN172">
        <f>IFERROR(INDEX(PP_Grid[#Data],$DD172,64),0)</f>
        <v/>
      </c>
      <c r="BO172">
        <f>IFERROR(INDEX(PP_Grid[#Data],$DD172,65),0)</f>
        <v/>
      </c>
      <c r="BP172">
        <f>IFERROR(INDEX(PP_Grid[#Data],$DD172,66),0)</f>
        <v/>
      </c>
      <c r="BQ172">
        <f>IFERROR(INDEX(PP_Grid[#Data],$DD172,67),0)</f>
        <v/>
      </c>
      <c r="BR172">
        <f>IFERROR(INDEX(PP_Grid[#Data],$DD172,68),0)</f>
        <v/>
      </c>
      <c r="BS172">
        <f>IFERROR(INDEX(PP_Grid[#Data],$DD172,69),0)</f>
        <v/>
      </c>
      <c r="BT172">
        <f>IFERROR(INDEX(PP_Grid[#Data],$DD172,70),0)</f>
        <v/>
      </c>
      <c r="BU172">
        <f>IFERROR(INDEX(PP_Grid[#Data],$DD172,71),0)</f>
        <v/>
      </c>
      <c r="BV172">
        <f>IFERROR(INDEX(PP_Grid[#Data],$DD172,72),0)</f>
        <v/>
      </c>
      <c r="BW172">
        <f>IFERROR(INDEX(PP_Grid[#Data],$DD172,73),0)</f>
        <v/>
      </c>
      <c r="BX172">
        <f>IFERROR(INDEX(PP_Grid[#Data],$DD172,74),0)</f>
        <v/>
      </c>
      <c r="BY172">
        <f>IFERROR(INDEX(PP_Grid[#Data],$DD172,75),0)</f>
        <v/>
      </c>
      <c r="BZ172">
        <f>IFERROR(INDEX(PP_Grid[#Data],$DD172,76),0)</f>
        <v/>
      </c>
      <c r="CA172">
        <f>IFERROR(INDEX(PP_Grid[#Data],$DD172,77),0)</f>
        <v/>
      </c>
      <c r="CB172">
        <f>IFERROR(INDEX(PP_Grid[#Data],$DD172,78),0)</f>
        <v/>
      </c>
      <c r="CC172">
        <f>IFERROR(INDEX(PP_Grid[#Data],$DD172,79),0)</f>
        <v/>
      </c>
      <c r="CD172">
        <f>IFERROR(INDEX(PP_Grid[#Data],$DD172,80),0)</f>
        <v/>
      </c>
      <c r="CE172">
        <f>IFERROR(INDEX(PP_Grid[#Data],$DD172,81),0)</f>
        <v/>
      </c>
      <c r="CF172">
        <f>IFERROR(INDEX(PP_Grid[#Data],$DD172,82),0)</f>
        <v/>
      </c>
      <c r="CG172">
        <f>IFERROR(INDEX(PP_Grid[#Data],$DD172,83),0)</f>
        <v/>
      </c>
      <c r="CH172">
        <f>IFERROR(INDEX(PP_Grid[#Data],$DD172,84),0)</f>
        <v/>
      </c>
      <c r="CI172">
        <f>IFERROR(INDEX(PP_Grid[#Data],$DD172,85),0)</f>
        <v/>
      </c>
      <c r="CJ172">
        <f>IFERROR(INDEX(PP_Grid[#Data],$DD172,86),0)</f>
        <v/>
      </c>
      <c r="CK172">
        <f>IFERROR(INDEX(PP_Grid[#Data],$DD172,87),0)</f>
        <v/>
      </c>
      <c r="CL172">
        <f>IFERROR(INDEX(PP_Grid[#Data],$DD172,88),0)</f>
        <v/>
      </c>
      <c r="CM172">
        <f>IFERROR(INDEX(PP_Grid[#Data],$DD172,89),0)</f>
        <v/>
      </c>
      <c r="CN172">
        <f>IFERROR(INDEX(PP_Grid[#Data],$DD172,90),0)</f>
        <v/>
      </c>
      <c r="CO172">
        <f>IFERROR(INDEX(PP_Grid[#Data],$DD172,91),0)</f>
        <v/>
      </c>
      <c r="CP172">
        <f>IFERROR(INDEX(PP_Grid[#Data],$DD172,92),0)</f>
        <v/>
      </c>
      <c r="CQ172">
        <f>IFERROR(INDEX(PP_Grid[#Data],$DD172,93),0)</f>
        <v/>
      </c>
      <c r="CR172">
        <f>IFERROR(INDEX(PP_Grid[#Data],$DD172,94),0)</f>
        <v/>
      </c>
      <c r="CS172">
        <f>IFERROR(INDEX(PP_Grid[#Data],$DD172,95),0)</f>
        <v/>
      </c>
      <c r="CT172">
        <f>IFERROR(INDEX(PP_Grid[#Data],$DD172,96),0)</f>
        <v/>
      </c>
      <c r="CU172">
        <f>IFERROR(INDEX(PP_Grid[#Data],$DD172,97),0)</f>
        <v/>
      </c>
      <c r="CV172">
        <f>IFERROR(INDEX(PP_Grid[#Data],$DD172,98),0)</f>
        <v/>
      </c>
      <c r="CW172">
        <f>IFERROR(INDEX(PP_Grid[#Data],$DD172,99),0)</f>
        <v/>
      </c>
      <c r="CX172">
        <f>IFERROR(INDEX(PP_Grid[#Data],$DD172,100),0)</f>
        <v/>
      </c>
      <c r="CY172">
        <f>IFERROR(INDEX(PP_Grid[#Data],$DD172,101),0)</f>
        <v/>
      </c>
      <c r="CZ172">
        <f>IFERROR(INDEX(PP_Grid[#Data],$DD172,102),0)</f>
        <v/>
      </c>
      <c r="DA172">
        <f>IFERROR(INDEX(PP_Grid[#Data],$DD172,103),0)</f>
        <v/>
      </c>
      <c r="DB172">
        <f>IFERROR(INDEX(PP_Grid[#Data],$DD172,104),0)</f>
        <v/>
      </c>
      <c r="DC172">
        <f>IFERROR(INDEX(PP_Grid[#Data],$DD172,105),0)</f>
        <v/>
      </c>
      <c r="DD172" s="12">
        <f>IFERROR(MATCH($B172,PP_Grid[Intermediate],0),99999)</f>
        <v/>
      </c>
    </row>
    <row r="173">
      <c r="B173" t="inlineStr">
        <is>
          <t>使用量(kg)</t>
        </is>
      </c>
      <c r="C173">
        <f>SUMIFS(M_BOM[RM_Qty_Per_Batch],M_BOM[Intermediate],$B172,M_BOM[Part Name],$A45)</f>
        <v/>
      </c>
      <c r="D173">
        <f>$C173*D172</f>
        <v/>
      </c>
      <c r="E173">
        <f>$C173*E172</f>
        <v/>
      </c>
      <c r="F173">
        <f>$C173*F172</f>
        <v/>
      </c>
      <c r="G173">
        <f>$C173*G172</f>
        <v/>
      </c>
      <c r="H173">
        <f>$C173*H172</f>
        <v/>
      </c>
      <c r="I173">
        <f>$C173*I172</f>
        <v/>
      </c>
      <c r="J173">
        <f>$C173*J172</f>
        <v/>
      </c>
      <c r="K173">
        <f>$C173*K172</f>
        <v/>
      </c>
      <c r="L173">
        <f>$C173*L172</f>
        <v/>
      </c>
      <c r="M173">
        <f>$C173*M172</f>
        <v/>
      </c>
      <c r="N173">
        <f>$C173*N172</f>
        <v/>
      </c>
      <c r="O173">
        <f>$C173*O172</f>
        <v/>
      </c>
      <c r="P173">
        <f>$C173*P172</f>
        <v/>
      </c>
      <c r="Q173">
        <f>$C173*Q172</f>
        <v/>
      </c>
      <c r="R173">
        <f>$C173*R172</f>
        <v/>
      </c>
      <c r="S173">
        <f>$C173*S172</f>
        <v/>
      </c>
      <c r="T173">
        <f>$C173*T172</f>
        <v/>
      </c>
      <c r="U173">
        <f>$C173*U172</f>
        <v/>
      </c>
      <c r="V173">
        <f>$C173*V172</f>
        <v/>
      </c>
      <c r="W173">
        <f>$C173*W172</f>
        <v/>
      </c>
      <c r="X173">
        <f>$C173*X172</f>
        <v/>
      </c>
      <c r="Y173">
        <f>$C173*Y172</f>
        <v/>
      </c>
      <c r="Z173">
        <f>$C173*Z172</f>
        <v/>
      </c>
      <c r="AA173">
        <f>$C173*AA172</f>
        <v/>
      </c>
      <c r="AB173">
        <f>$C173*AB172</f>
        <v/>
      </c>
      <c r="AC173">
        <f>$C173*AC172</f>
        <v/>
      </c>
      <c r="AD173">
        <f>$C173*AD172</f>
        <v/>
      </c>
      <c r="AE173">
        <f>$C173*AE172</f>
        <v/>
      </c>
      <c r="AF173">
        <f>$C173*AF172</f>
        <v/>
      </c>
      <c r="AG173">
        <f>$C173*AG172</f>
        <v/>
      </c>
      <c r="AH173">
        <f>$C173*AH172</f>
        <v/>
      </c>
      <c r="AI173">
        <f>$C173*AI172</f>
        <v/>
      </c>
      <c r="AJ173">
        <f>$C173*AJ172</f>
        <v/>
      </c>
      <c r="AK173">
        <f>$C173*AK172</f>
        <v/>
      </c>
      <c r="AL173">
        <f>$C173*AL172</f>
        <v/>
      </c>
      <c r="AM173">
        <f>$C173*AM172</f>
        <v/>
      </c>
      <c r="AN173">
        <f>$C173*AN172</f>
        <v/>
      </c>
      <c r="AO173">
        <f>$C173*AO172</f>
        <v/>
      </c>
      <c r="AP173">
        <f>$C173*AP172</f>
        <v/>
      </c>
      <c r="AQ173">
        <f>$C173*AQ172</f>
        <v/>
      </c>
      <c r="AR173">
        <f>$C173*AR172</f>
        <v/>
      </c>
      <c r="AS173">
        <f>$C173*AS172</f>
        <v/>
      </c>
      <c r="AT173">
        <f>$C173*AT172</f>
        <v/>
      </c>
      <c r="AU173">
        <f>$C173*AU172</f>
        <v/>
      </c>
      <c r="AV173">
        <f>$C173*AV172</f>
        <v/>
      </c>
      <c r="AW173">
        <f>$C173*AW172</f>
        <v/>
      </c>
      <c r="AX173">
        <f>$C173*AX172</f>
        <v/>
      </c>
      <c r="AY173">
        <f>$C173*AY172</f>
        <v/>
      </c>
      <c r="AZ173">
        <f>$C173*AZ172</f>
        <v/>
      </c>
      <c r="BA173">
        <f>$C173*BA172</f>
        <v/>
      </c>
      <c r="BB173">
        <f>$C173*BB172</f>
        <v/>
      </c>
      <c r="BC173">
        <f>$C173*BC172</f>
        <v/>
      </c>
      <c r="BD173">
        <f>$C173*BD172</f>
        <v/>
      </c>
      <c r="BE173">
        <f>$C173*BE172</f>
        <v/>
      </c>
      <c r="BF173">
        <f>$C173*BF172</f>
        <v/>
      </c>
      <c r="BG173">
        <f>$C173*BG172</f>
        <v/>
      </c>
      <c r="BH173">
        <f>$C173*BH172</f>
        <v/>
      </c>
      <c r="BI173">
        <f>$C173*BI172</f>
        <v/>
      </c>
      <c r="BJ173">
        <f>$C173*BJ172</f>
        <v/>
      </c>
      <c r="BK173">
        <f>$C173*BK172</f>
        <v/>
      </c>
      <c r="BL173">
        <f>$C173*BL172</f>
        <v/>
      </c>
      <c r="BM173">
        <f>$C173*BM172</f>
        <v/>
      </c>
      <c r="BN173">
        <f>$C173*BN172</f>
        <v/>
      </c>
      <c r="BO173">
        <f>$C173*BO172</f>
        <v/>
      </c>
      <c r="BP173">
        <f>$C173*BP172</f>
        <v/>
      </c>
      <c r="BQ173">
        <f>$C173*BQ172</f>
        <v/>
      </c>
      <c r="BR173">
        <f>$C173*BR172</f>
        <v/>
      </c>
      <c r="BS173">
        <f>$C173*BS172</f>
        <v/>
      </c>
      <c r="BT173">
        <f>$C173*BT172</f>
        <v/>
      </c>
      <c r="BU173">
        <f>$C173*BU172</f>
        <v/>
      </c>
      <c r="BV173">
        <f>$C173*BV172</f>
        <v/>
      </c>
      <c r="BW173">
        <f>$C173*BW172</f>
        <v/>
      </c>
      <c r="BX173">
        <f>$C173*BX172</f>
        <v/>
      </c>
      <c r="BY173">
        <f>$C173*BY172</f>
        <v/>
      </c>
      <c r="BZ173">
        <f>$C173*BZ172</f>
        <v/>
      </c>
      <c r="CA173">
        <f>$C173*CA172</f>
        <v/>
      </c>
      <c r="CB173">
        <f>$C173*CB172</f>
        <v/>
      </c>
      <c r="CC173">
        <f>$C173*CC172</f>
        <v/>
      </c>
      <c r="CD173">
        <f>$C173*CD172</f>
        <v/>
      </c>
      <c r="CE173">
        <f>$C173*CE172</f>
        <v/>
      </c>
      <c r="CF173">
        <f>$C173*CF172</f>
        <v/>
      </c>
      <c r="CG173">
        <f>$C173*CG172</f>
        <v/>
      </c>
      <c r="CH173">
        <f>$C173*CH172</f>
        <v/>
      </c>
      <c r="CI173">
        <f>$C173*CI172</f>
        <v/>
      </c>
      <c r="CJ173">
        <f>$C173*CJ172</f>
        <v/>
      </c>
      <c r="CK173">
        <f>$C173*CK172</f>
        <v/>
      </c>
      <c r="CL173">
        <f>$C173*CL172</f>
        <v/>
      </c>
      <c r="CM173">
        <f>$C173*CM172</f>
        <v/>
      </c>
      <c r="CN173">
        <f>$C173*CN172</f>
        <v/>
      </c>
      <c r="CO173">
        <f>$C173*CO172</f>
        <v/>
      </c>
      <c r="CP173">
        <f>$C173*CP172</f>
        <v/>
      </c>
      <c r="CQ173">
        <f>$C173*CQ172</f>
        <v/>
      </c>
      <c r="CR173">
        <f>$C173*CR172</f>
        <v/>
      </c>
      <c r="CS173">
        <f>$C173*CS172</f>
        <v/>
      </c>
      <c r="CT173">
        <f>$C173*CT172</f>
        <v/>
      </c>
      <c r="CU173">
        <f>$C173*CU172</f>
        <v/>
      </c>
      <c r="CV173">
        <f>$C173*CV172</f>
        <v/>
      </c>
      <c r="CW173">
        <f>$C173*CW172</f>
        <v/>
      </c>
      <c r="CX173">
        <f>$C173*CX172</f>
        <v/>
      </c>
      <c r="CY173">
        <f>$C173*CY172</f>
        <v/>
      </c>
      <c r="CZ173">
        <f>$C173*CZ172</f>
        <v/>
      </c>
      <c r="DA173">
        <f>$C173*DA172</f>
        <v/>
      </c>
      <c r="DB173">
        <f>$C173*DB172</f>
        <v/>
      </c>
      <c r="DC173">
        <f>$C173*DC172</f>
        <v/>
      </c>
    </row>
    <row r="174">
      <c r="B174" t="inlineStr">
        <is>
          <t>VSP-604</t>
        </is>
      </c>
      <c r="C174" t="inlineStr">
        <is>
          <t>No. of batches</t>
        </is>
      </c>
      <c r="D174">
        <f>IFERROR(INDEX(PP_Grid[#Data],$DD174,2),0)</f>
        <v/>
      </c>
      <c r="E174">
        <f>IFERROR(INDEX(PP_Grid[#Data],$DD174,3),0)</f>
        <v/>
      </c>
      <c r="F174">
        <f>IFERROR(INDEX(PP_Grid[#Data],$DD174,4),0)</f>
        <v/>
      </c>
      <c r="G174">
        <f>IFERROR(INDEX(PP_Grid[#Data],$DD174,5),0)</f>
        <v/>
      </c>
      <c r="H174">
        <f>IFERROR(INDEX(PP_Grid[#Data],$DD174,6),0)</f>
        <v/>
      </c>
      <c r="I174">
        <f>IFERROR(INDEX(PP_Grid[#Data],$DD174,7),0)</f>
        <v/>
      </c>
      <c r="J174">
        <f>IFERROR(INDEX(PP_Grid[#Data],$DD174,8),0)</f>
        <v/>
      </c>
      <c r="K174">
        <f>IFERROR(INDEX(PP_Grid[#Data],$DD174,9),0)</f>
        <v/>
      </c>
      <c r="L174">
        <f>IFERROR(INDEX(PP_Grid[#Data],$DD174,10),0)</f>
        <v/>
      </c>
      <c r="M174">
        <f>IFERROR(INDEX(PP_Grid[#Data],$DD174,11),0)</f>
        <v/>
      </c>
      <c r="N174">
        <f>IFERROR(INDEX(PP_Grid[#Data],$DD174,12),0)</f>
        <v/>
      </c>
      <c r="O174">
        <f>IFERROR(INDEX(PP_Grid[#Data],$DD174,13),0)</f>
        <v/>
      </c>
      <c r="P174">
        <f>IFERROR(INDEX(PP_Grid[#Data],$DD174,14),0)</f>
        <v/>
      </c>
      <c r="Q174">
        <f>IFERROR(INDEX(PP_Grid[#Data],$DD174,15),0)</f>
        <v/>
      </c>
      <c r="R174">
        <f>IFERROR(INDEX(PP_Grid[#Data],$DD174,16),0)</f>
        <v/>
      </c>
      <c r="S174">
        <f>IFERROR(INDEX(PP_Grid[#Data],$DD174,17),0)</f>
        <v/>
      </c>
      <c r="T174">
        <f>IFERROR(INDEX(PP_Grid[#Data],$DD174,18),0)</f>
        <v/>
      </c>
      <c r="U174">
        <f>IFERROR(INDEX(PP_Grid[#Data],$DD174,19),0)</f>
        <v/>
      </c>
      <c r="V174">
        <f>IFERROR(INDEX(PP_Grid[#Data],$DD174,20),0)</f>
        <v/>
      </c>
      <c r="W174">
        <f>IFERROR(INDEX(PP_Grid[#Data],$DD174,21),0)</f>
        <v/>
      </c>
      <c r="X174">
        <f>IFERROR(INDEX(PP_Grid[#Data],$DD174,22),0)</f>
        <v/>
      </c>
      <c r="Y174">
        <f>IFERROR(INDEX(PP_Grid[#Data],$DD174,23),0)</f>
        <v/>
      </c>
      <c r="Z174">
        <f>IFERROR(INDEX(PP_Grid[#Data],$DD174,24),0)</f>
        <v/>
      </c>
      <c r="AA174">
        <f>IFERROR(INDEX(PP_Grid[#Data],$DD174,25),0)</f>
        <v/>
      </c>
      <c r="AB174">
        <f>IFERROR(INDEX(PP_Grid[#Data],$DD174,26),0)</f>
        <v/>
      </c>
      <c r="AC174">
        <f>IFERROR(INDEX(PP_Grid[#Data],$DD174,27),0)</f>
        <v/>
      </c>
      <c r="AD174">
        <f>IFERROR(INDEX(PP_Grid[#Data],$DD174,28),0)</f>
        <v/>
      </c>
      <c r="AE174">
        <f>IFERROR(INDEX(PP_Grid[#Data],$DD174,29),0)</f>
        <v/>
      </c>
      <c r="AF174">
        <f>IFERROR(INDEX(PP_Grid[#Data],$DD174,30),0)</f>
        <v/>
      </c>
      <c r="AG174">
        <f>IFERROR(INDEX(PP_Grid[#Data],$DD174,31),0)</f>
        <v/>
      </c>
      <c r="AH174">
        <f>IFERROR(INDEX(PP_Grid[#Data],$DD174,32),0)</f>
        <v/>
      </c>
      <c r="AI174">
        <f>IFERROR(INDEX(PP_Grid[#Data],$DD174,33),0)</f>
        <v/>
      </c>
      <c r="AJ174">
        <f>IFERROR(INDEX(PP_Grid[#Data],$DD174,34),0)</f>
        <v/>
      </c>
      <c r="AK174">
        <f>IFERROR(INDEX(PP_Grid[#Data],$DD174,35),0)</f>
        <v/>
      </c>
      <c r="AL174">
        <f>IFERROR(INDEX(PP_Grid[#Data],$DD174,36),0)</f>
        <v/>
      </c>
      <c r="AM174">
        <f>IFERROR(INDEX(PP_Grid[#Data],$DD174,37),0)</f>
        <v/>
      </c>
      <c r="AN174">
        <f>IFERROR(INDEX(PP_Grid[#Data],$DD174,38),0)</f>
        <v/>
      </c>
      <c r="AO174">
        <f>IFERROR(INDEX(PP_Grid[#Data],$DD174,39),0)</f>
        <v/>
      </c>
      <c r="AP174">
        <f>IFERROR(INDEX(PP_Grid[#Data],$DD174,40),0)</f>
        <v/>
      </c>
      <c r="AQ174">
        <f>IFERROR(INDEX(PP_Grid[#Data],$DD174,41),0)</f>
        <v/>
      </c>
      <c r="AR174">
        <f>IFERROR(INDEX(PP_Grid[#Data],$DD174,42),0)</f>
        <v/>
      </c>
      <c r="AS174">
        <f>IFERROR(INDEX(PP_Grid[#Data],$DD174,43),0)</f>
        <v/>
      </c>
      <c r="AT174">
        <f>IFERROR(INDEX(PP_Grid[#Data],$DD174,44),0)</f>
        <v/>
      </c>
      <c r="AU174">
        <f>IFERROR(INDEX(PP_Grid[#Data],$DD174,45),0)</f>
        <v/>
      </c>
      <c r="AV174">
        <f>IFERROR(INDEX(PP_Grid[#Data],$DD174,46),0)</f>
        <v/>
      </c>
      <c r="AW174">
        <f>IFERROR(INDEX(PP_Grid[#Data],$DD174,47),0)</f>
        <v/>
      </c>
      <c r="AX174">
        <f>IFERROR(INDEX(PP_Grid[#Data],$DD174,48),0)</f>
        <v/>
      </c>
      <c r="AY174">
        <f>IFERROR(INDEX(PP_Grid[#Data],$DD174,49),0)</f>
        <v/>
      </c>
      <c r="AZ174">
        <f>IFERROR(INDEX(PP_Grid[#Data],$DD174,50),0)</f>
        <v/>
      </c>
      <c r="BA174">
        <f>IFERROR(INDEX(PP_Grid[#Data],$DD174,51),0)</f>
        <v/>
      </c>
      <c r="BB174">
        <f>IFERROR(INDEX(PP_Grid[#Data],$DD174,52),0)</f>
        <v/>
      </c>
      <c r="BC174">
        <f>IFERROR(INDEX(PP_Grid[#Data],$DD174,53),0)</f>
        <v/>
      </c>
      <c r="BD174">
        <f>IFERROR(INDEX(PP_Grid[#Data],$DD174,54),0)</f>
        <v/>
      </c>
      <c r="BE174">
        <f>IFERROR(INDEX(PP_Grid[#Data],$DD174,55),0)</f>
        <v/>
      </c>
      <c r="BF174">
        <f>IFERROR(INDEX(PP_Grid[#Data],$DD174,56),0)</f>
        <v/>
      </c>
      <c r="BG174">
        <f>IFERROR(INDEX(PP_Grid[#Data],$DD174,57),0)</f>
        <v/>
      </c>
      <c r="BH174">
        <f>IFERROR(INDEX(PP_Grid[#Data],$DD174,58),0)</f>
        <v/>
      </c>
      <c r="BI174">
        <f>IFERROR(INDEX(PP_Grid[#Data],$DD174,59),0)</f>
        <v/>
      </c>
      <c r="BJ174">
        <f>IFERROR(INDEX(PP_Grid[#Data],$DD174,60),0)</f>
        <v/>
      </c>
      <c r="BK174">
        <f>IFERROR(INDEX(PP_Grid[#Data],$DD174,61),0)</f>
        <v/>
      </c>
      <c r="BL174">
        <f>IFERROR(INDEX(PP_Grid[#Data],$DD174,62),0)</f>
        <v/>
      </c>
      <c r="BM174">
        <f>IFERROR(INDEX(PP_Grid[#Data],$DD174,63),0)</f>
        <v/>
      </c>
      <c r="BN174">
        <f>IFERROR(INDEX(PP_Grid[#Data],$DD174,64),0)</f>
        <v/>
      </c>
      <c r="BO174">
        <f>IFERROR(INDEX(PP_Grid[#Data],$DD174,65),0)</f>
        <v/>
      </c>
      <c r="BP174">
        <f>IFERROR(INDEX(PP_Grid[#Data],$DD174,66),0)</f>
        <v/>
      </c>
      <c r="BQ174">
        <f>IFERROR(INDEX(PP_Grid[#Data],$DD174,67),0)</f>
        <v/>
      </c>
      <c r="BR174">
        <f>IFERROR(INDEX(PP_Grid[#Data],$DD174,68),0)</f>
        <v/>
      </c>
      <c r="BS174">
        <f>IFERROR(INDEX(PP_Grid[#Data],$DD174,69),0)</f>
        <v/>
      </c>
      <c r="BT174">
        <f>IFERROR(INDEX(PP_Grid[#Data],$DD174,70),0)</f>
        <v/>
      </c>
      <c r="BU174">
        <f>IFERROR(INDEX(PP_Grid[#Data],$DD174,71),0)</f>
        <v/>
      </c>
      <c r="BV174">
        <f>IFERROR(INDEX(PP_Grid[#Data],$DD174,72),0)</f>
        <v/>
      </c>
      <c r="BW174">
        <f>IFERROR(INDEX(PP_Grid[#Data],$DD174,73),0)</f>
        <v/>
      </c>
      <c r="BX174">
        <f>IFERROR(INDEX(PP_Grid[#Data],$DD174,74),0)</f>
        <v/>
      </c>
      <c r="BY174">
        <f>IFERROR(INDEX(PP_Grid[#Data],$DD174,75),0)</f>
        <v/>
      </c>
      <c r="BZ174">
        <f>IFERROR(INDEX(PP_Grid[#Data],$DD174,76),0)</f>
        <v/>
      </c>
      <c r="CA174">
        <f>IFERROR(INDEX(PP_Grid[#Data],$DD174,77),0)</f>
        <v/>
      </c>
      <c r="CB174">
        <f>IFERROR(INDEX(PP_Grid[#Data],$DD174,78),0)</f>
        <v/>
      </c>
      <c r="CC174">
        <f>IFERROR(INDEX(PP_Grid[#Data],$DD174,79),0)</f>
        <v/>
      </c>
      <c r="CD174">
        <f>IFERROR(INDEX(PP_Grid[#Data],$DD174,80),0)</f>
        <v/>
      </c>
      <c r="CE174">
        <f>IFERROR(INDEX(PP_Grid[#Data],$DD174,81),0)</f>
        <v/>
      </c>
      <c r="CF174">
        <f>IFERROR(INDEX(PP_Grid[#Data],$DD174,82),0)</f>
        <v/>
      </c>
      <c r="CG174">
        <f>IFERROR(INDEX(PP_Grid[#Data],$DD174,83),0)</f>
        <v/>
      </c>
      <c r="CH174">
        <f>IFERROR(INDEX(PP_Grid[#Data],$DD174,84),0)</f>
        <v/>
      </c>
      <c r="CI174">
        <f>IFERROR(INDEX(PP_Grid[#Data],$DD174,85),0)</f>
        <v/>
      </c>
      <c r="CJ174">
        <f>IFERROR(INDEX(PP_Grid[#Data],$DD174,86),0)</f>
        <v/>
      </c>
      <c r="CK174">
        <f>IFERROR(INDEX(PP_Grid[#Data],$DD174,87),0)</f>
        <v/>
      </c>
      <c r="CL174">
        <f>IFERROR(INDEX(PP_Grid[#Data],$DD174,88),0)</f>
        <v/>
      </c>
      <c r="CM174">
        <f>IFERROR(INDEX(PP_Grid[#Data],$DD174,89),0)</f>
        <v/>
      </c>
      <c r="CN174">
        <f>IFERROR(INDEX(PP_Grid[#Data],$DD174,90),0)</f>
        <v/>
      </c>
      <c r="CO174">
        <f>IFERROR(INDEX(PP_Grid[#Data],$DD174,91),0)</f>
        <v/>
      </c>
      <c r="CP174">
        <f>IFERROR(INDEX(PP_Grid[#Data],$DD174,92),0)</f>
        <v/>
      </c>
      <c r="CQ174">
        <f>IFERROR(INDEX(PP_Grid[#Data],$DD174,93),0)</f>
        <v/>
      </c>
      <c r="CR174">
        <f>IFERROR(INDEX(PP_Grid[#Data],$DD174,94),0)</f>
        <v/>
      </c>
      <c r="CS174">
        <f>IFERROR(INDEX(PP_Grid[#Data],$DD174,95),0)</f>
        <v/>
      </c>
      <c r="CT174">
        <f>IFERROR(INDEX(PP_Grid[#Data],$DD174,96),0)</f>
        <v/>
      </c>
      <c r="CU174">
        <f>IFERROR(INDEX(PP_Grid[#Data],$DD174,97),0)</f>
        <v/>
      </c>
      <c r="CV174">
        <f>IFERROR(INDEX(PP_Grid[#Data],$DD174,98),0)</f>
        <v/>
      </c>
      <c r="CW174">
        <f>IFERROR(INDEX(PP_Grid[#Data],$DD174,99),0)</f>
        <v/>
      </c>
      <c r="CX174">
        <f>IFERROR(INDEX(PP_Grid[#Data],$DD174,100),0)</f>
        <v/>
      </c>
      <c r="CY174">
        <f>IFERROR(INDEX(PP_Grid[#Data],$DD174,101),0)</f>
        <v/>
      </c>
      <c r="CZ174">
        <f>IFERROR(INDEX(PP_Grid[#Data],$DD174,102),0)</f>
        <v/>
      </c>
      <c r="DA174">
        <f>IFERROR(INDEX(PP_Grid[#Data],$DD174,103),0)</f>
        <v/>
      </c>
      <c r="DB174">
        <f>IFERROR(INDEX(PP_Grid[#Data],$DD174,104),0)</f>
        <v/>
      </c>
      <c r="DC174">
        <f>IFERROR(INDEX(PP_Grid[#Data],$DD174,105),0)</f>
        <v/>
      </c>
      <c r="DD174" s="12">
        <f>IFERROR(MATCH($B174,PP_Grid[Intermediate],0),99999)</f>
        <v/>
      </c>
    </row>
    <row r="175">
      <c r="B175" t="inlineStr">
        <is>
          <t>使用量(kg)</t>
        </is>
      </c>
      <c r="C175">
        <f>SUMIFS(M_BOM[RM_Qty_Per_Batch],M_BOM[Intermediate],$B174,M_BOM[Part Name],$A45)</f>
        <v/>
      </c>
      <c r="D175">
        <f>$C175*D174</f>
        <v/>
      </c>
      <c r="E175">
        <f>$C175*E174</f>
        <v/>
      </c>
      <c r="F175">
        <f>$C175*F174</f>
        <v/>
      </c>
      <c r="G175">
        <f>$C175*G174</f>
        <v/>
      </c>
      <c r="H175">
        <f>$C175*H174</f>
        <v/>
      </c>
      <c r="I175">
        <f>$C175*I174</f>
        <v/>
      </c>
      <c r="J175">
        <f>$C175*J174</f>
        <v/>
      </c>
      <c r="K175">
        <f>$C175*K174</f>
        <v/>
      </c>
      <c r="L175">
        <f>$C175*L174</f>
        <v/>
      </c>
      <c r="M175">
        <f>$C175*M174</f>
        <v/>
      </c>
      <c r="N175">
        <f>$C175*N174</f>
        <v/>
      </c>
      <c r="O175">
        <f>$C175*O174</f>
        <v/>
      </c>
      <c r="P175">
        <f>$C175*P174</f>
        <v/>
      </c>
      <c r="Q175">
        <f>$C175*Q174</f>
        <v/>
      </c>
      <c r="R175">
        <f>$C175*R174</f>
        <v/>
      </c>
      <c r="S175">
        <f>$C175*S174</f>
        <v/>
      </c>
      <c r="T175">
        <f>$C175*T174</f>
        <v/>
      </c>
      <c r="U175">
        <f>$C175*U174</f>
        <v/>
      </c>
      <c r="V175">
        <f>$C175*V174</f>
        <v/>
      </c>
      <c r="W175">
        <f>$C175*W174</f>
        <v/>
      </c>
      <c r="X175">
        <f>$C175*X174</f>
        <v/>
      </c>
      <c r="Y175">
        <f>$C175*Y174</f>
        <v/>
      </c>
      <c r="Z175">
        <f>$C175*Z174</f>
        <v/>
      </c>
      <c r="AA175">
        <f>$C175*AA174</f>
        <v/>
      </c>
      <c r="AB175">
        <f>$C175*AB174</f>
        <v/>
      </c>
      <c r="AC175">
        <f>$C175*AC174</f>
        <v/>
      </c>
      <c r="AD175">
        <f>$C175*AD174</f>
        <v/>
      </c>
      <c r="AE175">
        <f>$C175*AE174</f>
        <v/>
      </c>
      <c r="AF175">
        <f>$C175*AF174</f>
        <v/>
      </c>
      <c r="AG175">
        <f>$C175*AG174</f>
        <v/>
      </c>
      <c r="AH175">
        <f>$C175*AH174</f>
        <v/>
      </c>
      <c r="AI175">
        <f>$C175*AI174</f>
        <v/>
      </c>
      <c r="AJ175">
        <f>$C175*AJ174</f>
        <v/>
      </c>
      <c r="AK175">
        <f>$C175*AK174</f>
        <v/>
      </c>
      <c r="AL175">
        <f>$C175*AL174</f>
        <v/>
      </c>
      <c r="AM175">
        <f>$C175*AM174</f>
        <v/>
      </c>
      <c r="AN175">
        <f>$C175*AN174</f>
        <v/>
      </c>
      <c r="AO175">
        <f>$C175*AO174</f>
        <v/>
      </c>
      <c r="AP175">
        <f>$C175*AP174</f>
        <v/>
      </c>
      <c r="AQ175">
        <f>$C175*AQ174</f>
        <v/>
      </c>
      <c r="AR175">
        <f>$C175*AR174</f>
        <v/>
      </c>
      <c r="AS175">
        <f>$C175*AS174</f>
        <v/>
      </c>
      <c r="AT175">
        <f>$C175*AT174</f>
        <v/>
      </c>
      <c r="AU175">
        <f>$C175*AU174</f>
        <v/>
      </c>
      <c r="AV175">
        <f>$C175*AV174</f>
        <v/>
      </c>
      <c r="AW175">
        <f>$C175*AW174</f>
        <v/>
      </c>
      <c r="AX175">
        <f>$C175*AX174</f>
        <v/>
      </c>
      <c r="AY175">
        <f>$C175*AY174</f>
        <v/>
      </c>
      <c r="AZ175">
        <f>$C175*AZ174</f>
        <v/>
      </c>
      <c r="BA175">
        <f>$C175*BA174</f>
        <v/>
      </c>
      <c r="BB175">
        <f>$C175*BB174</f>
        <v/>
      </c>
      <c r="BC175">
        <f>$C175*BC174</f>
        <v/>
      </c>
      <c r="BD175">
        <f>$C175*BD174</f>
        <v/>
      </c>
      <c r="BE175">
        <f>$C175*BE174</f>
        <v/>
      </c>
      <c r="BF175">
        <f>$C175*BF174</f>
        <v/>
      </c>
      <c r="BG175">
        <f>$C175*BG174</f>
        <v/>
      </c>
      <c r="BH175">
        <f>$C175*BH174</f>
        <v/>
      </c>
      <c r="BI175">
        <f>$C175*BI174</f>
        <v/>
      </c>
      <c r="BJ175">
        <f>$C175*BJ174</f>
        <v/>
      </c>
      <c r="BK175">
        <f>$C175*BK174</f>
        <v/>
      </c>
      <c r="BL175">
        <f>$C175*BL174</f>
        <v/>
      </c>
      <c r="BM175">
        <f>$C175*BM174</f>
        <v/>
      </c>
      <c r="BN175">
        <f>$C175*BN174</f>
        <v/>
      </c>
      <c r="BO175">
        <f>$C175*BO174</f>
        <v/>
      </c>
      <c r="BP175">
        <f>$C175*BP174</f>
        <v/>
      </c>
      <c r="BQ175">
        <f>$C175*BQ174</f>
        <v/>
      </c>
      <c r="BR175">
        <f>$C175*BR174</f>
        <v/>
      </c>
      <c r="BS175">
        <f>$C175*BS174</f>
        <v/>
      </c>
      <c r="BT175">
        <f>$C175*BT174</f>
        <v/>
      </c>
      <c r="BU175">
        <f>$C175*BU174</f>
        <v/>
      </c>
      <c r="BV175">
        <f>$C175*BV174</f>
        <v/>
      </c>
      <c r="BW175">
        <f>$C175*BW174</f>
        <v/>
      </c>
      <c r="BX175">
        <f>$C175*BX174</f>
        <v/>
      </c>
      <c r="BY175">
        <f>$C175*BY174</f>
        <v/>
      </c>
      <c r="BZ175">
        <f>$C175*BZ174</f>
        <v/>
      </c>
      <c r="CA175">
        <f>$C175*CA174</f>
        <v/>
      </c>
      <c r="CB175">
        <f>$C175*CB174</f>
        <v/>
      </c>
      <c r="CC175">
        <f>$C175*CC174</f>
        <v/>
      </c>
      <c r="CD175">
        <f>$C175*CD174</f>
        <v/>
      </c>
      <c r="CE175">
        <f>$C175*CE174</f>
        <v/>
      </c>
      <c r="CF175">
        <f>$C175*CF174</f>
        <v/>
      </c>
      <c r="CG175">
        <f>$C175*CG174</f>
        <v/>
      </c>
      <c r="CH175">
        <f>$C175*CH174</f>
        <v/>
      </c>
      <c r="CI175">
        <f>$C175*CI174</f>
        <v/>
      </c>
      <c r="CJ175">
        <f>$C175*CJ174</f>
        <v/>
      </c>
      <c r="CK175">
        <f>$C175*CK174</f>
        <v/>
      </c>
      <c r="CL175">
        <f>$C175*CL174</f>
        <v/>
      </c>
      <c r="CM175">
        <f>$C175*CM174</f>
        <v/>
      </c>
      <c r="CN175">
        <f>$C175*CN174</f>
        <v/>
      </c>
      <c r="CO175">
        <f>$C175*CO174</f>
        <v/>
      </c>
      <c r="CP175">
        <f>$C175*CP174</f>
        <v/>
      </c>
      <c r="CQ175">
        <f>$C175*CQ174</f>
        <v/>
      </c>
      <c r="CR175">
        <f>$C175*CR174</f>
        <v/>
      </c>
      <c r="CS175">
        <f>$C175*CS174</f>
        <v/>
      </c>
      <c r="CT175">
        <f>$C175*CT174</f>
        <v/>
      </c>
      <c r="CU175">
        <f>$C175*CU174</f>
        <v/>
      </c>
      <c r="CV175">
        <f>$C175*CV174</f>
        <v/>
      </c>
      <c r="CW175">
        <f>$C175*CW174</f>
        <v/>
      </c>
      <c r="CX175">
        <f>$C175*CX174</f>
        <v/>
      </c>
      <c r="CY175">
        <f>$C175*CY174</f>
        <v/>
      </c>
      <c r="CZ175">
        <f>$C175*CZ174</f>
        <v/>
      </c>
      <c r="DA175">
        <f>$C175*DA174</f>
        <v/>
      </c>
      <c r="DB175">
        <f>$C175*DB174</f>
        <v/>
      </c>
      <c r="DC175">
        <f>$C175*DC174</f>
        <v/>
      </c>
    </row>
    <row r="176">
      <c r="B176" t="inlineStr">
        <is>
          <t>VSP-605</t>
        </is>
      </c>
      <c r="C176" t="inlineStr">
        <is>
          <t>No. of batches</t>
        </is>
      </c>
      <c r="D176">
        <f>IFERROR(INDEX(PP_Grid[#Data],$DD176,2),0)</f>
        <v/>
      </c>
      <c r="E176">
        <f>IFERROR(INDEX(PP_Grid[#Data],$DD176,3),0)</f>
        <v/>
      </c>
      <c r="F176">
        <f>IFERROR(INDEX(PP_Grid[#Data],$DD176,4),0)</f>
        <v/>
      </c>
      <c r="G176">
        <f>IFERROR(INDEX(PP_Grid[#Data],$DD176,5),0)</f>
        <v/>
      </c>
      <c r="H176">
        <f>IFERROR(INDEX(PP_Grid[#Data],$DD176,6),0)</f>
        <v/>
      </c>
      <c r="I176">
        <f>IFERROR(INDEX(PP_Grid[#Data],$DD176,7),0)</f>
        <v/>
      </c>
      <c r="J176">
        <f>IFERROR(INDEX(PP_Grid[#Data],$DD176,8),0)</f>
        <v/>
      </c>
      <c r="K176">
        <f>IFERROR(INDEX(PP_Grid[#Data],$DD176,9),0)</f>
        <v/>
      </c>
      <c r="L176">
        <f>IFERROR(INDEX(PP_Grid[#Data],$DD176,10),0)</f>
        <v/>
      </c>
      <c r="M176">
        <f>IFERROR(INDEX(PP_Grid[#Data],$DD176,11),0)</f>
        <v/>
      </c>
      <c r="N176">
        <f>IFERROR(INDEX(PP_Grid[#Data],$DD176,12),0)</f>
        <v/>
      </c>
      <c r="O176">
        <f>IFERROR(INDEX(PP_Grid[#Data],$DD176,13),0)</f>
        <v/>
      </c>
      <c r="P176">
        <f>IFERROR(INDEX(PP_Grid[#Data],$DD176,14),0)</f>
        <v/>
      </c>
      <c r="Q176">
        <f>IFERROR(INDEX(PP_Grid[#Data],$DD176,15),0)</f>
        <v/>
      </c>
      <c r="R176">
        <f>IFERROR(INDEX(PP_Grid[#Data],$DD176,16),0)</f>
        <v/>
      </c>
      <c r="S176">
        <f>IFERROR(INDEX(PP_Grid[#Data],$DD176,17),0)</f>
        <v/>
      </c>
      <c r="T176">
        <f>IFERROR(INDEX(PP_Grid[#Data],$DD176,18),0)</f>
        <v/>
      </c>
      <c r="U176">
        <f>IFERROR(INDEX(PP_Grid[#Data],$DD176,19),0)</f>
        <v/>
      </c>
      <c r="V176">
        <f>IFERROR(INDEX(PP_Grid[#Data],$DD176,20),0)</f>
        <v/>
      </c>
      <c r="W176">
        <f>IFERROR(INDEX(PP_Grid[#Data],$DD176,21),0)</f>
        <v/>
      </c>
      <c r="X176">
        <f>IFERROR(INDEX(PP_Grid[#Data],$DD176,22),0)</f>
        <v/>
      </c>
      <c r="Y176">
        <f>IFERROR(INDEX(PP_Grid[#Data],$DD176,23),0)</f>
        <v/>
      </c>
      <c r="Z176">
        <f>IFERROR(INDEX(PP_Grid[#Data],$DD176,24),0)</f>
        <v/>
      </c>
      <c r="AA176">
        <f>IFERROR(INDEX(PP_Grid[#Data],$DD176,25),0)</f>
        <v/>
      </c>
      <c r="AB176">
        <f>IFERROR(INDEX(PP_Grid[#Data],$DD176,26),0)</f>
        <v/>
      </c>
      <c r="AC176">
        <f>IFERROR(INDEX(PP_Grid[#Data],$DD176,27),0)</f>
        <v/>
      </c>
      <c r="AD176">
        <f>IFERROR(INDEX(PP_Grid[#Data],$DD176,28),0)</f>
        <v/>
      </c>
      <c r="AE176">
        <f>IFERROR(INDEX(PP_Grid[#Data],$DD176,29),0)</f>
        <v/>
      </c>
      <c r="AF176">
        <f>IFERROR(INDEX(PP_Grid[#Data],$DD176,30),0)</f>
        <v/>
      </c>
      <c r="AG176">
        <f>IFERROR(INDEX(PP_Grid[#Data],$DD176,31),0)</f>
        <v/>
      </c>
      <c r="AH176">
        <f>IFERROR(INDEX(PP_Grid[#Data],$DD176,32),0)</f>
        <v/>
      </c>
      <c r="AI176">
        <f>IFERROR(INDEX(PP_Grid[#Data],$DD176,33),0)</f>
        <v/>
      </c>
      <c r="AJ176">
        <f>IFERROR(INDEX(PP_Grid[#Data],$DD176,34),0)</f>
        <v/>
      </c>
      <c r="AK176">
        <f>IFERROR(INDEX(PP_Grid[#Data],$DD176,35),0)</f>
        <v/>
      </c>
      <c r="AL176">
        <f>IFERROR(INDEX(PP_Grid[#Data],$DD176,36),0)</f>
        <v/>
      </c>
      <c r="AM176">
        <f>IFERROR(INDEX(PP_Grid[#Data],$DD176,37),0)</f>
        <v/>
      </c>
      <c r="AN176">
        <f>IFERROR(INDEX(PP_Grid[#Data],$DD176,38),0)</f>
        <v/>
      </c>
      <c r="AO176">
        <f>IFERROR(INDEX(PP_Grid[#Data],$DD176,39),0)</f>
        <v/>
      </c>
      <c r="AP176">
        <f>IFERROR(INDEX(PP_Grid[#Data],$DD176,40),0)</f>
        <v/>
      </c>
      <c r="AQ176">
        <f>IFERROR(INDEX(PP_Grid[#Data],$DD176,41),0)</f>
        <v/>
      </c>
      <c r="AR176">
        <f>IFERROR(INDEX(PP_Grid[#Data],$DD176,42),0)</f>
        <v/>
      </c>
      <c r="AS176">
        <f>IFERROR(INDEX(PP_Grid[#Data],$DD176,43),0)</f>
        <v/>
      </c>
      <c r="AT176">
        <f>IFERROR(INDEX(PP_Grid[#Data],$DD176,44),0)</f>
        <v/>
      </c>
      <c r="AU176">
        <f>IFERROR(INDEX(PP_Grid[#Data],$DD176,45),0)</f>
        <v/>
      </c>
      <c r="AV176">
        <f>IFERROR(INDEX(PP_Grid[#Data],$DD176,46),0)</f>
        <v/>
      </c>
      <c r="AW176">
        <f>IFERROR(INDEX(PP_Grid[#Data],$DD176,47),0)</f>
        <v/>
      </c>
      <c r="AX176">
        <f>IFERROR(INDEX(PP_Grid[#Data],$DD176,48),0)</f>
        <v/>
      </c>
      <c r="AY176">
        <f>IFERROR(INDEX(PP_Grid[#Data],$DD176,49),0)</f>
        <v/>
      </c>
      <c r="AZ176">
        <f>IFERROR(INDEX(PP_Grid[#Data],$DD176,50),0)</f>
        <v/>
      </c>
      <c r="BA176">
        <f>IFERROR(INDEX(PP_Grid[#Data],$DD176,51),0)</f>
        <v/>
      </c>
      <c r="BB176">
        <f>IFERROR(INDEX(PP_Grid[#Data],$DD176,52),0)</f>
        <v/>
      </c>
      <c r="BC176">
        <f>IFERROR(INDEX(PP_Grid[#Data],$DD176,53),0)</f>
        <v/>
      </c>
      <c r="BD176">
        <f>IFERROR(INDEX(PP_Grid[#Data],$DD176,54),0)</f>
        <v/>
      </c>
      <c r="BE176">
        <f>IFERROR(INDEX(PP_Grid[#Data],$DD176,55),0)</f>
        <v/>
      </c>
      <c r="BF176">
        <f>IFERROR(INDEX(PP_Grid[#Data],$DD176,56),0)</f>
        <v/>
      </c>
      <c r="BG176">
        <f>IFERROR(INDEX(PP_Grid[#Data],$DD176,57),0)</f>
        <v/>
      </c>
      <c r="BH176">
        <f>IFERROR(INDEX(PP_Grid[#Data],$DD176,58),0)</f>
        <v/>
      </c>
      <c r="BI176">
        <f>IFERROR(INDEX(PP_Grid[#Data],$DD176,59),0)</f>
        <v/>
      </c>
      <c r="BJ176">
        <f>IFERROR(INDEX(PP_Grid[#Data],$DD176,60),0)</f>
        <v/>
      </c>
      <c r="BK176">
        <f>IFERROR(INDEX(PP_Grid[#Data],$DD176,61),0)</f>
        <v/>
      </c>
      <c r="BL176">
        <f>IFERROR(INDEX(PP_Grid[#Data],$DD176,62),0)</f>
        <v/>
      </c>
      <c r="BM176">
        <f>IFERROR(INDEX(PP_Grid[#Data],$DD176,63),0)</f>
        <v/>
      </c>
      <c r="BN176">
        <f>IFERROR(INDEX(PP_Grid[#Data],$DD176,64),0)</f>
        <v/>
      </c>
      <c r="BO176">
        <f>IFERROR(INDEX(PP_Grid[#Data],$DD176,65),0)</f>
        <v/>
      </c>
      <c r="BP176">
        <f>IFERROR(INDEX(PP_Grid[#Data],$DD176,66),0)</f>
        <v/>
      </c>
      <c r="BQ176">
        <f>IFERROR(INDEX(PP_Grid[#Data],$DD176,67),0)</f>
        <v/>
      </c>
      <c r="BR176">
        <f>IFERROR(INDEX(PP_Grid[#Data],$DD176,68),0)</f>
        <v/>
      </c>
      <c r="BS176">
        <f>IFERROR(INDEX(PP_Grid[#Data],$DD176,69),0)</f>
        <v/>
      </c>
      <c r="BT176">
        <f>IFERROR(INDEX(PP_Grid[#Data],$DD176,70),0)</f>
        <v/>
      </c>
      <c r="BU176">
        <f>IFERROR(INDEX(PP_Grid[#Data],$DD176,71),0)</f>
        <v/>
      </c>
      <c r="BV176">
        <f>IFERROR(INDEX(PP_Grid[#Data],$DD176,72),0)</f>
        <v/>
      </c>
      <c r="BW176">
        <f>IFERROR(INDEX(PP_Grid[#Data],$DD176,73),0)</f>
        <v/>
      </c>
      <c r="BX176">
        <f>IFERROR(INDEX(PP_Grid[#Data],$DD176,74),0)</f>
        <v/>
      </c>
      <c r="BY176">
        <f>IFERROR(INDEX(PP_Grid[#Data],$DD176,75),0)</f>
        <v/>
      </c>
      <c r="BZ176">
        <f>IFERROR(INDEX(PP_Grid[#Data],$DD176,76),0)</f>
        <v/>
      </c>
      <c r="CA176">
        <f>IFERROR(INDEX(PP_Grid[#Data],$DD176,77),0)</f>
        <v/>
      </c>
      <c r="CB176">
        <f>IFERROR(INDEX(PP_Grid[#Data],$DD176,78),0)</f>
        <v/>
      </c>
      <c r="CC176">
        <f>IFERROR(INDEX(PP_Grid[#Data],$DD176,79),0)</f>
        <v/>
      </c>
      <c r="CD176">
        <f>IFERROR(INDEX(PP_Grid[#Data],$DD176,80),0)</f>
        <v/>
      </c>
      <c r="CE176">
        <f>IFERROR(INDEX(PP_Grid[#Data],$DD176,81),0)</f>
        <v/>
      </c>
      <c r="CF176">
        <f>IFERROR(INDEX(PP_Grid[#Data],$DD176,82),0)</f>
        <v/>
      </c>
      <c r="CG176">
        <f>IFERROR(INDEX(PP_Grid[#Data],$DD176,83),0)</f>
        <v/>
      </c>
      <c r="CH176">
        <f>IFERROR(INDEX(PP_Grid[#Data],$DD176,84),0)</f>
        <v/>
      </c>
      <c r="CI176">
        <f>IFERROR(INDEX(PP_Grid[#Data],$DD176,85),0)</f>
        <v/>
      </c>
      <c r="CJ176">
        <f>IFERROR(INDEX(PP_Grid[#Data],$DD176,86),0)</f>
        <v/>
      </c>
      <c r="CK176">
        <f>IFERROR(INDEX(PP_Grid[#Data],$DD176,87),0)</f>
        <v/>
      </c>
      <c r="CL176">
        <f>IFERROR(INDEX(PP_Grid[#Data],$DD176,88),0)</f>
        <v/>
      </c>
      <c r="CM176">
        <f>IFERROR(INDEX(PP_Grid[#Data],$DD176,89),0)</f>
        <v/>
      </c>
      <c r="CN176">
        <f>IFERROR(INDEX(PP_Grid[#Data],$DD176,90),0)</f>
        <v/>
      </c>
      <c r="CO176">
        <f>IFERROR(INDEX(PP_Grid[#Data],$DD176,91),0)</f>
        <v/>
      </c>
      <c r="CP176">
        <f>IFERROR(INDEX(PP_Grid[#Data],$DD176,92),0)</f>
        <v/>
      </c>
      <c r="CQ176">
        <f>IFERROR(INDEX(PP_Grid[#Data],$DD176,93),0)</f>
        <v/>
      </c>
      <c r="CR176">
        <f>IFERROR(INDEX(PP_Grid[#Data],$DD176,94),0)</f>
        <v/>
      </c>
      <c r="CS176">
        <f>IFERROR(INDEX(PP_Grid[#Data],$DD176,95),0)</f>
        <v/>
      </c>
      <c r="CT176">
        <f>IFERROR(INDEX(PP_Grid[#Data],$DD176,96),0)</f>
        <v/>
      </c>
      <c r="CU176">
        <f>IFERROR(INDEX(PP_Grid[#Data],$DD176,97),0)</f>
        <v/>
      </c>
      <c r="CV176">
        <f>IFERROR(INDEX(PP_Grid[#Data],$DD176,98),0)</f>
        <v/>
      </c>
      <c r="CW176">
        <f>IFERROR(INDEX(PP_Grid[#Data],$DD176,99),0)</f>
        <v/>
      </c>
      <c r="CX176">
        <f>IFERROR(INDEX(PP_Grid[#Data],$DD176,100),0)</f>
        <v/>
      </c>
      <c r="CY176">
        <f>IFERROR(INDEX(PP_Grid[#Data],$DD176,101),0)</f>
        <v/>
      </c>
      <c r="CZ176">
        <f>IFERROR(INDEX(PP_Grid[#Data],$DD176,102),0)</f>
        <v/>
      </c>
      <c r="DA176">
        <f>IFERROR(INDEX(PP_Grid[#Data],$DD176,103),0)</f>
        <v/>
      </c>
      <c r="DB176">
        <f>IFERROR(INDEX(PP_Grid[#Data],$DD176,104),0)</f>
        <v/>
      </c>
      <c r="DC176">
        <f>IFERROR(INDEX(PP_Grid[#Data],$DD176,105),0)</f>
        <v/>
      </c>
      <c r="DD176" s="12">
        <f>IFERROR(MATCH($B176,PP_Grid[Intermediate],0),99999)</f>
        <v/>
      </c>
    </row>
    <row r="177">
      <c r="B177" t="inlineStr">
        <is>
          <t>使用量(kg)</t>
        </is>
      </c>
      <c r="C177">
        <f>SUMIFS(M_BOM[RM_Qty_Per_Batch],M_BOM[Intermediate],$B176,M_BOM[Part Name],$A45)</f>
        <v/>
      </c>
      <c r="D177">
        <f>$C177*D176</f>
        <v/>
      </c>
      <c r="E177">
        <f>$C177*E176</f>
        <v/>
      </c>
      <c r="F177">
        <f>$C177*F176</f>
        <v/>
      </c>
      <c r="G177">
        <f>$C177*G176</f>
        <v/>
      </c>
      <c r="H177">
        <f>$C177*H176</f>
        <v/>
      </c>
      <c r="I177">
        <f>$C177*I176</f>
        <v/>
      </c>
      <c r="J177">
        <f>$C177*J176</f>
        <v/>
      </c>
      <c r="K177">
        <f>$C177*K176</f>
        <v/>
      </c>
      <c r="L177">
        <f>$C177*L176</f>
        <v/>
      </c>
      <c r="M177">
        <f>$C177*M176</f>
        <v/>
      </c>
      <c r="N177">
        <f>$C177*N176</f>
        <v/>
      </c>
      <c r="O177">
        <f>$C177*O176</f>
        <v/>
      </c>
      <c r="P177">
        <f>$C177*P176</f>
        <v/>
      </c>
      <c r="Q177">
        <f>$C177*Q176</f>
        <v/>
      </c>
      <c r="R177">
        <f>$C177*R176</f>
        <v/>
      </c>
      <c r="S177">
        <f>$C177*S176</f>
        <v/>
      </c>
      <c r="T177">
        <f>$C177*T176</f>
        <v/>
      </c>
      <c r="U177">
        <f>$C177*U176</f>
        <v/>
      </c>
      <c r="V177">
        <f>$C177*V176</f>
        <v/>
      </c>
      <c r="W177">
        <f>$C177*W176</f>
        <v/>
      </c>
      <c r="X177">
        <f>$C177*X176</f>
        <v/>
      </c>
      <c r="Y177">
        <f>$C177*Y176</f>
        <v/>
      </c>
      <c r="Z177">
        <f>$C177*Z176</f>
        <v/>
      </c>
      <c r="AA177">
        <f>$C177*AA176</f>
        <v/>
      </c>
      <c r="AB177">
        <f>$C177*AB176</f>
        <v/>
      </c>
      <c r="AC177">
        <f>$C177*AC176</f>
        <v/>
      </c>
      <c r="AD177">
        <f>$C177*AD176</f>
        <v/>
      </c>
      <c r="AE177">
        <f>$C177*AE176</f>
        <v/>
      </c>
      <c r="AF177">
        <f>$C177*AF176</f>
        <v/>
      </c>
      <c r="AG177">
        <f>$C177*AG176</f>
        <v/>
      </c>
      <c r="AH177">
        <f>$C177*AH176</f>
        <v/>
      </c>
      <c r="AI177">
        <f>$C177*AI176</f>
        <v/>
      </c>
      <c r="AJ177">
        <f>$C177*AJ176</f>
        <v/>
      </c>
      <c r="AK177">
        <f>$C177*AK176</f>
        <v/>
      </c>
      <c r="AL177">
        <f>$C177*AL176</f>
        <v/>
      </c>
      <c r="AM177">
        <f>$C177*AM176</f>
        <v/>
      </c>
      <c r="AN177">
        <f>$C177*AN176</f>
        <v/>
      </c>
      <c r="AO177">
        <f>$C177*AO176</f>
        <v/>
      </c>
      <c r="AP177">
        <f>$C177*AP176</f>
        <v/>
      </c>
      <c r="AQ177">
        <f>$C177*AQ176</f>
        <v/>
      </c>
      <c r="AR177">
        <f>$C177*AR176</f>
        <v/>
      </c>
      <c r="AS177">
        <f>$C177*AS176</f>
        <v/>
      </c>
      <c r="AT177">
        <f>$C177*AT176</f>
        <v/>
      </c>
      <c r="AU177">
        <f>$C177*AU176</f>
        <v/>
      </c>
      <c r="AV177">
        <f>$C177*AV176</f>
        <v/>
      </c>
      <c r="AW177">
        <f>$C177*AW176</f>
        <v/>
      </c>
      <c r="AX177">
        <f>$C177*AX176</f>
        <v/>
      </c>
      <c r="AY177">
        <f>$C177*AY176</f>
        <v/>
      </c>
      <c r="AZ177">
        <f>$C177*AZ176</f>
        <v/>
      </c>
      <c r="BA177">
        <f>$C177*BA176</f>
        <v/>
      </c>
      <c r="BB177">
        <f>$C177*BB176</f>
        <v/>
      </c>
      <c r="BC177">
        <f>$C177*BC176</f>
        <v/>
      </c>
      <c r="BD177">
        <f>$C177*BD176</f>
        <v/>
      </c>
      <c r="BE177">
        <f>$C177*BE176</f>
        <v/>
      </c>
      <c r="BF177">
        <f>$C177*BF176</f>
        <v/>
      </c>
      <c r="BG177">
        <f>$C177*BG176</f>
        <v/>
      </c>
      <c r="BH177">
        <f>$C177*BH176</f>
        <v/>
      </c>
      <c r="BI177">
        <f>$C177*BI176</f>
        <v/>
      </c>
      <c r="BJ177">
        <f>$C177*BJ176</f>
        <v/>
      </c>
      <c r="BK177">
        <f>$C177*BK176</f>
        <v/>
      </c>
      <c r="BL177">
        <f>$C177*BL176</f>
        <v/>
      </c>
      <c r="BM177">
        <f>$C177*BM176</f>
        <v/>
      </c>
      <c r="BN177">
        <f>$C177*BN176</f>
        <v/>
      </c>
      <c r="BO177">
        <f>$C177*BO176</f>
        <v/>
      </c>
      <c r="BP177">
        <f>$C177*BP176</f>
        <v/>
      </c>
      <c r="BQ177">
        <f>$C177*BQ176</f>
        <v/>
      </c>
      <c r="BR177">
        <f>$C177*BR176</f>
        <v/>
      </c>
      <c r="BS177">
        <f>$C177*BS176</f>
        <v/>
      </c>
      <c r="BT177">
        <f>$C177*BT176</f>
        <v/>
      </c>
      <c r="BU177">
        <f>$C177*BU176</f>
        <v/>
      </c>
      <c r="BV177">
        <f>$C177*BV176</f>
        <v/>
      </c>
      <c r="BW177">
        <f>$C177*BW176</f>
        <v/>
      </c>
      <c r="BX177">
        <f>$C177*BX176</f>
        <v/>
      </c>
      <c r="BY177">
        <f>$C177*BY176</f>
        <v/>
      </c>
      <c r="BZ177">
        <f>$C177*BZ176</f>
        <v/>
      </c>
      <c r="CA177">
        <f>$C177*CA176</f>
        <v/>
      </c>
      <c r="CB177">
        <f>$C177*CB176</f>
        <v/>
      </c>
      <c r="CC177">
        <f>$C177*CC176</f>
        <v/>
      </c>
      <c r="CD177">
        <f>$C177*CD176</f>
        <v/>
      </c>
      <c r="CE177">
        <f>$C177*CE176</f>
        <v/>
      </c>
      <c r="CF177">
        <f>$C177*CF176</f>
        <v/>
      </c>
      <c r="CG177">
        <f>$C177*CG176</f>
        <v/>
      </c>
      <c r="CH177">
        <f>$C177*CH176</f>
        <v/>
      </c>
      <c r="CI177">
        <f>$C177*CI176</f>
        <v/>
      </c>
      <c r="CJ177">
        <f>$C177*CJ176</f>
        <v/>
      </c>
      <c r="CK177">
        <f>$C177*CK176</f>
        <v/>
      </c>
      <c r="CL177">
        <f>$C177*CL176</f>
        <v/>
      </c>
      <c r="CM177">
        <f>$C177*CM176</f>
        <v/>
      </c>
      <c r="CN177">
        <f>$C177*CN176</f>
        <v/>
      </c>
      <c r="CO177">
        <f>$C177*CO176</f>
        <v/>
      </c>
      <c r="CP177">
        <f>$C177*CP176</f>
        <v/>
      </c>
      <c r="CQ177">
        <f>$C177*CQ176</f>
        <v/>
      </c>
      <c r="CR177">
        <f>$C177*CR176</f>
        <v/>
      </c>
      <c r="CS177">
        <f>$C177*CS176</f>
        <v/>
      </c>
      <c r="CT177">
        <f>$C177*CT176</f>
        <v/>
      </c>
      <c r="CU177">
        <f>$C177*CU176</f>
        <v/>
      </c>
      <c r="CV177">
        <f>$C177*CV176</f>
        <v/>
      </c>
      <c r="CW177">
        <f>$C177*CW176</f>
        <v/>
      </c>
      <c r="CX177">
        <f>$C177*CX176</f>
        <v/>
      </c>
      <c r="CY177">
        <f>$C177*CY176</f>
        <v/>
      </c>
      <c r="CZ177">
        <f>$C177*CZ176</f>
        <v/>
      </c>
      <c r="DA177">
        <f>$C177*DA176</f>
        <v/>
      </c>
      <c r="DB177">
        <f>$C177*DB176</f>
        <v/>
      </c>
      <c r="DC177">
        <f>$C177*DC176</f>
        <v/>
      </c>
    </row>
    <row r="178">
      <c r="B178" t="inlineStr">
        <is>
          <t>VSP-606</t>
        </is>
      </c>
      <c r="C178" t="inlineStr">
        <is>
          <t>No. of batches</t>
        </is>
      </c>
      <c r="D178">
        <f>IFERROR(INDEX(PP_Grid[#Data],$DD178,2),0)</f>
        <v/>
      </c>
      <c r="E178">
        <f>IFERROR(INDEX(PP_Grid[#Data],$DD178,3),0)</f>
        <v/>
      </c>
      <c r="F178">
        <f>IFERROR(INDEX(PP_Grid[#Data],$DD178,4),0)</f>
        <v/>
      </c>
      <c r="G178">
        <f>IFERROR(INDEX(PP_Grid[#Data],$DD178,5),0)</f>
        <v/>
      </c>
      <c r="H178">
        <f>IFERROR(INDEX(PP_Grid[#Data],$DD178,6),0)</f>
        <v/>
      </c>
      <c r="I178">
        <f>IFERROR(INDEX(PP_Grid[#Data],$DD178,7),0)</f>
        <v/>
      </c>
      <c r="J178">
        <f>IFERROR(INDEX(PP_Grid[#Data],$DD178,8),0)</f>
        <v/>
      </c>
      <c r="K178">
        <f>IFERROR(INDEX(PP_Grid[#Data],$DD178,9),0)</f>
        <v/>
      </c>
      <c r="L178">
        <f>IFERROR(INDEX(PP_Grid[#Data],$DD178,10),0)</f>
        <v/>
      </c>
      <c r="M178">
        <f>IFERROR(INDEX(PP_Grid[#Data],$DD178,11),0)</f>
        <v/>
      </c>
      <c r="N178">
        <f>IFERROR(INDEX(PP_Grid[#Data],$DD178,12),0)</f>
        <v/>
      </c>
      <c r="O178">
        <f>IFERROR(INDEX(PP_Grid[#Data],$DD178,13),0)</f>
        <v/>
      </c>
      <c r="P178">
        <f>IFERROR(INDEX(PP_Grid[#Data],$DD178,14),0)</f>
        <v/>
      </c>
      <c r="Q178">
        <f>IFERROR(INDEX(PP_Grid[#Data],$DD178,15),0)</f>
        <v/>
      </c>
      <c r="R178">
        <f>IFERROR(INDEX(PP_Grid[#Data],$DD178,16),0)</f>
        <v/>
      </c>
      <c r="S178">
        <f>IFERROR(INDEX(PP_Grid[#Data],$DD178,17),0)</f>
        <v/>
      </c>
      <c r="T178">
        <f>IFERROR(INDEX(PP_Grid[#Data],$DD178,18),0)</f>
        <v/>
      </c>
      <c r="U178">
        <f>IFERROR(INDEX(PP_Grid[#Data],$DD178,19),0)</f>
        <v/>
      </c>
      <c r="V178">
        <f>IFERROR(INDEX(PP_Grid[#Data],$DD178,20),0)</f>
        <v/>
      </c>
      <c r="W178">
        <f>IFERROR(INDEX(PP_Grid[#Data],$DD178,21),0)</f>
        <v/>
      </c>
      <c r="X178">
        <f>IFERROR(INDEX(PP_Grid[#Data],$DD178,22),0)</f>
        <v/>
      </c>
      <c r="Y178">
        <f>IFERROR(INDEX(PP_Grid[#Data],$DD178,23),0)</f>
        <v/>
      </c>
      <c r="Z178">
        <f>IFERROR(INDEX(PP_Grid[#Data],$DD178,24),0)</f>
        <v/>
      </c>
      <c r="AA178">
        <f>IFERROR(INDEX(PP_Grid[#Data],$DD178,25),0)</f>
        <v/>
      </c>
      <c r="AB178">
        <f>IFERROR(INDEX(PP_Grid[#Data],$DD178,26),0)</f>
        <v/>
      </c>
      <c r="AC178">
        <f>IFERROR(INDEX(PP_Grid[#Data],$DD178,27),0)</f>
        <v/>
      </c>
      <c r="AD178">
        <f>IFERROR(INDEX(PP_Grid[#Data],$DD178,28),0)</f>
        <v/>
      </c>
      <c r="AE178">
        <f>IFERROR(INDEX(PP_Grid[#Data],$DD178,29),0)</f>
        <v/>
      </c>
      <c r="AF178">
        <f>IFERROR(INDEX(PP_Grid[#Data],$DD178,30),0)</f>
        <v/>
      </c>
      <c r="AG178">
        <f>IFERROR(INDEX(PP_Grid[#Data],$DD178,31),0)</f>
        <v/>
      </c>
      <c r="AH178">
        <f>IFERROR(INDEX(PP_Grid[#Data],$DD178,32),0)</f>
        <v/>
      </c>
      <c r="AI178">
        <f>IFERROR(INDEX(PP_Grid[#Data],$DD178,33),0)</f>
        <v/>
      </c>
      <c r="AJ178">
        <f>IFERROR(INDEX(PP_Grid[#Data],$DD178,34),0)</f>
        <v/>
      </c>
      <c r="AK178">
        <f>IFERROR(INDEX(PP_Grid[#Data],$DD178,35),0)</f>
        <v/>
      </c>
      <c r="AL178">
        <f>IFERROR(INDEX(PP_Grid[#Data],$DD178,36),0)</f>
        <v/>
      </c>
      <c r="AM178">
        <f>IFERROR(INDEX(PP_Grid[#Data],$DD178,37),0)</f>
        <v/>
      </c>
      <c r="AN178">
        <f>IFERROR(INDEX(PP_Grid[#Data],$DD178,38),0)</f>
        <v/>
      </c>
      <c r="AO178">
        <f>IFERROR(INDEX(PP_Grid[#Data],$DD178,39),0)</f>
        <v/>
      </c>
      <c r="AP178">
        <f>IFERROR(INDEX(PP_Grid[#Data],$DD178,40),0)</f>
        <v/>
      </c>
      <c r="AQ178">
        <f>IFERROR(INDEX(PP_Grid[#Data],$DD178,41),0)</f>
        <v/>
      </c>
      <c r="AR178">
        <f>IFERROR(INDEX(PP_Grid[#Data],$DD178,42),0)</f>
        <v/>
      </c>
      <c r="AS178">
        <f>IFERROR(INDEX(PP_Grid[#Data],$DD178,43),0)</f>
        <v/>
      </c>
      <c r="AT178">
        <f>IFERROR(INDEX(PP_Grid[#Data],$DD178,44),0)</f>
        <v/>
      </c>
      <c r="AU178">
        <f>IFERROR(INDEX(PP_Grid[#Data],$DD178,45),0)</f>
        <v/>
      </c>
      <c r="AV178">
        <f>IFERROR(INDEX(PP_Grid[#Data],$DD178,46),0)</f>
        <v/>
      </c>
      <c r="AW178">
        <f>IFERROR(INDEX(PP_Grid[#Data],$DD178,47),0)</f>
        <v/>
      </c>
      <c r="AX178">
        <f>IFERROR(INDEX(PP_Grid[#Data],$DD178,48),0)</f>
        <v/>
      </c>
      <c r="AY178">
        <f>IFERROR(INDEX(PP_Grid[#Data],$DD178,49),0)</f>
        <v/>
      </c>
      <c r="AZ178">
        <f>IFERROR(INDEX(PP_Grid[#Data],$DD178,50),0)</f>
        <v/>
      </c>
      <c r="BA178">
        <f>IFERROR(INDEX(PP_Grid[#Data],$DD178,51),0)</f>
        <v/>
      </c>
      <c r="BB178">
        <f>IFERROR(INDEX(PP_Grid[#Data],$DD178,52),0)</f>
        <v/>
      </c>
      <c r="BC178">
        <f>IFERROR(INDEX(PP_Grid[#Data],$DD178,53),0)</f>
        <v/>
      </c>
      <c r="BD178">
        <f>IFERROR(INDEX(PP_Grid[#Data],$DD178,54),0)</f>
        <v/>
      </c>
      <c r="BE178">
        <f>IFERROR(INDEX(PP_Grid[#Data],$DD178,55),0)</f>
        <v/>
      </c>
      <c r="BF178">
        <f>IFERROR(INDEX(PP_Grid[#Data],$DD178,56),0)</f>
        <v/>
      </c>
      <c r="BG178">
        <f>IFERROR(INDEX(PP_Grid[#Data],$DD178,57),0)</f>
        <v/>
      </c>
      <c r="BH178">
        <f>IFERROR(INDEX(PP_Grid[#Data],$DD178,58),0)</f>
        <v/>
      </c>
      <c r="BI178">
        <f>IFERROR(INDEX(PP_Grid[#Data],$DD178,59),0)</f>
        <v/>
      </c>
      <c r="BJ178">
        <f>IFERROR(INDEX(PP_Grid[#Data],$DD178,60),0)</f>
        <v/>
      </c>
      <c r="BK178">
        <f>IFERROR(INDEX(PP_Grid[#Data],$DD178,61),0)</f>
        <v/>
      </c>
      <c r="BL178">
        <f>IFERROR(INDEX(PP_Grid[#Data],$DD178,62),0)</f>
        <v/>
      </c>
      <c r="BM178">
        <f>IFERROR(INDEX(PP_Grid[#Data],$DD178,63),0)</f>
        <v/>
      </c>
      <c r="BN178">
        <f>IFERROR(INDEX(PP_Grid[#Data],$DD178,64),0)</f>
        <v/>
      </c>
      <c r="BO178">
        <f>IFERROR(INDEX(PP_Grid[#Data],$DD178,65),0)</f>
        <v/>
      </c>
      <c r="BP178">
        <f>IFERROR(INDEX(PP_Grid[#Data],$DD178,66),0)</f>
        <v/>
      </c>
      <c r="BQ178">
        <f>IFERROR(INDEX(PP_Grid[#Data],$DD178,67),0)</f>
        <v/>
      </c>
      <c r="BR178">
        <f>IFERROR(INDEX(PP_Grid[#Data],$DD178,68),0)</f>
        <v/>
      </c>
      <c r="BS178">
        <f>IFERROR(INDEX(PP_Grid[#Data],$DD178,69),0)</f>
        <v/>
      </c>
      <c r="BT178">
        <f>IFERROR(INDEX(PP_Grid[#Data],$DD178,70),0)</f>
        <v/>
      </c>
      <c r="BU178">
        <f>IFERROR(INDEX(PP_Grid[#Data],$DD178,71),0)</f>
        <v/>
      </c>
      <c r="BV178">
        <f>IFERROR(INDEX(PP_Grid[#Data],$DD178,72),0)</f>
        <v/>
      </c>
      <c r="BW178">
        <f>IFERROR(INDEX(PP_Grid[#Data],$DD178,73),0)</f>
        <v/>
      </c>
      <c r="BX178">
        <f>IFERROR(INDEX(PP_Grid[#Data],$DD178,74),0)</f>
        <v/>
      </c>
      <c r="BY178">
        <f>IFERROR(INDEX(PP_Grid[#Data],$DD178,75),0)</f>
        <v/>
      </c>
      <c r="BZ178">
        <f>IFERROR(INDEX(PP_Grid[#Data],$DD178,76),0)</f>
        <v/>
      </c>
      <c r="CA178">
        <f>IFERROR(INDEX(PP_Grid[#Data],$DD178,77),0)</f>
        <v/>
      </c>
      <c r="CB178">
        <f>IFERROR(INDEX(PP_Grid[#Data],$DD178,78),0)</f>
        <v/>
      </c>
      <c r="CC178">
        <f>IFERROR(INDEX(PP_Grid[#Data],$DD178,79),0)</f>
        <v/>
      </c>
      <c r="CD178">
        <f>IFERROR(INDEX(PP_Grid[#Data],$DD178,80),0)</f>
        <v/>
      </c>
      <c r="CE178">
        <f>IFERROR(INDEX(PP_Grid[#Data],$DD178,81),0)</f>
        <v/>
      </c>
      <c r="CF178">
        <f>IFERROR(INDEX(PP_Grid[#Data],$DD178,82),0)</f>
        <v/>
      </c>
      <c r="CG178">
        <f>IFERROR(INDEX(PP_Grid[#Data],$DD178,83),0)</f>
        <v/>
      </c>
      <c r="CH178">
        <f>IFERROR(INDEX(PP_Grid[#Data],$DD178,84),0)</f>
        <v/>
      </c>
      <c r="CI178">
        <f>IFERROR(INDEX(PP_Grid[#Data],$DD178,85),0)</f>
        <v/>
      </c>
      <c r="CJ178">
        <f>IFERROR(INDEX(PP_Grid[#Data],$DD178,86),0)</f>
        <v/>
      </c>
      <c r="CK178">
        <f>IFERROR(INDEX(PP_Grid[#Data],$DD178,87),0)</f>
        <v/>
      </c>
      <c r="CL178">
        <f>IFERROR(INDEX(PP_Grid[#Data],$DD178,88),0)</f>
        <v/>
      </c>
      <c r="CM178">
        <f>IFERROR(INDEX(PP_Grid[#Data],$DD178,89),0)</f>
        <v/>
      </c>
      <c r="CN178">
        <f>IFERROR(INDEX(PP_Grid[#Data],$DD178,90),0)</f>
        <v/>
      </c>
      <c r="CO178">
        <f>IFERROR(INDEX(PP_Grid[#Data],$DD178,91),0)</f>
        <v/>
      </c>
      <c r="CP178">
        <f>IFERROR(INDEX(PP_Grid[#Data],$DD178,92),0)</f>
        <v/>
      </c>
      <c r="CQ178">
        <f>IFERROR(INDEX(PP_Grid[#Data],$DD178,93),0)</f>
        <v/>
      </c>
      <c r="CR178">
        <f>IFERROR(INDEX(PP_Grid[#Data],$DD178,94),0)</f>
        <v/>
      </c>
      <c r="CS178">
        <f>IFERROR(INDEX(PP_Grid[#Data],$DD178,95),0)</f>
        <v/>
      </c>
      <c r="CT178">
        <f>IFERROR(INDEX(PP_Grid[#Data],$DD178,96),0)</f>
        <v/>
      </c>
      <c r="CU178">
        <f>IFERROR(INDEX(PP_Grid[#Data],$DD178,97),0)</f>
        <v/>
      </c>
      <c r="CV178">
        <f>IFERROR(INDEX(PP_Grid[#Data],$DD178,98),0)</f>
        <v/>
      </c>
      <c r="CW178">
        <f>IFERROR(INDEX(PP_Grid[#Data],$DD178,99),0)</f>
        <v/>
      </c>
      <c r="CX178">
        <f>IFERROR(INDEX(PP_Grid[#Data],$DD178,100),0)</f>
        <v/>
      </c>
      <c r="CY178">
        <f>IFERROR(INDEX(PP_Grid[#Data],$DD178,101),0)</f>
        <v/>
      </c>
      <c r="CZ178">
        <f>IFERROR(INDEX(PP_Grid[#Data],$DD178,102),0)</f>
        <v/>
      </c>
      <c r="DA178">
        <f>IFERROR(INDEX(PP_Grid[#Data],$DD178,103),0)</f>
        <v/>
      </c>
      <c r="DB178">
        <f>IFERROR(INDEX(PP_Grid[#Data],$DD178,104),0)</f>
        <v/>
      </c>
      <c r="DC178">
        <f>IFERROR(INDEX(PP_Grid[#Data],$DD178,105),0)</f>
        <v/>
      </c>
      <c r="DD178" s="12">
        <f>IFERROR(MATCH($B178,PP_Grid[Intermediate],0),99999)</f>
        <v/>
      </c>
    </row>
    <row r="179">
      <c r="B179" t="inlineStr">
        <is>
          <t>使用量(kg)</t>
        </is>
      </c>
      <c r="C179">
        <f>SUMIFS(M_BOM[RM_Qty_Per_Batch],M_BOM[Intermediate],$B178,M_BOM[Part Name],$A45)</f>
        <v/>
      </c>
      <c r="D179">
        <f>$C179*D178</f>
        <v/>
      </c>
      <c r="E179">
        <f>$C179*E178</f>
        <v/>
      </c>
      <c r="F179">
        <f>$C179*F178</f>
        <v/>
      </c>
      <c r="G179">
        <f>$C179*G178</f>
        <v/>
      </c>
      <c r="H179">
        <f>$C179*H178</f>
        <v/>
      </c>
      <c r="I179">
        <f>$C179*I178</f>
        <v/>
      </c>
      <c r="J179">
        <f>$C179*J178</f>
        <v/>
      </c>
      <c r="K179">
        <f>$C179*K178</f>
        <v/>
      </c>
      <c r="L179">
        <f>$C179*L178</f>
        <v/>
      </c>
      <c r="M179">
        <f>$C179*M178</f>
        <v/>
      </c>
      <c r="N179">
        <f>$C179*N178</f>
        <v/>
      </c>
      <c r="O179">
        <f>$C179*O178</f>
        <v/>
      </c>
      <c r="P179">
        <f>$C179*P178</f>
        <v/>
      </c>
      <c r="Q179">
        <f>$C179*Q178</f>
        <v/>
      </c>
      <c r="R179">
        <f>$C179*R178</f>
        <v/>
      </c>
      <c r="S179">
        <f>$C179*S178</f>
        <v/>
      </c>
      <c r="T179">
        <f>$C179*T178</f>
        <v/>
      </c>
      <c r="U179">
        <f>$C179*U178</f>
        <v/>
      </c>
      <c r="V179">
        <f>$C179*V178</f>
        <v/>
      </c>
      <c r="W179">
        <f>$C179*W178</f>
        <v/>
      </c>
      <c r="X179">
        <f>$C179*X178</f>
        <v/>
      </c>
      <c r="Y179">
        <f>$C179*Y178</f>
        <v/>
      </c>
      <c r="Z179">
        <f>$C179*Z178</f>
        <v/>
      </c>
      <c r="AA179">
        <f>$C179*AA178</f>
        <v/>
      </c>
      <c r="AB179">
        <f>$C179*AB178</f>
        <v/>
      </c>
      <c r="AC179">
        <f>$C179*AC178</f>
        <v/>
      </c>
      <c r="AD179">
        <f>$C179*AD178</f>
        <v/>
      </c>
      <c r="AE179">
        <f>$C179*AE178</f>
        <v/>
      </c>
      <c r="AF179">
        <f>$C179*AF178</f>
        <v/>
      </c>
      <c r="AG179">
        <f>$C179*AG178</f>
        <v/>
      </c>
      <c r="AH179">
        <f>$C179*AH178</f>
        <v/>
      </c>
      <c r="AI179">
        <f>$C179*AI178</f>
        <v/>
      </c>
      <c r="AJ179">
        <f>$C179*AJ178</f>
        <v/>
      </c>
      <c r="AK179">
        <f>$C179*AK178</f>
        <v/>
      </c>
      <c r="AL179">
        <f>$C179*AL178</f>
        <v/>
      </c>
      <c r="AM179">
        <f>$C179*AM178</f>
        <v/>
      </c>
      <c r="AN179">
        <f>$C179*AN178</f>
        <v/>
      </c>
      <c r="AO179">
        <f>$C179*AO178</f>
        <v/>
      </c>
      <c r="AP179">
        <f>$C179*AP178</f>
        <v/>
      </c>
      <c r="AQ179">
        <f>$C179*AQ178</f>
        <v/>
      </c>
      <c r="AR179">
        <f>$C179*AR178</f>
        <v/>
      </c>
      <c r="AS179">
        <f>$C179*AS178</f>
        <v/>
      </c>
      <c r="AT179">
        <f>$C179*AT178</f>
        <v/>
      </c>
      <c r="AU179">
        <f>$C179*AU178</f>
        <v/>
      </c>
      <c r="AV179">
        <f>$C179*AV178</f>
        <v/>
      </c>
      <c r="AW179">
        <f>$C179*AW178</f>
        <v/>
      </c>
      <c r="AX179">
        <f>$C179*AX178</f>
        <v/>
      </c>
      <c r="AY179">
        <f>$C179*AY178</f>
        <v/>
      </c>
      <c r="AZ179">
        <f>$C179*AZ178</f>
        <v/>
      </c>
      <c r="BA179">
        <f>$C179*BA178</f>
        <v/>
      </c>
      <c r="BB179">
        <f>$C179*BB178</f>
        <v/>
      </c>
      <c r="BC179">
        <f>$C179*BC178</f>
        <v/>
      </c>
      <c r="BD179">
        <f>$C179*BD178</f>
        <v/>
      </c>
      <c r="BE179">
        <f>$C179*BE178</f>
        <v/>
      </c>
      <c r="BF179">
        <f>$C179*BF178</f>
        <v/>
      </c>
      <c r="BG179">
        <f>$C179*BG178</f>
        <v/>
      </c>
      <c r="BH179">
        <f>$C179*BH178</f>
        <v/>
      </c>
      <c r="BI179">
        <f>$C179*BI178</f>
        <v/>
      </c>
      <c r="BJ179">
        <f>$C179*BJ178</f>
        <v/>
      </c>
      <c r="BK179">
        <f>$C179*BK178</f>
        <v/>
      </c>
      <c r="BL179">
        <f>$C179*BL178</f>
        <v/>
      </c>
      <c r="BM179">
        <f>$C179*BM178</f>
        <v/>
      </c>
      <c r="BN179">
        <f>$C179*BN178</f>
        <v/>
      </c>
      <c r="BO179">
        <f>$C179*BO178</f>
        <v/>
      </c>
      <c r="BP179">
        <f>$C179*BP178</f>
        <v/>
      </c>
      <c r="BQ179">
        <f>$C179*BQ178</f>
        <v/>
      </c>
      <c r="BR179">
        <f>$C179*BR178</f>
        <v/>
      </c>
      <c r="BS179">
        <f>$C179*BS178</f>
        <v/>
      </c>
      <c r="BT179">
        <f>$C179*BT178</f>
        <v/>
      </c>
      <c r="BU179">
        <f>$C179*BU178</f>
        <v/>
      </c>
      <c r="BV179">
        <f>$C179*BV178</f>
        <v/>
      </c>
      <c r="BW179">
        <f>$C179*BW178</f>
        <v/>
      </c>
      <c r="BX179">
        <f>$C179*BX178</f>
        <v/>
      </c>
      <c r="BY179">
        <f>$C179*BY178</f>
        <v/>
      </c>
      <c r="BZ179">
        <f>$C179*BZ178</f>
        <v/>
      </c>
      <c r="CA179">
        <f>$C179*CA178</f>
        <v/>
      </c>
      <c r="CB179">
        <f>$C179*CB178</f>
        <v/>
      </c>
      <c r="CC179">
        <f>$C179*CC178</f>
        <v/>
      </c>
      <c r="CD179">
        <f>$C179*CD178</f>
        <v/>
      </c>
      <c r="CE179">
        <f>$C179*CE178</f>
        <v/>
      </c>
      <c r="CF179">
        <f>$C179*CF178</f>
        <v/>
      </c>
      <c r="CG179">
        <f>$C179*CG178</f>
        <v/>
      </c>
      <c r="CH179">
        <f>$C179*CH178</f>
        <v/>
      </c>
      <c r="CI179">
        <f>$C179*CI178</f>
        <v/>
      </c>
      <c r="CJ179">
        <f>$C179*CJ178</f>
        <v/>
      </c>
      <c r="CK179">
        <f>$C179*CK178</f>
        <v/>
      </c>
      <c r="CL179">
        <f>$C179*CL178</f>
        <v/>
      </c>
      <c r="CM179">
        <f>$C179*CM178</f>
        <v/>
      </c>
      <c r="CN179">
        <f>$C179*CN178</f>
        <v/>
      </c>
      <c r="CO179">
        <f>$C179*CO178</f>
        <v/>
      </c>
      <c r="CP179">
        <f>$C179*CP178</f>
        <v/>
      </c>
      <c r="CQ179">
        <f>$C179*CQ178</f>
        <v/>
      </c>
      <c r="CR179">
        <f>$C179*CR178</f>
        <v/>
      </c>
      <c r="CS179">
        <f>$C179*CS178</f>
        <v/>
      </c>
      <c r="CT179">
        <f>$C179*CT178</f>
        <v/>
      </c>
      <c r="CU179">
        <f>$C179*CU178</f>
        <v/>
      </c>
      <c r="CV179">
        <f>$C179*CV178</f>
        <v/>
      </c>
      <c r="CW179">
        <f>$C179*CW178</f>
        <v/>
      </c>
      <c r="CX179">
        <f>$C179*CX178</f>
        <v/>
      </c>
      <c r="CY179">
        <f>$C179*CY178</f>
        <v/>
      </c>
      <c r="CZ179">
        <f>$C179*CZ178</f>
        <v/>
      </c>
      <c r="DA179">
        <f>$C179*DA178</f>
        <v/>
      </c>
      <c r="DB179">
        <f>$C179*DB178</f>
        <v/>
      </c>
      <c r="DC179">
        <f>$C179*DC178</f>
        <v/>
      </c>
    </row>
    <row r="180">
      <c r="B180" t="inlineStr">
        <is>
          <t>VSP-607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Name],$A45)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t="inlineStr">
        <is>
          <t>VSP-738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12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Name],$A45)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t="inlineStr">
        <is>
          <t>VSP-739</t>
        </is>
      </c>
      <c r="C184" t="inlineStr">
        <is>
          <t>No. of batches</t>
        </is>
      </c>
      <c r="D184">
        <f>IFERROR(INDEX(PP_Grid[#Data],$DD184,2),0)</f>
        <v/>
      </c>
      <c r="E184">
        <f>IFERROR(INDEX(PP_Grid[#Data],$DD184,3),0)</f>
        <v/>
      </c>
      <c r="F184">
        <f>IFERROR(INDEX(PP_Grid[#Data],$DD184,4),0)</f>
        <v/>
      </c>
      <c r="G184">
        <f>IFERROR(INDEX(PP_Grid[#Data],$DD184,5),0)</f>
        <v/>
      </c>
      <c r="H184">
        <f>IFERROR(INDEX(PP_Grid[#Data],$DD184,6),0)</f>
        <v/>
      </c>
      <c r="I184">
        <f>IFERROR(INDEX(PP_Grid[#Data],$DD184,7),0)</f>
        <v/>
      </c>
      <c r="J184">
        <f>IFERROR(INDEX(PP_Grid[#Data],$DD184,8),0)</f>
        <v/>
      </c>
      <c r="K184">
        <f>IFERROR(INDEX(PP_Grid[#Data],$DD184,9),0)</f>
        <v/>
      </c>
      <c r="L184">
        <f>IFERROR(INDEX(PP_Grid[#Data],$DD184,10),0)</f>
        <v/>
      </c>
      <c r="M184">
        <f>IFERROR(INDEX(PP_Grid[#Data],$DD184,11),0)</f>
        <v/>
      </c>
      <c r="N184">
        <f>IFERROR(INDEX(PP_Grid[#Data],$DD184,12),0)</f>
        <v/>
      </c>
      <c r="O184">
        <f>IFERROR(INDEX(PP_Grid[#Data],$DD184,13),0)</f>
        <v/>
      </c>
      <c r="P184">
        <f>IFERROR(INDEX(PP_Grid[#Data],$DD184,14),0)</f>
        <v/>
      </c>
      <c r="Q184">
        <f>IFERROR(INDEX(PP_Grid[#Data],$DD184,15),0)</f>
        <v/>
      </c>
      <c r="R184">
        <f>IFERROR(INDEX(PP_Grid[#Data],$DD184,16),0)</f>
        <v/>
      </c>
      <c r="S184">
        <f>IFERROR(INDEX(PP_Grid[#Data],$DD184,17),0)</f>
        <v/>
      </c>
      <c r="T184">
        <f>IFERROR(INDEX(PP_Grid[#Data],$DD184,18),0)</f>
        <v/>
      </c>
      <c r="U184">
        <f>IFERROR(INDEX(PP_Grid[#Data],$DD184,19),0)</f>
        <v/>
      </c>
      <c r="V184">
        <f>IFERROR(INDEX(PP_Grid[#Data],$DD184,20),0)</f>
        <v/>
      </c>
      <c r="W184">
        <f>IFERROR(INDEX(PP_Grid[#Data],$DD184,21),0)</f>
        <v/>
      </c>
      <c r="X184">
        <f>IFERROR(INDEX(PP_Grid[#Data],$DD184,22),0)</f>
        <v/>
      </c>
      <c r="Y184">
        <f>IFERROR(INDEX(PP_Grid[#Data],$DD184,23),0)</f>
        <v/>
      </c>
      <c r="Z184">
        <f>IFERROR(INDEX(PP_Grid[#Data],$DD184,24),0)</f>
        <v/>
      </c>
      <c r="AA184">
        <f>IFERROR(INDEX(PP_Grid[#Data],$DD184,25),0)</f>
        <v/>
      </c>
      <c r="AB184">
        <f>IFERROR(INDEX(PP_Grid[#Data],$DD184,26),0)</f>
        <v/>
      </c>
      <c r="AC184">
        <f>IFERROR(INDEX(PP_Grid[#Data],$DD184,27),0)</f>
        <v/>
      </c>
      <c r="AD184">
        <f>IFERROR(INDEX(PP_Grid[#Data],$DD184,28),0)</f>
        <v/>
      </c>
      <c r="AE184">
        <f>IFERROR(INDEX(PP_Grid[#Data],$DD184,29),0)</f>
        <v/>
      </c>
      <c r="AF184">
        <f>IFERROR(INDEX(PP_Grid[#Data],$DD184,30),0)</f>
        <v/>
      </c>
      <c r="AG184">
        <f>IFERROR(INDEX(PP_Grid[#Data],$DD184,31),0)</f>
        <v/>
      </c>
      <c r="AH184">
        <f>IFERROR(INDEX(PP_Grid[#Data],$DD184,32),0)</f>
        <v/>
      </c>
      <c r="AI184">
        <f>IFERROR(INDEX(PP_Grid[#Data],$DD184,33),0)</f>
        <v/>
      </c>
      <c r="AJ184">
        <f>IFERROR(INDEX(PP_Grid[#Data],$DD184,34),0)</f>
        <v/>
      </c>
      <c r="AK184">
        <f>IFERROR(INDEX(PP_Grid[#Data],$DD184,35),0)</f>
        <v/>
      </c>
      <c r="AL184">
        <f>IFERROR(INDEX(PP_Grid[#Data],$DD184,36),0)</f>
        <v/>
      </c>
      <c r="AM184">
        <f>IFERROR(INDEX(PP_Grid[#Data],$DD184,37),0)</f>
        <v/>
      </c>
      <c r="AN184">
        <f>IFERROR(INDEX(PP_Grid[#Data],$DD184,38),0)</f>
        <v/>
      </c>
      <c r="AO184">
        <f>IFERROR(INDEX(PP_Grid[#Data],$DD184,39),0)</f>
        <v/>
      </c>
      <c r="AP184">
        <f>IFERROR(INDEX(PP_Grid[#Data],$DD184,40),0)</f>
        <v/>
      </c>
      <c r="AQ184">
        <f>IFERROR(INDEX(PP_Grid[#Data],$DD184,41),0)</f>
        <v/>
      </c>
      <c r="AR184">
        <f>IFERROR(INDEX(PP_Grid[#Data],$DD184,42),0)</f>
        <v/>
      </c>
      <c r="AS184">
        <f>IFERROR(INDEX(PP_Grid[#Data],$DD184,43),0)</f>
        <v/>
      </c>
      <c r="AT184">
        <f>IFERROR(INDEX(PP_Grid[#Data],$DD184,44),0)</f>
        <v/>
      </c>
      <c r="AU184">
        <f>IFERROR(INDEX(PP_Grid[#Data],$DD184,45),0)</f>
        <v/>
      </c>
      <c r="AV184">
        <f>IFERROR(INDEX(PP_Grid[#Data],$DD184,46),0)</f>
        <v/>
      </c>
      <c r="AW184">
        <f>IFERROR(INDEX(PP_Grid[#Data],$DD184,47),0)</f>
        <v/>
      </c>
      <c r="AX184">
        <f>IFERROR(INDEX(PP_Grid[#Data],$DD184,48),0)</f>
        <v/>
      </c>
      <c r="AY184">
        <f>IFERROR(INDEX(PP_Grid[#Data],$DD184,49),0)</f>
        <v/>
      </c>
      <c r="AZ184">
        <f>IFERROR(INDEX(PP_Grid[#Data],$DD184,50),0)</f>
        <v/>
      </c>
      <c r="BA184">
        <f>IFERROR(INDEX(PP_Grid[#Data],$DD184,51),0)</f>
        <v/>
      </c>
      <c r="BB184">
        <f>IFERROR(INDEX(PP_Grid[#Data],$DD184,52),0)</f>
        <v/>
      </c>
      <c r="BC184">
        <f>IFERROR(INDEX(PP_Grid[#Data],$DD184,53),0)</f>
        <v/>
      </c>
      <c r="BD184">
        <f>IFERROR(INDEX(PP_Grid[#Data],$DD184,54),0)</f>
        <v/>
      </c>
      <c r="BE184">
        <f>IFERROR(INDEX(PP_Grid[#Data],$DD184,55),0)</f>
        <v/>
      </c>
      <c r="BF184">
        <f>IFERROR(INDEX(PP_Grid[#Data],$DD184,56),0)</f>
        <v/>
      </c>
      <c r="BG184">
        <f>IFERROR(INDEX(PP_Grid[#Data],$DD184,57),0)</f>
        <v/>
      </c>
      <c r="BH184">
        <f>IFERROR(INDEX(PP_Grid[#Data],$DD184,58),0)</f>
        <v/>
      </c>
      <c r="BI184">
        <f>IFERROR(INDEX(PP_Grid[#Data],$DD184,59),0)</f>
        <v/>
      </c>
      <c r="BJ184">
        <f>IFERROR(INDEX(PP_Grid[#Data],$DD184,60),0)</f>
        <v/>
      </c>
      <c r="BK184">
        <f>IFERROR(INDEX(PP_Grid[#Data],$DD184,61),0)</f>
        <v/>
      </c>
      <c r="BL184">
        <f>IFERROR(INDEX(PP_Grid[#Data],$DD184,62),0)</f>
        <v/>
      </c>
      <c r="BM184">
        <f>IFERROR(INDEX(PP_Grid[#Data],$DD184,63),0)</f>
        <v/>
      </c>
      <c r="BN184">
        <f>IFERROR(INDEX(PP_Grid[#Data],$DD184,64),0)</f>
        <v/>
      </c>
      <c r="BO184">
        <f>IFERROR(INDEX(PP_Grid[#Data],$DD184,65),0)</f>
        <v/>
      </c>
      <c r="BP184">
        <f>IFERROR(INDEX(PP_Grid[#Data],$DD184,66),0)</f>
        <v/>
      </c>
      <c r="BQ184">
        <f>IFERROR(INDEX(PP_Grid[#Data],$DD184,67),0)</f>
        <v/>
      </c>
      <c r="BR184">
        <f>IFERROR(INDEX(PP_Grid[#Data],$DD184,68),0)</f>
        <v/>
      </c>
      <c r="BS184">
        <f>IFERROR(INDEX(PP_Grid[#Data],$DD184,69),0)</f>
        <v/>
      </c>
      <c r="BT184">
        <f>IFERROR(INDEX(PP_Grid[#Data],$DD184,70),0)</f>
        <v/>
      </c>
      <c r="BU184">
        <f>IFERROR(INDEX(PP_Grid[#Data],$DD184,71),0)</f>
        <v/>
      </c>
      <c r="BV184">
        <f>IFERROR(INDEX(PP_Grid[#Data],$DD184,72),0)</f>
        <v/>
      </c>
      <c r="BW184">
        <f>IFERROR(INDEX(PP_Grid[#Data],$DD184,73),0)</f>
        <v/>
      </c>
      <c r="BX184">
        <f>IFERROR(INDEX(PP_Grid[#Data],$DD184,74),0)</f>
        <v/>
      </c>
      <c r="BY184">
        <f>IFERROR(INDEX(PP_Grid[#Data],$DD184,75),0)</f>
        <v/>
      </c>
      <c r="BZ184">
        <f>IFERROR(INDEX(PP_Grid[#Data],$DD184,76),0)</f>
        <v/>
      </c>
      <c r="CA184">
        <f>IFERROR(INDEX(PP_Grid[#Data],$DD184,77),0)</f>
        <v/>
      </c>
      <c r="CB184">
        <f>IFERROR(INDEX(PP_Grid[#Data],$DD184,78),0)</f>
        <v/>
      </c>
      <c r="CC184">
        <f>IFERROR(INDEX(PP_Grid[#Data],$DD184,79),0)</f>
        <v/>
      </c>
      <c r="CD184">
        <f>IFERROR(INDEX(PP_Grid[#Data],$DD184,80),0)</f>
        <v/>
      </c>
      <c r="CE184">
        <f>IFERROR(INDEX(PP_Grid[#Data],$DD184,81),0)</f>
        <v/>
      </c>
      <c r="CF184">
        <f>IFERROR(INDEX(PP_Grid[#Data],$DD184,82),0)</f>
        <v/>
      </c>
      <c r="CG184">
        <f>IFERROR(INDEX(PP_Grid[#Data],$DD184,83),0)</f>
        <v/>
      </c>
      <c r="CH184">
        <f>IFERROR(INDEX(PP_Grid[#Data],$DD184,84),0)</f>
        <v/>
      </c>
      <c r="CI184">
        <f>IFERROR(INDEX(PP_Grid[#Data],$DD184,85),0)</f>
        <v/>
      </c>
      <c r="CJ184">
        <f>IFERROR(INDEX(PP_Grid[#Data],$DD184,86),0)</f>
        <v/>
      </c>
      <c r="CK184">
        <f>IFERROR(INDEX(PP_Grid[#Data],$DD184,87),0)</f>
        <v/>
      </c>
      <c r="CL184">
        <f>IFERROR(INDEX(PP_Grid[#Data],$DD184,88),0)</f>
        <v/>
      </c>
      <c r="CM184">
        <f>IFERROR(INDEX(PP_Grid[#Data],$DD184,89),0)</f>
        <v/>
      </c>
      <c r="CN184">
        <f>IFERROR(INDEX(PP_Grid[#Data],$DD184,90),0)</f>
        <v/>
      </c>
      <c r="CO184">
        <f>IFERROR(INDEX(PP_Grid[#Data],$DD184,91),0)</f>
        <v/>
      </c>
      <c r="CP184">
        <f>IFERROR(INDEX(PP_Grid[#Data],$DD184,92),0)</f>
        <v/>
      </c>
      <c r="CQ184">
        <f>IFERROR(INDEX(PP_Grid[#Data],$DD184,93),0)</f>
        <v/>
      </c>
      <c r="CR184">
        <f>IFERROR(INDEX(PP_Grid[#Data],$DD184,94),0)</f>
        <v/>
      </c>
      <c r="CS184">
        <f>IFERROR(INDEX(PP_Grid[#Data],$DD184,95),0)</f>
        <v/>
      </c>
      <c r="CT184">
        <f>IFERROR(INDEX(PP_Grid[#Data],$DD184,96),0)</f>
        <v/>
      </c>
      <c r="CU184">
        <f>IFERROR(INDEX(PP_Grid[#Data],$DD184,97),0)</f>
        <v/>
      </c>
      <c r="CV184">
        <f>IFERROR(INDEX(PP_Grid[#Data],$DD184,98),0)</f>
        <v/>
      </c>
      <c r="CW184">
        <f>IFERROR(INDEX(PP_Grid[#Data],$DD184,99),0)</f>
        <v/>
      </c>
      <c r="CX184">
        <f>IFERROR(INDEX(PP_Grid[#Data],$DD184,100),0)</f>
        <v/>
      </c>
      <c r="CY184">
        <f>IFERROR(INDEX(PP_Grid[#Data],$DD184,101),0)</f>
        <v/>
      </c>
      <c r="CZ184">
        <f>IFERROR(INDEX(PP_Grid[#Data],$DD184,102),0)</f>
        <v/>
      </c>
      <c r="DA184">
        <f>IFERROR(INDEX(PP_Grid[#Data],$DD184,103),0)</f>
        <v/>
      </c>
      <c r="DB184">
        <f>IFERROR(INDEX(PP_Grid[#Data],$DD184,104),0)</f>
        <v/>
      </c>
      <c r="DC184">
        <f>IFERROR(INDEX(PP_Grid[#Data],$DD184,105),0)</f>
        <v/>
      </c>
      <c r="DD184" s="12">
        <f>IFERROR(MATCH($B184,PP_Grid[Intermediate],0),99999)</f>
        <v/>
      </c>
    </row>
    <row r="185">
      <c r="B185" t="inlineStr">
        <is>
          <t>使用量(kg)</t>
        </is>
      </c>
      <c r="C185">
        <f>SUMIFS(M_BOM[RM_Qty_Per_Batch],M_BOM[Intermediate],$B184,M_BOM[Part Name],$A45)</f>
        <v/>
      </c>
      <c r="D185">
        <f>$C185*D184</f>
        <v/>
      </c>
      <c r="E185">
        <f>$C185*E184</f>
        <v/>
      </c>
      <c r="F185">
        <f>$C185*F184</f>
        <v/>
      </c>
      <c r="G185">
        <f>$C185*G184</f>
        <v/>
      </c>
      <c r="H185">
        <f>$C185*H184</f>
        <v/>
      </c>
      <c r="I185">
        <f>$C185*I184</f>
        <v/>
      </c>
      <c r="J185">
        <f>$C185*J184</f>
        <v/>
      </c>
      <c r="K185">
        <f>$C185*K184</f>
        <v/>
      </c>
      <c r="L185">
        <f>$C185*L184</f>
        <v/>
      </c>
      <c r="M185">
        <f>$C185*M184</f>
        <v/>
      </c>
      <c r="N185">
        <f>$C185*N184</f>
        <v/>
      </c>
      <c r="O185">
        <f>$C185*O184</f>
        <v/>
      </c>
      <c r="P185">
        <f>$C185*P184</f>
        <v/>
      </c>
      <c r="Q185">
        <f>$C185*Q184</f>
        <v/>
      </c>
      <c r="R185">
        <f>$C185*R184</f>
        <v/>
      </c>
      <c r="S185">
        <f>$C185*S184</f>
        <v/>
      </c>
      <c r="T185">
        <f>$C185*T184</f>
        <v/>
      </c>
      <c r="U185">
        <f>$C185*U184</f>
        <v/>
      </c>
      <c r="V185">
        <f>$C185*V184</f>
        <v/>
      </c>
      <c r="W185">
        <f>$C185*W184</f>
        <v/>
      </c>
      <c r="X185">
        <f>$C185*X184</f>
        <v/>
      </c>
      <c r="Y185">
        <f>$C185*Y184</f>
        <v/>
      </c>
      <c r="Z185">
        <f>$C185*Z184</f>
        <v/>
      </c>
      <c r="AA185">
        <f>$C185*AA184</f>
        <v/>
      </c>
      <c r="AB185">
        <f>$C185*AB184</f>
        <v/>
      </c>
      <c r="AC185">
        <f>$C185*AC184</f>
        <v/>
      </c>
      <c r="AD185">
        <f>$C185*AD184</f>
        <v/>
      </c>
      <c r="AE185">
        <f>$C185*AE184</f>
        <v/>
      </c>
      <c r="AF185">
        <f>$C185*AF184</f>
        <v/>
      </c>
      <c r="AG185">
        <f>$C185*AG184</f>
        <v/>
      </c>
      <c r="AH185">
        <f>$C185*AH184</f>
        <v/>
      </c>
      <c r="AI185">
        <f>$C185*AI184</f>
        <v/>
      </c>
      <c r="AJ185">
        <f>$C185*AJ184</f>
        <v/>
      </c>
      <c r="AK185">
        <f>$C185*AK184</f>
        <v/>
      </c>
      <c r="AL185">
        <f>$C185*AL184</f>
        <v/>
      </c>
      <c r="AM185">
        <f>$C185*AM184</f>
        <v/>
      </c>
      <c r="AN185">
        <f>$C185*AN184</f>
        <v/>
      </c>
      <c r="AO185">
        <f>$C185*AO184</f>
        <v/>
      </c>
      <c r="AP185">
        <f>$C185*AP184</f>
        <v/>
      </c>
      <c r="AQ185">
        <f>$C185*AQ184</f>
        <v/>
      </c>
      <c r="AR185">
        <f>$C185*AR184</f>
        <v/>
      </c>
      <c r="AS185">
        <f>$C185*AS184</f>
        <v/>
      </c>
      <c r="AT185">
        <f>$C185*AT184</f>
        <v/>
      </c>
      <c r="AU185">
        <f>$C185*AU184</f>
        <v/>
      </c>
      <c r="AV185">
        <f>$C185*AV184</f>
        <v/>
      </c>
      <c r="AW185">
        <f>$C185*AW184</f>
        <v/>
      </c>
      <c r="AX185">
        <f>$C185*AX184</f>
        <v/>
      </c>
      <c r="AY185">
        <f>$C185*AY184</f>
        <v/>
      </c>
      <c r="AZ185">
        <f>$C185*AZ184</f>
        <v/>
      </c>
      <c r="BA185">
        <f>$C185*BA184</f>
        <v/>
      </c>
      <c r="BB185">
        <f>$C185*BB184</f>
        <v/>
      </c>
      <c r="BC185">
        <f>$C185*BC184</f>
        <v/>
      </c>
      <c r="BD185">
        <f>$C185*BD184</f>
        <v/>
      </c>
      <c r="BE185">
        <f>$C185*BE184</f>
        <v/>
      </c>
      <c r="BF185">
        <f>$C185*BF184</f>
        <v/>
      </c>
      <c r="BG185">
        <f>$C185*BG184</f>
        <v/>
      </c>
      <c r="BH185">
        <f>$C185*BH184</f>
        <v/>
      </c>
      <c r="BI185">
        <f>$C185*BI184</f>
        <v/>
      </c>
      <c r="BJ185">
        <f>$C185*BJ184</f>
        <v/>
      </c>
      <c r="BK185">
        <f>$C185*BK184</f>
        <v/>
      </c>
      <c r="BL185">
        <f>$C185*BL184</f>
        <v/>
      </c>
      <c r="BM185">
        <f>$C185*BM184</f>
        <v/>
      </c>
      <c r="BN185">
        <f>$C185*BN184</f>
        <v/>
      </c>
      <c r="BO185">
        <f>$C185*BO184</f>
        <v/>
      </c>
      <c r="BP185">
        <f>$C185*BP184</f>
        <v/>
      </c>
      <c r="BQ185">
        <f>$C185*BQ184</f>
        <v/>
      </c>
      <c r="BR185">
        <f>$C185*BR184</f>
        <v/>
      </c>
      <c r="BS185">
        <f>$C185*BS184</f>
        <v/>
      </c>
      <c r="BT185">
        <f>$C185*BT184</f>
        <v/>
      </c>
      <c r="BU185">
        <f>$C185*BU184</f>
        <v/>
      </c>
      <c r="BV185">
        <f>$C185*BV184</f>
        <v/>
      </c>
      <c r="BW185">
        <f>$C185*BW184</f>
        <v/>
      </c>
      <c r="BX185">
        <f>$C185*BX184</f>
        <v/>
      </c>
      <c r="BY185">
        <f>$C185*BY184</f>
        <v/>
      </c>
      <c r="BZ185">
        <f>$C185*BZ184</f>
        <v/>
      </c>
      <c r="CA185">
        <f>$C185*CA184</f>
        <v/>
      </c>
      <c r="CB185">
        <f>$C185*CB184</f>
        <v/>
      </c>
      <c r="CC185">
        <f>$C185*CC184</f>
        <v/>
      </c>
      <c r="CD185">
        <f>$C185*CD184</f>
        <v/>
      </c>
      <c r="CE185">
        <f>$C185*CE184</f>
        <v/>
      </c>
      <c r="CF185">
        <f>$C185*CF184</f>
        <v/>
      </c>
      <c r="CG185">
        <f>$C185*CG184</f>
        <v/>
      </c>
      <c r="CH185">
        <f>$C185*CH184</f>
        <v/>
      </c>
      <c r="CI185">
        <f>$C185*CI184</f>
        <v/>
      </c>
      <c r="CJ185">
        <f>$C185*CJ184</f>
        <v/>
      </c>
      <c r="CK185">
        <f>$C185*CK184</f>
        <v/>
      </c>
      <c r="CL185">
        <f>$C185*CL184</f>
        <v/>
      </c>
      <c r="CM185">
        <f>$C185*CM184</f>
        <v/>
      </c>
      <c r="CN185">
        <f>$C185*CN184</f>
        <v/>
      </c>
      <c r="CO185">
        <f>$C185*CO184</f>
        <v/>
      </c>
      <c r="CP185">
        <f>$C185*CP184</f>
        <v/>
      </c>
      <c r="CQ185">
        <f>$C185*CQ184</f>
        <v/>
      </c>
      <c r="CR185">
        <f>$C185*CR184</f>
        <v/>
      </c>
      <c r="CS185">
        <f>$C185*CS184</f>
        <v/>
      </c>
      <c r="CT185">
        <f>$C185*CT184</f>
        <v/>
      </c>
      <c r="CU185">
        <f>$C185*CU184</f>
        <v/>
      </c>
      <c r="CV185">
        <f>$C185*CV184</f>
        <v/>
      </c>
      <c r="CW185">
        <f>$C185*CW184</f>
        <v/>
      </c>
      <c r="CX185">
        <f>$C185*CX184</f>
        <v/>
      </c>
      <c r="CY185">
        <f>$C185*CY184</f>
        <v/>
      </c>
      <c r="CZ185">
        <f>$C185*CZ184</f>
        <v/>
      </c>
      <c r="DA185">
        <f>$C185*DA184</f>
        <v/>
      </c>
      <c r="DB185">
        <f>$C185*DB184</f>
        <v/>
      </c>
      <c r="DC185">
        <f>$C185*DC184</f>
        <v/>
      </c>
    </row>
    <row r="186">
      <c r="B186" t="inlineStr">
        <is>
          <t>VSP-740</t>
        </is>
      </c>
      <c r="C186" t="inlineStr">
        <is>
          <t>No. of batches</t>
        </is>
      </c>
      <c r="D186">
        <f>IFERROR(INDEX(PP_Grid[#Data],$DD186,2),0)</f>
        <v/>
      </c>
      <c r="E186">
        <f>IFERROR(INDEX(PP_Grid[#Data],$DD186,3),0)</f>
        <v/>
      </c>
      <c r="F186">
        <f>IFERROR(INDEX(PP_Grid[#Data],$DD186,4),0)</f>
        <v/>
      </c>
      <c r="G186">
        <f>IFERROR(INDEX(PP_Grid[#Data],$DD186,5),0)</f>
        <v/>
      </c>
      <c r="H186">
        <f>IFERROR(INDEX(PP_Grid[#Data],$DD186,6),0)</f>
        <v/>
      </c>
      <c r="I186">
        <f>IFERROR(INDEX(PP_Grid[#Data],$DD186,7),0)</f>
        <v/>
      </c>
      <c r="J186">
        <f>IFERROR(INDEX(PP_Grid[#Data],$DD186,8),0)</f>
        <v/>
      </c>
      <c r="K186">
        <f>IFERROR(INDEX(PP_Grid[#Data],$DD186,9),0)</f>
        <v/>
      </c>
      <c r="L186">
        <f>IFERROR(INDEX(PP_Grid[#Data],$DD186,10),0)</f>
        <v/>
      </c>
      <c r="M186">
        <f>IFERROR(INDEX(PP_Grid[#Data],$DD186,11),0)</f>
        <v/>
      </c>
      <c r="N186">
        <f>IFERROR(INDEX(PP_Grid[#Data],$DD186,12),0)</f>
        <v/>
      </c>
      <c r="O186">
        <f>IFERROR(INDEX(PP_Grid[#Data],$DD186,13),0)</f>
        <v/>
      </c>
      <c r="P186">
        <f>IFERROR(INDEX(PP_Grid[#Data],$DD186,14),0)</f>
        <v/>
      </c>
      <c r="Q186">
        <f>IFERROR(INDEX(PP_Grid[#Data],$DD186,15),0)</f>
        <v/>
      </c>
      <c r="R186">
        <f>IFERROR(INDEX(PP_Grid[#Data],$DD186,16),0)</f>
        <v/>
      </c>
      <c r="S186">
        <f>IFERROR(INDEX(PP_Grid[#Data],$DD186,17),0)</f>
        <v/>
      </c>
      <c r="T186">
        <f>IFERROR(INDEX(PP_Grid[#Data],$DD186,18),0)</f>
        <v/>
      </c>
      <c r="U186">
        <f>IFERROR(INDEX(PP_Grid[#Data],$DD186,19),0)</f>
        <v/>
      </c>
      <c r="V186">
        <f>IFERROR(INDEX(PP_Grid[#Data],$DD186,20),0)</f>
        <v/>
      </c>
      <c r="W186">
        <f>IFERROR(INDEX(PP_Grid[#Data],$DD186,21),0)</f>
        <v/>
      </c>
      <c r="X186">
        <f>IFERROR(INDEX(PP_Grid[#Data],$DD186,22),0)</f>
        <v/>
      </c>
      <c r="Y186">
        <f>IFERROR(INDEX(PP_Grid[#Data],$DD186,23),0)</f>
        <v/>
      </c>
      <c r="Z186">
        <f>IFERROR(INDEX(PP_Grid[#Data],$DD186,24),0)</f>
        <v/>
      </c>
      <c r="AA186">
        <f>IFERROR(INDEX(PP_Grid[#Data],$DD186,25),0)</f>
        <v/>
      </c>
      <c r="AB186">
        <f>IFERROR(INDEX(PP_Grid[#Data],$DD186,26),0)</f>
        <v/>
      </c>
      <c r="AC186">
        <f>IFERROR(INDEX(PP_Grid[#Data],$DD186,27),0)</f>
        <v/>
      </c>
      <c r="AD186">
        <f>IFERROR(INDEX(PP_Grid[#Data],$DD186,28),0)</f>
        <v/>
      </c>
      <c r="AE186">
        <f>IFERROR(INDEX(PP_Grid[#Data],$DD186,29),0)</f>
        <v/>
      </c>
      <c r="AF186">
        <f>IFERROR(INDEX(PP_Grid[#Data],$DD186,30),0)</f>
        <v/>
      </c>
      <c r="AG186">
        <f>IFERROR(INDEX(PP_Grid[#Data],$DD186,31),0)</f>
        <v/>
      </c>
      <c r="AH186">
        <f>IFERROR(INDEX(PP_Grid[#Data],$DD186,32),0)</f>
        <v/>
      </c>
      <c r="AI186">
        <f>IFERROR(INDEX(PP_Grid[#Data],$DD186,33),0)</f>
        <v/>
      </c>
      <c r="AJ186">
        <f>IFERROR(INDEX(PP_Grid[#Data],$DD186,34),0)</f>
        <v/>
      </c>
      <c r="AK186">
        <f>IFERROR(INDEX(PP_Grid[#Data],$DD186,35),0)</f>
        <v/>
      </c>
      <c r="AL186">
        <f>IFERROR(INDEX(PP_Grid[#Data],$DD186,36),0)</f>
        <v/>
      </c>
      <c r="AM186">
        <f>IFERROR(INDEX(PP_Grid[#Data],$DD186,37),0)</f>
        <v/>
      </c>
      <c r="AN186">
        <f>IFERROR(INDEX(PP_Grid[#Data],$DD186,38),0)</f>
        <v/>
      </c>
      <c r="AO186">
        <f>IFERROR(INDEX(PP_Grid[#Data],$DD186,39),0)</f>
        <v/>
      </c>
      <c r="AP186">
        <f>IFERROR(INDEX(PP_Grid[#Data],$DD186,40),0)</f>
        <v/>
      </c>
      <c r="AQ186">
        <f>IFERROR(INDEX(PP_Grid[#Data],$DD186,41),0)</f>
        <v/>
      </c>
      <c r="AR186">
        <f>IFERROR(INDEX(PP_Grid[#Data],$DD186,42),0)</f>
        <v/>
      </c>
      <c r="AS186">
        <f>IFERROR(INDEX(PP_Grid[#Data],$DD186,43),0)</f>
        <v/>
      </c>
      <c r="AT186">
        <f>IFERROR(INDEX(PP_Grid[#Data],$DD186,44),0)</f>
        <v/>
      </c>
      <c r="AU186">
        <f>IFERROR(INDEX(PP_Grid[#Data],$DD186,45),0)</f>
        <v/>
      </c>
      <c r="AV186">
        <f>IFERROR(INDEX(PP_Grid[#Data],$DD186,46),0)</f>
        <v/>
      </c>
      <c r="AW186">
        <f>IFERROR(INDEX(PP_Grid[#Data],$DD186,47),0)</f>
        <v/>
      </c>
      <c r="AX186">
        <f>IFERROR(INDEX(PP_Grid[#Data],$DD186,48),0)</f>
        <v/>
      </c>
      <c r="AY186">
        <f>IFERROR(INDEX(PP_Grid[#Data],$DD186,49),0)</f>
        <v/>
      </c>
      <c r="AZ186">
        <f>IFERROR(INDEX(PP_Grid[#Data],$DD186,50),0)</f>
        <v/>
      </c>
      <c r="BA186">
        <f>IFERROR(INDEX(PP_Grid[#Data],$DD186,51),0)</f>
        <v/>
      </c>
      <c r="BB186">
        <f>IFERROR(INDEX(PP_Grid[#Data],$DD186,52),0)</f>
        <v/>
      </c>
      <c r="BC186">
        <f>IFERROR(INDEX(PP_Grid[#Data],$DD186,53),0)</f>
        <v/>
      </c>
      <c r="BD186">
        <f>IFERROR(INDEX(PP_Grid[#Data],$DD186,54),0)</f>
        <v/>
      </c>
      <c r="BE186">
        <f>IFERROR(INDEX(PP_Grid[#Data],$DD186,55),0)</f>
        <v/>
      </c>
      <c r="BF186">
        <f>IFERROR(INDEX(PP_Grid[#Data],$DD186,56),0)</f>
        <v/>
      </c>
      <c r="BG186">
        <f>IFERROR(INDEX(PP_Grid[#Data],$DD186,57),0)</f>
        <v/>
      </c>
      <c r="BH186">
        <f>IFERROR(INDEX(PP_Grid[#Data],$DD186,58),0)</f>
        <v/>
      </c>
      <c r="BI186">
        <f>IFERROR(INDEX(PP_Grid[#Data],$DD186,59),0)</f>
        <v/>
      </c>
      <c r="BJ186">
        <f>IFERROR(INDEX(PP_Grid[#Data],$DD186,60),0)</f>
        <v/>
      </c>
      <c r="BK186">
        <f>IFERROR(INDEX(PP_Grid[#Data],$DD186,61),0)</f>
        <v/>
      </c>
      <c r="BL186">
        <f>IFERROR(INDEX(PP_Grid[#Data],$DD186,62),0)</f>
        <v/>
      </c>
      <c r="BM186">
        <f>IFERROR(INDEX(PP_Grid[#Data],$DD186,63),0)</f>
        <v/>
      </c>
      <c r="BN186">
        <f>IFERROR(INDEX(PP_Grid[#Data],$DD186,64),0)</f>
        <v/>
      </c>
      <c r="BO186">
        <f>IFERROR(INDEX(PP_Grid[#Data],$DD186,65),0)</f>
        <v/>
      </c>
      <c r="BP186">
        <f>IFERROR(INDEX(PP_Grid[#Data],$DD186,66),0)</f>
        <v/>
      </c>
      <c r="BQ186">
        <f>IFERROR(INDEX(PP_Grid[#Data],$DD186,67),0)</f>
        <v/>
      </c>
      <c r="BR186">
        <f>IFERROR(INDEX(PP_Grid[#Data],$DD186,68),0)</f>
        <v/>
      </c>
      <c r="BS186">
        <f>IFERROR(INDEX(PP_Grid[#Data],$DD186,69),0)</f>
        <v/>
      </c>
      <c r="BT186">
        <f>IFERROR(INDEX(PP_Grid[#Data],$DD186,70),0)</f>
        <v/>
      </c>
      <c r="BU186">
        <f>IFERROR(INDEX(PP_Grid[#Data],$DD186,71),0)</f>
        <v/>
      </c>
      <c r="BV186">
        <f>IFERROR(INDEX(PP_Grid[#Data],$DD186,72),0)</f>
        <v/>
      </c>
      <c r="BW186">
        <f>IFERROR(INDEX(PP_Grid[#Data],$DD186,73),0)</f>
        <v/>
      </c>
      <c r="BX186">
        <f>IFERROR(INDEX(PP_Grid[#Data],$DD186,74),0)</f>
        <v/>
      </c>
      <c r="BY186">
        <f>IFERROR(INDEX(PP_Grid[#Data],$DD186,75),0)</f>
        <v/>
      </c>
      <c r="BZ186">
        <f>IFERROR(INDEX(PP_Grid[#Data],$DD186,76),0)</f>
        <v/>
      </c>
      <c r="CA186">
        <f>IFERROR(INDEX(PP_Grid[#Data],$DD186,77),0)</f>
        <v/>
      </c>
      <c r="CB186">
        <f>IFERROR(INDEX(PP_Grid[#Data],$DD186,78),0)</f>
        <v/>
      </c>
      <c r="CC186">
        <f>IFERROR(INDEX(PP_Grid[#Data],$DD186,79),0)</f>
        <v/>
      </c>
      <c r="CD186">
        <f>IFERROR(INDEX(PP_Grid[#Data],$DD186,80),0)</f>
        <v/>
      </c>
      <c r="CE186">
        <f>IFERROR(INDEX(PP_Grid[#Data],$DD186,81),0)</f>
        <v/>
      </c>
      <c r="CF186">
        <f>IFERROR(INDEX(PP_Grid[#Data],$DD186,82),0)</f>
        <v/>
      </c>
      <c r="CG186">
        <f>IFERROR(INDEX(PP_Grid[#Data],$DD186,83),0)</f>
        <v/>
      </c>
      <c r="CH186">
        <f>IFERROR(INDEX(PP_Grid[#Data],$DD186,84),0)</f>
        <v/>
      </c>
      <c r="CI186">
        <f>IFERROR(INDEX(PP_Grid[#Data],$DD186,85),0)</f>
        <v/>
      </c>
      <c r="CJ186">
        <f>IFERROR(INDEX(PP_Grid[#Data],$DD186,86),0)</f>
        <v/>
      </c>
      <c r="CK186">
        <f>IFERROR(INDEX(PP_Grid[#Data],$DD186,87),0)</f>
        <v/>
      </c>
      <c r="CL186">
        <f>IFERROR(INDEX(PP_Grid[#Data],$DD186,88),0)</f>
        <v/>
      </c>
      <c r="CM186">
        <f>IFERROR(INDEX(PP_Grid[#Data],$DD186,89),0)</f>
        <v/>
      </c>
      <c r="CN186">
        <f>IFERROR(INDEX(PP_Grid[#Data],$DD186,90),0)</f>
        <v/>
      </c>
      <c r="CO186">
        <f>IFERROR(INDEX(PP_Grid[#Data],$DD186,91),0)</f>
        <v/>
      </c>
      <c r="CP186">
        <f>IFERROR(INDEX(PP_Grid[#Data],$DD186,92),0)</f>
        <v/>
      </c>
      <c r="CQ186">
        <f>IFERROR(INDEX(PP_Grid[#Data],$DD186,93),0)</f>
        <v/>
      </c>
      <c r="CR186">
        <f>IFERROR(INDEX(PP_Grid[#Data],$DD186,94),0)</f>
        <v/>
      </c>
      <c r="CS186">
        <f>IFERROR(INDEX(PP_Grid[#Data],$DD186,95),0)</f>
        <v/>
      </c>
      <c r="CT186">
        <f>IFERROR(INDEX(PP_Grid[#Data],$DD186,96),0)</f>
        <v/>
      </c>
      <c r="CU186">
        <f>IFERROR(INDEX(PP_Grid[#Data],$DD186,97),0)</f>
        <v/>
      </c>
      <c r="CV186">
        <f>IFERROR(INDEX(PP_Grid[#Data],$DD186,98),0)</f>
        <v/>
      </c>
      <c r="CW186">
        <f>IFERROR(INDEX(PP_Grid[#Data],$DD186,99),0)</f>
        <v/>
      </c>
      <c r="CX186">
        <f>IFERROR(INDEX(PP_Grid[#Data],$DD186,100),0)</f>
        <v/>
      </c>
      <c r="CY186">
        <f>IFERROR(INDEX(PP_Grid[#Data],$DD186,101),0)</f>
        <v/>
      </c>
      <c r="CZ186">
        <f>IFERROR(INDEX(PP_Grid[#Data],$DD186,102),0)</f>
        <v/>
      </c>
      <c r="DA186">
        <f>IFERROR(INDEX(PP_Grid[#Data],$DD186,103),0)</f>
        <v/>
      </c>
      <c r="DB186">
        <f>IFERROR(INDEX(PP_Grid[#Data],$DD186,104),0)</f>
        <v/>
      </c>
      <c r="DC186">
        <f>IFERROR(INDEX(PP_Grid[#Data],$DD186,105),0)</f>
        <v/>
      </c>
      <c r="DD186" s="12">
        <f>IFERROR(MATCH($B186,PP_Grid[Intermediate],0),99999)</f>
        <v/>
      </c>
    </row>
    <row r="187">
      <c r="B187" t="inlineStr">
        <is>
          <t>使用量(kg)</t>
        </is>
      </c>
      <c r="C187">
        <f>SUMIFS(M_BOM[RM_Qty_Per_Batch],M_BOM[Intermediate],$B186,M_BOM[Part Name],$A45)</f>
        <v/>
      </c>
      <c r="D187">
        <f>$C187*D186</f>
        <v/>
      </c>
      <c r="E187">
        <f>$C187*E186</f>
        <v/>
      </c>
      <c r="F187">
        <f>$C187*F186</f>
        <v/>
      </c>
      <c r="G187">
        <f>$C187*G186</f>
        <v/>
      </c>
      <c r="H187">
        <f>$C187*H186</f>
        <v/>
      </c>
      <c r="I187">
        <f>$C187*I186</f>
        <v/>
      </c>
      <c r="J187">
        <f>$C187*J186</f>
        <v/>
      </c>
      <c r="K187">
        <f>$C187*K186</f>
        <v/>
      </c>
      <c r="L187">
        <f>$C187*L186</f>
        <v/>
      </c>
      <c r="M187">
        <f>$C187*M186</f>
        <v/>
      </c>
      <c r="N187">
        <f>$C187*N186</f>
        <v/>
      </c>
      <c r="O187">
        <f>$C187*O186</f>
        <v/>
      </c>
      <c r="P187">
        <f>$C187*P186</f>
        <v/>
      </c>
      <c r="Q187">
        <f>$C187*Q186</f>
        <v/>
      </c>
      <c r="R187">
        <f>$C187*R186</f>
        <v/>
      </c>
      <c r="S187">
        <f>$C187*S186</f>
        <v/>
      </c>
      <c r="T187">
        <f>$C187*T186</f>
        <v/>
      </c>
      <c r="U187">
        <f>$C187*U186</f>
        <v/>
      </c>
      <c r="V187">
        <f>$C187*V186</f>
        <v/>
      </c>
      <c r="W187">
        <f>$C187*W186</f>
        <v/>
      </c>
      <c r="X187">
        <f>$C187*X186</f>
        <v/>
      </c>
      <c r="Y187">
        <f>$C187*Y186</f>
        <v/>
      </c>
      <c r="Z187">
        <f>$C187*Z186</f>
        <v/>
      </c>
      <c r="AA187">
        <f>$C187*AA186</f>
        <v/>
      </c>
      <c r="AB187">
        <f>$C187*AB186</f>
        <v/>
      </c>
      <c r="AC187">
        <f>$C187*AC186</f>
        <v/>
      </c>
      <c r="AD187">
        <f>$C187*AD186</f>
        <v/>
      </c>
      <c r="AE187">
        <f>$C187*AE186</f>
        <v/>
      </c>
      <c r="AF187">
        <f>$C187*AF186</f>
        <v/>
      </c>
      <c r="AG187">
        <f>$C187*AG186</f>
        <v/>
      </c>
      <c r="AH187">
        <f>$C187*AH186</f>
        <v/>
      </c>
      <c r="AI187">
        <f>$C187*AI186</f>
        <v/>
      </c>
      <c r="AJ187">
        <f>$C187*AJ186</f>
        <v/>
      </c>
      <c r="AK187">
        <f>$C187*AK186</f>
        <v/>
      </c>
      <c r="AL187">
        <f>$C187*AL186</f>
        <v/>
      </c>
      <c r="AM187">
        <f>$C187*AM186</f>
        <v/>
      </c>
      <c r="AN187">
        <f>$C187*AN186</f>
        <v/>
      </c>
      <c r="AO187">
        <f>$C187*AO186</f>
        <v/>
      </c>
      <c r="AP187">
        <f>$C187*AP186</f>
        <v/>
      </c>
      <c r="AQ187">
        <f>$C187*AQ186</f>
        <v/>
      </c>
      <c r="AR187">
        <f>$C187*AR186</f>
        <v/>
      </c>
      <c r="AS187">
        <f>$C187*AS186</f>
        <v/>
      </c>
      <c r="AT187">
        <f>$C187*AT186</f>
        <v/>
      </c>
      <c r="AU187">
        <f>$C187*AU186</f>
        <v/>
      </c>
      <c r="AV187">
        <f>$C187*AV186</f>
        <v/>
      </c>
      <c r="AW187">
        <f>$C187*AW186</f>
        <v/>
      </c>
      <c r="AX187">
        <f>$C187*AX186</f>
        <v/>
      </c>
      <c r="AY187">
        <f>$C187*AY186</f>
        <v/>
      </c>
      <c r="AZ187">
        <f>$C187*AZ186</f>
        <v/>
      </c>
      <c r="BA187">
        <f>$C187*BA186</f>
        <v/>
      </c>
      <c r="BB187">
        <f>$C187*BB186</f>
        <v/>
      </c>
      <c r="BC187">
        <f>$C187*BC186</f>
        <v/>
      </c>
      <c r="BD187">
        <f>$C187*BD186</f>
        <v/>
      </c>
      <c r="BE187">
        <f>$C187*BE186</f>
        <v/>
      </c>
      <c r="BF187">
        <f>$C187*BF186</f>
        <v/>
      </c>
      <c r="BG187">
        <f>$C187*BG186</f>
        <v/>
      </c>
      <c r="BH187">
        <f>$C187*BH186</f>
        <v/>
      </c>
      <c r="BI187">
        <f>$C187*BI186</f>
        <v/>
      </c>
      <c r="BJ187">
        <f>$C187*BJ186</f>
        <v/>
      </c>
      <c r="BK187">
        <f>$C187*BK186</f>
        <v/>
      </c>
      <c r="BL187">
        <f>$C187*BL186</f>
        <v/>
      </c>
      <c r="BM187">
        <f>$C187*BM186</f>
        <v/>
      </c>
      <c r="BN187">
        <f>$C187*BN186</f>
        <v/>
      </c>
      <c r="BO187">
        <f>$C187*BO186</f>
        <v/>
      </c>
      <c r="BP187">
        <f>$C187*BP186</f>
        <v/>
      </c>
      <c r="BQ187">
        <f>$C187*BQ186</f>
        <v/>
      </c>
      <c r="BR187">
        <f>$C187*BR186</f>
        <v/>
      </c>
      <c r="BS187">
        <f>$C187*BS186</f>
        <v/>
      </c>
      <c r="BT187">
        <f>$C187*BT186</f>
        <v/>
      </c>
      <c r="BU187">
        <f>$C187*BU186</f>
        <v/>
      </c>
      <c r="BV187">
        <f>$C187*BV186</f>
        <v/>
      </c>
      <c r="BW187">
        <f>$C187*BW186</f>
        <v/>
      </c>
      <c r="BX187">
        <f>$C187*BX186</f>
        <v/>
      </c>
      <c r="BY187">
        <f>$C187*BY186</f>
        <v/>
      </c>
      <c r="BZ187">
        <f>$C187*BZ186</f>
        <v/>
      </c>
      <c r="CA187">
        <f>$C187*CA186</f>
        <v/>
      </c>
      <c r="CB187">
        <f>$C187*CB186</f>
        <v/>
      </c>
      <c r="CC187">
        <f>$C187*CC186</f>
        <v/>
      </c>
      <c r="CD187">
        <f>$C187*CD186</f>
        <v/>
      </c>
      <c r="CE187">
        <f>$C187*CE186</f>
        <v/>
      </c>
      <c r="CF187">
        <f>$C187*CF186</f>
        <v/>
      </c>
      <c r="CG187">
        <f>$C187*CG186</f>
        <v/>
      </c>
      <c r="CH187">
        <f>$C187*CH186</f>
        <v/>
      </c>
      <c r="CI187">
        <f>$C187*CI186</f>
        <v/>
      </c>
      <c r="CJ187">
        <f>$C187*CJ186</f>
        <v/>
      </c>
      <c r="CK187">
        <f>$C187*CK186</f>
        <v/>
      </c>
      <c r="CL187">
        <f>$C187*CL186</f>
        <v/>
      </c>
      <c r="CM187">
        <f>$C187*CM186</f>
        <v/>
      </c>
      <c r="CN187">
        <f>$C187*CN186</f>
        <v/>
      </c>
      <c r="CO187">
        <f>$C187*CO186</f>
        <v/>
      </c>
      <c r="CP187">
        <f>$C187*CP186</f>
        <v/>
      </c>
      <c r="CQ187">
        <f>$C187*CQ186</f>
        <v/>
      </c>
      <c r="CR187">
        <f>$C187*CR186</f>
        <v/>
      </c>
      <c r="CS187">
        <f>$C187*CS186</f>
        <v/>
      </c>
      <c r="CT187">
        <f>$C187*CT186</f>
        <v/>
      </c>
      <c r="CU187">
        <f>$C187*CU186</f>
        <v/>
      </c>
      <c r="CV187">
        <f>$C187*CV186</f>
        <v/>
      </c>
      <c r="CW187">
        <f>$C187*CW186</f>
        <v/>
      </c>
      <c r="CX187">
        <f>$C187*CX186</f>
        <v/>
      </c>
      <c r="CY187">
        <f>$C187*CY186</f>
        <v/>
      </c>
      <c r="CZ187">
        <f>$C187*CZ186</f>
        <v/>
      </c>
      <c r="DA187">
        <f>$C187*DA186</f>
        <v/>
      </c>
      <c r="DB187">
        <f>$C187*DB186</f>
        <v/>
      </c>
      <c r="DC187">
        <f>$C187*DC186</f>
        <v/>
      </c>
    </row>
    <row r="188">
      <c r="B188" t="inlineStr">
        <is>
          <t>VSP-746</t>
        </is>
      </c>
      <c r="C188" t="inlineStr">
        <is>
          <t>No. of batches</t>
        </is>
      </c>
      <c r="D188">
        <f>IFERROR(INDEX(PP_Grid[#Data],$DD188,2),0)</f>
        <v/>
      </c>
      <c r="E188">
        <f>IFERROR(INDEX(PP_Grid[#Data],$DD188,3),0)</f>
        <v/>
      </c>
      <c r="F188">
        <f>IFERROR(INDEX(PP_Grid[#Data],$DD188,4),0)</f>
        <v/>
      </c>
      <c r="G188">
        <f>IFERROR(INDEX(PP_Grid[#Data],$DD188,5),0)</f>
        <v/>
      </c>
      <c r="H188">
        <f>IFERROR(INDEX(PP_Grid[#Data],$DD188,6),0)</f>
        <v/>
      </c>
      <c r="I188">
        <f>IFERROR(INDEX(PP_Grid[#Data],$DD188,7),0)</f>
        <v/>
      </c>
      <c r="J188">
        <f>IFERROR(INDEX(PP_Grid[#Data],$DD188,8),0)</f>
        <v/>
      </c>
      <c r="K188">
        <f>IFERROR(INDEX(PP_Grid[#Data],$DD188,9),0)</f>
        <v/>
      </c>
      <c r="L188">
        <f>IFERROR(INDEX(PP_Grid[#Data],$DD188,10),0)</f>
        <v/>
      </c>
      <c r="M188">
        <f>IFERROR(INDEX(PP_Grid[#Data],$DD188,11),0)</f>
        <v/>
      </c>
      <c r="N188">
        <f>IFERROR(INDEX(PP_Grid[#Data],$DD188,12),0)</f>
        <v/>
      </c>
      <c r="O188">
        <f>IFERROR(INDEX(PP_Grid[#Data],$DD188,13),0)</f>
        <v/>
      </c>
      <c r="P188">
        <f>IFERROR(INDEX(PP_Grid[#Data],$DD188,14),0)</f>
        <v/>
      </c>
      <c r="Q188">
        <f>IFERROR(INDEX(PP_Grid[#Data],$DD188,15),0)</f>
        <v/>
      </c>
      <c r="R188">
        <f>IFERROR(INDEX(PP_Grid[#Data],$DD188,16),0)</f>
        <v/>
      </c>
      <c r="S188">
        <f>IFERROR(INDEX(PP_Grid[#Data],$DD188,17),0)</f>
        <v/>
      </c>
      <c r="T188">
        <f>IFERROR(INDEX(PP_Grid[#Data],$DD188,18),0)</f>
        <v/>
      </c>
      <c r="U188">
        <f>IFERROR(INDEX(PP_Grid[#Data],$DD188,19),0)</f>
        <v/>
      </c>
      <c r="V188">
        <f>IFERROR(INDEX(PP_Grid[#Data],$DD188,20),0)</f>
        <v/>
      </c>
      <c r="W188">
        <f>IFERROR(INDEX(PP_Grid[#Data],$DD188,21),0)</f>
        <v/>
      </c>
      <c r="X188">
        <f>IFERROR(INDEX(PP_Grid[#Data],$DD188,22),0)</f>
        <v/>
      </c>
      <c r="Y188">
        <f>IFERROR(INDEX(PP_Grid[#Data],$DD188,23),0)</f>
        <v/>
      </c>
      <c r="Z188">
        <f>IFERROR(INDEX(PP_Grid[#Data],$DD188,24),0)</f>
        <v/>
      </c>
      <c r="AA188">
        <f>IFERROR(INDEX(PP_Grid[#Data],$DD188,25),0)</f>
        <v/>
      </c>
      <c r="AB188">
        <f>IFERROR(INDEX(PP_Grid[#Data],$DD188,26),0)</f>
        <v/>
      </c>
      <c r="AC188">
        <f>IFERROR(INDEX(PP_Grid[#Data],$DD188,27),0)</f>
        <v/>
      </c>
      <c r="AD188">
        <f>IFERROR(INDEX(PP_Grid[#Data],$DD188,28),0)</f>
        <v/>
      </c>
      <c r="AE188">
        <f>IFERROR(INDEX(PP_Grid[#Data],$DD188,29),0)</f>
        <v/>
      </c>
      <c r="AF188">
        <f>IFERROR(INDEX(PP_Grid[#Data],$DD188,30),0)</f>
        <v/>
      </c>
      <c r="AG188">
        <f>IFERROR(INDEX(PP_Grid[#Data],$DD188,31),0)</f>
        <v/>
      </c>
      <c r="AH188">
        <f>IFERROR(INDEX(PP_Grid[#Data],$DD188,32),0)</f>
        <v/>
      </c>
      <c r="AI188">
        <f>IFERROR(INDEX(PP_Grid[#Data],$DD188,33),0)</f>
        <v/>
      </c>
      <c r="AJ188">
        <f>IFERROR(INDEX(PP_Grid[#Data],$DD188,34),0)</f>
        <v/>
      </c>
      <c r="AK188">
        <f>IFERROR(INDEX(PP_Grid[#Data],$DD188,35),0)</f>
        <v/>
      </c>
      <c r="AL188">
        <f>IFERROR(INDEX(PP_Grid[#Data],$DD188,36),0)</f>
        <v/>
      </c>
      <c r="AM188">
        <f>IFERROR(INDEX(PP_Grid[#Data],$DD188,37),0)</f>
        <v/>
      </c>
      <c r="AN188">
        <f>IFERROR(INDEX(PP_Grid[#Data],$DD188,38),0)</f>
        <v/>
      </c>
      <c r="AO188">
        <f>IFERROR(INDEX(PP_Grid[#Data],$DD188,39),0)</f>
        <v/>
      </c>
      <c r="AP188">
        <f>IFERROR(INDEX(PP_Grid[#Data],$DD188,40),0)</f>
        <v/>
      </c>
      <c r="AQ188">
        <f>IFERROR(INDEX(PP_Grid[#Data],$DD188,41),0)</f>
        <v/>
      </c>
      <c r="AR188">
        <f>IFERROR(INDEX(PP_Grid[#Data],$DD188,42),0)</f>
        <v/>
      </c>
      <c r="AS188">
        <f>IFERROR(INDEX(PP_Grid[#Data],$DD188,43),0)</f>
        <v/>
      </c>
      <c r="AT188">
        <f>IFERROR(INDEX(PP_Grid[#Data],$DD188,44),0)</f>
        <v/>
      </c>
      <c r="AU188">
        <f>IFERROR(INDEX(PP_Grid[#Data],$DD188,45),0)</f>
        <v/>
      </c>
      <c r="AV188">
        <f>IFERROR(INDEX(PP_Grid[#Data],$DD188,46),0)</f>
        <v/>
      </c>
      <c r="AW188">
        <f>IFERROR(INDEX(PP_Grid[#Data],$DD188,47),0)</f>
        <v/>
      </c>
      <c r="AX188">
        <f>IFERROR(INDEX(PP_Grid[#Data],$DD188,48),0)</f>
        <v/>
      </c>
      <c r="AY188">
        <f>IFERROR(INDEX(PP_Grid[#Data],$DD188,49),0)</f>
        <v/>
      </c>
      <c r="AZ188">
        <f>IFERROR(INDEX(PP_Grid[#Data],$DD188,50),0)</f>
        <v/>
      </c>
      <c r="BA188">
        <f>IFERROR(INDEX(PP_Grid[#Data],$DD188,51),0)</f>
        <v/>
      </c>
      <c r="BB188">
        <f>IFERROR(INDEX(PP_Grid[#Data],$DD188,52),0)</f>
        <v/>
      </c>
      <c r="BC188">
        <f>IFERROR(INDEX(PP_Grid[#Data],$DD188,53),0)</f>
        <v/>
      </c>
      <c r="BD188">
        <f>IFERROR(INDEX(PP_Grid[#Data],$DD188,54),0)</f>
        <v/>
      </c>
      <c r="BE188">
        <f>IFERROR(INDEX(PP_Grid[#Data],$DD188,55),0)</f>
        <v/>
      </c>
      <c r="BF188">
        <f>IFERROR(INDEX(PP_Grid[#Data],$DD188,56),0)</f>
        <v/>
      </c>
      <c r="BG188">
        <f>IFERROR(INDEX(PP_Grid[#Data],$DD188,57),0)</f>
        <v/>
      </c>
      <c r="BH188">
        <f>IFERROR(INDEX(PP_Grid[#Data],$DD188,58),0)</f>
        <v/>
      </c>
      <c r="BI188">
        <f>IFERROR(INDEX(PP_Grid[#Data],$DD188,59),0)</f>
        <v/>
      </c>
      <c r="BJ188">
        <f>IFERROR(INDEX(PP_Grid[#Data],$DD188,60),0)</f>
        <v/>
      </c>
      <c r="BK188">
        <f>IFERROR(INDEX(PP_Grid[#Data],$DD188,61),0)</f>
        <v/>
      </c>
      <c r="BL188">
        <f>IFERROR(INDEX(PP_Grid[#Data],$DD188,62),0)</f>
        <v/>
      </c>
      <c r="BM188">
        <f>IFERROR(INDEX(PP_Grid[#Data],$DD188,63),0)</f>
        <v/>
      </c>
      <c r="BN188">
        <f>IFERROR(INDEX(PP_Grid[#Data],$DD188,64),0)</f>
        <v/>
      </c>
      <c r="BO188">
        <f>IFERROR(INDEX(PP_Grid[#Data],$DD188,65),0)</f>
        <v/>
      </c>
      <c r="BP188">
        <f>IFERROR(INDEX(PP_Grid[#Data],$DD188,66),0)</f>
        <v/>
      </c>
      <c r="BQ188">
        <f>IFERROR(INDEX(PP_Grid[#Data],$DD188,67),0)</f>
        <v/>
      </c>
      <c r="BR188">
        <f>IFERROR(INDEX(PP_Grid[#Data],$DD188,68),0)</f>
        <v/>
      </c>
      <c r="BS188">
        <f>IFERROR(INDEX(PP_Grid[#Data],$DD188,69),0)</f>
        <v/>
      </c>
      <c r="BT188">
        <f>IFERROR(INDEX(PP_Grid[#Data],$DD188,70),0)</f>
        <v/>
      </c>
      <c r="BU188">
        <f>IFERROR(INDEX(PP_Grid[#Data],$DD188,71),0)</f>
        <v/>
      </c>
      <c r="BV188">
        <f>IFERROR(INDEX(PP_Grid[#Data],$DD188,72),0)</f>
        <v/>
      </c>
      <c r="BW188">
        <f>IFERROR(INDEX(PP_Grid[#Data],$DD188,73),0)</f>
        <v/>
      </c>
      <c r="BX188">
        <f>IFERROR(INDEX(PP_Grid[#Data],$DD188,74),0)</f>
        <v/>
      </c>
      <c r="BY188">
        <f>IFERROR(INDEX(PP_Grid[#Data],$DD188,75),0)</f>
        <v/>
      </c>
      <c r="BZ188">
        <f>IFERROR(INDEX(PP_Grid[#Data],$DD188,76),0)</f>
        <v/>
      </c>
      <c r="CA188">
        <f>IFERROR(INDEX(PP_Grid[#Data],$DD188,77),0)</f>
        <v/>
      </c>
      <c r="CB188">
        <f>IFERROR(INDEX(PP_Grid[#Data],$DD188,78),0)</f>
        <v/>
      </c>
      <c r="CC188">
        <f>IFERROR(INDEX(PP_Grid[#Data],$DD188,79),0)</f>
        <v/>
      </c>
      <c r="CD188">
        <f>IFERROR(INDEX(PP_Grid[#Data],$DD188,80),0)</f>
        <v/>
      </c>
      <c r="CE188">
        <f>IFERROR(INDEX(PP_Grid[#Data],$DD188,81),0)</f>
        <v/>
      </c>
      <c r="CF188">
        <f>IFERROR(INDEX(PP_Grid[#Data],$DD188,82),0)</f>
        <v/>
      </c>
      <c r="CG188">
        <f>IFERROR(INDEX(PP_Grid[#Data],$DD188,83),0)</f>
        <v/>
      </c>
      <c r="CH188">
        <f>IFERROR(INDEX(PP_Grid[#Data],$DD188,84),0)</f>
        <v/>
      </c>
      <c r="CI188">
        <f>IFERROR(INDEX(PP_Grid[#Data],$DD188,85),0)</f>
        <v/>
      </c>
      <c r="CJ188">
        <f>IFERROR(INDEX(PP_Grid[#Data],$DD188,86),0)</f>
        <v/>
      </c>
      <c r="CK188">
        <f>IFERROR(INDEX(PP_Grid[#Data],$DD188,87),0)</f>
        <v/>
      </c>
      <c r="CL188">
        <f>IFERROR(INDEX(PP_Grid[#Data],$DD188,88),0)</f>
        <v/>
      </c>
      <c r="CM188">
        <f>IFERROR(INDEX(PP_Grid[#Data],$DD188,89),0)</f>
        <v/>
      </c>
      <c r="CN188">
        <f>IFERROR(INDEX(PP_Grid[#Data],$DD188,90),0)</f>
        <v/>
      </c>
      <c r="CO188">
        <f>IFERROR(INDEX(PP_Grid[#Data],$DD188,91),0)</f>
        <v/>
      </c>
      <c r="CP188">
        <f>IFERROR(INDEX(PP_Grid[#Data],$DD188,92),0)</f>
        <v/>
      </c>
      <c r="CQ188">
        <f>IFERROR(INDEX(PP_Grid[#Data],$DD188,93),0)</f>
        <v/>
      </c>
      <c r="CR188">
        <f>IFERROR(INDEX(PP_Grid[#Data],$DD188,94),0)</f>
        <v/>
      </c>
      <c r="CS188">
        <f>IFERROR(INDEX(PP_Grid[#Data],$DD188,95),0)</f>
        <v/>
      </c>
      <c r="CT188">
        <f>IFERROR(INDEX(PP_Grid[#Data],$DD188,96),0)</f>
        <v/>
      </c>
      <c r="CU188">
        <f>IFERROR(INDEX(PP_Grid[#Data],$DD188,97),0)</f>
        <v/>
      </c>
      <c r="CV188">
        <f>IFERROR(INDEX(PP_Grid[#Data],$DD188,98),0)</f>
        <v/>
      </c>
      <c r="CW188">
        <f>IFERROR(INDEX(PP_Grid[#Data],$DD188,99),0)</f>
        <v/>
      </c>
      <c r="CX188">
        <f>IFERROR(INDEX(PP_Grid[#Data],$DD188,100),0)</f>
        <v/>
      </c>
      <c r="CY188">
        <f>IFERROR(INDEX(PP_Grid[#Data],$DD188,101),0)</f>
        <v/>
      </c>
      <c r="CZ188">
        <f>IFERROR(INDEX(PP_Grid[#Data],$DD188,102),0)</f>
        <v/>
      </c>
      <c r="DA188">
        <f>IFERROR(INDEX(PP_Grid[#Data],$DD188,103),0)</f>
        <v/>
      </c>
      <c r="DB188">
        <f>IFERROR(INDEX(PP_Grid[#Data],$DD188,104),0)</f>
        <v/>
      </c>
      <c r="DC188">
        <f>IFERROR(INDEX(PP_Grid[#Data],$DD188,105),0)</f>
        <v/>
      </c>
      <c r="DD188" s="12">
        <f>IFERROR(MATCH($B188,PP_Grid[Intermediate],0),99999)</f>
        <v/>
      </c>
    </row>
    <row r="189">
      <c r="B189" t="inlineStr">
        <is>
          <t>使用量(kg)</t>
        </is>
      </c>
      <c r="C189">
        <f>SUMIFS(M_BOM[RM_Qty_Per_Batch],M_BOM[Intermediate],$B188,M_BOM[Part Name],$A45)</f>
        <v/>
      </c>
      <c r="D189">
        <f>$C189*D188</f>
        <v/>
      </c>
      <c r="E189">
        <f>$C189*E188</f>
        <v/>
      </c>
      <c r="F189">
        <f>$C189*F188</f>
        <v/>
      </c>
      <c r="G189">
        <f>$C189*G188</f>
        <v/>
      </c>
      <c r="H189">
        <f>$C189*H188</f>
        <v/>
      </c>
      <c r="I189">
        <f>$C189*I188</f>
        <v/>
      </c>
      <c r="J189">
        <f>$C189*J188</f>
        <v/>
      </c>
      <c r="K189">
        <f>$C189*K188</f>
        <v/>
      </c>
      <c r="L189">
        <f>$C189*L188</f>
        <v/>
      </c>
      <c r="M189">
        <f>$C189*M188</f>
        <v/>
      </c>
      <c r="N189">
        <f>$C189*N188</f>
        <v/>
      </c>
      <c r="O189">
        <f>$C189*O188</f>
        <v/>
      </c>
      <c r="P189">
        <f>$C189*P188</f>
        <v/>
      </c>
      <c r="Q189">
        <f>$C189*Q188</f>
        <v/>
      </c>
      <c r="R189">
        <f>$C189*R188</f>
        <v/>
      </c>
      <c r="S189">
        <f>$C189*S188</f>
        <v/>
      </c>
      <c r="T189">
        <f>$C189*T188</f>
        <v/>
      </c>
      <c r="U189">
        <f>$C189*U188</f>
        <v/>
      </c>
      <c r="V189">
        <f>$C189*V188</f>
        <v/>
      </c>
      <c r="W189">
        <f>$C189*W188</f>
        <v/>
      </c>
      <c r="X189">
        <f>$C189*X188</f>
        <v/>
      </c>
      <c r="Y189">
        <f>$C189*Y188</f>
        <v/>
      </c>
      <c r="Z189">
        <f>$C189*Z188</f>
        <v/>
      </c>
      <c r="AA189">
        <f>$C189*AA188</f>
        <v/>
      </c>
      <c r="AB189">
        <f>$C189*AB188</f>
        <v/>
      </c>
      <c r="AC189">
        <f>$C189*AC188</f>
        <v/>
      </c>
      <c r="AD189">
        <f>$C189*AD188</f>
        <v/>
      </c>
      <c r="AE189">
        <f>$C189*AE188</f>
        <v/>
      </c>
      <c r="AF189">
        <f>$C189*AF188</f>
        <v/>
      </c>
      <c r="AG189">
        <f>$C189*AG188</f>
        <v/>
      </c>
      <c r="AH189">
        <f>$C189*AH188</f>
        <v/>
      </c>
      <c r="AI189">
        <f>$C189*AI188</f>
        <v/>
      </c>
      <c r="AJ189">
        <f>$C189*AJ188</f>
        <v/>
      </c>
      <c r="AK189">
        <f>$C189*AK188</f>
        <v/>
      </c>
      <c r="AL189">
        <f>$C189*AL188</f>
        <v/>
      </c>
      <c r="AM189">
        <f>$C189*AM188</f>
        <v/>
      </c>
      <c r="AN189">
        <f>$C189*AN188</f>
        <v/>
      </c>
      <c r="AO189">
        <f>$C189*AO188</f>
        <v/>
      </c>
      <c r="AP189">
        <f>$C189*AP188</f>
        <v/>
      </c>
      <c r="AQ189">
        <f>$C189*AQ188</f>
        <v/>
      </c>
      <c r="AR189">
        <f>$C189*AR188</f>
        <v/>
      </c>
      <c r="AS189">
        <f>$C189*AS188</f>
        <v/>
      </c>
      <c r="AT189">
        <f>$C189*AT188</f>
        <v/>
      </c>
      <c r="AU189">
        <f>$C189*AU188</f>
        <v/>
      </c>
      <c r="AV189">
        <f>$C189*AV188</f>
        <v/>
      </c>
      <c r="AW189">
        <f>$C189*AW188</f>
        <v/>
      </c>
      <c r="AX189">
        <f>$C189*AX188</f>
        <v/>
      </c>
      <c r="AY189">
        <f>$C189*AY188</f>
        <v/>
      </c>
      <c r="AZ189">
        <f>$C189*AZ188</f>
        <v/>
      </c>
      <c r="BA189">
        <f>$C189*BA188</f>
        <v/>
      </c>
      <c r="BB189">
        <f>$C189*BB188</f>
        <v/>
      </c>
      <c r="BC189">
        <f>$C189*BC188</f>
        <v/>
      </c>
      <c r="BD189">
        <f>$C189*BD188</f>
        <v/>
      </c>
      <c r="BE189">
        <f>$C189*BE188</f>
        <v/>
      </c>
      <c r="BF189">
        <f>$C189*BF188</f>
        <v/>
      </c>
      <c r="BG189">
        <f>$C189*BG188</f>
        <v/>
      </c>
      <c r="BH189">
        <f>$C189*BH188</f>
        <v/>
      </c>
      <c r="BI189">
        <f>$C189*BI188</f>
        <v/>
      </c>
      <c r="BJ189">
        <f>$C189*BJ188</f>
        <v/>
      </c>
      <c r="BK189">
        <f>$C189*BK188</f>
        <v/>
      </c>
      <c r="BL189">
        <f>$C189*BL188</f>
        <v/>
      </c>
      <c r="BM189">
        <f>$C189*BM188</f>
        <v/>
      </c>
      <c r="BN189">
        <f>$C189*BN188</f>
        <v/>
      </c>
      <c r="BO189">
        <f>$C189*BO188</f>
        <v/>
      </c>
      <c r="BP189">
        <f>$C189*BP188</f>
        <v/>
      </c>
      <c r="BQ189">
        <f>$C189*BQ188</f>
        <v/>
      </c>
      <c r="BR189">
        <f>$C189*BR188</f>
        <v/>
      </c>
      <c r="BS189">
        <f>$C189*BS188</f>
        <v/>
      </c>
      <c r="BT189">
        <f>$C189*BT188</f>
        <v/>
      </c>
      <c r="BU189">
        <f>$C189*BU188</f>
        <v/>
      </c>
      <c r="BV189">
        <f>$C189*BV188</f>
        <v/>
      </c>
      <c r="BW189">
        <f>$C189*BW188</f>
        <v/>
      </c>
      <c r="BX189">
        <f>$C189*BX188</f>
        <v/>
      </c>
      <c r="BY189">
        <f>$C189*BY188</f>
        <v/>
      </c>
      <c r="BZ189">
        <f>$C189*BZ188</f>
        <v/>
      </c>
      <c r="CA189">
        <f>$C189*CA188</f>
        <v/>
      </c>
      <c r="CB189">
        <f>$C189*CB188</f>
        <v/>
      </c>
      <c r="CC189">
        <f>$C189*CC188</f>
        <v/>
      </c>
      <c r="CD189">
        <f>$C189*CD188</f>
        <v/>
      </c>
      <c r="CE189">
        <f>$C189*CE188</f>
        <v/>
      </c>
      <c r="CF189">
        <f>$C189*CF188</f>
        <v/>
      </c>
      <c r="CG189">
        <f>$C189*CG188</f>
        <v/>
      </c>
      <c r="CH189">
        <f>$C189*CH188</f>
        <v/>
      </c>
      <c r="CI189">
        <f>$C189*CI188</f>
        <v/>
      </c>
      <c r="CJ189">
        <f>$C189*CJ188</f>
        <v/>
      </c>
      <c r="CK189">
        <f>$C189*CK188</f>
        <v/>
      </c>
      <c r="CL189">
        <f>$C189*CL188</f>
        <v/>
      </c>
      <c r="CM189">
        <f>$C189*CM188</f>
        <v/>
      </c>
      <c r="CN189">
        <f>$C189*CN188</f>
        <v/>
      </c>
      <c r="CO189">
        <f>$C189*CO188</f>
        <v/>
      </c>
      <c r="CP189">
        <f>$C189*CP188</f>
        <v/>
      </c>
      <c r="CQ189">
        <f>$C189*CQ188</f>
        <v/>
      </c>
      <c r="CR189">
        <f>$C189*CR188</f>
        <v/>
      </c>
      <c r="CS189">
        <f>$C189*CS188</f>
        <v/>
      </c>
      <c r="CT189">
        <f>$C189*CT188</f>
        <v/>
      </c>
      <c r="CU189">
        <f>$C189*CU188</f>
        <v/>
      </c>
      <c r="CV189">
        <f>$C189*CV188</f>
        <v/>
      </c>
      <c r="CW189">
        <f>$C189*CW188</f>
        <v/>
      </c>
      <c r="CX189">
        <f>$C189*CX188</f>
        <v/>
      </c>
      <c r="CY189">
        <f>$C189*CY188</f>
        <v/>
      </c>
      <c r="CZ189">
        <f>$C189*CZ188</f>
        <v/>
      </c>
      <c r="DA189">
        <f>$C189*DA188</f>
        <v/>
      </c>
      <c r="DB189">
        <f>$C189*DB188</f>
        <v/>
      </c>
      <c r="DC189">
        <f>$C189*DC188</f>
        <v/>
      </c>
    </row>
    <row r="190">
      <c r="B190" t="inlineStr">
        <is>
          <t>VSP-820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Name],$A45)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VSP-822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Name],$A45)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VSP-869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Name],$A45)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VSP-870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Name],$A45)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VSP-910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Name],$A45)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VSP-989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Name],$A45)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VSP-990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12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Name],$A45)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t="inlineStr">
        <is>
          <t>VSZ-745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12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Name],$A45)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TVS-267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12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Name],$A45)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TVS-500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12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Name],$A45)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12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Name],$A45)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TSP-1558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Name],$A45)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s="9" t="inlineStr">
        <is>
          <t>合計使用量(kg)/週</t>
        </is>
      </c>
      <c r="D214">
        <f>'Grid_Requirement'!B5</f>
        <v/>
      </c>
      <c r="E214">
        <f>'Grid_Requirement'!C5</f>
        <v/>
      </c>
      <c r="F214">
        <f>'Grid_Requirement'!D5</f>
        <v/>
      </c>
      <c r="G214">
        <f>'Grid_Requirement'!E5</f>
        <v/>
      </c>
      <c r="H214">
        <f>'Grid_Requirement'!F5</f>
        <v/>
      </c>
      <c r="I214">
        <f>'Grid_Requirement'!G5</f>
        <v/>
      </c>
      <c r="J214">
        <f>'Grid_Requirement'!H5</f>
        <v/>
      </c>
      <c r="K214">
        <f>'Grid_Requirement'!I5</f>
        <v/>
      </c>
      <c r="L214">
        <f>'Grid_Requirement'!J5</f>
        <v/>
      </c>
      <c r="M214">
        <f>'Grid_Requirement'!K5</f>
        <v/>
      </c>
      <c r="N214">
        <f>'Grid_Requirement'!L5</f>
        <v/>
      </c>
      <c r="O214">
        <f>'Grid_Requirement'!M5</f>
        <v/>
      </c>
      <c r="P214">
        <f>'Grid_Requirement'!N5</f>
        <v/>
      </c>
      <c r="Q214">
        <f>'Grid_Requirement'!O5</f>
        <v/>
      </c>
      <c r="R214">
        <f>'Grid_Requirement'!P5</f>
        <v/>
      </c>
      <c r="S214">
        <f>'Grid_Requirement'!Q5</f>
        <v/>
      </c>
      <c r="T214">
        <f>'Grid_Requirement'!R5</f>
        <v/>
      </c>
      <c r="U214">
        <f>'Grid_Requirement'!S5</f>
        <v/>
      </c>
      <c r="V214">
        <f>'Grid_Requirement'!T5</f>
        <v/>
      </c>
      <c r="W214">
        <f>'Grid_Requirement'!U5</f>
        <v/>
      </c>
      <c r="X214">
        <f>'Grid_Requirement'!V5</f>
        <v/>
      </c>
      <c r="Y214">
        <f>'Grid_Requirement'!W5</f>
        <v/>
      </c>
      <c r="Z214">
        <f>'Grid_Requirement'!X5</f>
        <v/>
      </c>
      <c r="AA214">
        <f>'Grid_Requirement'!Y5</f>
        <v/>
      </c>
      <c r="AB214">
        <f>'Grid_Requirement'!Z5</f>
        <v/>
      </c>
      <c r="AC214">
        <f>'Grid_Requirement'!AA5</f>
        <v/>
      </c>
      <c r="AD214">
        <f>'Grid_Requirement'!AB5</f>
        <v/>
      </c>
      <c r="AE214">
        <f>'Grid_Requirement'!AC5</f>
        <v/>
      </c>
      <c r="AF214">
        <f>'Grid_Requirement'!AD5</f>
        <v/>
      </c>
      <c r="AG214">
        <f>'Grid_Requirement'!AE5</f>
        <v/>
      </c>
      <c r="AH214">
        <f>'Grid_Requirement'!AF5</f>
        <v/>
      </c>
      <c r="AI214">
        <f>'Grid_Requirement'!AG5</f>
        <v/>
      </c>
      <c r="AJ214">
        <f>'Grid_Requirement'!AH5</f>
        <v/>
      </c>
      <c r="AK214">
        <f>'Grid_Requirement'!AI5</f>
        <v/>
      </c>
      <c r="AL214">
        <f>'Grid_Requirement'!AJ5</f>
        <v/>
      </c>
      <c r="AM214">
        <f>'Grid_Requirement'!AK5</f>
        <v/>
      </c>
      <c r="AN214">
        <f>'Grid_Requirement'!AL5</f>
        <v/>
      </c>
      <c r="AO214">
        <f>'Grid_Requirement'!AM5</f>
        <v/>
      </c>
      <c r="AP214">
        <f>'Grid_Requirement'!AN5</f>
        <v/>
      </c>
      <c r="AQ214">
        <f>'Grid_Requirement'!AO5</f>
        <v/>
      </c>
      <c r="AR214">
        <f>'Grid_Requirement'!AP5</f>
        <v/>
      </c>
      <c r="AS214">
        <f>'Grid_Requirement'!AQ5</f>
        <v/>
      </c>
      <c r="AT214">
        <f>'Grid_Requirement'!AR5</f>
        <v/>
      </c>
      <c r="AU214">
        <f>'Grid_Requirement'!AS5</f>
        <v/>
      </c>
      <c r="AV214">
        <f>'Grid_Requirement'!AT5</f>
        <v/>
      </c>
      <c r="AW214">
        <f>'Grid_Requirement'!AU5</f>
        <v/>
      </c>
      <c r="AX214">
        <f>'Grid_Requirement'!AV5</f>
        <v/>
      </c>
      <c r="AY214">
        <f>'Grid_Requirement'!AW5</f>
        <v/>
      </c>
      <c r="AZ214">
        <f>'Grid_Requirement'!AX5</f>
        <v/>
      </c>
      <c r="BA214">
        <f>'Grid_Requirement'!AY5</f>
        <v/>
      </c>
      <c r="BB214">
        <f>'Grid_Requirement'!AZ5</f>
        <v/>
      </c>
      <c r="BC214">
        <f>'Grid_Requirement'!BA5</f>
        <v/>
      </c>
      <c r="BD214">
        <f>'Grid_Requirement'!BB5</f>
        <v/>
      </c>
      <c r="BE214">
        <f>'Grid_Requirement'!BC5</f>
        <v/>
      </c>
      <c r="BF214">
        <f>'Grid_Requirement'!BD5</f>
        <v/>
      </c>
      <c r="BG214">
        <f>'Grid_Requirement'!BE5</f>
        <v/>
      </c>
      <c r="BH214">
        <f>'Grid_Requirement'!BF5</f>
        <v/>
      </c>
      <c r="BI214">
        <f>'Grid_Requirement'!BG5</f>
        <v/>
      </c>
      <c r="BJ214">
        <f>'Grid_Requirement'!BH5</f>
        <v/>
      </c>
      <c r="BK214">
        <f>'Grid_Requirement'!BI5</f>
        <v/>
      </c>
      <c r="BL214">
        <f>'Grid_Requirement'!BJ5</f>
        <v/>
      </c>
      <c r="BM214">
        <f>'Grid_Requirement'!BK5</f>
        <v/>
      </c>
      <c r="BN214">
        <f>'Grid_Requirement'!BL5</f>
        <v/>
      </c>
      <c r="BO214">
        <f>'Grid_Requirement'!BM5</f>
        <v/>
      </c>
      <c r="BP214">
        <f>'Grid_Requirement'!BN5</f>
        <v/>
      </c>
      <c r="BQ214">
        <f>'Grid_Requirement'!BO5</f>
        <v/>
      </c>
      <c r="BR214">
        <f>'Grid_Requirement'!BP5</f>
        <v/>
      </c>
      <c r="BS214">
        <f>'Grid_Requirement'!BQ5</f>
        <v/>
      </c>
      <c r="BT214">
        <f>'Grid_Requirement'!BR5</f>
        <v/>
      </c>
      <c r="BU214">
        <f>'Grid_Requirement'!BS5</f>
        <v/>
      </c>
      <c r="BV214">
        <f>'Grid_Requirement'!BT5</f>
        <v/>
      </c>
      <c r="BW214">
        <f>'Grid_Requirement'!BU5</f>
        <v/>
      </c>
      <c r="BX214">
        <f>'Grid_Requirement'!BV5</f>
        <v/>
      </c>
      <c r="BY214">
        <f>'Grid_Requirement'!BW5</f>
        <v/>
      </c>
      <c r="BZ214">
        <f>'Grid_Requirement'!BX5</f>
        <v/>
      </c>
      <c r="CA214">
        <f>'Grid_Requirement'!BY5</f>
        <v/>
      </c>
      <c r="CB214">
        <f>'Grid_Requirement'!BZ5</f>
        <v/>
      </c>
      <c r="CC214">
        <f>'Grid_Requirement'!CA5</f>
        <v/>
      </c>
      <c r="CD214">
        <f>'Grid_Requirement'!CB5</f>
        <v/>
      </c>
      <c r="CE214">
        <f>'Grid_Requirement'!CC5</f>
        <v/>
      </c>
      <c r="CF214">
        <f>'Grid_Requirement'!CD5</f>
        <v/>
      </c>
      <c r="CG214">
        <f>'Grid_Requirement'!CE5</f>
        <v/>
      </c>
      <c r="CH214">
        <f>'Grid_Requirement'!CF5</f>
        <v/>
      </c>
      <c r="CI214">
        <f>'Grid_Requirement'!CG5</f>
        <v/>
      </c>
      <c r="CJ214">
        <f>'Grid_Requirement'!CH5</f>
        <v/>
      </c>
      <c r="CK214">
        <f>'Grid_Requirement'!CI5</f>
        <v/>
      </c>
      <c r="CL214">
        <f>'Grid_Requirement'!CJ5</f>
        <v/>
      </c>
      <c r="CM214">
        <f>'Grid_Requirement'!CK5</f>
        <v/>
      </c>
      <c r="CN214">
        <f>'Grid_Requirement'!CL5</f>
        <v/>
      </c>
      <c r="CO214">
        <f>'Grid_Requirement'!CM5</f>
        <v/>
      </c>
      <c r="CP214">
        <f>'Grid_Requirement'!CN5</f>
        <v/>
      </c>
      <c r="CQ214">
        <f>'Grid_Requirement'!CO5</f>
        <v/>
      </c>
      <c r="CR214">
        <f>'Grid_Requirement'!CP5</f>
        <v/>
      </c>
      <c r="CS214">
        <f>'Grid_Requirement'!CQ5</f>
        <v/>
      </c>
      <c r="CT214">
        <f>'Grid_Requirement'!CR5</f>
        <v/>
      </c>
      <c r="CU214">
        <f>'Grid_Requirement'!CS5</f>
        <v/>
      </c>
      <c r="CV214">
        <f>'Grid_Requirement'!CT5</f>
        <v/>
      </c>
      <c r="CW214">
        <f>'Grid_Requirement'!CU5</f>
        <v/>
      </c>
      <c r="CX214">
        <f>'Grid_Requirement'!CV5</f>
        <v/>
      </c>
      <c r="CY214">
        <f>'Grid_Requirement'!CW5</f>
        <v/>
      </c>
      <c r="CZ214">
        <f>'Grid_Requirement'!CX5</f>
        <v/>
      </c>
      <c r="DA214">
        <f>'Grid_Requirement'!CY5</f>
        <v/>
      </c>
      <c r="DB214">
        <f>'Grid_Requirement'!CZ5</f>
        <v/>
      </c>
      <c r="DC214">
        <f>'Grid_Requirement'!DA5</f>
        <v/>
      </c>
    </row>
    <row r="215">
      <c r="B215" t="inlineStr">
        <is>
          <t>TTAF在庫(実績,kg)</t>
        </is>
      </c>
      <c r="D215">
        <f>'T_TTAFStock'!B9</f>
        <v/>
      </c>
      <c r="E215">
        <f>'T_TTAFStock'!C9</f>
        <v/>
      </c>
      <c r="F215">
        <f>'T_TTAFStock'!D9</f>
        <v/>
      </c>
      <c r="G215">
        <f>'T_TTAFStock'!E9</f>
        <v/>
      </c>
      <c r="H215">
        <f>'T_TTAFStock'!F9</f>
        <v/>
      </c>
      <c r="I215">
        <f>'T_TTAFStock'!G9</f>
        <v/>
      </c>
      <c r="J215">
        <f>'T_TTAFStock'!H9</f>
        <v/>
      </c>
      <c r="K215">
        <f>'T_TTAFStock'!I9</f>
        <v/>
      </c>
      <c r="L215">
        <f>'T_TTAFStock'!J9</f>
        <v/>
      </c>
      <c r="M215">
        <f>'T_TTAFStock'!K9</f>
        <v/>
      </c>
      <c r="N215">
        <f>'T_TTAFStock'!L9</f>
        <v/>
      </c>
      <c r="O215">
        <f>'T_TTAFStock'!M9</f>
        <v/>
      </c>
      <c r="P215">
        <f>'T_TTAFStock'!N9</f>
        <v/>
      </c>
      <c r="Q215">
        <f>'T_TTAFStock'!O9</f>
        <v/>
      </c>
      <c r="R215">
        <f>'T_TTAFStock'!P9</f>
        <v/>
      </c>
      <c r="S215">
        <f>'T_TTAFStock'!Q9</f>
        <v/>
      </c>
      <c r="T215">
        <f>'T_TTAFStock'!R9</f>
        <v/>
      </c>
      <c r="U215">
        <f>'T_TTAFStock'!S9</f>
        <v/>
      </c>
      <c r="V215">
        <f>'T_TTAFStock'!T9</f>
        <v/>
      </c>
      <c r="W215">
        <f>'T_TTAFStock'!U9</f>
        <v/>
      </c>
      <c r="X215">
        <f>'T_TTAFStock'!V9</f>
        <v/>
      </c>
      <c r="Y215">
        <f>'T_TTAFStock'!W9</f>
        <v/>
      </c>
      <c r="Z215">
        <f>'T_TTAFStock'!X9</f>
        <v/>
      </c>
      <c r="AA215">
        <f>'T_TTAFStock'!Y9</f>
        <v/>
      </c>
      <c r="AB215">
        <f>'T_TTAFStock'!Z9</f>
        <v/>
      </c>
      <c r="AC215">
        <f>'T_TTAFStock'!AA9</f>
        <v/>
      </c>
      <c r="AD215">
        <f>'T_TTAFStock'!AB9</f>
        <v/>
      </c>
      <c r="AE215">
        <f>'T_TTAFStock'!AC9</f>
        <v/>
      </c>
      <c r="AF215">
        <f>'T_TTAFStock'!AD9</f>
        <v/>
      </c>
      <c r="AG215">
        <f>'T_TTAFStock'!AE9</f>
        <v/>
      </c>
      <c r="AH215">
        <f>'T_TTAFStock'!AF9</f>
        <v/>
      </c>
      <c r="AI215">
        <f>'T_TTAFStock'!AG9</f>
        <v/>
      </c>
      <c r="AJ215">
        <f>'T_TTAFStock'!AH9</f>
        <v/>
      </c>
      <c r="AK215">
        <f>'T_TTAFStock'!AI9</f>
        <v/>
      </c>
      <c r="AL215">
        <f>'T_TTAFStock'!AJ9</f>
        <v/>
      </c>
      <c r="AM215">
        <f>'T_TTAFStock'!AK9</f>
        <v/>
      </c>
      <c r="AN215">
        <f>'T_TTAFStock'!AL9</f>
        <v/>
      </c>
      <c r="AO215">
        <f>'T_TTAFStock'!AM9</f>
        <v/>
      </c>
      <c r="AP215">
        <f>'T_TTAFStock'!AN9</f>
        <v/>
      </c>
      <c r="AQ215">
        <f>'T_TTAFStock'!AO9</f>
        <v/>
      </c>
      <c r="AR215">
        <f>'T_TTAFStock'!AP9</f>
        <v/>
      </c>
      <c r="AS215">
        <f>'T_TTAFStock'!AQ9</f>
        <v/>
      </c>
      <c r="AT215">
        <f>'T_TTAFStock'!AR9</f>
        <v/>
      </c>
      <c r="AU215">
        <f>'T_TTAFStock'!AS9</f>
        <v/>
      </c>
      <c r="AV215">
        <f>'T_TTAFStock'!AT9</f>
        <v/>
      </c>
      <c r="AW215">
        <f>'T_TTAFStock'!AU9</f>
        <v/>
      </c>
      <c r="AX215">
        <f>'T_TTAFStock'!AV9</f>
        <v/>
      </c>
      <c r="AY215">
        <f>'T_TTAFStock'!AW9</f>
        <v/>
      </c>
      <c r="AZ215">
        <f>'T_TTAFStock'!AX9</f>
        <v/>
      </c>
      <c r="BA215">
        <f>'T_TTAFStock'!AY9</f>
        <v/>
      </c>
      <c r="BB215">
        <f>'T_TTAFStock'!AZ9</f>
        <v/>
      </c>
      <c r="BC215">
        <f>'T_TTAFStock'!BA9</f>
        <v/>
      </c>
      <c r="BD215">
        <f>'T_TTAFStock'!BB9</f>
        <v/>
      </c>
      <c r="BE215">
        <f>'T_TTAFStock'!BC9</f>
        <v/>
      </c>
      <c r="BF215">
        <f>'T_TTAFStock'!BD9</f>
        <v/>
      </c>
      <c r="BG215">
        <f>'T_TTAFStock'!BE9</f>
        <v/>
      </c>
      <c r="BH215">
        <f>'T_TTAFStock'!BF9</f>
        <v/>
      </c>
      <c r="BI215">
        <f>'T_TTAFStock'!BG9</f>
        <v/>
      </c>
      <c r="BJ215">
        <f>'T_TTAFStock'!BH9</f>
        <v/>
      </c>
      <c r="BK215">
        <f>'T_TTAFStock'!BI9</f>
        <v/>
      </c>
      <c r="BL215">
        <f>'T_TTAFStock'!BJ9</f>
        <v/>
      </c>
      <c r="BM215">
        <f>'T_TTAFStock'!BK9</f>
        <v/>
      </c>
      <c r="BN215">
        <f>'T_TTAFStock'!BL9</f>
        <v/>
      </c>
      <c r="BO215">
        <f>'T_TTAFStock'!BM9</f>
        <v/>
      </c>
      <c r="BP215">
        <f>'T_TTAFStock'!BN9</f>
        <v/>
      </c>
      <c r="BQ215">
        <f>'T_TTAFStock'!BO9</f>
        <v/>
      </c>
      <c r="BR215">
        <f>'T_TTAFStock'!BP9</f>
        <v/>
      </c>
      <c r="BS215">
        <f>'T_TTAFStock'!BQ9</f>
        <v/>
      </c>
      <c r="BT215">
        <f>'T_TTAFStock'!BR9</f>
        <v/>
      </c>
      <c r="BU215">
        <f>'T_TTAFStock'!BS9</f>
        <v/>
      </c>
      <c r="BV215">
        <f>'T_TTAFStock'!BT9</f>
        <v/>
      </c>
      <c r="BW215">
        <f>'T_TTAFStock'!BU9</f>
        <v/>
      </c>
      <c r="BX215">
        <f>'T_TTAFStock'!BV9</f>
        <v/>
      </c>
      <c r="BY215">
        <f>'T_TTAFStock'!BW9</f>
        <v/>
      </c>
      <c r="BZ215">
        <f>'T_TTAFStock'!BX9</f>
        <v/>
      </c>
      <c r="CA215">
        <f>'T_TTAFStock'!BY9</f>
        <v/>
      </c>
      <c r="CB215">
        <f>'T_TTAFStock'!BZ9</f>
        <v/>
      </c>
      <c r="CC215">
        <f>'T_TTAFStock'!CA9</f>
        <v/>
      </c>
      <c r="CD215">
        <f>'T_TTAFStock'!CB9</f>
        <v/>
      </c>
      <c r="CE215">
        <f>'T_TTAFStock'!CC9</f>
        <v/>
      </c>
      <c r="CF215">
        <f>'T_TTAFStock'!CD9</f>
        <v/>
      </c>
      <c r="CG215">
        <f>'T_TTAFStock'!CE9</f>
        <v/>
      </c>
      <c r="CH215">
        <f>'T_TTAFStock'!CF9</f>
        <v/>
      </c>
      <c r="CI215">
        <f>'T_TTAFStock'!CG9</f>
        <v/>
      </c>
      <c r="CJ215">
        <f>'T_TTAFStock'!CH9</f>
        <v/>
      </c>
      <c r="CK215">
        <f>'T_TTAFStock'!CI9</f>
        <v/>
      </c>
      <c r="CL215">
        <f>'T_TTAFStock'!CJ9</f>
        <v/>
      </c>
      <c r="CM215">
        <f>'T_TTAFStock'!CK9</f>
        <v/>
      </c>
      <c r="CN215">
        <f>'T_TTAFStock'!CL9</f>
        <v/>
      </c>
      <c r="CO215">
        <f>'T_TTAFStock'!CM9</f>
        <v/>
      </c>
      <c r="CP215">
        <f>'T_TTAFStock'!CN9</f>
        <v/>
      </c>
      <c r="CQ215">
        <f>'T_TTAFStock'!CO9</f>
        <v/>
      </c>
      <c r="CR215">
        <f>'T_TTAFStock'!CP9</f>
        <v/>
      </c>
      <c r="CS215">
        <f>'T_TTAFStock'!CQ9</f>
        <v/>
      </c>
      <c r="CT215">
        <f>'T_TTAFStock'!CR9</f>
        <v/>
      </c>
      <c r="CU215">
        <f>'T_TTAFStock'!CS9</f>
        <v/>
      </c>
      <c r="CV215">
        <f>'T_TTAFStock'!CT9</f>
        <v/>
      </c>
      <c r="CW215">
        <f>'T_TTAFStock'!CU9</f>
        <v/>
      </c>
      <c r="CX215">
        <f>'T_TTAFStock'!CV9</f>
        <v/>
      </c>
      <c r="CY215">
        <f>'T_TTAFStock'!CW9</f>
        <v/>
      </c>
      <c r="CZ215">
        <f>'T_TTAFStock'!CX9</f>
        <v/>
      </c>
      <c r="DA215">
        <f>'T_TTAFStock'!CY9</f>
        <v/>
      </c>
      <c r="DB215">
        <f>'T_TTAFStock'!CZ9</f>
        <v/>
      </c>
      <c r="DC215">
        <f>'T_TTAFStock'!DA9</f>
        <v/>
      </c>
    </row>
    <row r="216">
      <c r="B216" t="inlineStr">
        <is>
          <t>自社在庫(実績,kg)</t>
        </is>
      </c>
      <c r="D216">
        <f>'T_SelfStock'!B9</f>
        <v/>
      </c>
      <c r="E216">
        <f>'T_SelfStock'!C9</f>
        <v/>
      </c>
      <c r="F216">
        <f>'T_SelfStock'!D9</f>
        <v/>
      </c>
      <c r="G216">
        <f>'T_SelfStock'!E9</f>
        <v/>
      </c>
      <c r="H216">
        <f>'T_SelfStock'!F9</f>
        <v/>
      </c>
      <c r="I216">
        <f>'T_SelfStock'!G9</f>
        <v/>
      </c>
      <c r="J216">
        <f>'T_SelfStock'!H9</f>
        <v/>
      </c>
      <c r="K216">
        <f>'T_SelfStock'!I9</f>
        <v/>
      </c>
      <c r="L216">
        <f>'T_SelfStock'!J9</f>
        <v/>
      </c>
      <c r="M216">
        <f>'T_SelfStock'!K9</f>
        <v/>
      </c>
      <c r="N216">
        <f>'T_SelfStock'!L9</f>
        <v/>
      </c>
      <c r="O216">
        <f>'T_SelfStock'!M9</f>
        <v/>
      </c>
      <c r="P216">
        <f>'T_SelfStock'!N9</f>
        <v/>
      </c>
      <c r="Q216">
        <f>'T_SelfStock'!O9</f>
        <v/>
      </c>
      <c r="R216">
        <f>'T_SelfStock'!P9</f>
        <v/>
      </c>
      <c r="S216">
        <f>'T_SelfStock'!Q9</f>
        <v/>
      </c>
      <c r="T216">
        <f>'T_SelfStock'!R9</f>
        <v/>
      </c>
      <c r="U216">
        <f>'T_SelfStock'!S9</f>
        <v/>
      </c>
      <c r="V216">
        <f>'T_SelfStock'!T9</f>
        <v/>
      </c>
      <c r="W216">
        <f>'T_SelfStock'!U9</f>
        <v/>
      </c>
      <c r="X216">
        <f>'T_SelfStock'!V9</f>
        <v/>
      </c>
      <c r="Y216">
        <f>'T_SelfStock'!W9</f>
        <v/>
      </c>
      <c r="Z216">
        <f>'T_SelfStock'!X9</f>
        <v/>
      </c>
      <c r="AA216">
        <f>'T_SelfStock'!Y9</f>
        <v/>
      </c>
      <c r="AB216">
        <f>'T_SelfStock'!Z9</f>
        <v/>
      </c>
      <c r="AC216">
        <f>'T_SelfStock'!AA9</f>
        <v/>
      </c>
      <c r="AD216">
        <f>'T_SelfStock'!AB9</f>
        <v/>
      </c>
      <c r="AE216">
        <f>'T_SelfStock'!AC9</f>
        <v/>
      </c>
      <c r="AF216">
        <f>'T_SelfStock'!AD9</f>
        <v/>
      </c>
      <c r="AG216">
        <f>'T_SelfStock'!AE9</f>
        <v/>
      </c>
      <c r="AH216">
        <f>'T_SelfStock'!AF9</f>
        <v/>
      </c>
      <c r="AI216">
        <f>'T_SelfStock'!AG9</f>
        <v/>
      </c>
      <c r="AJ216">
        <f>'T_SelfStock'!AH9</f>
        <v/>
      </c>
      <c r="AK216">
        <f>'T_SelfStock'!AI9</f>
        <v/>
      </c>
      <c r="AL216">
        <f>'T_SelfStock'!AJ9</f>
        <v/>
      </c>
      <c r="AM216">
        <f>'T_SelfStock'!AK9</f>
        <v/>
      </c>
      <c r="AN216">
        <f>'T_SelfStock'!AL9</f>
        <v/>
      </c>
      <c r="AO216">
        <f>'T_SelfStock'!AM9</f>
        <v/>
      </c>
      <c r="AP216">
        <f>'T_SelfStock'!AN9</f>
        <v/>
      </c>
      <c r="AQ216">
        <f>'T_SelfStock'!AO9</f>
        <v/>
      </c>
      <c r="AR216">
        <f>'T_SelfStock'!AP9</f>
        <v/>
      </c>
      <c r="AS216">
        <f>'T_SelfStock'!AQ9</f>
        <v/>
      </c>
      <c r="AT216">
        <f>'T_SelfStock'!AR9</f>
        <v/>
      </c>
      <c r="AU216">
        <f>'T_SelfStock'!AS9</f>
        <v/>
      </c>
      <c r="AV216">
        <f>'T_SelfStock'!AT9</f>
        <v/>
      </c>
      <c r="AW216">
        <f>'T_SelfStock'!AU9</f>
        <v/>
      </c>
      <c r="AX216">
        <f>'T_SelfStock'!AV9</f>
        <v/>
      </c>
      <c r="AY216">
        <f>'T_SelfStock'!AW9</f>
        <v/>
      </c>
      <c r="AZ216">
        <f>'T_SelfStock'!AX9</f>
        <v/>
      </c>
      <c r="BA216">
        <f>'T_SelfStock'!AY9</f>
        <v/>
      </c>
      <c r="BB216">
        <f>'T_SelfStock'!AZ9</f>
        <v/>
      </c>
      <c r="BC216">
        <f>'T_SelfStock'!BA9</f>
        <v/>
      </c>
      <c r="BD216">
        <f>'T_SelfStock'!BB9</f>
        <v/>
      </c>
      <c r="BE216">
        <f>'T_SelfStock'!BC9</f>
        <v/>
      </c>
      <c r="BF216">
        <f>'T_SelfStock'!BD9</f>
        <v/>
      </c>
      <c r="BG216">
        <f>'T_SelfStock'!BE9</f>
        <v/>
      </c>
      <c r="BH216">
        <f>'T_SelfStock'!BF9</f>
        <v/>
      </c>
      <c r="BI216">
        <f>'T_SelfStock'!BG9</f>
        <v/>
      </c>
      <c r="BJ216">
        <f>'T_SelfStock'!BH9</f>
        <v/>
      </c>
      <c r="BK216">
        <f>'T_SelfStock'!BI9</f>
        <v/>
      </c>
      <c r="BL216">
        <f>'T_SelfStock'!BJ9</f>
        <v/>
      </c>
      <c r="BM216">
        <f>'T_SelfStock'!BK9</f>
        <v/>
      </c>
      <c r="BN216">
        <f>'T_SelfStock'!BL9</f>
        <v/>
      </c>
      <c r="BO216">
        <f>'T_SelfStock'!BM9</f>
        <v/>
      </c>
      <c r="BP216">
        <f>'T_SelfStock'!BN9</f>
        <v/>
      </c>
      <c r="BQ216">
        <f>'T_SelfStock'!BO9</f>
        <v/>
      </c>
      <c r="BR216">
        <f>'T_SelfStock'!BP9</f>
        <v/>
      </c>
      <c r="BS216">
        <f>'T_SelfStock'!BQ9</f>
        <v/>
      </c>
      <c r="BT216">
        <f>'T_SelfStock'!BR9</f>
        <v/>
      </c>
      <c r="BU216">
        <f>'T_SelfStock'!BS9</f>
        <v/>
      </c>
      <c r="BV216">
        <f>'T_SelfStock'!BT9</f>
        <v/>
      </c>
      <c r="BW216">
        <f>'T_SelfStock'!BU9</f>
        <v/>
      </c>
      <c r="BX216">
        <f>'T_SelfStock'!BV9</f>
        <v/>
      </c>
      <c r="BY216">
        <f>'T_SelfStock'!BW9</f>
        <v/>
      </c>
      <c r="BZ216">
        <f>'T_SelfStock'!BX9</f>
        <v/>
      </c>
      <c r="CA216">
        <f>'T_SelfStock'!BY9</f>
        <v/>
      </c>
      <c r="CB216">
        <f>'T_SelfStock'!BZ9</f>
        <v/>
      </c>
      <c r="CC216">
        <f>'T_SelfStock'!CA9</f>
        <v/>
      </c>
      <c r="CD216">
        <f>'T_SelfStock'!CB9</f>
        <v/>
      </c>
      <c r="CE216">
        <f>'T_SelfStock'!CC9</f>
        <v/>
      </c>
      <c r="CF216">
        <f>'T_SelfStock'!CD9</f>
        <v/>
      </c>
      <c r="CG216">
        <f>'T_SelfStock'!CE9</f>
        <v/>
      </c>
      <c r="CH216">
        <f>'T_SelfStock'!CF9</f>
        <v/>
      </c>
      <c r="CI216">
        <f>'T_SelfStock'!CG9</f>
        <v/>
      </c>
      <c r="CJ216">
        <f>'T_SelfStock'!CH9</f>
        <v/>
      </c>
      <c r="CK216">
        <f>'T_SelfStock'!CI9</f>
        <v/>
      </c>
      <c r="CL216">
        <f>'T_SelfStock'!CJ9</f>
        <v/>
      </c>
      <c r="CM216">
        <f>'T_SelfStock'!CK9</f>
        <v/>
      </c>
      <c r="CN216">
        <f>'T_SelfStock'!CL9</f>
        <v/>
      </c>
      <c r="CO216">
        <f>'T_SelfStock'!CM9</f>
        <v/>
      </c>
      <c r="CP216">
        <f>'T_SelfStock'!CN9</f>
        <v/>
      </c>
      <c r="CQ216">
        <f>'T_SelfStock'!CO9</f>
        <v/>
      </c>
      <c r="CR216">
        <f>'T_SelfStock'!CP9</f>
        <v/>
      </c>
      <c r="CS216">
        <f>'T_SelfStock'!CQ9</f>
        <v/>
      </c>
      <c r="CT216">
        <f>'T_SelfStock'!CR9</f>
        <v/>
      </c>
      <c r="CU216">
        <f>'T_SelfStock'!CS9</f>
        <v/>
      </c>
      <c r="CV216">
        <f>'T_SelfStock'!CT9</f>
        <v/>
      </c>
      <c r="CW216">
        <f>'T_SelfStock'!CU9</f>
        <v/>
      </c>
      <c r="CX216">
        <f>'T_SelfStock'!CV9</f>
        <v/>
      </c>
      <c r="CY216">
        <f>'T_SelfStock'!CW9</f>
        <v/>
      </c>
      <c r="CZ216">
        <f>'T_SelfStock'!CX9</f>
        <v/>
      </c>
      <c r="DA216">
        <f>'T_SelfStock'!CY9</f>
        <v/>
      </c>
      <c r="DB216">
        <f>'T_SelfStock'!CZ9</f>
        <v/>
      </c>
      <c r="DC216">
        <f>'T_SelfStock'!DA9</f>
        <v/>
      </c>
    </row>
    <row r="217">
      <c r="B217" t="inlineStr">
        <is>
          <t>Order(発注予定,kg)</t>
        </is>
      </c>
      <c r="D217">
        <f>IF(SUMIFS(T_PlannedOrders[EffectiveQty],T_PlannedOrders[Part Name],$A45,T_PlannedOrders[WeekIndex],1)=0,"",SUMIFS(T_PlannedOrders[EffectiveQty],T_PlannedOrders[Part Name],$A45,T_PlannedOrders[WeekIndex],1)&amp;" ("&amp;TEXT(SUMPRODUCT(MAX((T_PlannedOrders[Part Name]=$A45)*(T_PlannedOrders[WeekIndex]=1)*(T_PlannedOrders[EffectiveQty]&gt;0)*T_PlannedOrders[Order_Month])),"m月")&amp;"発注)")</f>
        <v/>
      </c>
      <c r="E217">
        <f>IF(SUMIFS(T_PlannedOrders[EffectiveQty],T_PlannedOrders[Part Name],$A45,T_PlannedOrders[WeekIndex],2)=0,"",SUMIFS(T_PlannedOrders[EffectiveQty],T_PlannedOrders[Part Name],$A45,T_PlannedOrders[WeekIndex],2)&amp;" ("&amp;TEXT(SUMPRODUCT(MAX((T_PlannedOrders[Part Name]=$A45)*(T_PlannedOrders[WeekIndex]=2)*(T_PlannedOrders[EffectiveQty]&gt;0)*T_PlannedOrders[Order_Month])),"m月")&amp;"発注)")</f>
        <v/>
      </c>
      <c r="F217">
        <f>IF(SUMIFS(T_PlannedOrders[EffectiveQty],T_PlannedOrders[Part Name],$A45,T_PlannedOrders[WeekIndex],3)=0,"",SUMIFS(T_PlannedOrders[EffectiveQty],T_PlannedOrders[Part Name],$A45,T_PlannedOrders[WeekIndex],3)&amp;" ("&amp;TEXT(SUMPRODUCT(MAX((T_PlannedOrders[Part Name]=$A45)*(T_PlannedOrders[WeekIndex]=3)*(T_PlannedOrders[EffectiveQty]&gt;0)*T_PlannedOrders[Order_Month])),"m月")&amp;"発注)")</f>
        <v/>
      </c>
      <c r="G217">
        <f>IF(SUMIFS(T_PlannedOrders[EffectiveQty],T_PlannedOrders[Part Name],$A45,T_PlannedOrders[WeekIndex],4)=0,"",SUMIFS(T_PlannedOrders[EffectiveQty],T_PlannedOrders[Part Name],$A45,T_PlannedOrders[WeekIndex],4)&amp;" ("&amp;TEXT(SUMPRODUCT(MAX((T_PlannedOrders[Part Name]=$A45)*(T_PlannedOrders[WeekIndex]=4)*(T_PlannedOrders[EffectiveQty]&gt;0)*T_PlannedOrders[Order_Month])),"m月")&amp;"発注)")</f>
        <v/>
      </c>
      <c r="H217">
        <f>IF(SUMIFS(T_PlannedOrders[EffectiveQty],T_PlannedOrders[Part Name],$A45,T_PlannedOrders[WeekIndex],5)=0,"",SUMIFS(T_PlannedOrders[EffectiveQty],T_PlannedOrders[Part Name],$A45,T_PlannedOrders[WeekIndex],5)&amp;" ("&amp;TEXT(SUMPRODUCT(MAX((T_PlannedOrders[Part Name]=$A45)*(T_PlannedOrders[WeekIndex]=5)*(T_PlannedOrders[EffectiveQty]&gt;0)*T_PlannedOrders[Order_Month])),"m月")&amp;"発注)")</f>
        <v/>
      </c>
      <c r="I217">
        <f>IF(SUMIFS(T_PlannedOrders[EffectiveQty],T_PlannedOrders[Part Name],$A45,T_PlannedOrders[WeekIndex],6)=0,"",SUMIFS(T_PlannedOrders[EffectiveQty],T_PlannedOrders[Part Name],$A45,T_PlannedOrders[WeekIndex],6)&amp;" ("&amp;TEXT(SUMPRODUCT(MAX((T_PlannedOrders[Part Name]=$A45)*(T_PlannedOrders[WeekIndex]=6)*(T_PlannedOrders[EffectiveQty]&gt;0)*T_PlannedOrders[Order_Month])),"m月")&amp;"発注)")</f>
        <v/>
      </c>
      <c r="J217">
        <f>IF(SUMIFS(T_PlannedOrders[EffectiveQty],T_PlannedOrders[Part Name],$A45,T_PlannedOrders[WeekIndex],7)=0,"",SUMIFS(T_PlannedOrders[EffectiveQty],T_PlannedOrders[Part Name],$A45,T_PlannedOrders[WeekIndex],7)&amp;" ("&amp;TEXT(SUMPRODUCT(MAX((T_PlannedOrders[Part Name]=$A45)*(T_PlannedOrders[WeekIndex]=7)*(T_PlannedOrders[EffectiveQty]&gt;0)*T_PlannedOrders[Order_Month])),"m月")&amp;"発注)")</f>
        <v/>
      </c>
      <c r="K217">
        <f>IF(SUMIFS(T_PlannedOrders[EffectiveQty],T_PlannedOrders[Part Name],$A45,T_PlannedOrders[WeekIndex],8)=0,"",SUMIFS(T_PlannedOrders[EffectiveQty],T_PlannedOrders[Part Name],$A45,T_PlannedOrders[WeekIndex],8)&amp;" ("&amp;TEXT(SUMPRODUCT(MAX((T_PlannedOrders[Part Name]=$A45)*(T_PlannedOrders[WeekIndex]=8)*(T_PlannedOrders[EffectiveQty]&gt;0)*T_PlannedOrders[Order_Month])),"m月")&amp;"発注)")</f>
        <v/>
      </c>
      <c r="L217">
        <f>IF(SUMIFS(T_PlannedOrders[EffectiveQty],T_PlannedOrders[Part Name],$A45,T_PlannedOrders[WeekIndex],9)=0,"",SUMIFS(T_PlannedOrders[EffectiveQty],T_PlannedOrders[Part Name],$A45,T_PlannedOrders[WeekIndex],9)&amp;" ("&amp;TEXT(SUMPRODUCT(MAX((T_PlannedOrders[Part Name]=$A45)*(T_PlannedOrders[WeekIndex]=9)*(T_PlannedOrders[EffectiveQty]&gt;0)*T_PlannedOrders[Order_Month])),"m月")&amp;"発注)")</f>
        <v/>
      </c>
      <c r="M217">
        <f>IF(SUMIFS(T_PlannedOrders[EffectiveQty],T_PlannedOrders[Part Name],$A45,T_PlannedOrders[WeekIndex],10)=0,"",SUMIFS(T_PlannedOrders[EffectiveQty],T_PlannedOrders[Part Name],$A45,T_PlannedOrders[WeekIndex],10)&amp;" ("&amp;TEXT(SUMPRODUCT(MAX((T_PlannedOrders[Part Name]=$A45)*(T_PlannedOrders[WeekIndex]=10)*(T_PlannedOrders[EffectiveQty]&gt;0)*T_PlannedOrders[Order_Month])),"m月")&amp;"発注)")</f>
        <v/>
      </c>
      <c r="N217">
        <f>IF(SUMIFS(T_PlannedOrders[EffectiveQty],T_PlannedOrders[Part Name],$A45,T_PlannedOrders[WeekIndex],11)=0,"",SUMIFS(T_PlannedOrders[EffectiveQty],T_PlannedOrders[Part Name],$A45,T_PlannedOrders[WeekIndex],11)&amp;" ("&amp;TEXT(SUMPRODUCT(MAX((T_PlannedOrders[Part Name]=$A45)*(T_PlannedOrders[WeekIndex]=11)*(T_PlannedOrders[EffectiveQty]&gt;0)*T_PlannedOrders[Order_Month])),"m月")&amp;"発注)")</f>
        <v/>
      </c>
      <c r="O217">
        <f>IF(SUMIFS(T_PlannedOrders[EffectiveQty],T_PlannedOrders[Part Name],$A45,T_PlannedOrders[WeekIndex],12)=0,"",SUMIFS(T_PlannedOrders[EffectiveQty],T_PlannedOrders[Part Name],$A45,T_PlannedOrders[WeekIndex],12)&amp;" ("&amp;TEXT(SUMPRODUCT(MAX((T_PlannedOrders[Part Name]=$A45)*(T_PlannedOrders[WeekIndex]=12)*(T_PlannedOrders[EffectiveQty]&gt;0)*T_PlannedOrders[Order_Month])),"m月")&amp;"発注)")</f>
        <v/>
      </c>
      <c r="P217">
        <f>IF(SUMIFS(T_PlannedOrders[EffectiveQty],T_PlannedOrders[Part Name],$A45,T_PlannedOrders[WeekIndex],13)=0,"",SUMIFS(T_PlannedOrders[EffectiveQty],T_PlannedOrders[Part Name],$A45,T_PlannedOrders[WeekIndex],13)&amp;" ("&amp;TEXT(SUMPRODUCT(MAX((T_PlannedOrders[Part Name]=$A45)*(T_PlannedOrders[WeekIndex]=13)*(T_PlannedOrders[EffectiveQty]&gt;0)*T_PlannedOrders[Order_Month])),"m月")&amp;"発注)")</f>
        <v/>
      </c>
      <c r="Q217">
        <f>IF(SUMIFS(T_PlannedOrders[EffectiveQty],T_PlannedOrders[Part Name],$A45,T_PlannedOrders[WeekIndex],14)=0,"",SUMIFS(T_PlannedOrders[EffectiveQty],T_PlannedOrders[Part Name],$A45,T_PlannedOrders[WeekIndex],14)&amp;" ("&amp;TEXT(SUMPRODUCT(MAX((T_PlannedOrders[Part Name]=$A45)*(T_PlannedOrders[WeekIndex]=14)*(T_PlannedOrders[EffectiveQty]&gt;0)*T_PlannedOrders[Order_Month])),"m月")&amp;"発注)")</f>
        <v/>
      </c>
      <c r="R217">
        <f>IF(SUMIFS(T_PlannedOrders[EffectiveQty],T_PlannedOrders[Part Name],$A45,T_PlannedOrders[WeekIndex],15)=0,"",SUMIFS(T_PlannedOrders[EffectiveQty],T_PlannedOrders[Part Name],$A45,T_PlannedOrders[WeekIndex],15)&amp;" ("&amp;TEXT(SUMPRODUCT(MAX((T_PlannedOrders[Part Name]=$A45)*(T_PlannedOrders[WeekIndex]=15)*(T_PlannedOrders[EffectiveQty]&gt;0)*T_PlannedOrders[Order_Month])),"m月")&amp;"発注)")</f>
        <v/>
      </c>
      <c r="S217">
        <f>IF(SUMIFS(T_PlannedOrders[EffectiveQty],T_PlannedOrders[Part Name],$A45,T_PlannedOrders[WeekIndex],16)=0,"",SUMIFS(T_PlannedOrders[EffectiveQty],T_PlannedOrders[Part Name],$A45,T_PlannedOrders[WeekIndex],16)&amp;" ("&amp;TEXT(SUMPRODUCT(MAX((T_PlannedOrders[Part Name]=$A45)*(T_PlannedOrders[WeekIndex]=16)*(T_PlannedOrders[EffectiveQty]&gt;0)*T_PlannedOrders[Order_Month])),"m月")&amp;"発注)")</f>
        <v/>
      </c>
      <c r="T217">
        <f>IF(SUMIFS(T_PlannedOrders[EffectiveQty],T_PlannedOrders[Part Name],$A45,T_PlannedOrders[WeekIndex],17)=0,"",SUMIFS(T_PlannedOrders[EffectiveQty],T_PlannedOrders[Part Name],$A45,T_PlannedOrders[WeekIndex],17)&amp;" ("&amp;TEXT(SUMPRODUCT(MAX((T_PlannedOrders[Part Name]=$A45)*(T_PlannedOrders[WeekIndex]=17)*(T_PlannedOrders[EffectiveQty]&gt;0)*T_PlannedOrders[Order_Month])),"m月")&amp;"発注)")</f>
        <v/>
      </c>
      <c r="U217">
        <f>IF(SUMIFS(T_PlannedOrders[EffectiveQty],T_PlannedOrders[Part Name],$A45,T_PlannedOrders[WeekIndex],18)=0,"",SUMIFS(T_PlannedOrders[EffectiveQty],T_PlannedOrders[Part Name],$A45,T_PlannedOrders[WeekIndex],18)&amp;" ("&amp;TEXT(SUMPRODUCT(MAX((T_PlannedOrders[Part Name]=$A45)*(T_PlannedOrders[WeekIndex]=18)*(T_PlannedOrders[EffectiveQty]&gt;0)*T_PlannedOrders[Order_Month])),"m月")&amp;"発注)")</f>
        <v/>
      </c>
      <c r="V217">
        <f>IF(SUMIFS(T_PlannedOrders[EffectiveQty],T_PlannedOrders[Part Name],$A45,T_PlannedOrders[WeekIndex],19)=0,"",SUMIFS(T_PlannedOrders[EffectiveQty],T_PlannedOrders[Part Name],$A45,T_PlannedOrders[WeekIndex],19)&amp;" ("&amp;TEXT(SUMPRODUCT(MAX((T_PlannedOrders[Part Name]=$A45)*(T_PlannedOrders[WeekIndex]=19)*(T_PlannedOrders[EffectiveQty]&gt;0)*T_PlannedOrders[Order_Month])),"m月")&amp;"発注)")</f>
        <v/>
      </c>
      <c r="W217">
        <f>IF(SUMIFS(T_PlannedOrders[EffectiveQty],T_PlannedOrders[Part Name],$A45,T_PlannedOrders[WeekIndex],20)=0,"",SUMIFS(T_PlannedOrders[EffectiveQty],T_PlannedOrders[Part Name],$A45,T_PlannedOrders[WeekIndex],20)&amp;" ("&amp;TEXT(SUMPRODUCT(MAX((T_PlannedOrders[Part Name]=$A45)*(T_PlannedOrders[WeekIndex]=20)*(T_PlannedOrders[EffectiveQty]&gt;0)*T_PlannedOrders[Order_Month])),"m月")&amp;"発注)")</f>
        <v/>
      </c>
      <c r="X217">
        <f>IF(SUMIFS(T_PlannedOrders[EffectiveQty],T_PlannedOrders[Part Name],$A45,T_PlannedOrders[WeekIndex],21)=0,"",SUMIFS(T_PlannedOrders[EffectiveQty],T_PlannedOrders[Part Name],$A45,T_PlannedOrders[WeekIndex],21)&amp;" ("&amp;TEXT(SUMPRODUCT(MAX((T_PlannedOrders[Part Name]=$A45)*(T_PlannedOrders[WeekIndex]=21)*(T_PlannedOrders[EffectiveQty]&gt;0)*T_PlannedOrders[Order_Month])),"m月")&amp;"発注)")</f>
        <v/>
      </c>
      <c r="Y217">
        <f>IF(SUMIFS(T_PlannedOrders[EffectiveQty],T_PlannedOrders[Part Name],$A45,T_PlannedOrders[WeekIndex],22)=0,"",SUMIFS(T_PlannedOrders[EffectiveQty],T_PlannedOrders[Part Name],$A45,T_PlannedOrders[WeekIndex],22)&amp;" ("&amp;TEXT(SUMPRODUCT(MAX((T_PlannedOrders[Part Name]=$A45)*(T_PlannedOrders[WeekIndex]=22)*(T_PlannedOrders[EffectiveQty]&gt;0)*T_PlannedOrders[Order_Month])),"m月")&amp;"発注)")</f>
        <v/>
      </c>
      <c r="Z217">
        <f>IF(SUMIFS(T_PlannedOrders[EffectiveQty],T_PlannedOrders[Part Name],$A45,T_PlannedOrders[WeekIndex],23)=0,"",SUMIFS(T_PlannedOrders[EffectiveQty],T_PlannedOrders[Part Name],$A45,T_PlannedOrders[WeekIndex],23)&amp;" ("&amp;TEXT(SUMPRODUCT(MAX((T_PlannedOrders[Part Name]=$A45)*(T_PlannedOrders[WeekIndex]=23)*(T_PlannedOrders[EffectiveQty]&gt;0)*T_PlannedOrders[Order_Month])),"m月")&amp;"発注)")</f>
        <v/>
      </c>
      <c r="AA217">
        <f>IF(SUMIFS(T_PlannedOrders[EffectiveQty],T_PlannedOrders[Part Name],$A45,T_PlannedOrders[WeekIndex],24)=0,"",SUMIFS(T_PlannedOrders[EffectiveQty],T_PlannedOrders[Part Name],$A45,T_PlannedOrders[WeekIndex],24)&amp;" ("&amp;TEXT(SUMPRODUCT(MAX((T_PlannedOrders[Part Name]=$A45)*(T_PlannedOrders[WeekIndex]=24)*(T_PlannedOrders[EffectiveQty]&gt;0)*T_PlannedOrders[Order_Month])),"m月")&amp;"発注)")</f>
        <v/>
      </c>
      <c r="AB217">
        <f>IF(SUMIFS(T_PlannedOrders[EffectiveQty],T_PlannedOrders[Part Name],$A45,T_PlannedOrders[WeekIndex],25)=0,"",SUMIFS(T_PlannedOrders[EffectiveQty],T_PlannedOrders[Part Name],$A45,T_PlannedOrders[WeekIndex],25)&amp;" ("&amp;TEXT(SUMPRODUCT(MAX((T_PlannedOrders[Part Name]=$A45)*(T_PlannedOrders[WeekIndex]=25)*(T_PlannedOrders[EffectiveQty]&gt;0)*T_PlannedOrders[Order_Month])),"m月")&amp;"発注)")</f>
        <v/>
      </c>
      <c r="AC217">
        <f>IF(SUMIFS(T_PlannedOrders[EffectiveQty],T_PlannedOrders[Part Name],$A45,T_PlannedOrders[WeekIndex],26)=0,"",SUMIFS(T_PlannedOrders[EffectiveQty],T_PlannedOrders[Part Name],$A45,T_PlannedOrders[WeekIndex],26)&amp;" ("&amp;TEXT(SUMPRODUCT(MAX((T_PlannedOrders[Part Name]=$A45)*(T_PlannedOrders[WeekIndex]=26)*(T_PlannedOrders[EffectiveQty]&gt;0)*T_PlannedOrders[Order_Month])),"m月")&amp;"発注)")</f>
        <v/>
      </c>
      <c r="AD217">
        <f>IF(SUMIFS(T_PlannedOrders[EffectiveQty],T_PlannedOrders[Part Name],$A45,T_PlannedOrders[WeekIndex],27)=0,"",SUMIFS(T_PlannedOrders[EffectiveQty],T_PlannedOrders[Part Name],$A45,T_PlannedOrders[WeekIndex],27)&amp;" ("&amp;TEXT(SUMPRODUCT(MAX((T_PlannedOrders[Part Name]=$A45)*(T_PlannedOrders[WeekIndex]=27)*(T_PlannedOrders[EffectiveQty]&gt;0)*T_PlannedOrders[Order_Month])),"m月")&amp;"発注)")</f>
        <v/>
      </c>
      <c r="AE217">
        <f>IF(SUMIFS(T_PlannedOrders[EffectiveQty],T_PlannedOrders[Part Name],$A45,T_PlannedOrders[WeekIndex],28)=0,"",SUMIFS(T_PlannedOrders[EffectiveQty],T_PlannedOrders[Part Name],$A45,T_PlannedOrders[WeekIndex],28)&amp;" ("&amp;TEXT(SUMPRODUCT(MAX((T_PlannedOrders[Part Name]=$A45)*(T_PlannedOrders[WeekIndex]=28)*(T_PlannedOrders[EffectiveQty]&gt;0)*T_PlannedOrders[Order_Month])),"m月")&amp;"発注)")</f>
        <v/>
      </c>
      <c r="AF217">
        <f>IF(SUMIFS(T_PlannedOrders[EffectiveQty],T_PlannedOrders[Part Name],$A45,T_PlannedOrders[WeekIndex],29)=0,"",SUMIFS(T_PlannedOrders[EffectiveQty],T_PlannedOrders[Part Name],$A45,T_PlannedOrders[WeekIndex],29)&amp;" ("&amp;TEXT(SUMPRODUCT(MAX((T_PlannedOrders[Part Name]=$A45)*(T_PlannedOrders[WeekIndex]=29)*(T_PlannedOrders[EffectiveQty]&gt;0)*T_PlannedOrders[Order_Month])),"m月")&amp;"発注)")</f>
        <v/>
      </c>
      <c r="AG217">
        <f>IF(SUMIFS(T_PlannedOrders[EffectiveQty],T_PlannedOrders[Part Name],$A45,T_PlannedOrders[WeekIndex],30)=0,"",SUMIFS(T_PlannedOrders[EffectiveQty],T_PlannedOrders[Part Name],$A45,T_PlannedOrders[WeekIndex],30)&amp;" ("&amp;TEXT(SUMPRODUCT(MAX((T_PlannedOrders[Part Name]=$A45)*(T_PlannedOrders[WeekIndex]=30)*(T_PlannedOrders[EffectiveQty]&gt;0)*T_PlannedOrders[Order_Month])),"m月")&amp;"発注)")</f>
        <v/>
      </c>
      <c r="AH217">
        <f>IF(SUMIFS(T_PlannedOrders[EffectiveQty],T_PlannedOrders[Part Name],$A45,T_PlannedOrders[WeekIndex],31)=0,"",SUMIFS(T_PlannedOrders[EffectiveQty],T_PlannedOrders[Part Name],$A45,T_PlannedOrders[WeekIndex],31)&amp;" ("&amp;TEXT(SUMPRODUCT(MAX((T_PlannedOrders[Part Name]=$A45)*(T_PlannedOrders[WeekIndex]=31)*(T_PlannedOrders[EffectiveQty]&gt;0)*T_PlannedOrders[Order_Month])),"m月")&amp;"発注)")</f>
        <v/>
      </c>
      <c r="AI217">
        <f>IF(SUMIFS(T_PlannedOrders[EffectiveQty],T_PlannedOrders[Part Name],$A45,T_PlannedOrders[WeekIndex],32)=0,"",SUMIFS(T_PlannedOrders[EffectiveQty],T_PlannedOrders[Part Name],$A45,T_PlannedOrders[WeekIndex],32)&amp;" ("&amp;TEXT(SUMPRODUCT(MAX((T_PlannedOrders[Part Name]=$A45)*(T_PlannedOrders[WeekIndex]=32)*(T_PlannedOrders[EffectiveQty]&gt;0)*T_PlannedOrders[Order_Month])),"m月")&amp;"発注)")</f>
        <v/>
      </c>
      <c r="AJ217">
        <f>IF(SUMIFS(T_PlannedOrders[EffectiveQty],T_PlannedOrders[Part Name],$A45,T_PlannedOrders[WeekIndex],33)=0,"",SUMIFS(T_PlannedOrders[EffectiveQty],T_PlannedOrders[Part Name],$A45,T_PlannedOrders[WeekIndex],33)&amp;" ("&amp;TEXT(SUMPRODUCT(MAX((T_PlannedOrders[Part Name]=$A45)*(T_PlannedOrders[WeekIndex]=33)*(T_PlannedOrders[EffectiveQty]&gt;0)*T_PlannedOrders[Order_Month])),"m月")&amp;"発注)")</f>
        <v/>
      </c>
      <c r="AK217">
        <f>IF(SUMIFS(T_PlannedOrders[EffectiveQty],T_PlannedOrders[Part Name],$A45,T_PlannedOrders[WeekIndex],34)=0,"",SUMIFS(T_PlannedOrders[EffectiveQty],T_PlannedOrders[Part Name],$A45,T_PlannedOrders[WeekIndex],34)&amp;" ("&amp;TEXT(SUMPRODUCT(MAX((T_PlannedOrders[Part Name]=$A45)*(T_PlannedOrders[WeekIndex]=34)*(T_PlannedOrders[EffectiveQty]&gt;0)*T_PlannedOrders[Order_Month])),"m月")&amp;"発注)")</f>
        <v/>
      </c>
      <c r="AL217">
        <f>IF(SUMIFS(T_PlannedOrders[EffectiveQty],T_PlannedOrders[Part Name],$A45,T_PlannedOrders[WeekIndex],35)=0,"",SUMIFS(T_PlannedOrders[EffectiveQty],T_PlannedOrders[Part Name],$A45,T_PlannedOrders[WeekIndex],35)&amp;" ("&amp;TEXT(SUMPRODUCT(MAX((T_PlannedOrders[Part Name]=$A45)*(T_PlannedOrders[WeekIndex]=35)*(T_PlannedOrders[EffectiveQty]&gt;0)*T_PlannedOrders[Order_Month])),"m月")&amp;"発注)")</f>
        <v/>
      </c>
      <c r="AM217">
        <f>IF(SUMIFS(T_PlannedOrders[EffectiveQty],T_PlannedOrders[Part Name],$A45,T_PlannedOrders[WeekIndex],36)=0,"",SUMIFS(T_PlannedOrders[EffectiveQty],T_PlannedOrders[Part Name],$A45,T_PlannedOrders[WeekIndex],36)&amp;" ("&amp;TEXT(SUMPRODUCT(MAX((T_PlannedOrders[Part Name]=$A45)*(T_PlannedOrders[WeekIndex]=36)*(T_PlannedOrders[EffectiveQty]&gt;0)*T_PlannedOrders[Order_Month])),"m月")&amp;"発注)")</f>
        <v/>
      </c>
      <c r="AN217">
        <f>IF(SUMIFS(T_PlannedOrders[EffectiveQty],T_PlannedOrders[Part Name],$A45,T_PlannedOrders[WeekIndex],37)=0,"",SUMIFS(T_PlannedOrders[EffectiveQty],T_PlannedOrders[Part Name],$A45,T_PlannedOrders[WeekIndex],37)&amp;" ("&amp;TEXT(SUMPRODUCT(MAX((T_PlannedOrders[Part Name]=$A45)*(T_PlannedOrders[WeekIndex]=37)*(T_PlannedOrders[EffectiveQty]&gt;0)*T_PlannedOrders[Order_Month])),"m月")&amp;"発注)")</f>
        <v/>
      </c>
      <c r="AO217">
        <f>IF(SUMIFS(T_PlannedOrders[EffectiveQty],T_PlannedOrders[Part Name],$A45,T_PlannedOrders[WeekIndex],38)=0,"",SUMIFS(T_PlannedOrders[EffectiveQty],T_PlannedOrders[Part Name],$A45,T_PlannedOrders[WeekIndex],38)&amp;" ("&amp;TEXT(SUMPRODUCT(MAX((T_PlannedOrders[Part Name]=$A45)*(T_PlannedOrders[WeekIndex]=38)*(T_PlannedOrders[EffectiveQty]&gt;0)*T_PlannedOrders[Order_Month])),"m月")&amp;"発注)")</f>
        <v/>
      </c>
      <c r="AP217">
        <f>IF(SUMIFS(T_PlannedOrders[EffectiveQty],T_PlannedOrders[Part Name],$A45,T_PlannedOrders[WeekIndex],39)=0,"",SUMIFS(T_PlannedOrders[EffectiveQty],T_PlannedOrders[Part Name],$A45,T_PlannedOrders[WeekIndex],39)&amp;" ("&amp;TEXT(SUMPRODUCT(MAX((T_PlannedOrders[Part Name]=$A45)*(T_PlannedOrders[WeekIndex]=39)*(T_PlannedOrders[EffectiveQty]&gt;0)*T_PlannedOrders[Order_Month])),"m月")&amp;"発注)")</f>
        <v/>
      </c>
      <c r="AQ217">
        <f>IF(SUMIFS(T_PlannedOrders[EffectiveQty],T_PlannedOrders[Part Name],$A45,T_PlannedOrders[WeekIndex],40)=0,"",SUMIFS(T_PlannedOrders[EffectiveQty],T_PlannedOrders[Part Name],$A45,T_PlannedOrders[WeekIndex],40)&amp;" ("&amp;TEXT(SUMPRODUCT(MAX((T_PlannedOrders[Part Name]=$A45)*(T_PlannedOrders[WeekIndex]=40)*(T_PlannedOrders[EffectiveQty]&gt;0)*T_PlannedOrders[Order_Month])),"m月")&amp;"発注)")</f>
        <v/>
      </c>
      <c r="AR217">
        <f>IF(SUMIFS(T_PlannedOrders[EffectiveQty],T_PlannedOrders[Part Name],$A45,T_PlannedOrders[WeekIndex],41)=0,"",SUMIFS(T_PlannedOrders[EffectiveQty],T_PlannedOrders[Part Name],$A45,T_PlannedOrders[WeekIndex],41)&amp;" ("&amp;TEXT(SUMPRODUCT(MAX((T_PlannedOrders[Part Name]=$A45)*(T_PlannedOrders[WeekIndex]=41)*(T_PlannedOrders[EffectiveQty]&gt;0)*T_PlannedOrders[Order_Month])),"m月")&amp;"発注)")</f>
        <v/>
      </c>
      <c r="AS217">
        <f>IF(SUMIFS(T_PlannedOrders[EffectiveQty],T_PlannedOrders[Part Name],$A45,T_PlannedOrders[WeekIndex],42)=0,"",SUMIFS(T_PlannedOrders[EffectiveQty],T_PlannedOrders[Part Name],$A45,T_PlannedOrders[WeekIndex],42)&amp;" ("&amp;TEXT(SUMPRODUCT(MAX((T_PlannedOrders[Part Name]=$A45)*(T_PlannedOrders[WeekIndex]=42)*(T_PlannedOrders[EffectiveQty]&gt;0)*T_PlannedOrders[Order_Month])),"m月")&amp;"発注)")</f>
        <v/>
      </c>
      <c r="AT217">
        <f>IF(SUMIFS(T_PlannedOrders[EffectiveQty],T_PlannedOrders[Part Name],$A45,T_PlannedOrders[WeekIndex],43)=0,"",SUMIFS(T_PlannedOrders[EffectiveQty],T_PlannedOrders[Part Name],$A45,T_PlannedOrders[WeekIndex],43)&amp;" ("&amp;TEXT(SUMPRODUCT(MAX((T_PlannedOrders[Part Name]=$A45)*(T_PlannedOrders[WeekIndex]=43)*(T_PlannedOrders[EffectiveQty]&gt;0)*T_PlannedOrders[Order_Month])),"m月")&amp;"発注)")</f>
        <v/>
      </c>
      <c r="AU217">
        <f>IF(SUMIFS(T_PlannedOrders[EffectiveQty],T_PlannedOrders[Part Name],$A45,T_PlannedOrders[WeekIndex],44)=0,"",SUMIFS(T_PlannedOrders[EffectiveQty],T_PlannedOrders[Part Name],$A45,T_PlannedOrders[WeekIndex],44)&amp;" ("&amp;TEXT(SUMPRODUCT(MAX((T_PlannedOrders[Part Name]=$A45)*(T_PlannedOrders[WeekIndex]=44)*(T_PlannedOrders[EffectiveQty]&gt;0)*T_PlannedOrders[Order_Month])),"m月")&amp;"発注)")</f>
        <v/>
      </c>
      <c r="AV217">
        <f>IF(SUMIFS(T_PlannedOrders[EffectiveQty],T_PlannedOrders[Part Name],$A45,T_PlannedOrders[WeekIndex],45)=0,"",SUMIFS(T_PlannedOrders[EffectiveQty],T_PlannedOrders[Part Name],$A45,T_PlannedOrders[WeekIndex],45)&amp;" ("&amp;TEXT(SUMPRODUCT(MAX((T_PlannedOrders[Part Name]=$A45)*(T_PlannedOrders[WeekIndex]=45)*(T_PlannedOrders[EffectiveQty]&gt;0)*T_PlannedOrders[Order_Month])),"m月")&amp;"発注)")</f>
        <v/>
      </c>
      <c r="AW217">
        <f>IF(SUMIFS(T_PlannedOrders[EffectiveQty],T_PlannedOrders[Part Name],$A45,T_PlannedOrders[WeekIndex],46)=0,"",SUMIFS(T_PlannedOrders[EffectiveQty],T_PlannedOrders[Part Name],$A45,T_PlannedOrders[WeekIndex],46)&amp;" ("&amp;TEXT(SUMPRODUCT(MAX((T_PlannedOrders[Part Name]=$A45)*(T_PlannedOrders[WeekIndex]=46)*(T_PlannedOrders[EffectiveQty]&gt;0)*T_PlannedOrders[Order_Month])),"m月")&amp;"発注)")</f>
        <v/>
      </c>
      <c r="AX217">
        <f>IF(SUMIFS(T_PlannedOrders[EffectiveQty],T_PlannedOrders[Part Name],$A45,T_PlannedOrders[WeekIndex],47)=0,"",SUMIFS(T_PlannedOrders[EffectiveQty],T_PlannedOrders[Part Name],$A45,T_PlannedOrders[WeekIndex],47)&amp;" ("&amp;TEXT(SUMPRODUCT(MAX((T_PlannedOrders[Part Name]=$A45)*(T_PlannedOrders[WeekIndex]=47)*(T_PlannedOrders[EffectiveQty]&gt;0)*T_PlannedOrders[Order_Month])),"m月")&amp;"発注)")</f>
        <v/>
      </c>
      <c r="AY217">
        <f>IF(SUMIFS(T_PlannedOrders[EffectiveQty],T_PlannedOrders[Part Name],$A45,T_PlannedOrders[WeekIndex],48)=0,"",SUMIFS(T_PlannedOrders[EffectiveQty],T_PlannedOrders[Part Name],$A45,T_PlannedOrders[WeekIndex],48)&amp;" ("&amp;TEXT(SUMPRODUCT(MAX((T_PlannedOrders[Part Name]=$A45)*(T_PlannedOrders[WeekIndex]=48)*(T_PlannedOrders[EffectiveQty]&gt;0)*T_PlannedOrders[Order_Month])),"m月")&amp;"発注)")</f>
        <v/>
      </c>
      <c r="AZ217">
        <f>IF(SUMIFS(T_PlannedOrders[EffectiveQty],T_PlannedOrders[Part Name],$A45,T_PlannedOrders[WeekIndex],49)=0,"",SUMIFS(T_PlannedOrders[EffectiveQty],T_PlannedOrders[Part Name],$A45,T_PlannedOrders[WeekIndex],49)&amp;" ("&amp;TEXT(SUMPRODUCT(MAX((T_PlannedOrders[Part Name]=$A45)*(T_PlannedOrders[WeekIndex]=49)*(T_PlannedOrders[EffectiveQty]&gt;0)*T_PlannedOrders[Order_Month])),"m月")&amp;"発注)")</f>
        <v/>
      </c>
      <c r="BA217">
        <f>IF(SUMIFS(T_PlannedOrders[EffectiveQty],T_PlannedOrders[Part Name],$A45,T_PlannedOrders[WeekIndex],50)=0,"",SUMIFS(T_PlannedOrders[EffectiveQty],T_PlannedOrders[Part Name],$A45,T_PlannedOrders[WeekIndex],50)&amp;" ("&amp;TEXT(SUMPRODUCT(MAX((T_PlannedOrders[Part Name]=$A45)*(T_PlannedOrders[WeekIndex]=50)*(T_PlannedOrders[EffectiveQty]&gt;0)*T_PlannedOrders[Order_Month])),"m月")&amp;"発注)")</f>
        <v/>
      </c>
      <c r="BB217">
        <f>IF(SUMIFS(T_PlannedOrders[EffectiveQty],T_PlannedOrders[Part Name],$A45,T_PlannedOrders[WeekIndex],51)=0,"",SUMIFS(T_PlannedOrders[EffectiveQty],T_PlannedOrders[Part Name],$A45,T_PlannedOrders[WeekIndex],51)&amp;" ("&amp;TEXT(SUMPRODUCT(MAX((T_PlannedOrders[Part Name]=$A45)*(T_PlannedOrders[WeekIndex]=51)*(T_PlannedOrders[EffectiveQty]&gt;0)*T_PlannedOrders[Order_Month])),"m月")&amp;"発注)")</f>
        <v/>
      </c>
      <c r="BC217">
        <f>IF(SUMIFS(T_PlannedOrders[EffectiveQty],T_PlannedOrders[Part Name],$A45,T_PlannedOrders[WeekIndex],52)=0,"",SUMIFS(T_PlannedOrders[EffectiveQty],T_PlannedOrders[Part Name],$A45,T_PlannedOrders[WeekIndex],52)&amp;" ("&amp;TEXT(SUMPRODUCT(MAX((T_PlannedOrders[Part Name]=$A45)*(T_PlannedOrders[WeekIndex]=52)*(T_PlannedOrders[EffectiveQty]&gt;0)*T_PlannedOrders[Order_Month])),"m月")&amp;"発注)")</f>
        <v/>
      </c>
      <c r="BD217">
        <f>IF(SUMIFS(T_PlannedOrders[EffectiveQty],T_PlannedOrders[Part Name],$A45,T_PlannedOrders[WeekIndex],53)=0,"",SUMIFS(T_PlannedOrders[EffectiveQty],T_PlannedOrders[Part Name],$A45,T_PlannedOrders[WeekIndex],53)&amp;" ("&amp;TEXT(SUMPRODUCT(MAX((T_PlannedOrders[Part Name]=$A45)*(T_PlannedOrders[WeekIndex]=53)*(T_PlannedOrders[EffectiveQty]&gt;0)*T_PlannedOrders[Order_Month])),"m月")&amp;"発注)")</f>
        <v/>
      </c>
      <c r="BE217">
        <f>IF(SUMIFS(T_PlannedOrders[EffectiveQty],T_PlannedOrders[Part Name],$A45,T_PlannedOrders[WeekIndex],54)=0,"",SUMIFS(T_PlannedOrders[EffectiveQty],T_PlannedOrders[Part Name],$A45,T_PlannedOrders[WeekIndex],54)&amp;" ("&amp;TEXT(SUMPRODUCT(MAX((T_PlannedOrders[Part Name]=$A45)*(T_PlannedOrders[WeekIndex]=54)*(T_PlannedOrders[EffectiveQty]&gt;0)*T_PlannedOrders[Order_Month])),"m月")&amp;"発注)")</f>
        <v/>
      </c>
      <c r="BF217">
        <f>IF(SUMIFS(T_PlannedOrders[EffectiveQty],T_PlannedOrders[Part Name],$A45,T_PlannedOrders[WeekIndex],55)=0,"",SUMIFS(T_PlannedOrders[EffectiveQty],T_PlannedOrders[Part Name],$A45,T_PlannedOrders[WeekIndex],55)&amp;" ("&amp;TEXT(SUMPRODUCT(MAX((T_PlannedOrders[Part Name]=$A45)*(T_PlannedOrders[WeekIndex]=55)*(T_PlannedOrders[EffectiveQty]&gt;0)*T_PlannedOrders[Order_Month])),"m月")&amp;"発注)")</f>
        <v/>
      </c>
      <c r="BG217">
        <f>IF(SUMIFS(T_PlannedOrders[EffectiveQty],T_PlannedOrders[Part Name],$A45,T_PlannedOrders[WeekIndex],56)=0,"",SUMIFS(T_PlannedOrders[EffectiveQty],T_PlannedOrders[Part Name],$A45,T_PlannedOrders[WeekIndex],56)&amp;" ("&amp;TEXT(SUMPRODUCT(MAX((T_PlannedOrders[Part Name]=$A45)*(T_PlannedOrders[WeekIndex]=56)*(T_PlannedOrders[EffectiveQty]&gt;0)*T_PlannedOrders[Order_Month])),"m月")&amp;"発注)")</f>
        <v/>
      </c>
      <c r="BH217">
        <f>IF(SUMIFS(T_PlannedOrders[EffectiveQty],T_PlannedOrders[Part Name],$A45,T_PlannedOrders[WeekIndex],57)=0,"",SUMIFS(T_PlannedOrders[EffectiveQty],T_PlannedOrders[Part Name],$A45,T_PlannedOrders[WeekIndex],57)&amp;" ("&amp;TEXT(SUMPRODUCT(MAX((T_PlannedOrders[Part Name]=$A45)*(T_PlannedOrders[WeekIndex]=57)*(T_PlannedOrders[EffectiveQty]&gt;0)*T_PlannedOrders[Order_Month])),"m月")&amp;"発注)")</f>
        <v/>
      </c>
      <c r="BI217">
        <f>IF(SUMIFS(T_PlannedOrders[EffectiveQty],T_PlannedOrders[Part Name],$A45,T_PlannedOrders[WeekIndex],58)=0,"",SUMIFS(T_PlannedOrders[EffectiveQty],T_PlannedOrders[Part Name],$A45,T_PlannedOrders[WeekIndex],58)&amp;" ("&amp;TEXT(SUMPRODUCT(MAX((T_PlannedOrders[Part Name]=$A45)*(T_PlannedOrders[WeekIndex]=58)*(T_PlannedOrders[EffectiveQty]&gt;0)*T_PlannedOrders[Order_Month])),"m月")&amp;"発注)")</f>
        <v/>
      </c>
      <c r="BJ217">
        <f>IF(SUMIFS(T_PlannedOrders[EffectiveQty],T_PlannedOrders[Part Name],$A45,T_PlannedOrders[WeekIndex],59)=0,"",SUMIFS(T_PlannedOrders[EffectiveQty],T_PlannedOrders[Part Name],$A45,T_PlannedOrders[WeekIndex],59)&amp;" ("&amp;TEXT(SUMPRODUCT(MAX((T_PlannedOrders[Part Name]=$A45)*(T_PlannedOrders[WeekIndex]=59)*(T_PlannedOrders[EffectiveQty]&gt;0)*T_PlannedOrders[Order_Month])),"m月")&amp;"発注)")</f>
        <v/>
      </c>
      <c r="BK217">
        <f>IF(SUMIFS(T_PlannedOrders[EffectiveQty],T_PlannedOrders[Part Name],$A45,T_PlannedOrders[WeekIndex],60)=0,"",SUMIFS(T_PlannedOrders[EffectiveQty],T_PlannedOrders[Part Name],$A45,T_PlannedOrders[WeekIndex],60)&amp;" ("&amp;TEXT(SUMPRODUCT(MAX((T_PlannedOrders[Part Name]=$A45)*(T_PlannedOrders[WeekIndex]=60)*(T_PlannedOrders[EffectiveQty]&gt;0)*T_PlannedOrders[Order_Month])),"m月")&amp;"発注)")</f>
        <v/>
      </c>
      <c r="BL217">
        <f>IF(SUMIFS(T_PlannedOrders[EffectiveQty],T_PlannedOrders[Part Name],$A45,T_PlannedOrders[WeekIndex],61)=0,"",SUMIFS(T_PlannedOrders[EffectiveQty],T_PlannedOrders[Part Name],$A45,T_PlannedOrders[WeekIndex],61)&amp;" ("&amp;TEXT(SUMPRODUCT(MAX((T_PlannedOrders[Part Name]=$A45)*(T_PlannedOrders[WeekIndex]=61)*(T_PlannedOrders[EffectiveQty]&gt;0)*T_PlannedOrders[Order_Month])),"m月")&amp;"発注)")</f>
        <v/>
      </c>
      <c r="BM217">
        <f>IF(SUMIFS(T_PlannedOrders[EffectiveQty],T_PlannedOrders[Part Name],$A45,T_PlannedOrders[WeekIndex],62)=0,"",SUMIFS(T_PlannedOrders[EffectiveQty],T_PlannedOrders[Part Name],$A45,T_PlannedOrders[WeekIndex],62)&amp;" ("&amp;TEXT(SUMPRODUCT(MAX((T_PlannedOrders[Part Name]=$A45)*(T_PlannedOrders[WeekIndex]=62)*(T_PlannedOrders[EffectiveQty]&gt;0)*T_PlannedOrders[Order_Month])),"m月")&amp;"発注)")</f>
        <v/>
      </c>
      <c r="BN217">
        <f>IF(SUMIFS(T_PlannedOrders[EffectiveQty],T_PlannedOrders[Part Name],$A45,T_PlannedOrders[WeekIndex],63)=0,"",SUMIFS(T_PlannedOrders[EffectiveQty],T_PlannedOrders[Part Name],$A45,T_PlannedOrders[WeekIndex],63)&amp;" ("&amp;TEXT(SUMPRODUCT(MAX((T_PlannedOrders[Part Name]=$A45)*(T_PlannedOrders[WeekIndex]=63)*(T_PlannedOrders[EffectiveQty]&gt;0)*T_PlannedOrders[Order_Month])),"m月")&amp;"発注)")</f>
        <v/>
      </c>
      <c r="BO217">
        <f>IF(SUMIFS(T_PlannedOrders[EffectiveQty],T_PlannedOrders[Part Name],$A45,T_PlannedOrders[WeekIndex],64)=0,"",SUMIFS(T_PlannedOrders[EffectiveQty],T_PlannedOrders[Part Name],$A45,T_PlannedOrders[WeekIndex],64)&amp;" ("&amp;TEXT(SUMPRODUCT(MAX((T_PlannedOrders[Part Name]=$A45)*(T_PlannedOrders[WeekIndex]=64)*(T_PlannedOrders[EffectiveQty]&gt;0)*T_PlannedOrders[Order_Month])),"m月")&amp;"発注)")</f>
        <v/>
      </c>
      <c r="BP217">
        <f>IF(SUMIFS(T_PlannedOrders[EffectiveQty],T_PlannedOrders[Part Name],$A45,T_PlannedOrders[WeekIndex],65)=0,"",SUMIFS(T_PlannedOrders[EffectiveQty],T_PlannedOrders[Part Name],$A45,T_PlannedOrders[WeekIndex],65)&amp;" ("&amp;TEXT(SUMPRODUCT(MAX((T_PlannedOrders[Part Name]=$A45)*(T_PlannedOrders[WeekIndex]=65)*(T_PlannedOrders[EffectiveQty]&gt;0)*T_PlannedOrders[Order_Month])),"m月")&amp;"発注)")</f>
        <v/>
      </c>
      <c r="BQ217">
        <f>IF(SUMIFS(T_PlannedOrders[EffectiveQty],T_PlannedOrders[Part Name],$A45,T_PlannedOrders[WeekIndex],66)=0,"",SUMIFS(T_PlannedOrders[EffectiveQty],T_PlannedOrders[Part Name],$A45,T_PlannedOrders[WeekIndex],66)&amp;" ("&amp;TEXT(SUMPRODUCT(MAX((T_PlannedOrders[Part Name]=$A45)*(T_PlannedOrders[WeekIndex]=66)*(T_PlannedOrders[EffectiveQty]&gt;0)*T_PlannedOrders[Order_Month])),"m月")&amp;"発注)")</f>
        <v/>
      </c>
      <c r="BR217">
        <f>IF(SUMIFS(T_PlannedOrders[EffectiveQty],T_PlannedOrders[Part Name],$A45,T_PlannedOrders[WeekIndex],67)=0,"",SUMIFS(T_PlannedOrders[EffectiveQty],T_PlannedOrders[Part Name],$A45,T_PlannedOrders[WeekIndex],67)&amp;" ("&amp;TEXT(SUMPRODUCT(MAX((T_PlannedOrders[Part Name]=$A45)*(T_PlannedOrders[WeekIndex]=67)*(T_PlannedOrders[EffectiveQty]&gt;0)*T_PlannedOrders[Order_Month])),"m月")&amp;"発注)")</f>
        <v/>
      </c>
      <c r="BS217">
        <f>IF(SUMIFS(T_PlannedOrders[EffectiveQty],T_PlannedOrders[Part Name],$A45,T_PlannedOrders[WeekIndex],68)=0,"",SUMIFS(T_PlannedOrders[EffectiveQty],T_PlannedOrders[Part Name],$A45,T_PlannedOrders[WeekIndex],68)&amp;" ("&amp;TEXT(SUMPRODUCT(MAX((T_PlannedOrders[Part Name]=$A45)*(T_PlannedOrders[WeekIndex]=68)*(T_PlannedOrders[EffectiveQty]&gt;0)*T_PlannedOrders[Order_Month])),"m月")&amp;"発注)")</f>
        <v/>
      </c>
      <c r="BT217">
        <f>IF(SUMIFS(T_PlannedOrders[EffectiveQty],T_PlannedOrders[Part Name],$A45,T_PlannedOrders[WeekIndex],69)=0,"",SUMIFS(T_PlannedOrders[EffectiveQty],T_PlannedOrders[Part Name],$A45,T_PlannedOrders[WeekIndex],69)&amp;" ("&amp;TEXT(SUMPRODUCT(MAX((T_PlannedOrders[Part Name]=$A45)*(T_PlannedOrders[WeekIndex]=69)*(T_PlannedOrders[EffectiveQty]&gt;0)*T_PlannedOrders[Order_Month])),"m月")&amp;"発注)")</f>
        <v/>
      </c>
      <c r="BU217">
        <f>IF(SUMIFS(T_PlannedOrders[EffectiveQty],T_PlannedOrders[Part Name],$A45,T_PlannedOrders[WeekIndex],70)=0,"",SUMIFS(T_PlannedOrders[EffectiveQty],T_PlannedOrders[Part Name],$A45,T_PlannedOrders[WeekIndex],70)&amp;" ("&amp;TEXT(SUMPRODUCT(MAX((T_PlannedOrders[Part Name]=$A45)*(T_PlannedOrders[WeekIndex]=70)*(T_PlannedOrders[EffectiveQty]&gt;0)*T_PlannedOrders[Order_Month])),"m月")&amp;"発注)")</f>
        <v/>
      </c>
      <c r="BV217">
        <f>IF(SUMIFS(T_PlannedOrders[EffectiveQty],T_PlannedOrders[Part Name],$A45,T_PlannedOrders[WeekIndex],71)=0,"",SUMIFS(T_PlannedOrders[EffectiveQty],T_PlannedOrders[Part Name],$A45,T_PlannedOrders[WeekIndex],71)&amp;" ("&amp;TEXT(SUMPRODUCT(MAX((T_PlannedOrders[Part Name]=$A45)*(T_PlannedOrders[WeekIndex]=71)*(T_PlannedOrders[EffectiveQty]&gt;0)*T_PlannedOrders[Order_Month])),"m月")&amp;"発注)")</f>
        <v/>
      </c>
      <c r="BW217">
        <f>IF(SUMIFS(T_PlannedOrders[EffectiveQty],T_PlannedOrders[Part Name],$A45,T_PlannedOrders[WeekIndex],72)=0,"",SUMIFS(T_PlannedOrders[EffectiveQty],T_PlannedOrders[Part Name],$A45,T_PlannedOrders[WeekIndex],72)&amp;" ("&amp;TEXT(SUMPRODUCT(MAX((T_PlannedOrders[Part Name]=$A45)*(T_PlannedOrders[WeekIndex]=72)*(T_PlannedOrders[EffectiveQty]&gt;0)*T_PlannedOrders[Order_Month])),"m月")&amp;"発注)")</f>
        <v/>
      </c>
      <c r="BX217">
        <f>IF(SUMIFS(T_PlannedOrders[EffectiveQty],T_PlannedOrders[Part Name],$A45,T_PlannedOrders[WeekIndex],73)=0,"",SUMIFS(T_PlannedOrders[EffectiveQty],T_PlannedOrders[Part Name],$A45,T_PlannedOrders[WeekIndex],73)&amp;" ("&amp;TEXT(SUMPRODUCT(MAX((T_PlannedOrders[Part Name]=$A45)*(T_PlannedOrders[WeekIndex]=73)*(T_PlannedOrders[EffectiveQty]&gt;0)*T_PlannedOrders[Order_Month])),"m月")&amp;"発注)")</f>
        <v/>
      </c>
      <c r="BY217">
        <f>IF(SUMIFS(T_PlannedOrders[EffectiveQty],T_PlannedOrders[Part Name],$A45,T_PlannedOrders[WeekIndex],74)=0,"",SUMIFS(T_PlannedOrders[EffectiveQty],T_PlannedOrders[Part Name],$A45,T_PlannedOrders[WeekIndex],74)&amp;" ("&amp;TEXT(SUMPRODUCT(MAX((T_PlannedOrders[Part Name]=$A45)*(T_PlannedOrders[WeekIndex]=74)*(T_PlannedOrders[EffectiveQty]&gt;0)*T_PlannedOrders[Order_Month])),"m月")&amp;"発注)")</f>
        <v/>
      </c>
      <c r="BZ217">
        <f>IF(SUMIFS(T_PlannedOrders[EffectiveQty],T_PlannedOrders[Part Name],$A45,T_PlannedOrders[WeekIndex],75)=0,"",SUMIFS(T_PlannedOrders[EffectiveQty],T_PlannedOrders[Part Name],$A45,T_PlannedOrders[WeekIndex],75)&amp;" ("&amp;TEXT(SUMPRODUCT(MAX((T_PlannedOrders[Part Name]=$A45)*(T_PlannedOrders[WeekIndex]=75)*(T_PlannedOrders[EffectiveQty]&gt;0)*T_PlannedOrders[Order_Month])),"m月")&amp;"発注)")</f>
        <v/>
      </c>
      <c r="CA217">
        <f>IF(SUMIFS(T_PlannedOrders[EffectiveQty],T_PlannedOrders[Part Name],$A45,T_PlannedOrders[WeekIndex],76)=0,"",SUMIFS(T_PlannedOrders[EffectiveQty],T_PlannedOrders[Part Name],$A45,T_PlannedOrders[WeekIndex],76)&amp;" ("&amp;TEXT(SUMPRODUCT(MAX((T_PlannedOrders[Part Name]=$A45)*(T_PlannedOrders[WeekIndex]=76)*(T_PlannedOrders[EffectiveQty]&gt;0)*T_PlannedOrders[Order_Month])),"m月")&amp;"発注)")</f>
        <v/>
      </c>
      <c r="CB217">
        <f>IF(SUMIFS(T_PlannedOrders[EffectiveQty],T_PlannedOrders[Part Name],$A45,T_PlannedOrders[WeekIndex],77)=0,"",SUMIFS(T_PlannedOrders[EffectiveQty],T_PlannedOrders[Part Name],$A45,T_PlannedOrders[WeekIndex],77)&amp;" ("&amp;TEXT(SUMPRODUCT(MAX((T_PlannedOrders[Part Name]=$A45)*(T_PlannedOrders[WeekIndex]=77)*(T_PlannedOrders[EffectiveQty]&gt;0)*T_PlannedOrders[Order_Month])),"m月")&amp;"発注)")</f>
        <v/>
      </c>
      <c r="CC217">
        <f>IF(SUMIFS(T_PlannedOrders[EffectiveQty],T_PlannedOrders[Part Name],$A45,T_PlannedOrders[WeekIndex],78)=0,"",SUMIFS(T_PlannedOrders[EffectiveQty],T_PlannedOrders[Part Name],$A45,T_PlannedOrders[WeekIndex],78)&amp;" ("&amp;TEXT(SUMPRODUCT(MAX((T_PlannedOrders[Part Name]=$A45)*(T_PlannedOrders[WeekIndex]=78)*(T_PlannedOrders[EffectiveQty]&gt;0)*T_PlannedOrders[Order_Month])),"m月")&amp;"発注)")</f>
        <v/>
      </c>
      <c r="CD217">
        <f>IF(SUMIFS(T_PlannedOrders[EffectiveQty],T_PlannedOrders[Part Name],$A45,T_PlannedOrders[WeekIndex],79)=0,"",SUMIFS(T_PlannedOrders[EffectiveQty],T_PlannedOrders[Part Name],$A45,T_PlannedOrders[WeekIndex],79)&amp;" ("&amp;TEXT(SUMPRODUCT(MAX((T_PlannedOrders[Part Name]=$A45)*(T_PlannedOrders[WeekIndex]=79)*(T_PlannedOrders[EffectiveQty]&gt;0)*T_PlannedOrders[Order_Month])),"m月")&amp;"発注)")</f>
        <v/>
      </c>
      <c r="CE217">
        <f>IF(SUMIFS(T_PlannedOrders[EffectiveQty],T_PlannedOrders[Part Name],$A45,T_PlannedOrders[WeekIndex],80)=0,"",SUMIFS(T_PlannedOrders[EffectiveQty],T_PlannedOrders[Part Name],$A45,T_PlannedOrders[WeekIndex],80)&amp;" ("&amp;TEXT(SUMPRODUCT(MAX((T_PlannedOrders[Part Name]=$A45)*(T_PlannedOrders[WeekIndex]=80)*(T_PlannedOrders[EffectiveQty]&gt;0)*T_PlannedOrders[Order_Month])),"m月")&amp;"発注)")</f>
        <v/>
      </c>
      <c r="CF217">
        <f>IF(SUMIFS(T_PlannedOrders[EffectiveQty],T_PlannedOrders[Part Name],$A45,T_PlannedOrders[WeekIndex],81)=0,"",SUMIFS(T_PlannedOrders[EffectiveQty],T_PlannedOrders[Part Name],$A45,T_PlannedOrders[WeekIndex],81)&amp;" ("&amp;TEXT(SUMPRODUCT(MAX((T_PlannedOrders[Part Name]=$A45)*(T_PlannedOrders[WeekIndex]=81)*(T_PlannedOrders[EffectiveQty]&gt;0)*T_PlannedOrders[Order_Month])),"m月")&amp;"発注)")</f>
        <v/>
      </c>
      <c r="CG217">
        <f>IF(SUMIFS(T_PlannedOrders[EffectiveQty],T_PlannedOrders[Part Name],$A45,T_PlannedOrders[WeekIndex],82)=0,"",SUMIFS(T_PlannedOrders[EffectiveQty],T_PlannedOrders[Part Name],$A45,T_PlannedOrders[WeekIndex],82)&amp;" ("&amp;TEXT(SUMPRODUCT(MAX((T_PlannedOrders[Part Name]=$A45)*(T_PlannedOrders[WeekIndex]=82)*(T_PlannedOrders[EffectiveQty]&gt;0)*T_PlannedOrders[Order_Month])),"m月")&amp;"発注)")</f>
        <v/>
      </c>
      <c r="CH217">
        <f>IF(SUMIFS(T_PlannedOrders[EffectiveQty],T_PlannedOrders[Part Name],$A45,T_PlannedOrders[WeekIndex],83)=0,"",SUMIFS(T_PlannedOrders[EffectiveQty],T_PlannedOrders[Part Name],$A45,T_PlannedOrders[WeekIndex],83)&amp;" ("&amp;TEXT(SUMPRODUCT(MAX((T_PlannedOrders[Part Name]=$A45)*(T_PlannedOrders[WeekIndex]=83)*(T_PlannedOrders[EffectiveQty]&gt;0)*T_PlannedOrders[Order_Month])),"m月")&amp;"発注)")</f>
        <v/>
      </c>
      <c r="CI217">
        <f>IF(SUMIFS(T_PlannedOrders[EffectiveQty],T_PlannedOrders[Part Name],$A45,T_PlannedOrders[WeekIndex],84)=0,"",SUMIFS(T_PlannedOrders[EffectiveQty],T_PlannedOrders[Part Name],$A45,T_PlannedOrders[WeekIndex],84)&amp;" ("&amp;TEXT(SUMPRODUCT(MAX((T_PlannedOrders[Part Name]=$A45)*(T_PlannedOrders[WeekIndex]=84)*(T_PlannedOrders[EffectiveQty]&gt;0)*T_PlannedOrders[Order_Month])),"m月")&amp;"発注)")</f>
        <v/>
      </c>
      <c r="CJ217">
        <f>IF(SUMIFS(T_PlannedOrders[EffectiveQty],T_PlannedOrders[Part Name],$A45,T_PlannedOrders[WeekIndex],85)=0,"",SUMIFS(T_PlannedOrders[EffectiveQty],T_PlannedOrders[Part Name],$A45,T_PlannedOrders[WeekIndex],85)&amp;" ("&amp;TEXT(SUMPRODUCT(MAX((T_PlannedOrders[Part Name]=$A45)*(T_PlannedOrders[WeekIndex]=85)*(T_PlannedOrders[EffectiveQty]&gt;0)*T_PlannedOrders[Order_Month])),"m月")&amp;"発注)")</f>
        <v/>
      </c>
      <c r="CK217">
        <f>IF(SUMIFS(T_PlannedOrders[EffectiveQty],T_PlannedOrders[Part Name],$A45,T_PlannedOrders[WeekIndex],86)=0,"",SUMIFS(T_PlannedOrders[EffectiveQty],T_PlannedOrders[Part Name],$A45,T_PlannedOrders[WeekIndex],86)&amp;" ("&amp;TEXT(SUMPRODUCT(MAX((T_PlannedOrders[Part Name]=$A45)*(T_PlannedOrders[WeekIndex]=86)*(T_PlannedOrders[EffectiveQty]&gt;0)*T_PlannedOrders[Order_Month])),"m月")&amp;"発注)")</f>
        <v/>
      </c>
      <c r="CL217">
        <f>IF(SUMIFS(T_PlannedOrders[EffectiveQty],T_PlannedOrders[Part Name],$A45,T_PlannedOrders[WeekIndex],87)=0,"",SUMIFS(T_PlannedOrders[EffectiveQty],T_PlannedOrders[Part Name],$A45,T_PlannedOrders[WeekIndex],87)&amp;" ("&amp;TEXT(SUMPRODUCT(MAX((T_PlannedOrders[Part Name]=$A45)*(T_PlannedOrders[WeekIndex]=87)*(T_PlannedOrders[EffectiveQty]&gt;0)*T_PlannedOrders[Order_Month])),"m月")&amp;"発注)")</f>
        <v/>
      </c>
      <c r="CM217">
        <f>IF(SUMIFS(T_PlannedOrders[EffectiveQty],T_PlannedOrders[Part Name],$A45,T_PlannedOrders[WeekIndex],88)=0,"",SUMIFS(T_PlannedOrders[EffectiveQty],T_PlannedOrders[Part Name],$A45,T_PlannedOrders[WeekIndex],88)&amp;" ("&amp;TEXT(SUMPRODUCT(MAX((T_PlannedOrders[Part Name]=$A45)*(T_PlannedOrders[WeekIndex]=88)*(T_PlannedOrders[EffectiveQty]&gt;0)*T_PlannedOrders[Order_Month])),"m月")&amp;"発注)")</f>
        <v/>
      </c>
      <c r="CN217">
        <f>IF(SUMIFS(T_PlannedOrders[EffectiveQty],T_PlannedOrders[Part Name],$A45,T_PlannedOrders[WeekIndex],89)=0,"",SUMIFS(T_PlannedOrders[EffectiveQty],T_PlannedOrders[Part Name],$A45,T_PlannedOrders[WeekIndex],89)&amp;" ("&amp;TEXT(SUMPRODUCT(MAX((T_PlannedOrders[Part Name]=$A45)*(T_PlannedOrders[WeekIndex]=89)*(T_PlannedOrders[EffectiveQty]&gt;0)*T_PlannedOrders[Order_Month])),"m月")&amp;"発注)")</f>
        <v/>
      </c>
      <c r="CO217">
        <f>IF(SUMIFS(T_PlannedOrders[EffectiveQty],T_PlannedOrders[Part Name],$A45,T_PlannedOrders[WeekIndex],90)=0,"",SUMIFS(T_PlannedOrders[EffectiveQty],T_PlannedOrders[Part Name],$A45,T_PlannedOrders[WeekIndex],90)&amp;" ("&amp;TEXT(SUMPRODUCT(MAX((T_PlannedOrders[Part Name]=$A45)*(T_PlannedOrders[WeekIndex]=90)*(T_PlannedOrders[EffectiveQty]&gt;0)*T_PlannedOrders[Order_Month])),"m月")&amp;"発注)")</f>
        <v/>
      </c>
      <c r="CP217">
        <f>IF(SUMIFS(T_PlannedOrders[EffectiveQty],T_PlannedOrders[Part Name],$A45,T_PlannedOrders[WeekIndex],91)=0,"",SUMIFS(T_PlannedOrders[EffectiveQty],T_PlannedOrders[Part Name],$A45,T_PlannedOrders[WeekIndex],91)&amp;" ("&amp;TEXT(SUMPRODUCT(MAX((T_PlannedOrders[Part Name]=$A45)*(T_PlannedOrders[WeekIndex]=91)*(T_PlannedOrders[EffectiveQty]&gt;0)*T_PlannedOrders[Order_Month])),"m月")&amp;"発注)")</f>
        <v/>
      </c>
      <c r="CQ217">
        <f>IF(SUMIFS(T_PlannedOrders[EffectiveQty],T_PlannedOrders[Part Name],$A45,T_PlannedOrders[WeekIndex],92)=0,"",SUMIFS(T_PlannedOrders[EffectiveQty],T_PlannedOrders[Part Name],$A45,T_PlannedOrders[WeekIndex],92)&amp;" ("&amp;TEXT(SUMPRODUCT(MAX((T_PlannedOrders[Part Name]=$A45)*(T_PlannedOrders[WeekIndex]=92)*(T_PlannedOrders[EffectiveQty]&gt;0)*T_PlannedOrders[Order_Month])),"m月")&amp;"発注)")</f>
        <v/>
      </c>
      <c r="CR217">
        <f>IF(SUMIFS(T_PlannedOrders[EffectiveQty],T_PlannedOrders[Part Name],$A45,T_PlannedOrders[WeekIndex],93)=0,"",SUMIFS(T_PlannedOrders[EffectiveQty],T_PlannedOrders[Part Name],$A45,T_PlannedOrders[WeekIndex],93)&amp;" ("&amp;TEXT(SUMPRODUCT(MAX((T_PlannedOrders[Part Name]=$A45)*(T_PlannedOrders[WeekIndex]=93)*(T_PlannedOrders[EffectiveQty]&gt;0)*T_PlannedOrders[Order_Month])),"m月")&amp;"発注)")</f>
        <v/>
      </c>
      <c r="CS217">
        <f>IF(SUMIFS(T_PlannedOrders[EffectiveQty],T_PlannedOrders[Part Name],$A45,T_PlannedOrders[WeekIndex],94)=0,"",SUMIFS(T_PlannedOrders[EffectiveQty],T_PlannedOrders[Part Name],$A45,T_PlannedOrders[WeekIndex],94)&amp;" ("&amp;TEXT(SUMPRODUCT(MAX((T_PlannedOrders[Part Name]=$A45)*(T_PlannedOrders[WeekIndex]=94)*(T_PlannedOrders[EffectiveQty]&gt;0)*T_PlannedOrders[Order_Month])),"m月")&amp;"発注)")</f>
        <v/>
      </c>
      <c r="CT217">
        <f>IF(SUMIFS(T_PlannedOrders[EffectiveQty],T_PlannedOrders[Part Name],$A45,T_PlannedOrders[WeekIndex],95)=0,"",SUMIFS(T_PlannedOrders[EffectiveQty],T_PlannedOrders[Part Name],$A45,T_PlannedOrders[WeekIndex],95)&amp;" ("&amp;TEXT(SUMPRODUCT(MAX((T_PlannedOrders[Part Name]=$A45)*(T_PlannedOrders[WeekIndex]=95)*(T_PlannedOrders[EffectiveQty]&gt;0)*T_PlannedOrders[Order_Month])),"m月")&amp;"発注)")</f>
        <v/>
      </c>
      <c r="CU217">
        <f>IF(SUMIFS(T_PlannedOrders[EffectiveQty],T_PlannedOrders[Part Name],$A45,T_PlannedOrders[WeekIndex],96)=0,"",SUMIFS(T_PlannedOrders[EffectiveQty],T_PlannedOrders[Part Name],$A45,T_PlannedOrders[WeekIndex],96)&amp;" ("&amp;TEXT(SUMPRODUCT(MAX((T_PlannedOrders[Part Name]=$A45)*(T_PlannedOrders[WeekIndex]=96)*(T_PlannedOrders[EffectiveQty]&gt;0)*T_PlannedOrders[Order_Month])),"m月")&amp;"発注)")</f>
        <v/>
      </c>
      <c r="CV217">
        <f>IF(SUMIFS(T_PlannedOrders[EffectiveQty],T_PlannedOrders[Part Name],$A45,T_PlannedOrders[WeekIndex],97)=0,"",SUMIFS(T_PlannedOrders[EffectiveQty],T_PlannedOrders[Part Name],$A45,T_PlannedOrders[WeekIndex],97)&amp;" ("&amp;TEXT(SUMPRODUCT(MAX((T_PlannedOrders[Part Name]=$A45)*(T_PlannedOrders[WeekIndex]=97)*(T_PlannedOrders[EffectiveQty]&gt;0)*T_PlannedOrders[Order_Month])),"m月")&amp;"発注)")</f>
        <v/>
      </c>
      <c r="CW217">
        <f>IF(SUMIFS(T_PlannedOrders[EffectiveQty],T_PlannedOrders[Part Name],$A45,T_PlannedOrders[WeekIndex],98)=0,"",SUMIFS(T_PlannedOrders[EffectiveQty],T_PlannedOrders[Part Name],$A45,T_PlannedOrders[WeekIndex],98)&amp;" ("&amp;TEXT(SUMPRODUCT(MAX((T_PlannedOrders[Part Name]=$A45)*(T_PlannedOrders[WeekIndex]=98)*(T_PlannedOrders[EffectiveQty]&gt;0)*T_PlannedOrders[Order_Month])),"m月")&amp;"発注)")</f>
        <v/>
      </c>
      <c r="CX217">
        <f>IF(SUMIFS(T_PlannedOrders[EffectiveQty],T_PlannedOrders[Part Name],$A45,T_PlannedOrders[WeekIndex],99)=0,"",SUMIFS(T_PlannedOrders[EffectiveQty],T_PlannedOrders[Part Name],$A45,T_PlannedOrders[WeekIndex],99)&amp;" ("&amp;TEXT(SUMPRODUCT(MAX((T_PlannedOrders[Part Name]=$A45)*(T_PlannedOrders[WeekIndex]=99)*(T_PlannedOrders[EffectiveQty]&gt;0)*T_PlannedOrders[Order_Month])),"m月")&amp;"発注)")</f>
        <v/>
      </c>
      <c r="CY217">
        <f>IF(SUMIFS(T_PlannedOrders[EffectiveQty],T_PlannedOrders[Part Name],$A45,T_PlannedOrders[WeekIndex],100)=0,"",SUMIFS(T_PlannedOrders[EffectiveQty],T_PlannedOrders[Part Name],$A45,T_PlannedOrders[WeekIndex],100)&amp;" ("&amp;TEXT(SUMPRODUCT(MAX((T_PlannedOrders[Part Name]=$A45)*(T_PlannedOrders[WeekIndex]=100)*(T_PlannedOrders[EffectiveQty]&gt;0)*T_PlannedOrders[Order_Month])),"m月")&amp;"発注)")</f>
        <v/>
      </c>
      <c r="CZ217">
        <f>IF(SUMIFS(T_PlannedOrders[EffectiveQty],T_PlannedOrders[Part Name],$A45,T_PlannedOrders[WeekIndex],101)=0,"",SUMIFS(T_PlannedOrders[EffectiveQty],T_PlannedOrders[Part Name],$A45,T_PlannedOrders[WeekIndex],101)&amp;" ("&amp;TEXT(SUMPRODUCT(MAX((T_PlannedOrders[Part Name]=$A45)*(T_PlannedOrders[WeekIndex]=101)*(T_PlannedOrders[EffectiveQty]&gt;0)*T_PlannedOrders[Order_Month])),"m月")&amp;"発注)")</f>
        <v/>
      </c>
      <c r="DA217">
        <f>IF(SUMIFS(T_PlannedOrders[EffectiveQty],T_PlannedOrders[Part Name],$A45,T_PlannedOrders[WeekIndex],102)=0,"",SUMIFS(T_PlannedOrders[EffectiveQty],T_PlannedOrders[Part Name],$A45,T_PlannedOrders[WeekIndex],102)&amp;" ("&amp;TEXT(SUMPRODUCT(MAX((T_PlannedOrders[Part Name]=$A45)*(T_PlannedOrders[WeekIndex]=102)*(T_PlannedOrders[EffectiveQty]&gt;0)*T_PlannedOrders[Order_Month])),"m月")&amp;"発注)")</f>
        <v/>
      </c>
      <c r="DB217">
        <f>IF(SUMIFS(T_PlannedOrders[EffectiveQty],T_PlannedOrders[Part Name],$A45,T_PlannedOrders[WeekIndex],103)=0,"",SUMIFS(T_PlannedOrders[EffectiveQty],T_PlannedOrders[Part Name],$A45,T_PlannedOrders[WeekIndex],103)&amp;" ("&amp;TEXT(SUMPRODUCT(MAX((T_PlannedOrders[Part Name]=$A45)*(T_PlannedOrders[WeekIndex]=103)*(T_PlannedOrders[EffectiveQty]&gt;0)*T_PlannedOrders[Order_Month])),"m月")&amp;"発注)")</f>
        <v/>
      </c>
      <c r="DC217">
        <f>IF(SUMIFS(T_PlannedOrders[EffectiveQty],T_PlannedOrders[Part Name],$A45,T_PlannedOrders[WeekIndex],104)=0,"",SUMIFS(T_PlannedOrders[EffectiveQty],T_PlannedOrders[Part Name],$A45,T_PlannedOrders[WeekIndex],104)&amp;" ("&amp;TEXT(SUMPRODUCT(MAX((T_PlannedOrders[Part Name]=$A45)*(T_PlannedOrders[WeekIndex]=104)*(T_PlannedOrders[EffectiveQty]&gt;0)*T_PlannedOrders[Order_Month])),"m月")&amp;"発注)")</f>
        <v/>
      </c>
    </row>
    <row r="218">
      <c r="B218" s="9" t="inlineStr">
        <is>
          <t>合計在庫(週末時点,kg)</t>
        </is>
      </c>
      <c r="D218">
        <f>'Grid_Stock'!B5</f>
        <v/>
      </c>
      <c r="E218">
        <f>'Grid_Stock'!C5</f>
        <v/>
      </c>
      <c r="F218">
        <f>'Grid_Stock'!D5</f>
        <v/>
      </c>
      <c r="G218">
        <f>'Grid_Stock'!E5</f>
        <v/>
      </c>
      <c r="H218">
        <f>'Grid_Stock'!F5</f>
        <v/>
      </c>
      <c r="I218">
        <f>'Grid_Stock'!G5</f>
        <v/>
      </c>
      <c r="J218">
        <f>'Grid_Stock'!H5</f>
        <v/>
      </c>
      <c r="K218">
        <f>'Grid_Stock'!I5</f>
        <v/>
      </c>
      <c r="L218">
        <f>'Grid_Stock'!J5</f>
        <v/>
      </c>
      <c r="M218">
        <f>'Grid_Stock'!K5</f>
        <v/>
      </c>
      <c r="N218">
        <f>'Grid_Stock'!L5</f>
        <v/>
      </c>
      <c r="O218">
        <f>'Grid_Stock'!M5</f>
        <v/>
      </c>
      <c r="P218">
        <f>'Grid_Stock'!N5</f>
        <v/>
      </c>
      <c r="Q218">
        <f>'Grid_Stock'!O5</f>
        <v/>
      </c>
      <c r="R218">
        <f>'Grid_Stock'!P5</f>
        <v/>
      </c>
      <c r="S218">
        <f>'Grid_Stock'!Q5</f>
        <v/>
      </c>
      <c r="T218">
        <f>'Grid_Stock'!R5</f>
        <v/>
      </c>
      <c r="U218">
        <f>'Grid_Stock'!S5</f>
        <v/>
      </c>
      <c r="V218">
        <f>'Grid_Stock'!T5</f>
        <v/>
      </c>
      <c r="W218">
        <f>'Grid_Stock'!U5</f>
        <v/>
      </c>
      <c r="X218">
        <f>'Grid_Stock'!V5</f>
        <v/>
      </c>
      <c r="Y218">
        <f>'Grid_Stock'!W5</f>
        <v/>
      </c>
      <c r="Z218">
        <f>'Grid_Stock'!X5</f>
        <v/>
      </c>
      <c r="AA218">
        <f>'Grid_Stock'!Y5</f>
        <v/>
      </c>
      <c r="AB218">
        <f>'Grid_Stock'!Z5</f>
        <v/>
      </c>
      <c r="AC218">
        <f>'Grid_Stock'!AA5</f>
        <v/>
      </c>
      <c r="AD218">
        <f>'Grid_Stock'!AB5</f>
        <v/>
      </c>
      <c r="AE218">
        <f>'Grid_Stock'!AC5</f>
        <v/>
      </c>
      <c r="AF218">
        <f>'Grid_Stock'!AD5</f>
        <v/>
      </c>
      <c r="AG218">
        <f>'Grid_Stock'!AE5</f>
        <v/>
      </c>
      <c r="AH218">
        <f>'Grid_Stock'!AF5</f>
        <v/>
      </c>
      <c r="AI218">
        <f>'Grid_Stock'!AG5</f>
        <v/>
      </c>
      <c r="AJ218">
        <f>'Grid_Stock'!AH5</f>
        <v/>
      </c>
      <c r="AK218">
        <f>'Grid_Stock'!AI5</f>
        <v/>
      </c>
      <c r="AL218">
        <f>'Grid_Stock'!AJ5</f>
        <v/>
      </c>
      <c r="AM218">
        <f>'Grid_Stock'!AK5</f>
        <v/>
      </c>
      <c r="AN218">
        <f>'Grid_Stock'!AL5</f>
        <v/>
      </c>
      <c r="AO218">
        <f>'Grid_Stock'!AM5</f>
        <v/>
      </c>
      <c r="AP218">
        <f>'Grid_Stock'!AN5</f>
        <v/>
      </c>
      <c r="AQ218">
        <f>'Grid_Stock'!AO5</f>
        <v/>
      </c>
      <c r="AR218">
        <f>'Grid_Stock'!AP5</f>
        <v/>
      </c>
      <c r="AS218">
        <f>'Grid_Stock'!AQ5</f>
        <v/>
      </c>
      <c r="AT218">
        <f>'Grid_Stock'!AR5</f>
        <v/>
      </c>
      <c r="AU218">
        <f>'Grid_Stock'!AS5</f>
        <v/>
      </c>
      <c r="AV218">
        <f>'Grid_Stock'!AT5</f>
        <v/>
      </c>
      <c r="AW218">
        <f>'Grid_Stock'!AU5</f>
        <v/>
      </c>
      <c r="AX218">
        <f>'Grid_Stock'!AV5</f>
        <v/>
      </c>
      <c r="AY218">
        <f>'Grid_Stock'!AW5</f>
        <v/>
      </c>
      <c r="AZ218">
        <f>'Grid_Stock'!AX5</f>
        <v/>
      </c>
      <c r="BA218">
        <f>'Grid_Stock'!AY5</f>
        <v/>
      </c>
      <c r="BB218">
        <f>'Grid_Stock'!AZ5</f>
        <v/>
      </c>
      <c r="BC218">
        <f>'Grid_Stock'!BA5</f>
        <v/>
      </c>
      <c r="BD218">
        <f>'Grid_Stock'!BB5</f>
        <v/>
      </c>
      <c r="BE218">
        <f>'Grid_Stock'!BC5</f>
        <v/>
      </c>
      <c r="BF218">
        <f>'Grid_Stock'!BD5</f>
        <v/>
      </c>
      <c r="BG218">
        <f>'Grid_Stock'!BE5</f>
        <v/>
      </c>
      <c r="BH218">
        <f>'Grid_Stock'!BF5</f>
        <v/>
      </c>
      <c r="BI218">
        <f>'Grid_Stock'!BG5</f>
        <v/>
      </c>
      <c r="BJ218">
        <f>'Grid_Stock'!BH5</f>
        <v/>
      </c>
      <c r="BK218">
        <f>'Grid_Stock'!BI5</f>
        <v/>
      </c>
      <c r="BL218">
        <f>'Grid_Stock'!BJ5</f>
        <v/>
      </c>
      <c r="BM218">
        <f>'Grid_Stock'!BK5</f>
        <v/>
      </c>
      <c r="BN218">
        <f>'Grid_Stock'!BL5</f>
        <v/>
      </c>
      <c r="BO218">
        <f>'Grid_Stock'!BM5</f>
        <v/>
      </c>
      <c r="BP218">
        <f>'Grid_Stock'!BN5</f>
        <v/>
      </c>
      <c r="BQ218">
        <f>'Grid_Stock'!BO5</f>
        <v/>
      </c>
      <c r="BR218">
        <f>'Grid_Stock'!BP5</f>
        <v/>
      </c>
      <c r="BS218">
        <f>'Grid_Stock'!BQ5</f>
        <v/>
      </c>
      <c r="BT218">
        <f>'Grid_Stock'!BR5</f>
        <v/>
      </c>
      <c r="BU218">
        <f>'Grid_Stock'!BS5</f>
        <v/>
      </c>
      <c r="BV218">
        <f>'Grid_Stock'!BT5</f>
        <v/>
      </c>
      <c r="BW218">
        <f>'Grid_Stock'!BU5</f>
        <v/>
      </c>
      <c r="BX218">
        <f>'Grid_Stock'!BV5</f>
        <v/>
      </c>
      <c r="BY218">
        <f>'Grid_Stock'!BW5</f>
        <v/>
      </c>
      <c r="BZ218">
        <f>'Grid_Stock'!BX5</f>
        <v/>
      </c>
      <c r="CA218">
        <f>'Grid_Stock'!BY5</f>
        <v/>
      </c>
      <c r="CB218">
        <f>'Grid_Stock'!BZ5</f>
        <v/>
      </c>
      <c r="CC218">
        <f>'Grid_Stock'!CA5</f>
        <v/>
      </c>
      <c r="CD218">
        <f>'Grid_Stock'!CB5</f>
        <v/>
      </c>
      <c r="CE218">
        <f>'Grid_Stock'!CC5</f>
        <v/>
      </c>
      <c r="CF218">
        <f>'Grid_Stock'!CD5</f>
        <v/>
      </c>
      <c r="CG218">
        <f>'Grid_Stock'!CE5</f>
        <v/>
      </c>
      <c r="CH218">
        <f>'Grid_Stock'!CF5</f>
        <v/>
      </c>
      <c r="CI218">
        <f>'Grid_Stock'!CG5</f>
        <v/>
      </c>
      <c r="CJ218">
        <f>'Grid_Stock'!CH5</f>
        <v/>
      </c>
      <c r="CK218">
        <f>'Grid_Stock'!CI5</f>
        <v/>
      </c>
      <c r="CL218">
        <f>'Grid_Stock'!CJ5</f>
        <v/>
      </c>
      <c r="CM218">
        <f>'Grid_Stock'!CK5</f>
        <v/>
      </c>
      <c r="CN218">
        <f>'Grid_Stock'!CL5</f>
        <v/>
      </c>
      <c r="CO218">
        <f>'Grid_Stock'!CM5</f>
        <v/>
      </c>
      <c r="CP218">
        <f>'Grid_Stock'!CN5</f>
        <v/>
      </c>
      <c r="CQ218">
        <f>'Grid_Stock'!CO5</f>
        <v/>
      </c>
      <c r="CR218">
        <f>'Grid_Stock'!CP5</f>
        <v/>
      </c>
      <c r="CS218">
        <f>'Grid_Stock'!CQ5</f>
        <v/>
      </c>
      <c r="CT218">
        <f>'Grid_Stock'!CR5</f>
        <v/>
      </c>
      <c r="CU218">
        <f>'Grid_Stock'!CS5</f>
        <v/>
      </c>
      <c r="CV218">
        <f>'Grid_Stock'!CT5</f>
        <v/>
      </c>
      <c r="CW218">
        <f>'Grid_Stock'!CU5</f>
        <v/>
      </c>
      <c r="CX218">
        <f>'Grid_Stock'!CV5</f>
        <v/>
      </c>
      <c r="CY218">
        <f>'Grid_Stock'!CW5</f>
        <v/>
      </c>
      <c r="CZ218">
        <f>'Grid_Stock'!CX5</f>
        <v/>
      </c>
      <c r="DA218">
        <f>'Grid_Stock'!CY5</f>
        <v/>
      </c>
      <c r="DB218">
        <f>'Grid_Stock'!CZ5</f>
        <v/>
      </c>
      <c r="DC218">
        <f>'Grid_Stock'!DA5</f>
        <v/>
      </c>
    </row>
    <row r="219">
      <c r="B219" s="21" t="inlineStr">
        <is>
          <t>（発注の目安はDashboardの基準在庫[下限/上限]と色分けを参照）</t>
        </is>
      </c>
    </row>
    <row r="221">
      <c r="A221" s="19" t="inlineStr">
        <is>
          <t>CHEM-1440</t>
        </is>
      </c>
      <c r="B221" s="19" t="inlineStr">
        <is>
          <t>CITRIC ACID</t>
        </is>
      </c>
      <c r="C221" s="20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/>
      <c r="W221" s="19" t="n"/>
      <c r="X221" s="19" t="n"/>
      <c r="Y221" s="19" t="n"/>
      <c r="Z221" s="19" t="n"/>
      <c r="AA221" s="19" t="n"/>
      <c r="AB221" s="19" t="n"/>
      <c r="AC221" s="19" t="n"/>
      <c r="AD221" s="19" t="n"/>
      <c r="AE221" s="19" t="n"/>
      <c r="AF221" s="19" t="n"/>
      <c r="AG221" s="19" t="n"/>
      <c r="AH221" s="19" t="n"/>
      <c r="AI221" s="19" t="n"/>
      <c r="AJ221" s="19" t="n"/>
      <c r="AK221" s="19" t="n"/>
      <c r="AL221" s="19" t="n"/>
      <c r="AM221" s="19" t="n"/>
      <c r="AN221" s="19" t="n"/>
      <c r="AO221" s="19" t="n"/>
      <c r="AP221" s="19" t="n"/>
      <c r="AQ221" s="19" t="n"/>
      <c r="AR221" s="19" t="n"/>
      <c r="AS221" s="19" t="n"/>
      <c r="AT221" s="19" t="n"/>
      <c r="AU221" s="19" t="n"/>
      <c r="AV221" s="19" t="n"/>
      <c r="AW221" s="19" t="n"/>
      <c r="AX221" s="19" t="n"/>
      <c r="AY221" s="19" t="n"/>
      <c r="AZ221" s="19" t="n"/>
      <c r="BA221" s="19" t="n"/>
      <c r="BB221" s="19" t="n"/>
      <c r="BC221" s="19" t="n"/>
      <c r="BD221" s="19" t="n"/>
      <c r="BE221" s="19" t="n"/>
      <c r="BF221" s="19" t="n"/>
      <c r="BG221" s="19" t="n"/>
      <c r="BH221" s="19" t="n"/>
      <c r="BI221" s="19" t="n"/>
      <c r="BJ221" s="19" t="n"/>
      <c r="BK221" s="19" t="n"/>
      <c r="BL221" s="19" t="n"/>
      <c r="BM221" s="19" t="n"/>
      <c r="BN221" s="19" t="n"/>
      <c r="BO221" s="19" t="n"/>
      <c r="BP221" s="19" t="n"/>
      <c r="BQ221" s="19" t="n"/>
      <c r="BR221" s="19" t="n"/>
      <c r="BS221" s="19" t="n"/>
      <c r="BT221" s="19" t="n"/>
      <c r="BU221" s="19" t="n"/>
      <c r="BV221" s="19" t="n"/>
      <c r="BW221" s="19" t="n"/>
      <c r="BX221" s="19" t="n"/>
      <c r="BY221" s="19" t="n"/>
      <c r="BZ221" s="19" t="n"/>
      <c r="CA221" s="19" t="n"/>
      <c r="CB221" s="19" t="n"/>
      <c r="CC221" s="19" t="n"/>
      <c r="CD221" s="19" t="n"/>
      <c r="CE221" s="19" t="n"/>
      <c r="CF221" s="19" t="n"/>
      <c r="CG221" s="19" t="n"/>
      <c r="CH221" s="19" t="n"/>
      <c r="CI221" s="19" t="n"/>
      <c r="CJ221" s="19" t="n"/>
      <c r="CK221" s="19" t="n"/>
      <c r="CL221" s="19" t="n"/>
      <c r="CM221" s="19" t="n"/>
      <c r="CN221" s="19" t="n"/>
      <c r="CO221" s="19" t="n"/>
      <c r="CP221" s="19" t="n"/>
      <c r="CQ221" s="19" t="n"/>
      <c r="CR221" s="19" t="n"/>
      <c r="CS221" s="19" t="n"/>
      <c r="CT221" s="19" t="n"/>
      <c r="CU221" s="19" t="n"/>
      <c r="CV221" s="19" t="n"/>
      <c r="CW221" s="19" t="n"/>
      <c r="CX221" s="19" t="n"/>
      <c r="CY221" s="19" t="n"/>
      <c r="CZ221" s="19" t="n"/>
      <c r="DA221" s="19" t="n"/>
      <c r="DB221" s="19" t="n"/>
      <c r="DC221" s="19" t="n"/>
    </row>
    <row r="222">
      <c r="B222" t="inlineStr">
        <is>
          <t>TSP-049</t>
        </is>
      </c>
      <c r="C222" t="inlineStr">
        <is>
          <t>No. of batches</t>
        </is>
      </c>
      <c r="D222">
        <f>IFERROR(INDEX(PP_Grid[#Data],$DD222,2),0)</f>
        <v/>
      </c>
      <c r="E222">
        <f>IFERROR(INDEX(PP_Grid[#Data],$DD222,3),0)</f>
        <v/>
      </c>
      <c r="F222">
        <f>IFERROR(INDEX(PP_Grid[#Data],$DD222,4),0)</f>
        <v/>
      </c>
      <c r="G222">
        <f>IFERROR(INDEX(PP_Grid[#Data],$DD222,5),0)</f>
        <v/>
      </c>
      <c r="H222">
        <f>IFERROR(INDEX(PP_Grid[#Data],$DD222,6),0)</f>
        <v/>
      </c>
      <c r="I222">
        <f>IFERROR(INDEX(PP_Grid[#Data],$DD222,7),0)</f>
        <v/>
      </c>
      <c r="J222">
        <f>IFERROR(INDEX(PP_Grid[#Data],$DD222,8),0)</f>
        <v/>
      </c>
      <c r="K222">
        <f>IFERROR(INDEX(PP_Grid[#Data],$DD222,9),0)</f>
        <v/>
      </c>
      <c r="L222">
        <f>IFERROR(INDEX(PP_Grid[#Data],$DD222,10),0)</f>
        <v/>
      </c>
      <c r="M222">
        <f>IFERROR(INDEX(PP_Grid[#Data],$DD222,11),0)</f>
        <v/>
      </c>
      <c r="N222">
        <f>IFERROR(INDEX(PP_Grid[#Data],$DD222,12),0)</f>
        <v/>
      </c>
      <c r="O222">
        <f>IFERROR(INDEX(PP_Grid[#Data],$DD222,13),0)</f>
        <v/>
      </c>
      <c r="P222">
        <f>IFERROR(INDEX(PP_Grid[#Data],$DD222,14),0)</f>
        <v/>
      </c>
      <c r="Q222">
        <f>IFERROR(INDEX(PP_Grid[#Data],$DD222,15),0)</f>
        <v/>
      </c>
      <c r="R222">
        <f>IFERROR(INDEX(PP_Grid[#Data],$DD222,16),0)</f>
        <v/>
      </c>
      <c r="S222">
        <f>IFERROR(INDEX(PP_Grid[#Data],$DD222,17),0)</f>
        <v/>
      </c>
      <c r="T222">
        <f>IFERROR(INDEX(PP_Grid[#Data],$DD222,18),0)</f>
        <v/>
      </c>
      <c r="U222">
        <f>IFERROR(INDEX(PP_Grid[#Data],$DD222,19),0)</f>
        <v/>
      </c>
      <c r="V222">
        <f>IFERROR(INDEX(PP_Grid[#Data],$DD222,20),0)</f>
        <v/>
      </c>
      <c r="W222">
        <f>IFERROR(INDEX(PP_Grid[#Data],$DD222,21),0)</f>
        <v/>
      </c>
      <c r="X222">
        <f>IFERROR(INDEX(PP_Grid[#Data],$DD222,22),0)</f>
        <v/>
      </c>
      <c r="Y222">
        <f>IFERROR(INDEX(PP_Grid[#Data],$DD222,23),0)</f>
        <v/>
      </c>
      <c r="Z222">
        <f>IFERROR(INDEX(PP_Grid[#Data],$DD222,24),0)</f>
        <v/>
      </c>
      <c r="AA222">
        <f>IFERROR(INDEX(PP_Grid[#Data],$DD222,25),0)</f>
        <v/>
      </c>
      <c r="AB222">
        <f>IFERROR(INDEX(PP_Grid[#Data],$DD222,26),0)</f>
        <v/>
      </c>
      <c r="AC222">
        <f>IFERROR(INDEX(PP_Grid[#Data],$DD222,27),0)</f>
        <v/>
      </c>
      <c r="AD222">
        <f>IFERROR(INDEX(PP_Grid[#Data],$DD222,28),0)</f>
        <v/>
      </c>
      <c r="AE222">
        <f>IFERROR(INDEX(PP_Grid[#Data],$DD222,29),0)</f>
        <v/>
      </c>
      <c r="AF222">
        <f>IFERROR(INDEX(PP_Grid[#Data],$DD222,30),0)</f>
        <v/>
      </c>
      <c r="AG222">
        <f>IFERROR(INDEX(PP_Grid[#Data],$DD222,31),0)</f>
        <v/>
      </c>
      <c r="AH222">
        <f>IFERROR(INDEX(PP_Grid[#Data],$DD222,32),0)</f>
        <v/>
      </c>
      <c r="AI222">
        <f>IFERROR(INDEX(PP_Grid[#Data],$DD222,33),0)</f>
        <v/>
      </c>
      <c r="AJ222">
        <f>IFERROR(INDEX(PP_Grid[#Data],$DD222,34),0)</f>
        <v/>
      </c>
      <c r="AK222">
        <f>IFERROR(INDEX(PP_Grid[#Data],$DD222,35),0)</f>
        <v/>
      </c>
      <c r="AL222">
        <f>IFERROR(INDEX(PP_Grid[#Data],$DD222,36),0)</f>
        <v/>
      </c>
      <c r="AM222">
        <f>IFERROR(INDEX(PP_Grid[#Data],$DD222,37),0)</f>
        <v/>
      </c>
      <c r="AN222">
        <f>IFERROR(INDEX(PP_Grid[#Data],$DD222,38),0)</f>
        <v/>
      </c>
      <c r="AO222">
        <f>IFERROR(INDEX(PP_Grid[#Data],$DD222,39),0)</f>
        <v/>
      </c>
      <c r="AP222">
        <f>IFERROR(INDEX(PP_Grid[#Data],$DD222,40),0)</f>
        <v/>
      </c>
      <c r="AQ222">
        <f>IFERROR(INDEX(PP_Grid[#Data],$DD222,41),0)</f>
        <v/>
      </c>
      <c r="AR222">
        <f>IFERROR(INDEX(PP_Grid[#Data],$DD222,42),0)</f>
        <v/>
      </c>
      <c r="AS222">
        <f>IFERROR(INDEX(PP_Grid[#Data],$DD222,43),0)</f>
        <v/>
      </c>
      <c r="AT222">
        <f>IFERROR(INDEX(PP_Grid[#Data],$DD222,44),0)</f>
        <v/>
      </c>
      <c r="AU222">
        <f>IFERROR(INDEX(PP_Grid[#Data],$DD222,45),0)</f>
        <v/>
      </c>
      <c r="AV222">
        <f>IFERROR(INDEX(PP_Grid[#Data],$DD222,46),0)</f>
        <v/>
      </c>
      <c r="AW222">
        <f>IFERROR(INDEX(PP_Grid[#Data],$DD222,47),0)</f>
        <v/>
      </c>
      <c r="AX222">
        <f>IFERROR(INDEX(PP_Grid[#Data],$DD222,48),0)</f>
        <v/>
      </c>
      <c r="AY222">
        <f>IFERROR(INDEX(PP_Grid[#Data],$DD222,49),0)</f>
        <v/>
      </c>
      <c r="AZ222">
        <f>IFERROR(INDEX(PP_Grid[#Data],$DD222,50),0)</f>
        <v/>
      </c>
      <c r="BA222">
        <f>IFERROR(INDEX(PP_Grid[#Data],$DD222,51),0)</f>
        <v/>
      </c>
      <c r="BB222">
        <f>IFERROR(INDEX(PP_Grid[#Data],$DD222,52),0)</f>
        <v/>
      </c>
      <c r="BC222">
        <f>IFERROR(INDEX(PP_Grid[#Data],$DD222,53),0)</f>
        <v/>
      </c>
      <c r="BD222">
        <f>IFERROR(INDEX(PP_Grid[#Data],$DD222,54),0)</f>
        <v/>
      </c>
      <c r="BE222">
        <f>IFERROR(INDEX(PP_Grid[#Data],$DD222,55),0)</f>
        <v/>
      </c>
      <c r="BF222">
        <f>IFERROR(INDEX(PP_Grid[#Data],$DD222,56),0)</f>
        <v/>
      </c>
      <c r="BG222">
        <f>IFERROR(INDEX(PP_Grid[#Data],$DD222,57),0)</f>
        <v/>
      </c>
      <c r="BH222">
        <f>IFERROR(INDEX(PP_Grid[#Data],$DD222,58),0)</f>
        <v/>
      </c>
      <c r="BI222">
        <f>IFERROR(INDEX(PP_Grid[#Data],$DD222,59),0)</f>
        <v/>
      </c>
      <c r="BJ222">
        <f>IFERROR(INDEX(PP_Grid[#Data],$DD222,60),0)</f>
        <v/>
      </c>
      <c r="BK222">
        <f>IFERROR(INDEX(PP_Grid[#Data],$DD222,61),0)</f>
        <v/>
      </c>
      <c r="BL222">
        <f>IFERROR(INDEX(PP_Grid[#Data],$DD222,62),0)</f>
        <v/>
      </c>
      <c r="BM222">
        <f>IFERROR(INDEX(PP_Grid[#Data],$DD222,63),0)</f>
        <v/>
      </c>
      <c r="BN222">
        <f>IFERROR(INDEX(PP_Grid[#Data],$DD222,64),0)</f>
        <v/>
      </c>
      <c r="BO222">
        <f>IFERROR(INDEX(PP_Grid[#Data],$DD222,65),0)</f>
        <v/>
      </c>
      <c r="BP222">
        <f>IFERROR(INDEX(PP_Grid[#Data],$DD222,66),0)</f>
        <v/>
      </c>
      <c r="BQ222">
        <f>IFERROR(INDEX(PP_Grid[#Data],$DD222,67),0)</f>
        <v/>
      </c>
      <c r="BR222">
        <f>IFERROR(INDEX(PP_Grid[#Data],$DD222,68),0)</f>
        <v/>
      </c>
      <c r="BS222">
        <f>IFERROR(INDEX(PP_Grid[#Data],$DD222,69),0)</f>
        <v/>
      </c>
      <c r="BT222">
        <f>IFERROR(INDEX(PP_Grid[#Data],$DD222,70),0)</f>
        <v/>
      </c>
      <c r="BU222">
        <f>IFERROR(INDEX(PP_Grid[#Data],$DD222,71),0)</f>
        <v/>
      </c>
      <c r="BV222">
        <f>IFERROR(INDEX(PP_Grid[#Data],$DD222,72),0)</f>
        <v/>
      </c>
      <c r="BW222">
        <f>IFERROR(INDEX(PP_Grid[#Data],$DD222,73),0)</f>
        <v/>
      </c>
      <c r="BX222">
        <f>IFERROR(INDEX(PP_Grid[#Data],$DD222,74),0)</f>
        <v/>
      </c>
      <c r="BY222">
        <f>IFERROR(INDEX(PP_Grid[#Data],$DD222,75),0)</f>
        <v/>
      </c>
      <c r="BZ222">
        <f>IFERROR(INDEX(PP_Grid[#Data],$DD222,76),0)</f>
        <v/>
      </c>
      <c r="CA222">
        <f>IFERROR(INDEX(PP_Grid[#Data],$DD222,77),0)</f>
        <v/>
      </c>
      <c r="CB222">
        <f>IFERROR(INDEX(PP_Grid[#Data],$DD222,78),0)</f>
        <v/>
      </c>
      <c r="CC222">
        <f>IFERROR(INDEX(PP_Grid[#Data],$DD222,79),0)</f>
        <v/>
      </c>
      <c r="CD222">
        <f>IFERROR(INDEX(PP_Grid[#Data],$DD222,80),0)</f>
        <v/>
      </c>
      <c r="CE222">
        <f>IFERROR(INDEX(PP_Grid[#Data],$DD222,81),0)</f>
        <v/>
      </c>
      <c r="CF222">
        <f>IFERROR(INDEX(PP_Grid[#Data],$DD222,82),0)</f>
        <v/>
      </c>
      <c r="CG222">
        <f>IFERROR(INDEX(PP_Grid[#Data],$DD222,83),0)</f>
        <v/>
      </c>
      <c r="CH222">
        <f>IFERROR(INDEX(PP_Grid[#Data],$DD222,84),0)</f>
        <v/>
      </c>
      <c r="CI222">
        <f>IFERROR(INDEX(PP_Grid[#Data],$DD222,85),0)</f>
        <v/>
      </c>
      <c r="CJ222">
        <f>IFERROR(INDEX(PP_Grid[#Data],$DD222,86),0)</f>
        <v/>
      </c>
      <c r="CK222">
        <f>IFERROR(INDEX(PP_Grid[#Data],$DD222,87),0)</f>
        <v/>
      </c>
      <c r="CL222">
        <f>IFERROR(INDEX(PP_Grid[#Data],$DD222,88),0)</f>
        <v/>
      </c>
      <c r="CM222">
        <f>IFERROR(INDEX(PP_Grid[#Data],$DD222,89),0)</f>
        <v/>
      </c>
      <c r="CN222">
        <f>IFERROR(INDEX(PP_Grid[#Data],$DD222,90),0)</f>
        <v/>
      </c>
      <c r="CO222">
        <f>IFERROR(INDEX(PP_Grid[#Data],$DD222,91),0)</f>
        <v/>
      </c>
      <c r="CP222">
        <f>IFERROR(INDEX(PP_Grid[#Data],$DD222,92),0)</f>
        <v/>
      </c>
      <c r="CQ222">
        <f>IFERROR(INDEX(PP_Grid[#Data],$DD222,93),0)</f>
        <v/>
      </c>
      <c r="CR222">
        <f>IFERROR(INDEX(PP_Grid[#Data],$DD222,94),0)</f>
        <v/>
      </c>
      <c r="CS222">
        <f>IFERROR(INDEX(PP_Grid[#Data],$DD222,95),0)</f>
        <v/>
      </c>
      <c r="CT222">
        <f>IFERROR(INDEX(PP_Grid[#Data],$DD222,96),0)</f>
        <v/>
      </c>
      <c r="CU222">
        <f>IFERROR(INDEX(PP_Grid[#Data],$DD222,97),0)</f>
        <v/>
      </c>
      <c r="CV222">
        <f>IFERROR(INDEX(PP_Grid[#Data],$DD222,98),0)</f>
        <v/>
      </c>
      <c r="CW222">
        <f>IFERROR(INDEX(PP_Grid[#Data],$DD222,99),0)</f>
        <v/>
      </c>
      <c r="CX222">
        <f>IFERROR(INDEX(PP_Grid[#Data],$DD222,100),0)</f>
        <v/>
      </c>
      <c r="CY222">
        <f>IFERROR(INDEX(PP_Grid[#Data],$DD222,101),0)</f>
        <v/>
      </c>
      <c r="CZ222">
        <f>IFERROR(INDEX(PP_Grid[#Data],$DD222,102),0)</f>
        <v/>
      </c>
      <c r="DA222">
        <f>IFERROR(INDEX(PP_Grid[#Data],$DD222,103),0)</f>
        <v/>
      </c>
      <c r="DB222">
        <f>IFERROR(INDEX(PP_Grid[#Data],$DD222,104),0)</f>
        <v/>
      </c>
      <c r="DC222">
        <f>IFERROR(INDEX(PP_Grid[#Data],$DD222,105),0)</f>
        <v/>
      </c>
      <c r="DD222" s="12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SUMIFS(M_BOM[RM_Qty_Per_Batch],M_BOM[Intermediate],$B222,M_BOM[Part Name],$A221)</f>
        <v/>
      </c>
      <c r="D223">
        <f>$C223*D222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</row>
    <row r="224">
      <c r="B224" t="inlineStr">
        <is>
          <t>TSP-067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12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Name],$A221)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TSP-069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12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Name],$A221)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TSP-077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12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Name],$A221)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TSP-104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12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Name],$A221)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TSP-199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12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Name],$A221)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TSP-205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12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Name],$A221)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TSP-206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12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Name],$A221)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TSP-224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12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Name],$A221)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t="inlineStr">
        <is>
          <t>TSP-367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12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Name],$A221)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TSP-369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12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Name],$A221)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TSP-390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12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Name],$A221)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TSP-399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12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Name],$A221)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TSP-544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Name],$A221)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TSP-618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Name],$A221)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TSP-620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Name],$A221)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TSP-623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Name],$A221)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TSP-668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Name],$A221)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TSP-669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Name],$A221)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TSP-670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Name],$A221)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TSP-699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Name],$A221)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TSP-710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12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Name],$A221)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TSP-828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12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Name],$A221)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TSP-903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12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Name],$A221)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t="inlineStr">
        <is>
          <t>TSP-924</t>
        </is>
      </c>
      <c r="C270" t="inlineStr">
        <is>
          <t>No. of batches</t>
        </is>
      </c>
      <c r="D270">
        <f>IFERROR(INDEX(PP_Grid[#Data],$DD270,2),0)</f>
        <v/>
      </c>
      <c r="E270">
        <f>IFERROR(INDEX(PP_Grid[#Data],$DD270,3),0)</f>
        <v/>
      </c>
      <c r="F270">
        <f>IFERROR(INDEX(PP_Grid[#Data],$DD270,4),0)</f>
        <v/>
      </c>
      <c r="G270">
        <f>IFERROR(INDEX(PP_Grid[#Data],$DD270,5),0)</f>
        <v/>
      </c>
      <c r="H270">
        <f>IFERROR(INDEX(PP_Grid[#Data],$DD270,6),0)</f>
        <v/>
      </c>
      <c r="I270">
        <f>IFERROR(INDEX(PP_Grid[#Data],$DD270,7),0)</f>
        <v/>
      </c>
      <c r="J270">
        <f>IFERROR(INDEX(PP_Grid[#Data],$DD270,8),0)</f>
        <v/>
      </c>
      <c r="K270">
        <f>IFERROR(INDEX(PP_Grid[#Data],$DD270,9),0)</f>
        <v/>
      </c>
      <c r="L270">
        <f>IFERROR(INDEX(PP_Grid[#Data],$DD270,10),0)</f>
        <v/>
      </c>
      <c r="M270">
        <f>IFERROR(INDEX(PP_Grid[#Data],$DD270,11),0)</f>
        <v/>
      </c>
      <c r="N270">
        <f>IFERROR(INDEX(PP_Grid[#Data],$DD270,12),0)</f>
        <v/>
      </c>
      <c r="O270">
        <f>IFERROR(INDEX(PP_Grid[#Data],$DD270,13),0)</f>
        <v/>
      </c>
      <c r="P270">
        <f>IFERROR(INDEX(PP_Grid[#Data],$DD270,14),0)</f>
        <v/>
      </c>
      <c r="Q270">
        <f>IFERROR(INDEX(PP_Grid[#Data],$DD270,15),0)</f>
        <v/>
      </c>
      <c r="R270">
        <f>IFERROR(INDEX(PP_Grid[#Data],$DD270,16),0)</f>
        <v/>
      </c>
      <c r="S270">
        <f>IFERROR(INDEX(PP_Grid[#Data],$DD270,17),0)</f>
        <v/>
      </c>
      <c r="T270">
        <f>IFERROR(INDEX(PP_Grid[#Data],$DD270,18),0)</f>
        <v/>
      </c>
      <c r="U270">
        <f>IFERROR(INDEX(PP_Grid[#Data],$DD270,19),0)</f>
        <v/>
      </c>
      <c r="V270">
        <f>IFERROR(INDEX(PP_Grid[#Data],$DD270,20),0)</f>
        <v/>
      </c>
      <c r="W270">
        <f>IFERROR(INDEX(PP_Grid[#Data],$DD270,21),0)</f>
        <v/>
      </c>
      <c r="X270">
        <f>IFERROR(INDEX(PP_Grid[#Data],$DD270,22),0)</f>
        <v/>
      </c>
      <c r="Y270">
        <f>IFERROR(INDEX(PP_Grid[#Data],$DD270,23),0)</f>
        <v/>
      </c>
      <c r="Z270">
        <f>IFERROR(INDEX(PP_Grid[#Data],$DD270,24),0)</f>
        <v/>
      </c>
      <c r="AA270">
        <f>IFERROR(INDEX(PP_Grid[#Data],$DD270,25),0)</f>
        <v/>
      </c>
      <c r="AB270">
        <f>IFERROR(INDEX(PP_Grid[#Data],$DD270,26),0)</f>
        <v/>
      </c>
      <c r="AC270">
        <f>IFERROR(INDEX(PP_Grid[#Data],$DD270,27),0)</f>
        <v/>
      </c>
      <c r="AD270">
        <f>IFERROR(INDEX(PP_Grid[#Data],$DD270,28),0)</f>
        <v/>
      </c>
      <c r="AE270">
        <f>IFERROR(INDEX(PP_Grid[#Data],$DD270,29),0)</f>
        <v/>
      </c>
      <c r="AF270">
        <f>IFERROR(INDEX(PP_Grid[#Data],$DD270,30),0)</f>
        <v/>
      </c>
      <c r="AG270">
        <f>IFERROR(INDEX(PP_Grid[#Data],$DD270,31),0)</f>
        <v/>
      </c>
      <c r="AH270">
        <f>IFERROR(INDEX(PP_Grid[#Data],$DD270,32),0)</f>
        <v/>
      </c>
      <c r="AI270">
        <f>IFERROR(INDEX(PP_Grid[#Data],$DD270,33),0)</f>
        <v/>
      </c>
      <c r="AJ270">
        <f>IFERROR(INDEX(PP_Grid[#Data],$DD270,34),0)</f>
        <v/>
      </c>
      <c r="AK270">
        <f>IFERROR(INDEX(PP_Grid[#Data],$DD270,35),0)</f>
        <v/>
      </c>
      <c r="AL270">
        <f>IFERROR(INDEX(PP_Grid[#Data],$DD270,36),0)</f>
        <v/>
      </c>
      <c r="AM270">
        <f>IFERROR(INDEX(PP_Grid[#Data],$DD270,37),0)</f>
        <v/>
      </c>
      <c r="AN270">
        <f>IFERROR(INDEX(PP_Grid[#Data],$DD270,38),0)</f>
        <v/>
      </c>
      <c r="AO270">
        <f>IFERROR(INDEX(PP_Grid[#Data],$DD270,39),0)</f>
        <v/>
      </c>
      <c r="AP270">
        <f>IFERROR(INDEX(PP_Grid[#Data],$DD270,40),0)</f>
        <v/>
      </c>
      <c r="AQ270">
        <f>IFERROR(INDEX(PP_Grid[#Data],$DD270,41),0)</f>
        <v/>
      </c>
      <c r="AR270">
        <f>IFERROR(INDEX(PP_Grid[#Data],$DD270,42),0)</f>
        <v/>
      </c>
      <c r="AS270">
        <f>IFERROR(INDEX(PP_Grid[#Data],$DD270,43),0)</f>
        <v/>
      </c>
      <c r="AT270">
        <f>IFERROR(INDEX(PP_Grid[#Data],$DD270,44),0)</f>
        <v/>
      </c>
      <c r="AU270">
        <f>IFERROR(INDEX(PP_Grid[#Data],$DD270,45),0)</f>
        <v/>
      </c>
      <c r="AV270">
        <f>IFERROR(INDEX(PP_Grid[#Data],$DD270,46),0)</f>
        <v/>
      </c>
      <c r="AW270">
        <f>IFERROR(INDEX(PP_Grid[#Data],$DD270,47),0)</f>
        <v/>
      </c>
      <c r="AX270">
        <f>IFERROR(INDEX(PP_Grid[#Data],$DD270,48),0)</f>
        <v/>
      </c>
      <c r="AY270">
        <f>IFERROR(INDEX(PP_Grid[#Data],$DD270,49),0)</f>
        <v/>
      </c>
      <c r="AZ270">
        <f>IFERROR(INDEX(PP_Grid[#Data],$DD270,50),0)</f>
        <v/>
      </c>
      <c r="BA270">
        <f>IFERROR(INDEX(PP_Grid[#Data],$DD270,51),0)</f>
        <v/>
      </c>
      <c r="BB270">
        <f>IFERROR(INDEX(PP_Grid[#Data],$DD270,52),0)</f>
        <v/>
      </c>
      <c r="BC270">
        <f>IFERROR(INDEX(PP_Grid[#Data],$DD270,53),0)</f>
        <v/>
      </c>
      <c r="BD270">
        <f>IFERROR(INDEX(PP_Grid[#Data],$DD270,54),0)</f>
        <v/>
      </c>
      <c r="BE270">
        <f>IFERROR(INDEX(PP_Grid[#Data],$DD270,55),0)</f>
        <v/>
      </c>
      <c r="BF270">
        <f>IFERROR(INDEX(PP_Grid[#Data],$DD270,56),0)</f>
        <v/>
      </c>
      <c r="BG270">
        <f>IFERROR(INDEX(PP_Grid[#Data],$DD270,57),0)</f>
        <v/>
      </c>
      <c r="BH270">
        <f>IFERROR(INDEX(PP_Grid[#Data],$DD270,58),0)</f>
        <v/>
      </c>
      <c r="BI270">
        <f>IFERROR(INDEX(PP_Grid[#Data],$DD270,59),0)</f>
        <v/>
      </c>
      <c r="BJ270">
        <f>IFERROR(INDEX(PP_Grid[#Data],$DD270,60),0)</f>
        <v/>
      </c>
      <c r="BK270">
        <f>IFERROR(INDEX(PP_Grid[#Data],$DD270,61),0)</f>
        <v/>
      </c>
      <c r="BL270">
        <f>IFERROR(INDEX(PP_Grid[#Data],$DD270,62),0)</f>
        <v/>
      </c>
      <c r="BM270">
        <f>IFERROR(INDEX(PP_Grid[#Data],$DD270,63),0)</f>
        <v/>
      </c>
      <c r="BN270">
        <f>IFERROR(INDEX(PP_Grid[#Data],$DD270,64),0)</f>
        <v/>
      </c>
      <c r="BO270">
        <f>IFERROR(INDEX(PP_Grid[#Data],$DD270,65),0)</f>
        <v/>
      </c>
      <c r="BP270">
        <f>IFERROR(INDEX(PP_Grid[#Data],$DD270,66),0)</f>
        <v/>
      </c>
      <c r="BQ270">
        <f>IFERROR(INDEX(PP_Grid[#Data],$DD270,67),0)</f>
        <v/>
      </c>
      <c r="BR270">
        <f>IFERROR(INDEX(PP_Grid[#Data],$DD270,68),0)</f>
        <v/>
      </c>
      <c r="BS270">
        <f>IFERROR(INDEX(PP_Grid[#Data],$DD270,69),0)</f>
        <v/>
      </c>
      <c r="BT270">
        <f>IFERROR(INDEX(PP_Grid[#Data],$DD270,70),0)</f>
        <v/>
      </c>
      <c r="BU270">
        <f>IFERROR(INDEX(PP_Grid[#Data],$DD270,71),0)</f>
        <v/>
      </c>
      <c r="BV270">
        <f>IFERROR(INDEX(PP_Grid[#Data],$DD270,72),0)</f>
        <v/>
      </c>
      <c r="BW270">
        <f>IFERROR(INDEX(PP_Grid[#Data],$DD270,73),0)</f>
        <v/>
      </c>
      <c r="BX270">
        <f>IFERROR(INDEX(PP_Grid[#Data],$DD270,74),0)</f>
        <v/>
      </c>
      <c r="BY270">
        <f>IFERROR(INDEX(PP_Grid[#Data],$DD270,75),0)</f>
        <v/>
      </c>
      <c r="BZ270">
        <f>IFERROR(INDEX(PP_Grid[#Data],$DD270,76),0)</f>
        <v/>
      </c>
      <c r="CA270">
        <f>IFERROR(INDEX(PP_Grid[#Data],$DD270,77),0)</f>
        <v/>
      </c>
      <c r="CB270">
        <f>IFERROR(INDEX(PP_Grid[#Data],$DD270,78),0)</f>
        <v/>
      </c>
      <c r="CC270">
        <f>IFERROR(INDEX(PP_Grid[#Data],$DD270,79),0)</f>
        <v/>
      </c>
      <c r="CD270">
        <f>IFERROR(INDEX(PP_Grid[#Data],$DD270,80),0)</f>
        <v/>
      </c>
      <c r="CE270">
        <f>IFERROR(INDEX(PP_Grid[#Data],$DD270,81),0)</f>
        <v/>
      </c>
      <c r="CF270">
        <f>IFERROR(INDEX(PP_Grid[#Data],$DD270,82),0)</f>
        <v/>
      </c>
      <c r="CG270">
        <f>IFERROR(INDEX(PP_Grid[#Data],$DD270,83),0)</f>
        <v/>
      </c>
      <c r="CH270">
        <f>IFERROR(INDEX(PP_Grid[#Data],$DD270,84),0)</f>
        <v/>
      </c>
      <c r="CI270">
        <f>IFERROR(INDEX(PP_Grid[#Data],$DD270,85),0)</f>
        <v/>
      </c>
      <c r="CJ270">
        <f>IFERROR(INDEX(PP_Grid[#Data],$DD270,86),0)</f>
        <v/>
      </c>
      <c r="CK270">
        <f>IFERROR(INDEX(PP_Grid[#Data],$DD270,87),0)</f>
        <v/>
      </c>
      <c r="CL270">
        <f>IFERROR(INDEX(PP_Grid[#Data],$DD270,88),0)</f>
        <v/>
      </c>
      <c r="CM270">
        <f>IFERROR(INDEX(PP_Grid[#Data],$DD270,89),0)</f>
        <v/>
      </c>
      <c r="CN270">
        <f>IFERROR(INDEX(PP_Grid[#Data],$DD270,90),0)</f>
        <v/>
      </c>
      <c r="CO270">
        <f>IFERROR(INDEX(PP_Grid[#Data],$DD270,91),0)</f>
        <v/>
      </c>
      <c r="CP270">
        <f>IFERROR(INDEX(PP_Grid[#Data],$DD270,92),0)</f>
        <v/>
      </c>
      <c r="CQ270">
        <f>IFERROR(INDEX(PP_Grid[#Data],$DD270,93),0)</f>
        <v/>
      </c>
      <c r="CR270">
        <f>IFERROR(INDEX(PP_Grid[#Data],$DD270,94),0)</f>
        <v/>
      </c>
      <c r="CS270">
        <f>IFERROR(INDEX(PP_Grid[#Data],$DD270,95),0)</f>
        <v/>
      </c>
      <c r="CT270">
        <f>IFERROR(INDEX(PP_Grid[#Data],$DD270,96),0)</f>
        <v/>
      </c>
      <c r="CU270">
        <f>IFERROR(INDEX(PP_Grid[#Data],$DD270,97),0)</f>
        <v/>
      </c>
      <c r="CV270">
        <f>IFERROR(INDEX(PP_Grid[#Data],$DD270,98),0)</f>
        <v/>
      </c>
      <c r="CW270">
        <f>IFERROR(INDEX(PP_Grid[#Data],$DD270,99),0)</f>
        <v/>
      </c>
      <c r="CX270">
        <f>IFERROR(INDEX(PP_Grid[#Data],$DD270,100),0)</f>
        <v/>
      </c>
      <c r="CY270">
        <f>IFERROR(INDEX(PP_Grid[#Data],$DD270,101),0)</f>
        <v/>
      </c>
      <c r="CZ270">
        <f>IFERROR(INDEX(PP_Grid[#Data],$DD270,102),0)</f>
        <v/>
      </c>
      <c r="DA270">
        <f>IFERROR(INDEX(PP_Grid[#Data],$DD270,103),0)</f>
        <v/>
      </c>
      <c r="DB270">
        <f>IFERROR(INDEX(PP_Grid[#Data],$DD270,104),0)</f>
        <v/>
      </c>
      <c r="DC270">
        <f>IFERROR(INDEX(PP_Grid[#Data],$DD270,105),0)</f>
        <v/>
      </c>
      <c r="DD270" s="12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SUMIFS(M_BOM[RM_Qty_Per_Batch],M_BOM[Intermediate],$B270,M_BOM[Part Name],$A221)</f>
        <v/>
      </c>
      <c r="D271">
        <f>$C271*D270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</row>
    <row r="272">
      <c r="B272" t="inlineStr">
        <is>
          <t>TSP-925</t>
        </is>
      </c>
      <c r="C272" t="inlineStr">
        <is>
          <t>No. of batches</t>
        </is>
      </c>
      <c r="D272">
        <f>IFERROR(INDEX(PP_Grid[#Data],$DD272,2),0)</f>
        <v/>
      </c>
      <c r="E272">
        <f>IFERROR(INDEX(PP_Grid[#Data],$DD272,3),0)</f>
        <v/>
      </c>
      <c r="F272">
        <f>IFERROR(INDEX(PP_Grid[#Data],$DD272,4),0)</f>
        <v/>
      </c>
      <c r="G272">
        <f>IFERROR(INDEX(PP_Grid[#Data],$DD272,5),0)</f>
        <v/>
      </c>
      <c r="H272">
        <f>IFERROR(INDEX(PP_Grid[#Data],$DD272,6),0)</f>
        <v/>
      </c>
      <c r="I272">
        <f>IFERROR(INDEX(PP_Grid[#Data],$DD272,7),0)</f>
        <v/>
      </c>
      <c r="J272">
        <f>IFERROR(INDEX(PP_Grid[#Data],$DD272,8),0)</f>
        <v/>
      </c>
      <c r="K272">
        <f>IFERROR(INDEX(PP_Grid[#Data],$DD272,9),0)</f>
        <v/>
      </c>
      <c r="L272">
        <f>IFERROR(INDEX(PP_Grid[#Data],$DD272,10),0)</f>
        <v/>
      </c>
      <c r="M272">
        <f>IFERROR(INDEX(PP_Grid[#Data],$DD272,11),0)</f>
        <v/>
      </c>
      <c r="N272">
        <f>IFERROR(INDEX(PP_Grid[#Data],$DD272,12),0)</f>
        <v/>
      </c>
      <c r="O272">
        <f>IFERROR(INDEX(PP_Grid[#Data],$DD272,13),0)</f>
        <v/>
      </c>
      <c r="P272">
        <f>IFERROR(INDEX(PP_Grid[#Data],$DD272,14),0)</f>
        <v/>
      </c>
      <c r="Q272">
        <f>IFERROR(INDEX(PP_Grid[#Data],$DD272,15),0)</f>
        <v/>
      </c>
      <c r="R272">
        <f>IFERROR(INDEX(PP_Grid[#Data],$DD272,16),0)</f>
        <v/>
      </c>
      <c r="S272">
        <f>IFERROR(INDEX(PP_Grid[#Data],$DD272,17),0)</f>
        <v/>
      </c>
      <c r="T272">
        <f>IFERROR(INDEX(PP_Grid[#Data],$DD272,18),0)</f>
        <v/>
      </c>
      <c r="U272">
        <f>IFERROR(INDEX(PP_Grid[#Data],$DD272,19),0)</f>
        <v/>
      </c>
      <c r="V272">
        <f>IFERROR(INDEX(PP_Grid[#Data],$DD272,20),0)</f>
        <v/>
      </c>
      <c r="W272">
        <f>IFERROR(INDEX(PP_Grid[#Data],$DD272,21),0)</f>
        <v/>
      </c>
      <c r="X272">
        <f>IFERROR(INDEX(PP_Grid[#Data],$DD272,22),0)</f>
        <v/>
      </c>
      <c r="Y272">
        <f>IFERROR(INDEX(PP_Grid[#Data],$DD272,23),0)</f>
        <v/>
      </c>
      <c r="Z272">
        <f>IFERROR(INDEX(PP_Grid[#Data],$DD272,24),0)</f>
        <v/>
      </c>
      <c r="AA272">
        <f>IFERROR(INDEX(PP_Grid[#Data],$DD272,25),0)</f>
        <v/>
      </c>
      <c r="AB272">
        <f>IFERROR(INDEX(PP_Grid[#Data],$DD272,26),0)</f>
        <v/>
      </c>
      <c r="AC272">
        <f>IFERROR(INDEX(PP_Grid[#Data],$DD272,27),0)</f>
        <v/>
      </c>
      <c r="AD272">
        <f>IFERROR(INDEX(PP_Grid[#Data],$DD272,28),0)</f>
        <v/>
      </c>
      <c r="AE272">
        <f>IFERROR(INDEX(PP_Grid[#Data],$DD272,29),0)</f>
        <v/>
      </c>
      <c r="AF272">
        <f>IFERROR(INDEX(PP_Grid[#Data],$DD272,30),0)</f>
        <v/>
      </c>
      <c r="AG272">
        <f>IFERROR(INDEX(PP_Grid[#Data],$DD272,31),0)</f>
        <v/>
      </c>
      <c r="AH272">
        <f>IFERROR(INDEX(PP_Grid[#Data],$DD272,32),0)</f>
        <v/>
      </c>
      <c r="AI272">
        <f>IFERROR(INDEX(PP_Grid[#Data],$DD272,33),0)</f>
        <v/>
      </c>
      <c r="AJ272">
        <f>IFERROR(INDEX(PP_Grid[#Data],$DD272,34),0)</f>
        <v/>
      </c>
      <c r="AK272">
        <f>IFERROR(INDEX(PP_Grid[#Data],$DD272,35),0)</f>
        <v/>
      </c>
      <c r="AL272">
        <f>IFERROR(INDEX(PP_Grid[#Data],$DD272,36),0)</f>
        <v/>
      </c>
      <c r="AM272">
        <f>IFERROR(INDEX(PP_Grid[#Data],$DD272,37),0)</f>
        <v/>
      </c>
      <c r="AN272">
        <f>IFERROR(INDEX(PP_Grid[#Data],$DD272,38),0)</f>
        <v/>
      </c>
      <c r="AO272">
        <f>IFERROR(INDEX(PP_Grid[#Data],$DD272,39),0)</f>
        <v/>
      </c>
      <c r="AP272">
        <f>IFERROR(INDEX(PP_Grid[#Data],$DD272,40),0)</f>
        <v/>
      </c>
      <c r="AQ272">
        <f>IFERROR(INDEX(PP_Grid[#Data],$DD272,41),0)</f>
        <v/>
      </c>
      <c r="AR272">
        <f>IFERROR(INDEX(PP_Grid[#Data],$DD272,42),0)</f>
        <v/>
      </c>
      <c r="AS272">
        <f>IFERROR(INDEX(PP_Grid[#Data],$DD272,43),0)</f>
        <v/>
      </c>
      <c r="AT272">
        <f>IFERROR(INDEX(PP_Grid[#Data],$DD272,44),0)</f>
        <v/>
      </c>
      <c r="AU272">
        <f>IFERROR(INDEX(PP_Grid[#Data],$DD272,45),0)</f>
        <v/>
      </c>
      <c r="AV272">
        <f>IFERROR(INDEX(PP_Grid[#Data],$DD272,46),0)</f>
        <v/>
      </c>
      <c r="AW272">
        <f>IFERROR(INDEX(PP_Grid[#Data],$DD272,47),0)</f>
        <v/>
      </c>
      <c r="AX272">
        <f>IFERROR(INDEX(PP_Grid[#Data],$DD272,48),0)</f>
        <v/>
      </c>
      <c r="AY272">
        <f>IFERROR(INDEX(PP_Grid[#Data],$DD272,49),0)</f>
        <v/>
      </c>
      <c r="AZ272">
        <f>IFERROR(INDEX(PP_Grid[#Data],$DD272,50),0)</f>
        <v/>
      </c>
      <c r="BA272">
        <f>IFERROR(INDEX(PP_Grid[#Data],$DD272,51),0)</f>
        <v/>
      </c>
      <c r="BB272">
        <f>IFERROR(INDEX(PP_Grid[#Data],$DD272,52),0)</f>
        <v/>
      </c>
      <c r="BC272">
        <f>IFERROR(INDEX(PP_Grid[#Data],$DD272,53),0)</f>
        <v/>
      </c>
      <c r="BD272">
        <f>IFERROR(INDEX(PP_Grid[#Data],$DD272,54),0)</f>
        <v/>
      </c>
      <c r="BE272">
        <f>IFERROR(INDEX(PP_Grid[#Data],$DD272,55),0)</f>
        <v/>
      </c>
      <c r="BF272">
        <f>IFERROR(INDEX(PP_Grid[#Data],$DD272,56),0)</f>
        <v/>
      </c>
      <c r="BG272">
        <f>IFERROR(INDEX(PP_Grid[#Data],$DD272,57),0)</f>
        <v/>
      </c>
      <c r="BH272">
        <f>IFERROR(INDEX(PP_Grid[#Data],$DD272,58),0)</f>
        <v/>
      </c>
      <c r="BI272">
        <f>IFERROR(INDEX(PP_Grid[#Data],$DD272,59),0)</f>
        <v/>
      </c>
      <c r="BJ272">
        <f>IFERROR(INDEX(PP_Grid[#Data],$DD272,60),0)</f>
        <v/>
      </c>
      <c r="BK272">
        <f>IFERROR(INDEX(PP_Grid[#Data],$DD272,61),0)</f>
        <v/>
      </c>
      <c r="BL272">
        <f>IFERROR(INDEX(PP_Grid[#Data],$DD272,62),0)</f>
        <v/>
      </c>
      <c r="BM272">
        <f>IFERROR(INDEX(PP_Grid[#Data],$DD272,63),0)</f>
        <v/>
      </c>
      <c r="BN272">
        <f>IFERROR(INDEX(PP_Grid[#Data],$DD272,64),0)</f>
        <v/>
      </c>
      <c r="BO272">
        <f>IFERROR(INDEX(PP_Grid[#Data],$DD272,65),0)</f>
        <v/>
      </c>
      <c r="BP272">
        <f>IFERROR(INDEX(PP_Grid[#Data],$DD272,66),0)</f>
        <v/>
      </c>
      <c r="BQ272">
        <f>IFERROR(INDEX(PP_Grid[#Data],$DD272,67),0)</f>
        <v/>
      </c>
      <c r="BR272">
        <f>IFERROR(INDEX(PP_Grid[#Data],$DD272,68),0)</f>
        <v/>
      </c>
      <c r="BS272">
        <f>IFERROR(INDEX(PP_Grid[#Data],$DD272,69),0)</f>
        <v/>
      </c>
      <c r="BT272">
        <f>IFERROR(INDEX(PP_Grid[#Data],$DD272,70),0)</f>
        <v/>
      </c>
      <c r="BU272">
        <f>IFERROR(INDEX(PP_Grid[#Data],$DD272,71),0)</f>
        <v/>
      </c>
      <c r="BV272">
        <f>IFERROR(INDEX(PP_Grid[#Data],$DD272,72),0)</f>
        <v/>
      </c>
      <c r="BW272">
        <f>IFERROR(INDEX(PP_Grid[#Data],$DD272,73),0)</f>
        <v/>
      </c>
      <c r="BX272">
        <f>IFERROR(INDEX(PP_Grid[#Data],$DD272,74),0)</f>
        <v/>
      </c>
      <c r="BY272">
        <f>IFERROR(INDEX(PP_Grid[#Data],$DD272,75),0)</f>
        <v/>
      </c>
      <c r="BZ272">
        <f>IFERROR(INDEX(PP_Grid[#Data],$DD272,76),0)</f>
        <v/>
      </c>
      <c r="CA272">
        <f>IFERROR(INDEX(PP_Grid[#Data],$DD272,77),0)</f>
        <v/>
      </c>
      <c r="CB272">
        <f>IFERROR(INDEX(PP_Grid[#Data],$DD272,78),0)</f>
        <v/>
      </c>
      <c r="CC272">
        <f>IFERROR(INDEX(PP_Grid[#Data],$DD272,79),0)</f>
        <v/>
      </c>
      <c r="CD272">
        <f>IFERROR(INDEX(PP_Grid[#Data],$DD272,80),0)</f>
        <v/>
      </c>
      <c r="CE272">
        <f>IFERROR(INDEX(PP_Grid[#Data],$DD272,81),0)</f>
        <v/>
      </c>
      <c r="CF272">
        <f>IFERROR(INDEX(PP_Grid[#Data],$DD272,82),0)</f>
        <v/>
      </c>
      <c r="CG272">
        <f>IFERROR(INDEX(PP_Grid[#Data],$DD272,83),0)</f>
        <v/>
      </c>
      <c r="CH272">
        <f>IFERROR(INDEX(PP_Grid[#Data],$DD272,84),0)</f>
        <v/>
      </c>
      <c r="CI272">
        <f>IFERROR(INDEX(PP_Grid[#Data],$DD272,85),0)</f>
        <v/>
      </c>
      <c r="CJ272">
        <f>IFERROR(INDEX(PP_Grid[#Data],$DD272,86),0)</f>
        <v/>
      </c>
      <c r="CK272">
        <f>IFERROR(INDEX(PP_Grid[#Data],$DD272,87),0)</f>
        <v/>
      </c>
      <c r="CL272">
        <f>IFERROR(INDEX(PP_Grid[#Data],$DD272,88),0)</f>
        <v/>
      </c>
      <c r="CM272">
        <f>IFERROR(INDEX(PP_Grid[#Data],$DD272,89),0)</f>
        <v/>
      </c>
      <c r="CN272">
        <f>IFERROR(INDEX(PP_Grid[#Data],$DD272,90),0)</f>
        <v/>
      </c>
      <c r="CO272">
        <f>IFERROR(INDEX(PP_Grid[#Data],$DD272,91),0)</f>
        <v/>
      </c>
      <c r="CP272">
        <f>IFERROR(INDEX(PP_Grid[#Data],$DD272,92),0)</f>
        <v/>
      </c>
      <c r="CQ272">
        <f>IFERROR(INDEX(PP_Grid[#Data],$DD272,93),0)</f>
        <v/>
      </c>
      <c r="CR272">
        <f>IFERROR(INDEX(PP_Grid[#Data],$DD272,94),0)</f>
        <v/>
      </c>
      <c r="CS272">
        <f>IFERROR(INDEX(PP_Grid[#Data],$DD272,95),0)</f>
        <v/>
      </c>
      <c r="CT272">
        <f>IFERROR(INDEX(PP_Grid[#Data],$DD272,96),0)</f>
        <v/>
      </c>
      <c r="CU272">
        <f>IFERROR(INDEX(PP_Grid[#Data],$DD272,97),0)</f>
        <v/>
      </c>
      <c r="CV272">
        <f>IFERROR(INDEX(PP_Grid[#Data],$DD272,98),0)</f>
        <v/>
      </c>
      <c r="CW272">
        <f>IFERROR(INDEX(PP_Grid[#Data],$DD272,99),0)</f>
        <v/>
      </c>
      <c r="CX272">
        <f>IFERROR(INDEX(PP_Grid[#Data],$DD272,100),0)</f>
        <v/>
      </c>
      <c r="CY272">
        <f>IFERROR(INDEX(PP_Grid[#Data],$DD272,101),0)</f>
        <v/>
      </c>
      <c r="CZ272">
        <f>IFERROR(INDEX(PP_Grid[#Data],$DD272,102),0)</f>
        <v/>
      </c>
      <c r="DA272">
        <f>IFERROR(INDEX(PP_Grid[#Data],$DD272,103),0)</f>
        <v/>
      </c>
      <c r="DB272">
        <f>IFERROR(INDEX(PP_Grid[#Data],$DD272,104),0)</f>
        <v/>
      </c>
      <c r="DC272">
        <f>IFERROR(INDEX(PP_Grid[#Data],$DD272,105),0)</f>
        <v/>
      </c>
      <c r="DD272" s="12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SUMIFS(M_BOM[RM_Qty_Per_Batch],M_BOM[Intermediate],$B272,M_BOM[Part Name],$A221)</f>
        <v/>
      </c>
      <c r="D273">
        <f>$C273*D272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</row>
    <row r="274">
      <c r="B274" t="inlineStr">
        <is>
          <t>TSP-927</t>
        </is>
      </c>
      <c r="C274" t="inlineStr">
        <is>
          <t>No. of batches</t>
        </is>
      </c>
      <c r="D274">
        <f>IFERROR(INDEX(PP_Grid[#Data],$DD274,2),0)</f>
        <v/>
      </c>
      <c r="E274">
        <f>IFERROR(INDEX(PP_Grid[#Data],$DD274,3),0)</f>
        <v/>
      </c>
      <c r="F274">
        <f>IFERROR(INDEX(PP_Grid[#Data],$DD274,4),0)</f>
        <v/>
      </c>
      <c r="G274">
        <f>IFERROR(INDEX(PP_Grid[#Data],$DD274,5),0)</f>
        <v/>
      </c>
      <c r="H274">
        <f>IFERROR(INDEX(PP_Grid[#Data],$DD274,6),0)</f>
        <v/>
      </c>
      <c r="I274">
        <f>IFERROR(INDEX(PP_Grid[#Data],$DD274,7),0)</f>
        <v/>
      </c>
      <c r="J274">
        <f>IFERROR(INDEX(PP_Grid[#Data],$DD274,8),0)</f>
        <v/>
      </c>
      <c r="K274">
        <f>IFERROR(INDEX(PP_Grid[#Data],$DD274,9),0)</f>
        <v/>
      </c>
      <c r="L274">
        <f>IFERROR(INDEX(PP_Grid[#Data],$DD274,10),0)</f>
        <v/>
      </c>
      <c r="M274">
        <f>IFERROR(INDEX(PP_Grid[#Data],$DD274,11),0)</f>
        <v/>
      </c>
      <c r="N274">
        <f>IFERROR(INDEX(PP_Grid[#Data],$DD274,12),0)</f>
        <v/>
      </c>
      <c r="O274">
        <f>IFERROR(INDEX(PP_Grid[#Data],$DD274,13),0)</f>
        <v/>
      </c>
      <c r="P274">
        <f>IFERROR(INDEX(PP_Grid[#Data],$DD274,14),0)</f>
        <v/>
      </c>
      <c r="Q274">
        <f>IFERROR(INDEX(PP_Grid[#Data],$DD274,15),0)</f>
        <v/>
      </c>
      <c r="R274">
        <f>IFERROR(INDEX(PP_Grid[#Data],$DD274,16),0)</f>
        <v/>
      </c>
      <c r="S274">
        <f>IFERROR(INDEX(PP_Grid[#Data],$DD274,17),0)</f>
        <v/>
      </c>
      <c r="T274">
        <f>IFERROR(INDEX(PP_Grid[#Data],$DD274,18),0)</f>
        <v/>
      </c>
      <c r="U274">
        <f>IFERROR(INDEX(PP_Grid[#Data],$DD274,19),0)</f>
        <v/>
      </c>
      <c r="V274">
        <f>IFERROR(INDEX(PP_Grid[#Data],$DD274,20),0)</f>
        <v/>
      </c>
      <c r="W274">
        <f>IFERROR(INDEX(PP_Grid[#Data],$DD274,21),0)</f>
        <v/>
      </c>
      <c r="X274">
        <f>IFERROR(INDEX(PP_Grid[#Data],$DD274,22),0)</f>
        <v/>
      </c>
      <c r="Y274">
        <f>IFERROR(INDEX(PP_Grid[#Data],$DD274,23),0)</f>
        <v/>
      </c>
      <c r="Z274">
        <f>IFERROR(INDEX(PP_Grid[#Data],$DD274,24),0)</f>
        <v/>
      </c>
      <c r="AA274">
        <f>IFERROR(INDEX(PP_Grid[#Data],$DD274,25),0)</f>
        <v/>
      </c>
      <c r="AB274">
        <f>IFERROR(INDEX(PP_Grid[#Data],$DD274,26),0)</f>
        <v/>
      </c>
      <c r="AC274">
        <f>IFERROR(INDEX(PP_Grid[#Data],$DD274,27),0)</f>
        <v/>
      </c>
      <c r="AD274">
        <f>IFERROR(INDEX(PP_Grid[#Data],$DD274,28),0)</f>
        <v/>
      </c>
      <c r="AE274">
        <f>IFERROR(INDEX(PP_Grid[#Data],$DD274,29),0)</f>
        <v/>
      </c>
      <c r="AF274">
        <f>IFERROR(INDEX(PP_Grid[#Data],$DD274,30),0)</f>
        <v/>
      </c>
      <c r="AG274">
        <f>IFERROR(INDEX(PP_Grid[#Data],$DD274,31),0)</f>
        <v/>
      </c>
      <c r="AH274">
        <f>IFERROR(INDEX(PP_Grid[#Data],$DD274,32),0)</f>
        <v/>
      </c>
      <c r="AI274">
        <f>IFERROR(INDEX(PP_Grid[#Data],$DD274,33),0)</f>
        <v/>
      </c>
      <c r="AJ274">
        <f>IFERROR(INDEX(PP_Grid[#Data],$DD274,34),0)</f>
        <v/>
      </c>
      <c r="AK274">
        <f>IFERROR(INDEX(PP_Grid[#Data],$DD274,35),0)</f>
        <v/>
      </c>
      <c r="AL274">
        <f>IFERROR(INDEX(PP_Grid[#Data],$DD274,36),0)</f>
        <v/>
      </c>
      <c r="AM274">
        <f>IFERROR(INDEX(PP_Grid[#Data],$DD274,37),0)</f>
        <v/>
      </c>
      <c r="AN274">
        <f>IFERROR(INDEX(PP_Grid[#Data],$DD274,38),0)</f>
        <v/>
      </c>
      <c r="AO274">
        <f>IFERROR(INDEX(PP_Grid[#Data],$DD274,39),0)</f>
        <v/>
      </c>
      <c r="AP274">
        <f>IFERROR(INDEX(PP_Grid[#Data],$DD274,40),0)</f>
        <v/>
      </c>
      <c r="AQ274">
        <f>IFERROR(INDEX(PP_Grid[#Data],$DD274,41),0)</f>
        <v/>
      </c>
      <c r="AR274">
        <f>IFERROR(INDEX(PP_Grid[#Data],$DD274,42),0)</f>
        <v/>
      </c>
      <c r="AS274">
        <f>IFERROR(INDEX(PP_Grid[#Data],$DD274,43),0)</f>
        <v/>
      </c>
      <c r="AT274">
        <f>IFERROR(INDEX(PP_Grid[#Data],$DD274,44),0)</f>
        <v/>
      </c>
      <c r="AU274">
        <f>IFERROR(INDEX(PP_Grid[#Data],$DD274,45),0)</f>
        <v/>
      </c>
      <c r="AV274">
        <f>IFERROR(INDEX(PP_Grid[#Data],$DD274,46),0)</f>
        <v/>
      </c>
      <c r="AW274">
        <f>IFERROR(INDEX(PP_Grid[#Data],$DD274,47),0)</f>
        <v/>
      </c>
      <c r="AX274">
        <f>IFERROR(INDEX(PP_Grid[#Data],$DD274,48),0)</f>
        <v/>
      </c>
      <c r="AY274">
        <f>IFERROR(INDEX(PP_Grid[#Data],$DD274,49),0)</f>
        <v/>
      </c>
      <c r="AZ274">
        <f>IFERROR(INDEX(PP_Grid[#Data],$DD274,50),0)</f>
        <v/>
      </c>
      <c r="BA274">
        <f>IFERROR(INDEX(PP_Grid[#Data],$DD274,51),0)</f>
        <v/>
      </c>
      <c r="BB274">
        <f>IFERROR(INDEX(PP_Grid[#Data],$DD274,52),0)</f>
        <v/>
      </c>
      <c r="BC274">
        <f>IFERROR(INDEX(PP_Grid[#Data],$DD274,53),0)</f>
        <v/>
      </c>
      <c r="BD274">
        <f>IFERROR(INDEX(PP_Grid[#Data],$DD274,54),0)</f>
        <v/>
      </c>
      <c r="BE274">
        <f>IFERROR(INDEX(PP_Grid[#Data],$DD274,55),0)</f>
        <v/>
      </c>
      <c r="BF274">
        <f>IFERROR(INDEX(PP_Grid[#Data],$DD274,56),0)</f>
        <v/>
      </c>
      <c r="BG274">
        <f>IFERROR(INDEX(PP_Grid[#Data],$DD274,57),0)</f>
        <v/>
      </c>
      <c r="BH274">
        <f>IFERROR(INDEX(PP_Grid[#Data],$DD274,58),0)</f>
        <v/>
      </c>
      <c r="BI274">
        <f>IFERROR(INDEX(PP_Grid[#Data],$DD274,59),0)</f>
        <v/>
      </c>
      <c r="BJ274">
        <f>IFERROR(INDEX(PP_Grid[#Data],$DD274,60),0)</f>
        <v/>
      </c>
      <c r="BK274">
        <f>IFERROR(INDEX(PP_Grid[#Data],$DD274,61),0)</f>
        <v/>
      </c>
      <c r="BL274">
        <f>IFERROR(INDEX(PP_Grid[#Data],$DD274,62),0)</f>
        <v/>
      </c>
      <c r="BM274">
        <f>IFERROR(INDEX(PP_Grid[#Data],$DD274,63),0)</f>
        <v/>
      </c>
      <c r="BN274">
        <f>IFERROR(INDEX(PP_Grid[#Data],$DD274,64),0)</f>
        <v/>
      </c>
      <c r="BO274">
        <f>IFERROR(INDEX(PP_Grid[#Data],$DD274,65),0)</f>
        <v/>
      </c>
      <c r="BP274">
        <f>IFERROR(INDEX(PP_Grid[#Data],$DD274,66),0)</f>
        <v/>
      </c>
      <c r="BQ274">
        <f>IFERROR(INDEX(PP_Grid[#Data],$DD274,67),0)</f>
        <v/>
      </c>
      <c r="BR274">
        <f>IFERROR(INDEX(PP_Grid[#Data],$DD274,68),0)</f>
        <v/>
      </c>
      <c r="BS274">
        <f>IFERROR(INDEX(PP_Grid[#Data],$DD274,69),0)</f>
        <v/>
      </c>
      <c r="BT274">
        <f>IFERROR(INDEX(PP_Grid[#Data],$DD274,70),0)</f>
        <v/>
      </c>
      <c r="BU274">
        <f>IFERROR(INDEX(PP_Grid[#Data],$DD274,71),0)</f>
        <v/>
      </c>
      <c r="BV274">
        <f>IFERROR(INDEX(PP_Grid[#Data],$DD274,72),0)</f>
        <v/>
      </c>
      <c r="BW274">
        <f>IFERROR(INDEX(PP_Grid[#Data],$DD274,73),0)</f>
        <v/>
      </c>
      <c r="BX274">
        <f>IFERROR(INDEX(PP_Grid[#Data],$DD274,74),0)</f>
        <v/>
      </c>
      <c r="BY274">
        <f>IFERROR(INDEX(PP_Grid[#Data],$DD274,75),0)</f>
        <v/>
      </c>
      <c r="BZ274">
        <f>IFERROR(INDEX(PP_Grid[#Data],$DD274,76),0)</f>
        <v/>
      </c>
      <c r="CA274">
        <f>IFERROR(INDEX(PP_Grid[#Data],$DD274,77),0)</f>
        <v/>
      </c>
      <c r="CB274">
        <f>IFERROR(INDEX(PP_Grid[#Data],$DD274,78),0)</f>
        <v/>
      </c>
      <c r="CC274">
        <f>IFERROR(INDEX(PP_Grid[#Data],$DD274,79),0)</f>
        <v/>
      </c>
      <c r="CD274">
        <f>IFERROR(INDEX(PP_Grid[#Data],$DD274,80),0)</f>
        <v/>
      </c>
      <c r="CE274">
        <f>IFERROR(INDEX(PP_Grid[#Data],$DD274,81),0)</f>
        <v/>
      </c>
      <c r="CF274">
        <f>IFERROR(INDEX(PP_Grid[#Data],$DD274,82),0)</f>
        <v/>
      </c>
      <c r="CG274">
        <f>IFERROR(INDEX(PP_Grid[#Data],$DD274,83),0)</f>
        <v/>
      </c>
      <c r="CH274">
        <f>IFERROR(INDEX(PP_Grid[#Data],$DD274,84),0)</f>
        <v/>
      </c>
      <c r="CI274">
        <f>IFERROR(INDEX(PP_Grid[#Data],$DD274,85),0)</f>
        <v/>
      </c>
      <c r="CJ274">
        <f>IFERROR(INDEX(PP_Grid[#Data],$DD274,86),0)</f>
        <v/>
      </c>
      <c r="CK274">
        <f>IFERROR(INDEX(PP_Grid[#Data],$DD274,87),0)</f>
        <v/>
      </c>
      <c r="CL274">
        <f>IFERROR(INDEX(PP_Grid[#Data],$DD274,88),0)</f>
        <v/>
      </c>
      <c r="CM274">
        <f>IFERROR(INDEX(PP_Grid[#Data],$DD274,89),0)</f>
        <v/>
      </c>
      <c r="CN274">
        <f>IFERROR(INDEX(PP_Grid[#Data],$DD274,90),0)</f>
        <v/>
      </c>
      <c r="CO274">
        <f>IFERROR(INDEX(PP_Grid[#Data],$DD274,91),0)</f>
        <v/>
      </c>
      <c r="CP274">
        <f>IFERROR(INDEX(PP_Grid[#Data],$DD274,92),0)</f>
        <v/>
      </c>
      <c r="CQ274">
        <f>IFERROR(INDEX(PP_Grid[#Data],$DD274,93),0)</f>
        <v/>
      </c>
      <c r="CR274">
        <f>IFERROR(INDEX(PP_Grid[#Data],$DD274,94),0)</f>
        <v/>
      </c>
      <c r="CS274">
        <f>IFERROR(INDEX(PP_Grid[#Data],$DD274,95),0)</f>
        <v/>
      </c>
      <c r="CT274">
        <f>IFERROR(INDEX(PP_Grid[#Data],$DD274,96),0)</f>
        <v/>
      </c>
      <c r="CU274">
        <f>IFERROR(INDEX(PP_Grid[#Data],$DD274,97),0)</f>
        <v/>
      </c>
      <c r="CV274">
        <f>IFERROR(INDEX(PP_Grid[#Data],$DD274,98),0)</f>
        <v/>
      </c>
      <c r="CW274">
        <f>IFERROR(INDEX(PP_Grid[#Data],$DD274,99),0)</f>
        <v/>
      </c>
      <c r="CX274">
        <f>IFERROR(INDEX(PP_Grid[#Data],$DD274,100),0)</f>
        <v/>
      </c>
      <c r="CY274">
        <f>IFERROR(INDEX(PP_Grid[#Data],$DD274,101),0)</f>
        <v/>
      </c>
      <c r="CZ274">
        <f>IFERROR(INDEX(PP_Grid[#Data],$DD274,102),0)</f>
        <v/>
      </c>
      <c r="DA274">
        <f>IFERROR(INDEX(PP_Grid[#Data],$DD274,103),0)</f>
        <v/>
      </c>
      <c r="DB274">
        <f>IFERROR(INDEX(PP_Grid[#Data],$DD274,104),0)</f>
        <v/>
      </c>
      <c r="DC274">
        <f>IFERROR(INDEX(PP_Grid[#Data],$DD274,105),0)</f>
        <v/>
      </c>
      <c r="DD274" s="12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SUMIFS(M_BOM[RM_Qty_Per_Batch],M_BOM[Intermediate],$B274,M_BOM[Part Name],$A221)</f>
        <v/>
      </c>
      <c r="D275">
        <f>$C275*D274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</row>
    <row r="276">
      <c r="B276" t="inlineStr">
        <is>
          <t>TSP-928</t>
        </is>
      </c>
      <c r="C276" t="inlineStr">
        <is>
          <t>No. of batches</t>
        </is>
      </c>
      <c r="D276">
        <f>IFERROR(INDEX(PP_Grid[#Data],$DD276,2),0)</f>
        <v/>
      </c>
      <c r="E276">
        <f>IFERROR(INDEX(PP_Grid[#Data],$DD276,3),0)</f>
        <v/>
      </c>
      <c r="F276">
        <f>IFERROR(INDEX(PP_Grid[#Data],$DD276,4),0)</f>
        <v/>
      </c>
      <c r="G276">
        <f>IFERROR(INDEX(PP_Grid[#Data],$DD276,5),0)</f>
        <v/>
      </c>
      <c r="H276">
        <f>IFERROR(INDEX(PP_Grid[#Data],$DD276,6),0)</f>
        <v/>
      </c>
      <c r="I276">
        <f>IFERROR(INDEX(PP_Grid[#Data],$DD276,7),0)</f>
        <v/>
      </c>
      <c r="J276">
        <f>IFERROR(INDEX(PP_Grid[#Data],$DD276,8),0)</f>
        <v/>
      </c>
      <c r="K276">
        <f>IFERROR(INDEX(PP_Grid[#Data],$DD276,9),0)</f>
        <v/>
      </c>
      <c r="L276">
        <f>IFERROR(INDEX(PP_Grid[#Data],$DD276,10),0)</f>
        <v/>
      </c>
      <c r="M276">
        <f>IFERROR(INDEX(PP_Grid[#Data],$DD276,11),0)</f>
        <v/>
      </c>
      <c r="N276">
        <f>IFERROR(INDEX(PP_Grid[#Data],$DD276,12),0)</f>
        <v/>
      </c>
      <c r="O276">
        <f>IFERROR(INDEX(PP_Grid[#Data],$DD276,13),0)</f>
        <v/>
      </c>
      <c r="P276">
        <f>IFERROR(INDEX(PP_Grid[#Data],$DD276,14),0)</f>
        <v/>
      </c>
      <c r="Q276">
        <f>IFERROR(INDEX(PP_Grid[#Data],$DD276,15),0)</f>
        <v/>
      </c>
      <c r="R276">
        <f>IFERROR(INDEX(PP_Grid[#Data],$DD276,16),0)</f>
        <v/>
      </c>
      <c r="S276">
        <f>IFERROR(INDEX(PP_Grid[#Data],$DD276,17),0)</f>
        <v/>
      </c>
      <c r="T276">
        <f>IFERROR(INDEX(PP_Grid[#Data],$DD276,18),0)</f>
        <v/>
      </c>
      <c r="U276">
        <f>IFERROR(INDEX(PP_Grid[#Data],$DD276,19),0)</f>
        <v/>
      </c>
      <c r="V276">
        <f>IFERROR(INDEX(PP_Grid[#Data],$DD276,20),0)</f>
        <v/>
      </c>
      <c r="W276">
        <f>IFERROR(INDEX(PP_Grid[#Data],$DD276,21),0)</f>
        <v/>
      </c>
      <c r="X276">
        <f>IFERROR(INDEX(PP_Grid[#Data],$DD276,22),0)</f>
        <v/>
      </c>
      <c r="Y276">
        <f>IFERROR(INDEX(PP_Grid[#Data],$DD276,23),0)</f>
        <v/>
      </c>
      <c r="Z276">
        <f>IFERROR(INDEX(PP_Grid[#Data],$DD276,24),0)</f>
        <v/>
      </c>
      <c r="AA276">
        <f>IFERROR(INDEX(PP_Grid[#Data],$DD276,25),0)</f>
        <v/>
      </c>
      <c r="AB276">
        <f>IFERROR(INDEX(PP_Grid[#Data],$DD276,26),0)</f>
        <v/>
      </c>
      <c r="AC276">
        <f>IFERROR(INDEX(PP_Grid[#Data],$DD276,27),0)</f>
        <v/>
      </c>
      <c r="AD276">
        <f>IFERROR(INDEX(PP_Grid[#Data],$DD276,28),0)</f>
        <v/>
      </c>
      <c r="AE276">
        <f>IFERROR(INDEX(PP_Grid[#Data],$DD276,29),0)</f>
        <v/>
      </c>
      <c r="AF276">
        <f>IFERROR(INDEX(PP_Grid[#Data],$DD276,30),0)</f>
        <v/>
      </c>
      <c r="AG276">
        <f>IFERROR(INDEX(PP_Grid[#Data],$DD276,31),0)</f>
        <v/>
      </c>
      <c r="AH276">
        <f>IFERROR(INDEX(PP_Grid[#Data],$DD276,32),0)</f>
        <v/>
      </c>
      <c r="AI276">
        <f>IFERROR(INDEX(PP_Grid[#Data],$DD276,33),0)</f>
        <v/>
      </c>
      <c r="AJ276">
        <f>IFERROR(INDEX(PP_Grid[#Data],$DD276,34),0)</f>
        <v/>
      </c>
      <c r="AK276">
        <f>IFERROR(INDEX(PP_Grid[#Data],$DD276,35),0)</f>
        <v/>
      </c>
      <c r="AL276">
        <f>IFERROR(INDEX(PP_Grid[#Data],$DD276,36),0)</f>
        <v/>
      </c>
      <c r="AM276">
        <f>IFERROR(INDEX(PP_Grid[#Data],$DD276,37),0)</f>
        <v/>
      </c>
      <c r="AN276">
        <f>IFERROR(INDEX(PP_Grid[#Data],$DD276,38),0)</f>
        <v/>
      </c>
      <c r="AO276">
        <f>IFERROR(INDEX(PP_Grid[#Data],$DD276,39),0)</f>
        <v/>
      </c>
      <c r="AP276">
        <f>IFERROR(INDEX(PP_Grid[#Data],$DD276,40),0)</f>
        <v/>
      </c>
      <c r="AQ276">
        <f>IFERROR(INDEX(PP_Grid[#Data],$DD276,41),0)</f>
        <v/>
      </c>
      <c r="AR276">
        <f>IFERROR(INDEX(PP_Grid[#Data],$DD276,42),0)</f>
        <v/>
      </c>
      <c r="AS276">
        <f>IFERROR(INDEX(PP_Grid[#Data],$DD276,43),0)</f>
        <v/>
      </c>
      <c r="AT276">
        <f>IFERROR(INDEX(PP_Grid[#Data],$DD276,44),0)</f>
        <v/>
      </c>
      <c r="AU276">
        <f>IFERROR(INDEX(PP_Grid[#Data],$DD276,45),0)</f>
        <v/>
      </c>
      <c r="AV276">
        <f>IFERROR(INDEX(PP_Grid[#Data],$DD276,46),0)</f>
        <v/>
      </c>
      <c r="AW276">
        <f>IFERROR(INDEX(PP_Grid[#Data],$DD276,47),0)</f>
        <v/>
      </c>
      <c r="AX276">
        <f>IFERROR(INDEX(PP_Grid[#Data],$DD276,48),0)</f>
        <v/>
      </c>
      <c r="AY276">
        <f>IFERROR(INDEX(PP_Grid[#Data],$DD276,49),0)</f>
        <v/>
      </c>
      <c r="AZ276">
        <f>IFERROR(INDEX(PP_Grid[#Data],$DD276,50),0)</f>
        <v/>
      </c>
      <c r="BA276">
        <f>IFERROR(INDEX(PP_Grid[#Data],$DD276,51),0)</f>
        <v/>
      </c>
      <c r="BB276">
        <f>IFERROR(INDEX(PP_Grid[#Data],$DD276,52),0)</f>
        <v/>
      </c>
      <c r="BC276">
        <f>IFERROR(INDEX(PP_Grid[#Data],$DD276,53),0)</f>
        <v/>
      </c>
      <c r="BD276">
        <f>IFERROR(INDEX(PP_Grid[#Data],$DD276,54),0)</f>
        <v/>
      </c>
      <c r="BE276">
        <f>IFERROR(INDEX(PP_Grid[#Data],$DD276,55),0)</f>
        <v/>
      </c>
      <c r="BF276">
        <f>IFERROR(INDEX(PP_Grid[#Data],$DD276,56),0)</f>
        <v/>
      </c>
      <c r="BG276">
        <f>IFERROR(INDEX(PP_Grid[#Data],$DD276,57),0)</f>
        <v/>
      </c>
      <c r="BH276">
        <f>IFERROR(INDEX(PP_Grid[#Data],$DD276,58),0)</f>
        <v/>
      </c>
      <c r="BI276">
        <f>IFERROR(INDEX(PP_Grid[#Data],$DD276,59),0)</f>
        <v/>
      </c>
      <c r="BJ276">
        <f>IFERROR(INDEX(PP_Grid[#Data],$DD276,60),0)</f>
        <v/>
      </c>
      <c r="BK276">
        <f>IFERROR(INDEX(PP_Grid[#Data],$DD276,61),0)</f>
        <v/>
      </c>
      <c r="BL276">
        <f>IFERROR(INDEX(PP_Grid[#Data],$DD276,62),0)</f>
        <v/>
      </c>
      <c r="BM276">
        <f>IFERROR(INDEX(PP_Grid[#Data],$DD276,63),0)</f>
        <v/>
      </c>
      <c r="BN276">
        <f>IFERROR(INDEX(PP_Grid[#Data],$DD276,64),0)</f>
        <v/>
      </c>
      <c r="BO276">
        <f>IFERROR(INDEX(PP_Grid[#Data],$DD276,65),0)</f>
        <v/>
      </c>
      <c r="BP276">
        <f>IFERROR(INDEX(PP_Grid[#Data],$DD276,66),0)</f>
        <v/>
      </c>
      <c r="BQ276">
        <f>IFERROR(INDEX(PP_Grid[#Data],$DD276,67),0)</f>
        <v/>
      </c>
      <c r="BR276">
        <f>IFERROR(INDEX(PP_Grid[#Data],$DD276,68),0)</f>
        <v/>
      </c>
      <c r="BS276">
        <f>IFERROR(INDEX(PP_Grid[#Data],$DD276,69),0)</f>
        <v/>
      </c>
      <c r="BT276">
        <f>IFERROR(INDEX(PP_Grid[#Data],$DD276,70),0)</f>
        <v/>
      </c>
      <c r="BU276">
        <f>IFERROR(INDEX(PP_Grid[#Data],$DD276,71),0)</f>
        <v/>
      </c>
      <c r="BV276">
        <f>IFERROR(INDEX(PP_Grid[#Data],$DD276,72),0)</f>
        <v/>
      </c>
      <c r="BW276">
        <f>IFERROR(INDEX(PP_Grid[#Data],$DD276,73),0)</f>
        <v/>
      </c>
      <c r="BX276">
        <f>IFERROR(INDEX(PP_Grid[#Data],$DD276,74),0)</f>
        <v/>
      </c>
      <c r="BY276">
        <f>IFERROR(INDEX(PP_Grid[#Data],$DD276,75),0)</f>
        <v/>
      </c>
      <c r="BZ276">
        <f>IFERROR(INDEX(PP_Grid[#Data],$DD276,76),0)</f>
        <v/>
      </c>
      <c r="CA276">
        <f>IFERROR(INDEX(PP_Grid[#Data],$DD276,77),0)</f>
        <v/>
      </c>
      <c r="CB276">
        <f>IFERROR(INDEX(PP_Grid[#Data],$DD276,78),0)</f>
        <v/>
      </c>
      <c r="CC276">
        <f>IFERROR(INDEX(PP_Grid[#Data],$DD276,79),0)</f>
        <v/>
      </c>
      <c r="CD276">
        <f>IFERROR(INDEX(PP_Grid[#Data],$DD276,80),0)</f>
        <v/>
      </c>
      <c r="CE276">
        <f>IFERROR(INDEX(PP_Grid[#Data],$DD276,81),0)</f>
        <v/>
      </c>
      <c r="CF276">
        <f>IFERROR(INDEX(PP_Grid[#Data],$DD276,82),0)</f>
        <v/>
      </c>
      <c r="CG276">
        <f>IFERROR(INDEX(PP_Grid[#Data],$DD276,83),0)</f>
        <v/>
      </c>
      <c r="CH276">
        <f>IFERROR(INDEX(PP_Grid[#Data],$DD276,84),0)</f>
        <v/>
      </c>
      <c r="CI276">
        <f>IFERROR(INDEX(PP_Grid[#Data],$DD276,85),0)</f>
        <v/>
      </c>
      <c r="CJ276">
        <f>IFERROR(INDEX(PP_Grid[#Data],$DD276,86),0)</f>
        <v/>
      </c>
      <c r="CK276">
        <f>IFERROR(INDEX(PP_Grid[#Data],$DD276,87),0)</f>
        <v/>
      </c>
      <c r="CL276">
        <f>IFERROR(INDEX(PP_Grid[#Data],$DD276,88),0)</f>
        <v/>
      </c>
      <c r="CM276">
        <f>IFERROR(INDEX(PP_Grid[#Data],$DD276,89),0)</f>
        <v/>
      </c>
      <c r="CN276">
        <f>IFERROR(INDEX(PP_Grid[#Data],$DD276,90),0)</f>
        <v/>
      </c>
      <c r="CO276">
        <f>IFERROR(INDEX(PP_Grid[#Data],$DD276,91),0)</f>
        <v/>
      </c>
      <c r="CP276">
        <f>IFERROR(INDEX(PP_Grid[#Data],$DD276,92),0)</f>
        <v/>
      </c>
      <c r="CQ276">
        <f>IFERROR(INDEX(PP_Grid[#Data],$DD276,93),0)</f>
        <v/>
      </c>
      <c r="CR276">
        <f>IFERROR(INDEX(PP_Grid[#Data],$DD276,94),0)</f>
        <v/>
      </c>
      <c r="CS276">
        <f>IFERROR(INDEX(PP_Grid[#Data],$DD276,95),0)</f>
        <v/>
      </c>
      <c r="CT276">
        <f>IFERROR(INDEX(PP_Grid[#Data],$DD276,96),0)</f>
        <v/>
      </c>
      <c r="CU276">
        <f>IFERROR(INDEX(PP_Grid[#Data],$DD276,97),0)</f>
        <v/>
      </c>
      <c r="CV276">
        <f>IFERROR(INDEX(PP_Grid[#Data],$DD276,98),0)</f>
        <v/>
      </c>
      <c r="CW276">
        <f>IFERROR(INDEX(PP_Grid[#Data],$DD276,99),0)</f>
        <v/>
      </c>
      <c r="CX276">
        <f>IFERROR(INDEX(PP_Grid[#Data],$DD276,100),0)</f>
        <v/>
      </c>
      <c r="CY276">
        <f>IFERROR(INDEX(PP_Grid[#Data],$DD276,101),0)</f>
        <v/>
      </c>
      <c r="CZ276">
        <f>IFERROR(INDEX(PP_Grid[#Data],$DD276,102),0)</f>
        <v/>
      </c>
      <c r="DA276">
        <f>IFERROR(INDEX(PP_Grid[#Data],$DD276,103),0)</f>
        <v/>
      </c>
      <c r="DB276">
        <f>IFERROR(INDEX(PP_Grid[#Data],$DD276,104),0)</f>
        <v/>
      </c>
      <c r="DC276">
        <f>IFERROR(INDEX(PP_Grid[#Data],$DD276,105),0)</f>
        <v/>
      </c>
      <c r="DD276" s="12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SUMIFS(M_BOM[RM_Qty_Per_Batch],M_BOM[Intermediate],$B276,M_BOM[Part Name],$A221)</f>
        <v/>
      </c>
      <c r="D277">
        <f>$C277*D276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</row>
    <row r="278">
      <c r="B278" t="inlineStr">
        <is>
          <t>TSP-929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12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Name],$A221)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TSP-930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Name],$A221)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TSP-934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Name],$A221)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TSP-935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Name],$A221)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TSP-936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12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SUMIFS(M_BOM[RM_Qty_Per_Batch],M_BOM[Intermediate],$B286,M_BOM[Part Name],$A221)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TSP-937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12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SUMIFS(M_BOM[RM_Qty_Per_Batch],M_BOM[Intermediate],$B288,M_BOM[Part Name],$A221)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TSP-1388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12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SUMIFS(M_BOM[RM_Qty_Per_Batch],M_BOM[Intermediate],$B290,M_BOM[Part Name],$A221)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TSP-1444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12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SUMIFS(M_BOM[RM_Qty_Per_Batch],M_BOM[Intermediate],$B292,M_BOM[Part Name],$A221)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TSP-1448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Name],$A221)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TSP-1445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Name],$A221)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TSP-1446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Name],$A221)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TSP-1449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Name],$A221)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VSP-567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Name],$A221)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VSP-600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Name],$A221)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VSP-602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Name],$A221)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VSP-603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Name],$A221)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VSP-605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Name],$A221)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VSP-606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Name],$A221)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VSP-607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Name],$A221)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VSP-739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12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SUMIFS(M_BOM[RM_Qty_Per_Batch],M_BOM[Intermediate],$B316,M_BOM[Part Name],$A221)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VSP-740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12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SUMIFS(M_BOM[RM_Qty_Per_Batch],M_BOM[Intermediate],$B318,M_BOM[Part Name],$A221)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t="inlineStr">
        <is>
          <t>VSP-746</t>
        </is>
      </c>
      <c r="C320" t="inlineStr">
        <is>
          <t>No. of batches</t>
        </is>
      </c>
      <c r="D320">
        <f>IFERROR(INDEX(PP_Grid[#Data],$DD320,2),0)</f>
        <v/>
      </c>
      <c r="E320">
        <f>IFERROR(INDEX(PP_Grid[#Data],$DD320,3),0)</f>
        <v/>
      </c>
      <c r="F320">
        <f>IFERROR(INDEX(PP_Grid[#Data],$DD320,4),0)</f>
        <v/>
      </c>
      <c r="G320">
        <f>IFERROR(INDEX(PP_Grid[#Data],$DD320,5),0)</f>
        <v/>
      </c>
      <c r="H320">
        <f>IFERROR(INDEX(PP_Grid[#Data],$DD320,6),0)</f>
        <v/>
      </c>
      <c r="I320">
        <f>IFERROR(INDEX(PP_Grid[#Data],$DD320,7),0)</f>
        <v/>
      </c>
      <c r="J320">
        <f>IFERROR(INDEX(PP_Grid[#Data],$DD320,8),0)</f>
        <v/>
      </c>
      <c r="K320">
        <f>IFERROR(INDEX(PP_Grid[#Data],$DD320,9),0)</f>
        <v/>
      </c>
      <c r="L320">
        <f>IFERROR(INDEX(PP_Grid[#Data],$DD320,10),0)</f>
        <v/>
      </c>
      <c r="M320">
        <f>IFERROR(INDEX(PP_Grid[#Data],$DD320,11),0)</f>
        <v/>
      </c>
      <c r="N320">
        <f>IFERROR(INDEX(PP_Grid[#Data],$DD320,12),0)</f>
        <v/>
      </c>
      <c r="O320">
        <f>IFERROR(INDEX(PP_Grid[#Data],$DD320,13),0)</f>
        <v/>
      </c>
      <c r="P320">
        <f>IFERROR(INDEX(PP_Grid[#Data],$DD320,14),0)</f>
        <v/>
      </c>
      <c r="Q320">
        <f>IFERROR(INDEX(PP_Grid[#Data],$DD320,15),0)</f>
        <v/>
      </c>
      <c r="R320">
        <f>IFERROR(INDEX(PP_Grid[#Data],$DD320,16),0)</f>
        <v/>
      </c>
      <c r="S320">
        <f>IFERROR(INDEX(PP_Grid[#Data],$DD320,17),0)</f>
        <v/>
      </c>
      <c r="T320">
        <f>IFERROR(INDEX(PP_Grid[#Data],$DD320,18),0)</f>
        <v/>
      </c>
      <c r="U320">
        <f>IFERROR(INDEX(PP_Grid[#Data],$DD320,19),0)</f>
        <v/>
      </c>
      <c r="V320">
        <f>IFERROR(INDEX(PP_Grid[#Data],$DD320,20),0)</f>
        <v/>
      </c>
      <c r="W320">
        <f>IFERROR(INDEX(PP_Grid[#Data],$DD320,21),0)</f>
        <v/>
      </c>
      <c r="X320">
        <f>IFERROR(INDEX(PP_Grid[#Data],$DD320,22),0)</f>
        <v/>
      </c>
      <c r="Y320">
        <f>IFERROR(INDEX(PP_Grid[#Data],$DD320,23),0)</f>
        <v/>
      </c>
      <c r="Z320">
        <f>IFERROR(INDEX(PP_Grid[#Data],$DD320,24),0)</f>
        <v/>
      </c>
      <c r="AA320">
        <f>IFERROR(INDEX(PP_Grid[#Data],$DD320,25),0)</f>
        <v/>
      </c>
      <c r="AB320">
        <f>IFERROR(INDEX(PP_Grid[#Data],$DD320,26),0)</f>
        <v/>
      </c>
      <c r="AC320">
        <f>IFERROR(INDEX(PP_Grid[#Data],$DD320,27),0)</f>
        <v/>
      </c>
      <c r="AD320">
        <f>IFERROR(INDEX(PP_Grid[#Data],$DD320,28),0)</f>
        <v/>
      </c>
      <c r="AE320">
        <f>IFERROR(INDEX(PP_Grid[#Data],$DD320,29),0)</f>
        <v/>
      </c>
      <c r="AF320">
        <f>IFERROR(INDEX(PP_Grid[#Data],$DD320,30),0)</f>
        <v/>
      </c>
      <c r="AG320">
        <f>IFERROR(INDEX(PP_Grid[#Data],$DD320,31),0)</f>
        <v/>
      </c>
      <c r="AH320">
        <f>IFERROR(INDEX(PP_Grid[#Data],$DD320,32),0)</f>
        <v/>
      </c>
      <c r="AI320">
        <f>IFERROR(INDEX(PP_Grid[#Data],$DD320,33),0)</f>
        <v/>
      </c>
      <c r="AJ320">
        <f>IFERROR(INDEX(PP_Grid[#Data],$DD320,34),0)</f>
        <v/>
      </c>
      <c r="AK320">
        <f>IFERROR(INDEX(PP_Grid[#Data],$DD320,35),0)</f>
        <v/>
      </c>
      <c r="AL320">
        <f>IFERROR(INDEX(PP_Grid[#Data],$DD320,36),0)</f>
        <v/>
      </c>
      <c r="AM320">
        <f>IFERROR(INDEX(PP_Grid[#Data],$DD320,37),0)</f>
        <v/>
      </c>
      <c r="AN320">
        <f>IFERROR(INDEX(PP_Grid[#Data],$DD320,38),0)</f>
        <v/>
      </c>
      <c r="AO320">
        <f>IFERROR(INDEX(PP_Grid[#Data],$DD320,39),0)</f>
        <v/>
      </c>
      <c r="AP320">
        <f>IFERROR(INDEX(PP_Grid[#Data],$DD320,40),0)</f>
        <v/>
      </c>
      <c r="AQ320">
        <f>IFERROR(INDEX(PP_Grid[#Data],$DD320,41),0)</f>
        <v/>
      </c>
      <c r="AR320">
        <f>IFERROR(INDEX(PP_Grid[#Data],$DD320,42),0)</f>
        <v/>
      </c>
      <c r="AS320">
        <f>IFERROR(INDEX(PP_Grid[#Data],$DD320,43),0)</f>
        <v/>
      </c>
      <c r="AT320">
        <f>IFERROR(INDEX(PP_Grid[#Data],$DD320,44),0)</f>
        <v/>
      </c>
      <c r="AU320">
        <f>IFERROR(INDEX(PP_Grid[#Data],$DD320,45),0)</f>
        <v/>
      </c>
      <c r="AV320">
        <f>IFERROR(INDEX(PP_Grid[#Data],$DD320,46),0)</f>
        <v/>
      </c>
      <c r="AW320">
        <f>IFERROR(INDEX(PP_Grid[#Data],$DD320,47),0)</f>
        <v/>
      </c>
      <c r="AX320">
        <f>IFERROR(INDEX(PP_Grid[#Data],$DD320,48),0)</f>
        <v/>
      </c>
      <c r="AY320">
        <f>IFERROR(INDEX(PP_Grid[#Data],$DD320,49),0)</f>
        <v/>
      </c>
      <c r="AZ320">
        <f>IFERROR(INDEX(PP_Grid[#Data],$DD320,50),0)</f>
        <v/>
      </c>
      <c r="BA320">
        <f>IFERROR(INDEX(PP_Grid[#Data],$DD320,51),0)</f>
        <v/>
      </c>
      <c r="BB320">
        <f>IFERROR(INDEX(PP_Grid[#Data],$DD320,52),0)</f>
        <v/>
      </c>
      <c r="BC320">
        <f>IFERROR(INDEX(PP_Grid[#Data],$DD320,53),0)</f>
        <v/>
      </c>
      <c r="BD320">
        <f>IFERROR(INDEX(PP_Grid[#Data],$DD320,54),0)</f>
        <v/>
      </c>
      <c r="BE320">
        <f>IFERROR(INDEX(PP_Grid[#Data],$DD320,55),0)</f>
        <v/>
      </c>
      <c r="BF320">
        <f>IFERROR(INDEX(PP_Grid[#Data],$DD320,56),0)</f>
        <v/>
      </c>
      <c r="BG320">
        <f>IFERROR(INDEX(PP_Grid[#Data],$DD320,57),0)</f>
        <v/>
      </c>
      <c r="BH320">
        <f>IFERROR(INDEX(PP_Grid[#Data],$DD320,58),0)</f>
        <v/>
      </c>
      <c r="BI320">
        <f>IFERROR(INDEX(PP_Grid[#Data],$DD320,59),0)</f>
        <v/>
      </c>
      <c r="BJ320">
        <f>IFERROR(INDEX(PP_Grid[#Data],$DD320,60),0)</f>
        <v/>
      </c>
      <c r="BK320">
        <f>IFERROR(INDEX(PP_Grid[#Data],$DD320,61),0)</f>
        <v/>
      </c>
      <c r="BL320">
        <f>IFERROR(INDEX(PP_Grid[#Data],$DD320,62),0)</f>
        <v/>
      </c>
      <c r="BM320">
        <f>IFERROR(INDEX(PP_Grid[#Data],$DD320,63),0)</f>
        <v/>
      </c>
      <c r="BN320">
        <f>IFERROR(INDEX(PP_Grid[#Data],$DD320,64),0)</f>
        <v/>
      </c>
      <c r="BO320">
        <f>IFERROR(INDEX(PP_Grid[#Data],$DD320,65),0)</f>
        <v/>
      </c>
      <c r="BP320">
        <f>IFERROR(INDEX(PP_Grid[#Data],$DD320,66),0)</f>
        <v/>
      </c>
      <c r="BQ320">
        <f>IFERROR(INDEX(PP_Grid[#Data],$DD320,67),0)</f>
        <v/>
      </c>
      <c r="BR320">
        <f>IFERROR(INDEX(PP_Grid[#Data],$DD320,68),0)</f>
        <v/>
      </c>
      <c r="BS320">
        <f>IFERROR(INDEX(PP_Grid[#Data],$DD320,69),0)</f>
        <v/>
      </c>
      <c r="BT320">
        <f>IFERROR(INDEX(PP_Grid[#Data],$DD320,70),0)</f>
        <v/>
      </c>
      <c r="BU320">
        <f>IFERROR(INDEX(PP_Grid[#Data],$DD320,71),0)</f>
        <v/>
      </c>
      <c r="BV320">
        <f>IFERROR(INDEX(PP_Grid[#Data],$DD320,72),0)</f>
        <v/>
      </c>
      <c r="BW320">
        <f>IFERROR(INDEX(PP_Grid[#Data],$DD320,73),0)</f>
        <v/>
      </c>
      <c r="BX320">
        <f>IFERROR(INDEX(PP_Grid[#Data],$DD320,74),0)</f>
        <v/>
      </c>
      <c r="BY320">
        <f>IFERROR(INDEX(PP_Grid[#Data],$DD320,75),0)</f>
        <v/>
      </c>
      <c r="BZ320">
        <f>IFERROR(INDEX(PP_Grid[#Data],$DD320,76),0)</f>
        <v/>
      </c>
      <c r="CA320">
        <f>IFERROR(INDEX(PP_Grid[#Data],$DD320,77),0)</f>
        <v/>
      </c>
      <c r="CB320">
        <f>IFERROR(INDEX(PP_Grid[#Data],$DD320,78),0)</f>
        <v/>
      </c>
      <c r="CC320">
        <f>IFERROR(INDEX(PP_Grid[#Data],$DD320,79),0)</f>
        <v/>
      </c>
      <c r="CD320">
        <f>IFERROR(INDEX(PP_Grid[#Data],$DD320,80),0)</f>
        <v/>
      </c>
      <c r="CE320">
        <f>IFERROR(INDEX(PP_Grid[#Data],$DD320,81),0)</f>
        <v/>
      </c>
      <c r="CF320">
        <f>IFERROR(INDEX(PP_Grid[#Data],$DD320,82),0)</f>
        <v/>
      </c>
      <c r="CG320">
        <f>IFERROR(INDEX(PP_Grid[#Data],$DD320,83),0)</f>
        <v/>
      </c>
      <c r="CH320">
        <f>IFERROR(INDEX(PP_Grid[#Data],$DD320,84),0)</f>
        <v/>
      </c>
      <c r="CI320">
        <f>IFERROR(INDEX(PP_Grid[#Data],$DD320,85),0)</f>
        <v/>
      </c>
      <c r="CJ320">
        <f>IFERROR(INDEX(PP_Grid[#Data],$DD320,86),0)</f>
        <v/>
      </c>
      <c r="CK320">
        <f>IFERROR(INDEX(PP_Grid[#Data],$DD320,87),0)</f>
        <v/>
      </c>
      <c r="CL320">
        <f>IFERROR(INDEX(PP_Grid[#Data],$DD320,88),0)</f>
        <v/>
      </c>
      <c r="CM320">
        <f>IFERROR(INDEX(PP_Grid[#Data],$DD320,89),0)</f>
        <v/>
      </c>
      <c r="CN320">
        <f>IFERROR(INDEX(PP_Grid[#Data],$DD320,90),0)</f>
        <v/>
      </c>
      <c r="CO320">
        <f>IFERROR(INDEX(PP_Grid[#Data],$DD320,91),0)</f>
        <v/>
      </c>
      <c r="CP320">
        <f>IFERROR(INDEX(PP_Grid[#Data],$DD320,92),0)</f>
        <v/>
      </c>
      <c r="CQ320">
        <f>IFERROR(INDEX(PP_Grid[#Data],$DD320,93),0)</f>
        <v/>
      </c>
      <c r="CR320">
        <f>IFERROR(INDEX(PP_Grid[#Data],$DD320,94),0)</f>
        <v/>
      </c>
      <c r="CS320">
        <f>IFERROR(INDEX(PP_Grid[#Data],$DD320,95),0)</f>
        <v/>
      </c>
      <c r="CT320">
        <f>IFERROR(INDEX(PP_Grid[#Data],$DD320,96),0)</f>
        <v/>
      </c>
      <c r="CU320">
        <f>IFERROR(INDEX(PP_Grid[#Data],$DD320,97),0)</f>
        <v/>
      </c>
      <c r="CV320">
        <f>IFERROR(INDEX(PP_Grid[#Data],$DD320,98),0)</f>
        <v/>
      </c>
      <c r="CW320">
        <f>IFERROR(INDEX(PP_Grid[#Data],$DD320,99),0)</f>
        <v/>
      </c>
      <c r="CX320">
        <f>IFERROR(INDEX(PP_Grid[#Data],$DD320,100),0)</f>
        <v/>
      </c>
      <c r="CY320">
        <f>IFERROR(INDEX(PP_Grid[#Data],$DD320,101),0)</f>
        <v/>
      </c>
      <c r="CZ320">
        <f>IFERROR(INDEX(PP_Grid[#Data],$DD320,102),0)</f>
        <v/>
      </c>
      <c r="DA320">
        <f>IFERROR(INDEX(PP_Grid[#Data],$DD320,103),0)</f>
        <v/>
      </c>
      <c r="DB320">
        <f>IFERROR(INDEX(PP_Grid[#Data],$DD320,104),0)</f>
        <v/>
      </c>
      <c r="DC320">
        <f>IFERROR(INDEX(PP_Grid[#Data],$DD320,105),0)</f>
        <v/>
      </c>
      <c r="DD320" s="12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SUMIFS(M_BOM[RM_Qty_Per_Batch],M_BOM[Intermediate],$B320,M_BOM[Part Name],$A221)</f>
        <v/>
      </c>
      <c r="D321">
        <f>$C321*D320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</row>
    <row r="322">
      <c r="B322" t="inlineStr">
        <is>
          <t>VSP-822</t>
        </is>
      </c>
      <c r="C322" t="inlineStr">
        <is>
          <t>No. of batches</t>
        </is>
      </c>
      <c r="D322">
        <f>IFERROR(INDEX(PP_Grid[#Data],$DD322,2),0)</f>
        <v/>
      </c>
      <c r="E322">
        <f>IFERROR(INDEX(PP_Grid[#Data],$DD322,3),0)</f>
        <v/>
      </c>
      <c r="F322">
        <f>IFERROR(INDEX(PP_Grid[#Data],$DD322,4),0)</f>
        <v/>
      </c>
      <c r="G322">
        <f>IFERROR(INDEX(PP_Grid[#Data],$DD322,5),0)</f>
        <v/>
      </c>
      <c r="H322">
        <f>IFERROR(INDEX(PP_Grid[#Data],$DD322,6),0)</f>
        <v/>
      </c>
      <c r="I322">
        <f>IFERROR(INDEX(PP_Grid[#Data],$DD322,7),0)</f>
        <v/>
      </c>
      <c r="J322">
        <f>IFERROR(INDEX(PP_Grid[#Data],$DD322,8),0)</f>
        <v/>
      </c>
      <c r="K322">
        <f>IFERROR(INDEX(PP_Grid[#Data],$DD322,9),0)</f>
        <v/>
      </c>
      <c r="L322">
        <f>IFERROR(INDEX(PP_Grid[#Data],$DD322,10),0)</f>
        <v/>
      </c>
      <c r="M322">
        <f>IFERROR(INDEX(PP_Grid[#Data],$DD322,11),0)</f>
        <v/>
      </c>
      <c r="N322">
        <f>IFERROR(INDEX(PP_Grid[#Data],$DD322,12),0)</f>
        <v/>
      </c>
      <c r="O322">
        <f>IFERROR(INDEX(PP_Grid[#Data],$DD322,13),0)</f>
        <v/>
      </c>
      <c r="P322">
        <f>IFERROR(INDEX(PP_Grid[#Data],$DD322,14),0)</f>
        <v/>
      </c>
      <c r="Q322">
        <f>IFERROR(INDEX(PP_Grid[#Data],$DD322,15),0)</f>
        <v/>
      </c>
      <c r="R322">
        <f>IFERROR(INDEX(PP_Grid[#Data],$DD322,16),0)</f>
        <v/>
      </c>
      <c r="S322">
        <f>IFERROR(INDEX(PP_Grid[#Data],$DD322,17),0)</f>
        <v/>
      </c>
      <c r="T322">
        <f>IFERROR(INDEX(PP_Grid[#Data],$DD322,18),0)</f>
        <v/>
      </c>
      <c r="U322">
        <f>IFERROR(INDEX(PP_Grid[#Data],$DD322,19),0)</f>
        <v/>
      </c>
      <c r="V322">
        <f>IFERROR(INDEX(PP_Grid[#Data],$DD322,20),0)</f>
        <v/>
      </c>
      <c r="W322">
        <f>IFERROR(INDEX(PP_Grid[#Data],$DD322,21),0)</f>
        <v/>
      </c>
      <c r="X322">
        <f>IFERROR(INDEX(PP_Grid[#Data],$DD322,22),0)</f>
        <v/>
      </c>
      <c r="Y322">
        <f>IFERROR(INDEX(PP_Grid[#Data],$DD322,23),0)</f>
        <v/>
      </c>
      <c r="Z322">
        <f>IFERROR(INDEX(PP_Grid[#Data],$DD322,24),0)</f>
        <v/>
      </c>
      <c r="AA322">
        <f>IFERROR(INDEX(PP_Grid[#Data],$DD322,25),0)</f>
        <v/>
      </c>
      <c r="AB322">
        <f>IFERROR(INDEX(PP_Grid[#Data],$DD322,26),0)</f>
        <v/>
      </c>
      <c r="AC322">
        <f>IFERROR(INDEX(PP_Grid[#Data],$DD322,27),0)</f>
        <v/>
      </c>
      <c r="AD322">
        <f>IFERROR(INDEX(PP_Grid[#Data],$DD322,28),0)</f>
        <v/>
      </c>
      <c r="AE322">
        <f>IFERROR(INDEX(PP_Grid[#Data],$DD322,29),0)</f>
        <v/>
      </c>
      <c r="AF322">
        <f>IFERROR(INDEX(PP_Grid[#Data],$DD322,30),0)</f>
        <v/>
      </c>
      <c r="AG322">
        <f>IFERROR(INDEX(PP_Grid[#Data],$DD322,31),0)</f>
        <v/>
      </c>
      <c r="AH322">
        <f>IFERROR(INDEX(PP_Grid[#Data],$DD322,32),0)</f>
        <v/>
      </c>
      <c r="AI322">
        <f>IFERROR(INDEX(PP_Grid[#Data],$DD322,33),0)</f>
        <v/>
      </c>
      <c r="AJ322">
        <f>IFERROR(INDEX(PP_Grid[#Data],$DD322,34),0)</f>
        <v/>
      </c>
      <c r="AK322">
        <f>IFERROR(INDEX(PP_Grid[#Data],$DD322,35),0)</f>
        <v/>
      </c>
      <c r="AL322">
        <f>IFERROR(INDEX(PP_Grid[#Data],$DD322,36),0)</f>
        <v/>
      </c>
      <c r="AM322">
        <f>IFERROR(INDEX(PP_Grid[#Data],$DD322,37),0)</f>
        <v/>
      </c>
      <c r="AN322">
        <f>IFERROR(INDEX(PP_Grid[#Data],$DD322,38),0)</f>
        <v/>
      </c>
      <c r="AO322">
        <f>IFERROR(INDEX(PP_Grid[#Data],$DD322,39),0)</f>
        <v/>
      </c>
      <c r="AP322">
        <f>IFERROR(INDEX(PP_Grid[#Data],$DD322,40),0)</f>
        <v/>
      </c>
      <c r="AQ322">
        <f>IFERROR(INDEX(PP_Grid[#Data],$DD322,41),0)</f>
        <v/>
      </c>
      <c r="AR322">
        <f>IFERROR(INDEX(PP_Grid[#Data],$DD322,42),0)</f>
        <v/>
      </c>
      <c r="AS322">
        <f>IFERROR(INDEX(PP_Grid[#Data],$DD322,43),0)</f>
        <v/>
      </c>
      <c r="AT322">
        <f>IFERROR(INDEX(PP_Grid[#Data],$DD322,44),0)</f>
        <v/>
      </c>
      <c r="AU322">
        <f>IFERROR(INDEX(PP_Grid[#Data],$DD322,45),0)</f>
        <v/>
      </c>
      <c r="AV322">
        <f>IFERROR(INDEX(PP_Grid[#Data],$DD322,46),0)</f>
        <v/>
      </c>
      <c r="AW322">
        <f>IFERROR(INDEX(PP_Grid[#Data],$DD322,47),0)</f>
        <v/>
      </c>
      <c r="AX322">
        <f>IFERROR(INDEX(PP_Grid[#Data],$DD322,48),0)</f>
        <v/>
      </c>
      <c r="AY322">
        <f>IFERROR(INDEX(PP_Grid[#Data],$DD322,49),0)</f>
        <v/>
      </c>
      <c r="AZ322">
        <f>IFERROR(INDEX(PP_Grid[#Data],$DD322,50),0)</f>
        <v/>
      </c>
      <c r="BA322">
        <f>IFERROR(INDEX(PP_Grid[#Data],$DD322,51),0)</f>
        <v/>
      </c>
      <c r="BB322">
        <f>IFERROR(INDEX(PP_Grid[#Data],$DD322,52),0)</f>
        <v/>
      </c>
      <c r="BC322">
        <f>IFERROR(INDEX(PP_Grid[#Data],$DD322,53),0)</f>
        <v/>
      </c>
      <c r="BD322">
        <f>IFERROR(INDEX(PP_Grid[#Data],$DD322,54),0)</f>
        <v/>
      </c>
      <c r="BE322">
        <f>IFERROR(INDEX(PP_Grid[#Data],$DD322,55),0)</f>
        <v/>
      </c>
      <c r="BF322">
        <f>IFERROR(INDEX(PP_Grid[#Data],$DD322,56),0)</f>
        <v/>
      </c>
      <c r="BG322">
        <f>IFERROR(INDEX(PP_Grid[#Data],$DD322,57),0)</f>
        <v/>
      </c>
      <c r="BH322">
        <f>IFERROR(INDEX(PP_Grid[#Data],$DD322,58),0)</f>
        <v/>
      </c>
      <c r="BI322">
        <f>IFERROR(INDEX(PP_Grid[#Data],$DD322,59),0)</f>
        <v/>
      </c>
      <c r="BJ322">
        <f>IFERROR(INDEX(PP_Grid[#Data],$DD322,60),0)</f>
        <v/>
      </c>
      <c r="BK322">
        <f>IFERROR(INDEX(PP_Grid[#Data],$DD322,61),0)</f>
        <v/>
      </c>
      <c r="BL322">
        <f>IFERROR(INDEX(PP_Grid[#Data],$DD322,62),0)</f>
        <v/>
      </c>
      <c r="BM322">
        <f>IFERROR(INDEX(PP_Grid[#Data],$DD322,63),0)</f>
        <v/>
      </c>
      <c r="BN322">
        <f>IFERROR(INDEX(PP_Grid[#Data],$DD322,64),0)</f>
        <v/>
      </c>
      <c r="BO322">
        <f>IFERROR(INDEX(PP_Grid[#Data],$DD322,65),0)</f>
        <v/>
      </c>
      <c r="BP322">
        <f>IFERROR(INDEX(PP_Grid[#Data],$DD322,66),0)</f>
        <v/>
      </c>
      <c r="BQ322">
        <f>IFERROR(INDEX(PP_Grid[#Data],$DD322,67),0)</f>
        <v/>
      </c>
      <c r="BR322">
        <f>IFERROR(INDEX(PP_Grid[#Data],$DD322,68),0)</f>
        <v/>
      </c>
      <c r="BS322">
        <f>IFERROR(INDEX(PP_Grid[#Data],$DD322,69),0)</f>
        <v/>
      </c>
      <c r="BT322">
        <f>IFERROR(INDEX(PP_Grid[#Data],$DD322,70),0)</f>
        <v/>
      </c>
      <c r="BU322">
        <f>IFERROR(INDEX(PP_Grid[#Data],$DD322,71),0)</f>
        <v/>
      </c>
      <c r="BV322">
        <f>IFERROR(INDEX(PP_Grid[#Data],$DD322,72),0)</f>
        <v/>
      </c>
      <c r="BW322">
        <f>IFERROR(INDEX(PP_Grid[#Data],$DD322,73),0)</f>
        <v/>
      </c>
      <c r="BX322">
        <f>IFERROR(INDEX(PP_Grid[#Data],$DD322,74),0)</f>
        <v/>
      </c>
      <c r="BY322">
        <f>IFERROR(INDEX(PP_Grid[#Data],$DD322,75),0)</f>
        <v/>
      </c>
      <c r="BZ322">
        <f>IFERROR(INDEX(PP_Grid[#Data],$DD322,76),0)</f>
        <v/>
      </c>
      <c r="CA322">
        <f>IFERROR(INDEX(PP_Grid[#Data],$DD322,77),0)</f>
        <v/>
      </c>
      <c r="CB322">
        <f>IFERROR(INDEX(PP_Grid[#Data],$DD322,78),0)</f>
        <v/>
      </c>
      <c r="CC322">
        <f>IFERROR(INDEX(PP_Grid[#Data],$DD322,79),0)</f>
        <v/>
      </c>
      <c r="CD322">
        <f>IFERROR(INDEX(PP_Grid[#Data],$DD322,80),0)</f>
        <v/>
      </c>
      <c r="CE322">
        <f>IFERROR(INDEX(PP_Grid[#Data],$DD322,81),0)</f>
        <v/>
      </c>
      <c r="CF322">
        <f>IFERROR(INDEX(PP_Grid[#Data],$DD322,82),0)</f>
        <v/>
      </c>
      <c r="CG322">
        <f>IFERROR(INDEX(PP_Grid[#Data],$DD322,83),0)</f>
        <v/>
      </c>
      <c r="CH322">
        <f>IFERROR(INDEX(PP_Grid[#Data],$DD322,84),0)</f>
        <v/>
      </c>
      <c r="CI322">
        <f>IFERROR(INDEX(PP_Grid[#Data],$DD322,85),0)</f>
        <v/>
      </c>
      <c r="CJ322">
        <f>IFERROR(INDEX(PP_Grid[#Data],$DD322,86),0)</f>
        <v/>
      </c>
      <c r="CK322">
        <f>IFERROR(INDEX(PP_Grid[#Data],$DD322,87),0)</f>
        <v/>
      </c>
      <c r="CL322">
        <f>IFERROR(INDEX(PP_Grid[#Data],$DD322,88),0)</f>
        <v/>
      </c>
      <c r="CM322">
        <f>IFERROR(INDEX(PP_Grid[#Data],$DD322,89),0)</f>
        <v/>
      </c>
      <c r="CN322">
        <f>IFERROR(INDEX(PP_Grid[#Data],$DD322,90),0)</f>
        <v/>
      </c>
      <c r="CO322">
        <f>IFERROR(INDEX(PP_Grid[#Data],$DD322,91),0)</f>
        <v/>
      </c>
      <c r="CP322">
        <f>IFERROR(INDEX(PP_Grid[#Data],$DD322,92),0)</f>
        <v/>
      </c>
      <c r="CQ322">
        <f>IFERROR(INDEX(PP_Grid[#Data],$DD322,93),0)</f>
        <v/>
      </c>
      <c r="CR322">
        <f>IFERROR(INDEX(PP_Grid[#Data],$DD322,94),0)</f>
        <v/>
      </c>
      <c r="CS322">
        <f>IFERROR(INDEX(PP_Grid[#Data],$DD322,95),0)</f>
        <v/>
      </c>
      <c r="CT322">
        <f>IFERROR(INDEX(PP_Grid[#Data],$DD322,96),0)</f>
        <v/>
      </c>
      <c r="CU322">
        <f>IFERROR(INDEX(PP_Grid[#Data],$DD322,97),0)</f>
        <v/>
      </c>
      <c r="CV322">
        <f>IFERROR(INDEX(PP_Grid[#Data],$DD322,98),0)</f>
        <v/>
      </c>
      <c r="CW322">
        <f>IFERROR(INDEX(PP_Grid[#Data],$DD322,99),0)</f>
        <v/>
      </c>
      <c r="CX322">
        <f>IFERROR(INDEX(PP_Grid[#Data],$DD322,100),0)</f>
        <v/>
      </c>
      <c r="CY322">
        <f>IFERROR(INDEX(PP_Grid[#Data],$DD322,101),0)</f>
        <v/>
      </c>
      <c r="CZ322">
        <f>IFERROR(INDEX(PP_Grid[#Data],$DD322,102),0)</f>
        <v/>
      </c>
      <c r="DA322">
        <f>IFERROR(INDEX(PP_Grid[#Data],$DD322,103),0)</f>
        <v/>
      </c>
      <c r="DB322">
        <f>IFERROR(INDEX(PP_Grid[#Data],$DD322,104),0)</f>
        <v/>
      </c>
      <c r="DC322">
        <f>IFERROR(INDEX(PP_Grid[#Data],$DD322,105),0)</f>
        <v/>
      </c>
      <c r="DD322" s="12">
        <f>IFERROR(MATCH($B322,PP_Grid[Intermediate],0),99999)</f>
        <v/>
      </c>
    </row>
    <row r="323">
      <c r="B323" t="inlineStr">
        <is>
          <t>使用量(kg)</t>
        </is>
      </c>
      <c r="C323">
        <f>SUMIFS(M_BOM[RM_Qty_Per_Batch],M_BOM[Intermediate],$B322,M_BOM[Part Name],$A221)</f>
        <v/>
      </c>
      <c r="D323">
        <f>$C323*D322</f>
        <v/>
      </c>
      <c r="E323">
        <f>$C323*E322</f>
        <v/>
      </c>
      <c r="F323">
        <f>$C323*F322</f>
        <v/>
      </c>
      <c r="G323">
        <f>$C323*G322</f>
        <v/>
      </c>
      <c r="H323">
        <f>$C323*H322</f>
        <v/>
      </c>
      <c r="I323">
        <f>$C323*I322</f>
        <v/>
      </c>
      <c r="J323">
        <f>$C323*J322</f>
        <v/>
      </c>
      <c r="K323">
        <f>$C323*K322</f>
        <v/>
      </c>
      <c r="L323">
        <f>$C323*L322</f>
        <v/>
      </c>
      <c r="M323">
        <f>$C323*M322</f>
        <v/>
      </c>
      <c r="N323">
        <f>$C323*N322</f>
        <v/>
      </c>
      <c r="O323">
        <f>$C323*O322</f>
        <v/>
      </c>
      <c r="P323">
        <f>$C323*P322</f>
        <v/>
      </c>
      <c r="Q323">
        <f>$C323*Q322</f>
        <v/>
      </c>
      <c r="R323">
        <f>$C323*R322</f>
        <v/>
      </c>
      <c r="S323">
        <f>$C323*S322</f>
        <v/>
      </c>
      <c r="T323">
        <f>$C323*T322</f>
        <v/>
      </c>
      <c r="U323">
        <f>$C323*U322</f>
        <v/>
      </c>
      <c r="V323">
        <f>$C323*V322</f>
        <v/>
      </c>
      <c r="W323">
        <f>$C323*W322</f>
        <v/>
      </c>
      <c r="X323">
        <f>$C323*X322</f>
        <v/>
      </c>
      <c r="Y323">
        <f>$C323*Y322</f>
        <v/>
      </c>
      <c r="Z323">
        <f>$C323*Z322</f>
        <v/>
      </c>
      <c r="AA323">
        <f>$C323*AA322</f>
        <v/>
      </c>
      <c r="AB323">
        <f>$C323*AB322</f>
        <v/>
      </c>
      <c r="AC323">
        <f>$C323*AC322</f>
        <v/>
      </c>
      <c r="AD323">
        <f>$C323*AD322</f>
        <v/>
      </c>
      <c r="AE323">
        <f>$C323*AE322</f>
        <v/>
      </c>
      <c r="AF323">
        <f>$C323*AF322</f>
        <v/>
      </c>
      <c r="AG323">
        <f>$C323*AG322</f>
        <v/>
      </c>
      <c r="AH323">
        <f>$C323*AH322</f>
        <v/>
      </c>
      <c r="AI323">
        <f>$C323*AI322</f>
        <v/>
      </c>
      <c r="AJ323">
        <f>$C323*AJ322</f>
        <v/>
      </c>
      <c r="AK323">
        <f>$C323*AK322</f>
        <v/>
      </c>
      <c r="AL323">
        <f>$C323*AL322</f>
        <v/>
      </c>
      <c r="AM323">
        <f>$C323*AM322</f>
        <v/>
      </c>
      <c r="AN323">
        <f>$C323*AN322</f>
        <v/>
      </c>
      <c r="AO323">
        <f>$C323*AO322</f>
        <v/>
      </c>
      <c r="AP323">
        <f>$C323*AP322</f>
        <v/>
      </c>
      <c r="AQ323">
        <f>$C323*AQ322</f>
        <v/>
      </c>
      <c r="AR323">
        <f>$C323*AR322</f>
        <v/>
      </c>
      <c r="AS323">
        <f>$C323*AS322</f>
        <v/>
      </c>
      <c r="AT323">
        <f>$C323*AT322</f>
        <v/>
      </c>
      <c r="AU323">
        <f>$C323*AU322</f>
        <v/>
      </c>
      <c r="AV323">
        <f>$C323*AV322</f>
        <v/>
      </c>
      <c r="AW323">
        <f>$C323*AW322</f>
        <v/>
      </c>
      <c r="AX323">
        <f>$C323*AX322</f>
        <v/>
      </c>
      <c r="AY323">
        <f>$C323*AY322</f>
        <v/>
      </c>
      <c r="AZ323">
        <f>$C323*AZ322</f>
        <v/>
      </c>
      <c r="BA323">
        <f>$C323*BA322</f>
        <v/>
      </c>
      <c r="BB323">
        <f>$C323*BB322</f>
        <v/>
      </c>
      <c r="BC323">
        <f>$C323*BC322</f>
        <v/>
      </c>
      <c r="BD323">
        <f>$C323*BD322</f>
        <v/>
      </c>
      <c r="BE323">
        <f>$C323*BE322</f>
        <v/>
      </c>
      <c r="BF323">
        <f>$C323*BF322</f>
        <v/>
      </c>
      <c r="BG323">
        <f>$C323*BG322</f>
        <v/>
      </c>
      <c r="BH323">
        <f>$C323*BH322</f>
        <v/>
      </c>
      <c r="BI323">
        <f>$C323*BI322</f>
        <v/>
      </c>
      <c r="BJ323">
        <f>$C323*BJ322</f>
        <v/>
      </c>
      <c r="BK323">
        <f>$C323*BK322</f>
        <v/>
      </c>
      <c r="BL323">
        <f>$C323*BL322</f>
        <v/>
      </c>
      <c r="BM323">
        <f>$C323*BM322</f>
        <v/>
      </c>
      <c r="BN323">
        <f>$C323*BN322</f>
        <v/>
      </c>
      <c r="BO323">
        <f>$C323*BO322</f>
        <v/>
      </c>
      <c r="BP323">
        <f>$C323*BP322</f>
        <v/>
      </c>
      <c r="BQ323">
        <f>$C323*BQ322</f>
        <v/>
      </c>
      <c r="BR323">
        <f>$C323*BR322</f>
        <v/>
      </c>
      <c r="BS323">
        <f>$C323*BS322</f>
        <v/>
      </c>
      <c r="BT323">
        <f>$C323*BT322</f>
        <v/>
      </c>
      <c r="BU323">
        <f>$C323*BU322</f>
        <v/>
      </c>
      <c r="BV323">
        <f>$C323*BV322</f>
        <v/>
      </c>
      <c r="BW323">
        <f>$C323*BW322</f>
        <v/>
      </c>
      <c r="BX323">
        <f>$C323*BX322</f>
        <v/>
      </c>
      <c r="BY323">
        <f>$C323*BY322</f>
        <v/>
      </c>
      <c r="BZ323">
        <f>$C323*BZ322</f>
        <v/>
      </c>
      <c r="CA323">
        <f>$C323*CA322</f>
        <v/>
      </c>
      <c r="CB323">
        <f>$C323*CB322</f>
        <v/>
      </c>
      <c r="CC323">
        <f>$C323*CC322</f>
        <v/>
      </c>
      <c r="CD323">
        <f>$C323*CD322</f>
        <v/>
      </c>
      <c r="CE323">
        <f>$C323*CE322</f>
        <v/>
      </c>
      <c r="CF323">
        <f>$C323*CF322</f>
        <v/>
      </c>
      <c r="CG323">
        <f>$C323*CG322</f>
        <v/>
      </c>
      <c r="CH323">
        <f>$C323*CH322</f>
        <v/>
      </c>
      <c r="CI323">
        <f>$C323*CI322</f>
        <v/>
      </c>
      <c r="CJ323">
        <f>$C323*CJ322</f>
        <v/>
      </c>
      <c r="CK323">
        <f>$C323*CK322</f>
        <v/>
      </c>
      <c r="CL323">
        <f>$C323*CL322</f>
        <v/>
      </c>
      <c r="CM323">
        <f>$C323*CM322</f>
        <v/>
      </c>
      <c r="CN323">
        <f>$C323*CN322</f>
        <v/>
      </c>
      <c r="CO323">
        <f>$C323*CO322</f>
        <v/>
      </c>
      <c r="CP323">
        <f>$C323*CP322</f>
        <v/>
      </c>
      <c r="CQ323">
        <f>$C323*CQ322</f>
        <v/>
      </c>
      <c r="CR323">
        <f>$C323*CR322</f>
        <v/>
      </c>
      <c r="CS323">
        <f>$C323*CS322</f>
        <v/>
      </c>
      <c r="CT323">
        <f>$C323*CT322</f>
        <v/>
      </c>
      <c r="CU323">
        <f>$C323*CU322</f>
        <v/>
      </c>
      <c r="CV323">
        <f>$C323*CV322</f>
        <v/>
      </c>
      <c r="CW323">
        <f>$C323*CW322</f>
        <v/>
      </c>
      <c r="CX323">
        <f>$C323*CX322</f>
        <v/>
      </c>
      <c r="CY323">
        <f>$C323*CY322</f>
        <v/>
      </c>
      <c r="CZ323">
        <f>$C323*CZ322</f>
        <v/>
      </c>
      <c r="DA323">
        <f>$C323*DA322</f>
        <v/>
      </c>
      <c r="DB323">
        <f>$C323*DB322</f>
        <v/>
      </c>
      <c r="DC323">
        <f>$C323*DC322</f>
        <v/>
      </c>
    </row>
    <row r="324">
      <c r="B324" t="inlineStr">
        <is>
          <t>VSP-870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12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Name],$A221)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VSP-910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12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Name],$A221)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VSP-989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Name],$A221)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VSP-990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Name],$A221)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VSZ-745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12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Name],$A221)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TSP-1558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12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Name],$A221)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s="9" t="inlineStr">
        <is>
          <t>合計使用量(kg)/週</t>
        </is>
      </c>
      <c r="D336">
        <f>'Grid_Requirement'!B10</f>
        <v/>
      </c>
      <c r="E336">
        <f>'Grid_Requirement'!C10</f>
        <v/>
      </c>
      <c r="F336">
        <f>'Grid_Requirement'!D10</f>
        <v/>
      </c>
      <c r="G336">
        <f>'Grid_Requirement'!E10</f>
        <v/>
      </c>
      <c r="H336">
        <f>'Grid_Requirement'!F10</f>
        <v/>
      </c>
      <c r="I336">
        <f>'Grid_Requirement'!G10</f>
        <v/>
      </c>
      <c r="J336">
        <f>'Grid_Requirement'!H10</f>
        <v/>
      </c>
      <c r="K336">
        <f>'Grid_Requirement'!I10</f>
        <v/>
      </c>
      <c r="L336">
        <f>'Grid_Requirement'!J10</f>
        <v/>
      </c>
      <c r="M336">
        <f>'Grid_Requirement'!K10</f>
        <v/>
      </c>
      <c r="N336">
        <f>'Grid_Requirement'!L10</f>
        <v/>
      </c>
      <c r="O336">
        <f>'Grid_Requirement'!M10</f>
        <v/>
      </c>
      <c r="P336">
        <f>'Grid_Requirement'!N10</f>
        <v/>
      </c>
      <c r="Q336">
        <f>'Grid_Requirement'!O10</f>
        <v/>
      </c>
      <c r="R336">
        <f>'Grid_Requirement'!P10</f>
        <v/>
      </c>
      <c r="S336">
        <f>'Grid_Requirement'!Q10</f>
        <v/>
      </c>
      <c r="T336">
        <f>'Grid_Requirement'!R10</f>
        <v/>
      </c>
      <c r="U336">
        <f>'Grid_Requirement'!S10</f>
        <v/>
      </c>
      <c r="V336">
        <f>'Grid_Requirement'!T10</f>
        <v/>
      </c>
      <c r="W336">
        <f>'Grid_Requirement'!U10</f>
        <v/>
      </c>
      <c r="X336">
        <f>'Grid_Requirement'!V10</f>
        <v/>
      </c>
      <c r="Y336">
        <f>'Grid_Requirement'!W10</f>
        <v/>
      </c>
      <c r="Z336">
        <f>'Grid_Requirement'!X10</f>
        <v/>
      </c>
      <c r="AA336">
        <f>'Grid_Requirement'!Y10</f>
        <v/>
      </c>
      <c r="AB336">
        <f>'Grid_Requirement'!Z10</f>
        <v/>
      </c>
      <c r="AC336">
        <f>'Grid_Requirement'!AA10</f>
        <v/>
      </c>
      <c r="AD336">
        <f>'Grid_Requirement'!AB10</f>
        <v/>
      </c>
      <c r="AE336">
        <f>'Grid_Requirement'!AC10</f>
        <v/>
      </c>
      <c r="AF336">
        <f>'Grid_Requirement'!AD10</f>
        <v/>
      </c>
      <c r="AG336">
        <f>'Grid_Requirement'!AE10</f>
        <v/>
      </c>
      <c r="AH336">
        <f>'Grid_Requirement'!AF10</f>
        <v/>
      </c>
      <c r="AI336">
        <f>'Grid_Requirement'!AG10</f>
        <v/>
      </c>
      <c r="AJ336">
        <f>'Grid_Requirement'!AH10</f>
        <v/>
      </c>
      <c r="AK336">
        <f>'Grid_Requirement'!AI10</f>
        <v/>
      </c>
      <c r="AL336">
        <f>'Grid_Requirement'!AJ10</f>
        <v/>
      </c>
      <c r="AM336">
        <f>'Grid_Requirement'!AK10</f>
        <v/>
      </c>
      <c r="AN336">
        <f>'Grid_Requirement'!AL10</f>
        <v/>
      </c>
      <c r="AO336">
        <f>'Grid_Requirement'!AM10</f>
        <v/>
      </c>
      <c r="AP336">
        <f>'Grid_Requirement'!AN10</f>
        <v/>
      </c>
      <c r="AQ336">
        <f>'Grid_Requirement'!AO10</f>
        <v/>
      </c>
      <c r="AR336">
        <f>'Grid_Requirement'!AP10</f>
        <v/>
      </c>
      <c r="AS336">
        <f>'Grid_Requirement'!AQ10</f>
        <v/>
      </c>
      <c r="AT336">
        <f>'Grid_Requirement'!AR10</f>
        <v/>
      </c>
      <c r="AU336">
        <f>'Grid_Requirement'!AS10</f>
        <v/>
      </c>
      <c r="AV336">
        <f>'Grid_Requirement'!AT10</f>
        <v/>
      </c>
      <c r="AW336">
        <f>'Grid_Requirement'!AU10</f>
        <v/>
      </c>
      <c r="AX336">
        <f>'Grid_Requirement'!AV10</f>
        <v/>
      </c>
      <c r="AY336">
        <f>'Grid_Requirement'!AW10</f>
        <v/>
      </c>
      <c r="AZ336">
        <f>'Grid_Requirement'!AX10</f>
        <v/>
      </c>
      <c r="BA336">
        <f>'Grid_Requirement'!AY10</f>
        <v/>
      </c>
      <c r="BB336">
        <f>'Grid_Requirement'!AZ10</f>
        <v/>
      </c>
      <c r="BC336">
        <f>'Grid_Requirement'!BA10</f>
        <v/>
      </c>
      <c r="BD336">
        <f>'Grid_Requirement'!BB10</f>
        <v/>
      </c>
      <c r="BE336">
        <f>'Grid_Requirement'!BC10</f>
        <v/>
      </c>
      <c r="BF336">
        <f>'Grid_Requirement'!BD10</f>
        <v/>
      </c>
      <c r="BG336">
        <f>'Grid_Requirement'!BE10</f>
        <v/>
      </c>
      <c r="BH336">
        <f>'Grid_Requirement'!BF10</f>
        <v/>
      </c>
      <c r="BI336">
        <f>'Grid_Requirement'!BG10</f>
        <v/>
      </c>
      <c r="BJ336">
        <f>'Grid_Requirement'!BH10</f>
        <v/>
      </c>
      <c r="BK336">
        <f>'Grid_Requirement'!BI10</f>
        <v/>
      </c>
      <c r="BL336">
        <f>'Grid_Requirement'!BJ10</f>
        <v/>
      </c>
      <c r="BM336">
        <f>'Grid_Requirement'!BK10</f>
        <v/>
      </c>
      <c r="BN336">
        <f>'Grid_Requirement'!BL10</f>
        <v/>
      </c>
      <c r="BO336">
        <f>'Grid_Requirement'!BM10</f>
        <v/>
      </c>
      <c r="BP336">
        <f>'Grid_Requirement'!BN10</f>
        <v/>
      </c>
      <c r="BQ336">
        <f>'Grid_Requirement'!BO10</f>
        <v/>
      </c>
      <c r="BR336">
        <f>'Grid_Requirement'!BP10</f>
        <v/>
      </c>
      <c r="BS336">
        <f>'Grid_Requirement'!BQ10</f>
        <v/>
      </c>
      <c r="BT336">
        <f>'Grid_Requirement'!BR10</f>
        <v/>
      </c>
      <c r="BU336">
        <f>'Grid_Requirement'!BS10</f>
        <v/>
      </c>
      <c r="BV336">
        <f>'Grid_Requirement'!BT10</f>
        <v/>
      </c>
      <c r="BW336">
        <f>'Grid_Requirement'!BU10</f>
        <v/>
      </c>
      <c r="BX336">
        <f>'Grid_Requirement'!BV10</f>
        <v/>
      </c>
      <c r="BY336">
        <f>'Grid_Requirement'!BW10</f>
        <v/>
      </c>
      <c r="BZ336">
        <f>'Grid_Requirement'!BX10</f>
        <v/>
      </c>
      <c r="CA336">
        <f>'Grid_Requirement'!BY10</f>
        <v/>
      </c>
      <c r="CB336">
        <f>'Grid_Requirement'!BZ10</f>
        <v/>
      </c>
      <c r="CC336">
        <f>'Grid_Requirement'!CA10</f>
        <v/>
      </c>
      <c r="CD336">
        <f>'Grid_Requirement'!CB10</f>
        <v/>
      </c>
      <c r="CE336">
        <f>'Grid_Requirement'!CC10</f>
        <v/>
      </c>
      <c r="CF336">
        <f>'Grid_Requirement'!CD10</f>
        <v/>
      </c>
      <c r="CG336">
        <f>'Grid_Requirement'!CE10</f>
        <v/>
      </c>
      <c r="CH336">
        <f>'Grid_Requirement'!CF10</f>
        <v/>
      </c>
      <c r="CI336">
        <f>'Grid_Requirement'!CG10</f>
        <v/>
      </c>
      <c r="CJ336">
        <f>'Grid_Requirement'!CH10</f>
        <v/>
      </c>
      <c r="CK336">
        <f>'Grid_Requirement'!CI10</f>
        <v/>
      </c>
      <c r="CL336">
        <f>'Grid_Requirement'!CJ10</f>
        <v/>
      </c>
      <c r="CM336">
        <f>'Grid_Requirement'!CK10</f>
        <v/>
      </c>
      <c r="CN336">
        <f>'Grid_Requirement'!CL10</f>
        <v/>
      </c>
      <c r="CO336">
        <f>'Grid_Requirement'!CM10</f>
        <v/>
      </c>
      <c r="CP336">
        <f>'Grid_Requirement'!CN10</f>
        <v/>
      </c>
      <c r="CQ336">
        <f>'Grid_Requirement'!CO10</f>
        <v/>
      </c>
      <c r="CR336">
        <f>'Grid_Requirement'!CP10</f>
        <v/>
      </c>
      <c r="CS336">
        <f>'Grid_Requirement'!CQ10</f>
        <v/>
      </c>
      <c r="CT336">
        <f>'Grid_Requirement'!CR10</f>
        <v/>
      </c>
      <c r="CU336">
        <f>'Grid_Requirement'!CS10</f>
        <v/>
      </c>
      <c r="CV336">
        <f>'Grid_Requirement'!CT10</f>
        <v/>
      </c>
      <c r="CW336">
        <f>'Grid_Requirement'!CU10</f>
        <v/>
      </c>
      <c r="CX336">
        <f>'Grid_Requirement'!CV10</f>
        <v/>
      </c>
      <c r="CY336">
        <f>'Grid_Requirement'!CW10</f>
        <v/>
      </c>
      <c r="CZ336">
        <f>'Grid_Requirement'!CX10</f>
        <v/>
      </c>
      <c r="DA336">
        <f>'Grid_Requirement'!CY10</f>
        <v/>
      </c>
      <c r="DB336">
        <f>'Grid_Requirement'!CZ10</f>
        <v/>
      </c>
      <c r="DC336">
        <f>'Grid_Requirement'!DA10</f>
        <v/>
      </c>
    </row>
    <row r="337">
      <c r="B337" t="inlineStr">
        <is>
          <t>TTAF在庫(実績,kg)</t>
        </is>
      </c>
      <c r="D337">
        <f>'T_TTAFStock'!B14</f>
        <v/>
      </c>
      <c r="E337">
        <f>'T_TTAFStock'!C14</f>
        <v/>
      </c>
      <c r="F337">
        <f>'T_TTAFStock'!D14</f>
        <v/>
      </c>
      <c r="G337">
        <f>'T_TTAFStock'!E14</f>
        <v/>
      </c>
      <c r="H337">
        <f>'T_TTAFStock'!F14</f>
        <v/>
      </c>
      <c r="I337">
        <f>'T_TTAFStock'!G14</f>
        <v/>
      </c>
      <c r="J337">
        <f>'T_TTAFStock'!H14</f>
        <v/>
      </c>
      <c r="K337">
        <f>'T_TTAFStock'!I14</f>
        <v/>
      </c>
      <c r="L337">
        <f>'T_TTAFStock'!J14</f>
        <v/>
      </c>
      <c r="M337">
        <f>'T_TTAFStock'!K14</f>
        <v/>
      </c>
      <c r="N337">
        <f>'T_TTAFStock'!L14</f>
        <v/>
      </c>
      <c r="O337">
        <f>'T_TTAFStock'!M14</f>
        <v/>
      </c>
      <c r="P337">
        <f>'T_TTAFStock'!N14</f>
        <v/>
      </c>
      <c r="Q337">
        <f>'T_TTAFStock'!O14</f>
        <v/>
      </c>
      <c r="R337">
        <f>'T_TTAFStock'!P14</f>
        <v/>
      </c>
      <c r="S337">
        <f>'T_TTAFStock'!Q14</f>
        <v/>
      </c>
      <c r="T337">
        <f>'T_TTAFStock'!R14</f>
        <v/>
      </c>
      <c r="U337">
        <f>'T_TTAFStock'!S14</f>
        <v/>
      </c>
      <c r="V337">
        <f>'T_TTAFStock'!T14</f>
        <v/>
      </c>
      <c r="W337">
        <f>'T_TTAFStock'!U14</f>
        <v/>
      </c>
      <c r="X337">
        <f>'T_TTAFStock'!V14</f>
        <v/>
      </c>
      <c r="Y337">
        <f>'T_TTAFStock'!W14</f>
        <v/>
      </c>
      <c r="Z337">
        <f>'T_TTAFStock'!X14</f>
        <v/>
      </c>
      <c r="AA337">
        <f>'T_TTAFStock'!Y14</f>
        <v/>
      </c>
      <c r="AB337">
        <f>'T_TTAFStock'!Z14</f>
        <v/>
      </c>
      <c r="AC337">
        <f>'T_TTAFStock'!AA14</f>
        <v/>
      </c>
      <c r="AD337">
        <f>'T_TTAFStock'!AB14</f>
        <v/>
      </c>
      <c r="AE337">
        <f>'T_TTAFStock'!AC14</f>
        <v/>
      </c>
      <c r="AF337">
        <f>'T_TTAFStock'!AD14</f>
        <v/>
      </c>
      <c r="AG337">
        <f>'T_TTAFStock'!AE14</f>
        <v/>
      </c>
      <c r="AH337">
        <f>'T_TTAFStock'!AF14</f>
        <v/>
      </c>
      <c r="AI337">
        <f>'T_TTAFStock'!AG14</f>
        <v/>
      </c>
      <c r="AJ337">
        <f>'T_TTAFStock'!AH14</f>
        <v/>
      </c>
      <c r="AK337">
        <f>'T_TTAFStock'!AI14</f>
        <v/>
      </c>
      <c r="AL337">
        <f>'T_TTAFStock'!AJ14</f>
        <v/>
      </c>
      <c r="AM337">
        <f>'T_TTAFStock'!AK14</f>
        <v/>
      </c>
      <c r="AN337">
        <f>'T_TTAFStock'!AL14</f>
        <v/>
      </c>
      <c r="AO337">
        <f>'T_TTAFStock'!AM14</f>
        <v/>
      </c>
      <c r="AP337">
        <f>'T_TTAFStock'!AN14</f>
        <v/>
      </c>
      <c r="AQ337">
        <f>'T_TTAFStock'!AO14</f>
        <v/>
      </c>
      <c r="AR337">
        <f>'T_TTAFStock'!AP14</f>
        <v/>
      </c>
      <c r="AS337">
        <f>'T_TTAFStock'!AQ14</f>
        <v/>
      </c>
      <c r="AT337">
        <f>'T_TTAFStock'!AR14</f>
        <v/>
      </c>
      <c r="AU337">
        <f>'T_TTAFStock'!AS14</f>
        <v/>
      </c>
      <c r="AV337">
        <f>'T_TTAFStock'!AT14</f>
        <v/>
      </c>
      <c r="AW337">
        <f>'T_TTAFStock'!AU14</f>
        <v/>
      </c>
      <c r="AX337">
        <f>'T_TTAFStock'!AV14</f>
        <v/>
      </c>
      <c r="AY337">
        <f>'T_TTAFStock'!AW14</f>
        <v/>
      </c>
      <c r="AZ337">
        <f>'T_TTAFStock'!AX14</f>
        <v/>
      </c>
      <c r="BA337">
        <f>'T_TTAFStock'!AY14</f>
        <v/>
      </c>
      <c r="BB337">
        <f>'T_TTAFStock'!AZ14</f>
        <v/>
      </c>
      <c r="BC337">
        <f>'T_TTAFStock'!BA14</f>
        <v/>
      </c>
      <c r="BD337">
        <f>'T_TTAFStock'!BB14</f>
        <v/>
      </c>
      <c r="BE337">
        <f>'T_TTAFStock'!BC14</f>
        <v/>
      </c>
      <c r="BF337">
        <f>'T_TTAFStock'!BD14</f>
        <v/>
      </c>
      <c r="BG337">
        <f>'T_TTAFStock'!BE14</f>
        <v/>
      </c>
      <c r="BH337">
        <f>'T_TTAFStock'!BF14</f>
        <v/>
      </c>
      <c r="BI337">
        <f>'T_TTAFStock'!BG14</f>
        <v/>
      </c>
      <c r="BJ337">
        <f>'T_TTAFStock'!BH14</f>
        <v/>
      </c>
      <c r="BK337">
        <f>'T_TTAFStock'!BI14</f>
        <v/>
      </c>
      <c r="BL337">
        <f>'T_TTAFStock'!BJ14</f>
        <v/>
      </c>
      <c r="BM337">
        <f>'T_TTAFStock'!BK14</f>
        <v/>
      </c>
      <c r="BN337">
        <f>'T_TTAFStock'!BL14</f>
        <v/>
      </c>
      <c r="BO337">
        <f>'T_TTAFStock'!BM14</f>
        <v/>
      </c>
      <c r="BP337">
        <f>'T_TTAFStock'!BN14</f>
        <v/>
      </c>
      <c r="BQ337">
        <f>'T_TTAFStock'!BO14</f>
        <v/>
      </c>
      <c r="BR337">
        <f>'T_TTAFStock'!BP14</f>
        <v/>
      </c>
      <c r="BS337">
        <f>'T_TTAFStock'!BQ14</f>
        <v/>
      </c>
      <c r="BT337">
        <f>'T_TTAFStock'!BR14</f>
        <v/>
      </c>
      <c r="BU337">
        <f>'T_TTAFStock'!BS14</f>
        <v/>
      </c>
      <c r="BV337">
        <f>'T_TTAFStock'!BT14</f>
        <v/>
      </c>
      <c r="BW337">
        <f>'T_TTAFStock'!BU14</f>
        <v/>
      </c>
      <c r="BX337">
        <f>'T_TTAFStock'!BV14</f>
        <v/>
      </c>
      <c r="BY337">
        <f>'T_TTAFStock'!BW14</f>
        <v/>
      </c>
      <c r="BZ337">
        <f>'T_TTAFStock'!BX14</f>
        <v/>
      </c>
      <c r="CA337">
        <f>'T_TTAFStock'!BY14</f>
        <v/>
      </c>
      <c r="CB337">
        <f>'T_TTAFStock'!BZ14</f>
        <v/>
      </c>
      <c r="CC337">
        <f>'T_TTAFStock'!CA14</f>
        <v/>
      </c>
      <c r="CD337">
        <f>'T_TTAFStock'!CB14</f>
        <v/>
      </c>
      <c r="CE337">
        <f>'T_TTAFStock'!CC14</f>
        <v/>
      </c>
      <c r="CF337">
        <f>'T_TTAFStock'!CD14</f>
        <v/>
      </c>
      <c r="CG337">
        <f>'T_TTAFStock'!CE14</f>
        <v/>
      </c>
      <c r="CH337">
        <f>'T_TTAFStock'!CF14</f>
        <v/>
      </c>
      <c r="CI337">
        <f>'T_TTAFStock'!CG14</f>
        <v/>
      </c>
      <c r="CJ337">
        <f>'T_TTAFStock'!CH14</f>
        <v/>
      </c>
      <c r="CK337">
        <f>'T_TTAFStock'!CI14</f>
        <v/>
      </c>
      <c r="CL337">
        <f>'T_TTAFStock'!CJ14</f>
        <v/>
      </c>
      <c r="CM337">
        <f>'T_TTAFStock'!CK14</f>
        <v/>
      </c>
      <c r="CN337">
        <f>'T_TTAFStock'!CL14</f>
        <v/>
      </c>
      <c r="CO337">
        <f>'T_TTAFStock'!CM14</f>
        <v/>
      </c>
      <c r="CP337">
        <f>'T_TTAFStock'!CN14</f>
        <v/>
      </c>
      <c r="CQ337">
        <f>'T_TTAFStock'!CO14</f>
        <v/>
      </c>
      <c r="CR337">
        <f>'T_TTAFStock'!CP14</f>
        <v/>
      </c>
      <c r="CS337">
        <f>'T_TTAFStock'!CQ14</f>
        <v/>
      </c>
      <c r="CT337">
        <f>'T_TTAFStock'!CR14</f>
        <v/>
      </c>
      <c r="CU337">
        <f>'T_TTAFStock'!CS14</f>
        <v/>
      </c>
      <c r="CV337">
        <f>'T_TTAFStock'!CT14</f>
        <v/>
      </c>
      <c r="CW337">
        <f>'T_TTAFStock'!CU14</f>
        <v/>
      </c>
      <c r="CX337">
        <f>'T_TTAFStock'!CV14</f>
        <v/>
      </c>
      <c r="CY337">
        <f>'T_TTAFStock'!CW14</f>
        <v/>
      </c>
      <c r="CZ337">
        <f>'T_TTAFStock'!CX14</f>
        <v/>
      </c>
      <c r="DA337">
        <f>'T_TTAFStock'!CY14</f>
        <v/>
      </c>
      <c r="DB337">
        <f>'T_TTAFStock'!CZ14</f>
        <v/>
      </c>
      <c r="DC337">
        <f>'T_TTAFStock'!DA14</f>
        <v/>
      </c>
    </row>
    <row r="338">
      <c r="B338" t="inlineStr">
        <is>
          <t>自社在庫(実績,kg)</t>
        </is>
      </c>
      <c r="D338">
        <f>'T_SelfStock'!B14</f>
        <v/>
      </c>
      <c r="E338">
        <f>'T_SelfStock'!C14</f>
        <v/>
      </c>
      <c r="F338">
        <f>'T_SelfStock'!D14</f>
        <v/>
      </c>
      <c r="G338">
        <f>'T_SelfStock'!E14</f>
        <v/>
      </c>
      <c r="H338">
        <f>'T_SelfStock'!F14</f>
        <v/>
      </c>
      <c r="I338">
        <f>'T_SelfStock'!G14</f>
        <v/>
      </c>
      <c r="J338">
        <f>'T_SelfStock'!H14</f>
        <v/>
      </c>
      <c r="K338">
        <f>'T_SelfStock'!I14</f>
        <v/>
      </c>
      <c r="L338">
        <f>'T_SelfStock'!J14</f>
        <v/>
      </c>
      <c r="M338">
        <f>'T_SelfStock'!K14</f>
        <v/>
      </c>
      <c r="N338">
        <f>'T_SelfStock'!L14</f>
        <v/>
      </c>
      <c r="O338">
        <f>'T_SelfStock'!M14</f>
        <v/>
      </c>
      <c r="P338">
        <f>'T_SelfStock'!N14</f>
        <v/>
      </c>
      <c r="Q338">
        <f>'T_SelfStock'!O14</f>
        <v/>
      </c>
      <c r="R338">
        <f>'T_SelfStock'!P14</f>
        <v/>
      </c>
      <c r="S338">
        <f>'T_SelfStock'!Q14</f>
        <v/>
      </c>
      <c r="T338">
        <f>'T_SelfStock'!R14</f>
        <v/>
      </c>
      <c r="U338">
        <f>'T_SelfStock'!S14</f>
        <v/>
      </c>
      <c r="V338">
        <f>'T_SelfStock'!T14</f>
        <v/>
      </c>
      <c r="W338">
        <f>'T_SelfStock'!U14</f>
        <v/>
      </c>
      <c r="X338">
        <f>'T_SelfStock'!V14</f>
        <v/>
      </c>
      <c r="Y338">
        <f>'T_SelfStock'!W14</f>
        <v/>
      </c>
      <c r="Z338">
        <f>'T_SelfStock'!X14</f>
        <v/>
      </c>
      <c r="AA338">
        <f>'T_SelfStock'!Y14</f>
        <v/>
      </c>
      <c r="AB338">
        <f>'T_SelfStock'!Z14</f>
        <v/>
      </c>
      <c r="AC338">
        <f>'T_SelfStock'!AA14</f>
        <v/>
      </c>
      <c r="AD338">
        <f>'T_SelfStock'!AB14</f>
        <v/>
      </c>
      <c r="AE338">
        <f>'T_SelfStock'!AC14</f>
        <v/>
      </c>
      <c r="AF338">
        <f>'T_SelfStock'!AD14</f>
        <v/>
      </c>
      <c r="AG338">
        <f>'T_SelfStock'!AE14</f>
        <v/>
      </c>
      <c r="AH338">
        <f>'T_SelfStock'!AF14</f>
        <v/>
      </c>
      <c r="AI338">
        <f>'T_SelfStock'!AG14</f>
        <v/>
      </c>
      <c r="AJ338">
        <f>'T_SelfStock'!AH14</f>
        <v/>
      </c>
      <c r="AK338">
        <f>'T_SelfStock'!AI14</f>
        <v/>
      </c>
      <c r="AL338">
        <f>'T_SelfStock'!AJ14</f>
        <v/>
      </c>
      <c r="AM338">
        <f>'T_SelfStock'!AK14</f>
        <v/>
      </c>
      <c r="AN338">
        <f>'T_SelfStock'!AL14</f>
        <v/>
      </c>
      <c r="AO338">
        <f>'T_SelfStock'!AM14</f>
        <v/>
      </c>
      <c r="AP338">
        <f>'T_SelfStock'!AN14</f>
        <v/>
      </c>
      <c r="AQ338">
        <f>'T_SelfStock'!AO14</f>
        <v/>
      </c>
      <c r="AR338">
        <f>'T_SelfStock'!AP14</f>
        <v/>
      </c>
      <c r="AS338">
        <f>'T_SelfStock'!AQ14</f>
        <v/>
      </c>
      <c r="AT338">
        <f>'T_SelfStock'!AR14</f>
        <v/>
      </c>
      <c r="AU338">
        <f>'T_SelfStock'!AS14</f>
        <v/>
      </c>
      <c r="AV338">
        <f>'T_SelfStock'!AT14</f>
        <v/>
      </c>
      <c r="AW338">
        <f>'T_SelfStock'!AU14</f>
        <v/>
      </c>
      <c r="AX338">
        <f>'T_SelfStock'!AV14</f>
        <v/>
      </c>
      <c r="AY338">
        <f>'T_SelfStock'!AW14</f>
        <v/>
      </c>
      <c r="AZ338">
        <f>'T_SelfStock'!AX14</f>
        <v/>
      </c>
      <c r="BA338">
        <f>'T_SelfStock'!AY14</f>
        <v/>
      </c>
      <c r="BB338">
        <f>'T_SelfStock'!AZ14</f>
        <v/>
      </c>
      <c r="BC338">
        <f>'T_SelfStock'!BA14</f>
        <v/>
      </c>
      <c r="BD338">
        <f>'T_SelfStock'!BB14</f>
        <v/>
      </c>
      <c r="BE338">
        <f>'T_SelfStock'!BC14</f>
        <v/>
      </c>
      <c r="BF338">
        <f>'T_SelfStock'!BD14</f>
        <v/>
      </c>
      <c r="BG338">
        <f>'T_SelfStock'!BE14</f>
        <v/>
      </c>
      <c r="BH338">
        <f>'T_SelfStock'!BF14</f>
        <v/>
      </c>
      <c r="BI338">
        <f>'T_SelfStock'!BG14</f>
        <v/>
      </c>
      <c r="BJ338">
        <f>'T_SelfStock'!BH14</f>
        <v/>
      </c>
      <c r="BK338">
        <f>'T_SelfStock'!BI14</f>
        <v/>
      </c>
      <c r="BL338">
        <f>'T_SelfStock'!BJ14</f>
        <v/>
      </c>
      <c r="BM338">
        <f>'T_SelfStock'!BK14</f>
        <v/>
      </c>
      <c r="BN338">
        <f>'T_SelfStock'!BL14</f>
        <v/>
      </c>
      <c r="BO338">
        <f>'T_SelfStock'!BM14</f>
        <v/>
      </c>
      <c r="BP338">
        <f>'T_SelfStock'!BN14</f>
        <v/>
      </c>
      <c r="BQ338">
        <f>'T_SelfStock'!BO14</f>
        <v/>
      </c>
      <c r="BR338">
        <f>'T_SelfStock'!BP14</f>
        <v/>
      </c>
      <c r="BS338">
        <f>'T_SelfStock'!BQ14</f>
        <v/>
      </c>
      <c r="BT338">
        <f>'T_SelfStock'!BR14</f>
        <v/>
      </c>
      <c r="BU338">
        <f>'T_SelfStock'!BS14</f>
        <v/>
      </c>
      <c r="BV338">
        <f>'T_SelfStock'!BT14</f>
        <v/>
      </c>
      <c r="BW338">
        <f>'T_SelfStock'!BU14</f>
        <v/>
      </c>
      <c r="BX338">
        <f>'T_SelfStock'!BV14</f>
        <v/>
      </c>
      <c r="BY338">
        <f>'T_SelfStock'!BW14</f>
        <v/>
      </c>
      <c r="BZ338">
        <f>'T_SelfStock'!BX14</f>
        <v/>
      </c>
      <c r="CA338">
        <f>'T_SelfStock'!BY14</f>
        <v/>
      </c>
      <c r="CB338">
        <f>'T_SelfStock'!BZ14</f>
        <v/>
      </c>
      <c r="CC338">
        <f>'T_SelfStock'!CA14</f>
        <v/>
      </c>
      <c r="CD338">
        <f>'T_SelfStock'!CB14</f>
        <v/>
      </c>
      <c r="CE338">
        <f>'T_SelfStock'!CC14</f>
        <v/>
      </c>
      <c r="CF338">
        <f>'T_SelfStock'!CD14</f>
        <v/>
      </c>
      <c r="CG338">
        <f>'T_SelfStock'!CE14</f>
        <v/>
      </c>
      <c r="CH338">
        <f>'T_SelfStock'!CF14</f>
        <v/>
      </c>
      <c r="CI338">
        <f>'T_SelfStock'!CG14</f>
        <v/>
      </c>
      <c r="CJ338">
        <f>'T_SelfStock'!CH14</f>
        <v/>
      </c>
      <c r="CK338">
        <f>'T_SelfStock'!CI14</f>
        <v/>
      </c>
      <c r="CL338">
        <f>'T_SelfStock'!CJ14</f>
        <v/>
      </c>
      <c r="CM338">
        <f>'T_SelfStock'!CK14</f>
        <v/>
      </c>
      <c r="CN338">
        <f>'T_SelfStock'!CL14</f>
        <v/>
      </c>
      <c r="CO338">
        <f>'T_SelfStock'!CM14</f>
        <v/>
      </c>
      <c r="CP338">
        <f>'T_SelfStock'!CN14</f>
        <v/>
      </c>
      <c r="CQ338">
        <f>'T_SelfStock'!CO14</f>
        <v/>
      </c>
      <c r="CR338">
        <f>'T_SelfStock'!CP14</f>
        <v/>
      </c>
      <c r="CS338">
        <f>'T_SelfStock'!CQ14</f>
        <v/>
      </c>
      <c r="CT338">
        <f>'T_SelfStock'!CR14</f>
        <v/>
      </c>
      <c r="CU338">
        <f>'T_SelfStock'!CS14</f>
        <v/>
      </c>
      <c r="CV338">
        <f>'T_SelfStock'!CT14</f>
        <v/>
      </c>
      <c r="CW338">
        <f>'T_SelfStock'!CU14</f>
        <v/>
      </c>
      <c r="CX338">
        <f>'T_SelfStock'!CV14</f>
        <v/>
      </c>
      <c r="CY338">
        <f>'T_SelfStock'!CW14</f>
        <v/>
      </c>
      <c r="CZ338">
        <f>'T_SelfStock'!CX14</f>
        <v/>
      </c>
      <c r="DA338">
        <f>'T_SelfStock'!CY14</f>
        <v/>
      </c>
      <c r="DB338">
        <f>'T_SelfStock'!CZ14</f>
        <v/>
      </c>
      <c r="DC338">
        <f>'T_SelfStock'!DA14</f>
        <v/>
      </c>
    </row>
    <row r="339">
      <c r="B339" t="inlineStr">
        <is>
          <t>Order(発注予定,kg)</t>
        </is>
      </c>
      <c r="D339">
        <f>IF(SUMIFS(T_PlannedOrders[EffectiveQty],T_PlannedOrders[Part Name],$A221,T_PlannedOrders[WeekIndex],1)=0,"",SUMIFS(T_PlannedOrders[EffectiveQty],T_PlannedOrders[Part Name],$A221,T_PlannedOrders[WeekIndex],1)&amp;" ("&amp;TEXT(SUMPRODUCT(MAX((T_PlannedOrders[Part Name]=$A221)*(T_PlannedOrders[WeekIndex]=1)*(T_PlannedOrders[EffectiveQty]&gt;0)*T_PlannedOrders[Order_Month])),"m月")&amp;"発注)")</f>
        <v/>
      </c>
      <c r="E339">
        <f>IF(SUMIFS(T_PlannedOrders[EffectiveQty],T_PlannedOrders[Part Name],$A221,T_PlannedOrders[WeekIndex],2)=0,"",SUMIFS(T_PlannedOrders[EffectiveQty],T_PlannedOrders[Part Name],$A221,T_PlannedOrders[WeekIndex],2)&amp;" ("&amp;TEXT(SUMPRODUCT(MAX((T_PlannedOrders[Part Name]=$A221)*(T_PlannedOrders[WeekIndex]=2)*(T_PlannedOrders[EffectiveQty]&gt;0)*T_PlannedOrders[Order_Month])),"m月")&amp;"発注)")</f>
        <v/>
      </c>
      <c r="F339">
        <f>IF(SUMIFS(T_PlannedOrders[EffectiveQty],T_PlannedOrders[Part Name],$A221,T_PlannedOrders[WeekIndex],3)=0,"",SUMIFS(T_PlannedOrders[EffectiveQty],T_PlannedOrders[Part Name],$A221,T_PlannedOrders[WeekIndex],3)&amp;" ("&amp;TEXT(SUMPRODUCT(MAX((T_PlannedOrders[Part Name]=$A221)*(T_PlannedOrders[WeekIndex]=3)*(T_PlannedOrders[EffectiveQty]&gt;0)*T_PlannedOrders[Order_Month])),"m月")&amp;"発注)")</f>
        <v/>
      </c>
      <c r="G339">
        <f>IF(SUMIFS(T_PlannedOrders[EffectiveQty],T_PlannedOrders[Part Name],$A221,T_PlannedOrders[WeekIndex],4)=0,"",SUMIFS(T_PlannedOrders[EffectiveQty],T_PlannedOrders[Part Name],$A221,T_PlannedOrders[WeekIndex],4)&amp;" ("&amp;TEXT(SUMPRODUCT(MAX((T_PlannedOrders[Part Name]=$A221)*(T_PlannedOrders[WeekIndex]=4)*(T_PlannedOrders[EffectiveQty]&gt;0)*T_PlannedOrders[Order_Month])),"m月")&amp;"発注)")</f>
        <v/>
      </c>
      <c r="H339">
        <f>IF(SUMIFS(T_PlannedOrders[EffectiveQty],T_PlannedOrders[Part Name],$A221,T_PlannedOrders[WeekIndex],5)=0,"",SUMIFS(T_PlannedOrders[EffectiveQty],T_PlannedOrders[Part Name],$A221,T_PlannedOrders[WeekIndex],5)&amp;" ("&amp;TEXT(SUMPRODUCT(MAX((T_PlannedOrders[Part Name]=$A221)*(T_PlannedOrders[WeekIndex]=5)*(T_PlannedOrders[EffectiveQty]&gt;0)*T_PlannedOrders[Order_Month])),"m月")&amp;"発注)")</f>
        <v/>
      </c>
      <c r="I339">
        <f>IF(SUMIFS(T_PlannedOrders[EffectiveQty],T_PlannedOrders[Part Name],$A221,T_PlannedOrders[WeekIndex],6)=0,"",SUMIFS(T_PlannedOrders[EffectiveQty],T_PlannedOrders[Part Name],$A221,T_PlannedOrders[WeekIndex],6)&amp;" ("&amp;TEXT(SUMPRODUCT(MAX((T_PlannedOrders[Part Name]=$A221)*(T_PlannedOrders[WeekIndex]=6)*(T_PlannedOrders[EffectiveQty]&gt;0)*T_PlannedOrders[Order_Month])),"m月")&amp;"発注)")</f>
        <v/>
      </c>
      <c r="J339">
        <f>IF(SUMIFS(T_PlannedOrders[EffectiveQty],T_PlannedOrders[Part Name],$A221,T_PlannedOrders[WeekIndex],7)=0,"",SUMIFS(T_PlannedOrders[EffectiveQty],T_PlannedOrders[Part Name],$A221,T_PlannedOrders[WeekIndex],7)&amp;" ("&amp;TEXT(SUMPRODUCT(MAX((T_PlannedOrders[Part Name]=$A221)*(T_PlannedOrders[WeekIndex]=7)*(T_PlannedOrders[EffectiveQty]&gt;0)*T_PlannedOrders[Order_Month])),"m月")&amp;"発注)")</f>
        <v/>
      </c>
      <c r="K339">
        <f>IF(SUMIFS(T_PlannedOrders[EffectiveQty],T_PlannedOrders[Part Name],$A221,T_PlannedOrders[WeekIndex],8)=0,"",SUMIFS(T_PlannedOrders[EffectiveQty],T_PlannedOrders[Part Name],$A221,T_PlannedOrders[WeekIndex],8)&amp;" ("&amp;TEXT(SUMPRODUCT(MAX((T_PlannedOrders[Part Name]=$A221)*(T_PlannedOrders[WeekIndex]=8)*(T_PlannedOrders[EffectiveQty]&gt;0)*T_PlannedOrders[Order_Month])),"m月")&amp;"発注)")</f>
        <v/>
      </c>
      <c r="L339">
        <f>IF(SUMIFS(T_PlannedOrders[EffectiveQty],T_PlannedOrders[Part Name],$A221,T_PlannedOrders[WeekIndex],9)=0,"",SUMIFS(T_PlannedOrders[EffectiveQty],T_PlannedOrders[Part Name],$A221,T_PlannedOrders[WeekIndex],9)&amp;" ("&amp;TEXT(SUMPRODUCT(MAX((T_PlannedOrders[Part Name]=$A221)*(T_PlannedOrders[WeekIndex]=9)*(T_PlannedOrders[EffectiveQty]&gt;0)*T_PlannedOrders[Order_Month])),"m月")&amp;"発注)")</f>
        <v/>
      </c>
      <c r="M339">
        <f>IF(SUMIFS(T_PlannedOrders[EffectiveQty],T_PlannedOrders[Part Name],$A221,T_PlannedOrders[WeekIndex],10)=0,"",SUMIFS(T_PlannedOrders[EffectiveQty],T_PlannedOrders[Part Name],$A221,T_PlannedOrders[WeekIndex],10)&amp;" ("&amp;TEXT(SUMPRODUCT(MAX((T_PlannedOrders[Part Name]=$A221)*(T_PlannedOrders[WeekIndex]=10)*(T_PlannedOrders[EffectiveQty]&gt;0)*T_PlannedOrders[Order_Month])),"m月")&amp;"発注)")</f>
        <v/>
      </c>
      <c r="N339">
        <f>IF(SUMIFS(T_PlannedOrders[EffectiveQty],T_PlannedOrders[Part Name],$A221,T_PlannedOrders[WeekIndex],11)=0,"",SUMIFS(T_PlannedOrders[EffectiveQty],T_PlannedOrders[Part Name],$A221,T_PlannedOrders[WeekIndex],11)&amp;" ("&amp;TEXT(SUMPRODUCT(MAX((T_PlannedOrders[Part Name]=$A221)*(T_PlannedOrders[WeekIndex]=11)*(T_PlannedOrders[EffectiveQty]&gt;0)*T_PlannedOrders[Order_Month])),"m月")&amp;"発注)")</f>
        <v/>
      </c>
      <c r="O339">
        <f>IF(SUMIFS(T_PlannedOrders[EffectiveQty],T_PlannedOrders[Part Name],$A221,T_PlannedOrders[WeekIndex],12)=0,"",SUMIFS(T_PlannedOrders[EffectiveQty],T_PlannedOrders[Part Name],$A221,T_PlannedOrders[WeekIndex],12)&amp;" ("&amp;TEXT(SUMPRODUCT(MAX((T_PlannedOrders[Part Name]=$A221)*(T_PlannedOrders[WeekIndex]=12)*(T_PlannedOrders[EffectiveQty]&gt;0)*T_PlannedOrders[Order_Month])),"m月")&amp;"発注)")</f>
        <v/>
      </c>
      <c r="P339">
        <f>IF(SUMIFS(T_PlannedOrders[EffectiveQty],T_PlannedOrders[Part Name],$A221,T_PlannedOrders[WeekIndex],13)=0,"",SUMIFS(T_PlannedOrders[EffectiveQty],T_PlannedOrders[Part Name],$A221,T_PlannedOrders[WeekIndex],13)&amp;" ("&amp;TEXT(SUMPRODUCT(MAX((T_PlannedOrders[Part Name]=$A221)*(T_PlannedOrders[WeekIndex]=13)*(T_PlannedOrders[EffectiveQty]&gt;0)*T_PlannedOrders[Order_Month])),"m月")&amp;"発注)")</f>
        <v/>
      </c>
      <c r="Q339">
        <f>IF(SUMIFS(T_PlannedOrders[EffectiveQty],T_PlannedOrders[Part Name],$A221,T_PlannedOrders[WeekIndex],14)=0,"",SUMIFS(T_PlannedOrders[EffectiveQty],T_PlannedOrders[Part Name],$A221,T_PlannedOrders[WeekIndex],14)&amp;" ("&amp;TEXT(SUMPRODUCT(MAX((T_PlannedOrders[Part Name]=$A221)*(T_PlannedOrders[WeekIndex]=14)*(T_PlannedOrders[EffectiveQty]&gt;0)*T_PlannedOrders[Order_Month])),"m月")&amp;"発注)")</f>
        <v/>
      </c>
      <c r="R339">
        <f>IF(SUMIFS(T_PlannedOrders[EffectiveQty],T_PlannedOrders[Part Name],$A221,T_PlannedOrders[WeekIndex],15)=0,"",SUMIFS(T_PlannedOrders[EffectiveQty],T_PlannedOrders[Part Name],$A221,T_PlannedOrders[WeekIndex],15)&amp;" ("&amp;TEXT(SUMPRODUCT(MAX((T_PlannedOrders[Part Name]=$A221)*(T_PlannedOrders[WeekIndex]=15)*(T_PlannedOrders[EffectiveQty]&gt;0)*T_PlannedOrders[Order_Month])),"m月")&amp;"発注)")</f>
        <v/>
      </c>
      <c r="S339">
        <f>IF(SUMIFS(T_PlannedOrders[EffectiveQty],T_PlannedOrders[Part Name],$A221,T_PlannedOrders[WeekIndex],16)=0,"",SUMIFS(T_PlannedOrders[EffectiveQty],T_PlannedOrders[Part Name],$A221,T_PlannedOrders[WeekIndex],16)&amp;" ("&amp;TEXT(SUMPRODUCT(MAX((T_PlannedOrders[Part Name]=$A221)*(T_PlannedOrders[WeekIndex]=16)*(T_PlannedOrders[EffectiveQty]&gt;0)*T_PlannedOrders[Order_Month])),"m月")&amp;"発注)")</f>
        <v/>
      </c>
      <c r="T339">
        <f>IF(SUMIFS(T_PlannedOrders[EffectiveQty],T_PlannedOrders[Part Name],$A221,T_PlannedOrders[WeekIndex],17)=0,"",SUMIFS(T_PlannedOrders[EffectiveQty],T_PlannedOrders[Part Name],$A221,T_PlannedOrders[WeekIndex],17)&amp;" ("&amp;TEXT(SUMPRODUCT(MAX((T_PlannedOrders[Part Name]=$A221)*(T_PlannedOrders[WeekIndex]=17)*(T_PlannedOrders[EffectiveQty]&gt;0)*T_PlannedOrders[Order_Month])),"m月")&amp;"発注)")</f>
        <v/>
      </c>
      <c r="U339">
        <f>IF(SUMIFS(T_PlannedOrders[EffectiveQty],T_PlannedOrders[Part Name],$A221,T_PlannedOrders[WeekIndex],18)=0,"",SUMIFS(T_PlannedOrders[EffectiveQty],T_PlannedOrders[Part Name],$A221,T_PlannedOrders[WeekIndex],18)&amp;" ("&amp;TEXT(SUMPRODUCT(MAX((T_PlannedOrders[Part Name]=$A221)*(T_PlannedOrders[WeekIndex]=18)*(T_PlannedOrders[EffectiveQty]&gt;0)*T_PlannedOrders[Order_Month])),"m月")&amp;"発注)")</f>
        <v/>
      </c>
      <c r="V339">
        <f>IF(SUMIFS(T_PlannedOrders[EffectiveQty],T_PlannedOrders[Part Name],$A221,T_PlannedOrders[WeekIndex],19)=0,"",SUMIFS(T_PlannedOrders[EffectiveQty],T_PlannedOrders[Part Name],$A221,T_PlannedOrders[WeekIndex],19)&amp;" ("&amp;TEXT(SUMPRODUCT(MAX((T_PlannedOrders[Part Name]=$A221)*(T_PlannedOrders[WeekIndex]=19)*(T_PlannedOrders[EffectiveQty]&gt;0)*T_PlannedOrders[Order_Month])),"m月")&amp;"発注)")</f>
        <v/>
      </c>
      <c r="W339">
        <f>IF(SUMIFS(T_PlannedOrders[EffectiveQty],T_PlannedOrders[Part Name],$A221,T_PlannedOrders[WeekIndex],20)=0,"",SUMIFS(T_PlannedOrders[EffectiveQty],T_PlannedOrders[Part Name],$A221,T_PlannedOrders[WeekIndex],20)&amp;" ("&amp;TEXT(SUMPRODUCT(MAX((T_PlannedOrders[Part Name]=$A221)*(T_PlannedOrders[WeekIndex]=20)*(T_PlannedOrders[EffectiveQty]&gt;0)*T_PlannedOrders[Order_Month])),"m月")&amp;"発注)")</f>
        <v/>
      </c>
      <c r="X339">
        <f>IF(SUMIFS(T_PlannedOrders[EffectiveQty],T_PlannedOrders[Part Name],$A221,T_PlannedOrders[WeekIndex],21)=0,"",SUMIFS(T_PlannedOrders[EffectiveQty],T_PlannedOrders[Part Name],$A221,T_PlannedOrders[WeekIndex],21)&amp;" ("&amp;TEXT(SUMPRODUCT(MAX((T_PlannedOrders[Part Name]=$A221)*(T_PlannedOrders[WeekIndex]=21)*(T_PlannedOrders[EffectiveQty]&gt;0)*T_PlannedOrders[Order_Month])),"m月")&amp;"発注)")</f>
        <v/>
      </c>
      <c r="Y339">
        <f>IF(SUMIFS(T_PlannedOrders[EffectiveQty],T_PlannedOrders[Part Name],$A221,T_PlannedOrders[WeekIndex],22)=0,"",SUMIFS(T_PlannedOrders[EffectiveQty],T_PlannedOrders[Part Name],$A221,T_PlannedOrders[WeekIndex],22)&amp;" ("&amp;TEXT(SUMPRODUCT(MAX((T_PlannedOrders[Part Name]=$A221)*(T_PlannedOrders[WeekIndex]=22)*(T_PlannedOrders[EffectiveQty]&gt;0)*T_PlannedOrders[Order_Month])),"m月")&amp;"発注)")</f>
        <v/>
      </c>
      <c r="Z339">
        <f>IF(SUMIFS(T_PlannedOrders[EffectiveQty],T_PlannedOrders[Part Name],$A221,T_PlannedOrders[WeekIndex],23)=0,"",SUMIFS(T_PlannedOrders[EffectiveQty],T_PlannedOrders[Part Name],$A221,T_PlannedOrders[WeekIndex],23)&amp;" ("&amp;TEXT(SUMPRODUCT(MAX((T_PlannedOrders[Part Name]=$A221)*(T_PlannedOrders[WeekIndex]=23)*(T_PlannedOrders[EffectiveQty]&gt;0)*T_PlannedOrders[Order_Month])),"m月")&amp;"発注)")</f>
        <v/>
      </c>
      <c r="AA339">
        <f>IF(SUMIFS(T_PlannedOrders[EffectiveQty],T_PlannedOrders[Part Name],$A221,T_PlannedOrders[WeekIndex],24)=0,"",SUMIFS(T_PlannedOrders[EffectiveQty],T_PlannedOrders[Part Name],$A221,T_PlannedOrders[WeekIndex],24)&amp;" ("&amp;TEXT(SUMPRODUCT(MAX((T_PlannedOrders[Part Name]=$A221)*(T_PlannedOrders[WeekIndex]=24)*(T_PlannedOrders[EffectiveQty]&gt;0)*T_PlannedOrders[Order_Month])),"m月")&amp;"発注)")</f>
        <v/>
      </c>
      <c r="AB339">
        <f>IF(SUMIFS(T_PlannedOrders[EffectiveQty],T_PlannedOrders[Part Name],$A221,T_PlannedOrders[WeekIndex],25)=0,"",SUMIFS(T_PlannedOrders[EffectiveQty],T_PlannedOrders[Part Name],$A221,T_PlannedOrders[WeekIndex],25)&amp;" ("&amp;TEXT(SUMPRODUCT(MAX((T_PlannedOrders[Part Name]=$A221)*(T_PlannedOrders[WeekIndex]=25)*(T_PlannedOrders[EffectiveQty]&gt;0)*T_PlannedOrders[Order_Month])),"m月")&amp;"発注)")</f>
        <v/>
      </c>
      <c r="AC339">
        <f>IF(SUMIFS(T_PlannedOrders[EffectiveQty],T_PlannedOrders[Part Name],$A221,T_PlannedOrders[WeekIndex],26)=0,"",SUMIFS(T_PlannedOrders[EffectiveQty],T_PlannedOrders[Part Name],$A221,T_PlannedOrders[WeekIndex],26)&amp;" ("&amp;TEXT(SUMPRODUCT(MAX((T_PlannedOrders[Part Name]=$A221)*(T_PlannedOrders[WeekIndex]=26)*(T_PlannedOrders[EffectiveQty]&gt;0)*T_PlannedOrders[Order_Month])),"m月")&amp;"発注)")</f>
        <v/>
      </c>
      <c r="AD339">
        <f>IF(SUMIFS(T_PlannedOrders[EffectiveQty],T_PlannedOrders[Part Name],$A221,T_PlannedOrders[WeekIndex],27)=0,"",SUMIFS(T_PlannedOrders[EffectiveQty],T_PlannedOrders[Part Name],$A221,T_PlannedOrders[WeekIndex],27)&amp;" ("&amp;TEXT(SUMPRODUCT(MAX((T_PlannedOrders[Part Name]=$A221)*(T_PlannedOrders[WeekIndex]=27)*(T_PlannedOrders[EffectiveQty]&gt;0)*T_PlannedOrders[Order_Month])),"m月")&amp;"発注)")</f>
        <v/>
      </c>
      <c r="AE339">
        <f>IF(SUMIFS(T_PlannedOrders[EffectiveQty],T_PlannedOrders[Part Name],$A221,T_PlannedOrders[WeekIndex],28)=0,"",SUMIFS(T_PlannedOrders[EffectiveQty],T_PlannedOrders[Part Name],$A221,T_PlannedOrders[WeekIndex],28)&amp;" ("&amp;TEXT(SUMPRODUCT(MAX((T_PlannedOrders[Part Name]=$A221)*(T_PlannedOrders[WeekIndex]=28)*(T_PlannedOrders[EffectiveQty]&gt;0)*T_PlannedOrders[Order_Month])),"m月")&amp;"発注)")</f>
        <v/>
      </c>
      <c r="AF339">
        <f>IF(SUMIFS(T_PlannedOrders[EffectiveQty],T_PlannedOrders[Part Name],$A221,T_PlannedOrders[WeekIndex],29)=0,"",SUMIFS(T_PlannedOrders[EffectiveQty],T_PlannedOrders[Part Name],$A221,T_PlannedOrders[WeekIndex],29)&amp;" ("&amp;TEXT(SUMPRODUCT(MAX((T_PlannedOrders[Part Name]=$A221)*(T_PlannedOrders[WeekIndex]=29)*(T_PlannedOrders[EffectiveQty]&gt;0)*T_PlannedOrders[Order_Month])),"m月")&amp;"発注)")</f>
        <v/>
      </c>
      <c r="AG339">
        <f>IF(SUMIFS(T_PlannedOrders[EffectiveQty],T_PlannedOrders[Part Name],$A221,T_PlannedOrders[WeekIndex],30)=0,"",SUMIFS(T_PlannedOrders[EffectiveQty],T_PlannedOrders[Part Name],$A221,T_PlannedOrders[WeekIndex],30)&amp;" ("&amp;TEXT(SUMPRODUCT(MAX((T_PlannedOrders[Part Name]=$A221)*(T_PlannedOrders[WeekIndex]=30)*(T_PlannedOrders[EffectiveQty]&gt;0)*T_PlannedOrders[Order_Month])),"m月")&amp;"発注)")</f>
        <v/>
      </c>
      <c r="AH339">
        <f>IF(SUMIFS(T_PlannedOrders[EffectiveQty],T_PlannedOrders[Part Name],$A221,T_PlannedOrders[WeekIndex],31)=0,"",SUMIFS(T_PlannedOrders[EffectiveQty],T_PlannedOrders[Part Name],$A221,T_PlannedOrders[WeekIndex],31)&amp;" ("&amp;TEXT(SUMPRODUCT(MAX((T_PlannedOrders[Part Name]=$A221)*(T_PlannedOrders[WeekIndex]=31)*(T_PlannedOrders[EffectiveQty]&gt;0)*T_PlannedOrders[Order_Month])),"m月")&amp;"発注)")</f>
        <v/>
      </c>
      <c r="AI339">
        <f>IF(SUMIFS(T_PlannedOrders[EffectiveQty],T_PlannedOrders[Part Name],$A221,T_PlannedOrders[WeekIndex],32)=0,"",SUMIFS(T_PlannedOrders[EffectiveQty],T_PlannedOrders[Part Name],$A221,T_PlannedOrders[WeekIndex],32)&amp;" ("&amp;TEXT(SUMPRODUCT(MAX((T_PlannedOrders[Part Name]=$A221)*(T_PlannedOrders[WeekIndex]=32)*(T_PlannedOrders[EffectiveQty]&gt;0)*T_PlannedOrders[Order_Month])),"m月")&amp;"発注)")</f>
        <v/>
      </c>
      <c r="AJ339">
        <f>IF(SUMIFS(T_PlannedOrders[EffectiveQty],T_PlannedOrders[Part Name],$A221,T_PlannedOrders[WeekIndex],33)=0,"",SUMIFS(T_PlannedOrders[EffectiveQty],T_PlannedOrders[Part Name],$A221,T_PlannedOrders[WeekIndex],33)&amp;" ("&amp;TEXT(SUMPRODUCT(MAX((T_PlannedOrders[Part Name]=$A221)*(T_PlannedOrders[WeekIndex]=33)*(T_PlannedOrders[EffectiveQty]&gt;0)*T_PlannedOrders[Order_Month])),"m月")&amp;"発注)")</f>
        <v/>
      </c>
      <c r="AK339">
        <f>IF(SUMIFS(T_PlannedOrders[EffectiveQty],T_PlannedOrders[Part Name],$A221,T_PlannedOrders[WeekIndex],34)=0,"",SUMIFS(T_PlannedOrders[EffectiveQty],T_PlannedOrders[Part Name],$A221,T_PlannedOrders[WeekIndex],34)&amp;" ("&amp;TEXT(SUMPRODUCT(MAX((T_PlannedOrders[Part Name]=$A221)*(T_PlannedOrders[WeekIndex]=34)*(T_PlannedOrders[EffectiveQty]&gt;0)*T_PlannedOrders[Order_Month])),"m月")&amp;"発注)")</f>
        <v/>
      </c>
      <c r="AL339">
        <f>IF(SUMIFS(T_PlannedOrders[EffectiveQty],T_PlannedOrders[Part Name],$A221,T_PlannedOrders[WeekIndex],35)=0,"",SUMIFS(T_PlannedOrders[EffectiveQty],T_PlannedOrders[Part Name],$A221,T_PlannedOrders[WeekIndex],35)&amp;" ("&amp;TEXT(SUMPRODUCT(MAX((T_PlannedOrders[Part Name]=$A221)*(T_PlannedOrders[WeekIndex]=35)*(T_PlannedOrders[EffectiveQty]&gt;0)*T_PlannedOrders[Order_Month])),"m月")&amp;"発注)")</f>
        <v/>
      </c>
      <c r="AM339">
        <f>IF(SUMIFS(T_PlannedOrders[EffectiveQty],T_PlannedOrders[Part Name],$A221,T_PlannedOrders[WeekIndex],36)=0,"",SUMIFS(T_PlannedOrders[EffectiveQty],T_PlannedOrders[Part Name],$A221,T_PlannedOrders[WeekIndex],36)&amp;" ("&amp;TEXT(SUMPRODUCT(MAX((T_PlannedOrders[Part Name]=$A221)*(T_PlannedOrders[WeekIndex]=36)*(T_PlannedOrders[EffectiveQty]&gt;0)*T_PlannedOrders[Order_Month])),"m月")&amp;"発注)")</f>
        <v/>
      </c>
      <c r="AN339">
        <f>IF(SUMIFS(T_PlannedOrders[EffectiveQty],T_PlannedOrders[Part Name],$A221,T_PlannedOrders[WeekIndex],37)=0,"",SUMIFS(T_PlannedOrders[EffectiveQty],T_PlannedOrders[Part Name],$A221,T_PlannedOrders[WeekIndex],37)&amp;" ("&amp;TEXT(SUMPRODUCT(MAX((T_PlannedOrders[Part Name]=$A221)*(T_PlannedOrders[WeekIndex]=37)*(T_PlannedOrders[EffectiveQty]&gt;0)*T_PlannedOrders[Order_Month])),"m月")&amp;"発注)")</f>
        <v/>
      </c>
      <c r="AO339">
        <f>IF(SUMIFS(T_PlannedOrders[EffectiveQty],T_PlannedOrders[Part Name],$A221,T_PlannedOrders[WeekIndex],38)=0,"",SUMIFS(T_PlannedOrders[EffectiveQty],T_PlannedOrders[Part Name],$A221,T_PlannedOrders[WeekIndex],38)&amp;" ("&amp;TEXT(SUMPRODUCT(MAX((T_PlannedOrders[Part Name]=$A221)*(T_PlannedOrders[WeekIndex]=38)*(T_PlannedOrders[EffectiveQty]&gt;0)*T_PlannedOrders[Order_Month])),"m月")&amp;"発注)")</f>
        <v/>
      </c>
      <c r="AP339">
        <f>IF(SUMIFS(T_PlannedOrders[EffectiveQty],T_PlannedOrders[Part Name],$A221,T_PlannedOrders[WeekIndex],39)=0,"",SUMIFS(T_PlannedOrders[EffectiveQty],T_PlannedOrders[Part Name],$A221,T_PlannedOrders[WeekIndex],39)&amp;" ("&amp;TEXT(SUMPRODUCT(MAX((T_PlannedOrders[Part Name]=$A221)*(T_PlannedOrders[WeekIndex]=39)*(T_PlannedOrders[EffectiveQty]&gt;0)*T_PlannedOrders[Order_Month])),"m月")&amp;"発注)")</f>
        <v/>
      </c>
      <c r="AQ339">
        <f>IF(SUMIFS(T_PlannedOrders[EffectiveQty],T_PlannedOrders[Part Name],$A221,T_PlannedOrders[WeekIndex],40)=0,"",SUMIFS(T_PlannedOrders[EffectiveQty],T_PlannedOrders[Part Name],$A221,T_PlannedOrders[WeekIndex],40)&amp;" ("&amp;TEXT(SUMPRODUCT(MAX((T_PlannedOrders[Part Name]=$A221)*(T_PlannedOrders[WeekIndex]=40)*(T_PlannedOrders[EffectiveQty]&gt;0)*T_PlannedOrders[Order_Month])),"m月")&amp;"発注)")</f>
        <v/>
      </c>
      <c r="AR339">
        <f>IF(SUMIFS(T_PlannedOrders[EffectiveQty],T_PlannedOrders[Part Name],$A221,T_PlannedOrders[WeekIndex],41)=0,"",SUMIFS(T_PlannedOrders[EffectiveQty],T_PlannedOrders[Part Name],$A221,T_PlannedOrders[WeekIndex],41)&amp;" ("&amp;TEXT(SUMPRODUCT(MAX((T_PlannedOrders[Part Name]=$A221)*(T_PlannedOrders[WeekIndex]=41)*(T_PlannedOrders[EffectiveQty]&gt;0)*T_PlannedOrders[Order_Month])),"m月")&amp;"発注)")</f>
        <v/>
      </c>
      <c r="AS339">
        <f>IF(SUMIFS(T_PlannedOrders[EffectiveQty],T_PlannedOrders[Part Name],$A221,T_PlannedOrders[WeekIndex],42)=0,"",SUMIFS(T_PlannedOrders[EffectiveQty],T_PlannedOrders[Part Name],$A221,T_PlannedOrders[WeekIndex],42)&amp;" ("&amp;TEXT(SUMPRODUCT(MAX((T_PlannedOrders[Part Name]=$A221)*(T_PlannedOrders[WeekIndex]=42)*(T_PlannedOrders[EffectiveQty]&gt;0)*T_PlannedOrders[Order_Month])),"m月")&amp;"発注)")</f>
        <v/>
      </c>
      <c r="AT339">
        <f>IF(SUMIFS(T_PlannedOrders[EffectiveQty],T_PlannedOrders[Part Name],$A221,T_PlannedOrders[WeekIndex],43)=0,"",SUMIFS(T_PlannedOrders[EffectiveQty],T_PlannedOrders[Part Name],$A221,T_PlannedOrders[WeekIndex],43)&amp;" ("&amp;TEXT(SUMPRODUCT(MAX((T_PlannedOrders[Part Name]=$A221)*(T_PlannedOrders[WeekIndex]=43)*(T_PlannedOrders[EffectiveQty]&gt;0)*T_PlannedOrders[Order_Month])),"m月")&amp;"発注)")</f>
        <v/>
      </c>
      <c r="AU339">
        <f>IF(SUMIFS(T_PlannedOrders[EffectiveQty],T_PlannedOrders[Part Name],$A221,T_PlannedOrders[WeekIndex],44)=0,"",SUMIFS(T_PlannedOrders[EffectiveQty],T_PlannedOrders[Part Name],$A221,T_PlannedOrders[WeekIndex],44)&amp;" ("&amp;TEXT(SUMPRODUCT(MAX((T_PlannedOrders[Part Name]=$A221)*(T_PlannedOrders[WeekIndex]=44)*(T_PlannedOrders[EffectiveQty]&gt;0)*T_PlannedOrders[Order_Month])),"m月")&amp;"発注)")</f>
        <v/>
      </c>
      <c r="AV339">
        <f>IF(SUMIFS(T_PlannedOrders[EffectiveQty],T_PlannedOrders[Part Name],$A221,T_PlannedOrders[WeekIndex],45)=0,"",SUMIFS(T_PlannedOrders[EffectiveQty],T_PlannedOrders[Part Name],$A221,T_PlannedOrders[WeekIndex],45)&amp;" ("&amp;TEXT(SUMPRODUCT(MAX((T_PlannedOrders[Part Name]=$A221)*(T_PlannedOrders[WeekIndex]=45)*(T_PlannedOrders[EffectiveQty]&gt;0)*T_PlannedOrders[Order_Month])),"m月")&amp;"発注)")</f>
        <v/>
      </c>
      <c r="AW339">
        <f>IF(SUMIFS(T_PlannedOrders[EffectiveQty],T_PlannedOrders[Part Name],$A221,T_PlannedOrders[WeekIndex],46)=0,"",SUMIFS(T_PlannedOrders[EffectiveQty],T_PlannedOrders[Part Name],$A221,T_PlannedOrders[WeekIndex],46)&amp;" ("&amp;TEXT(SUMPRODUCT(MAX((T_PlannedOrders[Part Name]=$A221)*(T_PlannedOrders[WeekIndex]=46)*(T_PlannedOrders[EffectiveQty]&gt;0)*T_PlannedOrders[Order_Month])),"m月")&amp;"発注)")</f>
        <v/>
      </c>
      <c r="AX339">
        <f>IF(SUMIFS(T_PlannedOrders[EffectiveQty],T_PlannedOrders[Part Name],$A221,T_PlannedOrders[WeekIndex],47)=0,"",SUMIFS(T_PlannedOrders[EffectiveQty],T_PlannedOrders[Part Name],$A221,T_PlannedOrders[WeekIndex],47)&amp;" ("&amp;TEXT(SUMPRODUCT(MAX((T_PlannedOrders[Part Name]=$A221)*(T_PlannedOrders[WeekIndex]=47)*(T_PlannedOrders[EffectiveQty]&gt;0)*T_PlannedOrders[Order_Month])),"m月")&amp;"発注)")</f>
        <v/>
      </c>
      <c r="AY339">
        <f>IF(SUMIFS(T_PlannedOrders[EffectiveQty],T_PlannedOrders[Part Name],$A221,T_PlannedOrders[WeekIndex],48)=0,"",SUMIFS(T_PlannedOrders[EffectiveQty],T_PlannedOrders[Part Name],$A221,T_PlannedOrders[WeekIndex],48)&amp;" ("&amp;TEXT(SUMPRODUCT(MAX((T_PlannedOrders[Part Name]=$A221)*(T_PlannedOrders[WeekIndex]=48)*(T_PlannedOrders[EffectiveQty]&gt;0)*T_PlannedOrders[Order_Month])),"m月")&amp;"発注)")</f>
        <v/>
      </c>
      <c r="AZ339">
        <f>IF(SUMIFS(T_PlannedOrders[EffectiveQty],T_PlannedOrders[Part Name],$A221,T_PlannedOrders[WeekIndex],49)=0,"",SUMIFS(T_PlannedOrders[EffectiveQty],T_PlannedOrders[Part Name],$A221,T_PlannedOrders[WeekIndex],49)&amp;" ("&amp;TEXT(SUMPRODUCT(MAX((T_PlannedOrders[Part Name]=$A221)*(T_PlannedOrders[WeekIndex]=49)*(T_PlannedOrders[EffectiveQty]&gt;0)*T_PlannedOrders[Order_Month])),"m月")&amp;"発注)")</f>
        <v/>
      </c>
      <c r="BA339">
        <f>IF(SUMIFS(T_PlannedOrders[EffectiveQty],T_PlannedOrders[Part Name],$A221,T_PlannedOrders[WeekIndex],50)=0,"",SUMIFS(T_PlannedOrders[EffectiveQty],T_PlannedOrders[Part Name],$A221,T_PlannedOrders[WeekIndex],50)&amp;" ("&amp;TEXT(SUMPRODUCT(MAX((T_PlannedOrders[Part Name]=$A221)*(T_PlannedOrders[WeekIndex]=50)*(T_PlannedOrders[EffectiveQty]&gt;0)*T_PlannedOrders[Order_Month])),"m月")&amp;"発注)")</f>
        <v/>
      </c>
      <c r="BB339">
        <f>IF(SUMIFS(T_PlannedOrders[EffectiveQty],T_PlannedOrders[Part Name],$A221,T_PlannedOrders[WeekIndex],51)=0,"",SUMIFS(T_PlannedOrders[EffectiveQty],T_PlannedOrders[Part Name],$A221,T_PlannedOrders[WeekIndex],51)&amp;" ("&amp;TEXT(SUMPRODUCT(MAX((T_PlannedOrders[Part Name]=$A221)*(T_PlannedOrders[WeekIndex]=51)*(T_PlannedOrders[EffectiveQty]&gt;0)*T_PlannedOrders[Order_Month])),"m月")&amp;"発注)")</f>
        <v/>
      </c>
      <c r="BC339">
        <f>IF(SUMIFS(T_PlannedOrders[EffectiveQty],T_PlannedOrders[Part Name],$A221,T_PlannedOrders[WeekIndex],52)=0,"",SUMIFS(T_PlannedOrders[EffectiveQty],T_PlannedOrders[Part Name],$A221,T_PlannedOrders[WeekIndex],52)&amp;" ("&amp;TEXT(SUMPRODUCT(MAX((T_PlannedOrders[Part Name]=$A221)*(T_PlannedOrders[WeekIndex]=52)*(T_PlannedOrders[EffectiveQty]&gt;0)*T_PlannedOrders[Order_Month])),"m月")&amp;"発注)")</f>
        <v/>
      </c>
      <c r="BD339">
        <f>IF(SUMIFS(T_PlannedOrders[EffectiveQty],T_PlannedOrders[Part Name],$A221,T_PlannedOrders[WeekIndex],53)=0,"",SUMIFS(T_PlannedOrders[EffectiveQty],T_PlannedOrders[Part Name],$A221,T_PlannedOrders[WeekIndex],53)&amp;" ("&amp;TEXT(SUMPRODUCT(MAX((T_PlannedOrders[Part Name]=$A221)*(T_PlannedOrders[WeekIndex]=53)*(T_PlannedOrders[EffectiveQty]&gt;0)*T_PlannedOrders[Order_Month])),"m月")&amp;"発注)")</f>
        <v/>
      </c>
      <c r="BE339">
        <f>IF(SUMIFS(T_PlannedOrders[EffectiveQty],T_PlannedOrders[Part Name],$A221,T_PlannedOrders[WeekIndex],54)=0,"",SUMIFS(T_PlannedOrders[EffectiveQty],T_PlannedOrders[Part Name],$A221,T_PlannedOrders[WeekIndex],54)&amp;" ("&amp;TEXT(SUMPRODUCT(MAX((T_PlannedOrders[Part Name]=$A221)*(T_PlannedOrders[WeekIndex]=54)*(T_PlannedOrders[EffectiveQty]&gt;0)*T_PlannedOrders[Order_Month])),"m月")&amp;"発注)")</f>
        <v/>
      </c>
      <c r="BF339">
        <f>IF(SUMIFS(T_PlannedOrders[EffectiveQty],T_PlannedOrders[Part Name],$A221,T_PlannedOrders[WeekIndex],55)=0,"",SUMIFS(T_PlannedOrders[EffectiveQty],T_PlannedOrders[Part Name],$A221,T_PlannedOrders[WeekIndex],55)&amp;" ("&amp;TEXT(SUMPRODUCT(MAX((T_PlannedOrders[Part Name]=$A221)*(T_PlannedOrders[WeekIndex]=55)*(T_PlannedOrders[EffectiveQty]&gt;0)*T_PlannedOrders[Order_Month])),"m月")&amp;"発注)")</f>
        <v/>
      </c>
      <c r="BG339">
        <f>IF(SUMIFS(T_PlannedOrders[EffectiveQty],T_PlannedOrders[Part Name],$A221,T_PlannedOrders[WeekIndex],56)=0,"",SUMIFS(T_PlannedOrders[EffectiveQty],T_PlannedOrders[Part Name],$A221,T_PlannedOrders[WeekIndex],56)&amp;" ("&amp;TEXT(SUMPRODUCT(MAX((T_PlannedOrders[Part Name]=$A221)*(T_PlannedOrders[WeekIndex]=56)*(T_PlannedOrders[EffectiveQty]&gt;0)*T_PlannedOrders[Order_Month])),"m月")&amp;"発注)")</f>
        <v/>
      </c>
      <c r="BH339">
        <f>IF(SUMIFS(T_PlannedOrders[EffectiveQty],T_PlannedOrders[Part Name],$A221,T_PlannedOrders[WeekIndex],57)=0,"",SUMIFS(T_PlannedOrders[EffectiveQty],T_PlannedOrders[Part Name],$A221,T_PlannedOrders[WeekIndex],57)&amp;" ("&amp;TEXT(SUMPRODUCT(MAX((T_PlannedOrders[Part Name]=$A221)*(T_PlannedOrders[WeekIndex]=57)*(T_PlannedOrders[EffectiveQty]&gt;0)*T_PlannedOrders[Order_Month])),"m月")&amp;"発注)")</f>
        <v/>
      </c>
      <c r="BI339">
        <f>IF(SUMIFS(T_PlannedOrders[EffectiveQty],T_PlannedOrders[Part Name],$A221,T_PlannedOrders[WeekIndex],58)=0,"",SUMIFS(T_PlannedOrders[EffectiveQty],T_PlannedOrders[Part Name],$A221,T_PlannedOrders[WeekIndex],58)&amp;" ("&amp;TEXT(SUMPRODUCT(MAX((T_PlannedOrders[Part Name]=$A221)*(T_PlannedOrders[WeekIndex]=58)*(T_PlannedOrders[EffectiveQty]&gt;0)*T_PlannedOrders[Order_Month])),"m月")&amp;"発注)")</f>
        <v/>
      </c>
      <c r="BJ339">
        <f>IF(SUMIFS(T_PlannedOrders[EffectiveQty],T_PlannedOrders[Part Name],$A221,T_PlannedOrders[WeekIndex],59)=0,"",SUMIFS(T_PlannedOrders[EffectiveQty],T_PlannedOrders[Part Name],$A221,T_PlannedOrders[WeekIndex],59)&amp;" ("&amp;TEXT(SUMPRODUCT(MAX((T_PlannedOrders[Part Name]=$A221)*(T_PlannedOrders[WeekIndex]=59)*(T_PlannedOrders[EffectiveQty]&gt;0)*T_PlannedOrders[Order_Month])),"m月")&amp;"発注)")</f>
        <v/>
      </c>
      <c r="BK339">
        <f>IF(SUMIFS(T_PlannedOrders[EffectiveQty],T_PlannedOrders[Part Name],$A221,T_PlannedOrders[WeekIndex],60)=0,"",SUMIFS(T_PlannedOrders[EffectiveQty],T_PlannedOrders[Part Name],$A221,T_PlannedOrders[WeekIndex],60)&amp;" ("&amp;TEXT(SUMPRODUCT(MAX((T_PlannedOrders[Part Name]=$A221)*(T_PlannedOrders[WeekIndex]=60)*(T_PlannedOrders[EffectiveQty]&gt;0)*T_PlannedOrders[Order_Month])),"m月")&amp;"発注)")</f>
        <v/>
      </c>
      <c r="BL339">
        <f>IF(SUMIFS(T_PlannedOrders[EffectiveQty],T_PlannedOrders[Part Name],$A221,T_PlannedOrders[WeekIndex],61)=0,"",SUMIFS(T_PlannedOrders[EffectiveQty],T_PlannedOrders[Part Name],$A221,T_PlannedOrders[WeekIndex],61)&amp;" ("&amp;TEXT(SUMPRODUCT(MAX((T_PlannedOrders[Part Name]=$A221)*(T_PlannedOrders[WeekIndex]=61)*(T_PlannedOrders[EffectiveQty]&gt;0)*T_PlannedOrders[Order_Month])),"m月")&amp;"発注)")</f>
        <v/>
      </c>
      <c r="BM339">
        <f>IF(SUMIFS(T_PlannedOrders[EffectiveQty],T_PlannedOrders[Part Name],$A221,T_PlannedOrders[WeekIndex],62)=0,"",SUMIFS(T_PlannedOrders[EffectiveQty],T_PlannedOrders[Part Name],$A221,T_PlannedOrders[WeekIndex],62)&amp;" ("&amp;TEXT(SUMPRODUCT(MAX((T_PlannedOrders[Part Name]=$A221)*(T_PlannedOrders[WeekIndex]=62)*(T_PlannedOrders[EffectiveQty]&gt;0)*T_PlannedOrders[Order_Month])),"m月")&amp;"発注)")</f>
        <v/>
      </c>
      <c r="BN339">
        <f>IF(SUMIFS(T_PlannedOrders[EffectiveQty],T_PlannedOrders[Part Name],$A221,T_PlannedOrders[WeekIndex],63)=0,"",SUMIFS(T_PlannedOrders[EffectiveQty],T_PlannedOrders[Part Name],$A221,T_PlannedOrders[WeekIndex],63)&amp;" ("&amp;TEXT(SUMPRODUCT(MAX((T_PlannedOrders[Part Name]=$A221)*(T_PlannedOrders[WeekIndex]=63)*(T_PlannedOrders[EffectiveQty]&gt;0)*T_PlannedOrders[Order_Month])),"m月")&amp;"発注)")</f>
        <v/>
      </c>
      <c r="BO339">
        <f>IF(SUMIFS(T_PlannedOrders[EffectiveQty],T_PlannedOrders[Part Name],$A221,T_PlannedOrders[WeekIndex],64)=0,"",SUMIFS(T_PlannedOrders[EffectiveQty],T_PlannedOrders[Part Name],$A221,T_PlannedOrders[WeekIndex],64)&amp;" ("&amp;TEXT(SUMPRODUCT(MAX((T_PlannedOrders[Part Name]=$A221)*(T_PlannedOrders[WeekIndex]=64)*(T_PlannedOrders[EffectiveQty]&gt;0)*T_PlannedOrders[Order_Month])),"m月")&amp;"発注)")</f>
        <v/>
      </c>
      <c r="BP339">
        <f>IF(SUMIFS(T_PlannedOrders[EffectiveQty],T_PlannedOrders[Part Name],$A221,T_PlannedOrders[WeekIndex],65)=0,"",SUMIFS(T_PlannedOrders[EffectiveQty],T_PlannedOrders[Part Name],$A221,T_PlannedOrders[WeekIndex],65)&amp;" ("&amp;TEXT(SUMPRODUCT(MAX((T_PlannedOrders[Part Name]=$A221)*(T_PlannedOrders[WeekIndex]=65)*(T_PlannedOrders[EffectiveQty]&gt;0)*T_PlannedOrders[Order_Month])),"m月")&amp;"発注)")</f>
        <v/>
      </c>
      <c r="BQ339">
        <f>IF(SUMIFS(T_PlannedOrders[EffectiveQty],T_PlannedOrders[Part Name],$A221,T_PlannedOrders[WeekIndex],66)=0,"",SUMIFS(T_PlannedOrders[EffectiveQty],T_PlannedOrders[Part Name],$A221,T_PlannedOrders[WeekIndex],66)&amp;" ("&amp;TEXT(SUMPRODUCT(MAX((T_PlannedOrders[Part Name]=$A221)*(T_PlannedOrders[WeekIndex]=66)*(T_PlannedOrders[EffectiveQty]&gt;0)*T_PlannedOrders[Order_Month])),"m月")&amp;"発注)")</f>
        <v/>
      </c>
      <c r="BR339">
        <f>IF(SUMIFS(T_PlannedOrders[EffectiveQty],T_PlannedOrders[Part Name],$A221,T_PlannedOrders[WeekIndex],67)=0,"",SUMIFS(T_PlannedOrders[EffectiveQty],T_PlannedOrders[Part Name],$A221,T_PlannedOrders[WeekIndex],67)&amp;" ("&amp;TEXT(SUMPRODUCT(MAX((T_PlannedOrders[Part Name]=$A221)*(T_PlannedOrders[WeekIndex]=67)*(T_PlannedOrders[EffectiveQty]&gt;0)*T_PlannedOrders[Order_Month])),"m月")&amp;"発注)")</f>
        <v/>
      </c>
      <c r="BS339">
        <f>IF(SUMIFS(T_PlannedOrders[EffectiveQty],T_PlannedOrders[Part Name],$A221,T_PlannedOrders[WeekIndex],68)=0,"",SUMIFS(T_PlannedOrders[EffectiveQty],T_PlannedOrders[Part Name],$A221,T_PlannedOrders[WeekIndex],68)&amp;" ("&amp;TEXT(SUMPRODUCT(MAX((T_PlannedOrders[Part Name]=$A221)*(T_PlannedOrders[WeekIndex]=68)*(T_PlannedOrders[EffectiveQty]&gt;0)*T_PlannedOrders[Order_Month])),"m月")&amp;"発注)")</f>
        <v/>
      </c>
      <c r="BT339">
        <f>IF(SUMIFS(T_PlannedOrders[EffectiveQty],T_PlannedOrders[Part Name],$A221,T_PlannedOrders[WeekIndex],69)=0,"",SUMIFS(T_PlannedOrders[EffectiveQty],T_PlannedOrders[Part Name],$A221,T_PlannedOrders[WeekIndex],69)&amp;" ("&amp;TEXT(SUMPRODUCT(MAX((T_PlannedOrders[Part Name]=$A221)*(T_PlannedOrders[WeekIndex]=69)*(T_PlannedOrders[EffectiveQty]&gt;0)*T_PlannedOrders[Order_Month])),"m月")&amp;"発注)")</f>
        <v/>
      </c>
      <c r="BU339">
        <f>IF(SUMIFS(T_PlannedOrders[EffectiveQty],T_PlannedOrders[Part Name],$A221,T_PlannedOrders[WeekIndex],70)=0,"",SUMIFS(T_PlannedOrders[EffectiveQty],T_PlannedOrders[Part Name],$A221,T_PlannedOrders[WeekIndex],70)&amp;" ("&amp;TEXT(SUMPRODUCT(MAX((T_PlannedOrders[Part Name]=$A221)*(T_PlannedOrders[WeekIndex]=70)*(T_PlannedOrders[EffectiveQty]&gt;0)*T_PlannedOrders[Order_Month])),"m月")&amp;"発注)")</f>
        <v/>
      </c>
      <c r="BV339">
        <f>IF(SUMIFS(T_PlannedOrders[EffectiveQty],T_PlannedOrders[Part Name],$A221,T_PlannedOrders[WeekIndex],71)=0,"",SUMIFS(T_PlannedOrders[EffectiveQty],T_PlannedOrders[Part Name],$A221,T_PlannedOrders[WeekIndex],71)&amp;" ("&amp;TEXT(SUMPRODUCT(MAX((T_PlannedOrders[Part Name]=$A221)*(T_PlannedOrders[WeekIndex]=71)*(T_PlannedOrders[EffectiveQty]&gt;0)*T_PlannedOrders[Order_Month])),"m月")&amp;"発注)")</f>
        <v/>
      </c>
      <c r="BW339">
        <f>IF(SUMIFS(T_PlannedOrders[EffectiveQty],T_PlannedOrders[Part Name],$A221,T_PlannedOrders[WeekIndex],72)=0,"",SUMIFS(T_PlannedOrders[EffectiveQty],T_PlannedOrders[Part Name],$A221,T_PlannedOrders[WeekIndex],72)&amp;" ("&amp;TEXT(SUMPRODUCT(MAX((T_PlannedOrders[Part Name]=$A221)*(T_PlannedOrders[WeekIndex]=72)*(T_PlannedOrders[EffectiveQty]&gt;0)*T_PlannedOrders[Order_Month])),"m月")&amp;"発注)")</f>
        <v/>
      </c>
      <c r="BX339">
        <f>IF(SUMIFS(T_PlannedOrders[EffectiveQty],T_PlannedOrders[Part Name],$A221,T_PlannedOrders[WeekIndex],73)=0,"",SUMIFS(T_PlannedOrders[EffectiveQty],T_PlannedOrders[Part Name],$A221,T_PlannedOrders[WeekIndex],73)&amp;" ("&amp;TEXT(SUMPRODUCT(MAX((T_PlannedOrders[Part Name]=$A221)*(T_PlannedOrders[WeekIndex]=73)*(T_PlannedOrders[EffectiveQty]&gt;0)*T_PlannedOrders[Order_Month])),"m月")&amp;"発注)")</f>
        <v/>
      </c>
      <c r="BY339">
        <f>IF(SUMIFS(T_PlannedOrders[EffectiveQty],T_PlannedOrders[Part Name],$A221,T_PlannedOrders[WeekIndex],74)=0,"",SUMIFS(T_PlannedOrders[EffectiveQty],T_PlannedOrders[Part Name],$A221,T_PlannedOrders[WeekIndex],74)&amp;" ("&amp;TEXT(SUMPRODUCT(MAX((T_PlannedOrders[Part Name]=$A221)*(T_PlannedOrders[WeekIndex]=74)*(T_PlannedOrders[EffectiveQty]&gt;0)*T_PlannedOrders[Order_Month])),"m月")&amp;"発注)")</f>
        <v/>
      </c>
      <c r="BZ339">
        <f>IF(SUMIFS(T_PlannedOrders[EffectiveQty],T_PlannedOrders[Part Name],$A221,T_PlannedOrders[WeekIndex],75)=0,"",SUMIFS(T_PlannedOrders[EffectiveQty],T_PlannedOrders[Part Name],$A221,T_PlannedOrders[WeekIndex],75)&amp;" ("&amp;TEXT(SUMPRODUCT(MAX((T_PlannedOrders[Part Name]=$A221)*(T_PlannedOrders[WeekIndex]=75)*(T_PlannedOrders[EffectiveQty]&gt;0)*T_PlannedOrders[Order_Month])),"m月")&amp;"発注)")</f>
        <v/>
      </c>
      <c r="CA339">
        <f>IF(SUMIFS(T_PlannedOrders[EffectiveQty],T_PlannedOrders[Part Name],$A221,T_PlannedOrders[WeekIndex],76)=0,"",SUMIFS(T_PlannedOrders[EffectiveQty],T_PlannedOrders[Part Name],$A221,T_PlannedOrders[WeekIndex],76)&amp;" ("&amp;TEXT(SUMPRODUCT(MAX((T_PlannedOrders[Part Name]=$A221)*(T_PlannedOrders[WeekIndex]=76)*(T_PlannedOrders[EffectiveQty]&gt;0)*T_PlannedOrders[Order_Month])),"m月")&amp;"発注)")</f>
        <v/>
      </c>
      <c r="CB339">
        <f>IF(SUMIFS(T_PlannedOrders[EffectiveQty],T_PlannedOrders[Part Name],$A221,T_PlannedOrders[WeekIndex],77)=0,"",SUMIFS(T_PlannedOrders[EffectiveQty],T_PlannedOrders[Part Name],$A221,T_PlannedOrders[WeekIndex],77)&amp;" ("&amp;TEXT(SUMPRODUCT(MAX((T_PlannedOrders[Part Name]=$A221)*(T_PlannedOrders[WeekIndex]=77)*(T_PlannedOrders[EffectiveQty]&gt;0)*T_PlannedOrders[Order_Month])),"m月")&amp;"発注)")</f>
        <v/>
      </c>
      <c r="CC339">
        <f>IF(SUMIFS(T_PlannedOrders[EffectiveQty],T_PlannedOrders[Part Name],$A221,T_PlannedOrders[WeekIndex],78)=0,"",SUMIFS(T_PlannedOrders[EffectiveQty],T_PlannedOrders[Part Name],$A221,T_PlannedOrders[WeekIndex],78)&amp;" ("&amp;TEXT(SUMPRODUCT(MAX((T_PlannedOrders[Part Name]=$A221)*(T_PlannedOrders[WeekIndex]=78)*(T_PlannedOrders[EffectiveQty]&gt;0)*T_PlannedOrders[Order_Month])),"m月")&amp;"発注)")</f>
        <v/>
      </c>
      <c r="CD339">
        <f>IF(SUMIFS(T_PlannedOrders[EffectiveQty],T_PlannedOrders[Part Name],$A221,T_PlannedOrders[WeekIndex],79)=0,"",SUMIFS(T_PlannedOrders[EffectiveQty],T_PlannedOrders[Part Name],$A221,T_PlannedOrders[WeekIndex],79)&amp;" ("&amp;TEXT(SUMPRODUCT(MAX((T_PlannedOrders[Part Name]=$A221)*(T_PlannedOrders[WeekIndex]=79)*(T_PlannedOrders[EffectiveQty]&gt;0)*T_PlannedOrders[Order_Month])),"m月")&amp;"発注)")</f>
        <v/>
      </c>
      <c r="CE339">
        <f>IF(SUMIFS(T_PlannedOrders[EffectiveQty],T_PlannedOrders[Part Name],$A221,T_PlannedOrders[WeekIndex],80)=0,"",SUMIFS(T_PlannedOrders[EffectiveQty],T_PlannedOrders[Part Name],$A221,T_PlannedOrders[WeekIndex],80)&amp;" ("&amp;TEXT(SUMPRODUCT(MAX((T_PlannedOrders[Part Name]=$A221)*(T_PlannedOrders[WeekIndex]=80)*(T_PlannedOrders[EffectiveQty]&gt;0)*T_PlannedOrders[Order_Month])),"m月")&amp;"発注)")</f>
        <v/>
      </c>
      <c r="CF339">
        <f>IF(SUMIFS(T_PlannedOrders[EffectiveQty],T_PlannedOrders[Part Name],$A221,T_PlannedOrders[WeekIndex],81)=0,"",SUMIFS(T_PlannedOrders[EffectiveQty],T_PlannedOrders[Part Name],$A221,T_PlannedOrders[WeekIndex],81)&amp;" ("&amp;TEXT(SUMPRODUCT(MAX((T_PlannedOrders[Part Name]=$A221)*(T_PlannedOrders[WeekIndex]=81)*(T_PlannedOrders[EffectiveQty]&gt;0)*T_PlannedOrders[Order_Month])),"m月")&amp;"発注)")</f>
        <v/>
      </c>
      <c r="CG339">
        <f>IF(SUMIFS(T_PlannedOrders[EffectiveQty],T_PlannedOrders[Part Name],$A221,T_PlannedOrders[WeekIndex],82)=0,"",SUMIFS(T_PlannedOrders[EffectiveQty],T_PlannedOrders[Part Name],$A221,T_PlannedOrders[WeekIndex],82)&amp;" ("&amp;TEXT(SUMPRODUCT(MAX((T_PlannedOrders[Part Name]=$A221)*(T_PlannedOrders[WeekIndex]=82)*(T_PlannedOrders[EffectiveQty]&gt;0)*T_PlannedOrders[Order_Month])),"m月")&amp;"発注)")</f>
        <v/>
      </c>
      <c r="CH339">
        <f>IF(SUMIFS(T_PlannedOrders[EffectiveQty],T_PlannedOrders[Part Name],$A221,T_PlannedOrders[WeekIndex],83)=0,"",SUMIFS(T_PlannedOrders[EffectiveQty],T_PlannedOrders[Part Name],$A221,T_PlannedOrders[WeekIndex],83)&amp;" ("&amp;TEXT(SUMPRODUCT(MAX((T_PlannedOrders[Part Name]=$A221)*(T_PlannedOrders[WeekIndex]=83)*(T_PlannedOrders[EffectiveQty]&gt;0)*T_PlannedOrders[Order_Month])),"m月")&amp;"発注)")</f>
        <v/>
      </c>
      <c r="CI339">
        <f>IF(SUMIFS(T_PlannedOrders[EffectiveQty],T_PlannedOrders[Part Name],$A221,T_PlannedOrders[WeekIndex],84)=0,"",SUMIFS(T_PlannedOrders[EffectiveQty],T_PlannedOrders[Part Name],$A221,T_PlannedOrders[WeekIndex],84)&amp;" ("&amp;TEXT(SUMPRODUCT(MAX((T_PlannedOrders[Part Name]=$A221)*(T_PlannedOrders[WeekIndex]=84)*(T_PlannedOrders[EffectiveQty]&gt;0)*T_PlannedOrders[Order_Month])),"m月")&amp;"発注)")</f>
        <v/>
      </c>
      <c r="CJ339">
        <f>IF(SUMIFS(T_PlannedOrders[EffectiveQty],T_PlannedOrders[Part Name],$A221,T_PlannedOrders[WeekIndex],85)=0,"",SUMIFS(T_PlannedOrders[EffectiveQty],T_PlannedOrders[Part Name],$A221,T_PlannedOrders[WeekIndex],85)&amp;" ("&amp;TEXT(SUMPRODUCT(MAX((T_PlannedOrders[Part Name]=$A221)*(T_PlannedOrders[WeekIndex]=85)*(T_PlannedOrders[EffectiveQty]&gt;0)*T_PlannedOrders[Order_Month])),"m月")&amp;"発注)")</f>
        <v/>
      </c>
      <c r="CK339">
        <f>IF(SUMIFS(T_PlannedOrders[EffectiveQty],T_PlannedOrders[Part Name],$A221,T_PlannedOrders[WeekIndex],86)=0,"",SUMIFS(T_PlannedOrders[EffectiveQty],T_PlannedOrders[Part Name],$A221,T_PlannedOrders[WeekIndex],86)&amp;" ("&amp;TEXT(SUMPRODUCT(MAX((T_PlannedOrders[Part Name]=$A221)*(T_PlannedOrders[WeekIndex]=86)*(T_PlannedOrders[EffectiveQty]&gt;0)*T_PlannedOrders[Order_Month])),"m月")&amp;"発注)")</f>
        <v/>
      </c>
      <c r="CL339">
        <f>IF(SUMIFS(T_PlannedOrders[EffectiveQty],T_PlannedOrders[Part Name],$A221,T_PlannedOrders[WeekIndex],87)=0,"",SUMIFS(T_PlannedOrders[EffectiveQty],T_PlannedOrders[Part Name],$A221,T_PlannedOrders[WeekIndex],87)&amp;" ("&amp;TEXT(SUMPRODUCT(MAX((T_PlannedOrders[Part Name]=$A221)*(T_PlannedOrders[WeekIndex]=87)*(T_PlannedOrders[EffectiveQty]&gt;0)*T_PlannedOrders[Order_Month])),"m月")&amp;"発注)")</f>
        <v/>
      </c>
      <c r="CM339">
        <f>IF(SUMIFS(T_PlannedOrders[EffectiveQty],T_PlannedOrders[Part Name],$A221,T_PlannedOrders[WeekIndex],88)=0,"",SUMIFS(T_PlannedOrders[EffectiveQty],T_PlannedOrders[Part Name],$A221,T_PlannedOrders[WeekIndex],88)&amp;" ("&amp;TEXT(SUMPRODUCT(MAX((T_PlannedOrders[Part Name]=$A221)*(T_PlannedOrders[WeekIndex]=88)*(T_PlannedOrders[EffectiveQty]&gt;0)*T_PlannedOrders[Order_Month])),"m月")&amp;"発注)")</f>
        <v/>
      </c>
      <c r="CN339">
        <f>IF(SUMIFS(T_PlannedOrders[EffectiveQty],T_PlannedOrders[Part Name],$A221,T_PlannedOrders[WeekIndex],89)=0,"",SUMIFS(T_PlannedOrders[EffectiveQty],T_PlannedOrders[Part Name],$A221,T_PlannedOrders[WeekIndex],89)&amp;" ("&amp;TEXT(SUMPRODUCT(MAX((T_PlannedOrders[Part Name]=$A221)*(T_PlannedOrders[WeekIndex]=89)*(T_PlannedOrders[EffectiveQty]&gt;0)*T_PlannedOrders[Order_Month])),"m月")&amp;"発注)")</f>
        <v/>
      </c>
      <c r="CO339">
        <f>IF(SUMIFS(T_PlannedOrders[EffectiveQty],T_PlannedOrders[Part Name],$A221,T_PlannedOrders[WeekIndex],90)=0,"",SUMIFS(T_PlannedOrders[EffectiveQty],T_PlannedOrders[Part Name],$A221,T_PlannedOrders[WeekIndex],90)&amp;" ("&amp;TEXT(SUMPRODUCT(MAX((T_PlannedOrders[Part Name]=$A221)*(T_PlannedOrders[WeekIndex]=90)*(T_PlannedOrders[EffectiveQty]&gt;0)*T_PlannedOrders[Order_Month])),"m月")&amp;"発注)")</f>
        <v/>
      </c>
      <c r="CP339">
        <f>IF(SUMIFS(T_PlannedOrders[EffectiveQty],T_PlannedOrders[Part Name],$A221,T_PlannedOrders[WeekIndex],91)=0,"",SUMIFS(T_PlannedOrders[EffectiveQty],T_PlannedOrders[Part Name],$A221,T_PlannedOrders[WeekIndex],91)&amp;" ("&amp;TEXT(SUMPRODUCT(MAX((T_PlannedOrders[Part Name]=$A221)*(T_PlannedOrders[WeekIndex]=91)*(T_PlannedOrders[EffectiveQty]&gt;0)*T_PlannedOrders[Order_Month])),"m月")&amp;"発注)")</f>
        <v/>
      </c>
      <c r="CQ339">
        <f>IF(SUMIFS(T_PlannedOrders[EffectiveQty],T_PlannedOrders[Part Name],$A221,T_PlannedOrders[WeekIndex],92)=0,"",SUMIFS(T_PlannedOrders[EffectiveQty],T_PlannedOrders[Part Name],$A221,T_PlannedOrders[WeekIndex],92)&amp;" ("&amp;TEXT(SUMPRODUCT(MAX((T_PlannedOrders[Part Name]=$A221)*(T_PlannedOrders[WeekIndex]=92)*(T_PlannedOrders[EffectiveQty]&gt;0)*T_PlannedOrders[Order_Month])),"m月")&amp;"発注)")</f>
        <v/>
      </c>
      <c r="CR339">
        <f>IF(SUMIFS(T_PlannedOrders[EffectiveQty],T_PlannedOrders[Part Name],$A221,T_PlannedOrders[WeekIndex],93)=0,"",SUMIFS(T_PlannedOrders[EffectiveQty],T_PlannedOrders[Part Name],$A221,T_PlannedOrders[WeekIndex],93)&amp;" ("&amp;TEXT(SUMPRODUCT(MAX((T_PlannedOrders[Part Name]=$A221)*(T_PlannedOrders[WeekIndex]=93)*(T_PlannedOrders[EffectiveQty]&gt;0)*T_PlannedOrders[Order_Month])),"m月")&amp;"発注)")</f>
        <v/>
      </c>
      <c r="CS339">
        <f>IF(SUMIFS(T_PlannedOrders[EffectiveQty],T_PlannedOrders[Part Name],$A221,T_PlannedOrders[WeekIndex],94)=0,"",SUMIFS(T_PlannedOrders[EffectiveQty],T_PlannedOrders[Part Name],$A221,T_PlannedOrders[WeekIndex],94)&amp;" ("&amp;TEXT(SUMPRODUCT(MAX((T_PlannedOrders[Part Name]=$A221)*(T_PlannedOrders[WeekIndex]=94)*(T_PlannedOrders[EffectiveQty]&gt;0)*T_PlannedOrders[Order_Month])),"m月")&amp;"発注)")</f>
        <v/>
      </c>
      <c r="CT339">
        <f>IF(SUMIFS(T_PlannedOrders[EffectiveQty],T_PlannedOrders[Part Name],$A221,T_PlannedOrders[WeekIndex],95)=0,"",SUMIFS(T_PlannedOrders[EffectiveQty],T_PlannedOrders[Part Name],$A221,T_PlannedOrders[WeekIndex],95)&amp;" ("&amp;TEXT(SUMPRODUCT(MAX((T_PlannedOrders[Part Name]=$A221)*(T_PlannedOrders[WeekIndex]=95)*(T_PlannedOrders[EffectiveQty]&gt;0)*T_PlannedOrders[Order_Month])),"m月")&amp;"発注)")</f>
        <v/>
      </c>
      <c r="CU339">
        <f>IF(SUMIFS(T_PlannedOrders[EffectiveQty],T_PlannedOrders[Part Name],$A221,T_PlannedOrders[WeekIndex],96)=0,"",SUMIFS(T_PlannedOrders[EffectiveQty],T_PlannedOrders[Part Name],$A221,T_PlannedOrders[WeekIndex],96)&amp;" ("&amp;TEXT(SUMPRODUCT(MAX((T_PlannedOrders[Part Name]=$A221)*(T_PlannedOrders[WeekIndex]=96)*(T_PlannedOrders[EffectiveQty]&gt;0)*T_PlannedOrders[Order_Month])),"m月")&amp;"発注)")</f>
        <v/>
      </c>
      <c r="CV339">
        <f>IF(SUMIFS(T_PlannedOrders[EffectiveQty],T_PlannedOrders[Part Name],$A221,T_PlannedOrders[WeekIndex],97)=0,"",SUMIFS(T_PlannedOrders[EffectiveQty],T_PlannedOrders[Part Name],$A221,T_PlannedOrders[WeekIndex],97)&amp;" ("&amp;TEXT(SUMPRODUCT(MAX((T_PlannedOrders[Part Name]=$A221)*(T_PlannedOrders[WeekIndex]=97)*(T_PlannedOrders[EffectiveQty]&gt;0)*T_PlannedOrders[Order_Month])),"m月")&amp;"発注)")</f>
        <v/>
      </c>
      <c r="CW339">
        <f>IF(SUMIFS(T_PlannedOrders[EffectiveQty],T_PlannedOrders[Part Name],$A221,T_PlannedOrders[WeekIndex],98)=0,"",SUMIFS(T_PlannedOrders[EffectiveQty],T_PlannedOrders[Part Name],$A221,T_PlannedOrders[WeekIndex],98)&amp;" ("&amp;TEXT(SUMPRODUCT(MAX((T_PlannedOrders[Part Name]=$A221)*(T_PlannedOrders[WeekIndex]=98)*(T_PlannedOrders[EffectiveQty]&gt;0)*T_PlannedOrders[Order_Month])),"m月")&amp;"発注)")</f>
        <v/>
      </c>
      <c r="CX339">
        <f>IF(SUMIFS(T_PlannedOrders[EffectiveQty],T_PlannedOrders[Part Name],$A221,T_PlannedOrders[WeekIndex],99)=0,"",SUMIFS(T_PlannedOrders[EffectiveQty],T_PlannedOrders[Part Name],$A221,T_PlannedOrders[WeekIndex],99)&amp;" ("&amp;TEXT(SUMPRODUCT(MAX((T_PlannedOrders[Part Name]=$A221)*(T_PlannedOrders[WeekIndex]=99)*(T_PlannedOrders[EffectiveQty]&gt;0)*T_PlannedOrders[Order_Month])),"m月")&amp;"発注)")</f>
        <v/>
      </c>
      <c r="CY339">
        <f>IF(SUMIFS(T_PlannedOrders[EffectiveQty],T_PlannedOrders[Part Name],$A221,T_PlannedOrders[WeekIndex],100)=0,"",SUMIFS(T_PlannedOrders[EffectiveQty],T_PlannedOrders[Part Name],$A221,T_PlannedOrders[WeekIndex],100)&amp;" ("&amp;TEXT(SUMPRODUCT(MAX((T_PlannedOrders[Part Name]=$A221)*(T_PlannedOrders[WeekIndex]=100)*(T_PlannedOrders[EffectiveQty]&gt;0)*T_PlannedOrders[Order_Month])),"m月")&amp;"発注)")</f>
        <v/>
      </c>
      <c r="CZ339">
        <f>IF(SUMIFS(T_PlannedOrders[EffectiveQty],T_PlannedOrders[Part Name],$A221,T_PlannedOrders[WeekIndex],101)=0,"",SUMIFS(T_PlannedOrders[EffectiveQty],T_PlannedOrders[Part Name],$A221,T_PlannedOrders[WeekIndex],101)&amp;" ("&amp;TEXT(SUMPRODUCT(MAX((T_PlannedOrders[Part Name]=$A221)*(T_PlannedOrders[WeekIndex]=101)*(T_PlannedOrders[EffectiveQty]&gt;0)*T_PlannedOrders[Order_Month])),"m月")&amp;"発注)")</f>
        <v/>
      </c>
      <c r="DA339">
        <f>IF(SUMIFS(T_PlannedOrders[EffectiveQty],T_PlannedOrders[Part Name],$A221,T_PlannedOrders[WeekIndex],102)=0,"",SUMIFS(T_PlannedOrders[EffectiveQty],T_PlannedOrders[Part Name],$A221,T_PlannedOrders[WeekIndex],102)&amp;" ("&amp;TEXT(SUMPRODUCT(MAX((T_PlannedOrders[Part Name]=$A221)*(T_PlannedOrders[WeekIndex]=102)*(T_PlannedOrders[EffectiveQty]&gt;0)*T_PlannedOrders[Order_Month])),"m月")&amp;"発注)")</f>
        <v/>
      </c>
      <c r="DB339">
        <f>IF(SUMIFS(T_PlannedOrders[EffectiveQty],T_PlannedOrders[Part Name],$A221,T_PlannedOrders[WeekIndex],103)=0,"",SUMIFS(T_PlannedOrders[EffectiveQty],T_PlannedOrders[Part Name],$A221,T_PlannedOrders[WeekIndex],103)&amp;" ("&amp;TEXT(SUMPRODUCT(MAX((T_PlannedOrders[Part Name]=$A221)*(T_PlannedOrders[WeekIndex]=103)*(T_PlannedOrders[EffectiveQty]&gt;0)*T_PlannedOrders[Order_Month])),"m月")&amp;"発注)")</f>
        <v/>
      </c>
      <c r="DC339">
        <f>IF(SUMIFS(T_PlannedOrders[EffectiveQty],T_PlannedOrders[Part Name],$A221,T_PlannedOrders[WeekIndex],104)=0,"",SUMIFS(T_PlannedOrders[EffectiveQty],T_PlannedOrders[Part Name],$A221,T_PlannedOrders[WeekIndex],104)&amp;" ("&amp;TEXT(SUMPRODUCT(MAX((T_PlannedOrders[Part Name]=$A221)*(T_PlannedOrders[WeekIndex]=104)*(T_PlannedOrders[EffectiveQty]&gt;0)*T_PlannedOrders[Order_Month])),"m月")&amp;"発注)")</f>
        <v/>
      </c>
    </row>
    <row r="340">
      <c r="B340" s="9" t="inlineStr">
        <is>
          <t>合計在庫(週末時点,kg)</t>
        </is>
      </c>
      <c r="D340">
        <f>'Grid_Stock'!B10</f>
        <v/>
      </c>
      <c r="E340">
        <f>'Grid_Stock'!C10</f>
        <v/>
      </c>
      <c r="F340">
        <f>'Grid_Stock'!D10</f>
        <v/>
      </c>
      <c r="G340">
        <f>'Grid_Stock'!E10</f>
        <v/>
      </c>
      <c r="H340">
        <f>'Grid_Stock'!F10</f>
        <v/>
      </c>
      <c r="I340">
        <f>'Grid_Stock'!G10</f>
        <v/>
      </c>
      <c r="J340">
        <f>'Grid_Stock'!H10</f>
        <v/>
      </c>
      <c r="K340">
        <f>'Grid_Stock'!I10</f>
        <v/>
      </c>
      <c r="L340">
        <f>'Grid_Stock'!J10</f>
        <v/>
      </c>
      <c r="M340">
        <f>'Grid_Stock'!K10</f>
        <v/>
      </c>
      <c r="N340">
        <f>'Grid_Stock'!L10</f>
        <v/>
      </c>
      <c r="O340">
        <f>'Grid_Stock'!M10</f>
        <v/>
      </c>
      <c r="P340">
        <f>'Grid_Stock'!N10</f>
        <v/>
      </c>
      <c r="Q340">
        <f>'Grid_Stock'!O10</f>
        <v/>
      </c>
      <c r="R340">
        <f>'Grid_Stock'!P10</f>
        <v/>
      </c>
      <c r="S340">
        <f>'Grid_Stock'!Q10</f>
        <v/>
      </c>
      <c r="T340">
        <f>'Grid_Stock'!R10</f>
        <v/>
      </c>
      <c r="U340">
        <f>'Grid_Stock'!S10</f>
        <v/>
      </c>
      <c r="V340">
        <f>'Grid_Stock'!T10</f>
        <v/>
      </c>
      <c r="W340">
        <f>'Grid_Stock'!U10</f>
        <v/>
      </c>
      <c r="X340">
        <f>'Grid_Stock'!V10</f>
        <v/>
      </c>
      <c r="Y340">
        <f>'Grid_Stock'!W10</f>
        <v/>
      </c>
      <c r="Z340">
        <f>'Grid_Stock'!X10</f>
        <v/>
      </c>
      <c r="AA340">
        <f>'Grid_Stock'!Y10</f>
        <v/>
      </c>
      <c r="AB340">
        <f>'Grid_Stock'!Z10</f>
        <v/>
      </c>
      <c r="AC340">
        <f>'Grid_Stock'!AA10</f>
        <v/>
      </c>
      <c r="AD340">
        <f>'Grid_Stock'!AB10</f>
        <v/>
      </c>
      <c r="AE340">
        <f>'Grid_Stock'!AC10</f>
        <v/>
      </c>
      <c r="AF340">
        <f>'Grid_Stock'!AD10</f>
        <v/>
      </c>
      <c r="AG340">
        <f>'Grid_Stock'!AE10</f>
        <v/>
      </c>
      <c r="AH340">
        <f>'Grid_Stock'!AF10</f>
        <v/>
      </c>
      <c r="AI340">
        <f>'Grid_Stock'!AG10</f>
        <v/>
      </c>
      <c r="AJ340">
        <f>'Grid_Stock'!AH10</f>
        <v/>
      </c>
      <c r="AK340">
        <f>'Grid_Stock'!AI10</f>
        <v/>
      </c>
      <c r="AL340">
        <f>'Grid_Stock'!AJ10</f>
        <v/>
      </c>
      <c r="AM340">
        <f>'Grid_Stock'!AK10</f>
        <v/>
      </c>
      <c r="AN340">
        <f>'Grid_Stock'!AL10</f>
        <v/>
      </c>
      <c r="AO340">
        <f>'Grid_Stock'!AM10</f>
        <v/>
      </c>
      <c r="AP340">
        <f>'Grid_Stock'!AN10</f>
        <v/>
      </c>
      <c r="AQ340">
        <f>'Grid_Stock'!AO10</f>
        <v/>
      </c>
      <c r="AR340">
        <f>'Grid_Stock'!AP10</f>
        <v/>
      </c>
      <c r="AS340">
        <f>'Grid_Stock'!AQ10</f>
        <v/>
      </c>
      <c r="AT340">
        <f>'Grid_Stock'!AR10</f>
        <v/>
      </c>
      <c r="AU340">
        <f>'Grid_Stock'!AS10</f>
        <v/>
      </c>
      <c r="AV340">
        <f>'Grid_Stock'!AT10</f>
        <v/>
      </c>
      <c r="AW340">
        <f>'Grid_Stock'!AU10</f>
        <v/>
      </c>
      <c r="AX340">
        <f>'Grid_Stock'!AV10</f>
        <v/>
      </c>
      <c r="AY340">
        <f>'Grid_Stock'!AW10</f>
        <v/>
      </c>
      <c r="AZ340">
        <f>'Grid_Stock'!AX10</f>
        <v/>
      </c>
      <c r="BA340">
        <f>'Grid_Stock'!AY10</f>
        <v/>
      </c>
      <c r="BB340">
        <f>'Grid_Stock'!AZ10</f>
        <v/>
      </c>
      <c r="BC340">
        <f>'Grid_Stock'!BA10</f>
        <v/>
      </c>
      <c r="BD340">
        <f>'Grid_Stock'!BB10</f>
        <v/>
      </c>
      <c r="BE340">
        <f>'Grid_Stock'!BC10</f>
        <v/>
      </c>
      <c r="BF340">
        <f>'Grid_Stock'!BD10</f>
        <v/>
      </c>
      <c r="BG340">
        <f>'Grid_Stock'!BE10</f>
        <v/>
      </c>
      <c r="BH340">
        <f>'Grid_Stock'!BF10</f>
        <v/>
      </c>
      <c r="BI340">
        <f>'Grid_Stock'!BG10</f>
        <v/>
      </c>
      <c r="BJ340">
        <f>'Grid_Stock'!BH10</f>
        <v/>
      </c>
      <c r="BK340">
        <f>'Grid_Stock'!BI10</f>
        <v/>
      </c>
      <c r="BL340">
        <f>'Grid_Stock'!BJ10</f>
        <v/>
      </c>
      <c r="BM340">
        <f>'Grid_Stock'!BK10</f>
        <v/>
      </c>
      <c r="BN340">
        <f>'Grid_Stock'!BL10</f>
        <v/>
      </c>
      <c r="BO340">
        <f>'Grid_Stock'!BM10</f>
        <v/>
      </c>
      <c r="BP340">
        <f>'Grid_Stock'!BN10</f>
        <v/>
      </c>
      <c r="BQ340">
        <f>'Grid_Stock'!BO10</f>
        <v/>
      </c>
      <c r="BR340">
        <f>'Grid_Stock'!BP10</f>
        <v/>
      </c>
      <c r="BS340">
        <f>'Grid_Stock'!BQ10</f>
        <v/>
      </c>
      <c r="BT340">
        <f>'Grid_Stock'!BR10</f>
        <v/>
      </c>
      <c r="BU340">
        <f>'Grid_Stock'!BS10</f>
        <v/>
      </c>
      <c r="BV340">
        <f>'Grid_Stock'!BT10</f>
        <v/>
      </c>
      <c r="BW340">
        <f>'Grid_Stock'!BU10</f>
        <v/>
      </c>
      <c r="BX340">
        <f>'Grid_Stock'!BV10</f>
        <v/>
      </c>
      <c r="BY340">
        <f>'Grid_Stock'!BW10</f>
        <v/>
      </c>
      <c r="BZ340">
        <f>'Grid_Stock'!BX10</f>
        <v/>
      </c>
      <c r="CA340">
        <f>'Grid_Stock'!BY10</f>
        <v/>
      </c>
      <c r="CB340">
        <f>'Grid_Stock'!BZ10</f>
        <v/>
      </c>
      <c r="CC340">
        <f>'Grid_Stock'!CA10</f>
        <v/>
      </c>
      <c r="CD340">
        <f>'Grid_Stock'!CB10</f>
        <v/>
      </c>
      <c r="CE340">
        <f>'Grid_Stock'!CC10</f>
        <v/>
      </c>
      <c r="CF340">
        <f>'Grid_Stock'!CD10</f>
        <v/>
      </c>
      <c r="CG340">
        <f>'Grid_Stock'!CE10</f>
        <v/>
      </c>
      <c r="CH340">
        <f>'Grid_Stock'!CF10</f>
        <v/>
      </c>
      <c r="CI340">
        <f>'Grid_Stock'!CG10</f>
        <v/>
      </c>
      <c r="CJ340">
        <f>'Grid_Stock'!CH10</f>
        <v/>
      </c>
      <c r="CK340">
        <f>'Grid_Stock'!CI10</f>
        <v/>
      </c>
      <c r="CL340">
        <f>'Grid_Stock'!CJ10</f>
        <v/>
      </c>
      <c r="CM340">
        <f>'Grid_Stock'!CK10</f>
        <v/>
      </c>
      <c r="CN340">
        <f>'Grid_Stock'!CL10</f>
        <v/>
      </c>
      <c r="CO340">
        <f>'Grid_Stock'!CM10</f>
        <v/>
      </c>
      <c r="CP340">
        <f>'Grid_Stock'!CN10</f>
        <v/>
      </c>
      <c r="CQ340">
        <f>'Grid_Stock'!CO10</f>
        <v/>
      </c>
      <c r="CR340">
        <f>'Grid_Stock'!CP10</f>
        <v/>
      </c>
      <c r="CS340">
        <f>'Grid_Stock'!CQ10</f>
        <v/>
      </c>
      <c r="CT340">
        <f>'Grid_Stock'!CR10</f>
        <v/>
      </c>
      <c r="CU340">
        <f>'Grid_Stock'!CS10</f>
        <v/>
      </c>
      <c r="CV340">
        <f>'Grid_Stock'!CT10</f>
        <v/>
      </c>
      <c r="CW340">
        <f>'Grid_Stock'!CU10</f>
        <v/>
      </c>
      <c r="CX340">
        <f>'Grid_Stock'!CV10</f>
        <v/>
      </c>
      <c r="CY340">
        <f>'Grid_Stock'!CW10</f>
        <v/>
      </c>
      <c r="CZ340">
        <f>'Grid_Stock'!CX10</f>
        <v/>
      </c>
      <c r="DA340">
        <f>'Grid_Stock'!CY10</f>
        <v/>
      </c>
      <c r="DB340">
        <f>'Grid_Stock'!CZ10</f>
        <v/>
      </c>
      <c r="DC340">
        <f>'Grid_Stock'!DA10</f>
        <v/>
      </c>
    </row>
    <row r="341">
      <c r="B341" s="21" t="inlineStr">
        <is>
          <t>（発注の目安はDashboardの基準在庫[下限/上限]と色分けを参照）</t>
        </is>
      </c>
    </row>
    <row r="343">
      <c r="A343" s="19" t="inlineStr">
        <is>
          <t>CHEM-1400</t>
        </is>
      </c>
      <c r="B343" s="19" t="inlineStr">
        <is>
          <t>DISPAL 23N4-80</t>
        </is>
      </c>
      <c r="C343" s="20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/>
      <c r="X343" s="19" t="n"/>
      <c r="Y343" s="19" t="n"/>
      <c r="Z343" s="19" t="n"/>
      <c r="AA343" s="19" t="n"/>
      <c r="AB343" s="19" t="n"/>
      <c r="AC343" s="19" t="n"/>
      <c r="AD343" s="19" t="n"/>
      <c r="AE343" s="19" t="n"/>
      <c r="AF343" s="19" t="n"/>
      <c r="AG343" s="19" t="n"/>
      <c r="AH343" s="19" t="n"/>
      <c r="AI343" s="19" t="n"/>
      <c r="AJ343" s="19" t="n"/>
      <c r="AK343" s="19" t="n"/>
      <c r="AL343" s="19" t="n"/>
      <c r="AM343" s="19" t="n"/>
      <c r="AN343" s="19" t="n"/>
      <c r="AO343" s="19" t="n"/>
      <c r="AP343" s="19" t="n"/>
      <c r="AQ343" s="19" t="n"/>
      <c r="AR343" s="19" t="n"/>
      <c r="AS343" s="19" t="n"/>
      <c r="AT343" s="19" t="n"/>
      <c r="AU343" s="19" t="n"/>
      <c r="AV343" s="19" t="n"/>
      <c r="AW343" s="19" t="n"/>
      <c r="AX343" s="19" t="n"/>
      <c r="AY343" s="19" t="n"/>
      <c r="AZ343" s="19" t="n"/>
      <c r="BA343" s="19" t="n"/>
      <c r="BB343" s="19" t="n"/>
      <c r="BC343" s="19" t="n"/>
      <c r="BD343" s="19" t="n"/>
      <c r="BE343" s="19" t="n"/>
      <c r="BF343" s="19" t="n"/>
      <c r="BG343" s="19" t="n"/>
      <c r="BH343" s="19" t="n"/>
      <c r="BI343" s="19" t="n"/>
      <c r="BJ343" s="19" t="n"/>
      <c r="BK343" s="19" t="n"/>
      <c r="BL343" s="19" t="n"/>
      <c r="BM343" s="19" t="n"/>
      <c r="BN343" s="19" t="n"/>
      <c r="BO343" s="19" t="n"/>
      <c r="BP343" s="19" t="n"/>
      <c r="BQ343" s="19" t="n"/>
      <c r="BR343" s="19" t="n"/>
      <c r="BS343" s="19" t="n"/>
      <c r="BT343" s="19" t="n"/>
      <c r="BU343" s="19" t="n"/>
      <c r="BV343" s="19" t="n"/>
      <c r="BW343" s="19" t="n"/>
      <c r="BX343" s="19" t="n"/>
      <c r="BY343" s="19" t="n"/>
      <c r="BZ343" s="19" t="n"/>
      <c r="CA343" s="19" t="n"/>
      <c r="CB343" s="19" t="n"/>
      <c r="CC343" s="19" t="n"/>
      <c r="CD343" s="19" t="n"/>
      <c r="CE343" s="19" t="n"/>
      <c r="CF343" s="19" t="n"/>
      <c r="CG343" s="19" t="n"/>
      <c r="CH343" s="19" t="n"/>
      <c r="CI343" s="19" t="n"/>
      <c r="CJ343" s="19" t="n"/>
      <c r="CK343" s="19" t="n"/>
      <c r="CL343" s="19" t="n"/>
      <c r="CM343" s="19" t="n"/>
      <c r="CN343" s="19" t="n"/>
      <c r="CO343" s="19" t="n"/>
      <c r="CP343" s="19" t="n"/>
      <c r="CQ343" s="19" t="n"/>
      <c r="CR343" s="19" t="n"/>
      <c r="CS343" s="19" t="n"/>
      <c r="CT343" s="19" t="n"/>
      <c r="CU343" s="19" t="n"/>
      <c r="CV343" s="19" t="n"/>
      <c r="CW343" s="19" t="n"/>
      <c r="CX343" s="19" t="n"/>
      <c r="CY343" s="19" t="n"/>
      <c r="CZ343" s="19" t="n"/>
      <c r="DA343" s="19" t="n"/>
      <c r="DB343" s="19" t="n"/>
      <c r="DC343" s="19" t="n"/>
    </row>
    <row r="344">
      <c r="B344" t="inlineStr">
        <is>
          <t>TSP-050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12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TSP-078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12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TSP-105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12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TSP-199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12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TSP-205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TSP-206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TSP-218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TSP-219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TSP-225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12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TSP-360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12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t="inlineStr">
        <is>
          <t>TSP-367</t>
        </is>
      </c>
      <c r="C364" t="inlineStr">
        <is>
          <t>No. of batches</t>
        </is>
      </c>
      <c r="D364">
        <f>IFERROR(INDEX(PP_Grid[#Data],$DD364,2),0)</f>
        <v/>
      </c>
      <c r="E364">
        <f>IFERROR(INDEX(PP_Grid[#Data],$DD364,3),0)</f>
        <v/>
      </c>
      <c r="F364">
        <f>IFERROR(INDEX(PP_Grid[#Data],$DD364,4),0)</f>
        <v/>
      </c>
      <c r="G364">
        <f>IFERROR(INDEX(PP_Grid[#Data],$DD364,5),0)</f>
        <v/>
      </c>
      <c r="H364">
        <f>IFERROR(INDEX(PP_Grid[#Data],$DD364,6),0)</f>
        <v/>
      </c>
      <c r="I364">
        <f>IFERROR(INDEX(PP_Grid[#Data],$DD364,7),0)</f>
        <v/>
      </c>
      <c r="J364">
        <f>IFERROR(INDEX(PP_Grid[#Data],$DD364,8),0)</f>
        <v/>
      </c>
      <c r="K364">
        <f>IFERROR(INDEX(PP_Grid[#Data],$DD364,9),0)</f>
        <v/>
      </c>
      <c r="L364">
        <f>IFERROR(INDEX(PP_Grid[#Data],$DD364,10),0)</f>
        <v/>
      </c>
      <c r="M364">
        <f>IFERROR(INDEX(PP_Grid[#Data],$DD364,11),0)</f>
        <v/>
      </c>
      <c r="N364">
        <f>IFERROR(INDEX(PP_Grid[#Data],$DD364,12),0)</f>
        <v/>
      </c>
      <c r="O364">
        <f>IFERROR(INDEX(PP_Grid[#Data],$DD364,13),0)</f>
        <v/>
      </c>
      <c r="P364">
        <f>IFERROR(INDEX(PP_Grid[#Data],$DD364,14),0)</f>
        <v/>
      </c>
      <c r="Q364">
        <f>IFERROR(INDEX(PP_Grid[#Data],$DD364,15),0)</f>
        <v/>
      </c>
      <c r="R364">
        <f>IFERROR(INDEX(PP_Grid[#Data],$DD364,16),0)</f>
        <v/>
      </c>
      <c r="S364">
        <f>IFERROR(INDEX(PP_Grid[#Data],$DD364,17),0)</f>
        <v/>
      </c>
      <c r="T364">
        <f>IFERROR(INDEX(PP_Grid[#Data],$DD364,18),0)</f>
        <v/>
      </c>
      <c r="U364">
        <f>IFERROR(INDEX(PP_Grid[#Data],$DD364,19),0)</f>
        <v/>
      </c>
      <c r="V364">
        <f>IFERROR(INDEX(PP_Grid[#Data],$DD364,20),0)</f>
        <v/>
      </c>
      <c r="W364">
        <f>IFERROR(INDEX(PP_Grid[#Data],$DD364,21),0)</f>
        <v/>
      </c>
      <c r="X364">
        <f>IFERROR(INDEX(PP_Grid[#Data],$DD364,22),0)</f>
        <v/>
      </c>
      <c r="Y364">
        <f>IFERROR(INDEX(PP_Grid[#Data],$DD364,23),0)</f>
        <v/>
      </c>
      <c r="Z364">
        <f>IFERROR(INDEX(PP_Grid[#Data],$DD364,24),0)</f>
        <v/>
      </c>
      <c r="AA364">
        <f>IFERROR(INDEX(PP_Grid[#Data],$DD364,25),0)</f>
        <v/>
      </c>
      <c r="AB364">
        <f>IFERROR(INDEX(PP_Grid[#Data],$DD364,26),0)</f>
        <v/>
      </c>
      <c r="AC364">
        <f>IFERROR(INDEX(PP_Grid[#Data],$DD364,27),0)</f>
        <v/>
      </c>
      <c r="AD364">
        <f>IFERROR(INDEX(PP_Grid[#Data],$DD364,28),0)</f>
        <v/>
      </c>
      <c r="AE364">
        <f>IFERROR(INDEX(PP_Grid[#Data],$DD364,29),0)</f>
        <v/>
      </c>
      <c r="AF364">
        <f>IFERROR(INDEX(PP_Grid[#Data],$DD364,30),0)</f>
        <v/>
      </c>
      <c r="AG364">
        <f>IFERROR(INDEX(PP_Grid[#Data],$DD364,31),0)</f>
        <v/>
      </c>
      <c r="AH364">
        <f>IFERROR(INDEX(PP_Grid[#Data],$DD364,32),0)</f>
        <v/>
      </c>
      <c r="AI364">
        <f>IFERROR(INDEX(PP_Grid[#Data],$DD364,33),0)</f>
        <v/>
      </c>
      <c r="AJ364">
        <f>IFERROR(INDEX(PP_Grid[#Data],$DD364,34),0)</f>
        <v/>
      </c>
      <c r="AK364">
        <f>IFERROR(INDEX(PP_Grid[#Data],$DD364,35),0)</f>
        <v/>
      </c>
      <c r="AL364">
        <f>IFERROR(INDEX(PP_Grid[#Data],$DD364,36),0)</f>
        <v/>
      </c>
      <c r="AM364">
        <f>IFERROR(INDEX(PP_Grid[#Data],$DD364,37),0)</f>
        <v/>
      </c>
      <c r="AN364">
        <f>IFERROR(INDEX(PP_Grid[#Data],$DD364,38),0)</f>
        <v/>
      </c>
      <c r="AO364">
        <f>IFERROR(INDEX(PP_Grid[#Data],$DD364,39),0)</f>
        <v/>
      </c>
      <c r="AP364">
        <f>IFERROR(INDEX(PP_Grid[#Data],$DD364,40),0)</f>
        <v/>
      </c>
      <c r="AQ364">
        <f>IFERROR(INDEX(PP_Grid[#Data],$DD364,41),0)</f>
        <v/>
      </c>
      <c r="AR364">
        <f>IFERROR(INDEX(PP_Grid[#Data],$DD364,42),0)</f>
        <v/>
      </c>
      <c r="AS364">
        <f>IFERROR(INDEX(PP_Grid[#Data],$DD364,43),0)</f>
        <v/>
      </c>
      <c r="AT364">
        <f>IFERROR(INDEX(PP_Grid[#Data],$DD364,44),0)</f>
        <v/>
      </c>
      <c r="AU364">
        <f>IFERROR(INDEX(PP_Grid[#Data],$DD364,45),0)</f>
        <v/>
      </c>
      <c r="AV364">
        <f>IFERROR(INDEX(PP_Grid[#Data],$DD364,46),0)</f>
        <v/>
      </c>
      <c r="AW364">
        <f>IFERROR(INDEX(PP_Grid[#Data],$DD364,47),0)</f>
        <v/>
      </c>
      <c r="AX364">
        <f>IFERROR(INDEX(PP_Grid[#Data],$DD364,48),0)</f>
        <v/>
      </c>
      <c r="AY364">
        <f>IFERROR(INDEX(PP_Grid[#Data],$DD364,49),0)</f>
        <v/>
      </c>
      <c r="AZ364">
        <f>IFERROR(INDEX(PP_Grid[#Data],$DD364,50),0)</f>
        <v/>
      </c>
      <c r="BA364">
        <f>IFERROR(INDEX(PP_Grid[#Data],$DD364,51),0)</f>
        <v/>
      </c>
      <c r="BB364">
        <f>IFERROR(INDEX(PP_Grid[#Data],$DD364,52),0)</f>
        <v/>
      </c>
      <c r="BC364">
        <f>IFERROR(INDEX(PP_Grid[#Data],$DD364,53),0)</f>
        <v/>
      </c>
      <c r="BD364">
        <f>IFERROR(INDEX(PP_Grid[#Data],$DD364,54),0)</f>
        <v/>
      </c>
      <c r="BE364">
        <f>IFERROR(INDEX(PP_Grid[#Data],$DD364,55),0)</f>
        <v/>
      </c>
      <c r="BF364">
        <f>IFERROR(INDEX(PP_Grid[#Data],$DD364,56),0)</f>
        <v/>
      </c>
      <c r="BG364">
        <f>IFERROR(INDEX(PP_Grid[#Data],$DD364,57),0)</f>
        <v/>
      </c>
      <c r="BH364">
        <f>IFERROR(INDEX(PP_Grid[#Data],$DD364,58),0)</f>
        <v/>
      </c>
      <c r="BI364">
        <f>IFERROR(INDEX(PP_Grid[#Data],$DD364,59),0)</f>
        <v/>
      </c>
      <c r="BJ364">
        <f>IFERROR(INDEX(PP_Grid[#Data],$DD364,60),0)</f>
        <v/>
      </c>
      <c r="BK364">
        <f>IFERROR(INDEX(PP_Grid[#Data],$DD364,61),0)</f>
        <v/>
      </c>
      <c r="BL364">
        <f>IFERROR(INDEX(PP_Grid[#Data],$DD364,62),0)</f>
        <v/>
      </c>
      <c r="BM364">
        <f>IFERROR(INDEX(PP_Grid[#Data],$DD364,63),0)</f>
        <v/>
      </c>
      <c r="BN364">
        <f>IFERROR(INDEX(PP_Grid[#Data],$DD364,64),0)</f>
        <v/>
      </c>
      <c r="BO364">
        <f>IFERROR(INDEX(PP_Grid[#Data],$DD364,65),0)</f>
        <v/>
      </c>
      <c r="BP364">
        <f>IFERROR(INDEX(PP_Grid[#Data],$DD364,66),0)</f>
        <v/>
      </c>
      <c r="BQ364">
        <f>IFERROR(INDEX(PP_Grid[#Data],$DD364,67),0)</f>
        <v/>
      </c>
      <c r="BR364">
        <f>IFERROR(INDEX(PP_Grid[#Data],$DD364,68),0)</f>
        <v/>
      </c>
      <c r="BS364">
        <f>IFERROR(INDEX(PP_Grid[#Data],$DD364,69),0)</f>
        <v/>
      </c>
      <c r="BT364">
        <f>IFERROR(INDEX(PP_Grid[#Data],$DD364,70),0)</f>
        <v/>
      </c>
      <c r="BU364">
        <f>IFERROR(INDEX(PP_Grid[#Data],$DD364,71),0)</f>
        <v/>
      </c>
      <c r="BV364">
        <f>IFERROR(INDEX(PP_Grid[#Data],$DD364,72),0)</f>
        <v/>
      </c>
      <c r="BW364">
        <f>IFERROR(INDEX(PP_Grid[#Data],$DD364,73),0)</f>
        <v/>
      </c>
      <c r="BX364">
        <f>IFERROR(INDEX(PP_Grid[#Data],$DD364,74),0)</f>
        <v/>
      </c>
      <c r="BY364">
        <f>IFERROR(INDEX(PP_Grid[#Data],$DD364,75),0)</f>
        <v/>
      </c>
      <c r="BZ364">
        <f>IFERROR(INDEX(PP_Grid[#Data],$DD364,76),0)</f>
        <v/>
      </c>
      <c r="CA364">
        <f>IFERROR(INDEX(PP_Grid[#Data],$DD364,77),0)</f>
        <v/>
      </c>
      <c r="CB364">
        <f>IFERROR(INDEX(PP_Grid[#Data],$DD364,78),0)</f>
        <v/>
      </c>
      <c r="CC364">
        <f>IFERROR(INDEX(PP_Grid[#Data],$DD364,79),0)</f>
        <v/>
      </c>
      <c r="CD364">
        <f>IFERROR(INDEX(PP_Grid[#Data],$DD364,80),0)</f>
        <v/>
      </c>
      <c r="CE364">
        <f>IFERROR(INDEX(PP_Grid[#Data],$DD364,81),0)</f>
        <v/>
      </c>
      <c r="CF364">
        <f>IFERROR(INDEX(PP_Grid[#Data],$DD364,82),0)</f>
        <v/>
      </c>
      <c r="CG364">
        <f>IFERROR(INDEX(PP_Grid[#Data],$DD364,83),0)</f>
        <v/>
      </c>
      <c r="CH364">
        <f>IFERROR(INDEX(PP_Grid[#Data],$DD364,84),0)</f>
        <v/>
      </c>
      <c r="CI364">
        <f>IFERROR(INDEX(PP_Grid[#Data],$DD364,85),0)</f>
        <v/>
      </c>
      <c r="CJ364">
        <f>IFERROR(INDEX(PP_Grid[#Data],$DD364,86),0)</f>
        <v/>
      </c>
      <c r="CK364">
        <f>IFERROR(INDEX(PP_Grid[#Data],$DD364,87),0)</f>
        <v/>
      </c>
      <c r="CL364">
        <f>IFERROR(INDEX(PP_Grid[#Data],$DD364,88),0)</f>
        <v/>
      </c>
      <c r="CM364">
        <f>IFERROR(INDEX(PP_Grid[#Data],$DD364,89),0)</f>
        <v/>
      </c>
      <c r="CN364">
        <f>IFERROR(INDEX(PP_Grid[#Data],$DD364,90),0)</f>
        <v/>
      </c>
      <c r="CO364">
        <f>IFERROR(INDEX(PP_Grid[#Data],$DD364,91),0)</f>
        <v/>
      </c>
      <c r="CP364">
        <f>IFERROR(INDEX(PP_Grid[#Data],$DD364,92),0)</f>
        <v/>
      </c>
      <c r="CQ364">
        <f>IFERROR(INDEX(PP_Grid[#Data],$DD364,93),0)</f>
        <v/>
      </c>
      <c r="CR364">
        <f>IFERROR(INDEX(PP_Grid[#Data],$DD364,94),0)</f>
        <v/>
      </c>
      <c r="CS364">
        <f>IFERROR(INDEX(PP_Grid[#Data],$DD364,95),0)</f>
        <v/>
      </c>
      <c r="CT364">
        <f>IFERROR(INDEX(PP_Grid[#Data],$DD364,96),0)</f>
        <v/>
      </c>
      <c r="CU364">
        <f>IFERROR(INDEX(PP_Grid[#Data],$DD364,97),0)</f>
        <v/>
      </c>
      <c r="CV364">
        <f>IFERROR(INDEX(PP_Grid[#Data],$DD364,98),0)</f>
        <v/>
      </c>
      <c r="CW364">
        <f>IFERROR(INDEX(PP_Grid[#Data],$DD364,99),0)</f>
        <v/>
      </c>
      <c r="CX364">
        <f>IFERROR(INDEX(PP_Grid[#Data],$DD364,100),0)</f>
        <v/>
      </c>
      <c r="CY364">
        <f>IFERROR(INDEX(PP_Grid[#Data],$DD364,101),0)</f>
        <v/>
      </c>
      <c r="CZ364">
        <f>IFERROR(INDEX(PP_Grid[#Data],$DD364,102),0)</f>
        <v/>
      </c>
      <c r="DA364">
        <f>IFERROR(INDEX(PP_Grid[#Data],$DD364,103),0)</f>
        <v/>
      </c>
      <c r="DB364">
        <f>IFERROR(INDEX(PP_Grid[#Data],$DD364,104),0)</f>
        <v/>
      </c>
      <c r="DC364">
        <f>IFERROR(INDEX(PP_Grid[#Data],$DD364,105),0)</f>
        <v/>
      </c>
      <c r="DD364" s="12">
        <f>IFERROR(MATCH($B364,PP_Grid[Intermediate],0),99999)</f>
        <v/>
      </c>
    </row>
    <row r="365">
      <c r="B365" t="inlineStr">
        <is>
          <t>使用量(kg)</t>
        </is>
      </c>
      <c r="C365">
        <f>SUMIFS(M_BOM[RM_Qty_Per_Batch],M_BOM[Intermediate],$B364,M_BOM[Part Name],$A343)</f>
        <v/>
      </c>
      <c r="D365">
        <f>$C365*D364</f>
        <v/>
      </c>
      <c r="E365">
        <f>$C365*E364</f>
        <v/>
      </c>
      <c r="F365">
        <f>$C365*F364</f>
        <v/>
      </c>
      <c r="G365">
        <f>$C365*G364</f>
        <v/>
      </c>
      <c r="H365">
        <f>$C365*H364</f>
        <v/>
      </c>
      <c r="I365">
        <f>$C365*I364</f>
        <v/>
      </c>
      <c r="J365">
        <f>$C365*J364</f>
        <v/>
      </c>
      <c r="K365">
        <f>$C365*K364</f>
        <v/>
      </c>
      <c r="L365">
        <f>$C365*L364</f>
        <v/>
      </c>
      <c r="M365">
        <f>$C365*M364</f>
        <v/>
      </c>
      <c r="N365">
        <f>$C365*N364</f>
        <v/>
      </c>
      <c r="O365">
        <f>$C365*O364</f>
        <v/>
      </c>
      <c r="P365">
        <f>$C365*P364</f>
        <v/>
      </c>
      <c r="Q365">
        <f>$C365*Q364</f>
        <v/>
      </c>
      <c r="R365">
        <f>$C365*R364</f>
        <v/>
      </c>
      <c r="S365">
        <f>$C365*S364</f>
        <v/>
      </c>
      <c r="T365">
        <f>$C365*T364</f>
        <v/>
      </c>
      <c r="U365">
        <f>$C365*U364</f>
        <v/>
      </c>
      <c r="V365">
        <f>$C365*V364</f>
        <v/>
      </c>
      <c r="W365">
        <f>$C365*W364</f>
        <v/>
      </c>
      <c r="X365">
        <f>$C365*X364</f>
        <v/>
      </c>
      <c r="Y365">
        <f>$C365*Y364</f>
        <v/>
      </c>
      <c r="Z365">
        <f>$C365*Z364</f>
        <v/>
      </c>
      <c r="AA365">
        <f>$C365*AA364</f>
        <v/>
      </c>
      <c r="AB365">
        <f>$C365*AB364</f>
        <v/>
      </c>
      <c r="AC365">
        <f>$C365*AC364</f>
        <v/>
      </c>
      <c r="AD365">
        <f>$C365*AD364</f>
        <v/>
      </c>
      <c r="AE365">
        <f>$C365*AE364</f>
        <v/>
      </c>
      <c r="AF365">
        <f>$C365*AF364</f>
        <v/>
      </c>
      <c r="AG365">
        <f>$C365*AG364</f>
        <v/>
      </c>
      <c r="AH365">
        <f>$C365*AH364</f>
        <v/>
      </c>
      <c r="AI365">
        <f>$C365*AI364</f>
        <v/>
      </c>
      <c r="AJ365">
        <f>$C365*AJ364</f>
        <v/>
      </c>
      <c r="AK365">
        <f>$C365*AK364</f>
        <v/>
      </c>
      <c r="AL365">
        <f>$C365*AL364</f>
        <v/>
      </c>
      <c r="AM365">
        <f>$C365*AM364</f>
        <v/>
      </c>
      <c r="AN365">
        <f>$C365*AN364</f>
        <v/>
      </c>
      <c r="AO365">
        <f>$C365*AO364</f>
        <v/>
      </c>
      <c r="AP365">
        <f>$C365*AP364</f>
        <v/>
      </c>
      <c r="AQ365">
        <f>$C365*AQ364</f>
        <v/>
      </c>
      <c r="AR365">
        <f>$C365*AR364</f>
        <v/>
      </c>
      <c r="AS365">
        <f>$C365*AS364</f>
        <v/>
      </c>
      <c r="AT365">
        <f>$C365*AT364</f>
        <v/>
      </c>
      <c r="AU365">
        <f>$C365*AU364</f>
        <v/>
      </c>
      <c r="AV365">
        <f>$C365*AV364</f>
        <v/>
      </c>
      <c r="AW365">
        <f>$C365*AW364</f>
        <v/>
      </c>
      <c r="AX365">
        <f>$C365*AX364</f>
        <v/>
      </c>
      <c r="AY365">
        <f>$C365*AY364</f>
        <v/>
      </c>
      <c r="AZ365">
        <f>$C365*AZ364</f>
        <v/>
      </c>
      <c r="BA365">
        <f>$C365*BA364</f>
        <v/>
      </c>
      <c r="BB365">
        <f>$C365*BB364</f>
        <v/>
      </c>
      <c r="BC365">
        <f>$C365*BC364</f>
        <v/>
      </c>
      <c r="BD365">
        <f>$C365*BD364</f>
        <v/>
      </c>
      <c r="BE365">
        <f>$C365*BE364</f>
        <v/>
      </c>
      <c r="BF365">
        <f>$C365*BF364</f>
        <v/>
      </c>
      <c r="BG365">
        <f>$C365*BG364</f>
        <v/>
      </c>
      <c r="BH365">
        <f>$C365*BH364</f>
        <v/>
      </c>
      <c r="BI365">
        <f>$C365*BI364</f>
        <v/>
      </c>
      <c r="BJ365">
        <f>$C365*BJ364</f>
        <v/>
      </c>
      <c r="BK365">
        <f>$C365*BK364</f>
        <v/>
      </c>
      <c r="BL365">
        <f>$C365*BL364</f>
        <v/>
      </c>
      <c r="BM365">
        <f>$C365*BM364</f>
        <v/>
      </c>
      <c r="BN365">
        <f>$C365*BN364</f>
        <v/>
      </c>
      <c r="BO365">
        <f>$C365*BO364</f>
        <v/>
      </c>
      <c r="BP365">
        <f>$C365*BP364</f>
        <v/>
      </c>
      <c r="BQ365">
        <f>$C365*BQ364</f>
        <v/>
      </c>
      <c r="BR365">
        <f>$C365*BR364</f>
        <v/>
      </c>
      <c r="BS365">
        <f>$C365*BS364</f>
        <v/>
      </c>
      <c r="BT365">
        <f>$C365*BT364</f>
        <v/>
      </c>
      <c r="BU365">
        <f>$C365*BU364</f>
        <v/>
      </c>
      <c r="BV365">
        <f>$C365*BV364</f>
        <v/>
      </c>
      <c r="BW365">
        <f>$C365*BW364</f>
        <v/>
      </c>
      <c r="BX365">
        <f>$C365*BX364</f>
        <v/>
      </c>
      <c r="BY365">
        <f>$C365*BY364</f>
        <v/>
      </c>
      <c r="BZ365">
        <f>$C365*BZ364</f>
        <v/>
      </c>
      <c r="CA365">
        <f>$C365*CA364</f>
        <v/>
      </c>
      <c r="CB365">
        <f>$C365*CB364</f>
        <v/>
      </c>
      <c r="CC365">
        <f>$C365*CC364</f>
        <v/>
      </c>
      <c r="CD365">
        <f>$C365*CD364</f>
        <v/>
      </c>
      <c r="CE365">
        <f>$C365*CE364</f>
        <v/>
      </c>
      <c r="CF365">
        <f>$C365*CF364</f>
        <v/>
      </c>
      <c r="CG365">
        <f>$C365*CG364</f>
        <v/>
      </c>
      <c r="CH365">
        <f>$C365*CH364</f>
        <v/>
      </c>
      <c r="CI365">
        <f>$C365*CI364</f>
        <v/>
      </c>
      <c r="CJ365">
        <f>$C365*CJ364</f>
        <v/>
      </c>
      <c r="CK365">
        <f>$C365*CK364</f>
        <v/>
      </c>
      <c r="CL365">
        <f>$C365*CL364</f>
        <v/>
      </c>
      <c r="CM365">
        <f>$C365*CM364</f>
        <v/>
      </c>
      <c r="CN365">
        <f>$C365*CN364</f>
        <v/>
      </c>
      <c r="CO365">
        <f>$C365*CO364</f>
        <v/>
      </c>
      <c r="CP365">
        <f>$C365*CP364</f>
        <v/>
      </c>
      <c r="CQ365">
        <f>$C365*CQ364</f>
        <v/>
      </c>
      <c r="CR365">
        <f>$C365*CR364</f>
        <v/>
      </c>
      <c r="CS365">
        <f>$C365*CS364</f>
        <v/>
      </c>
      <c r="CT365">
        <f>$C365*CT364</f>
        <v/>
      </c>
      <c r="CU365">
        <f>$C365*CU364</f>
        <v/>
      </c>
      <c r="CV365">
        <f>$C365*CV364</f>
        <v/>
      </c>
      <c r="CW365">
        <f>$C365*CW364</f>
        <v/>
      </c>
      <c r="CX365">
        <f>$C365*CX364</f>
        <v/>
      </c>
      <c r="CY365">
        <f>$C365*CY364</f>
        <v/>
      </c>
      <c r="CZ365">
        <f>$C365*CZ364</f>
        <v/>
      </c>
      <c r="DA365">
        <f>$C365*DA364</f>
        <v/>
      </c>
      <c r="DB365">
        <f>$C365*DB364</f>
        <v/>
      </c>
      <c r="DC365">
        <f>$C365*DC364</f>
        <v/>
      </c>
    </row>
    <row r="366">
      <c r="B366" t="inlineStr">
        <is>
          <t>TSP-369</t>
        </is>
      </c>
      <c r="C366" t="inlineStr">
        <is>
          <t>No. of batches</t>
        </is>
      </c>
      <c r="D366">
        <f>IFERROR(INDEX(PP_Grid[#Data],$DD366,2),0)</f>
        <v/>
      </c>
      <c r="E366">
        <f>IFERROR(INDEX(PP_Grid[#Data],$DD366,3),0)</f>
        <v/>
      </c>
      <c r="F366">
        <f>IFERROR(INDEX(PP_Grid[#Data],$DD366,4),0)</f>
        <v/>
      </c>
      <c r="G366">
        <f>IFERROR(INDEX(PP_Grid[#Data],$DD366,5),0)</f>
        <v/>
      </c>
      <c r="H366">
        <f>IFERROR(INDEX(PP_Grid[#Data],$DD366,6),0)</f>
        <v/>
      </c>
      <c r="I366">
        <f>IFERROR(INDEX(PP_Grid[#Data],$DD366,7),0)</f>
        <v/>
      </c>
      <c r="J366">
        <f>IFERROR(INDEX(PP_Grid[#Data],$DD366,8),0)</f>
        <v/>
      </c>
      <c r="K366">
        <f>IFERROR(INDEX(PP_Grid[#Data],$DD366,9),0)</f>
        <v/>
      </c>
      <c r="L366">
        <f>IFERROR(INDEX(PP_Grid[#Data],$DD366,10),0)</f>
        <v/>
      </c>
      <c r="M366">
        <f>IFERROR(INDEX(PP_Grid[#Data],$DD366,11),0)</f>
        <v/>
      </c>
      <c r="N366">
        <f>IFERROR(INDEX(PP_Grid[#Data],$DD366,12),0)</f>
        <v/>
      </c>
      <c r="O366">
        <f>IFERROR(INDEX(PP_Grid[#Data],$DD366,13),0)</f>
        <v/>
      </c>
      <c r="P366">
        <f>IFERROR(INDEX(PP_Grid[#Data],$DD366,14),0)</f>
        <v/>
      </c>
      <c r="Q366">
        <f>IFERROR(INDEX(PP_Grid[#Data],$DD366,15),0)</f>
        <v/>
      </c>
      <c r="R366">
        <f>IFERROR(INDEX(PP_Grid[#Data],$DD366,16),0)</f>
        <v/>
      </c>
      <c r="S366">
        <f>IFERROR(INDEX(PP_Grid[#Data],$DD366,17),0)</f>
        <v/>
      </c>
      <c r="T366">
        <f>IFERROR(INDEX(PP_Grid[#Data],$DD366,18),0)</f>
        <v/>
      </c>
      <c r="U366">
        <f>IFERROR(INDEX(PP_Grid[#Data],$DD366,19),0)</f>
        <v/>
      </c>
      <c r="V366">
        <f>IFERROR(INDEX(PP_Grid[#Data],$DD366,20),0)</f>
        <v/>
      </c>
      <c r="W366">
        <f>IFERROR(INDEX(PP_Grid[#Data],$DD366,21),0)</f>
        <v/>
      </c>
      <c r="X366">
        <f>IFERROR(INDEX(PP_Grid[#Data],$DD366,22),0)</f>
        <v/>
      </c>
      <c r="Y366">
        <f>IFERROR(INDEX(PP_Grid[#Data],$DD366,23),0)</f>
        <v/>
      </c>
      <c r="Z366">
        <f>IFERROR(INDEX(PP_Grid[#Data],$DD366,24),0)</f>
        <v/>
      </c>
      <c r="AA366">
        <f>IFERROR(INDEX(PP_Grid[#Data],$DD366,25),0)</f>
        <v/>
      </c>
      <c r="AB366">
        <f>IFERROR(INDEX(PP_Grid[#Data],$DD366,26),0)</f>
        <v/>
      </c>
      <c r="AC366">
        <f>IFERROR(INDEX(PP_Grid[#Data],$DD366,27),0)</f>
        <v/>
      </c>
      <c r="AD366">
        <f>IFERROR(INDEX(PP_Grid[#Data],$DD366,28),0)</f>
        <v/>
      </c>
      <c r="AE366">
        <f>IFERROR(INDEX(PP_Grid[#Data],$DD366,29),0)</f>
        <v/>
      </c>
      <c r="AF366">
        <f>IFERROR(INDEX(PP_Grid[#Data],$DD366,30),0)</f>
        <v/>
      </c>
      <c r="AG366">
        <f>IFERROR(INDEX(PP_Grid[#Data],$DD366,31),0)</f>
        <v/>
      </c>
      <c r="AH366">
        <f>IFERROR(INDEX(PP_Grid[#Data],$DD366,32),0)</f>
        <v/>
      </c>
      <c r="AI366">
        <f>IFERROR(INDEX(PP_Grid[#Data],$DD366,33),0)</f>
        <v/>
      </c>
      <c r="AJ366">
        <f>IFERROR(INDEX(PP_Grid[#Data],$DD366,34),0)</f>
        <v/>
      </c>
      <c r="AK366">
        <f>IFERROR(INDEX(PP_Grid[#Data],$DD366,35),0)</f>
        <v/>
      </c>
      <c r="AL366">
        <f>IFERROR(INDEX(PP_Grid[#Data],$DD366,36),0)</f>
        <v/>
      </c>
      <c r="AM366">
        <f>IFERROR(INDEX(PP_Grid[#Data],$DD366,37),0)</f>
        <v/>
      </c>
      <c r="AN366">
        <f>IFERROR(INDEX(PP_Grid[#Data],$DD366,38),0)</f>
        <v/>
      </c>
      <c r="AO366">
        <f>IFERROR(INDEX(PP_Grid[#Data],$DD366,39),0)</f>
        <v/>
      </c>
      <c r="AP366">
        <f>IFERROR(INDEX(PP_Grid[#Data],$DD366,40),0)</f>
        <v/>
      </c>
      <c r="AQ366">
        <f>IFERROR(INDEX(PP_Grid[#Data],$DD366,41),0)</f>
        <v/>
      </c>
      <c r="AR366">
        <f>IFERROR(INDEX(PP_Grid[#Data],$DD366,42),0)</f>
        <v/>
      </c>
      <c r="AS366">
        <f>IFERROR(INDEX(PP_Grid[#Data],$DD366,43),0)</f>
        <v/>
      </c>
      <c r="AT366">
        <f>IFERROR(INDEX(PP_Grid[#Data],$DD366,44),0)</f>
        <v/>
      </c>
      <c r="AU366">
        <f>IFERROR(INDEX(PP_Grid[#Data],$DD366,45),0)</f>
        <v/>
      </c>
      <c r="AV366">
        <f>IFERROR(INDEX(PP_Grid[#Data],$DD366,46),0)</f>
        <v/>
      </c>
      <c r="AW366">
        <f>IFERROR(INDEX(PP_Grid[#Data],$DD366,47),0)</f>
        <v/>
      </c>
      <c r="AX366">
        <f>IFERROR(INDEX(PP_Grid[#Data],$DD366,48),0)</f>
        <v/>
      </c>
      <c r="AY366">
        <f>IFERROR(INDEX(PP_Grid[#Data],$DD366,49),0)</f>
        <v/>
      </c>
      <c r="AZ366">
        <f>IFERROR(INDEX(PP_Grid[#Data],$DD366,50),0)</f>
        <v/>
      </c>
      <c r="BA366">
        <f>IFERROR(INDEX(PP_Grid[#Data],$DD366,51),0)</f>
        <v/>
      </c>
      <c r="BB366">
        <f>IFERROR(INDEX(PP_Grid[#Data],$DD366,52),0)</f>
        <v/>
      </c>
      <c r="BC366">
        <f>IFERROR(INDEX(PP_Grid[#Data],$DD366,53),0)</f>
        <v/>
      </c>
      <c r="BD366">
        <f>IFERROR(INDEX(PP_Grid[#Data],$DD366,54),0)</f>
        <v/>
      </c>
      <c r="BE366">
        <f>IFERROR(INDEX(PP_Grid[#Data],$DD366,55),0)</f>
        <v/>
      </c>
      <c r="BF366">
        <f>IFERROR(INDEX(PP_Grid[#Data],$DD366,56),0)</f>
        <v/>
      </c>
      <c r="BG366">
        <f>IFERROR(INDEX(PP_Grid[#Data],$DD366,57),0)</f>
        <v/>
      </c>
      <c r="BH366">
        <f>IFERROR(INDEX(PP_Grid[#Data],$DD366,58),0)</f>
        <v/>
      </c>
      <c r="BI366">
        <f>IFERROR(INDEX(PP_Grid[#Data],$DD366,59),0)</f>
        <v/>
      </c>
      <c r="BJ366">
        <f>IFERROR(INDEX(PP_Grid[#Data],$DD366,60),0)</f>
        <v/>
      </c>
      <c r="BK366">
        <f>IFERROR(INDEX(PP_Grid[#Data],$DD366,61),0)</f>
        <v/>
      </c>
      <c r="BL366">
        <f>IFERROR(INDEX(PP_Grid[#Data],$DD366,62),0)</f>
        <v/>
      </c>
      <c r="BM366">
        <f>IFERROR(INDEX(PP_Grid[#Data],$DD366,63),0)</f>
        <v/>
      </c>
      <c r="BN366">
        <f>IFERROR(INDEX(PP_Grid[#Data],$DD366,64),0)</f>
        <v/>
      </c>
      <c r="BO366">
        <f>IFERROR(INDEX(PP_Grid[#Data],$DD366,65),0)</f>
        <v/>
      </c>
      <c r="BP366">
        <f>IFERROR(INDEX(PP_Grid[#Data],$DD366,66),0)</f>
        <v/>
      </c>
      <c r="BQ366">
        <f>IFERROR(INDEX(PP_Grid[#Data],$DD366,67),0)</f>
        <v/>
      </c>
      <c r="BR366">
        <f>IFERROR(INDEX(PP_Grid[#Data],$DD366,68),0)</f>
        <v/>
      </c>
      <c r="BS366">
        <f>IFERROR(INDEX(PP_Grid[#Data],$DD366,69),0)</f>
        <v/>
      </c>
      <c r="BT366">
        <f>IFERROR(INDEX(PP_Grid[#Data],$DD366,70),0)</f>
        <v/>
      </c>
      <c r="BU366">
        <f>IFERROR(INDEX(PP_Grid[#Data],$DD366,71),0)</f>
        <v/>
      </c>
      <c r="BV366">
        <f>IFERROR(INDEX(PP_Grid[#Data],$DD366,72),0)</f>
        <v/>
      </c>
      <c r="BW366">
        <f>IFERROR(INDEX(PP_Grid[#Data],$DD366,73),0)</f>
        <v/>
      </c>
      <c r="BX366">
        <f>IFERROR(INDEX(PP_Grid[#Data],$DD366,74),0)</f>
        <v/>
      </c>
      <c r="BY366">
        <f>IFERROR(INDEX(PP_Grid[#Data],$DD366,75),0)</f>
        <v/>
      </c>
      <c r="BZ366">
        <f>IFERROR(INDEX(PP_Grid[#Data],$DD366,76),0)</f>
        <v/>
      </c>
      <c r="CA366">
        <f>IFERROR(INDEX(PP_Grid[#Data],$DD366,77),0)</f>
        <v/>
      </c>
      <c r="CB366">
        <f>IFERROR(INDEX(PP_Grid[#Data],$DD366,78),0)</f>
        <v/>
      </c>
      <c r="CC366">
        <f>IFERROR(INDEX(PP_Grid[#Data],$DD366,79),0)</f>
        <v/>
      </c>
      <c r="CD366">
        <f>IFERROR(INDEX(PP_Grid[#Data],$DD366,80),0)</f>
        <v/>
      </c>
      <c r="CE366">
        <f>IFERROR(INDEX(PP_Grid[#Data],$DD366,81),0)</f>
        <v/>
      </c>
      <c r="CF366">
        <f>IFERROR(INDEX(PP_Grid[#Data],$DD366,82),0)</f>
        <v/>
      </c>
      <c r="CG366">
        <f>IFERROR(INDEX(PP_Grid[#Data],$DD366,83),0)</f>
        <v/>
      </c>
      <c r="CH366">
        <f>IFERROR(INDEX(PP_Grid[#Data],$DD366,84),0)</f>
        <v/>
      </c>
      <c r="CI366">
        <f>IFERROR(INDEX(PP_Grid[#Data],$DD366,85),0)</f>
        <v/>
      </c>
      <c r="CJ366">
        <f>IFERROR(INDEX(PP_Grid[#Data],$DD366,86),0)</f>
        <v/>
      </c>
      <c r="CK366">
        <f>IFERROR(INDEX(PP_Grid[#Data],$DD366,87),0)</f>
        <v/>
      </c>
      <c r="CL366">
        <f>IFERROR(INDEX(PP_Grid[#Data],$DD366,88),0)</f>
        <v/>
      </c>
      <c r="CM366">
        <f>IFERROR(INDEX(PP_Grid[#Data],$DD366,89),0)</f>
        <v/>
      </c>
      <c r="CN366">
        <f>IFERROR(INDEX(PP_Grid[#Data],$DD366,90),0)</f>
        <v/>
      </c>
      <c r="CO366">
        <f>IFERROR(INDEX(PP_Grid[#Data],$DD366,91),0)</f>
        <v/>
      </c>
      <c r="CP366">
        <f>IFERROR(INDEX(PP_Grid[#Data],$DD366,92),0)</f>
        <v/>
      </c>
      <c r="CQ366">
        <f>IFERROR(INDEX(PP_Grid[#Data],$DD366,93),0)</f>
        <v/>
      </c>
      <c r="CR366">
        <f>IFERROR(INDEX(PP_Grid[#Data],$DD366,94),0)</f>
        <v/>
      </c>
      <c r="CS366">
        <f>IFERROR(INDEX(PP_Grid[#Data],$DD366,95),0)</f>
        <v/>
      </c>
      <c r="CT366">
        <f>IFERROR(INDEX(PP_Grid[#Data],$DD366,96),0)</f>
        <v/>
      </c>
      <c r="CU366">
        <f>IFERROR(INDEX(PP_Grid[#Data],$DD366,97),0)</f>
        <v/>
      </c>
      <c r="CV366">
        <f>IFERROR(INDEX(PP_Grid[#Data],$DD366,98),0)</f>
        <v/>
      </c>
      <c r="CW366">
        <f>IFERROR(INDEX(PP_Grid[#Data],$DD366,99),0)</f>
        <v/>
      </c>
      <c r="CX366">
        <f>IFERROR(INDEX(PP_Grid[#Data],$DD366,100),0)</f>
        <v/>
      </c>
      <c r="CY366">
        <f>IFERROR(INDEX(PP_Grid[#Data],$DD366,101),0)</f>
        <v/>
      </c>
      <c r="CZ366">
        <f>IFERROR(INDEX(PP_Grid[#Data],$DD366,102),0)</f>
        <v/>
      </c>
      <c r="DA366">
        <f>IFERROR(INDEX(PP_Grid[#Data],$DD366,103),0)</f>
        <v/>
      </c>
      <c r="DB366">
        <f>IFERROR(INDEX(PP_Grid[#Data],$DD366,104),0)</f>
        <v/>
      </c>
      <c r="DC366">
        <f>IFERROR(INDEX(PP_Grid[#Data],$DD366,105),0)</f>
        <v/>
      </c>
      <c r="DD366" s="12">
        <f>IFERROR(MATCH($B366,PP_Grid[Intermediate],0),99999)</f>
        <v/>
      </c>
    </row>
    <row r="367">
      <c r="B367" t="inlineStr">
        <is>
          <t>使用量(kg)</t>
        </is>
      </c>
      <c r="C367">
        <f>SUMIFS(M_BOM[RM_Qty_Per_Batch],M_BOM[Intermediate],$B366,M_BOM[Part Name],$A343)</f>
        <v/>
      </c>
      <c r="D367">
        <f>$C367*D366</f>
        <v/>
      </c>
      <c r="E367">
        <f>$C367*E366</f>
        <v/>
      </c>
      <c r="F367">
        <f>$C367*F366</f>
        <v/>
      </c>
      <c r="G367">
        <f>$C367*G366</f>
        <v/>
      </c>
      <c r="H367">
        <f>$C367*H366</f>
        <v/>
      </c>
      <c r="I367">
        <f>$C367*I366</f>
        <v/>
      </c>
      <c r="J367">
        <f>$C367*J366</f>
        <v/>
      </c>
      <c r="K367">
        <f>$C367*K366</f>
        <v/>
      </c>
      <c r="L367">
        <f>$C367*L366</f>
        <v/>
      </c>
      <c r="M367">
        <f>$C367*M366</f>
        <v/>
      </c>
      <c r="N367">
        <f>$C367*N366</f>
        <v/>
      </c>
      <c r="O367">
        <f>$C367*O366</f>
        <v/>
      </c>
      <c r="P367">
        <f>$C367*P366</f>
        <v/>
      </c>
      <c r="Q367">
        <f>$C367*Q366</f>
        <v/>
      </c>
      <c r="R367">
        <f>$C367*R366</f>
        <v/>
      </c>
      <c r="S367">
        <f>$C367*S366</f>
        <v/>
      </c>
      <c r="T367">
        <f>$C367*T366</f>
        <v/>
      </c>
      <c r="U367">
        <f>$C367*U366</f>
        <v/>
      </c>
      <c r="V367">
        <f>$C367*V366</f>
        <v/>
      </c>
      <c r="W367">
        <f>$C367*W366</f>
        <v/>
      </c>
      <c r="X367">
        <f>$C367*X366</f>
        <v/>
      </c>
      <c r="Y367">
        <f>$C367*Y366</f>
        <v/>
      </c>
      <c r="Z367">
        <f>$C367*Z366</f>
        <v/>
      </c>
      <c r="AA367">
        <f>$C367*AA366</f>
        <v/>
      </c>
      <c r="AB367">
        <f>$C367*AB366</f>
        <v/>
      </c>
      <c r="AC367">
        <f>$C367*AC366</f>
        <v/>
      </c>
      <c r="AD367">
        <f>$C367*AD366</f>
        <v/>
      </c>
      <c r="AE367">
        <f>$C367*AE366</f>
        <v/>
      </c>
      <c r="AF367">
        <f>$C367*AF366</f>
        <v/>
      </c>
      <c r="AG367">
        <f>$C367*AG366</f>
        <v/>
      </c>
      <c r="AH367">
        <f>$C367*AH366</f>
        <v/>
      </c>
      <c r="AI367">
        <f>$C367*AI366</f>
        <v/>
      </c>
      <c r="AJ367">
        <f>$C367*AJ366</f>
        <v/>
      </c>
      <c r="AK367">
        <f>$C367*AK366</f>
        <v/>
      </c>
      <c r="AL367">
        <f>$C367*AL366</f>
        <v/>
      </c>
      <c r="AM367">
        <f>$C367*AM366</f>
        <v/>
      </c>
      <c r="AN367">
        <f>$C367*AN366</f>
        <v/>
      </c>
      <c r="AO367">
        <f>$C367*AO366</f>
        <v/>
      </c>
      <c r="AP367">
        <f>$C367*AP366</f>
        <v/>
      </c>
      <c r="AQ367">
        <f>$C367*AQ366</f>
        <v/>
      </c>
      <c r="AR367">
        <f>$C367*AR366</f>
        <v/>
      </c>
      <c r="AS367">
        <f>$C367*AS366</f>
        <v/>
      </c>
      <c r="AT367">
        <f>$C367*AT366</f>
        <v/>
      </c>
      <c r="AU367">
        <f>$C367*AU366</f>
        <v/>
      </c>
      <c r="AV367">
        <f>$C367*AV366</f>
        <v/>
      </c>
      <c r="AW367">
        <f>$C367*AW366</f>
        <v/>
      </c>
      <c r="AX367">
        <f>$C367*AX366</f>
        <v/>
      </c>
      <c r="AY367">
        <f>$C367*AY366</f>
        <v/>
      </c>
      <c r="AZ367">
        <f>$C367*AZ366</f>
        <v/>
      </c>
      <c r="BA367">
        <f>$C367*BA366</f>
        <v/>
      </c>
      <c r="BB367">
        <f>$C367*BB366</f>
        <v/>
      </c>
      <c r="BC367">
        <f>$C367*BC366</f>
        <v/>
      </c>
      <c r="BD367">
        <f>$C367*BD366</f>
        <v/>
      </c>
      <c r="BE367">
        <f>$C367*BE366</f>
        <v/>
      </c>
      <c r="BF367">
        <f>$C367*BF366</f>
        <v/>
      </c>
      <c r="BG367">
        <f>$C367*BG366</f>
        <v/>
      </c>
      <c r="BH367">
        <f>$C367*BH366</f>
        <v/>
      </c>
      <c r="BI367">
        <f>$C367*BI366</f>
        <v/>
      </c>
      <c r="BJ367">
        <f>$C367*BJ366</f>
        <v/>
      </c>
      <c r="BK367">
        <f>$C367*BK366</f>
        <v/>
      </c>
      <c r="BL367">
        <f>$C367*BL366</f>
        <v/>
      </c>
      <c r="BM367">
        <f>$C367*BM366</f>
        <v/>
      </c>
      <c r="BN367">
        <f>$C367*BN366</f>
        <v/>
      </c>
      <c r="BO367">
        <f>$C367*BO366</f>
        <v/>
      </c>
      <c r="BP367">
        <f>$C367*BP366</f>
        <v/>
      </c>
      <c r="BQ367">
        <f>$C367*BQ366</f>
        <v/>
      </c>
      <c r="BR367">
        <f>$C367*BR366</f>
        <v/>
      </c>
      <c r="BS367">
        <f>$C367*BS366</f>
        <v/>
      </c>
      <c r="BT367">
        <f>$C367*BT366</f>
        <v/>
      </c>
      <c r="BU367">
        <f>$C367*BU366</f>
        <v/>
      </c>
      <c r="BV367">
        <f>$C367*BV366</f>
        <v/>
      </c>
      <c r="BW367">
        <f>$C367*BW366</f>
        <v/>
      </c>
      <c r="BX367">
        <f>$C367*BX366</f>
        <v/>
      </c>
      <c r="BY367">
        <f>$C367*BY366</f>
        <v/>
      </c>
      <c r="BZ367">
        <f>$C367*BZ366</f>
        <v/>
      </c>
      <c r="CA367">
        <f>$C367*CA366</f>
        <v/>
      </c>
      <c r="CB367">
        <f>$C367*CB366</f>
        <v/>
      </c>
      <c r="CC367">
        <f>$C367*CC366</f>
        <v/>
      </c>
      <c r="CD367">
        <f>$C367*CD366</f>
        <v/>
      </c>
      <c r="CE367">
        <f>$C367*CE366</f>
        <v/>
      </c>
      <c r="CF367">
        <f>$C367*CF366</f>
        <v/>
      </c>
      <c r="CG367">
        <f>$C367*CG366</f>
        <v/>
      </c>
      <c r="CH367">
        <f>$C367*CH366</f>
        <v/>
      </c>
      <c r="CI367">
        <f>$C367*CI366</f>
        <v/>
      </c>
      <c r="CJ367">
        <f>$C367*CJ366</f>
        <v/>
      </c>
      <c r="CK367">
        <f>$C367*CK366</f>
        <v/>
      </c>
      <c r="CL367">
        <f>$C367*CL366</f>
        <v/>
      </c>
      <c r="CM367">
        <f>$C367*CM366</f>
        <v/>
      </c>
      <c r="CN367">
        <f>$C367*CN366</f>
        <v/>
      </c>
      <c r="CO367">
        <f>$C367*CO366</f>
        <v/>
      </c>
      <c r="CP367">
        <f>$C367*CP366</f>
        <v/>
      </c>
      <c r="CQ367">
        <f>$C367*CQ366</f>
        <v/>
      </c>
      <c r="CR367">
        <f>$C367*CR366</f>
        <v/>
      </c>
      <c r="CS367">
        <f>$C367*CS366</f>
        <v/>
      </c>
      <c r="CT367">
        <f>$C367*CT366</f>
        <v/>
      </c>
      <c r="CU367">
        <f>$C367*CU366</f>
        <v/>
      </c>
      <c r="CV367">
        <f>$C367*CV366</f>
        <v/>
      </c>
      <c r="CW367">
        <f>$C367*CW366</f>
        <v/>
      </c>
      <c r="CX367">
        <f>$C367*CX366</f>
        <v/>
      </c>
      <c r="CY367">
        <f>$C367*CY366</f>
        <v/>
      </c>
      <c r="CZ367">
        <f>$C367*CZ366</f>
        <v/>
      </c>
      <c r="DA367">
        <f>$C367*DA366</f>
        <v/>
      </c>
      <c r="DB367">
        <f>$C367*DB366</f>
        <v/>
      </c>
      <c r="DC367">
        <f>$C367*DC366</f>
        <v/>
      </c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Name],$A343)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12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Name],$A343)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12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Name],$A343)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12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Name],$A343)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t="inlineStr">
        <is>
          <t>TSP-544</t>
        </is>
      </c>
      <c r="C376" t="inlineStr">
        <is>
          <t>No. of batches</t>
        </is>
      </c>
      <c r="D376">
        <f>IFERROR(INDEX(PP_Grid[#Data],$DD376,2),0)</f>
        <v/>
      </c>
      <c r="E376">
        <f>IFERROR(INDEX(PP_Grid[#Data],$DD376,3),0)</f>
        <v/>
      </c>
      <c r="F376">
        <f>IFERROR(INDEX(PP_Grid[#Data],$DD376,4),0)</f>
        <v/>
      </c>
      <c r="G376">
        <f>IFERROR(INDEX(PP_Grid[#Data],$DD376,5),0)</f>
        <v/>
      </c>
      <c r="H376">
        <f>IFERROR(INDEX(PP_Grid[#Data],$DD376,6),0)</f>
        <v/>
      </c>
      <c r="I376">
        <f>IFERROR(INDEX(PP_Grid[#Data],$DD376,7),0)</f>
        <v/>
      </c>
      <c r="J376">
        <f>IFERROR(INDEX(PP_Grid[#Data],$DD376,8),0)</f>
        <v/>
      </c>
      <c r="K376">
        <f>IFERROR(INDEX(PP_Grid[#Data],$DD376,9),0)</f>
        <v/>
      </c>
      <c r="L376">
        <f>IFERROR(INDEX(PP_Grid[#Data],$DD376,10),0)</f>
        <v/>
      </c>
      <c r="M376">
        <f>IFERROR(INDEX(PP_Grid[#Data],$DD376,11),0)</f>
        <v/>
      </c>
      <c r="N376">
        <f>IFERROR(INDEX(PP_Grid[#Data],$DD376,12),0)</f>
        <v/>
      </c>
      <c r="O376">
        <f>IFERROR(INDEX(PP_Grid[#Data],$DD376,13),0)</f>
        <v/>
      </c>
      <c r="P376">
        <f>IFERROR(INDEX(PP_Grid[#Data],$DD376,14),0)</f>
        <v/>
      </c>
      <c r="Q376">
        <f>IFERROR(INDEX(PP_Grid[#Data],$DD376,15),0)</f>
        <v/>
      </c>
      <c r="R376">
        <f>IFERROR(INDEX(PP_Grid[#Data],$DD376,16),0)</f>
        <v/>
      </c>
      <c r="S376">
        <f>IFERROR(INDEX(PP_Grid[#Data],$DD376,17),0)</f>
        <v/>
      </c>
      <c r="T376">
        <f>IFERROR(INDEX(PP_Grid[#Data],$DD376,18),0)</f>
        <v/>
      </c>
      <c r="U376">
        <f>IFERROR(INDEX(PP_Grid[#Data],$DD376,19),0)</f>
        <v/>
      </c>
      <c r="V376">
        <f>IFERROR(INDEX(PP_Grid[#Data],$DD376,20),0)</f>
        <v/>
      </c>
      <c r="W376">
        <f>IFERROR(INDEX(PP_Grid[#Data],$DD376,21),0)</f>
        <v/>
      </c>
      <c r="X376">
        <f>IFERROR(INDEX(PP_Grid[#Data],$DD376,22),0)</f>
        <v/>
      </c>
      <c r="Y376">
        <f>IFERROR(INDEX(PP_Grid[#Data],$DD376,23),0)</f>
        <v/>
      </c>
      <c r="Z376">
        <f>IFERROR(INDEX(PP_Grid[#Data],$DD376,24),0)</f>
        <v/>
      </c>
      <c r="AA376">
        <f>IFERROR(INDEX(PP_Grid[#Data],$DD376,25),0)</f>
        <v/>
      </c>
      <c r="AB376">
        <f>IFERROR(INDEX(PP_Grid[#Data],$DD376,26),0)</f>
        <v/>
      </c>
      <c r="AC376">
        <f>IFERROR(INDEX(PP_Grid[#Data],$DD376,27),0)</f>
        <v/>
      </c>
      <c r="AD376">
        <f>IFERROR(INDEX(PP_Grid[#Data],$DD376,28),0)</f>
        <v/>
      </c>
      <c r="AE376">
        <f>IFERROR(INDEX(PP_Grid[#Data],$DD376,29),0)</f>
        <v/>
      </c>
      <c r="AF376">
        <f>IFERROR(INDEX(PP_Grid[#Data],$DD376,30),0)</f>
        <v/>
      </c>
      <c r="AG376">
        <f>IFERROR(INDEX(PP_Grid[#Data],$DD376,31),0)</f>
        <v/>
      </c>
      <c r="AH376">
        <f>IFERROR(INDEX(PP_Grid[#Data],$DD376,32),0)</f>
        <v/>
      </c>
      <c r="AI376">
        <f>IFERROR(INDEX(PP_Grid[#Data],$DD376,33),0)</f>
        <v/>
      </c>
      <c r="AJ376">
        <f>IFERROR(INDEX(PP_Grid[#Data],$DD376,34),0)</f>
        <v/>
      </c>
      <c r="AK376">
        <f>IFERROR(INDEX(PP_Grid[#Data],$DD376,35),0)</f>
        <v/>
      </c>
      <c r="AL376">
        <f>IFERROR(INDEX(PP_Grid[#Data],$DD376,36),0)</f>
        <v/>
      </c>
      <c r="AM376">
        <f>IFERROR(INDEX(PP_Grid[#Data],$DD376,37),0)</f>
        <v/>
      </c>
      <c r="AN376">
        <f>IFERROR(INDEX(PP_Grid[#Data],$DD376,38),0)</f>
        <v/>
      </c>
      <c r="AO376">
        <f>IFERROR(INDEX(PP_Grid[#Data],$DD376,39),0)</f>
        <v/>
      </c>
      <c r="AP376">
        <f>IFERROR(INDEX(PP_Grid[#Data],$DD376,40),0)</f>
        <v/>
      </c>
      <c r="AQ376">
        <f>IFERROR(INDEX(PP_Grid[#Data],$DD376,41),0)</f>
        <v/>
      </c>
      <c r="AR376">
        <f>IFERROR(INDEX(PP_Grid[#Data],$DD376,42),0)</f>
        <v/>
      </c>
      <c r="AS376">
        <f>IFERROR(INDEX(PP_Grid[#Data],$DD376,43),0)</f>
        <v/>
      </c>
      <c r="AT376">
        <f>IFERROR(INDEX(PP_Grid[#Data],$DD376,44),0)</f>
        <v/>
      </c>
      <c r="AU376">
        <f>IFERROR(INDEX(PP_Grid[#Data],$DD376,45),0)</f>
        <v/>
      </c>
      <c r="AV376">
        <f>IFERROR(INDEX(PP_Grid[#Data],$DD376,46),0)</f>
        <v/>
      </c>
      <c r="AW376">
        <f>IFERROR(INDEX(PP_Grid[#Data],$DD376,47),0)</f>
        <v/>
      </c>
      <c r="AX376">
        <f>IFERROR(INDEX(PP_Grid[#Data],$DD376,48),0)</f>
        <v/>
      </c>
      <c r="AY376">
        <f>IFERROR(INDEX(PP_Grid[#Data],$DD376,49),0)</f>
        <v/>
      </c>
      <c r="AZ376">
        <f>IFERROR(INDEX(PP_Grid[#Data],$DD376,50),0)</f>
        <v/>
      </c>
      <c r="BA376">
        <f>IFERROR(INDEX(PP_Grid[#Data],$DD376,51),0)</f>
        <v/>
      </c>
      <c r="BB376">
        <f>IFERROR(INDEX(PP_Grid[#Data],$DD376,52),0)</f>
        <v/>
      </c>
      <c r="BC376">
        <f>IFERROR(INDEX(PP_Grid[#Data],$DD376,53),0)</f>
        <v/>
      </c>
      <c r="BD376">
        <f>IFERROR(INDEX(PP_Grid[#Data],$DD376,54),0)</f>
        <v/>
      </c>
      <c r="BE376">
        <f>IFERROR(INDEX(PP_Grid[#Data],$DD376,55),0)</f>
        <v/>
      </c>
      <c r="BF376">
        <f>IFERROR(INDEX(PP_Grid[#Data],$DD376,56),0)</f>
        <v/>
      </c>
      <c r="BG376">
        <f>IFERROR(INDEX(PP_Grid[#Data],$DD376,57),0)</f>
        <v/>
      </c>
      <c r="BH376">
        <f>IFERROR(INDEX(PP_Grid[#Data],$DD376,58),0)</f>
        <v/>
      </c>
      <c r="BI376">
        <f>IFERROR(INDEX(PP_Grid[#Data],$DD376,59),0)</f>
        <v/>
      </c>
      <c r="BJ376">
        <f>IFERROR(INDEX(PP_Grid[#Data],$DD376,60),0)</f>
        <v/>
      </c>
      <c r="BK376">
        <f>IFERROR(INDEX(PP_Grid[#Data],$DD376,61),0)</f>
        <v/>
      </c>
      <c r="BL376">
        <f>IFERROR(INDEX(PP_Grid[#Data],$DD376,62),0)</f>
        <v/>
      </c>
      <c r="BM376">
        <f>IFERROR(INDEX(PP_Grid[#Data],$DD376,63),0)</f>
        <v/>
      </c>
      <c r="BN376">
        <f>IFERROR(INDEX(PP_Grid[#Data],$DD376,64),0)</f>
        <v/>
      </c>
      <c r="BO376">
        <f>IFERROR(INDEX(PP_Grid[#Data],$DD376,65),0)</f>
        <v/>
      </c>
      <c r="BP376">
        <f>IFERROR(INDEX(PP_Grid[#Data],$DD376,66),0)</f>
        <v/>
      </c>
      <c r="BQ376">
        <f>IFERROR(INDEX(PP_Grid[#Data],$DD376,67),0)</f>
        <v/>
      </c>
      <c r="BR376">
        <f>IFERROR(INDEX(PP_Grid[#Data],$DD376,68),0)</f>
        <v/>
      </c>
      <c r="BS376">
        <f>IFERROR(INDEX(PP_Grid[#Data],$DD376,69),0)</f>
        <v/>
      </c>
      <c r="BT376">
        <f>IFERROR(INDEX(PP_Grid[#Data],$DD376,70),0)</f>
        <v/>
      </c>
      <c r="BU376">
        <f>IFERROR(INDEX(PP_Grid[#Data],$DD376,71),0)</f>
        <v/>
      </c>
      <c r="BV376">
        <f>IFERROR(INDEX(PP_Grid[#Data],$DD376,72),0)</f>
        <v/>
      </c>
      <c r="BW376">
        <f>IFERROR(INDEX(PP_Grid[#Data],$DD376,73),0)</f>
        <v/>
      </c>
      <c r="BX376">
        <f>IFERROR(INDEX(PP_Grid[#Data],$DD376,74),0)</f>
        <v/>
      </c>
      <c r="BY376">
        <f>IFERROR(INDEX(PP_Grid[#Data],$DD376,75),0)</f>
        <v/>
      </c>
      <c r="BZ376">
        <f>IFERROR(INDEX(PP_Grid[#Data],$DD376,76),0)</f>
        <v/>
      </c>
      <c r="CA376">
        <f>IFERROR(INDEX(PP_Grid[#Data],$DD376,77),0)</f>
        <v/>
      </c>
      <c r="CB376">
        <f>IFERROR(INDEX(PP_Grid[#Data],$DD376,78),0)</f>
        <v/>
      </c>
      <c r="CC376">
        <f>IFERROR(INDEX(PP_Grid[#Data],$DD376,79),0)</f>
        <v/>
      </c>
      <c r="CD376">
        <f>IFERROR(INDEX(PP_Grid[#Data],$DD376,80),0)</f>
        <v/>
      </c>
      <c r="CE376">
        <f>IFERROR(INDEX(PP_Grid[#Data],$DD376,81),0)</f>
        <v/>
      </c>
      <c r="CF376">
        <f>IFERROR(INDEX(PP_Grid[#Data],$DD376,82),0)</f>
        <v/>
      </c>
      <c r="CG376">
        <f>IFERROR(INDEX(PP_Grid[#Data],$DD376,83),0)</f>
        <v/>
      </c>
      <c r="CH376">
        <f>IFERROR(INDEX(PP_Grid[#Data],$DD376,84),0)</f>
        <v/>
      </c>
      <c r="CI376">
        <f>IFERROR(INDEX(PP_Grid[#Data],$DD376,85),0)</f>
        <v/>
      </c>
      <c r="CJ376">
        <f>IFERROR(INDEX(PP_Grid[#Data],$DD376,86),0)</f>
        <v/>
      </c>
      <c r="CK376">
        <f>IFERROR(INDEX(PP_Grid[#Data],$DD376,87),0)</f>
        <v/>
      </c>
      <c r="CL376">
        <f>IFERROR(INDEX(PP_Grid[#Data],$DD376,88),0)</f>
        <v/>
      </c>
      <c r="CM376">
        <f>IFERROR(INDEX(PP_Grid[#Data],$DD376,89),0)</f>
        <v/>
      </c>
      <c r="CN376">
        <f>IFERROR(INDEX(PP_Grid[#Data],$DD376,90),0)</f>
        <v/>
      </c>
      <c r="CO376">
        <f>IFERROR(INDEX(PP_Grid[#Data],$DD376,91),0)</f>
        <v/>
      </c>
      <c r="CP376">
        <f>IFERROR(INDEX(PP_Grid[#Data],$DD376,92),0)</f>
        <v/>
      </c>
      <c r="CQ376">
        <f>IFERROR(INDEX(PP_Grid[#Data],$DD376,93),0)</f>
        <v/>
      </c>
      <c r="CR376">
        <f>IFERROR(INDEX(PP_Grid[#Data],$DD376,94),0)</f>
        <v/>
      </c>
      <c r="CS376">
        <f>IFERROR(INDEX(PP_Grid[#Data],$DD376,95),0)</f>
        <v/>
      </c>
      <c r="CT376">
        <f>IFERROR(INDEX(PP_Grid[#Data],$DD376,96),0)</f>
        <v/>
      </c>
      <c r="CU376">
        <f>IFERROR(INDEX(PP_Grid[#Data],$DD376,97),0)</f>
        <v/>
      </c>
      <c r="CV376">
        <f>IFERROR(INDEX(PP_Grid[#Data],$DD376,98),0)</f>
        <v/>
      </c>
      <c r="CW376">
        <f>IFERROR(INDEX(PP_Grid[#Data],$DD376,99),0)</f>
        <v/>
      </c>
      <c r="CX376">
        <f>IFERROR(INDEX(PP_Grid[#Data],$DD376,100),0)</f>
        <v/>
      </c>
      <c r="CY376">
        <f>IFERROR(INDEX(PP_Grid[#Data],$DD376,101),0)</f>
        <v/>
      </c>
      <c r="CZ376">
        <f>IFERROR(INDEX(PP_Grid[#Data],$DD376,102),0)</f>
        <v/>
      </c>
      <c r="DA376">
        <f>IFERROR(INDEX(PP_Grid[#Data],$DD376,103),0)</f>
        <v/>
      </c>
      <c r="DB376">
        <f>IFERROR(INDEX(PP_Grid[#Data],$DD376,104),0)</f>
        <v/>
      </c>
      <c r="DC376">
        <f>IFERROR(INDEX(PP_Grid[#Data],$DD376,105),0)</f>
        <v/>
      </c>
      <c r="DD376" s="12">
        <f>IFERROR(MATCH($B376,PP_Grid[Intermediate],0),99999)</f>
        <v/>
      </c>
    </row>
    <row r="377">
      <c r="B377" t="inlineStr">
        <is>
          <t>使用量(kg)</t>
        </is>
      </c>
      <c r="C377">
        <f>SUMIFS(M_BOM[RM_Qty_Per_Batch],M_BOM[Intermediate],$B376,M_BOM[Part Name],$A343)</f>
        <v/>
      </c>
      <c r="D377">
        <f>$C377*D376</f>
        <v/>
      </c>
      <c r="E377">
        <f>$C377*E376</f>
        <v/>
      </c>
      <c r="F377">
        <f>$C377*F376</f>
        <v/>
      </c>
      <c r="G377">
        <f>$C377*G376</f>
        <v/>
      </c>
      <c r="H377">
        <f>$C377*H376</f>
        <v/>
      </c>
      <c r="I377">
        <f>$C377*I376</f>
        <v/>
      </c>
      <c r="J377">
        <f>$C377*J376</f>
        <v/>
      </c>
      <c r="K377">
        <f>$C377*K376</f>
        <v/>
      </c>
      <c r="L377">
        <f>$C377*L376</f>
        <v/>
      </c>
      <c r="M377">
        <f>$C377*M376</f>
        <v/>
      </c>
      <c r="N377">
        <f>$C377*N376</f>
        <v/>
      </c>
      <c r="O377">
        <f>$C377*O376</f>
        <v/>
      </c>
      <c r="P377">
        <f>$C377*P376</f>
        <v/>
      </c>
      <c r="Q377">
        <f>$C377*Q376</f>
        <v/>
      </c>
      <c r="R377">
        <f>$C377*R376</f>
        <v/>
      </c>
      <c r="S377">
        <f>$C377*S376</f>
        <v/>
      </c>
      <c r="T377">
        <f>$C377*T376</f>
        <v/>
      </c>
      <c r="U377">
        <f>$C377*U376</f>
        <v/>
      </c>
      <c r="V377">
        <f>$C377*V376</f>
        <v/>
      </c>
      <c r="W377">
        <f>$C377*W376</f>
        <v/>
      </c>
      <c r="X377">
        <f>$C377*X376</f>
        <v/>
      </c>
      <c r="Y377">
        <f>$C377*Y376</f>
        <v/>
      </c>
      <c r="Z377">
        <f>$C377*Z376</f>
        <v/>
      </c>
      <c r="AA377">
        <f>$C377*AA376</f>
        <v/>
      </c>
      <c r="AB377">
        <f>$C377*AB376</f>
        <v/>
      </c>
      <c r="AC377">
        <f>$C377*AC376</f>
        <v/>
      </c>
      <c r="AD377">
        <f>$C377*AD376</f>
        <v/>
      </c>
      <c r="AE377">
        <f>$C377*AE376</f>
        <v/>
      </c>
      <c r="AF377">
        <f>$C377*AF376</f>
        <v/>
      </c>
      <c r="AG377">
        <f>$C377*AG376</f>
        <v/>
      </c>
      <c r="AH377">
        <f>$C377*AH376</f>
        <v/>
      </c>
      <c r="AI377">
        <f>$C377*AI376</f>
        <v/>
      </c>
      <c r="AJ377">
        <f>$C377*AJ376</f>
        <v/>
      </c>
      <c r="AK377">
        <f>$C377*AK376</f>
        <v/>
      </c>
      <c r="AL377">
        <f>$C377*AL376</f>
        <v/>
      </c>
      <c r="AM377">
        <f>$C377*AM376</f>
        <v/>
      </c>
      <c r="AN377">
        <f>$C377*AN376</f>
        <v/>
      </c>
      <c r="AO377">
        <f>$C377*AO376</f>
        <v/>
      </c>
      <c r="AP377">
        <f>$C377*AP376</f>
        <v/>
      </c>
      <c r="AQ377">
        <f>$C377*AQ376</f>
        <v/>
      </c>
      <c r="AR377">
        <f>$C377*AR376</f>
        <v/>
      </c>
      <c r="AS377">
        <f>$C377*AS376</f>
        <v/>
      </c>
      <c r="AT377">
        <f>$C377*AT376</f>
        <v/>
      </c>
      <c r="AU377">
        <f>$C377*AU376</f>
        <v/>
      </c>
      <c r="AV377">
        <f>$C377*AV376</f>
        <v/>
      </c>
      <c r="AW377">
        <f>$C377*AW376</f>
        <v/>
      </c>
      <c r="AX377">
        <f>$C377*AX376</f>
        <v/>
      </c>
      <c r="AY377">
        <f>$C377*AY376</f>
        <v/>
      </c>
      <c r="AZ377">
        <f>$C377*AZ376</f>
        <v/>
      </c>
      <c r="BA377">
        <f>$C377*BA376</f>
        <v/>
      </c>
      <c r="BB377">
        <f>$C377*BB376</f>
        <v/>
      </c>
      <c r="BC377">
        <f>$C377*BC376</f>
        <v/>
      </c>
      <c r="BD377">
        <f>$C377*BD376</f>
        <v/>
      </c>
      <c r="BE377">
        <f>$C377*BE376</f>
        <v/>
      </c>
      <c r="BF377">
        <f>$C377*BF376</f>
        <v/>
      </c>
      <c r="BG377">
        <f>$C377*BG376</f>
        <v/>
      </c>
      <c r="BH377">
        <f>$C377*BH376</f>
        <v/>
      </c>
      <c r="BI377">
        <f>$C377*BI376</f>
        <v/>
      </c>
      <c r="BJ377">
        <f>$C377*BJ376</f>
        <v/>
      </c>
      <c r="BK377">
        <f>$C377*BK376</f>
        <v/>
      </c>
      <c r="BL377">
        <f>$C377*BL376</f>
        <v/>
      </c>
      <c r="BM377">
        <f>$C377*BM376</f>
        <v/>
      </c>
      <c r="BN377">
        <f>$C377*BN376</f>
        <v/>
      </c>
      <c r="BO377">
        <f>$C377*BO376</f>
        <v/>
      </c>
      <c r="BP377">
        <f>$C377*BP376</f>
        <v/>
      </c>
      <c r="BQ377">
        <f>$C377*BQ376</f>
        <v/>
      </c>
      <c r="BR377">
        <f>$C377*BR376</f>
        <v/>
      </c>
      <c r="BS377">
        <f>$C377*BS376</f>
        <v/>
      </c>
      <c r="BT377">
        <f>$C377*BT376</f>
        <v/>
      </c>
      <c r="BU377">
        <f>$C377*BU376</f>
        <v/>
      </c>
      <c r="BV377">
        <f>$C377*BV376</f>
        <v/>
      </c>
      <c r="BW377">
        <f>$C377*BW376</f>
        <v/>
      </c>
      <c r="BX377">
        <f>$C377*BX376</f>
        <v/>
      </c>
      <c r="BY377">
        <f>$C377*BY376</f>
        <v/>
      </c>
      <c r="BZ377">
        <f>$C377*BZ376</f>
        <v/>
      </c>
      <c r="CA377">
        <f>$C377*CA376</f>
        <v/>
      </c>
      <c r="CB377">
        <f>$C377*CB376</f>
        <v/>
      </c>
      <c r="CC377">
        <f>$C377*CC376</f>
        <v/>
      </c>
      <c r="CD377">
        <f>$C377*CD376</f>
        <v/>
      </c>
      <c r="CE377">
        <f>$C377*CE376</f>
        <v/>
      </c>
      <c r="CF377">
        <f>$C377*CF376</f>
        <v/>
      </c>
      <c r="CG377">
        <f>$C377*CG376</f>
        <v/>
      </c>
      <c r="CH377">
        <f>$C377*CH376</f>
        <v/>
      </c>
      <c r="CI377">
        <f>$C377*CI376</f>
        <v/>
      </c>
      <c r="CJ377">
        <f>$C377*CJ376</f>
        <v/>
      </c>
      <c r="CK377">
        <f>$C377*CK376</f>
        <v/>
      </c>
      <c r="CL377">
        <f>$C377*CL376</f>
        <v/>
      </c>
      <c r="CM377">
        <f>$C377*CM376</f>
        <v/>
      </c>
      <c r="CN377">
        <f>$C377*CN376</f>
        <v/>
      </c>
      <c r="CO377">
        <f>$C377*CO376</f>
        <v/>
      </c>
      <c r="CP377">
        <f>$C377*CP376</f>
        <v/>
      </c>
      <c r="CQ377">
        <f>$C377*CQ376</f>
        <v/>
      </c>
      <c r="CR377">
        <f>$C377*CR376</f>
        <v/>
      </c>
      <c r="CS377">
        <f>$C377*CS376</f>
        <v/>
      </c>
      <c r="CT377">
        <f>$C377*CT376</f>
        <v/>
      </c>
      <c r="CU377">
        <f>$C377*CU376</f>
        <v/>
      </c>
      <c r="CV377">
        <f>$C377*CV376</f>
        <v/>
      </c>
      <c r="CW377">
        <f>$C377*CW376</f>
        <v/>
      </c>
      <c r="CX377">
        <f>$C377*CX376</f>
        <v/>
      </c>
      <c r="CY377">
        <f>$C377*CY376</f>
        <v/>
      </c>
      <c r="CZ377">
        <f>$C377*CZ376</f>
        <v/>
      </c>
      <c r="DA377">
        <f>$C377*DA376</f>
        <v/>
      </c>
      <c r="DB377">
        <f>$C377*DB376</f>
        <v/>
      </c>
      <c r="DC377">
        <f>$C377*DC376</f>
        <v/>
      </c>
    </row>
    <row r="378">
      <c r="B378" t="inlineStr">
        <is>
          <t>TSP-558</t>
        </is>
      </c>
      <c r="C378" t="inlineStr">
        <is>
          <t>No. of batches</t>
        </is>
      </c>
      <c r="D378">
        <f>IFERROR(INDEX(PP_Grid[#Data],$DD378,2),0)</f>
        <v/>
      </c>
      <c r="E378">
        <f>IFERROR(INDEX(PP_Grid[#Data],$DD378,3),0)</f>
        <v/>
      </c>
      <c r="F378">
        <f>IFERROR(INDEX(PP_Grid[#Data],$DD378,4),0)</f>
        <v/>
      </c>
      <c r="G378">
        <f>IFERROR(INDEX(PP_Grid[#Data],$DD378,5),0)</f>
        <v/>
      </c>
      <c r="H378">
        <f>IFERROR(INDEX(PP_Grid[#Data],$DD378,6),0)</f>
        <v/>
      </c>
      <c r="I378">
        <f>IFERROR(INDEX(PP_Grid[#Data],$DD378,7),0)</f>
        <v/>
      </c>
      <c r="J378">
        <f>IFERROR(INDEX(PP_Grid[#Data],$DD378,8),0)</f>
        <v/>
      </c>
      <c r="K378">
        <f>IFERROR(INDEX(PP_Grid[#Data],$DD378,9),0)</f>
        <v/>
      </c>
      <c r="L378">
        <f>IFERROR(INDEX(PP_Grid[#Data],$DD378,10),0)</f>
        <v/>
      </c>
      <c r="M378">
        <f>IFERROR(INDEX(PP_Grid[#Data],$DD378,11),0)</f>
        <v/>
      </c>
      <c r="N378">
        <f>IFERROR(INDEX(PP_Grid[#Data],$DD378,12),0)</f>
        <v/>
      </c>
      <c r="O378">
        <f>IFERROR(INDEX(PP_Grid[#Data],$DD378,13),0)</f>
        <v/>
      </c>
      <c r="P378">
        <f>IFERROR(INDEX(PP_Grid[#Data],$DD378,14),0)</f>
        <v/>
      </c>
      <c r="Q378">
        <f>IFERROR(INDEX(PP_Grid[#Data],$DD378,15),0)</f>
        <v/>
      </c>
      <c r="R378">
        <f>IFERROR(INDEX(PP_Grid[#Data],$DD378,16),0)</f>
        <v/>
      </c>
      <c r="S378">
        <f>IFERROR(INDEX(PP_Grid[#Data],$DD378,17),0)</f>
        <v/>
      </c>
      <c r="T378">
        <f>IFERROR(INDEX(PP_Grid[#Data],$DD378,18),0)</f>
        <v/>
      </c>
      <c r="U378">
        <f>IFERROR(INDEX(PP_Grid[#Data],$DD378,19),0)</f>
        <v/>
      </c>
      <c r="V378">
        <f>IFERROR(INDEX(PP_Grid[#Data],$DD378,20),0)</f>
        <v/>
      </c>
      <c r="W378">
        <f>IFERROR(INDEX(PP_Grid[#Data],$DD378,21),0)</f>
        <v/>
      </c>
      <c r="X378">
        <f>IFERROR(INDEX(PP_Grid[#Data],$DD378,22),0)</f>
        <v/>
      </c>
      <c r="Y378">
        <f>IFERROR(INDEX(PP_Grid[#Data],$DD378,23),0)</f>
        <v/>
      </c>
      <c r="Z378">
        <f>IFERROR(INDEX(PP_Grid[#Data],$DD378,24),0)</f>
        <v/>
      </c>
      <c r="AA378">
        <f>IFERROR(INDEX(PP_Grid[#Data],$DD378,25),0)</f>
        <v/>
      </c>
      <c r="AB378">
        <f>IFERROR(INDEX(PP_Grid[#Data],$DD378,26),0)</f>
        <v/>
      </c>
      <c r="AC378">
        <f>IFERROR(INDEX(PP_Grid[#Data],$DD378,27),0)</f>
        <v/>
      </c>
      <c r="AD378">
        <f>IFERROR(INDEX(PP_Grid[#Data],$DD378,28),0)</f>
        <v/>
      </c>
      <c r="AE378">
        <f>IFERROR(INDEX(PP_Grid[#Data],$DD378,29),0)</f>
        <v/>
      </c>
      <c r="AF378">
        <f>IFERROR(INDEX(PP_Grid[#Data],$DD378,30),0)</f>
        <v/>
      </c>
      <c r="AG378">
        <f>IFERROR(INDEX(PP_Grid[#Data],$DD378,31),0)</f>
        <v/>
      </c>
      <c r="AH378">
        <f>IFERROR(INDEX(PP_Grid[#Data],$DD378,32),0)</f>
        <v/>
      </c>
      <c r="AI378">
        <f>IFERROR(INDEX(PP_Grid[#Data],$DD378,33),0)</f>
        <v/>
      </c>
      <c r="AJ378">
        <f>IFERROR(INDEX(PP_Grid[#Data],$DD378,34),0)</f>
        <v/>
      </c>
      <c r="AK378">
        <f>IFERROR(INDEX(PP_Grid[#Data],$DD378,35),0)</f>
        <v/>
      </c>
      <c r="AL378">
        <f>IFERROR(INDEX(PP_Grid[#Data],$DD378,36),0)</f>
        <v/>
      </c>
      <c r="AM378">
        <f>IFERROR(INDEX(PP_Grid[#Data],$DD378,37),0)</f>
        <v/>
      </c>
      <c r="AN378">
        <f>IFERROR(INDEX(PP_Grid[#Data],$DD378,38),0)</f>
        <v/>
      </c>
      <c r="AO378">
        <f>IFERROR(INDEX(PP_Grid[#Data],$DD378,39),0)</f>
        <v/>
      </c>
      <c r="AP378">
        <f>IFERROR(INDEX(PP_Grid[#Data],$DD378,40),0)</f>
        <v/>
      </c>
      <c r="AQ378">
        <f>IFERROR(INDEX(PP_Grid[#Data],$DD378,41),0)</f>
        <v/>
      </c>
      <c r="AR378">
        <f>IFERROR(INDEX(PP_Grid[#Data],$DD378,42),0)</f>
        <v/>
      </c>
      <c r="AS378">
        <f>IFERROR(INDEX(PP_Grid[#Data],$DD378,43),0)</f>
        <v/>
      </c>
      <c r="AT378">
        <f>IFERROR(INDEX(PP_Grid[#Data],$DD378,44),0)</f>
        <v/>
      </c>
      <c r="AU378">
        <f>IFERROR(INDEX(PP_Grid[#Data],$DD378,45),0)</f>
        <v/>
      </c>
      <c r="AV378">
        <f>IFERROR(INDEX(PP_Grid[#Data],$DD378,46),0)</f>
        <v/>
      </c>
      <c r="AW378">
        <f>IFERROR(INDEX(PP_Grid[#Data],$DD378,47),0)</f>
        <v/>
      </c>
      <c r="AX378">
        <f>IFERROR(INDEX(PP_Grid[#Data],$DD378,48),0)</f>
        <v/>
      </c>
      <c r="AY378">
        <f>IFERROR(INDEX(PP_Grid[#Data],$DD378,49),0)</f>
        <v/>
      </c>
      <c r="AZ378">
        <f>IFERROR(INDEX(PP_Grid[#Data],$DD378,50),0)</f>
        <v/>
      </c>
      <c r="BA378">
        <f>IFERROR(INDEX(PP_Grid[#Data],$DD378,51),0)</f>
        <v/>
      </c>
      <c r="BB378">
        <f>IFERROR(INDEX(PP_Grid[#Data],$DD378,52),0)</f>
        <v/>
      </c>
      <c r="BC378">
        <f>IFERROR(INDEX(PP_Grid[#Data],$DD378,53),0)</f>
        <v/>
      </c>
      <c r="BD378">
        <f>IFERROR(INDEX(PP_Grid[#Data],$DD378,54),0)</f>
        <v/>
      </c>
      <c r="BE378">
        <f>IFERROR(INDEX(PP_Grid[#Data],$DD378,55),0)</f>
        <v/>
      </c>
      <c r="BF378">
        <f>IFERROR(INDEX(PP_Grid[#Data],$DD378,56),0)</f>
        <v/>
      </c>
      <c r="BG378">
        <f>IFERROR(INDEX(PP_Grid[#Data],$DD378,57),0)</f>
        <v/>
      </c>
      <c r="BH378">
        <f>IFERROR(INDEX(PP_Grid[#Data],$DD378,58),0)</f>
        <v/>
      </c>
      <c r="BI378">
        <f>IFERROR(INDEX(PP_Grid[#Data],$DD378,59),0)</f>
        <v/>
      </c>
      <c r="BJ378">
        <f>IFERROR(INDEX(PP_Grid[#Data],$DD378,60),0)</f>
        <v/>
      </c>
      <c r="BK378">
        <f>IFERROR(INDEX(PP_Grid[#Data],$DD378,61),0)</f>
        <v/>
      </c>
      <c r="BL378">
        <f>IFERROR(INDEX(PP_Grid[#Data],$DD378,62),0)</f>
        <v/>
      </c>
      <c r="BM378">
        <f>IFERROR(INDEX(PP_Grid[#Data],$DD378,63),0)</f>
        <v/>
      </c>
      <c r="BN378">
        <f>IFERROR(INDEX(PP_Grid[#Data],$DD378,64),0)</f>
        <v/>
      </c>
      <c r="BO378">
        <f>IFERROR(INDEX(PP_Grid[#Data],$DD378,65),0)</f>
        <v/>
      </c>
      <c r="BP378">
        <f>IFERROR(INDEX(PP_Grid[#Data],$DD378,66),0)</f>
        <v/>
      </c>
      <c r="BQ378">
        <f>IFERROR(INDEX(PP_Grid[#Data],$DD378,67),0)</f>
        <v/>
      </c>
      <c r="BR378">
        <f>IFERROR(INDEX(PP_Grid[#Data],$DD378,68),0)</f>
        <v/>
      </c>
      <c r="BS378">
        <f>IFERROR(INDEX(PP_Grid[#Data],$DD378,69),0)</f>
        <v/>
      </c>
      <c r="BT378">
        <f>IFERROR(INDEX(PP_Grid[#Data],$DD378,70),0)</f>
        <v/>
      </c>
      <c r="BU378">
        <f>IFERROR(INDEX(PP_Grid[#Data],$DD378,71),0)</f>
        <v/>
      </c>
      <c r="BV378">
        <f>IFERROR(INDEX(PP_Grid[#Data],$DD378,72),0)</f>
        <v/>
      </c>
      <c r="BW378">
        <f>IFERROR(INDEX(PP_Grid[#Data],$DD378,73),0)</f>
        <v/>
      </c>
      <c r="BX378">
        <f>IFERROR(INDEX(PP_Grid[#Data],$DD378,74),0)</f>
        <v/>
      </c>
      <c r="BY378">
        <f>IFERROR(INDEX(PP_Grid[#Data],$DD378,75),0)</f>
        <v/>
      </c>
      <c r="BZ378">
        <f>IFERROR(INDEX(PP_Grid[#Data],$DD378,76),0)</f>
        <v/>
      </c>
      <c r="CA378">
        <f>IFERROR(INDEX(PP_Grid[#Data],$DD378,77),0)</f>
        <v/>
      </c>
      <c r="CB378">
        <f>IFERROR(INDEX(PP_Grid[#Data],$DD378,78),0)</f>
        <v/>
      </c>
      <c r="CC378">
        <f>IFERROR(INDEX(PP_Grid[#Data],$DD378,79),0)</f>
        <v/>
      </c>
      <c r="CD378">
        <f>IFERROR(INDEX(PP_Grid[#Data],$DD378,80),0)</f>
        <v/>
      </c>
      <c r="CE378">
        <f>IFERROR(INDEX(PP_Grid[#Data],$DD378,81),0)</f>
        <v/>
      </c>
      <c r="CF378">
        <f>IFERROR(INDEX(PP_Grid[#Data],$DD378,82),0)</f>
        <v/>
      </c>
      <c r="CG378">
        <f>IFERROR(INDEX(PP_Grid[#Data],$DD378,83),0)</f>
        <v/>
      </c>
      <c r="CH378">
        <f>IFERROR(INDEX(PP_Grid[#Data],$DD378,84),0)</f>
        <v/>
      </c>
      <c r="CI378">
        <f>IFERROR(INDEX(PP_Grid[#Data],$DD378,85),0)</f>
        <v/>
      </c>
      <c r="CJ378">
        <f>IFERROR(INDEX(PP_Grid[#Data],$DD378,86),0)</f>
        <v/>
      </c>
      <c r="CK378">
        <f>IFERROR(INDEX(PP_Grid[#Data],$DD378,87),0)</f>
        <v/>
      </c>
      <c r="CL378">
        <f>IFERROR(INDEX(PP_Grid[#Data],$DD378,88),0)</f>
        <v/>
      </c>
      <c r="CM378">
        <f>IFERROR(INDEX(PP_Grid[#Data],$DD378,89),0)</f>
        <v/>
      </c>
      <c r="CN378">
        <f>IFERROR(INDEX(PP_Grid[#Data],$DD378,90),0)</f>
        <v/>
      </c>
      <c r="CO378">
        <f>IFERROR(INDEX(PP_Grid[#Data],$DD378,91),0)</f>
        <v/>
      </c>
      <c r="CP378">
        <f>IFERROR(INDEX(PP_Grid[#Data],$DD378,92),0)</f>
        <v/>
      </c>
      <c r="CQ378">
        <f>IFERROR(INDEX(PP_Grid[#Data],$DD378,93),0)</f>
        <v/>
      </c>
      <c r="CR378">
        <f>IFERROR(INDEX(PP_Grid[#Data],$DD378,94),0)</f>
        <v/>
      </c>
      <c r="CS378">
        <f>IFERROR(INDEX(PP_Grid[#Data],$DD378,95),0)</f>
        <v/>
      </c>
      <c r="CT378">
        <f>IFERROR(INDEX(PP_Grid[#Data],$DD378,96),0)</f>
        <v/>
      </c>
      <c r="CU378">
        <f>IFERROR(INDEX(PP_Grid[#Data],$DD378,97),0)</f>
        <v/>
      </c>
      <c r="CV378">
        <f>IFERROR(INDEX(PP_Grid[#Data],$DD378,98),0)</f>
        <v/>
      </c>
      <c r="CW378">
        <f>IFERROR(INDEX(PP_Grid[#Data],$DD378,99),0)</f>
        <v/>
      </c>
      <c r="CX378">
        <f>IFERROR(INDEX(PP_Grid[#Data],$DD378,100),0)</f>
        <v/>
      </c>
      <c r="CY378">
        <f>IFERROR(INDEX(PP_Grid[#Data],$DD378,101),0)</f>
        <v/>
      </c>
      <c r="CZ378">
        <f>IFERROR(INDEX(PP_Grid[#Data],$DD378,102),0)</f>
        <v/>
      </c>
      <c r="DA378">
        <f>IFERROR(INDEX(PP_Grid[#Data],$DD378,103),0)</f>
        <v/>
      </c>
      <c r="DB378">
        <f>IFERROR(INDEX(PP_Grid[#Data],$DD378,104),0)</f>
        <v/>
      </c>
      <c r="DC378">
        <f>IFERROR(INDEX(PP_Grid[#Data],$DD378,105),0)</f>
        <v/>
      </c>
      <c r="DD378" s="12">
        <f>IFERROR(MATCH($B378,PP_Grid[Intermediate],0),99999)</f>
        <v/>
      </c>
    </row>
    <row r="379">
      <c r="B379" t="inlineStr">
        <is>
          <t>使用量(kg)</t>
        </is>
      </c>
      <c r="C379">
        <f>SUMIFS(M_BOM[RM_Qty_Per_Batch],M_BOM[Intermediate],$B378,M_BOM[Part Name],$A343)</f>
        <v/>
      </c>
      <c r="D379">
        <f>$C379*D378</f>
        <v/>
      </c>
      <c r="E379">
        <f>$C379*E378</f>
        <v/>
      </c>
      <c r="F379">
        <f>$C379*F378</f>
        <v/>
      </c>
      <c r="G379">
        <f>$C379*G378</f>
        <v/>
      </c>
      <c r="H379">
        <f>$C379*H378</f>
        <v/>
      </c>
      <c r="I379">
        <f>$C379*I378</f>
        <v/>
      </c>
      <c r="J379">
        <f>$C379*J378</f>
        <v/>
      </c>
      <c r="K379">
        <f>$C379*K378</f>
        <v/>
      </c>
      <c r="L379">
        <f>$C379*L378</f>
        <v/>
      </c>
      <c r="M379">
        <f>$C379*M378</f>
        <v/>
      </c>
      <c r="N379">
        <f>$C379*N378</f>
        <v/>
      </c>
      <c r="O379">
        <f>$C379*O378</f>
        <v/>
      </c>
      <c r="P379">
        <f>$C379*P378</f>
        <v/>
      </c>
      <c r="Q379">
        <f>$C379*Q378</f>
        <v/>
      </c>
      <c r="R379">
        <f>$C379*R378</f>
        <v/>
      </c>
      <c r="S379">
        <f>$C379*S378</f>
        <v/>
      </c>
      <c r="T379">
        <f>$C379*T378</f>
        <v/>
      </c>
      <c r="U379">
        <f>$C379*U378</f>
        <v/>
      </c>
      <c r="V379">
        <f>$C379*V378</f>
        <v/>
      </c>
      <c r="W379">
        <f>$C379*W378</f>
        <v/>
      </c>
      <c r="X379">
        <f>$C379*X378</f>
        <v/>
      </c>
      <c r="Y379">
        <f>$C379*Y378</f>
        <v/>
      </c>
      <c r="Z379">
        <f>$C379*Z378</f>
        <v/>
      </c>
      <c r="AA379">
        <f>$C379*AA378</f>
        <v/>
      </c>
      <c r="AB379">
        <f>$C379*AB378</f>
        <v/>
      </c>
      <c r="AC379">
        <f>$C379*AC378</f>
        <v/>
      </c>
      <c r="AD379">
        <f>$C379*AD378</f>
        <v/>
      </c>
      <c r="AE379">
        <f>$C379*AE378</f>
        <v/>
      </c>
      <c r="AF379">
        <f>$C379*AF378</f>
        <v/>
      </c>
      <c r="AG379">
        <f>$C379*AG378</f>
        <v/>
      </c>
      <c r="AH379">
        <f>$C379*AH378</f>
        <v/>
      </c>
      <c r="AI379">
        <f>$C379*AI378</f>
        <v/>
      </c>
      <c r="AJ379">
        <f>$C379*AJ378</f>
        <v/>
      </c>
      <c r="AK379">
        <f>$C379*AK378</f>
        <v/>
      </c>
      <c r="AL379">
        <f>$C379*AL378</f>
        <v/>
      </c>
      <c r="AM379">
        <f>$C379*AM378</f>
        <v/>
      </c>
      <c r="AN379">
        <f>$C379*AN378</f>
        <v/>
      </c>
      <c r="AO379">
        <f>$C379*AO378</f>
        <v/>
      </c>
      <c r="AP379">
        <f>$C379*AP378</f>
        <v/>
      </c>
      <c r="AQ379">
        <f>$C379*AQ378</f>
        <v/>
      </c>
      <c r="AR379">
        <f>$C379*AR378</f>
        <v/>
      </c>
      <c r="AS379">
        <f>$C379*AS378</f>
        <v/>
      </c>
      <c r="AT379">
        <f>$C379*AT378</f>
        <v/>
      </c>
      <c r="AU379">
        <f>$C379*AU378</f>
        <v/>
      </c>
      <c r="AV379">
        <f>$C379*AV378</f>
        <v/>
      </c>
      <c r="AW379">
        <f>$C379*AW378</f>
        <v/>
      </c>
      <c r="AX379">
        <f>$C379*AX378</f>
        <v/>
      </c>
      <c r="AY379">
        <f>$C379*AY378</f>
        <v/>
      </c>
      <c r="AZ379">
        <f>$C379*AZ378</f>
        <v/>
      </c>
      <c r="BA379">
        <f>$C379*BA378</f>
        <v/>
      </c>
      <c r="BB379">
        <f>$C379*BB378</f>
        <v/>
      </c>
      <c r="BC379">
        <f>$C379*BC378</f>
        <v/>
      </c>
      <c r="BD379">
        <f>$C379*BD378</f>
        <v/>
      </c>
      <c r="BE379">
        <f>$C379*BE378</f>
        <v/>
      </c>
      <c r="BF379">
        <f>$C379*BF378</f>
        <v/>
      </c>
      <c r="BG379">
        <f>$C379*BG378</f>
        <v/>
      </c>
      <c r="BH379">
        <f>$C379*BH378</f>
        <v/>
      </c>
      <c r="BI379">
        <f>$C379*BI378</f>
        <v/>
      </c>
      <c r="BJ379">
        <f>$C379*BJ378</f>
        <v/>
      </c>
      <c r="BK379">
        <f>$C379*BK378</f>
        <v/>
      </c>
      <c r="BL379">
        <f>$C379*BL378</f>
        <v/>
      </c>
      <c r="BM379">
        <f>$C379*BM378</f>
        <v/>
      </c>
      <c r="BN379">
        <f>$C379*BN378</f>
        <v/>
      </c>
      <c r="BO379">
        <f>$C379*BO378</f>
        <v/>
      </c>
      <c r="BP379">
        <f>$C379*BP378</f>
        <v/>
      </c>
      <c r="BQ379">
        <f>$C379*BQ378</f>
        <v/>
      </c>
      <c r="BR379">
        <f>$C379*BR378</f>
        <v/>
      </c>
      <c r="BS379">
        <f>$C379*BS378</f>
        <v/>
      </c>
      <c r="BT379">
        <f>$C379*BT378</f>
        <v/>
      </c>
      <c r="BU379">
        <f>$C379*BU378</f>
        <v/>
      </c>
      <c r="BV379">
        <f>$C379*BV378</f>
        <v/>
      </c>
      <c r="BW379">
        <f>$C379*BW378</f>
        <v/>
      </c>
      <c r="BX379">
        <f>$C379*BX378</f>
        <v/>
      </c>
      <c r="BY379">
        <f>$C379*BY378</f>
        <v/>
      </c>
      <c r="BZ379">
        <f>$C379*BZ378</f>
        <v/>
      </c>
      <c r="CA379">
        <f>$C379*CA378</f>
        <v/>
      </c>
      <c r="CB379">
        <f>$C379*CB378</f>
        <v/>
      </c>
      <c r="CC379">
        <f>$C379*CC378</f>
        <v/>
      </c>
      <c r="CD379">
        <f>$C379*CD378</f>
        <v/>
      </c>
      <c r="CE379">
        <f>$C379*CE378</f>
        <v/>
      </c>
      <c r="CF379">
        <f>$C379*CF378</f>
        <v/>
      </c>
      <c r="CG379">
        <f>$C379*CG378</f>
        <v/>
      </c>
      <c r="CH379">
        <f>$C379*CH378</f>
        <v/>
      </c>
      <c r="CI379">
        <f>$C379*CI378</f>
        <v/>
      </c>
      <c r="CJ379">
        <f>$C379*CJ378</f>
        <v/>
      </c>
      <c r="CK379">
        <f>$C379*CK378</f>
        <v/>
      </c>
      <c r="CL379">
        <f>$C379*CL378</f>
        <v/>
      </c>
      <c r="CM379">
        <f>$C379*CM378</f>
        <v/>
      </c>
      <c r="CN379">
        <f>$C379*CN378</f>
        <v/>
      </c>
      <c r="CO379">
        <f>$C379*CO378</f>
        <v/>
      </c>
      <c r="CP379">
        <f>$C379*CP378</f>
        <v/>
      </c>
      <c r="CQ379">
        <f>$C379*CQ378</f>
        <v/>
      </c>
      <c r="CR379">
        <f>$C379*CR378</f>
        <v/>
      </c>
      <c r="CS379">
        <f>$C379*CS378</f>
        <v/>
      </c>
      <c r="CT379">
        <f>$C379*CT378</f>
        <v/>
      </c>
      <c r="CU379">
        <f>$C379*CU378</f>
        <v/>
      </c>
      <c r="CV379">
        <f>$C379*CV378</f>
        <v/>
      </c>
      <c r="CW379">
        <f>$C379*CW378</f>
        <v/>
      </c>
      <c r="CX379">
        <f>$C379*CX378</f>
        <v/>
      </c>
      <c r="CY379">
        <f>$C379*CY378</f>
        <v/>
      </c>
      <c r="CZ379">
        <f>$C379*CZ378</f>
        <v/>
      </c>
      <c r="DA379">
        <f>$C379*DA378</f>
        <v/>
      </c>
      <c r="DB379">
        <f>$C379*DB378</f>
        <v/>
      </c>
      <c r="DC379">
        <f>$C379*DC378</f>
        <v/>
      </c>
    </row>
    <row r="380">
      <c r="B380" t="inlineStr">
        <is>
          <t>TSP-618</t>
        </is>
      </c>
      <c r="C380" t="inlineStr">
        <is>
          <t>No. of batches</t>
        </is>
      </c>
      <c r="D380">
        <f>IFERROR(INDEX(PP_Grid[#Data],$DD380,2),0)</f>
        <v/>
      </c>
      <c r="E380">
        <f>IFERROR(INDEX(PP_Grid[#Data],$DD380,3),0)</f>
        <v/>
      </c>
      <c r="F380">
        <f>IFERROR(INDEX(PP_Grid[#Data],$DD380,4),0)</f>
        <v/>
      </c>
      <c r="G380">
        <f>IFERROR(INDEX(PP_Grid[#Data],$DD380,5),0)</f>
        <v/>
      </c>
      <c r="H380">
        <f>IFERROR(INDEX(PP_Grid[#Data],$DD380,6),0)</f>
        <v/>
      </c>
      <c r="I380">
        <f>IFERROR(INDEX(PP_Grid[#Data],$DD380,7),0)</f>
        <v/>
      </c>
      <c r="J380">
        <f>IFERROR(INDEX(PP_Grid[#Data],$DD380,8),0)</f>
        <v/>
      </c>
      <c r="K380">
        <f>IFERROR(INDEX(PP_Grid[#Data],$DD380,9),0)</f>
        <v/>
      </c>
      <c r="L380">
        <f>IFERROR(INDEX(PP_Grid[#Data],$DD380,10),0)</f>
        <v/>
      </c>
      <c r="M380">
        <f>IFERROR(INDEX(PP_Grid[#Data],$DD380,11),0)</f>
        <v/>
      </c>
      <c r="N380">
        <f>IFERROR(INDEX(PP_Grid[#Data],$DD380,12),0)</f>
        <v/>
      </c>
      <c r="O380">
        <f>IFERROR(INDEX(PP_Grid[#Data],$DD380,13),0)</f>
        <v/>
      </c>
      <c r="P380">
        <f>IFERROR(INDEX(PP_Grid[#Data],$DD380,14),0)</f>
        <v/>
      </c>
      <c r="Q380">
        <f>IFERROR(INDEX(PP_Grid[#Data],$DD380,15),0)</f>
        <v/>
      </c>
      <c r="R380">
        <f>IFERROR(INDEX(PP_Grid[#Data],$DD380,16),0)</f>
        <v/>
      </c>
      <c r="S380">
        <f>IFERROR(INDEX(PP_Grid[#Data],$DD380,17),0)</f>
        <v/>
      </c>
      <c r="T380">
        <f>IFERROR(INDEX(PP_Grid[#Data],$DD380,18),0)</f>
        <v/>
      </c>
      <c r="U380">
        <f>IFERROR(INDEX(PP_Grid[#Data],$DD380,19),0)</f>
        <v/>
      </c>
      <c r="V380">
        <f>IFERROR(INDEX(PP_Grid[#Data],$DD380,20),0)</f>
        <v/>
      </c>
      <c r="W380">
        <f>IFERROR(INDEX(PP_Grid[#Data],$DD380,21),0)</f>
        <v/>
      </c>
      <c r="X380">
        <f>IFERROR(INDEX(PP_Grid[#Data],$DD380,22),0)</f>
        <v/>
      </c>
      <c r="Y380">
        <f>IFERROR(INDEX(PP_Grid[#Data],$DD380,23),0)</f>
        <v/>
      </c>
      <c r="Z380">
        <f>IFERROR(INDEX(PP_Grid[#Data],$DD380,24),0)</f>
        <v/>
      </c>
      <c r="AA380">
        <f>IFERROR(INDEX(PP_Grid[#Data],$DD380,25),0)</f>
        <v/>
      </c>
      <c r="AB380">
        <f>IFERROR(INDEX(PP_Grid[#Data],$DD380,26),0)</f>
        <v/>
      </c>
      <c r="AC380">
        <f>IFERROR(INDEX(PP_Grid[#Data],$DD380,27),0)</f>
        <v/>
      </c>
      <c r="AD380">
        <f>IFERROR(INDEX(PP_Grid[#Data],$DD380,28),0)</f>
        <v/>
      </c>
      <c r="AE380">
        <f>IFERROR(INDEX(PP_Grid[#Data],$DD380,29),0)</f>
        <v/>
      </c>
      <c r="AF380">
        <f>IFERROR(INDEX(PP_Grid[#Data],$DD380,30),0)</f>
        <v/>
      </c>
      <c r="AG380">
        <f>IFERROR(INDEX(PP_Grid[#Data],$DD380,31),0)</f>
        <v/>
      </c>
      <c r="AH380">
        <f>IFERROR(INDEX(PP_Grid[#Data],$DD380,32),0)</f>
        <v/>
      </c>
      <c r="AI380">
        <f>IFERROR(INDEX(PP_Grid[#Data],$DD380,33),0)</f>
        <v/>
      </c>
      <c r="AJ380">
        <f>IFERROR(INDEX(PP_Grid[#Data],$DD380,34),0)</f>
        <v/>
      </c>
      <c r="AK380">
        <f>IFERROR(INDEX(PP_Grid[#Data],$DD380,35),0)</f>
        <v/>
      </c>
      <c r="AL380">
        <f>IFERROR(INDEX(PP_Grid[#Data],$DD380,36),0)</f>
        <v/>
      </c>
      <c r="AM380">
        <f>IFERROR(INDEX(PP_Grid[#Data],$DD380,37),0)</f>
        <v/>
      </c>
      <c r="AN380">
        <f>IFERROR(INDEX(PP_Grid[#Data],$DD380,38),0)</f>
        <v/>
      </c>
      <c r="AO380">
        <f>IFERROR(INDEX(PP_Grid[#Data],$DD380,39),0)</f>
        <v/>
      </c>
      <c r="AP380">
        <f>IFERROR(INDEX(PP_Grid[#Data],$DD380,40),0)</f>
        <v/>
      </c>
      <c r="AQ380">
        <f>IFERROR(INDEX(PP_Grid[#Data],$DD380,41),0)</f>
        <v/>
      </c>
      <c r="AR380">
        <f>IFERROR(INDEX(PP_Grid[#Data],$DD380,42),0)</f>
        <v/>
      </c>
      <c r="AS380">
        <f>IFERROR(INDEX(PP_Grid[#Data],$DD380,43),0)</f>
        <v/>
      </c>
      <c r="AT380">
        <f>IFERROR(INDEX(PP_Grid[#Data],$DD380,44),0)</f>
        <v/>
      </c>
      <c r="AU380">
        <f>IFERROR(INDEX(PP_Grid[#Data],$DD380,45),0)</f>
        <v/>
      </c>
      <c r="AV380">
        <f>IFERROR(INDEX(PP_Grid[#Data],$DD380,46),0)</f>
        <v/>
      </c>
      <c r="AW380">
        <f>IFERROR(INDEX(PP_Grid[#Data],$DD380,47),0)</f>
        <v/>
      </c>
      <c r="AX380">
        <f>IFERROR(INDEX(PP_Grid[#Data],$DD380,48),0)</f>
        <v/>
      </c>
      <c r="AY380">
        <f>IFERROR(INDEX(PP_Grid[#Data],$DD380,49),0)</f>
        <v/>
      </c>
      <c r="AZ380">
        <f>IFERROR(INDEX(PP_Grid[#Data],$DD380,50),0)</f>
        <v/>
      </c>
      <c r="BA380">
        <f>IFERROR(INDEX(PP_Grid[#Data],$DD380,51),0)</f>
        <v/>
      </c>
      <c r="BB380">
        <f>IFERROR(INDEX(PP_Grid[#Data],$DD380,52),0)</f>
        <v/>
      </c>
      <c r="BC380">
        <f>IFERROR(INDEX(PP_Grid[#Data],$DD380,53),0)</f>
        <v/>
      </c>
      <c r="BD380">
        <f>IFERROR(INDEX(PP_Grid[#Data],$DD380,54),0)</f>
        <v/>
      </c>
      <c r="BE380">
        <f>IFERROR(INDEX(PP_Grid[#Data],$DD380,55),0)</f>
        <v/>
      </c>
      <c r="BF380">
        <f>IFERROR(INDEX(PP_Grid[#Data],$DD380,56),0)</f>
        <v/>
      </c>
      <c r="BG380">
        <f>IFERROR(INDEX(PP_Grid[#Data],$DD380,57),0)</f>
        <v/>
      </c>
      <c r="BH380">
        <f>IFERROR(INDEX(PP_Grid[#Data],$DD380,58),0)</f>
        <v/>
      </c>
      <c r="BI380">
        <f>IFERROR(INDEX(PP_Grid[#Data],$DD380,59),0)</f>
        <v/>
      </c>
      <c r="BJ380">
        <f>IFERROR(INDEX(PP_Grid[#Data],$DD380,60),0)</f>
        <v/>
      </c>
      <c r="BK380">
        <f>IFERROR(INDEX(PP_Grid[#Data],$DD380,61),0)</f>
        <v/>
      </c>
      <c r="BL380">
        <f>IFERROR(INDEX(PP_Grid[#Data],$DD380,62),0)</f>
        <v/>
      </c>
      <c r="BM380">
        <f>IFERROR(INDEX(PP_Grid[#Data],$DD380,63),0)</f>
        <v/>
      </c>
      <c r="BN380">
        <f>IFERROR(INDEX(PP_Grid[#Data],$DD380,64),0)</f>
        <v/>
      </c>
      <c r="BO380">
        <f>IFERROR(INDEX(PP_Grid[#Data],$DD380,65),0)</f>
        <v/>
      </c>
      <c r="BP380">
        <f>IFERROR(INDEX(PP_Grid[#Data],$DD380,66),0)</f>
        <v/>
      </c>
      <c r="BQ380">
        <f>IFERROR(INDEX(PP_Grid[#Data],$DD380,67),0)</f>
        <v/>
      </c>
      <c r="BR380">
        <f>IFERROR(INDEX(PP_Grid[#Data],$DD380,68),0)</f>
        <v/>
      </c>
      <c r="BS380">
        <f>IFERROR(INDEX(PP_Grid[#Data],$DD380,69),0)</f>
        <v/>
      </c>
      <c r="BT380">
        <f>IFERROR(INDEX(PP_Grid[#Data],$DD380,70),0)</f>
        <v/>
      </c>
      <c r="BU380">
        <f>IFERROR(INDEX(PP_Grid[#Data],$DD380,71),0)</f>
        <v/>
      </c>
      <c r="BV380">
        <f>IFERROR(INDEX(PP_Grid[#Data],$DD380,72),0)</f>
        <v/>
      </c>
      <c r="BW380">
        <f>IFERROR(INDEX(PP_Grid[#Data],$DD380,73),0)</f>
        <v/>
      </c>
      <c r="BX380">
        <f>IFERROR(INDEX(PP_Grid[#Data],$DD380,74),0)</f>
        <v/>
      </c>
      <c r="BY380">
        <f>IFERROR(INDEX(PP_Grid[#Data],$DD380,75),0)</f>
        <v/>
      </c>
      <c r="BZ380">
        <f>IFERROR(INDEX(PP_Grid[#Data],$DD380,76),0)</f>
        <v/>
      </c>
      <c r="CA380">
        <f>IFERROR(INDEX(PP_Grid[#Data],$DD380,77),0)</f>
        <v/>
      </c>
      <c r="CB380">
        <f>IFERROR(INDEX(PP_Grid[#Data],$DD380,78),0)</f>
        <v/>
      </c>
      <c r="CC380">
        <f>IFERROR(INDEX(PP_Grid[#Data],$DD380,79),0)</f>
        <v/>
      </c>
      <c r="CD380">
        <f>IFERROR(INDEX(PP_Grid[#Data],$DD380,80),0)</f>
        <v/>
      </c>
      <c r="CE380">
        <f>IFERROR(INDEX(PP_Grid[#Data],$DD380,81),0)</f>
        <v/>
      </c>
      <c r="CF380">
        <f>IFERROR(INDEX(PP_Grid[#Data],$DD380,82),0)</f>
        <v/>
      </c>
      <c r="CG380">
        <f>IFERROR(INDEX(PP_Grid[#Data],$DD380,83),0)</f>
        <v/>
      </c>
      <c r="CH380">
        <f>IFERROR(INDEX(PP_Grid[#Data],$DD380,84),0)</f>
        <v/>
      </c>
      <c r="CI380">
        <f>IFERROR(INDEX(PP_Grid[#Data],$DD380,85),0)</f>
        <v/>
      </c>
      <c r="CJ380">
        <f>IFERROR(INDEX(PP_Grid[#Data],$DD380,86),0)</f>
        <v/>
      </c>
      <c r="CK380">
        <f>IFERROR(INDEX(PP_Grid[#Data],$DD380,87),0)</f>
        <v/>
      </c>
      <c r="CL380">
        <f>IFERROR(INDEX(PP_Grid[#Data],$DD380,88),0)</f>
        <v/>
      </c>
      <c r="CM380">
        <f>IFERROR(INDEX(PP_Grid[#Data],$DD380,89),0)</f>
        <v/>
      </c>
      <c r="CN380">
        <f>IFERROR(INDEX(PP_Grid[#Data],$DD380,90),0)</f>
        <v/>
      </c>
      <c r="CO380">
        <f>IFERROR(INDEX(PP_Grid[#Data],$DD380,91),0)</f>
        <v/>
      </c>
      <c r="CP380">
        <f>IFERROR(INDEX(PP_Grid[#Data],$DD380,92),0)</f>
        <v/>
      </c>
      <c r="CQ380">
        <f>IFERROR(INDEX(PP_Grid[#Data],$DD380,93),0)</f>
        <v/>
      </c>
      <c r="CR380">
        <f>IFERROR(INDEX(PP_Grid[#Data],$DD380,94),0)</f>
        <v/>
      </c>
      <c r="CS380">
        <f>IFERROR(INDEX(PP_Grid[#Data],$DD380,95),0)</f>
        <v/>
      </c>
      <c r="CT380">
        <f>IFERROR(INDEX(PP_Grid[#Data],$DD380,96),0)</f>
        <v/>
      </c>
      <c r="CU380">
        <f>IFERROR(INDEX(PP_Grid[#Data],$DD380,97),0)</f>
        <v/>
      </c>
      <c r="CV380">
        <f>IFERROR(INDEX(PP_Grid[#Data],$DD380,98),0)</f>
        <v/>
      </c>
      <c r="CW380">
        <f>IFERROR(INDEX(PP_Grid[#Data],$DD380,99),0)</f>
        <v/>
      </c>
      <c r="CX380">
        <f>IFERROR(INDEX(PP_Grid[#Data],$DD380,100),0)</f>
        <v/>
      </c>
      <c r="CY380">
        <f>IFERROR(INDEX(PP_Grid[#Data],$DD380,101),0)</f>
        <v/>
      </c>
      <c r="CZ380">
        <f>IFERROR(INDEX(PP_Grid[#Data],$DD380,102),0)</f>
        <v/>
      </c>
      <c r="DA380">
        <f>IFERROR(INDEX(PP_Grid[#Data],$DD380,103),0)</f>
        <v/>
      </c>
      <c r="DB380">
        <f>IFERROR(INDEX(PP_Grid[#Data],$DD380,104),0)</f>
        <v/>
      </c>
      <c r="DC380">
        <f>IFERROR(INDEX(PP_Grid[#Data],$DD380,105),0)</f>
        <v/>
      </c>
      <c r="DD380" s="12">
        <f>IFERROR(MATCH($B380,PP_Grid[Intermediate],0),99999)</f>
        <v/>
      </c>
    </row>
    <row r="381">
      <c r="B381" t="inlineStr">
        <is>
          <t>使用量(kg)</t>
        </is>
      </c>
      <c r="C381">
        <f>SUMIFS(M_BOM[RM_Qty_Per_Batch],M_BOM[Intermediate],$B380,M_BOM[Part Name],$A343)</f>
        <v/>
      </c>
      <c r="D381">
        <f>$C381*D380</f>
        <v/>
      </c>
      <c r="E381">
        <f>$C381*E380</f>
        <v/>
      </c>
      <c r="F381">
        <f>$C381*F380</f>
        <v/>
      </c>
      <c r="G381">
        <f>$C381*G380</f>
        <v/>
      </c>
      <c r="H381">
        <f>$C381*H380</f>
        <v/>
      </c>
      <c r="I381">
        <f>$C381*I380</f>
        <v/>
      </c>
      <c r="J381">
        <f>$C381*J380</f>
        <v/>
      </c>
      <c r="K381">
        <f>$C381*K380</f>
        <v/>
      </c>
      <c r="L381">
        <f>$C381*L380</f>
        <v/>
      </c>
      <c r="M381">
        <f>$C381*M380</f>
        <v/>
      </c>
      <c r="N381">
        <f>$C381*N380</f>
        <v/>
      </c>
      <c r="O381">
        <f>$C381*O380</f>
        <v/>
      </c>
      <c r="P381">
        <f>$C381*P380</f>
        <v/>
      </c>
      <c r="Q381">
        <f>$C381*Q380</f>
        <v/>
      </c>
      <c r="R381">
        <f>$C381*R380</f>
        <v/>
      </c>
      <c r="S381">
        <f>$C381*S380</f>
        <v/>
      </c>
      <c r="T381">
        <f>$C381*T380</f>
        <v/>
      </c>
      <c r="U381">
        <f>$C381*U380</f>
        <v/>
      </c>
      <c r="V381">
        <f>$C381*V380</f>
        <v/>
      </c>
      <c r="W381">
        <f>$C381*W380</f>
        <v/>
      </c>
      <c r="X381">
        <f>$C381*X380</f>
        <v/>
      </c>
      <c r="Y381">
        <f>$C381*Y380</f>
        <v/>
      </c>
      <c r="Z381">
        <f>$C381*Z380</f>
        <v/>
      </c>
      <c r="AA381">
        <f>$C381*AA380</f>
        <v/>
      </c>
      <c r="AB381">
        <f>$C381*AB380</f>
        <v/>
      </c>
      <c r="AC381">
        <f>$C381*AC380</f>
        <v/>
      </c>
      <c r="AD381">
        <f>$C381*AD380</f>
        <v/>
      </c>
      <c r="AE381">
        <f>$C381*AE380</f>
        <v/>
      </c>
      <c r="AF381">
        <f>$C381*AF380</f>
        <v/>
      </c>
      <c r="AG381">
        <f>$C381*AG380</f>
        <v/>
      </c>
      <c r="AH381">
        <f>$C381*AH380</f>
        <v/>
      </c>
      <c r="AI381">
        <f>$C381*AI380</f>
        <v/>
      </c>
      <c r="AJ381">
        <f>$C381*AJ380</f>
        <v/>
      </c>
      <c r="AK381">
        <f>$C381*AK380</f>
        <v/>
      </c>
      <c r="AL381">
        <f>$C381*AL380</f>
        <v/>
      </c>
      <c r="AM381">
        <f>$C381*AM380</f>
        <v/>
      </c>
      <c r="AN381">
        <f>$C381*AN380</f>
        <v/>
      </c>
      <c r="AO381">
        <f>$C381*AO380</f>
        <v/>
      </c>
      <c r="AP381">
        <f>$C381*AP380</f>
        <v/>
      </c>
      <c r="AQ381">
        <f>$C381*AQ380</f>
        <v/>
      </c>
      <c r="AR381">
        <f>$C381*AR380</f>
        <v/>
      </c>
      <c r="AS381">
        <f>$C381*AS380</f>
        <v/>
      </c>
      <c r="AT381">
        <f>$C381*AT380</f>
        <v/>
      </c>
      <c r="AU381">
        <f>$C381*AU380</f>
        <v/>
      </c>
      <c r="AV381">
        <f>$C381*AV380</f>
        <v/>
      </c>
      <c r="AW381">
        <f>$C381*AW380</f>
        <v/>
      </c>
      <c r="AX381">
        <f>$C381*AX380</f>
        <v/>
      </c>
      <c r="AY381">
        <f>$C381*AY380</f>
        <v/>
      </c>
      <c r="AZ381">
        <f>$C381*AZ380</f>
        <v/>
      </c>
      <c r="BA381">
        <f>$C381*BA380</f>
        <v/>
      </c>
      <c r="BB381">
        <f>$C381*BB380</f>
        <v/>
      </c>
      <c r="BC381">
        <f>$C381*BC380</f>
        <v/>
      </c>
      <c r="BD381">
        <f>$C381*BD380</f>
        <v/>
      </c>
      <c r="BE381">
        <f>$C381*BE380</f>
        <v/>
      </c>
      <c r="BF381">
        <f>$C381*BF380</f>
        <v/>
      </c>
      <c r="BG381">
        <f>$C381*BG380</f>
        <v/>
      </c>
      <c r="BH381">
        <f>$C381*BH380</f>
        <v/>
      </c>
      <c r="BI381">
        <f>$C381*BI380</f>
        <v/>
      </c>
      <c r="BJ381">
        <f>$C381*BJ380</f>
        <v/>
      </c>
      <c r="BK381">
        <f>$C381*BK380</f>
        <v/>
      </c>
      <c r="BL381">
        <f>$C381*BL380</f>
        <v/>
      </c>
      <c r="BM381">
        <f>$C381*BM380</f>
        <v/>
      </c>
      <c r="BN381">
        <f>$C381*BN380</f>
        <v/>
      </c>
      <c r="BO381">
        <f>$C381*BO380</f>
        <v/>
      </c>
      <c r="BP381">
        <f>$C381*BP380</f>
        <v/>
      </c>
      <c r="BQ381">
        <f>$C381*BQ380</f>
        <v/>
      </c>
      <c r="BR381">
        <f>$C381*BR380</f>
        <v/>
      </c>
      <c r="BS381">
        <f>$C381*BS380</f>
        <v/>
      </c>
      <c r="BT381">
        <f>$C381*BT380</f>
        <v/>
      </c>
      <c r="BU381">
        <f>$C381*BU380</f>
        <v/>
      </c>
      <c r="BV381">
        <f>$C381*BV380</f>
        <v/>
      </c>
      <c r="BW381">
        <f>$C381*BW380</f>
        <v/>
      </c>
      <c r="BX381">
        <f>$C381*BX380</f>
        <v/>
      </c>
      <c r="BY381">
        <f>$C381*BY380</f>
        <v/>
      </c>
      <c r="BZ381">
        <f>$C381*BZ380</f>
        <v/>
      </c>
      <c r="CA381">
        <f>$C381*CA380</f>
        <v/>
      </c>
      <c r="CB381">
        <f>$C381*CB380</f>
        <v/>
      </c>
      <c r="CC381">
        <f>$C381*CC380</f>
        <v/>
      </c>
      <c r="CD381">
        <f>$C381*CD380</f>
        <v/>
      </c>
      <c r="CE381">
        <f>$C381*CE380</f>
        <v/>
      </c>
      <c r="CF381">
        <f>$C381*CF380</f>
        <v/>
      </c>
      <c r="CG381">
        <f>$C381*CG380</f>
        <v/>
      </c>
      <c r="CH381">
        <f>$C381*CH380</f>
        <v/>
      </c>
      <c r="CI381">
        <f>$C381*CI380</f>
        <v/>
      </c>
      <c r="CJ381">
        <f>$C381*CJ380</f>
        <v/>
      </c>
      <c r="CK381">
        <f>$C381*CK380</f>
        <v/>
      </c>
      <c r="CL381">
        <f>$C381*CL380</f>
        <v/>
      </c>
      <c r="CM381">
        <f>$C381*CM380</f>
        <v/>
      </c>
      <c r="CN381">
        <f>$C381*CN380</f>
        <v/>
      </c>
      <c r="CO381">
        <f>$C381*CO380</f>
        <v/>
      </c>
      <c r="CP381">
        <f>$C381*CP380</f>
        <v/>
      </c>
      <c r="CQ381">
        <f>$C381*CQ380</f>
        <v/>
      </c>
      <c r="CR381">
        <f>$C381*CR380</f>
        <v/>
      </c>
      <c r="CS381">
        <f>$C381*CS380</f>
        <v/>
      </c>
      <c r="CT381">
        <f>$C381*CT380</f>
        <v/>
      </c>
      <c r="CU381">
        <f>$C381*CU380</f>
        <v/>
      </c>
      <c r="CV381">
        <f>$C381*CV380</f>
        <v/>
      </c>
      <c r="CW381">
        <f>$C381*CW380</f>
        <v/>
      </c>
      <c r="CX381">
        <f>$C381*CX380</f>
        <v/>
      </c>
      <c r="CY381">
        <f>$C381*CY380</f>
        <v/>
      </c>
      <c r="CZ381">
        <f>$C381*CZ380</f>
        <v/>
      </c>
      <c r="DA381">
        <f>$C381*DA380</f>
        <v/>
      </c>
      <c r="DB381">
        <f>$C381*DB380</f>
        <v/>
      </c>
      <c r="DC381">
        <f>$C381*DC380</f>
        <v/>
      </c>
    </row>
    <row r="382">
      <c r="B382" t="inlineStr">
        <is>
          <t>TSP-620</t>
        </is>
      </c>
      <c r="C382" t="inlineStr">
        <is>
          <t>No. of batches</t>
        </is>
      </c>
      <c r="D382">
        <f>IFERROR(INDEX(PP_Grid[#Data],$DD382,2),0)</f>
        <v/>
      </c>
      <c r="E382">
        <f>IFERROR(INDEX(PP_Grid[#Data],$DD382,3),0)</f>
        <v/>
      </c>
      <c r="F382">
        <f>IFERROR(INDEX(PP_Grid[#Data],$DD382,4),0)</f>
        <v/>
      </c>
      <c r="G382">
        <f>IFERROR(INDEX(PP_Grid[#Data],$DD382,5),0)</f>
        <v/>
      </c>
      <c r="H382">
        <f>IFERROR(INDEX(PP_Grid[#Data],$DD382,6),0)</f>
        <v/>
      </c>
      <c r="I382">
        <f>IFERROR(INDEX(PP_Grid[#Data],$DD382,7),0)</f>
        <v/>
      </c>
      <c r="J382">
        <f>IFERROR(INDEX(PP_Grid[#Data],$DD382,8),0)</f>
        <v/>
      </c>
      <c r="K382">
        <f>IFERROR(INDEX(PP_Grid[#Data],$DD382,9),0)</f>
        <v/>
      </c>
      <c r="L382">
        <f>IFERROR(INDEX(PP_Grid[#Data],$DD382,10),0)</f>
        <v/>
      </c>
      <c r="M382">
        <f>IFERROR(INDEX(PP_Grid[#Data],$DD382,11),0)</f>
        <v/>
      </c>
      <c r="N382">
        <f>IFERROR(INDEX(PP_Grid[#Data],$DD382,12),0)</f>
        <v/>
      </c>
      <c r="O382">
        <f>IFERROR(INDEX(PP_Grid[#Data],$DD382,13),0)</f>
        <v/>
      </c>
      <c r="P382">
        <f>IFERROR(INDEX(PP_Grid[#Data],$DD382,14),0)</f>
        <v/>
      </c>
      <c r="Q382">
        <f>IFERROR(INDEX(PP_Grid[#Data],$DD382,15),0)</f>
        <v/>
      </c>
      <c r="R382">
        <f>IFERROR(INDEX(PP_Grid[#Data],$DD382,16),0)</f>
        <v/>
      </c>
      <c r="S382">
        <f>IFERROR(INDEX(PP_Grid[#Data],$DD382,17),0)</f>
        <v/>
      </c>
      <c r="T382">
        <f>IFERROR(INDEX(PP_Grid[#Data],$DD382,18),0)</f>
        <v/>
      </c>
      <c r="U382">
        <f>IFERROR(INDEX(PP_Grid[#Data],$DD382,19),0)</f>
        <v/>
      </c>
      <c r="V382">
        <f>IFERROR(INDEX(PP_Grid[#Data],$DD382,20),0)</f>
        <v/>
      </c>
      <c r="W382">
        <f>IFERROR(INDEX(PP_Grid[#Data],$DD382,21),0)</f>
        <v/>
      </c>
      <c r="X382">
        <f>IFERROR(INDEX(PP_Grid[#Data],$DD382,22),0)</f>
        <v/>
      </c>
      <c r="Y382">
        <f>IFERROR(INDEX(PP_Grid[#Data],$DD382,23),0)</f>
        <v/>
      </c>
      <c r="Z382">
        <f>IFERROR(INDEX(PP_Grid[#Data],$DD382,24),0)</f>
        <v/>
      </c>
      <c r="AA382">
        <f>IFERROR(INDEX(PP_Grid[#Data],$DD382,25),0)</f>
        <v/>
      </c>
      <c r="AB382">
        <f>IFERROR(INDEX(PP_Grid[#Data],$DD382,26),0)</f>
        <v/>
      </c>
      <c r="AC382">
        <f>IFERROR(INDEX(PP_Grid[#Data],$DD382,27),0)</f>
        <v/>
      </c>
      <c r="AD382">
        <f>IFERROR(INDEX(PP_Grid[#Data],$DD382,28),0)</f>
        <v/>
      </c>
      <c r="AE382">
        <f>IFERROR(INDEX(PP_Grid[#Data],$DD382,29),0)</f>
        <v/>
      </c>
      <c r="AF382">
        <f>IFERROR(INDEX(PP_Grid[#Data],$DD382,30),0)</f>
        <v/>
      </c>
      <c r="AG382">
        <f>IFERROR(INDEX(PP_Grid[#Data],$DD382,31),0)</f>
        <v/>
      </c>
      <c r="AH382">
        <f>IFERROR(INDEX(PP_Grid[#Data],$DD382,32),0)</f>
        <v/>
      </c>
      <c r="AI382">
        <f>IFERROR(INDEX(PP_Grid[#Data],$DD382,33),0)</f>
        <v/>
      </c>
      <c r="AJ382">
        <f>IFERROR(INDEX(PP_Grid[#Data],$DD382,34),0)</f>
        <v/>
      </c>
      <c r="AK382">
        <f>IFERROR(INDEX(PP_Grid[#Data],$DD382,35),0)</f>
        <v/>
      </c>
      <c r="AL382">
        <f>IFERROR(INDEX(PP_Grid[#Data],$DD382,36),0)</f>
        <v/>
      </c>
      <c r="AM382">
        <f>IFERROR(INDEX(PP_Grid[#Data],$DD382,37),0)</f>
        <v/>
      </c>
      <c r="AN382">
        <f>IFERROR(INDEX(PP_Grid[#Data],$DD382,38),0)</f>
        <v/>
      </c>
      <c r="AO382">
        <f>IFERROR(INDEX(PP_Grid[#Data],$DD382,39),0)</f>
        <v/>
      </c>
      <c r="AP382">
        <f>IFERROR(INDEX(PP_Grid[#Data],$DD382,40),0)</f>
        <v/>
      </c>
      <c r="AQ382">
        <f>IFERROR(INDEX(PP_Grid[#Data],$DD382,41),0)</f>
        <v/>
      </c>
      <c r="AR382">
        <f>IFERROR(INDEX(PP_Grid[#Data],$DD382,42),0)</f>
        <v/>
      </c>
      <c r="AS382">
        <f>IFERROR(INDEX(PP_Grid[#Data],$DD382,43),0)</f>
        <v/>
      </c>
      <c r="AT382">
        <f>IFERROR(INDEX(PP_Grid[#Data],$DD382,44),0)</f>
        <v/>
      </c>
      <c r="AU382">
        <f>IFERROR(INDEX(PP_Grid[#Data],$DD382,45),0)</f>
        <v/>
      </c>
      <c r="AV382">
        <f>IFERROR(INDEX(PP_Grid[#Data],$DD382,46),0)</f>
        <v/>
      </c>
      <c r="AW382">
        <f>IFERROR(INDEX(PP_Grid[#Data],$DD382,47),0)</f>
        <v/>
      </c>
      <c r="AX382">
        <f>IFERROR(INDEX(PP_Grid[#Data],$DD382,48),0)</f>
        <v/>
      </c>
      <c r="AY382">
        <f>IFERROR(INDEX(PP_Grid[#Data],$DD382,49),0)</f>
        <v/>
      </c>
      <c r="AZ382">
        <f>IFERROR(INDEX(PP_Grid[#Data],$DD382,50),0)</f>
        <v/>
      </c>
      <c r="BA382">
        <f>IFERROR(INDEX(PP_Grid[#Data],$DD382,51),0)</f>
        <v/>
      </c>
      <c r="BB382">
        <f>IFERROR(INDEX(PP_Grid[#Data],$DD382,52),0)</f>
        <v/>
      </c>
      <c r="BC382">
        <f>IFERROR(INDEX(PP_Grid[#Data],$DD382,53),0)</f>
        <v/>
      </c>
      <c r="BD382">
        <f>IFERROR(INDEX(PP_Grid[#Data],$DD382,54),0)</f>
        <v/>
      </c>
      <c r="BE382">
        <f>IFERROR(INDEX(PP_Grid[#Data],$DD382,55),0)</f>
        <v/>
      </c>
      <c r="BF382">
        <f>IFERROR(INDEX(PP_Grid[#Data],$DD382,56),0)</f>
        <v/>
      </c>
      <c r="BG382">
        <f>IFERROR(INDEX(PP_Grid[#Data],$DD382,57),0)</f>
        <v/>
      </c>
      <c r="BH382">
        <f>IFERROR(INDEX(PP_Grid[#Data],$DD382,58),0)</f>
        <v/>
      </c>
      <c r="BI382">
        <f>IFERROR(INDEX(PP_Grid[#Data],$DD382,59),0)</f>
        <v/>
      </c>
      <c r="BJ382">
        <f>IFERROR(INDEX(PP_Grid[#Data],$DD382,60),0)</f>
        <v/>
      </c>
      <c r="BK382">
        <f>IFERROR(INDEX(PP_Grid[#Data],$DD382,61),0)</f>
        <v/>
      </c>
      <c r="BL382">
        <f>IFERROR(INDEX(PP_Grid[#Data],$DD382,62),0)</f>
        <v/>
      </c>
      <c r="BM382">
        <f>IFERROR(INDEX(PP_Grid[#Data],$DD382,63),0)</f>
        <v/>
      </c>
      <c r="BN382">
        <f>IFERROR(INDEX(PP_Grid[#Data],$DD382,64),0)</f>
        <v/>
      </c>
      <c r="BO382">
        <f>IFERROR(INDEX(PP_Grid[#Data],$DD382,65),0)</f>
        <v/>
      </c>
      <c r="BP382">
        <f>IFERROR(INDEX(PP_Grid[#Data],$DD382,66),0)</f>
        <v/>
      </c>
      <c r="BQ382">
        <f>IFERROR(INDEX(PP_Grid[#Data],$DD382,67),0)</f>
        <v/>
      </c>
      <c r="BR382">
        <f>IFERROR(INDEX(PP_Grid[#Data],$DD382,68),0)</f>
        <v/>
      </c>
      <c r="BS382">
        <f>IFERROR(INDEX(PP_Grid[#Data],$DD382,69),0)</f>
        <v/>
      </c>
      <c r="BT382">
        <f>IFERROR(INDEX(PP_Grid[#Data],$DD382,70),0)</f>
        <v/>
      </c>
      <c r="BU382">
        <f>IFERROR(INDEX(PP_Grid[#Data],$DD382,71),0)</f>
        <v/>
      </c>
      <c r="BV382">
        <f>IFERROR(INDEX(PP_Grid[#Data],$DD382,72),0)</f>
        <v/>
      </c>
      <c r="BW382">
        <f>IFERROR(INDEX(PP_Grid[#Data],$DD382,73),0)</f>
        <v/>
      </c>
      <c r="BX382">
        <f>IFERROR(INDEX(PP_Grid[#Data],$DD382,74),0)</f>
        <v/>
      </c>
      <c r="BY382">
        <f>IFERROR(INDEX(PP_Grid[#Data],$DD382,75),0)</f>
        <v/>
      </c>
      <c r="BZ382">
        <f>IFERROR(INDEX(PP_Grid[#Data],$DD382,76),0)</f>
        <v/>
      </c>
      <c r="CA382">
        <f>IFERROR(INDEX(PP_Grid[#Data],$DD382,77),0)</f>
        <v/>
      </c>
      <c r="CB382">
        <f>IFERROR(INDEX(PP_Grid[#Data],$DD382,78),0)</f>
        <v/>
      </c>
      <c r="CC382">
        <f>IFERROR(INDEX(PP_Grid[#Data],$DD382,79),0)</f>
        <v/>
      </c>
      <c r="CD382">
        <f>IFERROR(INDEX(PP_Grid[#Data],$DD382,80),0)</f>
        <v/>
      </c>
      <c r="CE382">
        <f>IFERROR(INDEX(PP_Grid[#Data],$DD382,81),0)</f>
        <v/>
      </c>
      <c r="CF382">
        <f>IFERROR(INDEX(PP_Grid[#Data],$DD382,82),0)</f>
        <v/>
      </c>
      <c r="CG382">
        <f>IFERROR(INDEX(PP_Grid[#Data],$DD382,83),0)</f>
        <v/>
      </c>
      <c r="CH382">
        <f>IFERROR(INDEX(PP_Grid[#Data],$DD382,84),0)</f>
        <v/>
      </c>
      <c r="CI382">
        <f>IFERROR(INDEX(PP_Grid[#Data],$DD382,85),0)</f>
        <v/>
      </c>
      <c r="CJ382">
        <f>IFERROR(INDEX(PP_Grid[#Data],$DD382,86),0)</f>
        <v/>
      </c>
      <c r="CK382">
        <f>IFERROR(INDEX(PP_Grid[#Data],$DD382,87),0)</f>
        <v/>
      </c>
      <c r="CL382">
        <f>IFERROR(INDEX(PP_Grid[#Data],$DD382,88),0)</f>
        <v/>
      </c>
      <c r="CM382">
        <f>IFERROR(INDEX(PP_Grid[#Data],$DD382,89),0)</f>
        <v/>
      </c>
      <c r="CN382">
        <f>IFERROR(INDEX(PP_Grid[#Data],$DD382,90),0)</f>
        <v/>
      </c>
      <c r="CO382">
        <f>IFERROR(INDEX(PP_Grid[#Data],$DD382,91),0)</f>
        <v/>
      </c>
      <c r="CP382">
        <f>IFERROR(INDEX(PP_Grid[#Data],$DD382,92),0)</f>
        <v/>
      </c>
      <c r="CQ382">
        <f>IFERROR(INDEX(PP_Grid[#Data],$DD382,93),0)</f>
        <v/>
      </c>
      <c r="CR382">
        <f>IFERROR(INDEX(PP_Grid[#Data],$DD382,94),0)</f>
        <v/>
      </c>
      <c r="CS382">
        <f>IFERROR(INDEX(PP_Grid[#Data],$DD382,95),0)</f>
        <v/>
      </c>
      <c r="CT382">
        <f>IFERROR(INDEX(PP_Grid[#Data],$DD382,96),0)</f>
        <v/>
      </c>
      <c r="CU382">
        <f>IFERROR(INDEX(PP_Grid[#Data],$DD382,97),0)</f>
        <v/>
      </c>
      <c r="CV382">
        <f>IFERROR(INDEX(PP_Grid[#Data],$DD382,98),0)</f>
        <v/>
      </c>
      <c r="CW382">
        <f>IFERROR(INDEX(PP_Grid[#Data],$DD382,99),0)</f>
        <v/>
      </c>
      <c r="CX382">
        <f>IFERROR(INDEX(PP_Grid[#Data],$DD382,100),0)</f>
        <v/>
      </c>
      <c r="CY382">
        <f>IFERROR(INDEX(PP_Grid[#Data],$DD382,101),0)</f>
        <v/>
      </c>
      <c r="CZ382">
        <f>IFERROR(INDEX(PP_Grid[#Data],$DD382,102),0)</f>
        <v/>
      </c>
      <c r="DA382">
        <f>IFERROR(INDEX(PP_Grid[#Data],$DD382,103),0)</f>
        <v/>
      </c>
      <c r="DB382">
        <f>IFERROR(INDEX(PP_Grid[#Data],$DD382,104),0)</f>
        <v/>
      </c>
      <c r="DC382">
        <f>IFERROR(INDEX(PP_Grid[#Data],$DD382,105),0)</f>
        <v/>
      </c>
      <c r="DD382" s="12">
        <f>IFERROR(MATCH($B382,PP_Grid[Intermediate],0),99999)</f>
        <v/>
      </c>
    </row>
    <row r="383">
      <c r="B383" t="inlineStr">
        <is>
          <t>使用量(kg)</t>
        </is>
      </c>
      <c r="C383">
        <f>SUMIFS(M_BOM[RM_Qty_Per_Batch],M_BOM[Intermediate],$B382,M_BOM[Part Name],$A343)</f>
        <v/>
      </c>
      <c r="D383">
        <f>$C383*D382</f>
        <v/>
      </c>
      <c r="E383">
        <f>$C383*E382</f>
        <v/>
      </c>
      <c r="F383">
        <f>$C383*F382</f>
        <v/>
      </c>
      <c r="G383">
        <f>$C383*G382</f>
        <v/>
      </c>
      <c r="H383">
        <f>$C383*H382</f>
        <v/>
      </c>
      <c r="I383">
        <f>$C383*I382</f>
        <v/>
      </c>
      <c r="J383">
        <f>$C383*J382</f>
        <v/>
      </c>
      <c r="K383">
        <f>$C383*K382</f>
        <v/>
      </c>
      <c r="L383">
        <f>$C383*L382</f>
        <v/>
      </c>
      <c r="M383">
        <f>$C383*M382</f>
        <v/>
      </c>
      <c r="N383">
        <f>$C383*N382</f>
        <v/>
      </c>
      <c r="O383">
        <f>$C383*O382</f>
        <v/>
      </c>
      <c r="P383">
        <f>$C383*P382</f>
        <v/>
      </c>
      <c r="Q383">
        <f>$C383*Q382</f>
        <v/>
      </c>
      <c r="R383">
        <f>$C383*R382</f>
        <v/>
      </c>
      <c r="S383">
        <f>$C383*S382</f>
        <v/>
      </c>
      <c r="T383">
        <f>$C383*T382</f>
        <v/>
      </c>
      <c r="U383">
        <f>$C383*U382</f>
        <v/>
      </c>
      <c r="V383">
        <f>$C383*V382</f>
        <v/>
      </c>
      <c r="W383">
        <f>$C383*W382</f>
        <v/>
      </c>
      <c r="X383">
        <f>$C383*X382</f>
        <v/>
      </c>
      <c r="Y383">
        <f>$C383*Y382</f>
        <v/>
      </c>
      <c r="Z383">
        <f>$C383*Z382</f>
        <v/>
      </c>
      <c r="AA383">
        <f>$C383*AA382</f>
        <v/>
      </c>
      <c r="AB383">
        <f>$C383*AB382</f>
        <v/>
      </c>
      <c r="AC383">
        <f>$C383*AC382</f>
        <v/>
      </c>
      <c r="AD383">
        <f>$C383*AD382</f>
        <v/>
      </c>
      <c r="AE383">
        <f>$C383*AE382</f>
        <v/>
      </c>
      <c r="AF383">
        <f>$C383*AF382</f>
        <v/>
      </c>
      <c r="AG383">
        <f>$C383*AG382</f>
        <v/>
      </c>
      <c r="AH383">
        <f>$C383*AH382</f>
        <v/>
      </c>
      <c r="AI383">
        <f>$C383*AI382</f>
        <v/>
      </c>
      <c r="AJ383">
        <f>$C383*AJ382</f>
        <v/>
      </c>
      <c r="AK383">
        <f>$C383*AK382</f>
        <v/>
      </c>
      <c r="AL383">
        <f>$C383*AL382</f>
        <v/>
      </c>
      <c r="AM383">
        <f>$C383*AM382</f>
        <v/>
      </c>
      <c r="AN383">
        <f>$C383*AN382</f>
        <v/>
      </c>
      <c r="AO383">
        <f>$C383*AO382</f>
        <v/>
      </c>
      <c r="AP383">
        <f>$C383*AP382</f>
        <v/>
      </c>
      <c r="AQ383">
        <f>$C383*AQ382</f>
        <v/>
      </c>
      <c r="AR383">
        <f>$C383*AR382</f>
        <v/>
      </c>
      <c r="AS383">
        <f>$C383*AS382</f>
        <v/>
      </c>
      <c r="AT383">
        <f>$C383*AT382</f>
        <v/>
      </c>
      <c r="AU383">
        <f>$C383*AU382</f>
        <v/>
      </c>
      <c r="AV383">
        <f>$C383*AV382</f>
        <v/>
      </c>
      <c r="AW383">
        <f>$C383*AW382</f>
        <v/>
      </c>
      <c r="AX383">
        <f>$C383*AX382</f>
        <v/>
      </c>
      <c r="AY383">
        <f>$C383*AY382</f>
        <v/>
      </c>
      <c r="AZ383">
        <f>$C383*AZ382</f>
        <v/>
      </c>
      <c r="BA383">
        <f>$C383*BA382</f>
        <v/>
      </c>
      <c r="BB383">
        <f>$C383*BB382</f>
        <v/>
      </c>
      <c r="BC383">
        <f>$C383*BC382</f>
        <v/>
      </c>
      <c r="BD383">
        <f>$C383*BD382</f>
        <v/>
      </c>
      <c r="BE383">
        <f>$C383*BE382</f>
        <v/>
      </c>
      <c r="BF383">
        <f>$C383*BF382</f>
        <v/>
      </c>
      <c r="BG383">
        <f>$C383*BG382</f>
        <v/>
      </c>
      <c r="BH383">
        <f>$C383*BH382</f>
        <v/>
      </c>
      <c r="BI383">
        <f>$C383*BI382</f>
        <v/>
      </c>
      <c r="BJ383">
        <f>$C383*BJ382</f>
        <v/>
      </c>
      <c r="BK383">
        <f>$C383*BK382</f>
        <v/>
      </c>
      <c r="BL383">
        <f>$C383*BL382</f>
        <v/>
      </c>
      <c r="BM383">
        <f>$C383*BM382</f>
        <v/>
      </c>
      <c r="BN383">
        <f>$C383*BN382</f>
        <v/>
      </c>
      <c r="BO383">
        <f>$C383*BO382</f>
        <v/>
      </c>
      <c r="BP383">
        <f>$C383*BP382</f>
        <v/>
      </c>
      <c r="BQ383">
        <f>$C383*BQ382</f>
        <v/>
      </c>
      <c r="BR383">
        <f>$C383*BR382</f>
        <v/>
      </c>
      <c r="BS383">
        <f>$C383*BS382</f>
        <v/>
      </c>
      <c r="BT383">
        <f>$C383*BT382</f>
        <v/>
      </c>
      <c r="BU383">
        <f>$C383*BU382</f>
        <v/>
      </c>
      <c r="BV383">
        <f>$C383*BV382</f>
        <v/>
      </c>
      <c r="BW383">
        <f>$C383*BW382</f>
        <v/>
      </c>
      <c r="BX383">
        <f>$C383*BX382</f>
        <v/>
      </c>
      <c r="BY383">
        <f>$C383*BY382</f>
        <v/>
      </c>
      <c r="BZ383">
        <f>$C383*BZ382</f>
        <v/>
      </c>
      <c r="CA383">
        <f>$C383*CA382</f>
        <v/>
      </c>
      <c r="CB383">
        <f>$C383*CB382</f>
        <v/>
      </c>
      <c r="CC383">
        <f>$C383*CC382</f>
        <v/>
      </c>
      <c r="CD383">
        <f>$C383*CD382</f>
        <v/>
      </c>
      <c r="CE383">
        <f>$C383*CE382</f>
        <v/>
      </c>
      <c r="CF383">
        <f>$C383*CF382</f>
        <v/>
      </c>
      <c r="CG383">
        <f>$C383*CG382</f>
        <v/>
      </c>
      <c r="CH383">
        <f>$C383*CH382</f>
        <v/>
      </c>
      <c r="CI383">
        <f>$C383*CI382</f>
        <v/>
      </c>
      <c r="CJ383">
        <f>$C383*CJ382</f>
        <v/>
      </c>
      <c r="CK383">
        <f>$C383*CK382</f>
        <v/>
      </c>
      <c r="CL383">
        <f>$C383*CL382</f>
        <v/>
      </c>
      <c r="CM383">
        <f>$C383*CM382</f>
        <v/>
      </c>
      <c r="CN383">
        <f>$C383*CN382</f>
        <v/>
      </c>
      <c r="CO383">
        <f>$C383*CO382</f>
        <v/>
      </c>
      <c r="CP383">
        <f>$C383*CP382</f>
        <v/>
      </c>
      <c r="CQ383">
        <f>$C383*CQ382</f>
        <v/>
      </c>
      <c r="CR383">
        <f>$C383*CR382</f>
        <v/>
      </c>
      <c r="CS383">
        <f>$C383*CS382</f>
        <v/>
      </c>
      <c r="CT383">
        <f>$C383*CT382</f>
        <v/>
      </c>
      <c r="CU383">
        <f>$C383*CU382</f>
        <v/>
      </c>
      <c r="CV383">
        <f>$C383*CV382</f>
        <v/>
      </c>
      <c r="CW383">
        <f>$C383*CW382</f>
        <v/>
      </c>
      <c r="CX383">
        <f>$C383*CX382</f>
        <v/>
      </c>
      <c r="CY383">
        <f>$C383*CY382</f>
        <v/>
      </c>
      <c r="CZ383">
        <f>$C383*CZ382</f>
        <v/>
      </c>
      <c r="DA383">
        <f>$C383*DA382</f>
        <v/>
      </c>
      <c r="DB383">
        <f>$C383*DB382</f>
        <v/>
      </c>
      <c r="DC383">
        <f>$C383*DC382</f>
        <v/>
      </c>
    </row>
    <row r="384">
      <c r="B384" t="inlineStr">
        <is>
          <t>TSP-623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Name],$A343)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TSP-655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12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Name],$A343)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TSP-656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12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Name],$A343)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TSP-710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Name],$A343)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TSP-828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Name],$A343)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TSP-903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Name],$A343)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TSP-959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Name],$A343)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TSP-966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Name],$A343)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TSP-1449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Name],$A343)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VSP-567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12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Name],$A343)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VSP-600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12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Name],$A343)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VSP-601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12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Name],$A343)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VSP-602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12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Name],$A343)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VSP-603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12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Name],$A343)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VSP-604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12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Name],$A343)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VSP-605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Name],$A343)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VSP-606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Name],$A343)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VSP-607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Name],$A343)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VSP-738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Name],$A343)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VSP-739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Name],$A343)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VSP-740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Name],$A343)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VSP-746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Name],$A343)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VSP-820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Name],$A343)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VSP-822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Name],$A343)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VSP-869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12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Name],$A343)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VSP-870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12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Name],$A343)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VSP-910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12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Name],$A343)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VSP-989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12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Name],$A343)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VSP-990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Name],$A343)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VSZ-745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Name],$A343)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TSP-1499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Name],$A343)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s="9" t="inlineStr">
        <is>
          <t>合計使用量(kg)/週</t>
        </is>
      </c>
      <c r="D446">
        <f>'Grid_Requirement'!B15</f>
        <v/>
      </c>
      <c r="E446">
        <f>'Grid_Requirement'!C15</f>
        <v/>
      </c>
      <c r="F446">
        <f>'Grid_Requirement'!D15</f>
        <v/>
      </c>
      <c r="G446">
        <f>'Grid_Requirement'!E15</f>
        <v/>
      </c>
      <c r="H446">
        <f>'Grid_Requirement'!F15</f>
        <v/>
      </c>
      <c r="I446">
        <f>'Grid_Requirement'!G15</f>
        <v/>
      </c>
      <c r="J446">
        <f>'Grid_Requirement'!H15</f>
        <v/>
      </c>
      <c r="K446">
        <f>'Grid_Requirement'!I15</f>
        <v/>
      </c>
      <c r="L446">
        <f>'Grid_Requirement'!J15</f>
        <v/>
      </c>
      <c r="M446">
        <f>'Grid_Requirement'!K15</f>
        <v/>
      </c>
      <c r="N446">
        <f>'Grid_Requirement'!L15</f>
        <v/>
      </c>
      <c r="O446">
        <f>'Grid_Requirement'!M15</f>
        <v/>
      </c>
      <c r="P446">
        <f>'Grid_Requirement'!N15</f>
        <v/>
      </c>
      <c r="Q446">
        <f>'Grid_Requirement'!O15</f>
        <v/>
      </c>
      <c r="R446">
        <f>'Grid_Requirement'!P15</f>
        <v/>
      </c>
      <c r="S446">
        <f>'Grid_Requirement'!Q15</f>
        <v/>
      </c>
      <c r="T446">
        <f>'Grid_Requirement'!R15</f>
        <v/>
      </c>
      <c r="U446">
        <f>'Grid_Requirement'!S15</f>
        <v/>
      </c>
      <c r="V446">
        <f>'Grid_Requirement'!T15</f>
        <v/>
      </c>
      <c r="W446">
        <f>'Grid_Requirement'!U15</f>
        <v/>
      </c>
      <c r="X446">
        <f>'Grid_Requirement'!V15</f>
        <v/>
      </c>
      <c r="Y446">
        <f>'Grid_Requirement'!W15</f>
        <v/>
      </c>
      <c r="Z446">
        <f>'Grid_Requirement'!X15</f>
        <v/>
      </c>
      <c r="AA446">
        <f>'Grid_Requirement'!Y15</f>
        <v/>
      </c>
      <c r="AB446">
        <f>'Grid_Requirement'!Z15</f>
        <v/>
      </c>
      <c r="AC446">
        <f>'Grid_Requirement'!AA15</f>
        <v/>
      </c>
      <c r="AD446">
        <f>'Grid_Requirement'!AB15</f>
        <v/>
      </c>
      <c r="AE446">
        <f>'Grid_Requirement'!AC15</f>
        <v/>
      </c>
      <c r="AF446">
        <f>'Grid_Requirement'!AD15</f>
        <v/>
      </c>
      <c r="AG446">
        <f>'Grid_Requirement'!AE15</f>
        <v/>
      </c>
      <c r="AH446">
        <f>'Grid_Requirement'!AF15</f>
        <v/>
      </c>
      <c r="AI446">
        <f>'Grid_Requirement'!AG15</f>
        <v/>
      </c>
      <c r="AJ446">
        <f>'Grid_Requirement'!AH15</f>
        <v/>
      </c>
      <c r="AK446">
        <f>'Grid_Requirement'!AI15</f>
        <v/>
      </c>
      <c r="AL446">
        <f>'Grid_Requirement'!AJ15</f>
        <v/>
      </c>
      <c r="AM446">
        <f>'Grid_Requirement'!AK15</f>
        <v/>
      </c>
      <c r="AN446">
        <f>'Grid_Requirement'!AL15</f>
        <v/>
      </c>
      <c r="AO446">
        <f>'Grid_Requirement'!AM15</f>
        <v/>
      </c>
      <c r="AP446">
        <f>'Grid_Requirement'!AN15</f>
        <v/>
      </c>
      <c r="AQ446">
        <f>'Grid_Requirement'!AO15</f>
        <v/>
      </c>
      <c r="AR446">
        <f>'Grid_Requirement'!AP15</f>
        <v/>
      </c>
      <c r="AS446">
        <f>'Grid_Requirement'!AQ15</f>
        <v/>
      </c>
      <c r="AT446">
        <f>'Grid_Requirement'!AR15</f>
        <v/>
      </c>
      <c r="AU446">
        <f>'Grid_Requirement'!AS15</f>
        <v/>
      </c>
      <c r="AV446">
        <f>'Grid_Requirement'!AT15</f>
        <v/>
      </c>
      <c r="AW446">
        <f>'Grid_Requirement'!AU15</f>
        <v/>
      </c>
      <c r="AX446">
        <f>'Grid_Requirement'!AV15</f>
        <v/>
      </c>
      <c r="AY446">
        <f>'Grid_Requirement'!AW15</f>
        <v/>
      </c>
      <c r="AZ446">
        <f>'Grid_Requirement'!AX15</f>
        <v/>
      </c>
      <c r="BA446">
        <f>'Grid_Requirement'!AY15</f>
        <v/>
      </c>
      <c r="BB446">
        <f>'Grid_Requirement'!AZ15</f>
        <v/>
      </c>
      <c r="BC446">
        <f>'Grid_Requirement'!BA15</f>
        <v/>
      </c>
      <c r="BD446">
        <f>'Grid_Requirement'!BB15</f>
        <v/>
      </c>
      <c r="BE446">
        <f>'Grid_Requirement'!BC15</f>
        <v/>
      </c>
      <c r="BF446">
        <f>'Grid_Requirement'!BD15</f>
        <v/>
      </c>
      <c r="BG446">
        <f>'Grid_Requirement'!BE15</f>
        <v/>
      </c>
      <c r="BH446">
        <f>'Grid_Requirement'!BF15</f>
        <v/>
      </c>
      <c r="BI446">
        <f>'Grid_Requirement'!BG15</f>
        <v/>
      </c>
      <c r="BJ446">
        <f>'Grid_Requirement'!BH15</f>
        <v/>
      </c>
      <c r="BK446">
        <f>'Grid_Requirement'!BI15</f>
        <v/>
      </c>
      <c r="BL446">
        <f>'Grid_Requirement'!BJ15</f>
        <v/>
      </c>
      <c r="BM446">
        <f>'Grid_Requirement'!BK15</f>
        <v/>
      </c>
      <c r="BN446">
        <f>'Grid_Requirement'!BL15</f>
        <v/>
      </c>
      <c r="BO446">
        <f>'Grid_Requirement'!BM15</f>
        <v/>
      </c>
      <c r="BP446">
        <f>'Grid_Requirement'!BN15</f>
        <v/>
      </c>
      <c r="BQ446">
        <f>'Grid_Requirement'!BO15</f>
        <v/>
      </c>
      <c r="BR446">
        <f>'Grid_Requirement'!BP15</f>
        <v/>
      </c>
      <c r="BS446">
        <f>'Grid_Requirement'!BQ15</f>
        <v/>
      </c>
      <c r="BT446">
        <f>'Grid_Requirement'!BR15</f>
        <v/>
      </c>
      <c r="BU446">
        <f>'Grid_Requirement'!BS15</f>
        <v/>
      </c>
      <c r="BV446">
        <f>'Grid_Requirement'!BT15</f>
        <v/>
      </c>
      <c r="BW446">
        <f>'Grid_Requirement'!BU15</f>
        <v/>
      </c>
      <c r="BX446">
        <f>'Grid_Requirement'!BV15</f>
        <v/>
      </c>
      <c r="BY446">
        <f>'Grid_Requirement'!BW15</f>
        <v/>
      </c>
      <c r="BZ446">
        <f>'Grid_Requirement'!BX15</f>
        <v/>
      </c>
      <c r="CA446">
        <f>'Grid_Requirement'!BY15</f>
        <v/>
      </c>
      <c r="CB446">
        <f>'Grid_Requirement'!BZ15</f>
        <v/>
      </c>
      <c r="CC446">
        <f>'Grid_Requirement'!CA15</f>
        <v/>
      </c>
      <c r="CD446">
        <f>'Grid_Requirement'!CB15</f>
        <v/>
      </c>
      <c r="CE446">
        <f>'Grid_Requirement'!CC15</f>
        <v/>
      </c>
      <c r="CF446">
        <f>'Grid_Requirement'!CD15</f>
        <v/>
      </c>
      <c r="CG446">
        <f>'Grid_Requirement'!CE15</f>
        <v/>
      </c>
      <c r="CH446">
        <f>'Grid_Requirement'!CF15</f>
        <v/>
      </c>
      <c r="CI446">
        <f>'Grid_Requirement'!CG15</f>
        <v/>
      </c>
      <c r="CJ446">
        <f>'Grid_Requirement'!CH15</f>
        <v/>
      </c>
      <c r="CK446">
        <f>'Grid_Requirement'!CI15</f>
        <v/>
      </c>
      <c r="CL446">
        <f>'Grid_Requirement'!CJ15</f>
        <v/>
      </c>
      <c r="CM446">
        <f>'Grid_Requirement'!CK15</f>
        <v/>
      </c>
      <c r="CN446">
        <f>'Grid_Requirement'!CL15</f>
        <v/>
      </c>
      <c r="CO446">
        <f>'Grid_Requirement'!CM15</f>
        <v/>
      </c>
      <c r="CP446">
        <f>'Grid_Requirement'!CN15</f>
        <v/>
      </c>
      <c r="CQ446">
        <f>'Grid_Requirement'!CO15</f>
        <v/>
      </c>
      <c r="CR446">
        <f>'Grid_Requirement'!CP15</f>
        <v/>
      </c>
      <c r="CS446">
        <f>'Grid_Requirement'!CQ15</f>
        <v/>
      </c>
      <c r="CT446">
        <f>'Grid_Requirement'!CR15</f>
        <v/>
      </c>
      <c r="CU446">
        <f>'Grid_Requirement'!CS15</f>
        <v/>
      </c>
      <c r="CV446">
        <f>'Grid_Requirement'!CT15</f>
        <v/>
      </c>
      <c r="CW446">
        <f>'Grid_Requirement'!CU15</f>
        <v/>
      </c>
      <c r="CX446">
        <f>'Grid_Requirement'!CV15</f>
        <v/>
      </c>
      <c r="CY446">
        <f>'Grid_Requirement'!CW15</f>
        <v/>
      </c>
      <c r="CZ446">
        <f>'Grid_Requirement'!CX15</f>
        <v/>
      </c>
      <c r="DA446">
        <f>'Grid_Requirement'!CY15</f>
        <v/>
      </c>
      <c r="DB446">
        <f>'Grid_Requirement'!CZ15</f>
        <v/>
      </c>
      <c r="DC446">
        <f>'Grid_Requirement'!DA15</f>
        <v/>
      </c>
    </row>
    <row r="447">
      <c r="B447" t="inlineStr">
        <is>
          <t>TTAF在庫(実績,kg)</t>
        </is>
      </c>
      <c r="D447">
        <f>'T_TTAFStock'!B19</f>
        <v/>
      </c>
      <c r="E447">
        <f>'T_TTAFStock'!C19</f>
        <v/>
      </c>
      <c r="F447">
        <f>'T_TTAFStock'!D19</f>
        <v/>
      </c>
      <c r="G447">
        <f>'T_TTAFStock'!E19</f>
        <v/>
      </c>
      <c r="H447">
        <f>'T_TTAFStock'!F19</f>
        <v/>
      </c>
      <c r="I447">
        <f>'T_TTAFStock'!G19</f>
        <v/>
      </c>
      <c r="J447">
        <f>'T_TTAFStock'!H19</f>
        <v/>
      </c>
      <c r="K447">
        <f>'T_TTAFStock'!I19</f>
        <v/>
      </c>
      <c r="L447">
        <f>'T_TTAFStock'!J19</f>
        <v/>
      </c>
      <c r="M447">
        <f>'T_TTAFStock'!K19</f>
        <v/>
      </c>
      <c r="N447">
        <f>'T_TTAFStock'!L19</f>
        <v/>
      </c>
      <c r="O447">
        <f>'T_TTAFStock'!M19</f>
        <v/>
      </c>
      <c r="P447">
        <f>'T_TTAFStock'!N19</f>
        <v/>
      </c>
      <c r="Q447">
        <f>'T_TTAFStock'!O19</f>
        <v/>
      </c>
      <c r="R447">
        <f>'T_TTAFStock'!P19</f>
        <v/>
      </c>
      <c r="S447">
        <f>'T_TTAFStock'!Q19</f>
        <v/>
      </c>
      <c r="T447">
        <f>'T_TTAFStock'!R19</f>
        <v/>
      </c>
      <c r="U447">
        <f>'T_TTAFStock'!S19</f>
        <v/>
      </c>
      <c r="V447">
        <f>'T_TTAFStock'!T19</f>
        <v/>
      </c>
      <c r="W447">
        <f>'T_TTAFStock'!U19</f>
        <v/>
      </c>
      <c r="X447">
        <f>'T_TTAFStock'!V19</f>
        <v/>
      </c>
      <c r="Y447">
        <f>'T_TTAFStock'!W19</f>
        <v/>
      </c>
      <c r="Z447">
        <f>'T_TTAFStock'!X19</f>
        <v/>
      </c>
      <c r="AA447">
        <f>'T_TTAFStock'!Y19</f>
        <v/>
      </c>
      <c r="AB447">
        <f>'T_TTAFStock'!Z19</f>
        <v/>
      </c>
      <c r="AC447">
        <f>'T_TTAFStock'!AA19</f>
        <v/>
      </c>
      <c r="AD447">
        <f>'T_TTAFStock'!AB19</f>
        <v/>
      </c>
      <c r="AE447">
        <f>'T_TTAFStock'!AC19</f>
        <v/>
      </c>
      <c r="AF447">
        <f>'T_TTAFStock'!AD19</f>
        <v/>
      </c>
      <c r="AG447">
        <f>'T_TTAFStock'!AE19</f>
        <v/>
      </c>
      <c r="AH447">
        <f>'T_TTAFStock'!AF19</f>
        <v/>
      </c>
      <c r="AI447">
        <f>'T_TTAFStock'!AG19</f>
        <v/>
      </c>
      <c r="AJ447">
        <f>'T_TTAFStock'!AH19</f>
        <v/>
      </c>
      <c r="AK447">
        <f>'T_TTAFStock'!AI19</f>
        <v/>
      </c>
      <c r="AL447">
        <f>'T_TTAFStock'!AJ19</f>
        <v/>
      </c>
      <c r="AM447">
        <f>'T_TTAFStock'!AK19</f>
        <v/>
      </c>
      <c r="AN447">
        <f>'T_TTAFStock'!AL19</f>
        <v/>
      </c>
      <c r="AO447">
        <f>'T_TTAFStock'!AM19</f>
        <v/>
      </c>
      <c r="AP447">
        <f>'T_TTAFStock'!AN19</f>
        <v/>
      </c>
      <c r="AQ447">
        <f>'T_TTAFStock'!AO19</f>
        <v/>
      </c>
      <c r="AR447">
        <f>'T_TTAFStock'!AP19</f>
        <v/>
      </c>
      <c r="AS447">
        <f>'T_TTAFStock'!AQ19</f>
        <v/>
      </c>
      <c r="AT447">
        <f>'T_TTAFStock'!AR19</f>
        <v/>
      </c>
      <c r="AU447">
        <f>'T_TTAFStock'!AS19</f>
        <v/>
      </c>
      <c r="AV447">
        <f>'T_TTAFStock'!AT19</f>
        <v/>
      </c>
      <c r="AW447">
        <f>'T_TTAFStock'!AU19</f>
        <v/>
      </c>
      <c r="AX447">
        <f>'T_TTAFStock'!AV19</f>
        <v/>
      </c>
      <c r="AY447">
        <f>'T_TTAFStock'!AW19</f>
        <v/>
      </c>
      <c r="AZ447">
        <f>'T_TTAFStock'!AX19</f>
        <v/>
      </c>
      <c r="BA447">
        <f>'T_TTAFStock'!AY19</f>
        <v/>
      </c>
      <c r="BB447">
        <f>'T_TTAFStock'!AZ19</f>
        <v/>
      </c>
      <c r="BC447">
        <f>'T_TTAFStock'!BA19</f>
        <v/>
      </c>
      <c r="BD447">
        <f>'T_TTAFStock'!BB19</f>
        <v/>
      </c>
      <c r="BE447">
        <f>'T_TTAFStock'!BC19</f>
        <v/>
      </c>
      <c r="BF447">
        <f>'T_TTAFStock'!BD19</f>
        <v/>
      </c>
      <c r="BG447">
        <f>'T_TTAFStock'!BE19</f>
        <v/>
      </c>
      <c r="BH447">
        <f>'T_TTAFStock'!BF19</f>
        <v/>
      </c>
      <c r="BI447">
        <f>'T_TTAFStock'!BG19</f>
        <v/>
      </c>
      <c r="BJ447">
        <f>'T_TTAFStock'!BH19</f>
        <v/>
      </c>
      <c r="BK447">
        <f>'T_TTAFStock'!BI19</f>
        <v/>
      </c>
      <c r="BL447">
        <f>'T_TTAFStock'!BJ19</f>
        <v/>
      </c>
      <c r="BM447">
        <f>'T_TTAFStock'!BK19</f>
        <v/>
      </c>
      <c r="BN447">
        <f>'T_TTAFStock'!BL19</f>
        <v/>
      </c>
      <c r="BO447">
        <f>'T_TTAFStock'!BM19</f>
        <v/>
      </c>
      <c r="BP447">
        <f>'T_TTAFStock'!BN19</f>
        <v/>
      </c>
      <c r="BQ447">
        <f>'T_TTAFStock'!BO19</f>
        <v/>
      </c>
      <c r="BR447">
        <f>'T_TTAFStock'!BP19</f>
        <v/>
      </c>
      <c r="BS447">
        <f>'T_TTAFStock'!BQ19</f>
        <v/>
      </c>
      <c r="BT447">
        <f>'T_TTAFStock'!BR19</f>
        <v/>
      </c>
      <c r="BU447">
        <f>'T_TTAFStock'!BS19</f>
        <v/>
      </c>
      <c r="BV447">
        <f>'T_TTAFStock'!BT19</f>
        <v/>
      </c>
      <c r="BW447">
        <f>'T_TTAFStock'!BU19</f>
        <v/>
      </c>
      <c r="BX447">
        <f>'T_TTAFStock'!BV19</f>
        <v/>
      </c>
      <c r="BY447">
        <f>'T_TTAFStock'!BW19</f>
        <v/>
      </c>
      <c r="BZ447">
        <f>'T_TTAFStock'!BX19</f>
        <v/>
      </c>
      <c r="CA447">
        <f>'T_TTAFStock'!BY19</f>
        <v/>
      </c>
      <c r="CB447">
        <f>'T_TTAFStock'!BZ19</f>
        <v/>
      </c>
      <c r="CC447">
        <f>'T_TTAFStock'!CA19</f>
        <v/>
      </c>
      <c r="CD447">
        <f>'T_TTAFStock'!CB19</f>
        <v/>
      </c>
      <c r="CE447">
        <f>'T_TTAFStock'!CC19</f>
        <v/>
      </c>
      <c r="CF447">
        <f>'T_TTAFStock'!CD19</f>
        <v/>
      </c>
      <c r="CG447">
        <f>'T_TTAFStock'!CE19</f>
        <v/>
      </c>
      <c r="CH447">
        <f>'T_TTAFStock'!CF19</f>
        <v/>
      </c>
      <c r="CI447">
        <f>'T_TTAFStock'!CG19</f>
        <v/>
      </c>
      <c r="CJ447">
        <f>'T_TTAFStock'!CH19</f>
        <v/>
      </c>
      <c r="CK447">
        <f>'T_TTAFStock'!CI19</f>
        <v/>
      </c>
      <c r="CL447">
        <f>'T_TTAFStock'!CJ19</f>
        <v/>
      </c>
      <c r="CM447">
        <f>'T_TTAFStock'!CK19</f>
        <v/>
      </c>
      <c r="CN447">
        <f>'T_TTAFStock'!CL19</f>
        <v/>
      </c>
      <c r="CO447">
        <f>'T_TTAFStock'!CM19</f>
        <v/>
      </c>
      <c r="CP447">
        <f>'T_TTAFStock'!CN19</f>
        <v/>
      </c>
      <c r="CQ447">
        <f>'T_TTAFStock'!CO19</f>
        <v/>
      </c>
      <c r="CR447">
        <f>'T_TTAFStock'!CP19</f>
        <v/>
      </c>
      <c r="CS447">
        <f>'T_TTAFStock'!CQ19</f>
        <v/>
      </c>
      <c r="CT447">
        <f>'T_TTAFStock'!CR19</f>
        <v/>
      </c>
      <c r="CU447">
        <f>'T_TTAFStock'!CS19</f>
        <v/>
      </c>
      <c r="CV447">
        <f>'T_TTAFStock'!CT19</f>
        <v/>
      </c>
      <c r="CW447">
        <f>'T_TTAFStock'!CU19</f>
        <v/>
      </c>
      <c r="CX447">
        <f>'T_TTAFStock'!CV19</f>
        <v/>
      </c>
      <c r="CY447">
        <f>'T_TTAFStock'!CW19</f>
        <v/>
      </c>
      <c r="CZ447">
        <f>'T_TTAFStock'!CX19</f>
        <v/>
      </c>
      <c r="DA447">
        <f>'T_TTAFStock'!CY19</f>
        <v/>
      </c>
      <c r="DB447">
        <f>'T_TTAFStock'!CZ19</f>
        <v/>
      </c>
      <c r="DC447">
        <f>'T_TTAFStock'!DA19</f>
        <v/>
      </c>
    </row>
    <row r="448">
      <c r="B448" t="inlineStr">
        <is>
          <t>自社在庫(実績,kg)</t>
        </is>
      </c>
      <c r="D448">
        <f>'T_SelfStock'!B19</f>
        <v/>
      </c>
      <c r="E448">
        <f>'T_SelfStock'!C19</f>
        <v/>
      </c>
      <c r="F448">
        <f>'T_SelfStock'!D19</f>
        <v/>
      </c>
      <c r="G448">
        <f>'T_SelfStock'!E19</f>
        <v/>
      </c>
      <c r="H448">
        <f>'T_SelfStock'!F19</f>
        <v/>
      </c>
      <c r="I448">
        <f>'T_SelfStock'!G19</f>
        <v/>
      </c>
      <c r="J448">
        <f>'T_SelfStock'!H19</f>
        <v/>
      </c>
      <c r="K448">
        <f>'T_SelfStock'!I19</f>
        <v/>
      </c>
      <c r="L448">
        <f>'T_SelfStock'!J19</f>
        <v/>
      </c>
      <c r="M448">
        <f>'T_SelfStock'!K19</f>
        <v/>
      </c>
      <c r="N448">
        <f>'T_SelfStock'!L19</f>
        <v/>
      </c>
      <c r="O448">
        <f>'T_SelfStock'!M19</f>
        <v/>
      </c>
      <c r="P448">
        <f>'T_SelfStock'!N19</f>
        <v/>
      </c>
      <c r="Q448">
        <f>'T_SelfStock'!O19</f>
        <v/>
      </c>
      <c r="R448">
        <f>'T_SelfStock'!P19</f>
        <v/>
      </c>
      <c r="S448">
        <f>'T_SelfStock'!Q19</f>
        <v/>
      </c>
      <c r="T448">
        <f>'T_SelfStock'!R19</f>
        <v/>
      </c>
      <c r="U448">
        <f>'T_SelfStock'!S19</f>
        <v/>
      </c>
      <c r="V448">
        <f>'T_SelfStock'!T19</f>
        <v/>
      </c>
      <c r="W448">
        <f>'T_SelfStock'!U19</f>
        <v/>
      </c>
      <c r="X448">
        <f>'T_SelfStock'!V19</f>
        <v/>
      </c>
      <c r="Y448">
        <f>'T_SelfStock'!W19</f>
        <v/>
      </c>
      <c r="Z448">
        <f>'T_SelfStock'!X19</f>
        <v/>
      </c>
      <c r="AA448">
        <f>'T_SelfStock'!Y19</f>
        <v/>
      </c>
      <c r="AB448">
        <f>'T_SelfStock'!Z19</f>
        <v/>
      </c>
      <c r="AC448">
        <f>'T_SelfStock'!AA19</f>
        <v/>
      </c>
      <c r="AD448">
        <f>'T_SelfStock'!AB19</f>
        <v/>
      </c>
      <c r="AE448">
        <f>'T_SelfStock'!AC19</f>
        <v/>
      </c>
      <c r="AF448">
        <f>'T_SelfStock'!AD19</f>
        <v/>
      </c>
      <c r="AG448">
        <f>'T_SelfStock'!AE19</f>
        <v/>
      </c>
      <c r="AH448">
        <f>'T_SelfStock'!AF19</f>
        <v/>
      </c>
      <c r="AI448">
        <f>'T_SelfStock'!AG19</f>
        <v/>
      </c>
      <c r="AJ448">
        <f>'T_SelfStock'!AH19</f>
        <v/>
      </c>
      <c r="AK448">
        <f>'T_SelfStock'!AI19</f>
        <v/>
      </c>
      <c r="AL448">
        <f>'T_SelfStock'!AJ19</f>
        <v/>
      </c>
      <c r="AM448">
        <f>'T_SelfStock'!AK19</f>
        <v/>
      </c>
      <c r="AN448">
        <f>'T_SelfStock'!AL19</f>
        <v/>
      </c>
      <c r="AO448">
        <f>'T_SelfStock'!AM19</f>
        <v/>
      </c>
      <c r="AP448">
        <f>'T_SelfStock'!AN19</f>
        <v/>
      </c>
      <c r="AQ448">
        <f>'T_SelfStock'!AO19</f>
        <v/>
      </c>
      <c r="AR448">
        <f>'T_SelfStock'!AP19</f>
        <v/>
      </c>
      <c r="AS448">
        <f>'T_SelfStock'!AQ19</f>
        <v/>
      </c>
      <c r="AT448">
        <f>'T_SelfStock'!AR19</f>
        <v/>
      </c>
      <c r="AU448">
        <f>'T_SelfStock'!AS19</f>
        <v/>
      </c>
      <c r="AV448">
        <f>'T_SelfStock'!AT19</f>
        <v/>
      </c>
      <c r="AW448">
        <f>'T_SelfStock'!AU19</f>
        <v/>
      </c>
      <c r="AX448">
        <f>'T_SelfStock'!AV19</f>
        <v/>
      </c>
      <c r="AY448">
        <f>'T_SelfStock'!AW19</f>
        <v/>
      </c>
      <c r="AZ448">
        <f>'T_SelfStock'!AX19</f>
        <v/>
      </c>
      <c r="BA448">
        <f>'T_SelfStock'!AY19</f>
        <v/>
      </c>
      <c r="BB448">
        <f>'T_SelfStock'!AZ19</f>
        <v/>
      </c>
      <c r="BC448">
        <f>'T_SelfStock'!BA19</f>
        <v/>
      </c>
      <c r="BD448">
        <f>'T_SelfStock'!BB19</f>
        <v/>
      </c>
      <c r="BE448">
        <f>'T_SelfStock'!BC19</f>
        <v/>
      </c>
      <c r="BF448">
        <f>'T_SelfStock'!BD19</f>
        <v/>
      </c>
      <c r="BG448">
        <f>'T_SelfStock'!BE19</f>
        <v/>
      </c>
      <c r="BH448">
        <f>'T_SelfStock'!BF19</f>
        <v/>
      </c>
      <c r="BI448">
        <f>'T_SelfStock'!BG19</f>
        <v/>
      </c>
      <c r="BJ448">
        <f>'T_SelfStock'!BH19</f>
        <v/>
      </c>
      <c r="BK448">
        <f>'T_SelfStock'!BI19</f>
        <v/>
      </c>
      <c r="BL448">
        <f>'T_SelfStock'!BJ19</f>
        <v/>
      </c>
      <c r="BM448">
        <f>'T_SelfStock'!BK19</f>
        <v/>
      </c>
      <c r="BN448">
        <f>'T_SelfStock'!BL19</f>
        <v/>
      </c>
      <c r="BO448">
        <f>'T_SelfStock'!BM19</f>
        <v/>
      </c>
      <c r="BP448">
        <f>'T_SelfStock'!BN19</f>
        <v/>
      </c>
      <c r="BQ448">
        <f>'T_SelfStock'!BO19</f>
        <v/>
      </c>
      <c r="BR448">
        <f>'T_SelfStock'!BP19</f>
        <v/>
      </c>
      <c r="BS448">
        <f>'T_SelfStock'!BQ19</f>
        <v/>
      </c>
      <c r="BT448">
        <f>'T_SelfStock'!BR19</f>
        <v/>
      </c>
      <c r="BU448">
        <f>'T_SelfStock'!BS19</f>
        <v/>
      </c>
      <c r="BV448">
        <f>'T_SelfStock'!BT19</f>
        <v/>
      </c>
      <c r="BW448">
        <f>'T_SelfStock'!BU19</f>
        <v/>
      </c>
      <c r="BX448">
        <f>'T_SelfStock'!BV19</f>
        <v/>
      </c>
      <c r="BY448">
        <f>'T_SelfStock'!BW19</f>
        <v/>
      </c>
      <c r="BZ448">
        <f>'T_SelfStock'!BX19</f>
        <v/>
      </c>
      <c r="CA448">
        <f>'T_SelfStock'!BY19</f>
        <v/>
      </c>
      <c r="CB448">
        <f>'T_SelfStock'!BZ19</f>
        <v/>
      </c>
      <c r="CC448">
        <f>'T_SelfStock'!CA19</f>
        <v/>
      </c>
      <c r="CD448">
        <f>'T_SelfStock'!CB19</f>
        <v/>
      </c>
      <c r="CE448">
        <f>'T_SelfStock'!CC19</f>
        <v/>
      </c>
      <c r="CF448">
        <f>'T_SelfStock'!CD19</f>
        <v/>
      </c>
      <c r="CG448">
        <f>'T_SelfStock'!CE19</f>
        <v/>
      </c>
      <c r="CH448">
        <f>'T_SelfStock'!CF19</f>
        <v/>
      </c>
      <c r="CI448">
        <f>'T_SelfStock'!CG19</f>
        <v/>
      </c>
      <c r="CJ448">
        <f>'T_SelfStock'!CH19</f>
        <v/>
      </c>
      <c r="CK448">
        <f>'T_SelfStock'!CI19</f>
        <v/>
      </c>
      <c r="CL448">
        <f>'T_SelfStock'!CJ19</f>
        <v/>
      </c>
      <c r="CM448">
        <f>'T_SelfStock'!CK19</f>
        <v/>
      </c>
      <c r="CN448">
        <f>'T_SelfStock'!CL19</f>
        <v/>
      </c>
      <c r="CO448">
        <f>'T_SelfStock'!CM19</f>
        <v/>
      </c>
      <c r="CP448">
        <f>'T_SelfStock'!CN19</f>
        <v/>
      </c>
      <c r="CQ448">
        <f>'T_SelfStock'!CO19</f>
        <v/>
      </c>
      <c r="CR448">
        <f>'T_SelfStock'!CP19</f>
        <v/>
      </c>
      <c r="CS448">
        <f>'T_SelfStock'!CQ19</f>
        <v/>
      </c>
      <c r="CT448">
        <f>'T_SelfStock'!CR19</f>
        <v/>
      </c>
      <c r="CU448">
        <f>'T_SelfStock'!CS19</f>
        <v/>
      </c>
      <c r="CV448">
        <f>'T_SelfStock'!CT19</f>
        <v/>
      </c>
      <c r="CW448">
        <f>'T_SelfStock'!CU19</f>
        <v/>
      </c>
      <c r="CX448">
        <f>'T_SelfStock'!CV19</f>
        <v/>
      </c>
      <c r="CY448">
        <f>'T_SelfStock'!CW19</f>
        <v/>
      </c>
      <c r="CZ448">
        <f>'T_SelfStock'!CX19</f>
        <v/>
      </c>
      <c r="DA448">
        <f>'T_SelfStock'!CY19</f>
        <v/>
      </c>
      <c r="DB448">
        <f>'T_SelfStock'!CZ19</f>
        <v/>
      </c>
      <c r="DC448">
        <f>'T_SelfStock'!DA19</f>
        <v/>
      </c>
    </row>
    <row r="449">
      <c r="B449" t="inlineStr">
        <is>
          <t>Order(発注予定,kg)</t>
        </is>
      </c>
      <c r="D449">
        <f>IF(SUMIFS(T_PlannedOrders[EffectiveQty],T_PlannedOrders[Part Name],$A343,T_PlannedOrders[WeekIndex],1)=0,"",SUMIFS(T_PlannedOrders[EffectiveQty],T_PlannedOrders[Part Name],$A343,T_PlannedOrders[WeekIndex],1)&amp;" ("&amp;TEXT(SUMPRODUCT(MAX((T_PlannedOrders[Part Name]=$A343)*(T_PlannedOrders[WeekIndex]=1)*(T_PlannedOrders[EffectiveQty]&gt;0)*T_PlannedOrders[Order_Month])),"m月")&amp;"発注)")</f>
        <v/>
      </c>
      <c r="E449">
        <f>IF(SUMIFS(T_PlannedOrders[EffectiveQty],T_PlannedOrders[Part Name],$A343,T_PlannedOrders[WeekIndex],2)=0,"",SUMIFS(T_PlannedOrders[EffectiveQty],T_PlannedOrders[Part Name],$A343,T_PlannedOrders[WeekIndex],2)&amp;" ("&amp;TEXT(SUMPRODUCT(MAX((T_PlannedOrders[Part Name]=$A343)*(T_PlannedOrders[WeekIndex]=2)*(T_PlannedOrders[EffectiveQty]&gt;0)*T_PlannedOrders[Order_Month])),"m月")&amp;"発注)")</f>
        <v/>
      </c>
      <c r="F449">
        <f>IF(SUMIFS(T_PlannedOrders[EffectiveQty],T_PlannedOrders[Part Name],$A343,T_PlannedOrders[WeekIndex],3)=0,"",SUMIFS(T_PlannedOrders[EffectiveQty],T_PlannedOrders[Part Name],$A343,T_PlannedOrders[WeekIndex],3)&amp;" ("&amp;TEXT(SUMPRODUCT(MAX((T_PlannedOrders[Part Name]=$A343)*(T_PlannedOrders[WeekIndex]=3)*(T_PlannedOrders[EffectiveQty]&gt;0)*T_PlannedOrders[Order_Month])),"m月")&amp;"発注)")</f>
        <v/>
      </c>
      <c r="G449">
        <f>IF(SUMIFS(T_PlannedOrders[EffectiveQty],T_PlannedOrders[Part Name],$A343,T_PlannedOrders[WeekIndex],4)=0,"",SUMIFS(T_PlannedOrders[EffectiveQty],T_PlannedOrders[Part Name],$A343,T_PlannedOrders[WeekIndex],4)&amp;" ("&amp;TEXT(SUMPRODUCT(MAX((T_PlannedOrders[Part Name]=$A343)*(T_PlannedOrders[WeekIndex]=4)*(T_PlannedOrders[EffectiveQty]&gt;0)*T_PlannedOrders[Order_Month])),"m月")&amp;"発注)")</f>
        <v/>
      </c>
      <c r="H449">
        <f>IF(SUMIFS(T_PlannedOrders[EffectiveQty],T_PlannedOrders[Part Name],$A343,T_PlannedOrders[WeekIndex],5)=0,"",SUMIFS(T_PlannedOrders[EffectiveQty],T_PlannedOrders[Part Name],$A343,T_PlannedOrders[WeekIndex],5)&amp;" ("&amp;TEXT(SUMPRODUCT(MAX((T_PlannedOrders[Part Name]=$A343)*(T_PlannedOrders[WeekIndex]=5)*(T_PlannedOrders[EffectiveQty]&gt;0)*T_PlannedOrders[Order_Month])),"m月")&amp;"発注)")</f>
        <v/>
      </c>
      <c r="I449">
        <f>IF(SUMIFS(T_PlannedOrders[EffectiveQty],T_PlannedOrders[Part Name],$A343,T_PlannedOrders[WeekIndex],6)=0,"",SUMIFS(T_PlannedOrders[EffectiveQty],T_PlannedOrders[Part Name],$A343,T_PlannedOrders[WeekIndex],6)&amp;" ("&amp;TEXT(SUMPRODUCT(MAX((T_PlannedOrders[Part Name]=$A343)*(T_PlannedOrders[WeekIndex]=6)*(T_PlannedOrders[EffectiveQty]&gt;0)*T_PlannedOrders[Order_Month])),"m月")&amp;"発注)")</f>
        <v/>
      </c>
      <c r="J449">
        <f>IF(SUMIFS(T_PlannedOrders[EffectiveQty],T_PlannedOrders[Part Name],$A343,T_PlannedOrders[WeekIndex],7)=0,"",SUMIFS(T_PlannedOrders[EffectiveQty],T_PlannedOrders[Part Name],$A343,T_PlannedOrders[WeekIndex],7)&amp;" ("&amp;TEXT(SUMPRODUCT(MAX((T_PlannedOrders[Part Name]=$A343)*(T_PlannedOrders[WeekIndex]=7)*(T_PlannedOrders[EffectiveQty]&gt;0)*T_PlannedOrders[Order_Month])),"m月")&amp;"発注)")</f>
        <v/>
      </c>
      <c r="K449">
        <f>IF(SUMIFS(T_PlannedOrders[EffectiveQty],T_PlannedOrders[Part Name],$A343,T_PlannedOrders[WeekIndex],8)=0,"",SUMIFS(T_PlannedOrders[EffectiveQty],T_PlannedOrders[Part Name],$A343,T_PlannedOrders[WeekIndex],8)&amp;" ("&amp;TEXT(SUMPRODUCT(MAX((T_PlannedOrders[Part Name]=$A343)*(T_PlannedOrders[WeekIndex]=8)*(T_PlannedOrders[EffectiveQty]&gt;0)*T_PlannedOrders[Order_Month])),"m月")&amp;"発注)")</f>
        <v/>
      </c>
      <c r="L449">
        <f>IF(SUMIFS(T_PlannedOrders[EffectiveQty],T_PlannedOrders[Part Name],$A343,T_PlannedOrders[WeekIndex],9)=0,"",SUMIFS(T_PlannedOrders[EffectiveQty],T_PlannedOrders[Part Name],$A343,T_PlannedOrders[WeekIndex],9)&amp;" ("&amp;TEXT(SUMPRODUCT(MAX((T_PlannedOrders[Part Name]=$A343)*(T_PlannedOrders[WeekIndex]=9)*(T_PlannedOrders[EffectiveQty]&gt;0)*T_PlannedOrders[Order_Month])),"m月")&amp;"発注)")</f>
        <v/>
      </c>
      <c r="M449">
        <f>IF(SUMIFS(T_PlannedOrders[EffectiveQty],T_PlannedOrders[Part Name],$A343,T_PlannedOrders[WeekIndex],10)=0,"",SUMIFS(T_PlannedOrders[EffectiveQty],T_PlannedOrders[Part Name],$A343,T_PlannedOrders[WeekIndex],10)&amp;" ("&amp;TEXT(SUMPRODUCT(MAX((T_PlannedOrders[Part Name]=$A343)*(T_PlannedOrders[WeekIndex]=10)*(T_PlannedOrders[EffectiveQty]&gt;0)*T_PlannedOrders[Order_Month])),"m月")&amp;"発注)")</f>
        <v/>
      </c>
      <c r="N449">
        <f>IF(SUMIFS(T_PlannedOrders[EffectiveQty],T_PlannedOrders[Part Name],$A343,T_PlannedOrders[WeekIndex],11)=0,"",SUMIFS(T_PlannedOrders[EffectiveQty],T_PlannedOrders[Part Name],$A343,T_PlannedOrders[WeekIndex],11)&amp;" ("&amp;TEXT(SUMPRODUCT(MAX((T_PlannedOrders[Part Name]=$A343)*(T_PlannedOrders[WeekIndex]=11)*(T_PlannedOrders[EffectiveQty]&gt;0)*T_PlannedOrders[Order_Month])),"m月")&amp;"発注)")</f>
        <v/>
      </c>
      <c r="O449">
        <f>IF(SUMIFS(T_PlannedOrders[EffectiveQty],T_PlannedOrders[Part Name],$A343,T_PlannedOrders[WeekIndex],12)=0,"",SUMIFS(T_PlannedOrders[EffectiveQty],T_PlannedOrders[Part Name],$A343,T_PlannedOrders[WeekIndex],12)&amp;" ("&amp;TEXT(SUMPRODUCT(MAX((T_PlannedOrders[Part Name]=$A343)*(T_PlannedOrders[WeekIndex]=12)*(T_PlannedOrders[EffectiveQty]&gt;0)*T_PlannedOrders[Order_Month])),"m月")&amp;"発注)")</f>
        <v/>
      </c>
      <c r="P449">
        <f>IF(SUMIFS(T_PlannedOrders[EffectiveQty],T_PlannedOrders[Part Name],$A343,T_PlannedOrders[WeekIndex],13)=0,"",SUMIFS(T_PlannedOrders[EffectiveQty],T_PlannedOrders[Part Name],$A343,T_PlannedOrders[WeekIndex],13)&amp;" ("&amp;TEXT(SUMPRODUCT(MAX((T_PlannedOrders[Part Name]=$A343)*(T_PlannedOrders[WeekIndex]=13)*(T_PlannedOrders[EffectiveQty]&gt;0)*T_PlannedOrders[Order_Month])),"m月")&amp;"発注)")</f>
        <v/>
      </c>
      <c r="Q449">
        <f>IF(SUMIFS(T_PlannedOrders[EffectiveQty],T_PlannedOrders[Part Name],$A343,T_PlannedOrders[WeekIndex],14)=0,"",SUMIFS(T_PlannedOrders[EffectiveQty],T_PlannedOrders[Part Name],$A343,T_PlannedOrders[WeekIndex],14)&amp;" ("&amp;TEXT(SUMPRODUCT(MAX((T_PlannedOrders[Part Name]=$A343)*(T_PlannedOrders[WeekIndex]=14)*(T_PlannedOrders[EffectiveQty]&gt;0)*T_PlannedOrders[Order_Month])),"m月")&amp;"発注)")</f>
        <v/>
      </c>
      <c r="R449">
        <f>IF(SUMIFS(T_PlannedOrders[EffectiveQty],T_PlannedOrders[Part Name],$A343,T_PlannedOrders[WeekIndex],15)=0,"",SUMIFS(T_PlannedOrders[EffectiveQty],T_PlannedOrders[Part Name],$A343,T_PlannedOrders[WeekIndex],15)&amp;" ("&amp;TEXT(SUMPRODUCT(MAX((T_PlannedOrders[Part Name]=$A343)*(T_PlannedOrders[WeekIndex]=15)*(T_PlannedOrders[EffectiveQty]&gt;0)*T_PlannedOrders[Order_Month])),"m月")&amp;"発注)")</f>
        <v/>
      </c>
      <c r="S449">
        <f>IF(SUMIFS(T_PlannedOrders[EffectiveQty],T_PlannedOrders[Part Name],$A343,T_PlannedOrders[WeekIndex],16)=0,"",SUMIFS(T_PlannedOrders[EffectiveQty],T_PlannedOrders[Part Name],$A343,T_PlannedOrders[WeekIndex],16)&amp;" ("&amp;TEXT(SUMPRODUCT(MAX((T_PlannedOrders[Part Name]=$A343)*(T_PlannedOrders[WeekIndex]=16)*(T_PlannedOrders[EffectiveQty]&gt;0)*T_PlannedOrders[Order_Month])),"m月")&amp;"発注)")</f>
        <v/>
      </c>
      <c r="T449">
        <f>IF(SUMIFS(T_PlannedOrders[EffectiveQty],T_PlannedOrders[Part Name],$A343,T_PlannedOrders[WeekIndex],17)=0,"",SUMIFS(T_PlannedOrders[EffectiveQty],T_PlannedOrders[Part Name],$A343,T_PlannedOrders[WeekIndex],17)&amp;" ("&amp;TEXT(SUMPRODUCT(MAX((T_PlannedOrders[Part Name]=$A343)*(T_PlannedOrders[WeekIndex]=17)*(T_PlannedOrders[EffectiveQty]&gt;0)*T_PlannedOrders[Order_Month])),"m月")&amp;"発注)")</f>
        <v/>
      </c>
      <c r="U449">
        <f>IF(SUMIFS(T_PlannedOrders[EffectiveQty],T_PlannedOrders[Part Name],$A343,T_PlannedOrders[WeekIndex],18)=0,"",SUMIFS(T_PlannedOrders[EffectiveQty],T_PlannedOrders[Part Name],$A343,T_PlannedOrders[WeekIndex],18)&amp;" ("&amp;TEXT(SUMPRODUCT(MAX((T_PlannedOrders[Part Name]=$A343)*(T_PlannedOrders[WeekIndex]=18)*(T_PlannedOrders[EffectiveQty]&gt;0)*T_PlannedOrders[Order_Month])),"m月")&amp;"発注)")</f>
        <v/>
      </c>
      <c r="V449">
        <f>IF(SUMIFS(T_PlannedOrders[EffectiveQty],T_PlannedOrders[Part Name],$A343,T_PlannedOrders[WeekIndex],19)=0,"",SUMIFS(T_PlannedOrders[EffectiveQty],T_PlannedOrders[Part Name],$A343,T_PlannedOrders[WeekIndex],19)&amp;" ("&amp;TEXT(SUMPRODUCT(MAX((T_PlannedOrders[Part Name]=$A343)*(T_PlannedOrders[WeekIndex]=19)*(T_PlannedOrders[EffectiveQty]&gt;0)*T_PlannedOrders[Order_Month])),"m月")&amp;"発注)")</f>
        <v/>
      </c>
      <c r="W449">
        <f>IF(SUMIFS(T_PlannedOrders[EffectiveQty],T_PlannedOrders[Part Name],$A343,T_PlannedOrders[WeekIndex],20)=0,"",SUMIFS(T_PlannedOrders[EffectiveQty],T_PlannedOrders[Part Name],$A343,T_PlannedOrders[WeekIndex],20)&amp;" ("&amp;TEXT(SUMPRODUCT(MAX((T_PlannedOrders[Part Name]=$A343)*(T_PlannedOrders[WeekIndex]=20)*(T_PlannedOrders[EffectiveQty]&gt;0)*T_PlannedOrders[Order_Month])),"m月")&amp;"発注)")</f>
        <v/>
      </c>
      <c r="X449">
        <f>IF(SUMIFS(T_PlannedOrders[EffectiveQty],T_PlannedOrders[Part Name],$A343,T_PlannedOrders[WeekIndex],21)=0,"",SUMIFS(T_PlannedOrders[EffectiveQty],T_PlannedOrders[Part Name],$A343,T_PlannedOrders[WeekIndex],21)&amp;" ("&amp;TEXT(SUMPRODUCT(MAX((T_PlannedOrders[Part Name]=$A343)*(T_PlannedOrders[WeekIndex]=21)*(T_PlannedOrders[EffectiveQty]&gt;0)*T_PlannedOrders[Order_Month])),"m月")&amp;"発注)")</f>
        <v/>
      </c>
      <c r="Y449">
        <f>IF(SUMIFS(T_PlannedOrders[EffectiveQty],T_PlannedOrders[Part Name],$A343,T_PlannedOrders[WeekIndex],22)=0,"",SUMIFS(T_PlannedOrders[EffectiveQty],T_PlannedOrders[Part Name],$A343,T_PlannedOrders[WeekIndex],22)&amp;" ("&amp;TEXT(SUMPRODUCT(MAX((T_PlannedOrders[Part Name]=$A343)*(T_PlannedOrders[WeekIndex]=22)*(T_PlannedOrders[EffectiveQty]&gt;0)*T_PlannedOrders[Order_Month])),"m月")&amp;"発注)")</f>
        <v/>
      </c>
      <c r="Z449">
        <f>IF(SUMIFS(T_PlannedOrders[EffectiveQty],T_PlannedOrders[Part Name],$A343,T_PlannedOrders[WeekIndex],23)=0,"",SUMIFS(T_PlannedOrders[EffectiveQty],T_PlannedOrders[Part Name],$A343,T_PlannedOrders[WeekIndex],23)&amp;" ("&amp;TEXT(SUMPRODUCT(MAX((T_PlannedOrders[Part Name]=$A343)*(T_PlannedOrders[WeekIndex]=23)*(T_PlannedOrders[EffectiveQty]&gt;0)*T_PlannedOrders[Order_Month])),"m月")&amp;"発注)")</f>
        <v/>
      </c>
      <c r="AA449">
        <f>IF(SUMIFS(T_PlannedOrders[EffectiveQty],T_PlannedOrders[Part Name],$A343,T_PlannedOrders[WeekIndex],24)=0,"",SUMIFS(T_PlannedOrders[EffectiveQty],T_PlannedOrders[Part Name],$A343,T_PlannedOrders[WeekIndex],24)&amp;" ("&amp;TEXT(SUMPRODUCT(MAX((T_PlannedOrders[Part Name]=$A343)*(T_PlannedOrders[WeekIndex]=24)*(T_PlannedOrders[EffectiveQty]&gt;0)*T_PlannedOrders[Order_Month])),"m月")&amp;"発注)")</f>
        <v/>
      </c>
      <c r="AB449">
        <f>IF(SUMIFS(T_PlannedOrders[EffectiveQty],T_PlannedOrders[Part Name],$A343,T_PlannedOrders[WeekIndex],25)=0,"",SUMIFS(T_PlannedOrders[EffectiveQty],T_PlannedOrders[Part Name],$A343,T_PlannedOrders[WeekIndex],25)&amp;" ("&amp;TEXT(SUMPRODUCT(MAX((T_PlannedOrders[Part Name]=$A343)*(T_PlannedOrders[WeekIndex]=25)*(T_PlannedOrders[EffectiveQty]&gt;0)*T_PlannedOrders[Order_Month])),"m月")&amp;"発注)")</f>
        <v/>
      </c>
      <c r="AC449">
        <f>IF(SUMIFS(T_PlannedOrders[EffectiveQty],T_PlannedOrders[Part Name],$A343,T_PlannedOrders[WeekIndex],26)=0,"",SUMIFS(T_PlannedOrders[EffectiveQty],T_PlannedOrders[Part Name],$A343,T_PlannedOrders[WeekIndex],26)&amp;" ("&amp;TEXT(SUMPRODUCT(MAX((T_PlannedOrders[Part Name]=$A343)*(T_PlannedOrders[WeekIndex]=26)*(T_PlannedOrders[EffectiveQty]&gt;0)*T_PlannedOrders[Order_Month])),"m月")&amp;"発注)")</f>
        <v/>
      </c>
      <c r="AD449">
        <f>IF(SUMIFS(T_PlannedOrders[EffectiveQty],T_PlannedOrders[Part Name],$A343,T_PlannedOrders[WeekIndex],27)=0,"",SUMIFS(T_PlannedOrders[EffectiveQty],T_PlannedOrders[Part Name],$A343,T_PlannedOrders[WeekIndex],27)&amp;" ("&amp;TEXT(SUMPRODUCT(MAX((T_PlannedOrders[Part Name]=$A343)*(T_PlannedOrders[WeekIndex]=27)*(T_PlannedOrders[EffectiveQty]&gt;0)*T_PlannedOrders[Order_Month])),"m月")&amp;"発注)")</f>
        <v/>
      </c>
      <c r="AE449">
        <f>IF(SUMIFS(T_PlannedOrders[EffectiveQty],T_PlannedOrders[Part Name],$A343,T_PlannedOrders[WeekIndex],28)=0,"",SUMIFS(T_PlannedOrders[EffectiveQty],T_PlannedOrders[Part Name],$A343,T_PlannedOrders[WeekIndex],28)&amp;" ("&amp;TEXT(SUMPRODUCT(MAX((T_PlannedOrders[Part Name]=$A343)*(T_PlannedOrders[WeekIndex]=28)*(T_PlannedOrders[EffectiveQty]&gt;0)*T_PlannedOrders[Order_Month])),"m月")&amp;"発注)")</f>
        <v/>
      </c>
      <c r="AF449">
        <f>IF(SUMIFS(T_PlannedOrders[EffectiveQty],T_PlannedOrders[Part Name],$A343,T_PlannedOrders[WeekIndex],29)=0,"",SUMIFS(T_PlannedOrders[EffectiveQty],T_PlannedOrders[Part Name],$A343,T_PlannedOrders[WeekIndex],29)&amp;" ("&amp;TEXT(SUMPRODUCT(MAX((T_PlannedOrders[Part Name]=$A343)*(T_PlannedOrders[WeekIndex]=29)*(T_PlannedOrders[EffectiveQty]&gt;0)*T_PlannedOrders[Order_Month])),"m月")&amp;"発注)")</f>
        <v/>
      </c>
      <c r="AG449">
        <f>IF(SUMIFS(T_PlannedOrders[EffectiveQty],T_PlannedOrders[Part Name],$A343,T_PlannedOrders[WeekIndex],30)=0,"",SUMIFS(T_PlannedOrders[EffectiveQty],T_PlannedOrders[Part Name],$A343,T_PlannedOrders[WeekIndex],30)&amp;" ("&amp;TEXT(SUMPRODUCT(MAX((T_PlannedOrders[Part Name]=$A343)*(T_PlannedOrders[WeekIndex]=30)*(T_PlannedOrders[EffectiveQty]&gt;0)*T_PlannedOrders[Order_Month])),"m月")&amp;"発注)")</f>
        <v/>
      </c>
      <c r="AH449">
        <f>IF(SUMIFS(T_PlannedOrders[EffectiveQty],T_PlannedOrders[Part Name],$A343,T_PlannedOrders[WeekIndex],31)=0,"",SUMIFS(T_PlannedOrders[EffectiveQty],T_PlannedOrders[Part Name],$A343,T_PlannedOrders[WeekIndex],31)&amp;" ("&amp;TEXT(SUMPRODUCT(MAX((T_PlannedOrders[Part Name]=$A343)*(T_PlannedOrders[WeekIndex]=31)*(T_PlannedOrders[EffectiveQty]&gt;0)*T_PlannedOrders[Order_Month])),"m月")&amp;"発注)")</f>
        <v/>
      </c>
      <c r="AI449">
        <f>IF(SUMIFS(T_PlannedOrders[EffectiveQty],T_PlannedOrders[Part Name],$A343,T_PlannedOrders[WeekIndex],32)=0,"",SUMIFS(T_PlannedOrders[EffectiveQty],T_PlannedOrders[Part Name],$A343,T_PlannedOrders[WeekIndex],32)&amp;" ("&amp;TEXT(SUMPRODUCT(MAX((T_PlannedOrders[Part Name]=$A343)*(T_PlannedOrders[WeekIndex]=32)*(T_PlannedOrders[EffectiveQty]&gt;0)*T_PlannedOrders[Order_Month])),"m月")&amp;"発注)")</f>
        <v/>
      </c>
      <c r="AJ449">
        <f>IF(SUMIFS(T_PlannedOrders[EffectiveQty],T_PlannedOrders[Part Name],$A343,T_PlannedOrders[WeekIndex],33)=0,"",SUMIFS(T_PlannedOrders[EffectiveQty],T_PlannedOrders[Part Name],$A343,T_PlannedOrders[WeekIndex],33)&amp;" ("&amp;TEXT(SUMPRODUCT(MAX((T_PlannedOrders[Part Name]=$A343)*(T_PlannedOrders[WeekIndex]=33)*(T_PlannedOrders[EffectiveQty]&gt;0)*T_PlannedOrders[Order_Month])),"m月")&amp;"発注)")</f>
        <v/>
      </c>
      <c r="AK449">
        <f>IF(SUMIFS(T_PlannedOrders[EffectiveQty],T_PlannedOrders[Part Name],$A343,T_PlannedOrders[WeekIndex],34)=0,"",SUMIFS(T_PlannedOrders[EffectiveQty],T_PlannedOrders[Part Name],$A343,T_PlannedOrders[WeekIndex],34)&amp;" ("&amp;TEXT(SUMPRODUCT(MAX((T_PlannedOrders[Part Name]=$A343)*(T_PlannedOrders[WeekIndex]=34)*(T_PlannedOrders[EffectiveQty]&gt;0)*T_PlannedOrders[Order_Month])),"m月")&amp;"発注)")</f>
        <v/>
      </c>
      <c r="AL449">
        <f>IF(SUMIFS(T_PlannedOrders[EffectiveQty],T_PlannedOrders[Part Name],$A343,T_PlannedOrders[WeekIndex],35)=0,"",SUMIFS(T_PlannedOrders[EffectiveQty],T_PlannedOrders[Part Name],$A343,T_PlannedOrders[WeekIndex],35)&amp;" ("&amp;TEXT(SUMPRODUCT(MAX((T_PlannedOrders[Part Name]=$A343)*(T_PlannedOrders[WeekIndex]=35)*(T_PlannedOrders[EffectiveQty]&gt;0)*T_PlannedOrders[Order_Month])),"m月")&amp;"発注)")</f>
        <v/>
      </c>
      <c r="AM449">
        <f>IF(SUMIFS(T_PlannedOrders[EffectiveQty],T_PlannedOrders[Part Name],$A343,T_PlannedOrders[WeekIndex],36)=0,"",SUMIFS(T_PlannedOrders[EffectiveQty],T_PlannedOrders[Part Name],$A343,T_PlannedOrders[WeekIndex],36)&amp;" ("&amp;TEXT(SUMPRODUCT(MAX((T_PlannedOrders[Part Name]=$A343)*(T_PlannedOrders[WeekIndex]=36)*(T_PlannedOrders[EffectiveQty]&gt;0)*T_PlannedOrders[Order_Month])),"m月")&amp;"発注)")</f>
        <v/>
      </c>
      <c r="AN449">
        <f>IF(SUMIFS(T_PlannedOrders[EffectiveQty],T_PlannedOrders[Part Name],$A343,T_PlannedOrders[WeekIndex],37)=0,"",SUMIFS(T_PlannedOrders[EffectiveQty],T_PlannedOrders[Part Name],$A343,T_PlannedOrders[WeekIndex],37)&amp;" ("&amp;TEXT(SUMPRODUCT(MAX((T_PlannedOrders[Part Name]=$A343)*(T_PlannedOrders[WeekIndex]=37)*(T_PlannedOrders[EffectiveQty]&gt;0)*T_PlannedOrders[Order_Month])),"m月")&amp;"発注)")</f>
        <v/>
      </c>
      <c r="AO449">
        <f>IF(SUMIFS(T_PlannedOrders[EffectiveQty],T_PlannedOrders[Part Name],$A343,T_PlannedOrders[WeekIndex],38)=0,"",SUMIFS(T_PlannedOrders[EffectiveQty],T_PlannedOrders[Part Name],$A343,T_PlannedOrders[WeekIndex],38)&amp;" ("&amp;TEXT(SUMPRODUCT(MAX((T_PlannedOrders[Part Name]=$A343)*(T_PlannedOrders[WeekIndex]=38)*(T_PlannedOrders[EffectiveQty]&gt;0)*T_PlannedOrders[Order_Month])),"m月")&amp;"発注)")</f>
        <v/>
      </c>
      <c r="AP449">
        <f>IF(SUMIFS(T_PlannedOrders[EffectiveQty],T_PlannedOrders[Part Name],$A343,T_PlannedOrders[WeekIndex],39)=0,"",SUMIFS(T_PlannedOrders[EffectiveQty],T_PlannedOrders[Part Name],$A343,T_PlannedOrders[WeekIndex],39)&amp;" ("&amp;TEXT(SUMPRODUCT(MAX((T_PlannedOrders[Part Name]=$A343)*(T_PlannedOrders[WeekIndex]=39)*(T_PlannedOrders[EffectiveQty]&gt;0)*T_PlannedOrders[Order_Month])),"m月")&amp;"発注)")</f>
        <v/>
      </c>
      <c r="AQ449">
        <f>IF(SUMIFS(T_PlannedOrders[EffectiveQty],T_PlannedOrders[Part Name],$A343,T_PlannedOrders[WeekIndex],40)=0,"",SUMIFS(T_PlannedOrders[EffectiveQty],T_PlannedOrders[Part Name],$A343,T_PlannedOrders[WeekIndex],40)&amp;" ("&amp;TEXT(SUMPRODUCT(MAX((T_PlannedOrders[Part Name]=$A343)*(T_PlannedOrders[WeekIndex]=40)*(T_PlannedOrders[EffectiveQty]&gt;0)*T_PlannedOrders[Order_Month])),"m月")&amp;"発注)")</f>
        <v/>
      </c>
      <c r="AR449">
        <f>IF(SUMIFS(T_PlannedOrders[EffectiveQty],T_PlannedOrders[Part Name],$A343,T_PlannedOrders[WeekIndex],41)=0,"",SUMIFS(T_PlannedOrders[EffectiveQty],T_PlannedOrders[Part Name],$A343,T_PlannedOrders[WeekIndex],41)&amp;" ("&amp;TEXT(SUMPRODUCT(MAX((T_PlannedOrders[Part Name]=$A343)*(T_PlannedOrders[WeekIndex]=41)*(T_PlannedOrders[EffectiveQty]&gt;0)*T_PlannedOrders[Order_Month])),"m月")&amp;"発注)")</f>
        <v/>
      </c>
      <c r="AS449">
        <f>IF(SUMIFS(T_PlannedOrders[EffectiveQty],T_PlannedOrders[Part Name],$A343,T_PlannedOrders[WeekIndex],42)=0,"",SUMIFS(T_PlannedOrders[EffectiveQty],T_PlannedOrders[Part Name],$A343,T_PlannedOrders[WeekIndex],42)&amp;" ("&amp;TEXT(SUMPRODUCT(MAX((T_PlannedOrders[Part Name]=$A343)*(T_PlannedOrders[WeekIndex]=42)*(T_PlannedOrders[EffectiveQty]&gt;0)*T_PlannedOrders[Order_Month])),"m月")&amp;"発注)")</f>
        <v/>
      </c>
      <c r="AT449">
        <f>IF(SUMIFS(T_PlannedOrders[EffectiveQty],T_PlannedOrders[Part Name],$A343,T_PlannedOrders[WeekIndex],43)=0,"",SUMIFS(T_PlannedOrders[EffectiveQty],T_PlannedOrders[Part Name],$A343,T_PlannedOrders[WeekIndex],43)&amp;" ("&amp;TEXT(SUMPRODUCT(MAX((T_PlannedOrders[Part Name]=$A343)*(T_PlannedOrders[WeekIndex]=43)*(T_PlannedOrders[EffectiveQty]&gt;0)*T_PlannedOrders[Order_Month])),"m月")&amp;"発注)")</f>
        <v/>
      </c>
      <c r="AU449">
        <f>IF(SUMIFS(T_PlannedOrders[EffectiveQty],T_PlannedOrders[Part Name],$A343,T_PlannedOrders[WeekIndex],44)=0,"",SUMIFS(T_PlannedOrders[EffectiveQty],T_PlannedOrders[Part Name],$A343,T_PlannedOrders[WeekIndex],44)&amp;" ("&amp;TEXT(SUMPRODUCT(MAX((T_PlannedOrders[Part Name]=$A343)*(T_PlannedOrders[WeekIndex]=44)*(T_PlannedOrders[EffectiveQty]&gt;0)*T_PlannedOrders[Order_Month])),"m月")&amp;"発注)")</f>
        <v/>
      </c>
      <c r="AV449">
        <f>IF(SUMIFS(T_PlannedOrders[EffectiveQty],T_PlannedOrders[Part Name],$A343,T_PlannedOrders[WeekIndex],45)=0,"",SUMIFS(T_PlannedOrders[EffectiveQty],T_PlannedOrders[Part Name],$A343,T_PlannedOrders[WeekIndex],45)&amp;" ("&amp;TEXT(SUMPRODUCT(MAX((T_PlannedOrders[Part Name]=$A343)*(T_PlannedOrders[WeekIndex]=45)*(T_PlannedOrders[EffectiveQty]&gt;0)*T_PlannedOrders[Order_Month])),"m月")&amp;"発注)")</f>
        <v/>
      </c>
      <c r="AW449">
        <f>IF(SUMIFS(T_PlannedOrders[EffectiveQty],T_PlannedOrders[Part Name],$A343,T_PlannedOrders[WeekIndex],46)=0,"",SUMIFS(T_PlannedOrders[EffectiveQty],T_PlannedOrders[Part Name],$A343,T_PlannedOrders[WeekIndex],46)&amp;" ("&amp;TEXT(SUMPRODUCT(MAX((T_PlannedOrders[Part Name]=$A343)*(T_PlannedOrders[WeekIndex]=46)*(T_PlannedOrders[EffectiveQty]&gt;0)*T_PlannedOrders[Order_Month])),"m月")&amp;"発注)")</f>
        <v/>
      </c>
      <c r="AX449">
        <f>IF(SUMIFS(T_PlannedOrders[EffectiveQty],T_PlannedOrders[Part Name],$A343,T_PlannedOrders[WeekIndex],47)=0,"",SUMIFS(T_PlannedOrders[EffectiveQty],T_PlannedOrders[Part Name],$A343,T_PlannedOrders[WeekIndex],47)&amp;" ("&amp;TEXT(SUMPRODUCT(MAX((T_PlannedOrders[Part Name]=$A343)*(T_PlannedOrders[WeekIndex]=47)*(T_PlannedOrders[EffectiveQty]&gt;0)*T_PlannedOrders[Order_Month])),"m月")&amp;"発注)")</f>
        <v/>
      </c>
      <c r="AY449">
        <f>IF(SUMIFS(T_PlannedOrders[EffectiveQty],T_PlannedOrders[Part Name],$A343,T_PlannedOrders[WeekIndex],48)=0,"",SUMIFS(T_PlannedOrders[EffectiveQty],T_PlannedOrders[Part Name],$A343,T_PlannedOrders[WeekIndex],48)&amp;" ("&amp;TEXT(SUMPRODUCT(MAX((T_PlannedOrders[Part Name]=$A343)*(T_PlannedOrders[WeekIndex]=48)*(T_PlannedOrders[EffectiveQty]&gt;0)*T_PlannedOrders[Order_Month])),"m月")&amp;"発注)")</f>
        <v/>
      </c>
      <c r="AZ449">
        <f>IF(SUMIFS(T_PlannedOrders[EffectiveQty],T_PlannedOrders[Part Name],$A343,T_PlannedOrders[WeekIndex],49)=0,"",SUMIFS(T_PlannedOrders[EffectiveQty],T_PlannedOrders[Part Name],$A343,T_PlannedOrders[WeekIndex],49)&amp;" ("&amp;TEXT(SUMPRODUCT(MAX((T_PlannedOrders[Part Name]=$A343)*(T_PlannedOrders[WeekIndex]=49)*(T_PlannedOrders[EffectiveQty]&gt;0)*T_PlannedOrders[Order_Month])),"m月")&amp;"発注)")</f>
        <v/>
      </c>
      <c r="BA449">
        <f>IF(SUMIFS(T_PlannedOrders[EffectiveQty],T_PlannedOrders[Part Name],$A343,T_PlannedOrders[WeekIndex],50)=0,"",SUMIFS(T_PlannedOrders[EffectiveQty],T_PlannedOrders[Part Name],$A343,T_PlannedOrders[WeekIndex],50)&amp;" ("&amp;TEXT(SUMPRODUCT(MAX((T_PlannedOrders[Part Name]=$A343)*(T_PlannedOrders[WeekIndex]=50)*(T_PlannedOrders[EffectiveQty]&gt;0)*T_PlannedOrders[Order_Month])),"m月")&amp;"発注)")</f>
        <v/>
      </c>
      <c r="BB449">
        <f>IF(SUMIFS(T_PlannedOrders[EffectiveQty],T_PlannedOrders[Part Name],$A343,T_PlannedOrders[WeekIndex],51)=0,"",SUMIFS(T_PlannedOrders[EffectiveQty],T_PlannedOrders[Part Name],$A343,T_PlannedOrders[WeekIndex],51)&amp;" ("&amp;TEXT(SUMPRODUCT(MAX((T_PlannedOrders[Part Name]=$A343)*(T_PlannedOrders[WeekIndex]=51)*(T_PlannedOrders[EffectiveQty]&gt;0)*T_PlannedOrders[Order_Month])),"m月")&amp;"発注)")</f>
        <v/>
      </c>
      <c r="BC449">
        <f>IF(SUMIFS(T_PlannedOrders[EffectiveQty],T_PlannedOrders[Part Name],$A343,T_PlannedOrders[WeekIndex],52)=0,"",SUMIFS(T_PlannedOrders[EffectiveQty],T_PlannedOrders[Part Name],$A343,T_PlannedOrders[WeekIndex],52)&amp;" ("&amp;TEXT(SUMPRODUCT(MAX((T_PlannedOrders[Part Name]=$A343)*(T_PlannedOrders[WeekIndex]=52)*(T_PlannedOrders[EffectiveQty]&gt;0)*T_PlannedOrders[Order_Month])),"m月")&amp;"発注)")</f>
        <v/>
      </c>
      <c r="BD449">
        <f>IF(SUMIFS(T_PlannedOrders[EffectiveQty],T_PlannedOrders[Part Name],$A343,T_PlannedOrders[WeekIndex],53)=0,"",SUMIFS(T_PlannedOrders[EffectiveQty],T_PlannedOrders[Part Name],$A343,T_PlannedOrders[WeekIndex],53)&amp;" ("&amp;TEXT(SUMPRODUCT(MAX((T_PlannedOrders[Part Name]=$A343)*(T_PlannedOrders[WeekIndex]=53)*(T_PlannedOrders[EffectiveQty]&gt;0)*T_PlannedOrders[Order_Month])),"m月")&amp;"発注)")</f>
        <v/>
      </c>
      <c r="BE449">
        <f>IF(SUMIFS(T_PlannedOrders[EffectiveQty],T_PlannedOrders[Part Name],$A343,T_PlannedOrders[WeekIndex],54)=0,"",SUMIFS(T_PlannedOrders[EffectiveQty],T_PlannedOrders[Part Name],$A343,T_PlannedOrders[WeekIndex],54)&amp;" ("&amp;TEXT(SUMPRODUCT(MAX((T_PlannedOrders[Part Name]=$A343)*(T_PlannedOrders[WeekIndex]=54)*(T_PlannedOrders[EffectiveQty]&gt;0)*T_PlannedOrders[Order_Month])),"m月")&amp;"発注)")</f>
        <v/>
      </c>
      <c r="BF449">
        <f>IF(SUMIFS(T_PlannedOrders[EffectiveQty],T_PlannedOrders[Part Name],$A343,T_PlannedOrders[WeekIndex],55)=0,"",SUMIFS(T_PlannedOrders[EffectiveQty],T_PlannedOrders[Part Name],$A343,T_PlannedOrders[WeekIndex],55)&amp;" ("&amp;TEXT(SUMPRODUCT(MAX((T_PlannedOrders[Part Name]=$A343)*(T_PlannedOrders[WeekIndex]=55)*(T_PlannedOrders[EffectiveQty]&gt;0)*T_PlannedOrders[Order_Month])),"m月")&amp;"発注)")</f>
        <v/>
      </c>
      <c r="BG449">
        <f>IF(SUMIFS(T_PlannedOrders[EffectiveQty],T_PlannedOrders[Part Name],$A343,T_PlannedOrders[WeekIndex],56)=0,"",SUMIFS(T_PlannedOrders[EffectiveQty],T_PlannedOrders[Part Name],$A343,T_PlannedOrders[WeekIndex],56)&amp;" ("&amp;TEXT(SUMPRODUCT(MAX((T_PlannedOrders[Part Name]=$A343)*(T_PlannedOrders[WeekIndex]=56)*(T_PlannedOrders[EffectiveQty]&gt;0)*T_PlannedOrders[Order_Month])),"m月")&amp;"発注)")</f>
        <v/>
      </c>
      <c r="BH449">
        <f>IF(SUMIFS(T_PlannedOrders[EffectiveQty],T_PlannedOrders[Part Name],$A343,T_PlannedOrders[WeekIndex],57)=0,"",SUMIFS(T_PlannedOrders[EffectiveQty],T_PlannedOrders[Part Name],$A343,T_PlannedOrders[WeekIndex],57)&amp;" ("&amp;TEXT(SUMPRODUCT(MAX((T_PlannedOrders[Part Name]=$A343)*(T_PlannedOrders[WeekIndex]=57)*(T_PlannedOrders[EffectiveQty]&gt;0)*T_PlannedOrders[Order_Month])),"m月")&amp;"発注)")</f>
        <v/>
      </c>
      <c r="BI449">
        <f>IF(SUMIFS(T_PlannedOrders[EffectiveQty],T_PlannedOrders[Part Name],$A343,T_PlannedOrders[WeekIndex],58)=0,"",SUMIFS(T_PlannedOrders[EffectiveQty],T_PlannedOrders[Part Name],$A343,T_PlannedOrders[WeekIndex],58)&amp;" ("&amp;TEXT(SUMPRODUCT(MAX((T_PlannedOrders[Part Name]=$A343)*(T_PlannedOrders[WeekIndex]=58)*(T_PlannedOrders[EffectiveQty]&gt;0)*T_PlannedOrders[Order_Month])),"m月")&amp;"発注)")</f>
        <v/>
      </c>
      <c r="BJ449">
        <f>IF(SUMIFS(T_PlannedOrders[EffectiveQty],T_PlannedOrders[Part Name],$A343,T_PlannedOrders[WeekIndex],59)=0,"",SUMIFS(T_PlannedOrders[EffectiveQty],T_PlannedOrders[Part Name],$A343,T_PlannedOrders[WeekIndex],59)&amp;" ("&amp;TEXT(SUMPRODUCT(MAX((T_PlannedOrders[Part Name]=$A343)*(T_PlannedOrders[WeekIndex]=59)*(T_PlannedOrders[EffectiveQty]&gt;0)*T_PlannedOrders[Order_Month])),"m月")&amp;"発注)")</f>
        <v/>
      </c>
      <c r="BK449">
        <f>IF(SUMIFS(T_PlannedOrders[EffectiveQty],T_PlannedOrders[Part Name],$A343,T_PlannedOrders[WeekIndex],60)=0,"",SUMIFS(T_PlannedOrders[EffectiveQty],T_PlannedOrders[Part Name],$A343,T_PlannedOrders[WeekIndex],60)&amp;" ("&amp;TEXT(SUMPRODUCT(MAX((T_PlannedOrders[Part Name]=$A343)*(T_PlannedOrders[WeekIndex]=60)*(T_PlannedOrders[EffectiveQty]&gt;0)*T_PlannedOrders[Order_Month])),"m月")&amp;"発注)")</f>
        <v/>
      </c>
      <c r="BL449">
        <f>IF(SUMIFS(T_PlannedOrders[EffectiveQty],T_PlannedOrders[Part Name],$A343,T_PlannedOrders[WeekIndex],61)=0,"",SUMIFS(T_PlannedOrders[EffectiveQty],T_PlannedOrders[Part Name],$A343,T_PlannedOrders[WeekIndex],61)&amp;" ("&amp;TEXT(SUMPRODUCT(MAX((T_PlannedOrders[Part Name]=$A343)*(T_PlannedOrders[WeekIndex]=61)*(T_PlannedOrders[EffectiveQty]&gt;0)*T_PlannedOrders[Order_Month])),"m月")&amp;"発注)")</f>
        <v/>
      </c>
      <c r="BM449">
        <f>IF(SUMIFS(T_PlannedOrders[EffectiveQty],T_PlannedOrders[Part Name],$A343,T_PlannedOrders[WeekIndex],62)=0,"",SUMIFS(T_PlannedOrders[EffectiveQty],T_PlannedOrders[Part Name],$A343,T_PlannedOrders[WeekIndex],62)&amp;" ("&amp;TEXT(SUMPRODUCT(MAX((T_PlannedOrders[Part Name]=$A343)*(T_PlannedOrders[WeekIndex]=62)*(T_PlannedOrders[EffectiveQty]&gt;0)*T_PlannedOrders[Order_Month])),"m月")&amp;"発注)")</f>
        <v/>
      </c>
      <c r="BN449">
        <f>IF(SUMIFS(T_PlannedOrders[EffectiveQty],T_PlannedOrders[Part Name],$A343,T_PlannedOrders[WeekIndex],63)=0,"",SUMIFS(T_PlannedOrders[EffectiveQty],T_PlannedOrders[Part Name],$A343,T_PlannedOrders[WeekIndex],63)&amp;" ("&amp;TEXT(SUMPRODUCT(MAX((T_PlannedOrders[Part Name]=$A343)*(T_PlannedOrders[WeekIndex]=63)*(T_PlannedOrders[EffectiveQty]&gt;0)*T_PlannedOrders[Order_Month])),"m月")&amp;"発注)")</f>
        <v/>
      </c>
      <c r="BO449">
        <f>IF(SUMIFS(T_PlannedOrders[EffectiveQty],T_PlannedOrders[Part Name],$A343,T_PlannedOrders[WeekIndex],64)=0,"",SUMIFS(T_PlannedOrders[EffectiveQty],T_PlannedOrders[Part Name],$A343,T_PlannedOrders[WeekIndex],64)&amp;" ("&amp;TEXT(SUMPRODUCT(MAX((T_PlannedOrders[Part Name]=$A343)*(T_PlannedOrders[WeekIndex]=64)*(T_PlannedOrders[EffectiveQty]&gt;0)*T_PlannedOrders[Order_Month])),"m月")&amp;"発注)")</f>
        <v/>
      </c>
      <c r="BP449">
        <f>IF(SUMIFS(T_PlannedOrders[EffectiveQty],T_PlannedOrders[Part Name],$A343,T_PlannedOrders[WeekIndex],65)=0,"",SUMIFS(T_PlannedOrders[EffectiveQty],T_PlannedOrders[Part Name],$A343,T_PlannedOrders[WeekIndex],65)&amp;" ("&amp;TEXT(SUMPRODUCT(MAX((T_PlannedOrders[Part Name]=$A343)*(T_PlannedOrders[WeekIndex]=65)*(T_PlannedOrders[EffectiveQty]&gt;0)*T_PlannedOrders[Order_Month])),"m月")&amp;"発注)")</f>
        <v/>
      </c>
      <c r="BQ449">
        <f>IF(SUMIFS(T_PlannedOrders[EffectiveQty],T_PlannedOrders[Part Name],$A343,T_PlannedOrders[WeekIndex],66)=0,"",SUMIFS(T_PlannedOrders[EffectiveQty],T_PlannedOrders[Part Name],$A343,T_PlannedOrders[WeekIndex],66)&amp;" ("&amp;TEXT(SUMPRODUCT(MAX((T_PlannedOrders[Part Name]=$A343)*(T_PlannedOrders[WeekIndex]=66)*(T_PlannedOrders[EffectiveQty]&gt;0)*T_PlannedOrders[Order_Month])),"m月")&amp;"発注)")</f>
        <v/>
      </c>
      <c r="BR449">
        <f>IF(SUMIFS(T_PlannedOrders[EffectiveQty],T_PlannedOrders[Part Name],$A343,T_PlannedOrders[WeekIndex],67)=0,"",SUMIFS(T_PlannedOrders[EffectiveQty],T_PlannedOrders[Part Name],$A343,T_PlannedOrders[WeekIndex],67)&amp;" ("&amp;TEXT(SUMPRODUCT(MAX((T_PlannedOrders[Part Name]=$A343)*(T_PlannedOrders[WeekIndex]=67)*(T_PlannedOrders[EffectiveQty]&gt;0)*T_PlannedOrders[Order_Month])),"m月")&amp;"発注)")</f>
        <v/>
      </c>
      <c r="BS449">
        <f>IF(SUMIFS(T_PlannedOrders[EffectiveQty],T_PlannedOrders[Part Name],$A343,T_PlannedOrders[WeekIndex],68)=0,"",SUMIFS(T_PlannedOrders[EffectiveQty],T_PlannedOrders[Part Name],$A343,T_PlannedOrders[WeekIndex],68)&amp;" ("&amp;TEXT(SUMPRODUCT(MAX((T_PlannedOrders[Part Name]=$A343)*(T_PlannedOrders[WeekIndex]=68)*(T_PlannedOrders[EffectiveQty]&gt;0)*T_PlannedOrders[Order_Month])),"m月")&amp;"発注)")</f>
        <v/>
      </c>
      <c r="BT449">
        <f>IF(SUMIFS(T_PlannedOrders[EffectiveQty],T_PlannedOrders[Part Name],$A343,T_PlannedOrders[WeekIndex],69)=0,"",SUMIFS(T_PlannedOrders[EffectiveQty],T_PlannedOrders[Part Name],$A343,T_PlannedOrders[WeekIndex],69)&amp;" ("&amp;TEXT(SUMPRODUCT(MAX((T_PlannedOrders[Part Name]=$A343)*(T_PlannedOrders[WeekIndex]=69)*(T_PlannedOrders[EffectiveQty]&gt;0)*T_PlannedOrders[Order_Month])),"m月")&amp;"発注)")</f>
        <v/>
      </c>
      <c r="BU449">
        <f>IF(SUMIFS(T_PlannedOrders[EffectiveQty],T_PlannedOrders[Part Name],$A343,T_PlannedOrders[WeekIndex],70)=0,"",SUMIFS(T_PlannedOrders[EffectiveQty],T_PlannedOrders[Part Name],$A343,T_PlannedOrders[WeekIndex],70)&amp;" ("&amp;TEXT(SUMPRODUCT(MAX((T_PlannedOrders[Part Name]=$A343)*(T_PlannedOrders[WeekIndex]=70)*(T_PlannedOrders[EffectiveQty]&gt;0)*T_PlannedOrders[Order_Month])),"m月")&amp;"発注)")</f>
        <v/>
      </c>
      <c r="BV449">
        <f>IF(SUMIFS(T_PlannedOrders[EffectiveQty],T_PlannedOrders[Part Name],$A343,T_PlannedOrders[WeekIndex],71)=0,"",SUMIFS(T_PlannedOrders[EffectiveQty],T_PlannedOrders[Part Name],$A343,T_PlannedOrders[WeekIndex],71)&amp;" ("&amp;TEXT(SUMPRODUCT(MAX((T_PlannedOrders[Part Name]=$A343)*(T_PlannedOrders[WeekIndex]=71)*(T_PlannedOrders[EffectiveQty]&gt;0)*T_PlannedOrders[Order_Month])),"m月")&amp;"発注)")</f>
        <v/>
      </c>
      <c r="BW449">
        <f>IF(SUMIFS(T_PlannedOrders[EffectiveQty],T_PlannedOrders[Part Name],$A343,T_PlannedOrders[WeekIndex],72)=0,"",SUMIFS(T_PlannedOrders[EffectiveQty],T_PlannedOrders[Part Name],$A343,T_PlannedOrders[WeekIndex],72)&amp;" ("&amp;TEXT(SUMPRODUCT(MAX((T_PlannedOrders[Part Name]=$A343)*(T_PlannedOrders[WeekIndex]=72)*(T_PlannedOrders[EffectiveQty]&gt;0)*T_PlannedOrders[Order_Month])),"m月")&amp;"発注)")</f>
        <v/>
      </c>
      <c r="BX449">
        <f>IF(SUMIFS(T_PlannedOrders[EffectiveQty],T_PlannedOrders[Part Name],$A343,T_PlannedOrders[WeekIndex],73)=0,"",SUMIFS(T_PlannedOrders[EffectiveQty],T_PlannedOrders[Part Name],$A343,T_PlannedOrders[WeekIndex],73)&amp;" ("&amp;TEXT(SUMPRODUCT(MAX((T_PlannedOrders[Part Name]=$A343)*(T_PlannedOrders[WeekIndex]=73)*(T_PlannedOrders[EffectiveQty]&gt;0)*T_PlannedOrders[Order_Month])),"m月")&amp;"発注)")</f>
        <v/>
      </c>
      <c r="BY449">
        <f>IF(SUMIFS(T_PlannedOrders[EffectiveQty],T_PlannedOrders[Part Name],$A343,T_PlannedOrders[WeekIndex],74)=0,"",SUMIFS(T_PlannedOrders[EffectiveQty],T_PlannedOrders[Part Name],$A343,T_PlannedOrders[WeekIndex],74)&amp;" ("&amp;TEXT(SUMPRODUCT(MAX((T_PlannedOrders[Part Name]=$A343)*(T_PlannedOrders[WeekIndex]=74)*(T_PlannedOrders[EffectiveQty]&gt;0)*T_PlannedOrders[Order_Month])),"m月")&amp;"発注)")</f>
        <v/>
      </c>
      <c r="BZ449">
        <f>IF(SUMIFS(T_PlannedOrders[EffectiveQty],T_PlannedOrders[Part Name],$A343,T_PlannedOrders[WeekIndex],75)=0,"",SUMIFS(T_PlannedOrders[EffectiveQty],T_PlannedOrders[Part Name],$A343,T_PlannedOrders[WeekIndex],75)&amp;" ("&amp;TEXT(SUMPRODUCT(MAX((T_PlannedOrders[Part Name]=$A343)*(T_PlannedOrders[WeekIndex]=75)*(T_PlannedOrders[EffectiveQty]&gt;0)*T_PlannedOrders[Order_Month])),"m月")&amp;"発注)")</f>
        <v/>
      </c>
      <c r="CA449">
        <f>IF(SUMIFS(T_PlannedOrders[EffectiveQty],T_PlannedOrders[Part Name],$A343,T_PlannedOrders[WeekIndex],76)=0,"",SUMIFS(T_PlannedOrders[EffectiveQty],T_PlannedOrders[Part Name],$A343,T_PlannedOrders[WeekIndex],76)&amp;" ("&amp;TEXT(SUMPRODUCT(MAX((T_PlannedOrders[Part Name]=$A343)*(T_PlannedOrders[WeekIndex]=76)*(T_PlannedOrders[EffectiveQty]&gt;0)*T_PlannedOrders[Order_Month])),"m月")&amp;"発注)")</f>
        <v/>
      </c>
      <c r="CB449">
        <f>IF(SUMIFS(T_PlannedOrders[EffectiveQty],T_PlannedOrders[Part Name],$A343,T_PlannedOrders[WeekIndex],77)=0,"",SUMIFS(T_PlannedOrders[EffectiveQty],T_PlannedOrders[Part Name],$A343,T_PlannedOrders[WeekIndex],77)&amp;" ("&amp;TEXT(SUMPRODUCT(MAX((T_PlannedOrders[Part Name]=$A343)*(T_PlannedOrders[WeekIndex]=77)*(T_PlannedOrders[EffectiveQty]&gt;0)*T_PlannedOrders[Order_Month])),"m月")&amp;"発注)")</f>
        <v/>
      </c>
      <c r="CC449">
        <f>IF(SUMIFS(T_PlannedOrders[EffectiveQty],T_PlannedOrders[Part Name],$A343,T_PlannedOrders[WeekIndex],78)=0,"",SUMIFS(T_PlannedOrders[EffectiveQty],T_PlannedOrders[Part Name],$A343,T_PlannedOrders[WeekIndex],78)&amp;" ("&amp;TEXT(SUMPRODUCT(MAX((T_PlannedOrders[Part Name]=$A343)*(T_PlannedOrders[WeekIndex]=78)*(T_PlannedOrders[EffectiveQty]&gt;0)*T_PlannedOrders[Order_Month])),"m月")&amp;"発注)")</f>
        <v/>
      </c>
      <c r="CD449">
        <f>IF(SUMIFS(T_PlannedOrders[EffectiveQty],T_PlannedOrders[Part Name],$A343,T_PlannedOrders[WeekIndex],79)=0,"",SUMIFS(T_PlannedOrders[EffectiveQty],T_PlannedOrders[Part Name],$A343,T_PlannedOrders[WeekIndex],79)&amp;" ("&amp;TEXT(SUMPRODUCT(MAX((T_PlannedOrders[Part Name]=$A343)*(T_PlannedOrders[WeekIndex]=79)*(T_PlannedOrders[EffectiveQty]&gt;0)*T_PlannedOrders[Order_Month])),"m月")&amp;"発注)")</f>
        <v/>
      </c>
      <c r="CE449">
        <f>IF(SUMIFS(T_PlannedOrders[EffectiveQty],T_PlannedOrders[Part Name],$A343,T_PlannedOrders[WeekIndex],80)=0,"",SUMIFS(T_PlannedOrders[EffectiveQty],T_PlannedOrders[Part Name],$A343,T_PlannedOrders[WeekIndex],80)&amp;" ("&amp;TEXT(SUMPRODUCT(MAX((T_PlannedOrders[Part Name]=$A343)*(T_PlannedOrders[WeekIndex]=80)*(T_PlannedOrders[EffectiveQty]&gt;0)*T_PlannedOrders[Order_Month])),"m月")&amp;"発注)")</f>
        <v/>
      </c>
      <c r="CF449">
        <f>IF(SUMIFS(T_PlannedOrders[EffectiveQty],T_PlannedOrders[Part Name],$A343,T_PlannedOrders[WeekIndex],81)=0,"",SUMIFS(T_PlannedOrders[EffectiveQty],T_PlannedOrders[Part Name],$A343,T_PlannedOrders[WeekIndex],81)&amp;" ("&amp;TEXT(SUMPRODUCT(MAX((T_PlannedOrders[Part Name]=$A343)*(T_PlannedOrders[WeekIndex]=81)*(T_PlannedOrders[EffectiveQty]&gt;0)*T_PlannedOrders[Order_Month])),"m月")&amp;"発注)")</f>
        <v/>
      </c>
      <c r="CG449">
        <f>IF(SUMIFS(T_PlannedOrders[EffectiveQty],T_PlannedOrders[Part Name],$A343,T_PlannedOrders[WeekIndex],82)=0,"",SUMIFS(T_PlannedOrders[EffectiveQty],T_PlannedOrders[Part Name],$A343,T_PlannedOrders[WeekIndex],82)&amp;" ("&amp;TEXT(SUMPRODUCT(MAX((T_PlannedOrders[Part Name]=$A343)*(T_PlannedOrders[WeekIndex]=82)*(T_PlannedOrders[EffectiveQty]&gt;0)*T_PlannedOrders[Order_Month])),"m月")&amp;"発注)")</f>
        <v/>
      </c>
      <c r="CH449">
        <f>IF(SUMIFS(T_PlannedOrders[EffectiveQty],T_PlannedOrders[Part Name],$A343,T_PlannedOrders[WeekIndex],83)=0,"",SUMIFS(T_PlannedOrders[EffectiveQty],T_PlannedOrders[Part Name],$A343,T_PlannedOrders[WeekIndex],83)&amp;" ("&amp;TEXT(SUMPRODUCT(MAX((T_PlannedOrders[Part Name]=$A343)*(T_PlannedOrders[WeekIndex]=83)*(T_PlannedOrders[EffectiveQty]&gt;0)*T_PlannedOrders[Order_Month])),"m月")&amp;"発注)")</f>
        <v/>
      </c>
      <c r="CI449">
        <f>IF(SUMIFS(T_PlannedOrders[EffectiveQty],T_PlannedOrders[Part Name],$A343,T_PlannedOrders[WeekIndex],84)=0,"",SUMIFS(T_PlannedOrders[EffectiveQty],T_PlannedOrders[Part Name],$A343,T_PlannedOrders[WeekIndex],84)&amp;" ("&amp;TEXT(SUMPRODUCT(MAX((T_PlannedOrders[Part Name]=$A343)*(T_PlannedOrders[WeekIndex]=84)*(T_PlannedOrders[EffectiveQty]&gt;0)*T_PlannedOrders[Order_Month])),"m月")&amp;"発注)")</f>
        <v/>
      </c>
      <c r="CJ449">
        <f>IF(SUMIFS(T_PlannedOrders[EffectiveQty],T_PlannedOrders[Part Name],$A343,T_PlannedOrders[WeekIndex],85)=0,"",SUMIFS(T_PlannedOrders[EffectiveQty],T_PlannedOrders[Part Name],$A343,T_PlannedOrders[WeekIndex],85)&amp;" ("&amp;TEXT(SUMPRODUCT(MAX((T_PlannedOrders[Part Name]=$A343)*(T_PlannedOrders[WeekIndex]=85)*(T_PlannedOrders[EffectiveQty]&gt;0)*T_PlannedOrders[Order_Month])),"m月")&amp;"発注)")</f>
        <v/>
      </c>
      <c r="CK449">
        <f>IF(SUMIFS(T_PlannedOrders[EffectiveQty],T_PlannedOrders[Part Name],$A343,T_PlannedOrders[WeekIndex],86)=0,"",SUMIFS(T_PlannedOrders[EffectiveQty],T_PlannedOrders[Part Name],$A343,T_PlannedOrders[WeekIndex],86)&amp;" ("&amp;TEXT(SUMPRODUCT(MAX((T_PlannedOrders[Part Name]=$A343)*(T_PlannedOrders[WeekIndex]=86)*(T_PlannedOrders[EffectiveQty]&gt;0)*T_PlannedOrders[Order_Month])),"m月")&amp;"発注)")</f>
        <v/>
      </c>
      <c r="CL449">
        <f>IF(SUMIFS(T_PlannedOrders[EffectiveQty],T_PlannedOrders[Part Name],$A343,T_PlannedOrders[WeekIndex],87)=0,"",SUMIFS(T_PlannedOrders[EffectiveQty],T_PlannedOrders[Part Name],$A343,T_PlannedOrders[WeekIndex],87)&amp;" ("&amp;TEXT(SUMPRODUCT(MAX((T_PlannedOrders[Part Name]=$A343)*(T_PlannedOrders[WeekIndex]=87)*(T_PlannedOrders[EffectiveQty]&gt;0)*T_PlannedOrders[Order_Month])),"m月")&amp;"発注)")</f>
        <v/>
      </c>
      <c r="CM449">
        <f>IF(SUMIFS(T_PlannedOrders[EffectiveQty],T_PlannedOrders[Part Name],$A343,T_PlannedOrders[WeekIndex],88)=0,"",SUMIFS(T_PlannedOrders[EffectiveQty],T_PlannedOrders[Part Name],$A343,T_PlannedOrders[WeekIndex],88)&amp;" ("&amp;TEXT(SUMPRODUCT(MAX((T_PlannedOrders[Part Name]=$A343)*(T_PlannedOrders[WeekIndex]=88)*(T_PlannedOrders[EffectiveQty]&gt;0)*T_PlannedOrders[Order_Month])),"m月")&amp;"発注)")</f>
        <v/>
      </c>
      <c r="CN449">
        <f>IF(SUMIFS(T_PlannedOrders[EffectiveQty],T_PlannedOrders[Part Name],$A343,T_PlannedOrders[WeekIndex],89)=0,"",SUMIFS(T_PlannedOrders[EffectiveQty],T_PlannedOrders[Part Name],$A343,T_PlannedOrders[WeekIndex],89)&amp;" ("&amp;TEXT(SUMPRODUCT(MAX((T_PlannedOrders[Part Name]=$A343)*(T_PlannedOrders[WeekIndex]=89)*(T_PlannedOrders[EffectiveQty]&gt;0)*T_PlannedOrders[Order_Month])),"m月")&amp;"発注)")</f>
        <v/>
      </c>
      <c r="CO449">
        <f>IF(SUMIFS(T_PlannedOrders[EffectiveQty],T_PlannedOrders[Part Name],$A343,T_PlannedOrders[WeekIndex],90)=0,"",SUMIFS(T_PlannedOrders[EffectiveQty],T_PlannedOrders[Part Name],$A343,T_PlannedOrders[WeekIndex],90)&amp;" ("&amp;TEXT(SUMPRODUCT(MAX((T_PlannedOrders[Part Name]=$A343)*(T_PlannedOrders[WeekIndex]=90)*(T_PlannedOrders[EffectiveQty]&gt;0)*T_PlannedOrders[Order_Month])),"m月")&amp;"発注)")</f>
        <v/>
      </c>
      <c r="CP449">
        <f>IF(SUMIFS(T_PlannedOrders[EffectiveQty],T_PlannedOrders[Part Name],$A343,T_PlannedOrders[WeekIndex],91)=0,"",SUMIFS(T_PlannedOrders[EffectiveQty],T_PlannedOrders[Part Name],$A343,T_PlannedOrders[WeekIndex],91)&amp;" ("&amp;TEXT(SUMPRODUCT(MAX((T_PlannedOrders[Part Name]=$A343)*(T_PlannedOrders[WeekIndex]=91)*(T_PlannedOrders[EffectiveQty]&gt;0)*T_PlannedOrders[Order_Month])),"m月")&amp;"発注)")</f>
        <v/>
      </c>
      <c r="CQ449">
        <f>IF(SUMIFS(T_PlannedOrders[EffectiveQty],T_PlannedOrders[Part Name],$A343,T_PlannedOrders[WeekIndex],92)=0,"",SUMIFS(T_PlannedOrders[EffectiveQty],T_PlannedOrders[Part Name],$A343,T_PlannedOrders[WeekIndex],92)&amp;" ("&amp;TEXT(SUMPRODUCT(MAX((T_PlannedOrders[Part Name]=$A343)*(T_PlannedOrders[WeekIndex]=92)*(T_PlannedOrders[EffectiveQty]&gt;0)*T_PlannedOrders[Order_Month])),"m月")&amp;"発注)")</f>
        <v/>
      </c>
      <c r="CR449">
        <f>IF(SUMIFS(T_PlannedOrders[EffectiveQty],T_PlannedOrders[Part Name],$A343,T_PlannedOrders[WeekIndex],93)=0,"",SUMIFS(T_PlannedOrders[EffectiveQty],T_PlannedOrders[Part Name],$A343,T_PlannedOrders[WeekIndex],93)&amp;" ("&amp;TEXT(SUMPRODUCT(MAX((T_PlannedOrders[Part Name]=$A343)*(T_PlannedOrders[WeekIndex]=93)*(T_PlannedOrders[EffectiveQty]&gt;0)*T_PlannedOrders[Order_Month])),"m月")&amp;"発注)")</f>
        <v/>
      </c>
      <c r="CS449">
        <f>IF(SUMIFS(T_PlannedOrders[EffectiveQty],T_PlannedOrders[Part Name],$A343,T_PlannedOrders[WeekIndex],94)=0,"",SUMIFS(T_PlannedOrders[EffectiveQty],T_PlannedOrders[Part Name],$A343,T_PlannedOrders[WeekIndex],94)&amp;" ("&amp;TEXT(SUMPRODUCT(MAX((T_PlannedOrders[Part Name]=$A343)*(T_PlannedOrders[WeekIndex]=94)*(T_PlannedOrders[EffectiveQty]&gt;0)*T_PlannedOrders[Order_Month])),"m月")&amp;"発注)")</f>
        <v/>
      </c>
      <c r="CT449">
        <f>IF(SUMIFS(T_PlannedOrders[EffectiveQty],T_PlannedOrders[Part Name],$A343,T_PlannedOrders[WeekIndex],95)=0,"",SUMIFS(T_PlannedOrders[EffectiveQty],T_PlannedOrders[Part Name],$A343,T_PlannedOrders[WeekIndex],95)&amp;" ("&amp;TEXT(SUMPRODUCT(MAX((T_PlannedOrders[Part Name]=$A343)*(T_PlannedOrders[WeekIndex]=95)*(T_PlannedOrders[EffectiveQty]&gt;0)*T_PlannedOrders[Order_Month])),"m月")&amp;"発注)")</f>
        <v/>
      </c>
      <c r="CU449">
        <f>IF(SUMIFS(T_PlannedOrders[EffectiveQty],T_PlannedOrders[Part Name],$A343,T_PlannedOrders[WeekIndex],96)=0,"",SUMIFS(T_PlannedOrders[EffectiveQty],T_PlannedOrders[Part Name],$A343,T_PlannedOrders[WeekIndex],96)&amp;" ("&amp;TEXT(SUMPRODUCT(MAX((T_PlannedOrders[Part Name]=$A343)*(T_PlannedOrders[WeekIndex]=96)*(T_PlannedOrders[EffectiveQty]&gt;0)*T_PlannedOrders[Order_Month])),"m月")&amp;"発注)")</f>
        <v/>
      </c>
      <c r="CV449">
        <f>IF(SUMIFS(T_PlannedOrders[EffectiveQty],T_PlannedOrders[Part Name],$A343,T_PlannedOrders[WeekIndex],97)=0,"",SUMIFS(T_PlannedOrders[EffectiveQty],T_PlannedOrders[Part Name],$A343,T_PlannedOrders[WeekIndex],97)&amp;" ("&amp;TEXT(SUMPRODUCT(MAX((T_PlannedOrders[Part Name]=$A343)*(T_PlannedOrders[WeekIndex]=97)*(T_PlannedOrders[EffectiveQty]&gt;0)*T_PlannedOrders[Order_Month])),"m月")&amp;"発注)")</f>
        <v/>
      </c>
      <c r="CW449">
        <f>IF(SUMIFS(T_PlannedOrders[EffectiveQty],T_PlannedOrders[Part Name],$A343,T_PlannedOrders[WeekIndex],98)=0,"",SUMIFS(T_PlannedOrders[EffectiveQty],T_PlannedOrders[Part Name],$A343,T_PlannedOrders[WeekIndex],98)&amp;" ("&amp;TEXT(SUMPRODUCT(MAX((T_PlannedOrders[Part Name]=$A343)*(T_PlannedOrders[WeekIndex]=98)*(T_PlannedOrders[EffectiveQty]&gt;0)*T_PlannedOrders[Order_Month])),"m月")&amp;"発注)")</f>
        <v/>
      </c>
      <c r="CX449">
        <f>IF(SUMIFS(T_PlannedOrders[EffectiveQty],T_PlannedOrders[Part Name],$A343,T_PlannedOrders[WeekIndex],99)=0,"",SUMIFS(T_PlannedOrders[EffectiveQty],T_PlannedOrders[Part Name],$A343,T_PlannedOrders[WeekIndex],99)&amp;" ("&amp;TEXT(SUMPRODUCT(MAX((T_PlannedOrders[Part Name]=$A343)*(T_PlannedOrders[WeekIndex]=99)*(T_PlannedOrders[EffectiveQty]&gt;0)*T_PlannedOrders[Order_Month])),"m月")&amp;"発注)")</f>
        <v/>
      </c>
      <c r="CY449">
        <f>IF(SUMIFS(T_PlannedOrders[EffectiveQty],T_PlannedOrders[Part Name],$A343,T_PlannedOrders[WeekIndex],100)=0,"",SUMIFS(T_PlannedOrders[EffectiveQty],T_PlannedOrders[Part Name],$A343,T_PlannedOrders[WeekIndex],100)&amp;" ("&amp;TEXT(SUMPRODUCT(MAX((T_PlannedOrders[Part Name]=$A343)*(T_PlannedOrders[WeekIndex]=100)*(T_PlannedOrders[EffectiveQty]&gt;0)*T_PlannedOrders[Order_Month])),"m月")&amp;"発注)")</f>
        <v/>
      </c>
      <c r="CZ449">
        <f>IF(SUMIFS(T_PlannedOrders[EffectiveQty],T_PlannedOrders[Part Name],$A343,T_PlannedOrders[WeekIndex],101)=0,"",SUMIFS(T_PlannedOrders[EffectiveQty],T_PlannedOrders[Part Name],$A343,T_PlannedOrders[WeekIndex],101)&amp;" ("&amp;TEXT(SUMPRODUCT(MAX((T_PlannedOrders[Part Name]=$A343)*(T_PlannedOrders[WeekIndex]=101)*(T_PlannedOrders[EffectiveQty]&gt;0)*T_PlannedOrders[Order_Month])),"m月")&amp;"発注)")</f>
        <v/>
      </c>
      <c r="DA449">
        <f>IF(SUMIFS(T_PlannedOrders[EffectiveQty],T_PlannedOrders[Part Name],$A343,T_PlannedOrders[WeekIndex],102)=0,"",SUMIFS(T_PlannedOrders[EffectiveQty],T_PlannedOrders[Part Name],$A343,T_PlannedOrders[WeekIndex],102)&amp;" ("&amp;TEXT(SUMPRODUCT(MAX((T_PlannedOrders[Part Name]=$A343)*(T_PlannedOrders[WeekIndex]=102)*(T_PlannedOrders[EffectiveQty]&gt;0)*T_PlannedOrders[Order_Month])),"m月")&amp;"発注)")</f>
        <v/>
      </c>
      <c r="DB449">
        <f>IF(SUMIFS(T_PlannedOrders[EffectiveQty],T_PlannedOrders[Part Name],$A343,T_PlannedOrders[WeekIndex],103)=0,"",SUMIFS(T_PlannedOrders[EffectiveQty],T_PlannedOrders[Part Name],$A343,T_PlannedOrders[WeekIndex],103)&amp;" ("&amp;TEXT(SUMPRODUCT(MAX((T_PlannedOrders[Part Name]=$A343)*(T_PlannedOrders[WeekIndex]=103)*(T_PlannedOrders[EffectiveQty]&gt;0)*T_PlannedOrders[Order_Month])),"m月")&amp;"発注)")</f>
        <v/>
      </c>
      <c r="DC449">
        <f>IF(SUMIFS(T_PlannedOrders[EffectiveQty],T_PlannedOrders[Part Name],$A343,T_PlannedOrders[WeekIndex],104)=0,"",SUMIFS(T_PlannedOrders[EffectiveQty],T_PlannedOrders[Part Name],$A343,T_PlannedOrders[WeekIndex],104)&amp;" ("&amp;TEXT(SUMPRODUCT(MAX((T_PlannedOrders[Part Name]=$A343)*(T_PlannedOrders[WeekIndex]=104)*(T_PlannedOrders[EffectiveQty]&gt;0)*T_PlannedOrders[Order_Month])),"m月")&amp;"発注)")</f>
        <v/>
      </c>
    </row>
    <row r="450">
      <c r="B450" s="9" t="inlineStr">
        <is>
          <t>合計在庫(週末時点,kg)</t>
        </is>
      </c>
      <c r="D450">
        <f>'Grid_Stock'!B15</f>
        <v/>
      </c>
      <c r="E450">
        <f>'Grid_Stock'!C15</f>
        <v/>
      </c>
      <c r="F450">
        <f>'Grid_Stock'!D15</f>
        <v/>
      </c>
      <c r="G450">
        <f>'Grid_Stock'!E15</f>
        <v/>
      </c>
      <c r="H450">
        <f>'Grid_Stock'!F15</f>
        <v/>
      </c>
      <c r="I450">
        <f>'Grid_Stock'!G15</f>
        <v/>
      </c>
      <c r="J450">
        <f>'Grid_Stock'!H15</f>
        <v/>
      </c>
      <c r="K450">
        <f>'Grid_Stock'!I15</f>
        <v/>
      </c>
      <c r="L450">
        <f>'Grid_Stock'!J15</f>
        <v/>
      </c>
      <c r="M450">
        <f>'Grid_Stock'!K15</f>
        <v/>
      </c>
      <c r="N450">
        <f>'Grid_Stock'!L15</f>
        <v/>
      </c>
      <c r="O450">
        <f>'Grid_Stock'!M15</f>
        <v/>
      </c>
      <c r="P450">
        <f>'Grid_Stock'!N15</f>
        <v/>
      </c>
      <c r="Q450">
        <f>'Grid_Stock'!O15</f>
        <v/>
      </c>
      <c r="R450">
        <f>'Grid_Stock'!P15</f>
        <v/>
      </c>
      <c r="S450">
        <f>'Grid_Stock'!Q15</f>
        <v/>
      </c>
      <c r="T450">
        <f>'Grid_Stock'!R15</f>
        <v/>
      </c>
      <c r="U450">
        <f>'Grid_Stock'!S15</f>
        <v/>
      </c>
      <c r="V450">
        <f>'Grid_Stock'!T15</f>
        <v/>
      </c>
      <c r="W450">
        <f>'Grid_Stock'!U15</f>
        <v/>
      </c>
      <c r="X450">
        <f>'Grid_Stock'!V15</f>
        <v/>
      </c>
      <c r="Y450">
        <f>'Grid_Stock'!W15</f>
        <v/>
      </c>
      <c r="Z450">
        <f>'Grid_Stock'!X15</f>
        <v/>
      </c>
      <c r="AA450">
        <f>'Grid_Stock'!Y15</f>
        <v/>
      </c>
      <c r="AB450">
        <f>'Grid_Stock'!Z15</f>
        <v/>
      </c>
      <c r="AC450">
        <f>'Grid_Stock'!AA15</f>
        <v/>
      </c>
      <c r="AD450">
        <f>'Grid_Stock'!AB15</f>
        <v/>
      </c>
      <c r="AE450">
        <f>'Grid_Stock'!AC15</f>
        <v/>
      </c>
      <c r="AF450">
        <f>'Grid_Stock'!AD15</f>
        <v/>
      </c>
      <c r="AG450">
        <f>'Grid_Stock'!AE15</f>
        <v/>
      </c>
      <c r="AH450">
        <f>'Grid_Stock'!AF15</f>
        <v/>
      </c>
      <c r="AI450">
        <f>'Grid_Stock'!AG15</f>
        <v/>
      </c>
      <c r="AJ450">
        <f>'Grid_Stock'!AH15</f>
        <v/>
      </c>
      <c r="AK450">
        <f>'Grid_Stock'!AI15</f>
        <v/>
      </c>
      <c r="AL450">
        <f>'Grid_Stock'!AJ15</f>
        <v/>
      </c>
      <c r="AM450">
        <f>'Grid_Stock'!AK15</f>
        <v/>
      </c>
      <c r="AN450">
        <f>'Grid_Stock'!AL15</f>
        <v/>
      </c>
      <c r="AO450">
        <f>'Grid_Stock'!AM15</f>
        <v/>
      </c>
      <c r="AP450">
        <f>'Grid_Stock'!AN15</f>
        <v/>
      </c>
      <c r="AQ450">
        <f>'Grid_Stock'!AO15</f>
        <v/>
      </c>
      <c r="AR450">
        <f>'Grid_Stock'!AP15</f>
        <v/>
      </c>
      <c r="AS450">
        <f>'Grid_Stock'!AQ15</f>
        <v/>
      </c>
      <c r="AT450">
        <f>'Grid_Stock'!AR15</f>
        <v/>
      </c>
      <c r="AU450">
        <f>'Grid_Stock'!AS15</f>
        <v/>
      </c>
      <c r="AV450">
        <f>'Grid_Stock'!AT15</f>
        <v/>
      </c>
      <c r="AW450">
        <f>'Grid_Stock'!AU15</f>
        <v/>
      </c>
      <c r="AX450">
        <f>'Grid_Stock'!AV15</f>
        <v/>
      </c>
      <c r="AY450">
        <f>'Grid_Stock'!AW15</f>
        <v/>
      </c>
      <c r="AZ450">
        <f>'Grid_Stock'!AX15</f>
        <v/>
      </c>
      <c r="BA450">
        <f>'Grid_Stock'!AY15</f>
        <v/>
      </c>
      <c r="BB450">
        <f>'Grid_Stock'!AZ15</f>
        <v/>
      </c>
      <c r="BC450">
        <f>'Grid_Stock'!BA15</f>
        <v/>
      </c>
      <c r="BD450">
        <f>'Grid_Stock'!BB15</f>
        <v/>
      </c>
      <c r="BE450">
        <f>'Grid_Stock'!BC15</f>
        <v/>
      </c>
      <c r="BF450">
        <f>'Grid_Stock'!BD15</f>
        <v/>
      </c>
      <c r="BG450">
        <f>'Grid_Stock'!BE15</f>
        <v/>
      </c>
      <c r="BH450">
        <f>'Grid_Stock'!BF15</f>
        <v/>
      </c>
      <c r="BI450">
        <f>'Grid_Stock'!BG15</f>
        <v/>
      </c>
      <c r="BJ450">
        <f>'Grid_Stock'!BH15</f>
        <v/>
      </c>
      <c r="BK450">
        <f>'Grid_Stock'!BI15</f>
        <v/>
      </c>
      <c r="BL450">
        <f>'Grid_Stock'!BJ15</f>
        <v/>
      </c>
      <c r="BM450">
        <f>'Grid_Stock'!BK15</f>
        <v/>
      </c>
      <c r="BN450">
        <f>'Grid_Stock'!BL15</f>
        <v/>
      </c>
      <c r="BO450">
        <f>'Grid_Stock'!BM15</f>
        <v/>
      </c>
      <c r="BP450">
        <f>'Grid_Stock'!BN15</f>
        <v/>
      </c>
      <c r="BQ450">
        <f>'Grid_Stock'!BO15</f>
        <v/>
      </c>
      <c r="BR450">
        <f>'Grid_Stock'!BP15</f>
        <v/>
      </c>
      <c r="BS450">
        <f>'Grid_Stock'!BQ15</f>
        <v/>
      </c>
      <c r="BT450">
        <f>'Grid_Stock'!BR15</f>
        <v/>
      </c>
      <c r="BU450">
        <f>'Grid_Stock'!BS15</f>
        <v/>
      </c>
      <c r="BV450">
        <f>'Grid_Stock'!BT15</f>
        <v/>
      </c>
      <c r="BW450">
        <f>'Grid_Stock'!BU15</f>
        <v/>
      </c>
      <c r="BX450">
        <f>'Grid_Stock'!BV15</f>
        <v/>
      </c>
      <c r="BY450">
        <f>'Grid_Stock'!BW15</f>
        <v/>
      </c>
      <c r="BZ450">
        <f>'Grid_Stock'!BX15</f>
        <v/>
      </c>
      <c r="CA450">
        <f>'Grid_Stock'!BY15</f>
        <v/>
      </c>
      <c r="CB450">
        <f>'Grid_Stock'!BZ15</f>
        <v/>
      </c>
      <c r="CC450">
        <f>'Grid_Stock'!CA15</f>
        <v/>
      </c>
      <c r="CD450">
        <f>'Grid_Stock'!CB15</f>
        <v/>
      </c>
      <c r="CE450">
        <f>'Grid_Stock'!CC15</f>
        <v/>
      </c>
      <c r="CF450">
        <f>'Grid_Stock'!CD15</f>
        <v/>
      </c>
      <c r="CG450">
        <f>'Grid_Stock'!CE15</f>
        <v/>
      </c>
      <c r="CH450">
        <f>'Grid_Stock'!CF15</f>
        <v/>
      </c>
      <c r="CI450">
        <f>'Grid_Stock'!CG15</f>
        <v/>
      </c>
      <c r="CJ450">
        <f>'Grid_Stock'!CH15</f>
        <v/>
      </c>
      <c r="CK450">
        <f>'Grid_Stock'!CI15</f>
        <v/>
      </c>
      <c r="CL450">
        <f>'Grid_Stock'!CJ15</f>
        <v/>
      </c>
      <c r="CM450">
        <f>'Grid_Stock'!CK15</f>
        <v/>
      </c>
      <c r="CN450">
        <f>'Grid_Stock'!CL15</f>
        <v/>
      </c>
      <c r="CO450">
        <f>'Grid_Stock'!CM15</f>
        <v/>
      </c>
      <c r="CP450">
        <f>'Grid_Stock'!CN15</f>
        <v/>
      </c>
      <c r="CQ450">
        <f>'Grid_Stock'!CO15</f>
        <v/>
      </c>
      <c r="CR450">
        <f>'Grid_Stock'!CP15</f>
        <v/>
      </c>
      <c r="CS450">
        <f>'Grid_Stock'!CQ15</f>
        <v/>
      </c>
      <c r="CT450">
        <f>'Grid_Stock'!CR15</f>
        <v/>
      </c>
      <c r="CU450">
        <f>'Grid_Stock'!CS15</f>
        <v/>
      </c>
      <c r="CV450">
        <f>'Grid_Stock'!CT15</f>
        <v/>
      </c>
      <c r="CW450">
        <f>'Grid_Stock'!CU15</f>
        <v/>
      </c>
      <c r="CX450">
        <f>'Grid_Stock'!CV15</f>
        <v/>
      </c>
      <c r="CY450">
        <f>'Grid_Stock'!CW15</f>
        <v/>
      </c>
      <c r="CZ450">
        <f>'Grid_Stock'!CX15</f>
        <v/>
      </c>
      <c r="DA450">
        <f>'Grid_Stock'!CY15</f>
        <v/>
      </c>
      <c r="DB450">
        <f>'Grid_Stock'!CZ15</f>
        <v/>
      </c>
      <c r="DC450">
        <f>'Grid_Stock'!DA15</f>
        <v/>
      </c>
    </row>
    <row r="451">
      <c r="B451" s="21" t="inlineStr">
        <is>
          <t>（発注の目安はDashboardの基準在庫[下限/上限]と色分けを参照）</t>
        </is>
      </c>
    </row>
    <row r="453">
      <c r="A453" s="19" t="inlineStr">
        <is>
          <t>CHEM-1430</t>
        </is>
      </c>
      <c r="B453" s="19" t="inlineStr">
        <is>
          <t>RCT22</t>
        </is>
      </c>
      <c r="C453" s="20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  <c r="U453" s="19" t="n"/>
      <c r="V453" s="19" t="n"/>
      <c r="W453" s="19" t="n"/>
      <c r="X453" s="19" t="n"/>
      <c r="Y453" s="19" t="n"/>
      <c r="Z453" s="19" t="n"/>
      <c r="AA453" s="19" t="n"/>
      <c r="AB453" s="19" t="n"/>
      <c r="AC453" s="19" t="n"/>
      <c r="AD453" s="19" t="n"/>
      <c r="AE453" s="19" t="n"/>
      <c r="AF453" s="19" t="n"/>
      <c r="AG453" s="19" t="n"/>
      <c r="AH453" s="19" t="n"/>
      <c r="AI453" s="19" t="n"/>
      <c r="AJ453" s="19" t="n"/>
      <c r="AK453" s="19" t="n"/>
      <c r="AL453" s="19" t="n"/>
      <c r="AM453" s="19" t="n"/>
      <c r="AN453" s="19" t="n"/>
      <c r="AO453" s="19" t="n"/>
      <c r="AP453" s="19" t="n"/>
      <c r="AQ453" s="19" t="n"/>
      <c r="AR453" s="19" t="n"/>
      <c r="AS453" s="19" t="n"/>
      <c r="AT453" s="19" t="n"/>
      <c r="AU453" s="19" t="n"/>
      <c r="AV453" s="19" t="n"/>
      <c r="AW453" s="19" t="n"/>
      <c r="AX453" s="19" t="n"/>
      <c r="AY453" s="19" t="n"/>
      <c r="AZ453" s="19" t="n"/>
      <c r="BA453" s="19" t="n"/>
      <c r="BB453" s="19" t="n"/>
      <c r="BC453" s="19" t="n"/>
      <c r="BD453" s="19" t="n"/>
      <c r="BE453" s="19" t="n"/>
      <c r="BF453" s="19" t="n"/>
      <c r="BG453" s="19" t="n"/>
      <c r="BH453" s="19" t="n"/>
      <c r="BI453" s="19" t="n"/>
      <c r="BJ453" s="19" t="n"/>
      <c r="BK453" s="19" t="n"/>
      <c r="BL453" s="19" t="n"/>
      <c r="BM453" s="19" t="n"/>
      <c r="BN453" s="19" t="n"/>
      <c r="BO453" s="19" t="n"/>
      <c r="BP453" s="19" t="n"/>
      <c r="BQ453" s="19" t="n"/>
      <c r="BR453" s="19" t="n"/>
      <c r="BS453" s="19" t="n"/>
      <c r="BT453" s="19" t="n"/>
      <c r="BU453" s="19" t="n"/>
      <c r="BV453" s="19" t="n"/>
      <c r="BW453" s="19" t="n"/>
      <c r="BX453" s="19" t="n"/>
      <c r="BY453" s="19" t="n"/>
      <c r="BZ453" s="19" t="n"/>
      <c r="CA453" s="19" t="n"/>
      <c r="CB453" s="19" t="n"/>
      <c r="CC453" s="19" t="n"/>
      <c r="CD453" s="19" t="n"/>
      <c r="CE453" s="19" t="n"/>
      <c r="CF453" s="19" t="n"/>
      <c r="CG453" s="19" t="n"/>
      <c r="CH453" s="19" t="n"/>
      <c r="CI453" s="19" t="n"/>
      <c r="CJ453" s="19" t="n"/>
      <c r="CK453" s="19" t="n"/>
      <c r="CL453" s="19" t="n"/>
      <c r="CM453" s="19" t="n"/>
      <c r="CN453" s="19" t="n"/>
      <c r="CO453" s="19" t="n"/>
      <c r="CP453" s="19" t="n"/>
      <c r="CQ453" s="19" t="n"/>
      <c r="CR453" s="19" t="n"/>
      <c r="CS453" s="19" t="n"/>
      <c r="CT453" s="19" t="n"/>
      <c r="CU453" s="19" t="n"/>
      <c r="CV453" s="19" t="n"/>
      <c r="CW453" s="19" t="n"/>
      <c r="CX453" s="19" t="n"/>
      <c r="CY453" s="19" t="n"/>
      <c r="CZ453" s="19" t="n"/>
      <c r="DA453" s="19" t="n"/>
      <c r="DB453" s="19" t="n"/>
      <c r="DC453" s="19" t="n"/>
    </row>
    <row r="454">
      <c r="B454" t="inlineStr">
        <is>
          <t>TSP-050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Name],$A453)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TSP-078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Name],$A453)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TSP-080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Name],$A453)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TSP-088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Name],$A453)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TSP-089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Name],$A453)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TSP-105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Name],$A453)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TSP-225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Name],$A453)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s="9" t="inlineStr">
        <is>
          <t>合計使用量(kg)/週</t>
        </is>
      </c>
      <c r="D468">
        <f>'Grid_Requirement'!B32</f>
        <v/>
      </c>
      <c r="E468">
        <f>'Grid_Requirement'!C32</f>
        <v/>
      </c>
      <c r="F468">
        <f>'Grid_Requirement'!D32</f>
        <v/>
      </c>
      <c r="G468">
        <f>'Grid_Requirement'!E32</f>
        <v/>
      </c>
      <c r="H468">
        <f>'Grid_Requirement'!F32</f>
        <v/>
      </c>
      <c r="I468">
        <f>'Grid_Requirement'!G32</f>
        <v/>
      </c>
      <c r="J468">
        <f>'Grid_Requirement'!H32</f>
        <v/>
      </c>
      <c r="K468">
        <f>'Grid_Requirement'!I32</f>
        <v/>
      </c>
      <c r="L468">
        <f>'Grid_Requirement'!J32</f>
        <v/>
      </c>
      <c r="M468">
        <f>'Grid_Requirement'!K32</f>
        <v/>
      </c>
      <c r="N468">
        <f>'Grid_Requirement'!L32</f>
        <v/>
      </c>
      <c r="O468">
        <f>'Grid_Requirement'!M32</f>
        <v/>
      </c>
      <c r="P468">
        <f>'Grid_Requirement'!N32</f>
        <v/>
      </c>
      <c r="Q468">
        <f>'Grid_Requirement'!O32</f>
        <v/>
      </c>
      <c r="R468">
        <f>'Grid_Requirement'!P32</f>
        <v/>
      </c>
      <c r="S468">
        <f>'Grid_Requirement'!Q32</f>
        <v/>
      </c>
      <c r="T468">
        <f>'Grid_Requirement'!R32</f>
        <v/>
      </c>
      <c r="U468">
        <f>'Grid_Requirement'!S32</f>
        <v/>
      </c>
      <c r="V468">
        <f>'Grid_Requirement'!T32</f>
        <v/>
      </c>
      <c r="W468">
        <f>'Grid_Requirement'!U32</f>
        <v/>
      </c>
      <c r="X468">
        <f>'Grid_Requirement'!V32</f>
        <v/>
      </c>
      <c r="Y468">
        <f>'Grid_Requirement'!W32</f>
        <v/>
      </c>
      <c r="Z468">
        <f>'Grid_Requirement'!X32</f>
        <v/>
      </c>
      <c r="AA468">
        <f>'Grid_Requirement'!Y32</f>
        <v/>
      </c>
      <c r="AB468">
        <f>'Grid_Requirement'!Z32</f>
        <v/>
      </c>
      <c r="AC468">
        <f>'Grid_Requirement'!AA32</f>
        <v/>
      </c>
      <c r="AD468">
        <f>'Grid_Requirement'!AB32</f>
        <v/>
      </c>
      <c r="AE468">
        <f>'Grid_Requirement'!AC32</f>
        <v/>
      </c>
      <c r="AF468">
        <f>'Grid_Requirement'!AD32</f>
        <v/>
      </c>
      <c r="AG468">
        <f>'Grid_Requirement'!AE32</f>
        <v/>
      </c>
      <c r="AH468">
        <f>'Grid_Requirement'!AF32</f>
        <v/>
      </c>
      <c r="AI468">
        <f>'Grid_Requirement'!AG32</f>
        <v/>
      </c>
      <c r="AJ468">
        <f>'Grid_Requirement'!AH32</f>
        <v/>
      </c>
      <c r="AK468">
        <f>'Grid_Requirement'!AI32</f>
        <v/>
      </c>
      <c r="AL468">
        <f>'Grid_Requirement'!AJ32</f>
        <v/>
      </c>
      <c r="AM468">
        <f>'Grid_Requirement'!AK32</f>
        <v/>
      </c>
      <c r="AN468">
        <f>'Grid_Requirement'!AL32</f>
        <v/>
      </c>
      <c r="AO468">
        <f>'Grid_Requirement'!AM32</f>
        <v/>
      </c>
      <c r="AP468">
        <f>'Grid_Requirement'!AN32</f>
        <v/>
      </c>
      <c r="AQ468">
        <f>'Grid_Requirement'!AO32</f>
        <v/>
      </c>
      <c r="AR468">
        <f>'Grid_Requirement'!AP32</f>
        <v/>
      </c>
      <c r="AS468">
        <f>'Grid_Requirement'!AQ32</f>
        <v/>
      </c>
      <c r="AT468">
        <f>'Grid_Requirement'!AR32</f>
        <v/>
      </c>
      <c r="AU468">
        <f>'Grid_Requirement'!AS32</f>
        <v/>
      </c>
      <c r="AV468">
        <f>'Grid_Requirement'!AT32</f>
        <v/>
      </c>
      <c r="AW468">
        <f>'Grid_Requirement'!AU32</f>
        <v/>
      </c>
      <c r="AX468">
        <f>'Grid_Requirement'!AV32</f>
        <v/>
      </c>
      <c r="AY468">
        <f>'Grid_Requirement'!AW32</f>
        <v/>
      </c>
      <c r="AZ468">
        <f>'Grid_Requirement'!AX32</f>
        <v/>
      </c>
      <c r="BA468">
        <f>'Grid_Requirement'!AY32</f>
        <v/>
      </c>
      <c r="BB468">
        <f>'Grid_Requirement'!AZ32</f>
        <v/>
      </c>
      <c r="BC468">
        <f>'Grid_Requirement'!BA32</f>
        <v/>
      </c>
      <c r="BD468">
        <f>'Grid_Requirement'!BB32</f>
        <v/>
      </c>
      <c r="BE468">
        <f>'Grid_Requirement'!BC32</f>
        <v/>
      </c>
      <c r="BF468">
        <f>'Grid_Requirement'!BD32</f>
        <v/>
      </c>
      <c r="BG468">
        <f>'Grid_Requirement'!BE32</f>
        <v/>
      </c>
      <c r="BH468">
        <f>'Grid_Requirement'!BF32</f>
        <v/>
      </c>
      <c r="BI468">
        <f>'Grid_Requirement'!BG32</f>
        <v/>
      </c>
      <c r="BJ468">
        <f>'Grid_Requirement'!BH32</f>
        <v/>
      </c>
      <c r="BK468">
        <f>'Grid_Requirement'!BI32</f>
        <v/>
      </c>
      <c r="BL468">
        <f>'Grid_Requirement'!BJ32</f>
        <v/>
      </c>
      <c r="BM468">
        <f>'Grid_Requirement'!BK32</f>
        <v/>
      </c>
      <c r="BN468">
        <f>'Grid_Requirement'!BL32</f>
        <v/>
      </c>
      <c r="BO468">
        <f>'Grid_Requirement'!BM32</f>
        <v/>
      </c>
      <c r="BP468">
        <f>'Grid_Requirement'!BN32</f>
        <v/>
      </c>
      <c r="BQ468">
        <f>'Grid_Requirement'!BO32</f>
        <v/>
      </c>
      <c r="BR468">
        <f>'Grid_Requirement'!BP32</f>
        <v/>
      </c>
      <c r="BS468">
        <f>'Grid_Requirement'!BQ32</f>
        <v/>
      </c>
      <c r="BT468">
        <f>'Grid_Requirement'!BR32</f>
        <v/>
      </c>
      <c r="BU468">
        <f>'Grid_Requirement'!BS32</f>
        <v/>
      </c>
      <c r="BV468">
        <f>'Grid_Requirement'!BT32</f>
        <v/>
      </c>
      <c r="BW468">
        <f>'Grid_Requirement'!BU32</f>
        <v/>
      </c>
      <c r="BX468">
        <f>'Grid_Requirement'!BV32</f>
        <v/>
      </c>
      <c r="BY468">
        <f>'Grid_Requirement'!BW32</f>
        <v/>
      </c>
      <c r="BZ468">
        <f>'Grid_Requirement'!BX32</f>
        <v/>
      </c>
      <c r="CA468">
        <f>'Grid_Requirement'!BY32</f>
        <v/>
      </c>
      <c r="CB468">
        <f>'Grid_Requirement'!BZ32</f>
        <v/>
      </c>
      <c r="CC468">
        <f>'Grid_Requirement'!CA32</f>
        <v/>
      </c>
      <c r="CD468">
        <f>'Grid_Requirement'!CB32</f>
        <v/>
      </c>
      <c r="CE468">
        <f>'Grid_Requirement'!CC32</f>
        <v/>
      </c>
      <c r="CF468">
        <f>'Grid_Requirement'!CD32</f>
        <v/>
      </c>
      <c r="CG468">
        <f>'Grid_Requirement'!CE32</f>
        <v/>
      </c>
      <c r="CH468">
        <f>'Grid_Requirement'!CF32</f>
        <v/>
      </c>
      <c r="CI468">
        <f>'Grid_Requirement'!CG32</f>
        <v/>
      </c>
      <c r="CJ468">
        <f>'Grid_Requirement'!CH32</f>
        <v/>
      </c>
      <c r="CK468">
        <f>'Grid_Requirement'!CI32</f>
        <v/>
      </c>
      <c r="CL468">
        <f>'Grid_Requirement'!CJ32</f>
        <v/>
      </c>
      <c r="CM468">
        <f>'Grid_Requirement'!CK32</f>
        <v/>
      </c>
      <c r="CN468">
        <f>'Grid_Requirement'!CL32</f>
        <v/>
      </c>
      <c r="CO468">
        <f>'Grid_Requirement'!CM32</f>
        <v/>
      </c>
      <c r="CP468">
        <f>'Grid_Requirement'!CN32</f>
        <v/>
      </c>
      <c r="CQ468">
        <f>'Grid_Requirement'!CO32</f>
        <v/>
      </c>
      <c r="CR468">
        <f>'Grid_Requirement'!CP32</f>
        <v/>
      </c>
      <c r="CS468">
        <f>'Grid_Requirement'!CQ32</f>
        <v/>
      </c>
      <c r="CT468">
        <f>'Grid_Requirement'!CR32</f>
        <v/>
      </c>
      <c r="CU468">
        <f>'Grid_Requirement'!CS32</f>
        <v/>
      </c>
      <c r="CV468">
        <f>'Grid_Requirement'!CT32</f>
        <v/>
      </c>
      <c r="CW468">
        <f>'Grid_Requirement'!CU32</f>
        <v/>
      </c>
      <c r="CX468">
        <f>'Grid_Requirement'!CV32</f>
        <v/>
      </c>
      <c r="CY468">
        <f>'Grid_Requirement'!CW32</f>
        <v/>
      </c>
      <c r="CZ468">
        <f>'Grid_Requirement'!CX32</f>
        <v/>
      </c>
      <c r="DA468">
        <f>'Grid_Requirement'!CY32</f>
        <v/>
      </c>
      <c r="DB468">
        <f>'Grid_Requirement'!CZ32</f>
        <v/>
      </c>
      <c r="DC468">
        <f>'Grid_Requirement'!DA32</f>
        <v/>
      </c>
    </row>
    <row r="469">
      <c r="B469" t="inlineStr">
        <is>
          <t>TTAF在庫(実績,kg)</t>
        </is>
      </c>
      <c r="D469">
        <f>'T_TTAFStock'!B36</f>
        <v/>
      </c>
      <c r="E469">
        <f>'T_TTAFStock'!C36</f>
        <v/>
      </c>
      <c r="F469">
        <f>'T_TTAFStock'!D36</f>
        <v/>
      </c>
      <c r="G469">
        <f>'T_TTAFStock'!E36</f>
        <v/>
      </c>
      <c r="H469">
        <f>'T_TTAFStock'!F36</f>
        <v/>
      </c>
      <c r="I469">
        <f>'T_TTAFStock'!G36</f>
        <v/>
      </c>
      <c r="J469">
        <f>'T_TTAFStock'!H36</f>
        <v/>
      </c>
      <c r="K469">
        <f>'T_TTAFStock'!I36</f>
        <v/>
      </c>
      <c r="L469">
        <f>'T_TTAFStock'!J36</f>
        <v/>
      </c>
      <c r="M469">
        <f>'T_TTAFStock'!K36</f>
        <v/>
      </c>
      <c r="N469">
        <f>'T_TTAFStock'!L36</f>
        <v/>
      </c>
      <c r="O469">
        <f>'T_TTAFStock'!M36</f>
        <v/>
      </c>
      <c r="P469">
        <f>'T_TTAFStock'!N36</f>
        <v/>
      </c>
      <c r="Q469">
        <f>'T_TTAFStock'!O36</f>
        <v/>
      </c>
      <c r="R469">
        <f>'T_TTAFStock'!P36</f>
        <v/>
      </c>
      <c r="S469">
        <f>'T_TTAFStock'!Q36</f>
        <v/>
      </c>
      <c r="T469">
        <f>'T_TTAFStock'!R36</f>
        <v/>
      </c>
      <c r="U469">
        <f>'T_TTAFStock'!S36</f>
        <v/>
      </c>
      <c r="V469">
        <f>'T_TTAFStock'!T36</f>
        <v/>
      </c>
      <c r="W469">
        <f>'T_TTAFStock'!U36</f>
        <v/>
      </c>
      <c r="X469">
        <f>'T_TTAFStock'!V36</f>
        <v/>
      </c>
      <c r="Y469">
        <f>'T_TTAFStock'!W36</f>
        <v/>
      </c>
      <c r="Z469">
        <f>'T_TTAFStock'!X36</f>
        <v/>
      </c>
      <c r="AA469">
        <f>'T_TTAFStock'!Y36</f>
        <v/>
      </c>
      <c r="AB469">
        <f>'T_TTAFStock'!Z36</f>
        <v/>
      </c>
      <c r="AC469">
        <f>'T_TTAFStock'!AA36</f>
        <v/>
      </c>
      <c r="AD469">
        <f>'T_TTAFStock'!AB36</f>
        <v/>
      </c>
      <c r="AE469">
        <f>'T_TTAFStock'!AC36</f>
        <v/>
      </c>
      <c r="AF469">
        <f>'T_TTAFStock'!AD36</f>
        <v/>
      </c>
      <c r="AG469">
        <f>'T_TTAFStock'!AE36</f>
        <v/>
      </c>
      <c r="AH469">
        <f>'T_TTAFStock'!AF36</f>
        <v/>
      </c>
      <c r="AI469">
        <f>'T_TTAFStock'!AG36</f>
        <v/>
      </c>
      <c r="AJ469">
        <f>'T_TTAFStock'!AH36</f>
        <v/>
      </c>
      <c r="AK469">
        <f>'T_TTAFStock'!AI36</f>
        <v/>
      </c>
      <c r="AL469">
        <f>'T_TTAFStock'!AJ36</f>
        <v/>
      </c>
      <c r="AM469">
        <f>'T_TTAFStock'!AK36</f>
        <v/>
      </c>
      <c r="AN469">
        <f>'T_TTAFStock'!AL36</f>
        <v/>
      </c>
      <c r="AO469">
        <f>'T_TTAFStock'!AM36</f>
        <v/>
      </c>
      <c r="AP469">
        <f>'T_TTAFStock'!AN36</f>
        <v/>
      </c>
      <c r="AQ469">
        <f>'T_TTAFStock'!AO36</f>
        <v/>
      </c>
      <c r="AR469">
        <f>'T_TTAFStock'!AP36</f>
        <v/>
      </c>
      <c r="AS469">
        <f>'T_TTAFStock'!AQ36</f>
        <v/>
      </c>
      <c r="AT469">
        <f>'T_TTAFStock'!AR36</f>
        <v/>
      </c>
      <c r="AU469">
        <f>'T_TTAFStock'!AS36</f>
        <v/>
      </c>
      <c r="AV469">
        <f>'T_TTAFStock'!AT36</f>
        <v/>
      </c>
      <c r="AW469">
        <f>'T_TTAFStock'!AU36</f>
        <v/>
      </c>
      <c r="AX469">
        <f>'T_TTAFStock'!AV36</f>
        <v/>
      </c>
      <c r="AY469">
        <f>'T_TTAFStock'!AW36</f>
        <v/>
      </c>
      <c r="AZ469">
        <f>'T_TTAFStock'!AX36</f>
        <v/>
      </c>
      <c r="BA469">
        <f>'T_TTAFStock'!AY36</f>
        <v/>
      </c>
      <c r="BB469">
        <f>'T_TTAFStock'!AZ36</f>
        <v/>
      </c>
      <c r="BC469">
        <f>'T_TTAFStock'!BA36</f>
        <v/>
      </c>
      <c r="BD469">
        <f>'T_TTAFStock'!BB36</f>
        <v/>
      </c>
      <c r="BE469">
        <f>'T_TTAFStock'!BC36</f>
        <v/>
      </c>
      <c r="BF469">
        <f>'T_TTAFStock'!BD36</f>
        <v/>
      </c>
      <c r="BG469">
        <f>'T_TTAFStock'!BE36</f>
        <v/>
      </c>
      <c r="BH469">
        <f>'T_TTAFStock'!BF36</f>
        <v/>
      </c>
      <c r="BI469">
        <f>'T_TTAFStock'!BG36</f>
        <v/>
      </c>
      <c r="BJ469">
        <f>'T_TTAFStock'!BH36</f>
        <v/>
      </c>
      <c r="BK469">
        <f>'T_TTAFStock'!BI36</f>
        <v/>
      </c>
      <c r="BL469">
        <f>'T_TTAFStock'!BJ36</f>
        <v/>
      </c>
      <c r="BM469">
        <f>'T_TTAFStock'!BK36</f>
        <v/>
      </c>
      <c r="BN469">
        <f>'T_TTAFStock'!BL36</f>
        <v/>
      </c>
      <c r="BO469">
        <f>'T_TTAFStock'!BM36</f>
        <v/>
      </c>
      <c r="BP469">
        <f>'T_TTAFStock'!BN36</f>
        <v/>
      </c>
      <c r="BQ469">
        <f>'T_TTAFStock'!BO36</f>
        <v/>
      </c>
      <c r="BR469">
        <f>'T_TTAFStock'!BP36</f>
        <v/>
      </c>
      <c r="BS469">
        <f>'T_TTAFStock'!BQ36</f>
        <v/>
      </c>
      <c r="BT469">
        <f>'T_TTAFStock'!BR36</f>
        <v/>
      </c>
      <c r="BU469">
        <f>'T_TTAFStock'!BS36</f>
        <v/>
      </c>
      <c r="BV469">
        <f>'T_TTAFStock'!BT36</f>
        <v/>
      </c>
      <c r="BW469">
        <f>'T_TTAFStock'!BU36</f>
        <v/>
      </c>
      <c r="BX469">
        <f>'T_TTAFStock'!BV36</f>
        <v/>
      </c>
      <c r="BY469">
        <f>'T_TTAFStock'!BW36</f>
        <v/>
      </c>
      <c r="BZ469">
        <f>'T_TTAFStock'!BX36</f>
        <v/>
      </c>
      <c r="CA469">
        <f>'T_TTAFStock'!BY36</f>
        <v/>
      </c>
      <c r="CB469">
        <f>'T_TTAFStock'!BZ36</f>
        <v/>
      </c>
      <c r="CC469">
        <f>'T_TTAFStock'!CA36</f>
        <v/>
      </c>
      <c r="CD469">
        <f>'T_TTAFStock'!CB36</f>
        <v/>
      </c>
      <c r="CE469">
        <f>'T_TTAFStock'!CC36</f>
        <v/>
      </c>
      <c r="CF469">
        <f>'T_TTAFStock'!CD36</f>
        <v/>
      </c>
      <c r="CG469">
        <f>'T_TTAFStock'!CE36</f>
        <v/>
      </c>
      <c r="CH469">
        <f>'T_TTAFStock'!CF36</f>
        <v/>
      </c>
      <c r="CI469">
        <f>'T_TTAFStock'!CG36</f>
        <v/>
      </c>
      <c r="CJ469">
        <f>'T_TTAFStock'!CH36</f>
        <v/>
      </c>
      <c r="CK469">
        <f>'T_TTAFStock'!CI36</f>
        <v/>
      </c>
      <c r="CL469">
        <f>'T_TTAFStock'!CJ36</f>
        <v/>
      </c>
      <c r="CM469">
        <f>'T_TTAFStock'!CK36</f>
        <v/>
      </c>
      <c r="CN469">
        <f>'T_TTAFStock'!CL36</f>
        <v/>
      </c>
      <c r="CO469">
        <f>'T_TTAFStock'!CM36</f>
        <v/>
      </c>
      <c r="CP469">
        <f>'T_TTAFStock'!CN36</f>
        <v/>
      </c>
      <c r="CQ469">
        <f>'T_TTAFStock'!CO36</f>
        <v/>
      </c>
      <c r="CR469">
        <f>'T_TTAFStock'!CP36</f>
        <v/>
      </c>
      <c r="CS469">
        <f>'T_TTAFStock'!CQ36</f>
        <v/>
      </c>
      <c r="CT469">
        <f>'T_TTAFStock'!CR36</f>
        <v/>
      </c>
      <c r="CU469">
        <f>'T_TTAFStock'!CS36</f>
        <v/>
      </c>
      <c r="CV469">
        <f>'T_TTAFStock'!CT36</f>
        <v/>
      </c>
      <c r="CW469">
        <f>'T_TTAFStock'!CU36</f>
        <v/>
      </c>
      <c r="CX469">
        <f>'T_TTAFStock'!CV36</f>
        <v/>
      </c>
      <c r="CY469">
        <f>'T_TTAFStock'!CW36</f>
        <v/>
      </c>
      <c r="CZ469">
        <f>'T_TTAFStock'!CX36</f>
        <v/>
      </c>
      <c r="DA469">
        <f>'T_TTAFStock'!CY36</f>
        <v/>
      </c>
      <c r="DB469">
        <f>'T_TTAFStock'!CZ36</f>
        <v/>
      </c>
      <c r="DC469">
        <f>'T_TTAFStock'!DA36</f>
        <v/>
      </c>
    </row>
    <row r="470">
      <c r="B470" t="inlineStr">
        <is>
          <t>自社在庫(実績,kg)</t>
        </is>
      </c>
      <c r="D470">
        <f>'T_SelfStock'!B36</f>
        <v/>
      </c>
      <c r="E470">
        <f>'T_SelfStock'!C36</f>
        <v/>
      </c>
      <c r="F470">
        <f>'T_SelfStock'!D36</f>
        <v/>
      </c>
      <c r="G470">
        <f>'T_SelfStock'!E36</f>
        <v/>
      </c>
      <c r="H470">
        <f>'T_SelfStock'!F36</f>
        <v/>
      </c>
      <c r="I470">
        <f>'T_SelfStock'!G36</f>
        <v/>
      </c>
      <c r="J470">
        <f>'T_SelfStock'!H36</f>
        <v/>
      </c>
      <c r="K470">
        <f>'T_SelfStock'!I36</f>
        <v/>
      </c>
      <c r="L470">
        <f>'T_SelfStock'!J36</f>
        <v/>
      </c>
      <c r="M470">
        <f>'T_SelfStock'!K36</f>
        <v/>
      </c>
      <c r="N470">
        <f>'T_SelfStock'!L36</f>
        <v/>
      </c>
      <c r="O470">
        <f>'T_SelfStock'!M36</f>
        <v/>
      </c>
      <c r="P470">
        <f>'T_SelfStock'!N36</f>
        <v/>
      </c>
      <c r="Q470">
        <f>'T_SelfStock'!O36</f>
        <v/>
      </c>
      <c r="R470">
        <f>'T_SelfStock'!P36</f>
        <v/>
      </c>
      <c r="S470">
        <f>'T_SelfStock'!Q36</f>
        <v/>
      </c>
      <c r="T470">
        <f>'T_SelfStock'!R36</f>
        <v/>
      </c>
      <c r="U470">
        <f>'T_SelfStock'!S36</f>
        <v/>
      </c>
      <c r="V470">
        <f>'T_SelfStock'!T36</f>
        <v/>
      </c>
      <c r="W470">
        <f>'T_SelfStock'!U36</f>
        <v/>
      </c>
      <c r="X470">
        <f>'T_SelfStock'!V36</f>
        <v/>
      </c>
      <c r="Y470">
        <f>'T_SelfStock'!W36</f>
        <v/>
      </c>
      <c r="Z470">
        <f>'T_SelfStock'!X36</f>
        <v/>
      </c>
      <c r="AA470">
        <f>'T_SelfStock'!Y36</f>
        <v/>
      </c>
      <c r="AB470">
        <f>'T_SelfStock'!Z36</f>
        <v/>
      </c>
      <c r="AC470">
        <f>'T_SelfStock'!AA36</f>
        <v/>
      </c>
      <c r="AD470">
        <f>'T_SelfStock'!AB36</f>
        <v/>
      </c>
      <c r="AE470">
        <f>'T_SelfStock'!AC36</f>
        <v/>
      </c>
      <c r="AF470">
        <f>'T_SelfStock'!AD36</f>
        <v/>
      </c>
      <c r="AG470">
        <f>'T_SelfStock'!AE36</f>
        <v/>
      </c>
      <c r="AH470">
        <f>'T_SelfStock'!AF36</f>
        <v/>
      </c>
      <c r="AI470">
        <f>'T_SelfStock'!AG36</f>
        <v/>
      </c>
      <c r="AJ470">
        <f>'T_SelfStock'!AH36</f>
        <v/>
      </c>
      <c r="AK470">
        <f>'T_SelfStock'!AI36</f>
        <v/>
      </c>
      <c r="AL470">
        <f>'T_SelfStock'!AJ36</f>
        <v/>
      </c>
      <c r="AM470">
        <f>'T_SelfStock'!AK36</f>
        <v/>
      </c>
      <c r="AN470">
        <f>'T_SelfStock'!AL36</f>
        <v/>
      </c>
      <c r="AO470">
        <f>'T_SelfStock'!AM36</f>
        <v/>
      </c>
      <c r="AP470">
        <f>'T_SelfStock'!AN36</f>
        <v/>
      </c>
      <c r="AQ470">
        <f>'T_SelfStock'!AO36</f>
        <v/>
      </c>
      <c r="AR470">
        <f>'T_SelfStock'!AP36</f>
        <v/>
      </c>
      <c r="AS470">
        <f>'T_SelfStock'!AQ36</f>
        <v/>
      </c>
      <c r="AT470">
        <f>'T_SelfStock'!AR36</f>
        <v/>
      </c>
      <c r="AU470">
        <f>'T_SelfStock'!AS36</f>
        <v/>
      </c>
      <c r="AV470">
        <f>'T_SelfStock'!AT36</f>
        <v/>
      </c>
      <c r="AW470">
        <f>'T_SelfStock'!AU36</f>
        <v/>
      </c>
      <c r="AX470">
        <f>'T_SelfStock'!AV36</f>
        <v/>
      </c>
      <c r="AY470">
        <f>'T_SelfStock'!AW36</f>
        <v/>
      </c>
      <c r="AZ470">
        <f>'T_SelfStock'!AX36</f>
        <v/>
      </c>
      <c r="BA470">
        <f>'T_SelfStock'!AY36</f>
        <v/>
      </c>
      <c r="BB470">
        <f>'T_SelfStock'!AZ36</f>
        <v/>
      </c>
      <c r="BC470">
        <f>'T_SelfStock'!BA36</f>
        <v/>
      </c>
      <c r="BD470">
        <f>'T_SelfStock'!BB36</f>
        <v/>
      </c>
      <c r="BE470">
        <f>'T_SelfStock'!BC36</f>
        <v/>
      </c>
      <c r="BF470">
        <f>'T_SelfStock'!BD36</f>
        <v/>
      </c>
      <c r="BG470">
        <f>'T_SelfStock'!BE36</f>
        <v/>
      </c>
      <c r="BH470">
        <f>'T_SelfStock'!BF36</f>
        <v/>
      </c>
      <c r="BI470">
        <f>'T_SelfStock'!BG36</f>
        <v/>
      </c>
      <c r="BJ470">
        <f>'T_SelfStock'!BH36</f>
        <v/>
      </c>
      <c r="BK470">
        <f>'T_SelfStock'!BI36</f>
        <v/>
      </c>
      <c r="BL470">
        <f>'T_SelfStock'!BJ36</f>
        <v/>
      </c>
      <c r="BM470">
        <f>'T_SelfStock'!BK36</f>
        <v/>
      </c>
      <c r="BN470">
        <f>'T_SelfStock'!BL36</f>
        <v/>
      </c>
      <c r="BO470">
        <f>'T_SelfStock'!BM36</f>
        <v/>
      </c>
      <c r="BP470">
        <f>'T_SelfStock'!BN36</f>
        <v/>
      </c>
      <c r="BQ470">
        <f>'T_SelfStock'!BO36</f>
        <v/>
      </c>
      <c r="BR470">
        <f>'T_SelfStock'!BP36</f>
        <v/>
      </c>
      <c r="BS470">
        <f>'T_SelfStock'!BQ36</f>
        <v/>
      </c>
      <c r="BT470">
        <f>'T_SelfStock'!BR36</f>
        <v/>
      </c>
      <c r="BU470">
        <f>'T_SelfStock'!BS36</f>
        <v/>
      </c>
      <c r="BV470">
        <f>'T_SelfStock'!BT36</f>
        <v/>
      </c>
      <c r="BW470">
        <f>'T_SelfStock'!BU36</f>
        <v/>
      </c>
      <c r="BX470">
        <f>'T_SelfStock'!BV36</f>
        <v/>
      </c>
      <c r="BY470">
        <f>'T_SelfStock'!BW36</f>
        <v/>
      </c>
      <c r="BZ470">
        <f>'T_SelfStock'!BX36</f>
        <v/>
      </c>
      <c r="CA470">
        <f>'T_SelfStock'!BY36</f>
        <v/>
      </c>
      <c r="CB470">
        <f>'T_SelfStock'!BZ36</f>
        <v/>
      </c>
      <c r="CC470">
        <f>'T_SelfStock'!CA36</f>
        <v/>
      </c>
      <c r="CD470">
        <f>'T_SelfStock'!CB36</f>
        <v/>
      </c>
      <c r="CE470">
        <f>'T_SelfStock'!CC36</f>
        <v/>
      </c>
      <c r="CF470">
        <f>'T_SelfStock'!CD36</f>
        <v/>
      </c>
      <c r="CG470">
        <f>'T_SelfStock'!CE36</f>
        <v/>
      </c>
      <c r="CH470">
        <f>'T_SelfStock'!CF36</f>
        <v/>
      </c>
      <c r="CI470">
        <f>'T_SelfStock'!CG36</f>
        <v/>
      </c>
      <c r="CJ470">
        <f>'T_SelfStock'!CH36</f>
        <v/>
      </c>
      <c r="CK470">
        <f>'T_SelfStock'!CI36</f>
        <v/>
      </c>
      <c r="CL470">
        <f>'T_SelfStock'!CJ36</f>
        <v/>
      </c>
      <c r="CM470">
        <f>'T_SelfStock'!CK36</f>
        <v/>
      </c>
      <c r="CN470">
        <f>'T_SelfStock'!CL36</f>
        <v/>
      </c>
      <c r="CO470">
        <f>'T_SelfStock'!CM36</f>
        <v/>
      </c>
      <c r="CP470">
        <f>'T_SelfStock'!CN36</f>
        <v/>
      </c>
      <c r="CQ470">
        <f>'T_SelfStock'!CO36</f>
        <v/>
      </c>
      <c r="CR470">
        <f>'T_SelfStock'!CP36</f>
        <v/>
      </c>
      <c r="CS470">
        <f>'T_SelfStock'!CQ36</f>
        <v/>
      </c>
      <c r="CT470">
        <f>'T_SelfStock'!CR36</f>
        <v/>
      </c>
      <c r="CU470">
        <f>'T_SelfStock'!CS36</f>
        <v/>
      </c>
      <c r="CV470">
        <f>'T_SelfStock'!CT36</f>
        <v/>
      </c>
      <c r="CW470">
        <f>'T_SelfStock'!CU36</f>
        <v/>
      </c>
      <c r="CX470">
        <f>'T_SelfStock'!CV36</f>
        <v/>
      </c>
      <c r="CY470">
        <f>'T_SelfStock'!CW36</f>
        <v/>
      </c>
      <c r="CZ470">
        <f>'T_SelfStock'!CX36</f>
        <v/>
      </c>
      <c r="DA470">
        <f>'T_SelfStock'!CY36</f>
        <v/>
      </c>
      <c r="DB470">
        <f>'T_SelfStock'!CZ36</f>
        <v/>
      </c>
      <c r="DC470">
        <f>'T_SelfStock'!DA36</f>
        <v/>
      </c>
    </row>
    <row r="471">
      <c r="B471" t="inlineStr">
        <is>
          <t>Order(発注予定,kg)</t>
        </is>
      </c>
      <c r="D471">
        <f>IF(SUMIFS(T_PlannedOrders[EffectiveQty],T_PlannedOrders[Part Name],$A453,T_PlannedOrders[WeekIndex],1)=0,"",SUMIFS(T_PlannedOrders[EffectiveQty],T_PlannedOrders[Part Name],$A453,T_PlannedOrders[WeekIndex],1)&amp;" ("&amp;TEXT(SUMPRODUCT(MAX((T_PlannedOrders[Part Name]=$A453)*(T_PlannedOrders[WeekIndex]=1)*(T_PlannedOrders[EffectiveQty]&gt;0)*T_PlannedOrders[Order_Month])),"m月")&amp;"発注)")</f>
        <v/>
      </c>
      <c r="E471">
        <f>IF(SUMIFS(T_PlannedOrders[EffectiveQty],T_PlannedOrders[Part Name],$A453,T_PlannedOrders[WeekIndex],2)=0,"",SUMIFS(T_PlannedOrders[EffectiveQty],T_PlannedOrders[Part Name],$A453,T_PlannedOrders[WeekIndex],2)&amp;" ("&amp;TEXT(SUMPRODUCT(MAX((T_PlannedOrders[Part Name]=$A453)*(T_PlannedOrders[WeekIndex]=2)*(T_PlannedOrders[EffectiveQty]&gt;0)*T_PlannedOrders[Order_Month])),"m月")&amp;"発注)")</f>
        <v/>
      </c>
      <c r="F471">
        <f>IF(SUMIFS(T_PlannedOrders[EffectiveQty],T_PlannedOrders[Part Name],$A453,T_PlannedOrders[WeekIndex],3)=0,"",SUMIFS(T_PlannedOrders[EffectiveQty],T_PlannedOrders[Part Name],$A453,T_PlannedOrders[WeekIndex],3)&amp;" ("&amp;TEXT(SUMPRODUCT(MAX((T_PlannedOrders[Part Name]=$A453)*(T_PlannedOrders[WeekIndex]=3)*(T_PlannedOrders[EffectiveQty]&gt;0)*T_PlannedOrders[Order_Month])),"m月")&amp;"発注)")</f>
        <v/>
      </c>
      <c r="G471">
        <f>IF(SUMIFS(T_PlannedOrders[EffectiveQty],T_PlannedOrders[Part Name],$A453,T_PlannedOrders[WeekIndex],4)=0,"",SUMIFS(T_PlannedOrders[EffectiveQty],T_PlannedOrders[Part Name],$A453,T_PlannedOrders[WeekIndex],4)&amp;" ("&amp;TEXT(SUMPRODUCT(MAX((T_PlannedOrders[Part Name]=$A453)*(T_PlannedOrders[WeekIndex]=4)*(T_PlannedOrders[EffectiveQty]&gt;0)*T_PlannedOrders[Order_Month])),"m月")&amp;"発注)")</f>
        <v/>
      </c>
      <c r="H471">
        <f>IF(SUMIFS(T_PlannedOrders[EffectiveQty],T_PlannedOrders[Part Name],$A453,T_PlannedOrders[WeekIndex],5)=0,"",SUMIFS(T_PlannedOrders[EffectiveQty],T_PlannedOrders[Part Name],$A453,T_PlannedOrders[WeekIndex],5)&amp;" ("&amp;TEXT(SUMPRODUCT(MAX((T_PlannedOrders[Part Name]=$A453)*(T_PlannedOrders[WeekIndex]=5)*(T_PlannedOrders[EffectiveQty]&gt;0)*T_PlannedOrders[Order_Month])),"m月")&amp;"発注)")</f>
        <v/>
      </c>
      <c r="I471">
        <f>IF(SUMIFS(T_PlannedOrders[EffectiveQty],T_PlannedOrders[Part Name],$A453,T_PlannedOrders[WeekIndex],6)=0,"",SUMIFS(T_PlannedOrders[EffectiveQty],T_PlannedOrders[Part Name],$A453,T_PlannedOrders[WeekIndex],6)&amp;" ("&amp;TEXT(SUMPRODUCT(MAX((T_PlannedOrders[Part Name]=$A453)*(T_PlannedOrders[WeekIndex]=6)*(T_PlannedOrders[EffectiveQty]&gt;0)*T_PlannedOrders[Order_Month])),"m月")&amp;"発注)")</f>
        <v/>
      </c>
      <c r="J471">
        <f>IF(SUMIFS(T_PlannedOrders[EffectiveQty],T_PlannedOrders[Part Name],$A453,T_PlannedOrders[WeekIndex],7)=0,"",SUMIFS(T_PlannedOrders[EffectiveQty],T_PlannedOrders[Part Name],$A453,T_PlannedOrders[WeekIndex],7)&amp;" ("&amp;TEXT(SUMPRODUCT(MAX((T_PlannedOrders[Part Name]=$A453)*(T_PlannedOrders[WeekIndex]=7)*(T_PlannedOrders[EffectiveQty]&gt;0)*T_PlannedOrders[Order_Month])),"m月")&amp;"発注)")</f>
        <v/>
      </c>
      <c r="K471">
        <f>IF(SUMIFS(T_PlannedOrders[EffectiveQty],T_PlannedOrders[Part Name],$A453,T_PlannedOrders[WeekIndex],8)=0,"",SUMIFS(T_PlannedOrders[EffectiveQty],T_PlannedOrders[Part Name],$A453,T_PlannedOrders[WeekIndex],8)&amp;" ("&amp;TEXT(SUMPRODUCT(MAX((T_PlannedOrders[Part Name]=$A453)*(T_PlannedOrders[WeekIndex]=8)*(T_PlannedOrders[EffectiveQty]&gt;0)*T_PlannedOrders[Order_Month])),"m月")&amp;"発注)")</f>
        <v/>
      </c>
      <c r="L471">
        <f>IF(SUMIFS(T_PlannedOrders[EffectiveQty],T_PlannedOrders[Part Name],$A453,T_PlannedOrders[WeekIndex],9)=0,"",SUMIFS(T_PlannedOrders[EffectiveQty],T_PlannedOrders[Part Name],$A453,T_PlannedOrders[WeekIndex],9)&amp;" ("&amp;TEXT(SUMPRODUCT(MAX((T_PlannedOrders[Part Name]=$A453)*(T_PlannedOrders[WeekIndex]=9)*(T_PlannedOrders[EffectiveQty]&gt;0)*T_PlannedOrders[Order_Month])),"m月")&amp;"発注)")</f>
        <v/>
      </c>
      <c r="M471">
        <f>IF(SUMIFS(T_PlannedOrders[EffectiveQty],T_PlannedOrders[Part Name],$A453,T_PlannedOrders[WeekIndex],10)=0,"",SUMIFS(T_PlannedOrders[EffectiveQty],T_PlannedOrders[Part Name],$A453,T_PlannedOrders[WeekIndex],10)&amp;" ("&amp;TEXT(SUMPRODUCT(MAX((T_PlannedOrders[Part Name]=$A453)*(T_PlannedOrders[WeekIndex]=10)*(T_PlannedOrders[EffectiveQty]&gt;0)*T_PlannedOrders[Order_Month])),"m月")&amp;"発注)")</f>
        <v/>
      </c>
      <c r="N471">
        <f>IF(SUMIFS(T_PlannedOrders[EffectiveQty],T_PlannedOrders[Part Name],$A453,T_PlannedOrders[WeekIndex],11)=0,"",SUMIFS(T_PlannedOrders[EffectiveQty],T_PlannedOrders[Part Name],$A453,T_PlannedOrders[WeekIndex],11)&amp;" ("&amp;TEXT(SUMPRODUCT(MAX((T_PlannedOrders[Part Name]=$A453)*(T_PlannedOrders[WeekIndex]=11)*(T_PlannedOrders[EffectiveQty]&gt;0)*T_PlannedOrders[Order_Month])),"m月")&amp;"発注)")</f>
        <v/>
      </c>
      <c r="O471">
        <f>IF(SUMIFS(T_PlannedOrders[EffectiveQty],T_PlannedOrders[Part Name],$A453,T_PlannedOrders[WeekIndex],12)=0,"",SUMIFS(T_PlannedOrders[EffectiveQty],T_PlannedOrders[Part Name],$A453,T_PlannedOrders[WeekIndex],12)&amp;" ("&amp;TEXT(SUMPRODUCT(MAX((T_PlannedOrders[Part Name]=$A453)*(T_PlannedOrders[WeekIndex]=12)*(T_PlannedOrders[EffectiveQty]&gt;0)*T_PlannedOrders[Order_Month])),"m月")&amp;"発注)")</f>
        <v/>
      </c>
      <c r="P471">
        <f>IF(SUMIFS(T_PlannedOrders[EffectiveQty],T_PlannedOrders[Part Name],$A453,T_PlannedOrders[WeekIndex],13)=0,"",SUMIFS(T_PlannedOrders[EffectiveQty],T_PlannedOrders[Part Name],$A453,T_PlannedOrders[WeekIndex],13)&amp;" ("&amp;TEXT(SUMPRODUCT(MAX((T_PlannedOrders[Part Name]=$A453)*(T_PlannedOrders[WeekIndex]=13)*(T_PlannedOrders[EffectiveQty]&gt;0)*T_PlannedOrders[Order_Month])),"m月")&amp;"発注)")</f>
        <v/>
      </c>
      <c r="Q471">
        <f>IF(SUMIFS(T_PlannedOrders[EffectiveQty],T_PlannedOrders[Part Name],$A453,T_PlannedOrders[WeekIndex],14)=0,"",SUMIFS(T_PlannedOrders[EffectiveQty],T_PlannedOrders[Part Name],$A453,T_PlannedOrders[WeekIndex],14)&amp;" ("&amp;TEXT(SUMPRODUCT(MAX((T_PlannedOrders[Part Name]=$A453)*(T_PlannedOrders[WeekIndex]=14)*(T_PlannedOrders[EffectiveQty]&gt;0)*T_PlannedOrders[Order_Month])),"m月")&amp;"発注)")</f>
        <v/>
      </c>
      <c r="R471">
        <f>IF(SUMIFS(T_PlannedOrders[EffectiveQty],T_PlannedOrders[Part Name],$A453,T_PlannedOrders[WeekIndex],15)=0,"",SUMIFS(T_PlannedOrders[EffectiveQty],T_PlannedOrders[Part Name],$A453,T_PlannedOrders[WeekIndex],15)&amp;" ("&amp;TEXT(SUMPRODUCT(MAX((T_PlannedOrders[Part Name]=$A453)*(T_PlannedOrders[WeekIndex]=15)*(T_PlannedOrders[EffectiveQty]&gt;0)*T_PlannedOrders[Order_Month])),"m月")&amp;"発注)")</f>
        <v/>
      </c>
      <c r="S471">
        <f>IF(SUMIFS(T_PlannedOrders[EffectiveQty],T_PlannedOrders[Part Name],$A453,T_PlannedOrders[WeekIndex],16)=0,"",SUMIFS(T_PlannedOrders[EffectiveQty],T_PlannedOrders[Part Name],$A453,T_PlannedOrders[WeekIndex],16)&amp;" ("&amp;TEXT(SUMPRODUCT(MAX((T_PlannedOrders[Part Name]=$A453)*(T_PlannedOrders[WeekIndex]=16)*(T_PlannedOrders[EffectiveQty]&gt;0)*T_PlannedOrders[Order_Month])),"m月")&amp;"発注)")</f>
        <v/>
      </c>
      <c r="T471">
        <f>IF(SUMIFS(T_PlannedOrders[EffectiveQty],T_PlannedOrders[Part Name],$A453,T_PlannedOrders[WeekIndex],17)=0,"",SUMIFS(T_PlannedOrders[EffectiveQty],T_PlannedOrders[Part Name],$A453,T_PlannedOrders[WeekIndex],17)&amp;" ("&amp;TEXT(SUMPRODUCT(MAX((T_PlannedOrders[Part Name]=$A453)*(T_PlannedOrders[WeekIndex]=17)*(T_PlannedOrders[EffectiveQty]&gt;0)*T_PlannedOrders[Order_Month])),"m月")&amp;"発注)")</f>
        <v/>
      </c>
      <c r="U471">
        <f>IF(SUMIFS(T_PlannedOrders[EffectiveQty],T_PlannedOrders[Part Name],$A453,T_PlannedOrders[WeekIndex],18)=0,"",SUMIFS(T_PlannedOrders[EffectiveQty],T_PlannedOrders[Part Name],$A453,T_PlannedOrders[WeekIndex],18)&amp;" ("&amp;TEXT(SUMPRODUCT(MAX((T_PlannedOrders[Part Name]=$A453)*(T_PlannedOrders[WeekIndex]=18)*(T_PlannedOrders[EffectiveQty]&gt;0)*T_PlannedOrders[Order_Month])),"m月")&amp;"発注)")</f>
        <v/>
      </c>
      <c r="V471">
        <f>IF(SUMIFS(T_PlannedOrders[EffectiveQty],T_PlannedOrders[Part Name],$A453,T_PlannedOrders[WeekIndex],19)=0,"",SUMIFS(T_PlannedOrders[EffectiveQty],T_PlannedOrders[Part Name],$A453,T_PlannedOrders[WeekIndex],19)&amp;" ("&amp;TEXT(SUMPRODUCT(MAX((T_PlannedOrders[Part Name]=$A453)*(T_PlannedOrders[WeekIndex]=19)*(T_PlannedOrders[EffectiveQty]&gt;0)*T_PlannedOrders[Order_Month])),"m月")&amp;"発注)")</f>
        <v/>
      </c>
      <c r="W471">
        <f>IF(SUMIFS(T_PlannedOrders[EffectiveQty],T_PlannedOrders[Part Name],$A453,T_PlannedOrders[WeekIndex],20)=0,"",SUMIFS(T_PlannedOrders[EffectiveQty],T_PlannedOrders[Part Name],$A453,T_PlannedOrders[WeekIndex],20)&amp;" ("&amp;TEXT(SUMPRODUCT(MAX((T_PlannedOrders[Part Name]=$A453)*(T_PlannedOrders[WeekIndex]=20)*(T_PlannedOrders[EffectiveQty]&gt;0)*T_PlannedOrders[Order_Month])),"m月")&amp;"発注)")</f>
        <v/>
      </c>
      <c r="X471">
        <f>IF(SUMIFS(T_PlannedOrders[EffectiveQty],T_PlannedOrders[Part Name],$A453,T_PlannedOrders[WeekIndex],21)=0,"",SUMIFS(T_PlannedOrders[EffectiveQty],T_PlannedOrders[Part Name],$A453,T_PlannedOrders[WeekIndex],21)&amp;" ("&amp;TEXT(SUMPRODUCT(MAX((T_PlannedOrders[Part Name]=$A453)*(T_PlannedOrders[WeekIndex]=21)*(T_PlannedOrders[EffectiveQty]&gt;0)*T_PlannedOrders[Order_Month])),"m月")&amp;"発注)")</f>
        <v/>
      </c>
      <c r="Y471">
        <f>IF(SUMIFS(T_PlannedOrders[EffectiveQty],T_PlannedOrders[Part Name],$A453,T_PlannedOrders[WeekIndex],22)=0,"",SUMIFS(T_PlannedOrders[EffectiveQty],T_PlannedOrders[Part Name],$A453,T_PlannedOrders[WeekIndex],22)&amp;" ("&amp;TEXT(SUMPRODUCT(MAX((T_PlannedOrders[Part Name]=$A453)*(T_PlannedOrders[WeekIndex]=22)*(T_PlannedOrders[EffectiveQty]&gt;0)*T_PlannedOrders[Order_Month])),"m月")&amp;"発注)")</f>
        <v/>
      </c>
      <c r="Z471">
        <f>IF(SUMIFS(T_PlannedOrders[EffectiveQty],T_PlannedOrders[Part Name],$A453,T_PlannedOrders[WeekIndex],23)=0,"",SUMIFS(T_PlannedOrders[EffectiveQty],T_PlannedOrders[Part Name],$A453,T_PlannedOrders[WeekIndex],23)&amp;" ("&amp;TEXT(SUMPRODUCT(MAX((T_PlannedOrders[Part Name]=$A453)*(T_PlannedOrders[WeekIndex]=23)*(T_PlannedOrders[EffectiveQty]&gt;0)*T_PlannedOrders[Order_Month])),"m月")&amp;"発注)")</f>
        <v/>
      </c>
      <c r="AA471">
        <f>IF(SUMIFS(T_PlannedOrders[EffectiveQty],T_PlannedOrders[Part Name],$A453,T_PlannedOrders[WeekIndex],24)=0,"",SUMIFS(T_PlannedOrders[EffectiveQty],T_PlannedOrders[Part Name],$A453,T_PlannedOrders[WeekIndex],24)&amp;" ("&amp;TEXT(SUMPRODUCT(MAX((T_PlannedOrders[Part Name]=$A453)*(T_PlannedOrders[WeekIndex]=24)*(T_PlannedOrders[EffectiveQty]&gt;0)*T_PlannedOrders[Order_Month])),"m月")&amp;"発注)")</f>
        <v/>
      </c>
      <c r="AB471">
        <f>IF(SUMIFS(T_PlannedOrders[EffectiveQty],T_PlannedOrders[Part Name],$A453,T_PlannedOrders[WeekIndex],25)=0,"",SUMIFS(T_PlannedOrders[EffectiveQty],T_PlannedOrders[Part Name],$A453,T_PlannedOrders[WeekIndex],25)&amp;" ("&amp;TEXT(SUMPRODUCT(MAX((T_PlannedOrders[Part Name]=$A453)*(T_PlannedOrders[WeekIndex]=25)*(T_PlannedOrders[EffectiveQty]&gt;0)*T_PlannedOrders[Order_Month])),"m月")&amp;"発注)")</f>
        <v/>
      </c>
      <c r="AC471">
        <f>IF(SUMIFS(T_PlannedOrders[EffectiveQty],T_PlannedOrders[Part Name],$A453,T_PlannedOrders[WeekIndex],26)=0,"",SUMIFS(T_PlannedOrders[EffectiveQty],T_PlannedOrders[Part Name],$A453,T_PlannedOrders[WeekIndex],26)&amp;" ("&amp;TEXT(SUMPRODUCT(MAX((T_PlannedOrders[Part Name]=$A453)*(T_PlannedOrders[WeekIndex]=26)*(T_PlannedOrders[EffectiveQty]&gt;0)*T_PlannedOrders[Order_Month])),"m月")&amp;"発注)")</f>
        <v/>
      </c>
      <c r="AD471">
        <f>IF(SUMIFS(T_PlannedOrders[EffectiveQty],T_PlannedOrders[Part Name],$A453,T_PlannedOrders[WeekIndex],27)=0,"",SUMIFS(T_PlannedOrders[EffectiveQty],T_PlannedOrders[Part Name],$A453,T_PlannedOrders[WeekIndex],27)&amp;" ("&amp;TEXT(SUMPRODUCT(MAX((T_PlannedOrders[Part Name]=$A453)*(T_PlannedOrders[WeekIndex]=27)*(T_PlannedOrders[EffectiveQty]&gt;0)*T_PlannedOrders[Order_Month])),"m月")&amp;"発注)")</f>
        <v/>
      </c>
      <c r="AE471">
        <f>IF(SUMIFS(T_PlannedOrders[EffectiveQty],T_PlannedOrders[Part Name],$A453,T_PlannedOrders[WeekIndex],28)=0,"",SUMIFS(T_PlannedOrders[EffectiveQty],T_PlannedOrders[Part Name],$A453,T_PlannedOrders[WeekIndex],28)&amp;" ("&amp;TEXT(SUMPRODUCT(MAX((T_PlannedOrders[Part Name]=$A453)*(T_PlannedOrders[WeekIndex]=28)*(T_PlannedOrders[EffectiveQty]&gt;0)*T_PlannedOrders[Order_Month])),"m月")&amp;"発注)")</f>
        <v/>
      </c>
      <c r="AF471">
        <f>IF(SUMIFS(T_PlannedOrders[EffectiveQty],T_PlannedOrders[Part Name],$A453,T_PlannedOrders[WeekIndex],29)=0,"",SUMIFS(T_PlannedOrders[EffectiveQty],T_PlannedOrders[Part Name],$A453,T_PlannedOrders[WeekIndex],29)&amp;" ("&amp;TEXT(SUMPRODUCT(MAX((T_PlannedOrders[Part Name]=$A453)*(T_PlannedOrders[WeekIndex]=29)*(T_PlannedOrders[EffectiveQty]&gt;0)*T_PlannedOrders[Order_Month])),"m月")&amp;"発注)")</f>
        <v/>
      </c>
      <c r="AG471">
        <f>IF(SUMIFS(T_PlannedOrders[EffectiveQty],T_PlannedOrders[Part Name],$A453,T_PlannedOrders[WeekIndex],30)=0,"",SUMIFS(T_PlannedOrders[EffectiveQty],T_PlannedOrders[Part Name],$A453,T_PlannedOrders[WeekIndex],30)&amp;" ("&amp;TEXT(SUMPRODUCT(MAX((T_PlannedOrders[Part Name]=$A453)*(T_PlannedOrders[WeekIndex]=30)*(T_PlannedOrders[EffectiveQty]&gt;0)*T_PlannedOrders[Order_Month])),"m月")&amp;"発注)")</f>
        <v/>
      </c>
      <c r="AH471">
        <f>IF(SUMIFS(T_PlannedOrders[EffectiveQty],T_PlannedOrders[Part Name],$A453,T_PlannedOrders[WeekIndex],31)=0,"",SUMIFS(T_PlannedOrders[EffectiveQty],T_PlannedOrders[Part Name],$A453,T_PlannedOrders[WeekIndex],31)&amp;" ("&amp;TEXT(SUMPRODUCT(MAX((T_PlannedOrders[Part Name]=$A453)*(T_PlannedOrders[WeekIndex]=31)*(T_PlannedOrders[EffectiveQty]&gt;0)*T_PlannedOrders[Order_Month])),"m月")&amp;"発注)")</f>
        <v/>
      </c>
      <c r="AI471">
        <f>IF(SUMIFS(T_PlannedOrders[EffectiveQty],T_PlannedOrders[Part Name],$A453,T_PlannedOrders[WeekIndex],32)=0,"",SUMIFS(T_PlannedOrders[EffectiveQty],T_PlannedOrders[Part Name],$A453,T_PlannedOrders[WeekIndex],32)&amp;" ("&amp;TEXT(SUMPRODUCT(MAX((T_PlannedOrders[Part Name]=$A453)*(T_PlannedOrders[WeekIndex]=32)*(T_PlannedOrders[EffectiveQty]&gt;0)*T_PlannedOrders[Order_Month])),"m月")&amp;"発注)")</f>
        <v/>
      </c>
      <c r="AJ471">
        <f>IF(SUMIFS(T_PlannedOrders[EffectiveQty],T_PlannedOrders[Part Name],$A453,T_PlannedOrders[WeekIndex],33)=0,"",SUMIFS(T_PlannedOrders[EffectiveQty],T_PlannedOrders[Part Name],$A453,T_PlannedOrders[WeekIndex],33)&amp;" ("&amp;TEXT(SUMPRODUCT(MAX((T_PlannedOrders[Part Name]=$A453)*(T_PlannedOrders[WeekIndex]=33)*(T_PlannedOrders[EffectiveQty]&gt;0)*T_PlannedOrders[Order_Month])),"m月")&amp;"発注)")</f>
        <v/>
      </c>
      <c r="AK471">
        <f>IF(SUMIFS(T_PlannedOrders[EffectiveQty],T_PlannedOrders[Part Name],$A453,T_PlannedOrders[WeekIndex],34)=0,"",SUMIFS(T_PlannedOrders[EffectiveQty],T_PlannedOrders[Part Name],$A453,T_PlannedOrders[WeekIndex],34)&amp;" ("&amp;TEXT(SUMPRODUCT(MAX((T_PlannedOrders[Part Name]=$A453)*(T_PlannedOrders[WeekIndex]=34)*(T_PlannedOrders[EffectiveQty]&gt;0)*T_PlannedOrders[Order_Month])),"m月")&amp;"発注)")</f>
        <v/>
      </c>
      <c r="AL471">
        <f>IF(SUMIFS(T_PlannedOrders[EffectiveQty],T_PlannedOrders[Part Name],$A453,T_PlannedOrders[WeekIndex],35)=0,"",SUMIFS(T_PlannedOrders[EffectiveQty],T_PlannedOrders[Part Name],$A453,T_PlannedOrders[WeekIndex],35)&amp;" ("&amp;TEXT(SUMPRODUCT(MAX((T_PlannedOrders[Part Name]=$A453)*(T_PlannedOrders[WeekIndex]=35)*(T_PlannedOrders[EffectiveQty]&gt;0)*T_PlannedOrders[Order_Month])),"m月")&amp;"発注)")</f>
        <v/>
      </c>
      <c r="AM471">
        <f>IF(SUMIFS(T_PlannedOrders[EffectiveQty],T_PlannedOrders[Part Name],$A453,T_PlannedOrders[WeekIndex],36)=0,"",SUMIFS(T_PlannedOrders[EffectiveQty],T_PlannedOrders[Part Name],$A453,T_PlannedOrders[WeekIndex],36)&amp;" ("&amp;TEXT(SUMPRODUCT(MAX((T_PlannedOrders[Part Name]=$A453)*(T_PlannedOrders[WeekIndex]=36)*(T_PlannedOrders[EffectiveQty]&gt;0)*T_PlannedOrders[Order_Month])),"m月")&amp;"発注)")</f>
        <v/>
      </c>
      <c r="AN471">
        <f>IF(SUMIFS(T_PlannedOrders[EffectiveQty],T_PlannedOrders[Part Name],$A453,T_PlannedOrders[WeekIndex],37)=0,"",SUMIFS(T_PlannedOrders[EffectiveQty],T_PlannedOrders[Part Name],$A453,T_PlannedOrders[WeekIndex],37)&amp;" ("&amp;TEXT(SUMPRODUCT(MAX((T_PlannedOrders[Part Name]=$A453)*(T_PlannedOrders[WeekIndex]=37)*(T_PlannedOrders[EffectiveQty]&gt;0)*T_PlannedOrders[Order_Month])),"m月")&amp;"発注)")</f>
        <v/>
      </c>
      <c r="AO471">
        <f>IF(SUMIFS(T_PlannedOrders[EffectiveQty],T_PlannedOrders[Part Name],$A453,T_PlannedOrders[WeekIndex],38)=0,"",SUMIFS(T_PlannedOrders[EffectiveQty],T_PlannedOrders[Part Name],$A453,T_PlannedOrders[WeekIndex],38)&amp;" ("&amp;TEXT(SUMPRODUCT(MAX((T_PlannedOrders[Part Name]=$A453)*(T_PlannedOrders[WeekIndex]=38)*(T_PlannedOrders[EffectiveQty]&gt;0)*T_PlannedOrders[Order_Month])),"m月")&amp;"発注)")</f>
        <v/>
      </c>
      <c r="AP471">
        <f>IF(SUMIFS(T_PlannedOrders[EffectiveQty],T_PlannedOrders[Part Name],$A453,T_PlannedOrders[WeekIndex],39)=0,"",SUMIFS(T_PlannedOrders[EffectiveQty],T_PlannedOrders[Part Name],$A453,T_PlannedOrders[WeekIndex],39)&amp;" ("&amp;TEXT(SUMPRODUCT(MAX((T_PlannedOrders[Part Name]=$A453)*(T_PlannedOrders[WeekIndex]=39)*(T_PlannedOrders[EffectiveQty]&gt;0)*T_PlannedOrders[Order_Month])),"m月")&amp;"発注)")</f>
        <v/>
      </c>
      <c r="AQ471">
        <f>IF(SUMIFS(T_PlannedOrders[EffectiveQty],T_PlannedOrders[Part Name],$A453,T_PlannedOrders[WeekIndex],40)=0,"",SUMIFS(T_PlannedOrders[EffectiveQty],T_PlannedOrders[Part Name],$A453,T_PlannedOrders[WeekIndex],40)&amp;" ("&amp;TEXT(SUMPRODUCT(MAX((T_PlannedOrders[Part Name]=$A453)*(T_PlannedOrders[WeekIndex]=40)*(T_PlannedOrders[EffectiveQty]&gt;0)*T_PlannedOrders[Order_Month])),"m月")&amp;"発注)")</f>
        <v/>
      </c>
      <c r="AR471">
        <f>IF(SUMIFS(T_PlannedOrders[EffectiveQty],T_PlannedOrders[Part Name],$A453,T_PlannedOrders[WeekIndex],41)=0,"",SUMIFS(T_PlannedOrders[EffectiveQty],T_PlannedOrders[Part Name],$A453,T_PlannedOrders[WeekIndex],41)&amp;" ("&amp;TEXT(SUMPRODUCT(MAX((T_PlannedOrders[Part Name]=$A453)*(T_PlannedOrders[WeekIndex]=41)*(T_PlannedOrders[EffectiveQty]&gt;0)*T_PlannedOrders[Order_Month])),"m月")&amp;"発注)")</f>
        <v/>
      </c>
      <c r="AS471">
        <f>IF(SUMIFS(T_PlannedOrders[EffectiveQty],T_PlannedOrders[Part Name],$A453,T_PlannedOrders[WeekIndex],42)=0,"",SUMIFS(T_PlannedOrders[EffectiveQty],T_PlannedOrders[Part Name],$A453,T_PlannedOrders[WeekIndex],42)&amp;" ("&amp;TEXT(SUMPRODUCT(MAX((T_PlannedOrders[Part Name]=$A453)*(T_PlannedOrders[WeekIndex]=42)*(T_PlannedOrders[EffectiveQty]&gt;0)*T_PlannedOrders[Order_Month])),"m月")&amp;"発注)")</f>
        <v/>
      </c>
      <c r="AT471">
        <f>IF(SUMIFS(T_PlannedOrders[EffectiveQty],T_PlannedOrders[Part Name],$A453,T_PlannedOrders[WeekIndex],43)=0,"",SUMIFS(T_PlannedOrders[EffectiveQty],T_PlannedOrders[Part Name],$A453,T_PlannedOrders[WeekIndex],43)&amp;" ("&amp;TEXT(SUMPRODUCT(MAX((T_PlannedOrders[Part Name]=$A453)*(T_PlannedOrders[WeekIndex]=43)*(T_PlannedOrders[EffectiveQty]&gt;0)*T_PlannedOrders[Order_Month])),"m月")&amp;"発注)")</f>
        <v/>
      </c>
      <c r="AU471">
        <f>IF(SUMIFS(T_PlannedOrders[EffectiveQty],T_PlannedOrders[Part Name],$A453,T_PlannedOrders[WeekIndex],44)=0,"",SUMIFS(T_PlannedOrders[EffectiveQty],T_PlannedOrders[Part Name],$A453,T_PlannedOrders[WeekIndex],44)&amp;" ("&amp;TEXT(SUMPRODUCT(MAX((T_PlannedOrders[Part Name]=$A453)*(T_PlannedOrders[WeekIndex]=44)*(T_PlannedOrders[EffectiveQty]&gt;0)*T_PlannedOrders[Order_Month])),"m月")&amp;"発注)")</f>
        <v/>
      </c>
      <c r="AV471">
        <f>IF(SUMIFS(T_PlannedOrders[EffectiveQty],T_PlannedOrders[Part Name],$A453,T_PlannedOrders[WeekIndex],45)=0,"",SUMIFS(T_PlannedOrders[EffectiveQty],T_PlannedOrders[Part Name],$A453,T_PlannedOrders[WeekIndex],45)&amp;" ("&amp;TEXT(SUMPRODUCT(MAX((T_PlannedOrders[Part Name]=$A453)*(T_PlannedOrders[WeekIndex]=45)*(T_PlannedOrders[EffectiveQty]&gt;0)*T_PlannedOrders[Order_Month])),"m月")&amp;"発注)")</f>
        <v/>
      </c>
      <c r="AW471">
        <f>IF(SUMIFS(T_PlannedOrders[EffectiveQty],T_PlannedOrders[Part Name],$A453,T_PlannedOrders[WeekIndex],46)=0,"",SUMIFS(T_PlannedOrders[EffectiveQty],T_PlannedOrders[Part Name],$A453,T_PlannedOrders[WeekIndex],46)&amp;" ("&amp;TEXT(SUMPRODUCT(MAX((T_PlannedOrders[Part Name]=$A453)*(T_PlannedOrders[WeekIndex]=46)*(T_PlannedOrders[EffectiveQty]&gt;0)*T_PlannedOrders[Order_Month])),"m月")&amp;"発注)")</f>
        <v/>
      </c>
      <c r="AX471">
        <f>IF(SUMIFS(T_PlannedOrders[EffectiveQty],T_PlannedOrders[Part Name],$A453,T_PlannedOrders[WeekIndex],47)=0,"",SUMIFS(T_PlannedOrders[EffectiveQty],T_PlannedOrders[Part Name],$A453,T_PlannedOrders[WeekIndex],47)&amp;" ("&amp;TEXT(SUMPRODUCT(MAX((T_PlannedOrders[Part Name]=$A453)*(T_PlannedOrders[WeekIndex]=47)*(T_PlannedOrders[EffectiveQty]&gt;0)*T_PlannedOrders[Order_Month])),"m月")&amp;"発注)")</f>
        <v/>
      </c>
      <c r="AY471">
        <f>IF(SUMIFS(T_PlannedOrders[EffectiveQty],T_PlannedOrders[Part Name],$A453,T_PlannedOrders[WeekIndex],48)=0,"",SUMIFS(T_PlannedOrders[EffectiveQty],T_PlannedOrders[Part Name],$A453,T_PlannedOrders[WeekIndex],48)&amp;" ("&amp;TEXT(SUMPRODUCT(MAX((T_PlannedOrders[Part Name]=$A453)*(T_PlannedOrders[WeekIndex]=48)*(T_PlannedOrders[EffectiveQty]&gt;0)*T_PlannedOrders[Order_Month])),"m月")&amp;"発注)")</f>
        <v/>
      </c>
      <c r="AZ471">
        <f>IF(SUMIFS(T_PlannedOrders[EffectiveQty],T_PlannedOrders[Part Name],$A453,T_PlannedOrders[WeekIndex],49)=0,"",SUMIFS(T_PlannedOrders[EffectiveQty],T_PlannedOrders[Part Name],$A453,T_PlannedOrders[WeekIndex],49)&amp;" ("&amp;TEXT(SUMPRODUCT(MAX((T_PlannedOrders[Part Name]=$A453)*(T_PlannedOrders[WeekIndex]=49)*(T_PlannedOrders[EffectiveQty]&gt;0)*T_PlannedOrders[Order_Month])),"m月")&amp;"発注)")</f>
        <v/>
      </c>
      <c r="BA471">
        <f>IF(SUMIFS(T_PlannedOrders[EffectiveQty],T_PlannedOrders[Part Name],$A453,T_PlannedOrders[WeekIndex],50)=0,"",SUMIFS(T_PlannedOrders[EffectiveQty],T_PlannedOrders[Part Name],$A453,T_PlannedOrders[WeekIndex],50)&amp;" ("&amp;TEXT(SUMPRODUCT(MAX((T_PlannedOrders[Part Name]=$A453)*(T_PlannedOrders[WeekIndex]=50)*(T_PlannedOrders[EffectiveQty]&gt;0)*T_PlannedOrders[Order_Month])),"m月")&amp;"発注)")</f>
        <v/>
      </c>
      <c r="BB471">
        <f>IF(SUMIFS(T_PlannedOrders[EffectiveQty],T_PlannedOrders[Part Name],$A453,T_PlannedOrders[WeekIndex],51)=0,"",SUMIFS(T_PlannedOrders[EffectiveQty],T_PlannedOrders[Part Name],$A453,T_PlannedOrders[WeekIndex],51)&amp;" ("&amp;TEXT(SUMPRODUCT(MAX((T_PlannedOrders[Part Name]=$A453)*(T_PlannedOrders[WeekIndex]=51)*(T_PlannedOrders[EffectiveQty]&gt;0)*T_PlannedOrders[Order_Month])),"m月")&amp;"発注)")</f>
        <v/>
      </c>
      <c r="BC471">
        <f>IF(SUMIFS(T_PlannedOrders[EffectiveQty],T_PlannedOrders[Part Name],$A453,T_PlannedOrders[WeekIndex],52)=0,"",SUMIFS(T_PlannedOrders[EffectiveQty],T_PlannedOrders[Part Name],$A453,T_PlannedOrders[WeekIndex],52)&amp;" ("&amp;TEXT(SUMPRODUCT(MAX((T_PlannedOrders[Part Name]=$A453)*(T_PlannedOrders[WeekIndex]=52)*(T_PlannedOrders[EffectiveQty]&gt;0)*T_PlannedOrders[Order_Month])),"m月")&amp;"発注)")</f>
        <v/>
      </c>
      <c r="BD471">
        <f>IF(SUMIFS(T_PlannedOrders[EffectiveQty],T_PlannedOrders[Part Name],$A453,T_PlannedOrders[WeekIndex],53)=0,"",SUMIFS(T_PlannedOrders[EffectiveQty],T_PlannedOrders[Part Name],$A453,T_PlannedOrders[WeekIndex],53)&amp;" ("&amp;TEXT(SUMPRODUCT(MAX((T_PlannedOrders[Part Name]=$A453)*(T_PlannedOrders[WeekIndex]=53)*(T_PlannedOrders[EffectiveQty]&gt;0)*T_PlannedOrders[Order_Month])),"m月")&amp;"発注)")</f>
        <v/>
      </c>
      <c r="BE471">
        <f>IF(SUMIFS(T_PlannedOrders[EffectiveQty],T_PlannedOrders[Part Name],$A453,T_PlannedOrders[WeekIndex],54)=0,"",SUMIFS(T_PlannedOrders[EffectiveQty],T_PlannedOrders[Part Name],$A453,T_PlannedOrders[WeekIndex],54)&amp;" ("&amp;TEXT(SUMPRODUCT(MAX((T_PlannedOrders[Part Name]=$A453)*(T_PlannedOrders[WeekIndex]=54)*(T_PlannedOrders[EffectiveQty]&gt;0)*T_PlannedOrders[Order_Month])),"m月")&amp;"発注)")</f>
        <v/>
      </c>
      <c r="BF471">
        <f>IF(SUMIFS(T_PlannedOrders[EffectiveQty],T_PlannedOrders[Part Name],$A453,T_PlannedOrders[WeekIndex],55)=0,"",SUMIFS(T_PlannedOrders[EffectiveQty],T_PlannedOrders[Part Name],$A453,T_PlannedOrders[WeekIndex],55)&amp;" ("&amp;TEXT(SUMPRODUCT(MAX((T_PlannedOrders[Part Name]=$A453)*(T_PlannedOrders[WeekIndex]=55)*(T_PlannedOrders[EffectiveQty]&gt;0)*T_PlannedOrders[Order_Month])),"m月")&amp;"発注)")</f>
        <v/>
      </c>
      <c r="BG471">
        <f>IF(SUMIFS(T_PlannedOrders[EffectiveQty],T_PlannedOrders[Part Name],$A453,T_PlannedOrders[WeekIndex],56)=0,"",SUMIFS(T_PlannedOrders[EffectiveQty],T_PlannedOrders[Part Name],$A453,T_PlannedOrders[WeekIndex],56)&amp;" ("&amp;TEXT(SUMPRODUCT(MAX((T_PlannedOrders[Part Name]=$A453)*(T_PlannedOrders[WeekIndex]=56)*(T_PlannedOrders[EffectiveQty]&gt;0)*T_PlannedOrders[Order_Month])),"m月")&amp;"発注)")</f>
        <v/>
      </c>
      <c r="BH471">
        <f>IF(SUMIFS(T_PlannedOrders[EffectiveQty],T_PlannedOrders[Part Name],$A453,T_PlannedOrders[WeekIndex],57)=0,"",SUMIFS(T_PlannedOrders[EffectiveQty],T_PlannedOrders[Part Name],$A453,T_PlannedOrders[WeekIndex],57)&amp;" ("&amp;TEXT(SUMPRODUCT(MAX((T_PlannedOrders[Part Name]=$A453)*(T_PlannedOrders[WeekIndex]=57)*(T_PlannedOrders[EffectiveQty]&gt;0)*T_PlannedOrders[Order_Month])),"m月")&amp;"発注)")</f>
        <v/>
      </c>
      <c r="BI471">
        <f>IF(SUMIFS(T_PlannedOrders[EffectiveQty],T_PlannedOrders[Part Name],$A453,T_PlannedOrders[WeekIndex],58)=0,"",SUMIFS(T_PlannedOrders[EffectiveQty],T_PlannedOrders[Part Name],$A453,T_PlannedOrders[WeekIndex],58)&amp;" ("&amp;TEXT(SUMPRODUCT(MAX((T_PlannedOrders[Part Name]=$A453)*(T_PlannedOrders[WeekIndex]=58)*(T_PlannedOrders[EffectiveQty]&gt;0)*T_PlannedOrders[Order_Month])),"m月")&amp;"発注)")</f>
        <v/>
      </c>
      <c r="BJ471">
        <f>IF(SUMIFS(T_PlannedOrders[EffectiveQty],T_PlannedOrders[Part Name],$A453,T_PlannedOrders[WeekIndex],59)=0,"",SUMIFS(T_PlannedOrders[EffectiveQty],T_PlannedOrders[Part Name],$A453,T_PlannedOrders[WeekIndex],59)&amp;" ("&amp;TEXT(SUMPRODUCT(MAX((T_PlannedOrders[Part Name]=$A453)*(T_PlannedOrders[WeekIndex]=59)*(T_PlannedOrders[EffectiveQty]&gt;0)*T_PlannedOrders[Order_Month])),"m月")&amp;"発注)")</f>
        <v/>
      </c>
      <c r="BK471">
        <f>IF(SUMIFS(T_PlannedOrders[EffectiveQty],T_PlannedOrders[Part Name],$A453,T_PlannedOrders[WeekIndex],60)=0,"",SUMIFS(T_PlannedOrders[EffectiveQty],T_PlannedOrders[Part Name],$A453,T_PlannedOrders[WeekIndex],60)&amp;" ("&amp;TEXT(SUMPRODUCT(MAX((T_PlannedOrders[Part Name]=$A453)*(T_PlannedOrders[WeekIndex]=60)*(T_PlannedOrders[EffectiveQty]&gt;0)*T_PlannedOrders[Order_Month])),"m月")&amp;"発注)")</f>
        <v/>
      </c>
      <c r="BL471">
        <f>IF(SUMIFS(T_PlannedOrders[EffectiveQty],T_PlannedOrders[Part Name],$A453,T_PlannedOrders[WeekIndex],61)=0,"",SUMIFS(T_PlannedOrders[EffectiveQty],T_PlannedOrders[Part Name],$A453,T_PlannedOrders[WeekIndex],61)&amp;" ("&amp;TEXT(SUMPRODUCT(MAX((T_PlannedOrders[Part Name]=$A453)*(T_PlannedOrders[WeekIndex]=61)*(T_PlannedOrders[EffectiveQty]&gt;0)*T_PlannedOrders[Order_Month])),"m月")&amp;"発注)")</f>
        <v/>
      </c>
      <c r="BM471">
        <f>IF(SUMIFS(T_PlannedOrders[EffectiveQty],T_PlannedOrders[Part Name],$A453,T_PlannedOrders[WeekIndex],62)=0,"",SUMIFS(T_PlannedOrders[EffectiveQty],T_PlannedOrders[Part Name],$A453,T_PlannedOrders[WeekIndex],62)&amp;" ("&amp;TEXT(SUMPRODUCT(MAX((T_PlannedOrders[Part Name]=$A453)*(T_PlannedOrders[WeekIndex]=62)*(T_PlannedOrders[EffectiveQty]&gt;0)*T_PlannedOrders[Order_Month])),"m月")&amp;"発注)")</f>
        <v/>
      </c>
      <c r="BN471">
        <f>IF(SUMIFS(T_PlannedOrders[EffectiveQty],T_PlannedOrders[Part Name],$A453,T_PlannedOrders[WeekIndex],63)=0,"",SUMIFS(T_PlannedOrders[EffectiveQty],T_PlannedOrders[Part Name],$A453,T_PlannedOrders[WeekIndex],63)&amp;" ("&amp;TEXT(SUMPRODUCT(MAX((T_PlannedOrders[Part Name]=$A453)*(T_PlannedOrders[WeekIndex]=63)*(T_PlannedOrders[EffectiveQty]&gt;0)*T_PlannedOrders[Order_Month])),"m月")&amp;"発注)")</f>
        <v/>
      </c>
      <c r="BO471">
        <f>IF(SUMIFS(T_PlannedOrders[EffectiveQty],T_PlannedOrders[Part Name],$A453,T_PlannedOrders[WeekIndex],64)=0,"",SUMIFS(T_PlannedOrders[EffectiveQty],T_PlannedOrders[Part Name],$A453,T_PlannedOrders[WeekIndex],64)&amp;" ("&amp;TEXT(SUMPRODUCT(MAX((T_PlannedOrders[Part Name]=$A453)*(T_PlannedOrders[WeekIndex]=64)*(T_PlannedOrders[EffectiveQty]&gt;0)*T_PlannedOrders[Order_Month])),"m月")&amp;"発注)")</f>
        <v/>
      </c>
      <c r="BP471">
        <f>IF(SUMIFS(T_PlannedOrders[EffectiveQty],T_PlannedOrders[Part Name],$A453,T_PlannedOrders[WeekIndex],65)=0,"",SUMIFS(T_PlannedOrders[EffectiveQty],T_PlannedOrders[Part Name],$A453,T_PlannedOrders[WeekIndex],65)&amp;" ("&amp;TEXT(SUMPRODUCT(MAX((T_PlannedOrders[Part Name]=$A453)*(T_PlannedOrders[WeekIndex]=65)*(T_PlannedOrders[EffectiveQty]&gt;0)*T_PlannedOrders[Order_Month])),"m月")&amp;"発注)")</f>
        <v/>
      </c>
      <c r="BQ471">
        <f>IF(SUMIFS(T_PlannedOrders[EffectiveQty],T_PlannedOrders[Part Name],$A453,T_PlannedOrders[WeekIndex],66)=0,"",SUMIFS(T_PlannedOrders[EffectiveQty],T_PlannedOrders[Part Name],$A453,T_PlannedOrders[WeekIndex],66)&amp;" ("&amp;TEXT(SUMPRODUCT(MAX((T_PlannedOrders[Part Name]=$A453)*(T_PlannedOrders[WeekIndex]=66)*(T_PlannedOrders[EffectiveQty]&gt;0)*T_PlannedOrders[Order_Month])),"m月")&amp;"発注)")</f>
        <v/>
      </c>
      <c r="BR471">
        <f>IF(SUMIFS(T_PlannedOrders[EffectiveQty],T_PlannedOrders[Part Name],$A453,T_PlannedOrders[WeekIndex],67)=0,"",SUMIFS(T_PlannedOrders[EffectiveQty],T_PlannedOrders[Part Name],$A453,T_PlannedOrders[WeekIndex],67)&amp;" ("&amp;TEXT(SUMPRODUCT(MAX((T_PlannedOrders[Part Name]=$A453)*(T_PlannedOrders[WeekIndex]=67)*(T_PlannedOrders[EffectiveQty]&gt;0)*T_PlannedOrders[Order_Month])),"m月")&amp;"発注)")</f>
        <v/>
      </c>
      <c r="BS471">
        <f>IF(SUMIFS(T_PlannedOrders[EffectiveQty],T_PlannedOrders[Part Name],$A453,T_PlannedOrders[WeekIndex],68)=0,"",SUMIFS(T_PlannedOrders[EffectiveQty],T_PlannedOrders[Part Name],$A453,T_PlannedOrders[WeekIndex],68)&amp;" ("&amp;TEXT(SUMPRODUCT(MAX((T_PlannedOrders[Part Name]=$A453)*(T_PlannedOrders[WeekIndex]=68)*(T_PlannedOrders[EffectiveQty]&gt;0)*T_PlannedOrders[Order_Month])),"m月")&amp;"発注)")</f>
        <v/>
      </c>
      <c r="BT471">
        <f>IF(SUMIFS(T_PlannedOrders[EffectiveQty],T_PlannedOrders[Part Name],$A453,T_PlannedOrders[WeekIndex],69)=0,"",SUMIFS(T_PlannedOrders[EffectiveQty],T_PlannedOrders[Part Name],$A453,T_PlannedOrders[WeekIndex],69)&amp;" ("&amp;TEXT(SUMPRODUCT(MAX((T_PlannedOrders[Part Name]=$A453)*(T_PlannedOrders[WeekIndex]=69)*(T_PlannedOrders[EffectiveQty]&gt;0)*T_PlannedOrders[Order_Month])),"m月")&amp;"発注)")</f>
        <v/>
      </c>
      <c r="BU471">
        <f>IF(SUMIFS(T_PlannedOrders[EffectiveQty],T_PlannedOrders[Part Name],$A453,T_PlannedOrders[WeekIndex],70)=0,"",SUMIFS(T_PlannedOrders[EffectiveQty],T_PlannedOrders[Part Name],$A453,T_PlannedOrders[WeekIndex],70)&amp;" ("&amp;TEXT(SUMPRODUCT(MAX((T_PlannedOrders[Part Name]=$A453)*(T_PlannedOrders[WeekIndex]=70)*(T_PlannedOrders[EffectiveQty]&gt;0)*T_PlannedOrders[Order_Month])),"m月")&amp;"発注)")</f>
        <v/>
      </c>
      <c r="BV471">
        <f>IF(SUMIFS(T_PlannedOrders[EffectiveQty],T_PlannedOrders[Part Name],$A453,T_PlannedOrders[WeekIndex],71)=0,"",SUMIFS(T_PlannedOrders[EffectiveQty],T_PlannedOrders[Part Name],$A453,T_PlannedOrders[WeekIndex],71)&amp;" ("&amp;TEXT(SUMPRODUCT(MAX((T_PlannedOrders[Part Name]=$A453)*(T_PlannedOrders[WeekIndex]=71)*(T_PlannedOrders[EffectiveQty]&gt;0)*T_PlannedOrders[Order_Month])),"m月")&amp;"発注)")</f>
        <v/>
      </c>
      <c r="BW471">
        <f>IF(SUMIFS(T_PlannedOrders[EffectiveQty],T_PlannedOrders[Part Name],$A453,T_PlannedOrders[WeekIndex],72)=0,"",SUMIFS(T_PlannedOrders[EffectiveQty],T_PlannedOrders[Part Name],$A453,T_PlannedOrders[WeekIndex],72)&amp;" ("&amp;TEXT(SUMPRODUCT(MAX((T_PlannedOrders[Part Name]=$A453)*(T_PlannedOrders[WeekIndex]=72)*(T_PlannedOrders[EffectiveQty]&gt;0)*T_PlannedOrders[Order_Month])),"m月")&amp;"発注)")</f>
        <v/>
      </c>
      <c r="BX471">
        <f>IF(SUMIFS(T_PlannedOrders[EffectiveQty],T_PlannedOrders[Part Name],$A453,T_PlannedOrders[WeekIndex],73)=0,"",SUMIFS(T_PlannedOrders[EffectiveQty],T_PlannedOrders[Part Name],$A453,T_PlannedOrders[WeekIndex],73)&amp;" ("&amp;TEXT(SUMPRODUCT(MAX((T_PlannedOrders[Part Name]=$A453)*(T_PlannedOrders[WeekIndex]=73)*(T_PlannedOrders[EffectiveQty]&gt;0)*T_PlannedOrders[Order_Month])),"m月")&amp;"発注)")</f>
        <v/>
      </c>
      <c r="BY471">
        <f>IF(SUMIFS(T_PlannedOrders[EffectiveQty],T_PlannedOrders[Part Name],$A453,T_PlannedOrders[WeekIndex],74)=0,"",SUMIFS(T_PlannedOrders[EffectiveQty],T_PlannedOrders[Part Name],$A453,T_PlannedOrders[WeekIndex],74)&amp;" ("&amp;TEXT(SUMPRODUCT(MAX((T_PlannedOrders[Part Name]=$A453)*(T_PlannedOrders[WeekIndex]=74)*(T_PlannedOrders[EffectiveQty]&gt;0)*T_PlannedOrders[Order_Month])),"m月")&amp;"発注)")</f>
        <v/>
      </c>
      <c r="BZ471">
        <f>IF(SUMIFS(T_PlannedOrders[EffectiveQty],T_PlannedOrders[Part Name],$A453,T_PlannedOrders[WeekIndex],75)=0,"",SUMIFS(T_PlannedOrders[EffectiveQty],T_PlannedOrders[Part Name],$A453,T_PlannedOrders[WeekIndex],75)&amp;" ("&amp;TEXT(SUMPRODUCT(MAX((T_PlannedOrders[Part Name]=$A453)*(T_PlannedOrders[WeekIndex]=75)*(T_PlannedOrders[EffectiveQty]&gt;0)*T_PlannedOrders[Order_Month])),"m月")&amp;"発注)")</f>
        <v/>
      </c>
      <c r="CA471">
        <f>IF(SUMIFS(T_PlannedOrders[EffectiveQty],T_PlannedOrders[Part Name],$A453,T_PlannedOrders[WeekIndex],76)=0,"",SUMIFS(T_PlannedOrders[EffectiveQty],T_PlannedOrders[Part Name],$A453,T_PlannedOrders[WeekIndex],76)&amp;" ("&amp;TEXT(SUMPRODUCT(MAX((T_PlannedOrders[Part Name]=$A453)*(T_PlannedOrders[WeekIndex]=76)*(T_PlannedOrders[EffectiveQty]&gt;0)*T_PlannedOrders[Order_Month])),"m月")&amp;"発注)")</f>
        <v/>
      </c>
      <c r="CB471">
        <f>IF(SUMIFS(T_PlannedOrders[EffectiveQty],T_PlannedOrders[Part Name],$A453,T_PlannedOrders[WeekIndex],77)=0,"",SUMIFS(T_PlannedOrders[EffectiveQty],T_PlannedOrders[Part Name],$A453,T_PlannedOrders[WeekIndex],77)&amp;" ("&amp;TEXT(SUMPRODUCT(MAX((T_PlannedOrders[Part Name]=$A453)*(T_PlannedOrders[WeekIndex]=77)*(T_PlannedOrders[EffectiveQty]&gt;0)*T_PlannedOrders[Order_Month])),"m月")&amp;"発注)")</f>
        <v/>
      </c>
      <c r="CC471">
        <f>IF(SUMIFS(T_PlannedOrders[EffectiveQty],T_PlannedOrders[Part Name],$A453,T_PlannedOrders[WeekIndex],78)=0,"",SUMIFS(T_PlannedOrders[EffectiveQty],T_PlannedOrders[Part Name],$A453,T_PlannedOrders[WeekIndex],78)&amp;" ("&amp;TEXT(SUMPRODUCT(MAX((T_PlannedOrders[Part Name]=$A453)*(T_PlannedOrders[WeekIndex]=78)*(T_PlannedOrders[EffectiveQty]&gt;0)*T_PlannedOrders[Order_Month])),"m月")&amp;"発注)")</f>
        <v/>
      </c>
      <c r="CD471">
        <f>IF(SUMIFS(T_PlannedOrders[EffectiveQty],T_PlannedOrders[Part Name],$A453,T_PlannedOrders[WeekIndex],79)=0,"",SUMIFS(T_PlannedOrders[EffectiveQty],T_PlannedOrders[Part Name],$A453,T_PlannedOrders[WeekIndex],79)&amp;" ("&amp;TEXT(SUMPRODUCT(MAX((T_PlannedOrders[Part Name]=$A453)*(T_PlannedOrders[WeekIndex]=79)*(T_PlannedOrders[EffectiveQty]&gt;0)*T_PlannedOrders[Order_Month])),"m月")&amp;"発注)")</f>
        <v/>
      </c>
      <c r="CE471">
        <f>IF(SUMIFS(T_PlannedOrders[EffectiveQty],T_PlannedOrders[Part Name],$A453,T_PlannedOrders[WeekIndex],80)=0,"",SUMIFS(T_PlannedOrders[EffectiveQty],T_PlannedOrders[Part Name],$A453,T_PlannedOrders[WeekIndex],80)&amp;" ("&amp;TEXT(SUMPRODUCT(MAX((T_PlannedOrders[Part Name]=$A453)*(T_PlannedOrders[WeekIndex]=80)*(T_PlannedOrders[EffectiveQty]&gt;0)*T_PlannedOrders[Order_Month])),"m月")&amp;"発注)")</f>
        <v/>
      </c>
      <c r="CF471">
        <f>IF(SUMIFS(T_PlannedOrders[EffectiveQty],T_PlannedOrders[Part Name],$A453,T_PlannedOrders[WeekIndex],81)=0,"",SUMIFS(T_PlannedOrders[EffectiveQty],T_PlannedOrders[Part Name],$A453,T_PlannedOrders[WeekIndex],81)&amp;" ("&amp;TEXT(SUMPRODUCT(MAX((T_PlannedOrders[Part Name]=$A453)*(T_PlannedOrders[WeekIndex]=81)*(T_PlannedOrders[EffectiveQty]&gt;0)*T_PlannedOrders[Order_Month])),"m月")&amp;"発注)")</f>
        <v/>
      </c>
      <c r="CG471">
        <f>IF(SUMIFS(T_PlannedOrders[EffectiveQty],T_PlannedOrders[Part Name],$A453,T_PlannedOrders[WeekIndex],82)=0,"",SUMIFS(T_PlannedOrders[EffectiveQty],T_PlannedOrders[Part Name],$A453,T_PlannedOrders[WeekIndex],82)&amp;" ("&amp;TEXT(SUMPRODUCT(MAX((T_PlannedOrders[Part Name]=$A453)*(T_PlannedOrders[WeekIndex]=82)*(T_PlannedOrders[EffectiveQty]&gt;0)*T_PlannedOrders[Order_Month])),"m月")&amp;"発注)")</f>
        <v/>
      </c>
      <c r="CH471">
        <f>IF(SUMIFS(T_PlannedOrders[EffectiveQty],T_PlannedOrders[Part Name],$A453,T_PlannedOrders[WeekIndex],83)=0,"",SUMIFS(T_PlannedOrders[EffectiveQty],T_PlannedOrders[Part Name],$A453,T_PlannedOrders[WeekIndex],83)&amp;" ("&amp;TEXT(SUMPRODUCT(MAX((T_PlannedOrders[Part Name]=$A453)*(T_PlannedOrders[WeekIndex]=83)*(T_PlannedOrders[EffectiveQty]&gt;0)*T_PlannedOrders[Order_Month])),"m月")&amp;"発注)")</f>
        <v/>
      </c>
      <c r="CI471">
        <f>IF(SUMIFS(T_PlannedOrders[EffectiveQty],T_PlannedOrders[Part Name],$A453,T_PlannedOrders[WeekIndex],84)=0,"",SUMIFS(T_PlannedOrders[EffectiveQty],T_PlannedOrders[Part Name],$A453,T_PlannedOrders[WeekIndex],84)&amp;" ("&amp;TEXT(SUMPRODUCT(MAX((T_PlannedOrders[Part Name]=$A453)*(T_PlannedOrders[WeekIndex]=84)*(T_PlannedOrders[EffectiveQty]&gt;0)*T_PlannedOrders[Order_Month])),"m月")&amp;"発注)")</f>
        <v/>
      </c>
      <c r="CJ471">
        <f>IF(SUMIFS(T_PlannedOrders[EffectiveQty],T_PlannedOrders[Part Name],$A453,T_PlannedOrders[WeekIndex],85)=0,"",SUMIFS(T_PlannedOrders[EffectiveQty],T_PlannedOrders[Part Name],$A453,T_PlannedOrders[WeekIndex],85)&amp;" ("&amp;TEXT(SUMPRODUCT(MAX((T_PlannedOrders[Part Name]=$A453)*(T_PlannedOrders[WeekIndex]=85)*(T_PlannedOrders[EffectiveQty]&gt;0)*T_PlannedOrders[Order_Month])),"m月")&amp;"発注)")</f>
        <v/>
      </c>
      <c r="CK471">
        <f>IF(SUMIFS(T_PlannedOrders[EffectiveQty],T_PlannedOrders[Part Name],$A453,T_PlannedOrders[WeekIndex],86)=0,"",SUMIFS(T_PlannedOrders[EffectiveQty],T_PlannedOrders[Part Name],$A453,T_PlannedOrders[WeekIndex],86)&amp;" ("&amp;TEXT(SUMPRODUCT(MAX((T_PlannedOrders[Part Name]=$A453)*(T_PlannedOrders[WeekIndex]=86)*(T_PlannedOrders[EffectiveQty]&gt;0)*T_PlannedOrders[Order_Month])),"m月")&amp;"発注)")</f>
        <v/>
      </c>
      <c r="CL471">
        <f>IF(SUMIFS(T_PlannedOrders[EffectiveQty],T_PlannedOrders[Part Name],$A453,T_PlannedOrders[WeekIndex],87)=0,"",SUMIFS(T_PlannedOrders[EffectiveQty],T_PlannedOrders[Part Name],$A453,T_PlannedOrders[WeekIndex],87)&amp;" ("&amp;TEXT(SUMPRODUCT(MAX((T_PlannedOrders[Part Name]=$A453)*(T_PlannedOrders[WeekIndex]=87)*(T_PlannedOrders[EffectiveQty]&gt;0)*T_PlannedOrders[Order_Month])),"m月")&amp;"発注)")</f>
        <v/>
      </c>
      <c r="CM471">
        <f>IF(SUMIFS(T_PlannedOrders[EffectiveQty],T_PlannedOrders[Part Name],$A453,T_PlannedOrders[WeekIndex],88)=0,"",SUMIFS(T_PlannedOrders[EffectiveQty],T_PlannedOrders[Part Name],$A453,T_PlannedOrders[WeekIndex],88)&amp;" ("&amp;TEXT(SUMPRODUCT(MAX((T_PlannedOrders[Part Name]=$A453)*(T_PlannedOrders[WeekIndex]=88)*(T_PlannedOrders[EffectiveQty]&gt;0)*T_PlannedOrders[Order_Month])),"m月")&amp;"発注)")</f>
        <v/>
      </c>
      <c r="CN471">
        <f>IF(SUMIFS(T_PlannedOrders[EffectiveQty],T_PlannedOrders[Part Name],$A453,T_PlannedOrders[WeekIndex],89)=0,"",SUMIFS(T_PlannedOrders[EffectiveQty],T_PlannedOrders[Part Name],$A453,T_PlannedOrders[WeekIndex],89)&amp;" ("&amp;TEXT(SUMPRODUCT(MAX((T_PlannedOrders[Part Name]=$A453)*(T_PlannedOrders[WeekIndex]=89)*(T_PlannedOrders[EffectiveQty]&gt;0)*T_PlannedOrders[Order_Month])),"m月")&amp;"発注)")</f>
        <v/>
      </c>
      <c r="CO471">
        <f>IF(SUMIFS(T_PlannedOrders[EffectiveQty],T_PlannedOrders[Part Name],$A453,T_PlannedOrders[WeekIndex],90)=0,"",SUMIFS(T_PlannedOrders[EffectiveQty],T_PlannedOrders[Part Name],$A453,T_PlannedOrders[WeekIndex],90)&amp;" ("&amp;TEXT(SUMPRODUCT(MAX((T_PlannedOrders[Part Name]=$A453)*(T_PlannedOrders[WeekIndex]=90)*(T_PlannedOrders[EffectiveQty]&gt;0)*T_PlannedOrders[Order_Month])),"m月")&amp;"発注)")</f>
        <v/>
      </c>
      <c r="CP471">
        <f>IF(SUMIFS(T_PlannedOrders[EffectiveQty],T_PlannedOrders[Part Name],$A453,T_PlannedOrders[WeekIndex],91)=0,"",SUMIFS(T_PlannedOrders[EffectiveQty],T_PlannedOrders[Part Name],$A453,T_PlannedOrders[WeekIndex],91)&amp;" ("&amp;TEXT(SUMPRODUCT(MAX((T_PlannedOrders[Part Name]=$A453)*(T_PlannedOrders[WeekIndex]=91)*(T_PlannedOrders[EffectiveQty]&gt;0)*T_PlannedOrders[Order_Month])),"m月")&amp;"発注)")</f>
        <v/>
      </c>
      <c r="CQ471">
        <f>IF(SUMIFS(T_PlannedOrders[EffectiveQty],T_PlannedOrders[Part Name],$A453,T_PlannedOrders[WeekIndex],92)=0,"",SUMIFS(T_PlannedOrders[EffectiveQty],T_PlannedOrders[Part Name],$A453,T_PlannedOrders[WeekIndex],92)&amp;" ("&amp;TEXT(SUMPRODUCT(MAX((T_PlannedOrders[Part Name]=$A453)*(T_PlannedOrders[WeekIndex]=92)*(T_PlannedOrders[EffectiveQty]&gt;0)*T_PlannedOrders[Order_Month])),"m月")&amp;"発注)")</f>
        <v/>
      </c>
      <c r="CR471">
        <f>IF(SUMIFS(T_PlannedOrders[EffectiveQty],T_PlannedOrders[Part Name],$A453,T_PlannedOrders[WeekIndex],93)=0,"",SUMIFS(T_PlannedOrders[EffectiveQty],T_PlannedOrders[Part Name],$A453,T_PlannedOrders[WeekIndex],93)&amp;" ("&amp;TEXT(SUMPRODUCT(MAX((T_PlannedOrders[Part Name]=$A453)*(T_PlannedOrders[WeekIndex]=93)*(T_PlannedOrders[EffectiveQty]&gt;0)*T_PlannedOrders[Order_Month])),"m月")&amp;"発注)")</f>
        <v/>
      </c>
      <c r="CS471">
        <f>IF(SUMIFS(T_PlannedOrders[EffectiveQty],T_PlannedOrders[Part Name],$A453,T_PlannedOrders[WeekIndex],94)=0,"",SUMIFS(T_PlannedOrders[EffectiveQty],T_PlannedOrders[Part Name],$A453,T_PlannedOrders[WeekIndex],94)&amp;" ("&amp;TEXT(SUMPRODUCT(MAX((T_PlannedOrders[Part Name]=$A453)*(T_PlannedOrders[WeekIndex]=94)*(T_PlannedOrders[EffectiveQty]&gt;0)*T_PlannedOrders[Order_Month])),"m月")&amp;"発注)")</f>
        <v/>
      </c>
      <c r="CT471">
        <f>IF(SUMIFS(T_PlannedOrders[EffectiveQty],T_PlannedOrders[Part Name],$A453,T_PlannedOrders[WeekIndex],95)=0,"",SUMIFS(T_PlannedOrders[EffectiveQty],T_PlannedOrders[Part Name],$A453,T_PlannedOrders[WeekIndex],95)&amp;" ("&amp;TEXT(SUMPRODUCT(MAX((T_PlannedOrders[Part Name]=$A453)*(T_PlannedOrders[WeekIndex]=95)*(T_PlannedOrders[EffectiveQty]&gt;0)*T_PlannedOrders[Order_Month])),"m月")&amp;"発注)")</f>
        <v/>
      </c>
      <c r="CU471">
        <f>IF(SUMIFS(T_PlannedOrders[EffectiveQty],T_PlannedOrders[Part Name],$A453,T_PlannedOrders[WeekIndex],96)=0,"",SUMIFS(T_PlannedOrders[EffectiveQty],T_PlannedOrders[Part Name],$A453,T_PlannedOrders[WeekIndex],96)&amp;" ("&amp;TEXT(SUMPRODUCT(MAX((T_PlannedOrders[Part Name]=$A453)*(T_PlannedOrders[WeekIndex]=96)*(T_PlannedOrders[EffectiveQty]&gt;0)*T_PlannedOrders[Order_Month])),"m月")&amp;"発注)")</f>
        <v/>
      </c>
      <c r="CV471">
        <f>IF(SUMIFS(T_PlannedOrders[EffectiveQty],T_PlannedOrders[Part Name],$A453,T_PlannedOrders[WeekIndex],97)=0,"",SUMIFS(T_PlannedOrders[EffectiveQty],T_PlannedOrders[Part Name],$A453,T_PlannedOrders[WeekIndex],97)&amp;" ("&amp;TEXT(SUMPRODUCT(MAX((T_PlannedOrders[Part Name]=$A453)*(T_PlannedOrders[WeekIndex]=97)*(T_PlannedOrders[EffectiveQty]&gt;0)*T_PlannedOrders[Order_Month])),"m月")&amp;"発注)")</f>
        <v/>
      </c>
      <c r="CW471">
        <f>IF(SUMIFS(T_PlannedOrders[EffectiveQty],T_PlannedOrders[Part Name],$A453,T_PlannedOrders[WeekIndex],98)=0,"",SUMIFS(T_PlannedOrders[EffectiveQty],T_PlannedOrders[Part Name],$A453,T_PlannedOrders[WeekIndex],98)&amp;" ("&amp;TEXT(SUMPRODUCT(MAX((T_PlannedOrders[Part Name]=$A453)*(T_PlannedOrders[WeekIndex]=98)*(T_PlannedOrders[EffectiveQty]&gt;0)*T_PlannedOrders[Order_Month])),"m月")&amp;"発注)")</f>
        <v/>
      </c>
      <c r="CX471">
        <f>IF(SUMIFS(T_PlannedOrders[EffectiveQty],T_PlannedOrders[Part Name],$A453,T_PlannedOrders[WeekIndex],99)=0,"",SUMIFS(T_PlannedOrders[EffectiveQty],T_PlannedOrders[Part Name],$A453,T_PlannedOrders[WeekIndex],99)&amp;" ("&amp;TEXT(SUMPRODUCT(MAX((T_PlannedOrders[Part Name]=$A453)*(T_PlannedOrders[WeekIndex]=99)*(T_PlannedOrders[EffectiveQty]&gt;0)*T_PlannedOrders[Order_Month])),"m月")&amp;"発注)")</f>
        <v/>
      </c>
      <c r="CY471">
        <f>IF(SUMIFS(T_PlannedOrders[EffectiveQty],T_PlannedOrders[Part Name],$A453,T_PlannedOrders[WeekIndex],100)=0,"",SUMIFS(T_PlannedOrders[EffectiveQty],T_PlannedOrders[Part Name],$A453,T_PlannedOrders[WeekIndex],100)&amp;" ("&amp;TEXT(SUMPRODUCT(MAX((T_PlannedOrders[Part Name]=$A453)*(T_PlannedOrders[WeekIndex]=100)*(T_PlannedOrders[EffectiveQty]&gt;0)*T_PlannedOrders[Order_Month])),"m月")&amp;"発注)")</f>
        <v/>
      </c>
      <c r="CZ471">
        <f>IF(SUMIFS(T_PlannedOrders[EffectiveQty],T_PlannedOrders[Part Name],$A453,T_PlannedOrders[WeekIndex],101)=0,"",SUMIFS(T_PlannedOrders[EffectiveQty],T_PlannedOrders[Part Name],$A453,T_PlannedOrders[WeekIndex],101)&amp;" ("&amp;TEXT(SUMPRODUCT(MAX((T_PlannedOrders[Part Name]=$A453)*(T_PlannedOrders[WeekIndex]=101)*(T_PlannedOrders[EffectiveQty]&gt;0)*T_PlannedOrders[Order_Month])),"m月")&amp;"発注)")</f>
        <v/>
      </c>
      <c r="DA471">
        <f>IF(SUMIFS(T_PlannedOrders[EffectiveQty],T_PlannedOrders[Part Name],$A453,T_PlannedOrders[WeekIndex],102)=0,"",SUMIFS(T_PlannedOrders[EffectiveQty],T_PlannedOrders[Part Name],$A453,T_PlannedOrders[WeekIndex],102)&amp;" ("&amp;TEXT(SUMPRODUCT(MAX((T_PlannedOrders[Part Name]=$A453)*(T_PlannedOrders[WeekIndex]=102)*(T_PlannedOrders[EffectiveQty]&gt;0)*T_PlannedOrders[Order_Month])),"m月")&amp;"発注)")</f>
        <v/>
      </c>
      <c r="DB471">
        <f>IF(SUMIFS(T_PlannedOrders[EffectiveQty],T_PlannedOrders[Part Name],$A453,T_PlannedOrders[WeekIndex],103)=0,"",SUMIFS(T_PlannedOrders[EffectiveQty],T_PlannedOrders[Part Name],$A453,T_PlannedOrders[WeekIndex],103)&amp;" ("&amp;TEXT(SUMPRODUCT(MAX((T_PlannedOrders[Part Name]=$A453)*(T_PlannedOrders[WeekIndex]=103)*(T_PlannedOrders[EffectiveQty]&gt;0)*T_PlannedOrders[Order_Month])),"m月")&amp;"発注)")</f>
        <v/>
      </c>
      <c r="DC471">
        <f>IF(SUMIFS(T_PlannedOrders[EffectiveQty],T_PlannedOrders[Part Name],$A453,T_PlannedOrders[WeekIndex],104)=0,"",SUMIFS(T_PlannedOrders[EffectiveQty],T_PlannedOrders[Part Name],$A453,T_PlannedOrders[WeekIndex],104)&amp;" ("&amp;TEXT(SUMPRODUCT(MAX((T_PlannedOrders[Part Name]=$A453)*(T_PlannedOrders[WeekIndex]=104)*(T_PlannedOrders[EffectiveQty]&gt;0)*T_PlannedOrders[Order_Month])),"m月")&amp;"発注)")</f>
        <v/>
      </c>
    </row>
    <row r="472">
      <c r="B472" s="9" t="inlineStr">
        <is>
          <t>合計在庫(週末時点,kg)</t>
        </is>
      </c>
      <c r="D472">
        <f>'Grid_Stock'!B32</f>
        <v/>
      </c>
      <c r="E472">
        <f>'Grid_Stock'!C32</f>
        <v/>
      </c>
      <c r="F472">
        <f>'Grid_Stock'!D32</f>
        <v/>
      </c>
      <c r="G472">
        <f>'Grid_Stock'!E32</f>
        <v/>
      </c>
      <c r="H472">
        <f>'Grid_Stock'!F32</f>
        <v/>
      </c>
      <c r="I472">
        <f>'Grid_Stock'!G32</f>
        <v/>
      </c>
      <c r="J472">
        <f>'Grid_Stock'!H32</f>
        <v/>
      </c>
      <c r="K472">
        <f>'Grid_Stock'!I32</f>
        <v/>
      </c>
      <c r="L472">
        <f>'Grid_Stock'!J32</f>
        <v/>
      </c>
      <c r="M472">
        <f>'Grid_Stock'!K32</f>
        <v/>
      </c>
      <c r="N472">
        <f>'Grid_Stock'!L32</f>
        <v/>
      </c>
      <c r="O472">
        <f>'Grid_Stock'!M32</f>
        <v/>
      </c>
      <c r="P472">
        <f>'Grid_Stock'!N32</f>
        <v/>
      </c>
      <c r="Q472">
        <f>'Grid_Stock'!O32</f>
        <v/>
      </c>
      <c r="R472">
        <f>'Grid_Stock'!P32</f>
        <v/>
      </c>
      <c r="S472">
        <f>'Grid_Stock'!Q32</f>
        <v/>
      </c>
      <c r="T472">
        <f>'Grid_Stock'!R32</f>
        <v/>
      </c>
      <c r="U472">
        <f>'Grid_Stock'!S32</f>
        <v/>
      </c>
      <c r="V472">
        <f>'Grid_Stock'!T32</f>
        <v/>
      </c>
      <c r="W472">
        <f>'Grid_Stock'!U32</f>
        <v/>
      </c>
      <c r="X472">
        <f>'Grid_Stock'!V32</f>
        <v/>
      </c>
      <c r="Y472">
        <f>'Grid_Stock'!W32</f>
        <v/>
      </c>
      <c r="Z472">
        <f>'Grid_Stock'!X32</f>
        <v/>
      </c>
      <c r="AA472">
        <f>'Grid_Stock'!Y32</f>
        <v/>
      </c>
      <c r="AB472">
        <f>'Grid_Stock'!Z32</f>
        <v/>
      </c>
      <c r="AC472">
        <f>'Grid_Stock'!AA32</f>
        <v/>
      </c>
      <c r="AD472">
        <f>'Grid_Stock'!AB32</f>
        <v/>
      </c>
      <c r="AE472">
        <f>'Grid_Stock'!AC32</f>
        <v/>
      </c>
      <c r="AF472">
        <f>'Grid_Stock'!AD32</f>
        <v/>
      </c>
      <c r="AG472">
        <f>'Grid_Stock'!AE32</f>
        <v/>
      </c>
      <c r="AH472">
        <f>'Grid_Stock'!AF32</f>
        <v/>
      </c>
      <c r="AI472">
        <f>'Grid_Stock'!AG32</f>
        <v/>
      </c>
      <c r="AJ472">
        <f>'Grid_Stock'!AH32</f>
        <v/>
      </c>
      <c r="AK472">
        <f>'Grid_Stock'!AI32</f>
        <v/>
      </c>
      <c r="AL472">
        <f>'Grid_Stock'!AJ32</f>
        <v/>
      </c>
      <c r="AM472">
        <f>'Grid_Stock'!AK32</f>
        <v/>
      </c>
      <c r="AN472">
        <f>'Grid_Stock'!AL32</f>
        <v/>
      </c>
      <c r="AO472">
        <f>'Grid_Stock'!AM32</f>
        <v/>
      </c>
      <c r="AP472">
        <f>'Grid_Stock'!AN32</f>
        <v/>
      </c>
      <c r="AQ472">
        <f>'Grid_Stock'!AO32</f>
        <v/>
      </c>
      <c r="AR472">
        <f>'Grid_Stock'!AP32</f>
        <v/>
      </c>
      <c r="AS472">
        <f>'Grid_Stock'!AQ32</f>
        <v/>
      </c>
      <c r="AT472">
        <f>'Grid_Stock'!AR32</f>
        <v/>
      </c>
      <c r="AU472">
        <f>'Grid_Stock'!AS32</f>
        <v/>
      </c>
      <c r="AV472">
        <f>'Grid_Stock'!AT32</f>
        <v/>
      </c>
      <c r="AW472">
        <f>'Grid_Stock'!AU32</f>
        <v/>
      </c>
      <c r="AX472">
        <f>'Grid_Stock'!AV32</f>
        <v/>
      </c>
      <c r="AY472">
        <f>'Grid_Stock'!AW32</f>
        <v/>
      </c>
      <c r="AZ472">
        <f>'Grid_Stock'!AX32</f>
        <v/>
      </c>
      <c r="BA472">
        <f>'Grid_Stock'!AY32</f>
        <v/>
      </c>
      <c r="BB472">
        <f>'Grid_Stock'!AZ32</f>
        <v/>
      </c>
      <c r="BC472">
        <f>'Grid_Stock'!BA32</f>
        <v/>
      </c>
      <c r="BD472">
        <f>'Grid_Stock'!BB32</f>
        <v/>
      </c>
      <c r="BE472">
        <f>'Grid_Stock'!BC32</f>
        <v/>
      </c>
      <c r="BF472">
        <f>'Grid_Stock'!BD32</f>
        <v/>
      </c>
      <c r="BG472">
        <f>'Grid_Stock'!BE32</f>
        <v/>
      </c>
      <c r="BH472">
        <f>'Grid_Stock'!BF32</f>
        <v/>
      </c>
      <c r="BI472">
        <f>'Grid_Stock'!BG32</f>
        <v/>
      </c>
      <c r="BJ472">
        <f>'Grid_Stock'!BH32</f>
        <v/>
      </c>
      <c r="BK472">
        <f>'Grid_Stock'!BI32</f>
        <v/>
      </c>
      <c r="BL472">
        <f>'Grid_Stock'!BJ32</f>
        <v/>
      </c>
      <c r="BM472">
        <f>'Grid_Stock'!BK32</f>
        <v/>
      </c>
      <c r="BN472">
        <f>'Grid_Stock'!BL32</f>
        <v/>
      </c>
      <c r="BO472">
        <f>'Grid_Stock'!BM32</f>
        <v/>
      </c>
      <c r="BP472">
        <f>'Grid_Stock'!BN32</f>
        <v/>
      </c>
      <c r="BQ472">
        <f>'Grid_Stock'!BO32</f>
        <v/>
      </c>
      <c r="BR472">
        <f>'Grid_Stock'!BP32</f>
        <v/>
      </c>
      <c r="BS472">
        <f>'Grid_Stock'!BQ32</f>
        <v/>
      </c>
      <c r="BT472">
        <f>'Grid_Stock'!BR32</f>
        <v/>
      </c>
      <c r="BU472">
        <f>'Grid_Stock'!BS32</f>
        <v/>
      </c>
      <c r="BV472">
        <f>'Grid_Stock'!BT32</f>
        <v/>
      </c>
      <c r="BW472">
        <f>'Grid_Stock'!BU32</f>
        <v/>
      </c>
      <c r="BX472">
        <f>'Grid_Stock'!BV32</f>
        <v/>
      </c>
      <c r="BY472">
        <f>'Grid_Stock'!BW32</f>
        <v/>
      </c>
      <c r="BZ472">
        <f>'Grid_Stock'!BX32</f>
        <v/>
      </c>
      <c r="CA472">
        <f>'Grid_Stock'!BY32</f>
        <v/>
      </c>
      <c r="CB472">
        <f>'Grid_Stock'!BZ32</f>
        <v/>
      </c>
      <c r="CC472">
        <f>'Grid_Stock'!CA32</f>
        <v/>
      </c>
      <c r="CD472">
        <f>'Grid_Stock'!CB32</f>
        <v/>
      </c>
      <c r="CE472">
        <f>'Grid_Stock'!CC32</f>
        <v/>
      </c>
      <c r="CF472">
        <f>'Grid_Stock'!CD32</f>
        <v/>
      </c>
      <c r="CG472">
        <f>'Grid_Stock'!CE32</f>
        <v/>
      </c>
      <c r="CH472">
        <f>'Grid_Stock'!CF32</f>
        <v/>
      </c>
      <c r="CI472">
        <f>'Grid_Stock'!CG32</f>
        <v/>
      </c>
      <c r="CJ472">
        <f>'Grid_Stock'!CH32</f>
        <v/>
      </c>
      <c r="CK472">
        <f>'Grid_Stock'!CI32</f>
        <v/>
      </c>
      <c r="CL472">
        <f>'Grid_Stock'!CJ32</f>
        <v/>
      </c>
      <c r="CM472">
        <f>'Grid_Stock'!CK32</f>
        <v/>
      </c>
      <c r="CN472">
        <f>'Grid_Stock'!CL32</f>
        <v/>
      </c>
      <c r="CO472">
        <f>'Grid_Stock'!CM32</f>
        <v/>
      </c>
      <c r="CP472">
        <f>'Grid_Stock'!CN32</f>
        <v/>
      </c>
      <c r="CQ472">
        <f>'Grid_Stock'!CO32</f>
        <v/>
      </c>
      <c r="CR472">
        <f>'Grid_Stock'!CP32</f>
        <v/>
      </c>
      <c r="CS472">
        <f>'Grid_Stock'!CQ32</f>
        <v/>
      </c>
      <c r="CT472">
        <f>'Grid_Stock'!CR32</f>
        <v/>
      </c>
      <c r="CU472">
        <f>'Grid_Stock'!CS32</f>
        <v/>
      </c>
      <c r="CV472">
        <f>'Grid_Stock'!CT32</f>
        <v/>
      </c>
      <c r="CW472">
        <f>'Grid_Stock'!CU32</f>
        <v/>
      </c>
      <c r="CX472">
        <f>'Grid_Stock'!CV32</f>
        <v/>
      </c>
      <c r="CY472">
        <f>'Grid_Stock'!CW32</f>
        <v/>
      </c>
      <c r="CZ472">
        <f>'Grid_Stock'!CX32</f>
        <v/>
      </c>
      <c r="DA472">
        <f>'Grid_Stock'!CY32</f>
        <v/>
      </c>
      <c r="DB472">
        <f>'Grid_Stock'!CZ32</f>
        <v/>
      </c>
      <c r="DC472">
        <f>'Grid_Stock'!DA32</f>
        <v/>
      </c>
    </row>
    <row r="473">
      <c r="B473" s="21" t="inlineStr">
        <is>
          <t>（発注の目安はDashboardの基準在庫[下限/上限]と色分けを参照）</t>
        </is>
      </c>
    </row>
    <row r="475">
      <c r="A475" s="19" t="inlineStr">
        <is>
          <t>CHEM-1480</t>
        </is>
      </c>
      <c r="B475" s="19" t="inlineStr">
        <is>
          <t>NAT-30</t>
        </is>
      </c>
      <c r="C475" s="20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9" t="n"/>
      <c r="AA475" s="19" t="n"/>
      <c r="AB475" s="19" t="n"/>
      <c r="AC475" s="19" t="n"/>
      <c r="AD475" s="19" t="n"/>
      <c r="AE475" s="19" t="n"/>
      <c r="AF475" s="19" t="n"/>
      <c r="AG475" s="19" t="n"/>
      <c r="AH475" s="19" t="n"/>
      <c r="AI475" s="19" t="n"/>
      <c r="AJ475" s="19" t="n"/>
      <c r="AK475" s="19" t="n"/>
      <c r="AL475" s="19" t="n"/>
      <c r="AM475" s="19" t="n"/>
      <c r="AN475" s="19" t="n"/>
      <c r="AO475" s="19" t="n"/>
      <c r="AP475" s="19" t="n"/>
      <c r="AQ475" s="19" t="n"/>
      <c r="AR475" s="19" t="n"/>
      <c r="AS475" s="19" t="n"/>
      <c r="AT475" s="19" t="n"/>
      <c r="AU475" s="19" t="n"/>
      <c r="AV475" s="19" t="n"/>
      <c r="AW475" s="19" t="n"/>
      <c r="AX475" s="19" t="n"/>
      <c r="AY475" s="19" t="n"/>
      <c r="AZ475" s="19" t="n"/>
      <c r="BA475" s="19" t="n"/>
      <c r="BB475" s="19" t="n"/>
      <c r="BC475" s="19" t="n"/>
      <c r="BD475" s="19" t="n"/>
      <c r="BE475" s="19" t="n"/>
      <c r="BF475" s="19" t="n"/>
      <c r="BG475" s="19" t="n"/>
      <c r="BH475" s="19" t="n"/>
      <c r="BI475" s="19" t="n"/>
      <c r="BJ475" s="19" t="n"/>
      <c r="BK475" s="19" t="n"/>
      <c r="BL475" s="19" t="n"/>
      <c r="BM475" s="19" t="n"/>
      <c r="BN475" s="19" t="n"/>
      <c r="BO475" s="19" t="n"/>
      <c r="BP475" s="19" t="n"/>
      <c r="BQ475" s="19" t="n"/>
      <c r="BR475" s="19" t="n"/>
      <c r="BS475" s="19" t="n"/>
      <c r="BT475" s="19" t="n"/>
      <c r="BU475" s="19" t="n"/>
      <c r="BV475" s="19" t="n"/>
      <c r="BW475" s="19" t="n"/>
      <c r="BX475" s="19" t="n"/>
      <c r="BY475" s="19" t="n"/>
      <c r="BZ475" s="19" t="n"/>
      <c r="CA475" s="19" t="n"/>
      <c r="CB475" s="19" t="n"/>
      <c r="CC475" s="19" t="n"/>
      <c r="CD475" s="19" t="n"/>
      <c r="CE475" s="19" t="n"/>
      <c r="CF475" s="19" t="n"/>
      <c r="CG475" s="19" t="n"/>
      <c r="CH475" s="19" t="n"/>
      <c r="CI475" s="19" t="n"/>
      <c r="CJ475" s="19" t="n"/>
      <c r="CK475" s="19" t="n"/>
      <c r="CL475" s="19" t="n"/>
      <c r="CM475" s="19" t="n"/>
      <c r="CN475" s="19" t="n"/>
      <c r="CO475" s="19" t="n"/>
      <c r="CP475" s="19" t="n"/>
      <c r="CQ475" s="19" t="n"/>
      <c r="CR475" s="19" t="n"/>
      <c r="CS475" s="19" t="n"/>
      <c r="CT475" s="19" t="n"/>
      <c r="CU475" s="19" t="n"/>
      <c r="CV475" s="19" t="n"/>
      <c r="CW475" s="19" t="n"/>
      <c r="CX475" s="19" t="n"/>
      <c r="CY475" s="19" t="n"/>
      <c r="CZ475" s="19" t="n"/>
      <c r="DA475" s="19" t="n"/>
      <c r="DB475" s="19" t="n"/>
      <c r="DC475" s="19" t="n"/>
    </row>
    <row r="476">
      <c r="B476" t="inlineStr">
        <is>
          <t>TSP-206</t>
        </is>
      </c>
      <c r="C476" t="inlineStr">
        <is>
          <t>No. of batches</t>
        </is>
      </c>
      <c r="D476">
        <f>IFERROR(INDEX(PP_Grid[#Data],$DD476,2),0)</f>
        <v/>
      </c>
      <c r="E476">
        <f>IFERROR(INDEX(PP_Grid[#Data],$DD476,3),0)</f>
        <v/>
      </c>
      <c r="F476">
        <f>IFERROR(INDEX(PP_Grid[#Data],$DD476,4),0)</f>
        <v/>
      </c>
      <c r="G476">
        <f>IFERROR(INDEX(PP_Grid[#Data],$DD476,5),0)</f>
        <v/>
      </c>
      <c r="H476">
        <f>IFERROR(INDEX(PP_Grid[#Data],$DD476,6),0)</f>
        <v/>
      </c>
      <c r="I476">
        <f>IFERROR(INDEX(PP_Grid[#Data],$DD476,7),0)</f>
        <v/>
      </c>
      <c r="J476">
        <f>IFERROR(INDEX(PP_Grid[#Data],$DD476,8),0)</f>
        <v/>
      </c>
      <c r="K476">
        <f>IFERROR(INDEX(PP_Grid[#Data],$DD476,9),0)</f>
        <v/>
      </c>
      <c r="L476">
        <f>IFERROR(INDEX(PP_Grid[#Data],$DD476,10),0)</f>
        <v/>
      </c>
      <c r="M476">
        <f>IFERROR(INDEX(PP_Grid[#Data],$DD476,11),0)</f>
        <v/>
      </c>
      <c r="N476">
        <f>IFERROR(INDEX(PP_Grid[#Data],$DD476,12),0)</f>
        <v/>
      </c>
      <c r="O476">
        <f>IFERROR(INDEX(PP_Grid[#Data],$DD476,13),0)</f>
        <v/>
      </c>
      <c r="P476">
        <f>IFERROR(INDEX(PP_Grid[#Data],$DD476,14),0)</f>
        <v/>
      </c>
      <c r="Q476">
        <f>IFERROR(INDEX(PP_Grid[#Data],$DD476,15),0)</f>
        <v/>
      </c>
      <c r="R476">
        <f>IFERROR(INDEX(PP_Grid[#Data],$DD476,16),0)</f>
        <v/>
      </c>
      <c r="S476">
        <f>IFERROR(INDEX(PP_Grid[#Data],$DD476,17),0)</f>
        <v/>
      </c>
      <c r="T476">
        <f>IFERROR(INDEX(PP_Grid[#Data],$DD476,18),0)</f>
        <v/>
      </c>
      <c r="U476">
        <f>IFERROR(INDEX(PP_Grid[#Data],$DD476,19),0)</f>
        <v/>
      </c>
      <c r="V476">
        <f>IFERROR(INDEX(PP_Grid[#Data],$DD476,20),0)</f>
        <v/>
      </c>
      <c r="W476">
        <f>IFERROR(INDEX(PP_Grid[#Data],$DD476,21),0)</f>
        <v/>
      </c>
      <c r="X476">
        <f>IFERROR(INDEX(PP_Grid[#Data],$DD476,22),0)</f>
        <v/>
      </c>
      <c r="Y476">
        <f>IFERROR(INDEX(PP_Grid[#Data],$DD476,23),0)</f>
        <v/>
      </c>
      <c r="Z476">
        <f>IFERROR(INDEX(PP_Grid[#Data],$DD476,24),0)</f>
        <v/>
      </c>
      <c r="AA476">
        <f>IFERROR(INDEX(PP_Grid[#Data],$DD476,25),0)</f>
        <v/>
      </c>
      <c r="AB476">
        <f>IFERROR(INDEX(PP_Grid[#Data],$DD476,26),0)</f>
        <v/>
      </c>
      <c r="AC476">
        <f>IFERROR(INDEX(PP_Grid[#Data],$DD476,27),0)</f>
        <v/>
      </c>
      <c r="AD476">
        <f>IFERROR(INDEX(PP_Grid[#Data],$DD476,28),0)</f>
        <v/>
      </c>
      <c r="AE476">
        <f>IFERROR(INDEX(PP_Grid[#Data],$DD476,29),0)</f>
        <v/>
      </c>
      <c r="AF476">
        <f>IFERROR(INDEX(PP_Grid[#Data],$DD476,30),0)</f>
        <v/>
      </c>
      <c r="AG476">
        <f>IFERROR(INDEX(PP_Grid[#Data],$DD476,31),0)</f>
        <v/>
      </c>
      <c r="AH476">
        <f>IFERROR(INDEX(PP_Grid[#Data],$DD476,32),0)</f>
        <v/>
      </c>
      <c r="AI476">
        <f>IFERROR(INDEX(PP_Grid[#Data],$DD476,33),0)</f>
        <v/>
      </c>
      <c r="AJ476">
        <f>IFERROR(INDEX(PP_Grid[#Data],$DD476,34),0)</f>
        <v/>
      </c>
      <c r="AK476">
        <f>IFERROR(INDEX(PP_Grid[#Data],$DD476,35),0)</f>
        <v/>
      </c>
      <c r="AL476">
        <f>IFERROR(INDEX(PP_Grid[#Data],$DD476,36),0)</f>
        <v/>
      </c>
      <c r="AM476">
        <f>IFERROR(INDEX(PP_Grid[#Data],$DD476,37),0)</f>
        <v/>
      </c>
      <c r="AN476">
        <f>IFERROR(INDEX(PP_Grid[#Data],$DD476,38),0)</f>
        <v/>
      </c>
      <c r="AO476">
        <f>IFERROR(INDEX(PP_Grid[#Data],$DD476,39),0)</f>
        <v/>
      </c>
      <c r="AP476">
        <f>IFERROR(INDEX(PP_Grid[#Data],$DD476,40),0)</f>
        <v/>
      </c>
      <c r="AQ476">
        <f>IFERROR(INDEX(PP_Grid[#Data],$DD476,41),0)</f>
        <v/>
      </c>
      <c r="AR476">
        <f>IFERROR(INDEX(PP_Grid[#Data],$DD476,42),0)</f>
        <v/>
      </c>
      <c r="AS476">
        <f>IFERROR(INDEX(PP_Grid[#Data],$DD476,43),0)</f>
        <v/>
      </c>
      <c r="AT476">
        <f>IFERROR(INDEX(PP_Grid[#Data],$DD476,44),0)</f>
        <v/>
      </c>
      <c r="AU476">
        <f>IFERROR(INDEX(PP_Grid[#Data],$DD476,45),0)</f>
        <v/>
      </c>
      <c r="AV476">
        <f>IFERROR(INDEX(PP_Grid[#Data],$DD476,46),0)</f>
        <v/>
      </c>
      <c r="AW476">
        <f>IFERROR(INDEX(PP_Grid[#Data],$DD476,47),0)</f>
        <v/>
      </c>
      <c r="AX476">
        <f>IFERROR(INDEX(PP_Grid[#Data],$DD476,48),0)</f>
        <v/>
      </c>
      <c r="AY476">
        <f>IFERROR(INDEX(PP_Grid[#Data],$DD476,49),0)</f>
        <v/>
      </c>
      <c r="AZ476">
        <f>IFERROR(INDEX(PP_Grid[#Data],$DD476,50),0)</f>
        <v/>
      </c>
      <c r="BA476">
        <f>IFERROR(INDEX(PP_Grid[#Data],$DD476,51),0)</f>
        <v/>
      </c>
      <c r="BB476">
        <f>IFERROR(INDEX(PP_Grid[#Data],$DD476,52),0)</f>
        <v/>
      </c>
      <c r="BC476">
        <f>IFERROR(INDEX(PP_Grid[#Data],$DD476,53),0)</f>
        <v/>
      </c>
      <c r="BD476">
        <f>IFERROR(INDEX(PP_Grid[#Data],$DD476,54),0)</f>
        <v/>
      </c>
      <c r="BE476">
        <f>IFERROR(INDEX(PP_Grid[#Data],$DD476,55),0)</f>
        <v/>
      </c>
      <c r="BF476">
        <f>IFERROR(INDEX(PP_Grid[#Data],$DD476,56),0)</f>
        <v/>
      </c>
      <c r="BG476">
        <f>IFERROR(INDEX(PP_Grid[#Data],$DD476,57),0)</f>
        <v/>
      </c>
      <c r="BH476">
        <f>IFERROR(INDEX(PP_Grid[#Data],$DD476,58),0)</f>
        <v/>
      </c>
      <c r="BI476">
        <f>IFERROR(INDEX(PP_Grid[#Data],$DD476,59),0)</f>
        <v/>
      </c>
      <c r="BJ476">
        <f>IFERROR(INDEX(PP_Grid[#Data],$DD476,60),0)</f>
        <v/>
      </c>
      <c r="BK476">
        <f>IFERROR(INDEX(PP_Grid[#Data],$DD476,61),0)</f>
        <v/>
      </c>
      <c r="BL476">
        <f>IFERROR(INDEX(PP_Grid[#Data],$DD476,62),0)</f>
        <v/>
      </c>
      <c r="BM476">
        <f>IFERROR(INDEX(PP_Grid[#Data],$DD476,63),0)</f>
        <v/>
      </c>
      <c r="BN476">
        <f>IFERROR(INDEX(PP_Grid[#Data],$DD476,64),0)</f>
        <v/>
      </c>
      <c r="BO476">
        <f>IFERROR(INDEX(PP_Grid[#Data],$DD476,65),0)</f>
        <v/>
      </c>
      <c r="BP476">
        <f>IFERROR(INDEX(PP_Grid[#Data],$DD476,66),0)</f>
        <v/>
      </c>
      <c r="BQ476">
        <f>IFERROR(INDEX(PP_Grid[#Data],$DD476,67),0)</f>
        <v/>
      </c>
      <c r="BR476">
        <f>IFERROR(INDEX(PP_Grid[#Data],$DD476,68),0)</f>
        <v/>
      </c>
      <c r="BS476">
        <f>IFERROR(INDEX(PP_Grid[#Data],$DD476,69),0)</f>
        <v/>
      </c>
      <c r="BT476">
        <f>IFERROR(INDEX(PP_Grid[#Data],$DD476,70),0)</f>
        <v/>
      </c>
      <c r="BU476">
        <f>IFERROR(INDEX(PP_Grid[#Data],$DD476,71),0)</f>
        <v/>
      </c>
      <c r="BV476">
        <f>IFERROR(INDEX(PP_Grid[#Data],$DD476,72),0)</f>
        <v/>
      </c>
      <c r="BW476">
        <f>IFERROR(INDEX(PP_Grid[#Data],$DD476,73),0)</f>
        <v/>
      </c>
      <c r="BX476">
        <f>IFERROR(INDEX(PP_Grid[#Data],$DD476,74),0)</f>
        <v/>
      </c>
      <c r="BY476">
        <f>IFERROR(INDEX(PP_Grid[#Data],$DD476,75),0)</f>
        <v/>
      </c>
      <c r="BZ476">
        <f>IFERROR(INDEX(PP_Grid[#Data],$DD476,76),0)</f>
        <v/>
      </c>
      <c r="CA476">
        <f>IFERROR(INDEX(PP_Grid[#Data],$DD476,77),0)</f>
        <v/>
      </c>
      <c r="CB476">
        <f>IFERROR(INDEX(PP_Grid[#Data],$DD476,78),0)</f>
        <v/>
      </c>
      <c r="CC476">
        <f>IFERROR(INDEX(PP_Grid[#Data],$DD476,79),0)</f>
        <v/>
      </c>
      <c r="CD476">
        <f>IFERROR(INDEX(PP_Grid[#Data],$DD476,80),0)</f>
        <v/>
      </c>
      <c r="CE476">
        <f>IFERROR(INDEX(PP_Grid[#Data],$DD476,81),0)</f>
        <v/>
      </c>
      <c r="CF476">
        <f>IFERROR(INDEX(PP_Grid[#Data],$DD476,82),0)</f>
        <v/>
      </c>
      <c r="CG476">
        <f>IFERROR(INDEX(PP_Grid[#Data],$DD476,83),0)</f>
        <v/>
      </c>
      <c r="CH476">
        <f>IFERROR(INDEX(PP_Grid[#Data],$DD476,84),0)</f>
        <v/>
      </c>
      <c r="CI476">
        <f>IFERROR(INDEX(PP_Grid[#Data],$DD476,85),0)</f>
        <v/>
      </c>
      <c r="CJ476">
        <f>IFERROR(INDEX(PP_Grid[#Data],$DD476,86),0)</f>
        <v/>
      </c>
      <c r="CK476">
        <f>IFERROR(INDEX(PP_Grid[#Data],$DD476,87),0)</f>
        <v/>
      </c>
      <c r="CL476">
        <f>IFERROR(INDEX(PP_Grid[#Data],$DD476,88),0)</f>
        <v/>
      </c>
      <c r="CM476">
        <f>IFERROR(INDEX(PP_Grid[#Data],$DD476,89),0)</f>
        <v/>
      </c>
      <c r="CN476">
        <f>IFERROR(INDEX(PP_Grid[#Data],$DD476,90),0)</f>
        <v/>
      </c>
      <c r="CO476">
        <f>IFERROR(INDEX(PP_Grid[#Data],$DD476,91),0)</f>
        <v/>
      </c>
      <c r="CP476">
        <f>IFERROR(INDEX(PP_Grid[#Data],$DD476,92),0)</f>
        <v/>
      </c>
      <c r="CQ476">
        <f>IFERROR(INDEX(PP_Grid[#Data],$DD476,93),0)</f>
        <v/>
      </c>
      <c r="CR476">
        <f>IFERROR(INDEX(PP_Grid[#Data],$DD476,94),0)</f>
        <v/>
      </c>
      <c r="CS476">
        <f>IFERROR(INDEX(PP_Grid[#Data],$DD476,95),0)</f>
        <v/>
      </c>
      <c r="CT476">
        <f>IFERROR(INDEX(PP_Grid[#Data],$DD476,96),0)</f>
        <v/>
      </c>
      <c r="CU476">
        <f>IFERROR(INDEX(PP_Grid[#Data],$DD476,97),0)</f>
        <v/>
      </c>
      <c r="CV476">
        <f>IFERROR(INDEX(PP_Grid[#Data],$DD476,98),0)</f>
        <v/>
      </c>
      <c r="CW476">
        <f>IFERROR(INDEX(PP_Grid[#Data],$DD476,99),0)</f>
        <v/>
      </c>
      <c r="CX476">
        <f>IFERROR(INDEX(PP_Grid[#Data],$DD476,100),0)</f>
        <v/>
      </c>
      <c r="CY476">
        <f>IFERROR(INDEX(PP_Grid[#Data],$DD476,101),0)</f>
        <v/>
      </c>
      <c r="CZ476">
        <f>IFERROR(INDEX(PP_Grid[#Data],$DD476,102),0)</f>
        <v/>
      </c>
      <c r="DA476">
        <f>IFERROR(INDEX(PP_Grid[#Data],$DD476,103),0)</f>
        <v/>
      </c>
      <c r="DB476">
        <f>IFERROR(INDEX(PP_Grid[#Data],$DD476,104),0)</f>
        <v/>
      </c>
      <c r="DC476">
        <f>IFERROR(INDEX(PP_Grid[#Data],$DD476,105),0)</f>
        <v/>
      </c>
      <c r="DD476" s="12">
        <f>IFERROR(MATCH($B476,PP_Grid[Intermediate],0),99999)</f>
        <v/>
      </c>
    </row>
    <row r="477">
      <c r="B477" t="inlineStr">
        <is>
          <t>使用量(kg)</t>
        </is>
      </c>
      <c r="C477">
        <f>SUMIFS(M_BOM[RM_Qty_Per_Batch],M_BOM[Intermediate],$B476,M_BOM[Part Name],$A475)</f>
        <v/>
      </c>
      <c r="D477">
        <f>$C477*D476</f>
        <v/>
      </c>
      <c r="E477">
        <f>$C477*E476</f>
        <v/>
      </c>
      <c r="F477">
        <f>$C477*F476</f>
        <v/>
      </c>
      <c r="G477">
        <f>$C477*G476</f>
        <v/>
      </c>
      <c r="H477">
        <f>$C477*H476</f>
        <v/>
      </c>
      <c r="I477">
        <f>$C477*I476</f>
        <v/>
      </c>
      <c r="J477">
        <f>$C477*J476</f>
        <v/>
      </c>
      <c r="K477">
        <f>$C477*K476</f>
        <v/>
      </c>
      <c r="L477">
        <f>$C477*L476</f>
        <v/>
      </c>
      <c r="M477">
        <f>$C477*M476</f>
        <v/>
      </c>
      <c r="N477">
        <f>$C477*N476</f>
        <v/>
      </c>
      <c r="O477">
        <f>$C477*O476</f>
        <v/>
      </c>
      <c r="P477">
        <f>$C477*P476</f>
        <v/>
      </c>
      <c r="Q477">
        <f>$C477*Q476</f>
        <v/>
      </c>
      <c r="R477">
        <f>$C477*R476</f>
        <v/>
      </c>
      <c r="S477">
        <f>$C477*S476</f>
        <v/>
      </c>
      <c r="T477">
        <f>$C477*T476</f>
        <v/>
      </c>
      <c r="U477">
        <f>$C477*U476</f>
        <v/>
      </c>
      <c r="V477">
        <f>$C477*V476</f>
        <v/>
      </c>
      <c r="W477">
        <f>$C477*W476</f>
        <v/>
      </c>
      <c r="X477">
        <f>$C477*X476</f>
        <v/>
      </c>
      <c r="Y477">
        <f>$C477*Y476</f>
        <v/>
      </c>
      <c r="Z477">
        <f>$C477*Z476</f>
        <v/>
      </c>
      <c r="AA477">
        <f>$C477*AA476</f>
        <v/>
      </c>
      <c r="AB477">
        <f>$C477*AB476</f>
        <v/>
      </c>
      <c r="AC477">
        <f>$C477*AC476</f>
        <v/>
      </c>
      <c r="AD477">
        <f>$C477*AD476</f>
        <v/>
      </c>
      <c r="AE477">
        <f>$C477*AE476</f>
        <v/>
      </c>
      <c r="AF477">
        <f>$C477*AF476</f>
        <v/>
      </c>
      <c r="AG477">
        <f>$C477*AG476</f>
        <v/>
      </c>
      <c r="AH477">
        <f>$C477*AH476</f>
        <v/>
      </c>
      <c r="AI477">
        <f>$C477*AI476</f>
        <v/>
      </c>
      <c r="AJ477">
        <f>$C477*AJ476</f>
        <v/>
      </c>
      <c r="AK477">
        <f>$C477*AK476</f>
        <v/>
      </c>
      <c r="AL477">
        <f>$C477*AL476</f>
        <v/>
      </c>
      <c r="AM477">
        <f>$C477*AM476</f>
        <v/>
      </c>
      <c r="AN477">
        <f>$C477*AN476</f>
        <v/>
      </c>
      <c r="AO477">
        <f>$C477*AO476</f>
        <v/>
      </c>
      <c r="AP477">
        <f>$C477*AP476</f>
        <v/>
      </c>
      <c r="AQ477">
        <f>$C477*AQ476</f>
        <v/>
      </c>
      <c r="AR477">
        <f>$C477*AR476</f>
        <v/>
      </c>
      <c r="AS477">
        <f>$C477*AS476</f>
        <v/>
      </c>
      <c r="AT477">
        <f>$C477*AT476</f>
        <v/>
      </c>
      <c r="AU477">
        <f>$C477*AU476</f>
        <v/>
      </c>
      <c r="AV477">
        <f>$C477*AV476</f>
        <v/>
      </c>
      <c r="AW477">
        <f>$C477*AW476</f>
        <v/>
      </c>
      <c r="AX477">
        <f>$C477*AX476</f>
        <v/>
      </c>
      <c r="AY477">
        <f>$C477*AY476</f>
        <v/>
      </c>
      <c r="AZ477">
        <f>$C477*AZ476</f>
        <v/>
      </c>
      <c r="BA477">
        <f>$C477*BA476</f>
        <v/>
      </c>
      <c r="BB477">
        <f>$C477*BB476</f>
        <v/>
      </c>
      <c r="BC477">
        <f>$C477*BC476</f>
        <v/>
      </c>
      <c r="BD477">
        <f>$C477*BD476</f>
        <v/>
      </c>
      <c r="BE477">
        <f>$C477*BE476</f>
        <v/>
      </c>
      <c r="BF477">
        <f>$C477*BF476</f>
        <v/>
      </c>
      <c r="BG477">
        <f>$C477*BG476</f>
        <v/>
      </c>
      <c r="BH477">
        <f>$C477*BH476</f>
        <v/>
      </c>
      <c r="BI477">
        <f>$C477*BI476</f>
        <v/>
      </c>
      <c r="BJ477">
        <f>$C477*BJ476</f>
        <v/>
      </c>
      <c r="BK477">
        <f>$C477*BK476</f>
        <v/>
      </c>
      <c r="BL477">
        <f>$C477*BL476</f>
        <v/>
      </c>
      <c r="BM477">
        <f>$C477*BM476</f>
        <v/>
      </c>
      <c r="BN477">
        <f>$C477*BN476</f>
        <v/>
      </c>
      <c r="BO477">
        <f>$C477*BO476</f>
        <v/>
      </c>
      <c r="BP477">
        <f>$C477*BP476</f>
        <v/>
      </c>
      <c r="BQ477">
        <f>$C477*BQ476</f>
        <v/>
      </c>
      <c r="BR477">
        <f>$C477*BR476</f>
        <v/>
      </c>
      <c r="BS477">
        <f>$C477*BS476</f>
        <v/>
      </c>
      <c r="BT477">
        <f>$C477*BT476</f>
        <v/>
      </c>
      <c r="BU477">
        <f>$C477*BU476</f>
        <v/>
      </c>
      <c r="BV477">
        <f>$C477*BV476</f>
        <v/>
      </c>
      <c r="BW477">
        <f>$C477*BW476</f>
        <v/>
      </c>
      <c r="BX477">
        <f>$C477*BX476</f>
        <v/>
      </c>
      <c r="BY477">
        <f>$C477*BY476</f>
        <v/>
      </c>
      <c r="BZ477">
        <f>$C477*BZ476</f>
        <v/>
      </c>
      <c r="CA477">
        <f>$C477*CA476</f>
        <v/>
      </c>
      <c r="CB477">
        <f>$C477*CB476</f>
        <v/>
      </c>
      <c r="CC477">
        <f>$C477*CC476</f>
        <v/>
      </c>
      <c r="CD477">
        <f>$C477*CD476</f>
        <v/>
      </c>
      <c r="CE477">
        <f>$C477*CE476</f>
        <v/>
      </c>
      <c r="CF477">
        <f>$C477*CF476</f>
        <v/>
      </c>
      <c r="CG477">
        <f>$C477*CG476</f>
        <v/>
      </c>
      <c r="CH477">
        <f>$C477*CH476</f>
        <v/>
      </c>
      <c r="CI477">
        <f>$C477*CI476</f>
        <v/>
      </c>
      <c r="CJ477">
        <f>$C477*CJ476</f>
        <v/>
      </c>
      <c r="CK477">
        <f>$C477*CK476</f>
        <v/>
      </c>
      <c r="CL477">
        <f>$C477*CL476</f>
        <v/>
      </c>
      <c r="CM477">
        <f>$C477*CM476</f>
        <v/>
      </c>
      <c r="CN477">
        <f>$C477*CN476</f>
        <v/>
      </c>
      <c r="CO477">
        <f>$C477*CO476</f>
        <v/>
      </c>
      <c r="CP477">
        <f>$C477*CP476</f>
        <v/>
      </c>
      <c r="CQ477">
        <f>$C477*CQ476</f>
        <v/>
      </c>
      <c r="CR477">
        <f>$C477*CR476</f>
        <v/>
      </c>
      <c r="CS477">
        <f>$C477*CS476</f>
        <v/>
      </c>
      <c r="CT477">
        <f>$C477*CT476</f>
        <v/>
      </c>
      <c r="CU477">
        <f>$C477*CU476</f>
        <v/>
      </c>
      <c r="CV477">
        <f>$C477*CV476</f>
        <v/>
      </c>
      <c r="CW477">
        <f>$C477*CW476</f>
        <v/>
      </c>
      <c r="CX477">
        <f>$C477*CX476</f>
        <v/>
      </c>
      <c r="CY477">
        <f>$C477*CY476</f>
        <v/>
      </c>
      <c r="CZ477">
        <f>$C477*CZ476</f>
        <v/>
      </c>
      <c r="DA477">
        <f>$C477*DA476</f>
        <v/>
      </c>
      <c r="DB477">
        <f>$C477*DB476</f>
        <v/>
      </c>
      <c r="DC477">
        <f>$C477*DC476</f>
        <v/>
      </c>
    </row>
    <row r="478">
      <c r="B478" s="9" t="inlineStr">
        <is>
          <t>合計使用量(kg)/週</t>
        </is>
      </c>
      <c r="D478">
        <f>'Grid_Requirement'!B33</f>
        <v/>
      </c>
      <c r="E478">
        <f>'Grid_Requirement'!C33</f>
        <v/>
      </c>
      <c r="F478">
        <f>'Grid_Requirement'!D33</f>
        <v/>
      </c>
      <c r="G478">
        <f>'Grid_Requirement'!E33</f>
        <v/>
      </c>
      <c r="H478">
        <f>'Grid_Requirement'!F33</f>
        <v/>
      </c>
      <c r="I478">
        <f>'Grid_Requirement'!G33</f>
        <v/>
      </c>
      <c r="J478">
        <f>'Grid_Requirement'!H33</f>
        <v/>
      </c>
      <c r="K478">
        <f>'Grid_Requirement'!I33</f>
        <v/>
      </c>
      <c r="L478">
        <f>'Grid_Requirement'!J33</f>
        <v/>
      </c>
      <c r="M478">
        <f>'Grid_Requirement'!K33</f>
        <v/>
      </c>
      <c r="N478">
        <f>'Grid_Requirement'!L33</f>
        <v/>
      </c>
      <c r="O478">
        <f>'Grid_Requirement'!M33</f>
        <v/>
      </c>
      <c r="P478">
        <f>'Grid_Requirement'!N33</f>
        <v/>
      </c>
      <c r="Q478">
        <f>'Grid_Requirement'!O33</f>
        <v/>
      </c>
      <c r="R478">
        <f>'Grid_Requirement'!P33</f>
        <v/>
      </c>
      <c r="S478">
        <f>'Grid_Requirement'!Q33</f>
        <v/>
      </c>
      <c r="T478">
        <f>'Grid_Requirement'!R33</f>
        <v/>
      </c>
      <c r="U478">
        <f>'Grid_Requirement'!S33</f>
        <v/>
      </c>
      <c r="V478">
        <f>'Grid_Requirement'!T33</f>
        <v/>
      </c>
      <c r="W478">
        <f>'Grid_Requirement'!U33</f>
        <v/>
      </c>
      <c r="X478">
        <f>'Grid_Requirement'!V33</f>
        <v/>
      </c>
      <c r="Y478">
        <f>'Grid_Requirement'!W33</f>
        <v/>
      </c>
      <c r="Z478">
        <f>'Grid_Requirement'!X33</f>
        <v/>
      </c>
      <c r="AA478">
        <f>'Grid_Requirement'!Y33</f>
        <v/>
      </c>
      <c r="AB478">
        <f>'Grid_Requirement'!Z33</f>
        <v/>
      </c>
      <c r="AC478">
        <f>'Grid_Requirement'!AA33</f>
        <v/>
      </c>
      <c r="AD478">
        <f>'Grid_Requirement'!AB33</f>
        <v/>
      </c>
      <c r="AE478">
        <f>'Grid_Requirement'!AC33</f>
        <v/>
      </c>
      <c r="AF478">
        <f>'Grid_Requirement'!AD33</f>
        <v/>
      </c>
      <c r="AG478">
        <f>'Grid_Requirement'!AE33</f>
        <v/>
      </c>
      <c r="AH478">
        <f>'Grid_Requirement'!AF33</f>
        <v/>
      </c>
      <c r="AI478">
        <f>'Grid_Requirement'!AG33</f>
        <v/>
      </c>
      <c r="AJ478">
        <f>'Grid_Requirement'!AH33</f>
        <v/>
      </c>
      <c r="AK478">
        <f>'Grid_Requirement'!AI33</f>
        <v/>
      </c>
      <c r="AL478">
        <f>'Grid_Requirement'!AJ33</f>
        <v/>
      </c>
      <c r="AM478">
        <f>'Grid_Requirement'!AK33</f>
        <v/>
      </c>
      <c r="AN478">
        <f>'Grid_Requirement'!AL33</f>
        <v/>
      </c>
      <c r="AO478">
        <f>'Grid_Requirement'!AM33</f>
        <v/>
      </c>
      <c r="AP478">
        <f>'Grid_Requirement'!AN33</f>
        <v/>
      </c>
      <c r="AQ478">
        <f>'Grid_Requirement'!AO33</f>
        <v/>
      </c>
      <c r="AR478">
        <f>'Grid_Requirement'!AP33</f>
        <v/>
      </c>
      <c r="AS478">
        <f>'Grid_Requirement'!AQ33</f>
        <v/>
      </c>
      <c r="AT478">
        <f>'Grid_Requirement'!AR33</f>
        <v/>
      </c>
      <c r="AU478">
        <f>'Grid_Requirement'!AS33</f>
        <v/>
      </c>
      <c r="AV478">
        <f>'Grid_Requirement'!AT33</f>
        <v/>
      </c>
      <c r="AW478">
        <f>'Grid_Requirement'!AU33</f>
        <v/>
      </c>
      <c r="AX478">
        <f>'Grid_Requirement'!AV33</f>
        <v/>
      </c>
      <c r="AY478">
        <f>'Grid_Requirement'!AW33</f>
        <v/>
      </c>
      <c r="AZ478">
        <f>'Grid_Requirement'!AX33</f>
        <v/>
      </c>
      <c r="BA478">
        <f>'Grid_Requirement'!AY33</f>
        <v/>
      </c>
      <c r="BB478">
        <f>'Grid_Requirement'!AZ33</f>
        <v/>
      </c>
      <c r="BC478">
        <f>'Grid_Requirement'!BA33</f>
        <v/>
      </c>
      <c r="BD478">
        <f>'Grid_Requirement'!BB33</f>
        <v/>
      </c>
      <c r="BE478">
        <f>'Grid_Requirement'!BC33</f>
        <v/>
      </c>
      <c r="BF478">
        <f>'Grid_Requirement'!BD33</f>
        <v/>
      </c>
      <c r="BG478">
        <f>'Grid_Requirement'!BE33</f>
        <v/>
      </c>
      <c r="BH478">
        <f>'Grid_Requirement'!BF33</f>
        <v/>
      </c>
      <c r="BI478">
        <f>'Grid_Requirement'!BG33</f>
        <v/>
      </c>
      <c r="BJ478">
        <f>'Grid_Requirement'!BH33</f>
        <v/>
      </c>
      <c r="BK478">
        <f>'Grid_Requirement'!BI33</f>
        <v/>
      </c>
      <c r="BL478">
        <f>'Grid_Requirement'!BJ33</f>
        <v/>
      </c>
      <c r="BM478">
        <f>'Grid_Requirement'!BK33</f>
        <v/>
      </c>
      <c r="BN478">
        <f>'Grid_Requirement'!BL33</f>
        <v/>
      </c>
      <c r="BO478">
        <f>'Grid_Requirement'!BM33</f>
        <v/>
      </c>
      <c r="BP478">
        <f>'Grid_Requirement'!BN33</f>
        <v/>
      </c>
      <c r="BQ478">
        <f>'Grid_Requirement'!BO33</f>
        <v/>
      </c>
      <c r="BR478">
        <f>'Grid_Requirement'!BP33</f>
        <v/>
      </c>
      <c r="BS478">
        <f>'Grid_Requirement'!BQ33</f>
        <v/>
      </c>
      <c r="BT478">
        <f>'Grid_Requirement'!BR33</f>
        <v/>
      </c>
      <c r="BU478">
        <f>'Grid_Requirement'!BS33</f>
        <v/>
      </c>
      <c r="BV478">
        <f>'Grid_Requirement'!BT33</f>
        <v/>
      </c>
      <c r="BW478">
        <f>'Grid_Requirement'!BU33</f>
        <v/>
      </c>
      <c r="BX478">
        <f>'Grid_Requirement'!BV33</f>
        <v/>
      </c>
      <c r="BY478">
        <f>'Grid_Requirement'!BW33</f>
        <v/>
      </c>
      <c r="BZ478">
        <f>'Grid_Requirement'!BX33</f>
        <v/>
      </c>
      <c r="CA478">
        <f>'Grid_Requirement'!BY33</f>
        <v/>
      </c>
      <c r="CB478">
        <f>'Grid_Requirement'!BZ33</f>
        <v/>
      </c>
      <c r="CC478">
        <f>'Grid_Requirement'!CA33</f>
        <v/>
      </c>
      <c r="CD478">
        <f>'Grid_Requirement'!CB33</f>
        <v/>
      </c>
      <c r="CE478">
        <f>'Grid_Requirement'!CC33</f>
        <v/>
      </c>
      <c r="CF478">
        <f>'Grid_Requirement'!CD33</f>
        <v/>
      </c>
      <c r="CG478">
        <f>'Grid_Requirement'!CE33</f>
        <v/>
      </c>
      <c r="CH478">
        <f>'Grid_Requirement'!CF33</f>
        <v/>
      </c>
      <c r="CI478">
        <f>'Grid_Requirement'!CG33</f>
        <v/>
      </c>
      <c r="CJ478">
        <f>'Grid_Requirement'!CH33</f>
        <v/>
      </c>
      <c r="CK478">
        <f>'Grid_Requirement'!CI33</f>
        <v/>
      </c>
      <c r="CL478">
        <f>'Grid_Requirement'!CJ33</f>
        <v/>
      </c>
      <c r="CM478">
        <f>'Grid_Requirement'!CK33</f>
        <v/>
      </c>
      <c r="CN478">
        <f>'Grid_Requirement'!CL33</f>
        <v/>
      </c>
      <c r="CO478">
        <f>'Grid_Requirement'!CM33</f>
        <v/>
      </c>
      <c r="CP478">
        <f>'Grid_Requirement'!CN33</f>
        <v/>
      </c>
      <c r="CQ478">
        <f>'Grid_Requirement'!CO33</f>
        <v/>
      </c>
      <c r="CR478">
        <f>'Grid_Requirement'!CP33</f>
        <v/>
      </c>
      <c r="CS478">
        <f>'Grid_Requirement'!CQ33</f>
        <v/>
      </c>
      <c r="CT478">
        <f>'Grid_Requirement'!CR33</f>
        <v/>
      </c>
      <c r="CU478">
        <f>'Grid_Requirement'!CS33</f>
        <v/>
      </c>
      <c r="CV478">
        <f>'Grid_Requirement'!CT33</f>
        <v/>
      </c>
      <c r="CW478">
        <f>'Grid_Requirement'!CU33</f>
        <v/>
      </c>
      <c r="CX478">
        <f>'Grid_Requirement'!CV33</f>
        <v/>
      </c>
      <c r="CY478">
        <f>'Grid_Requirement'!CW33</f>
        <v/>
      </c>
      <c r="CZ478">
        <f>'Grid_Requirement'!CX33</f>
        <v/>
      </c>
      <c r="DA478">
        <f>'Grid_Requirement'!CY33</f>
        <v/>
      </c>
      <c r="DB478">
        <f>'Grid_Requirement'!CZ33</f>
        <v/>
      </c>
      <c r="DC478">
        <f>'Grid_Requirement'!DA33</f>
        <v/>
      </c>
    </row>
    <row r="479">
      <c r="B479" t="inlineStr">
        <is>
          <t>TTAF在庫(実績,kg)</t>
        </is>
      </c>
      <c r="D479">
        <f>'T_TTAFStock'!B37</f>
        <v/>
      </c>
      <c r="E479">
        <f>'T_TTAFStock'!C37</f>
        <v/>
      </c>
      <c r="F479">
        <f>'T_TTAFStock'!D37</f>
        <v/>
      </c>
      <c r="G479">
        <f>'T_TTAFStock'!E37</f>
        <v/>
      </c>
      <c r="H479">
        <f>'T_TTAFStock'!F37</f>
        <v/>
      </c>
      <c r="I479">
        <f>'T_TTAFStock'!G37</f>
        <v/>
      </c>
      <c r="J479">
        <f>'T_TTAFStock'!H37</f>
        <v/>
      </c>
      <c r="K479">
        <f>'T_TTAFStock'!I37</f>
        <v/>
      </c>
      <c r="L479">
        <f>'T_TTAFStock'!J37</f>
        <v/>
      </c>
      <c r="M479">
        <f>'T_TTAFStock'!K37</f>
        <v/>
      </c>
      <c r="N479">
        <f>'T_TTAFStock'!L37</f>
        <v/>
      </c>
      <c r="O479">
        <f>'T_TTAFStock'!M37</f>
        <v/>
      </c>
      <c r="P479">
        <f>'T_TTAFStock'!N37</f>
        <v/>
      </c>
      <c r="Q479">
        <f>'T_TTAFStock'!O37</f>
        <v/>
      </c>
      <c r="R479">
        <f>'T_TTAFStock'!P37</f>
        <v/>
      </c>
      <c r="S479">
        <f>'T_TTAFStock'!Q37</f>
        <v/>
      </c>
      <c r="T479">
        <f>'T_TTAFStock'!R37</f>
        <v/>
      </c>
      <c r="U479">
        <f>'T_TTAFStock'!S37</f>
        <v/>
      </c>
      <c r="V479">
        <f>'T_TTAFStock'!T37</f>
        <v/>
      </c>
      <c r="W479">
        <f>'T_TTAFStock'!U37</f>
        <v/>
      </c>
      <c r="X479">
        <f>'T_TTAFStock'!V37</f>
        <v/>
      </c>
      <c r="Y479">
        <f>'T_TTAFStock'!W37</f>
        <v/>
      </c>
      <c r="Z479">
        <f>'T_TTAFStock'!X37</f>
        <v/>
      </c>
      <c r="AA479">
        <f>'T_TTAFStock'!Y37</f>
        <v/>
      </c>
      <c r="AB479">
        <f>'T_TTAFStock'!Z37</f>
        <v/>
      </c>
      <c r="AC479">
        <f>'T_TTAFStock'!AA37</f>
        <v/>
      </c>
      <c r="AD479">
        <f>'T_TTAFStock'!AB37</f>
        <v/>
      </c>
      <c r="AE479">
        <f>'T_TTAFStock'!AC37</f>
        <v/>
      </c>
      <c r="AF479">
        <f>'T_TTAFStock'!AD37</f>
        <v/>
      </c>
      <c r="AG479">
        <f>'T_TTAFStock'!AE37</f>
        <v/>
      </c>
      <c r="AH479">
        <f>'T_TTAFStock'!AF37</f>
        <v/>
      </c>
      <c r="AI479">
        <f>'T_TTAFStock'!AG37</f>
        <v/>
      </c>
      <c r="AJ479">
        <f>'T_TTAFStock'!AH37</f>
        <v/>
      </c>
      <c r="AK479">
        <f>'T_TTAFStock'!AI37</f>
        <v/>
      </c>
      <c r="AL479">
        <f>'T_TTAFStock'!AJ37</f>
        <v/>
      </c>
      <c r="AM479">
        <f>'T_TTAFStock'!AK37</f>
        <v/>
      </c>
      <c r="AN479">
        <f>'T_TTAFStock'!AL37</f>
        <v/>
      </c>
      <c r="AO479">
        <f>'T_TTAFStock'!AM37</f>
        <v/>
      </c>
      <c r="AP479">
        <f>'T_TTAFStock'!AN37</f>
        <v/>
      </c>
      <c r="AQ479">
        <f>'T_TTAFStock'!AO37</f>
        <v/>
      </c>
      <c r="AR479">
        <f>'T_TTAFStock'!AP37</f>
        <v/>
      </c>
      <c r="AS479">
        <f>'T_TTAFStock'!AQ37</f>
        <v/>
      </c>
      <c r="AT479">
        <f>'T_TTAFStock'!AR37</f>
        <v/>
      </c>
      <c r="AU479">
        <f>'T_TTAFStock'!AS37</f>
        <v/>
      </c>
      <c r="AV479">
        <f>'T_TTAFStock'!AT37</f>
        <v/>
      </c>
      <c r="AW479">
        <f>'T_TTAFStock'!AU37</f>
        <v/>
      </c>
      <c r="AX479">
        <f>'T_TTAFStock'!AV37</f>
        <v/>
      </c>
      <c r="AY479">
        <f>'T_TTAFStock'!AW37</f>
        <v/>
      </c>
      <c r="AZ479">
        <f>'T_TTAFStock'!AX37</f>
        <v/>
      </c>
      <c r="BA479">
        <f>'T_TTAFStock'!AY37</f>
        <v/>
      </c>
      <c r="BB479">
        <f>'T_TTAFStock'!AZ37</f>
        <v/>
      </c>
      <c r="BC479">
        <f>'T_TTAFStock'!BA37</f>
        <v/>
      </c>
      <c r="BD479">
        <f>'T_TTAFStock'!BB37</f>
        <v/>
      </c>
      <c r="BE479">
        <f>'T_TTAFStock'!BC37</f>
        <v/>
      </c>
      <c r="BF479">
        <f>'T_TTAFStock'!BD37</f>
        <v/>
      </c>
      <c r="BG479">
        <f>'T_TTAFStock'!BE37</f>
        <v/>
      </c>
      <c r="BH479">
        <f>'T_TTAFStock'!BF37</f>
        <v/>
      </c>
      <c r="BI479">
        <f>'T_TTAFStock'!BG37</f>
        <v/>
      </c>
      <c r="BJ479">
        <f>'T_TTAFStock'!BH37</f>
        <v/>
      </c>
      <c r="BK479">
        <f>'T_TTAFStock'!BI37</f>
        <v/>
      </c>
      <c r="BL479">
        <f>'T_TTAFStock'!BJ37</f>
        <v/>
      </c>
      <c r="BM479">
        <f>'T_TTAFStock'!BK37</f>
        <v/>
      </c>
      <c r="BN479">
        <f>'T_TTAFStock'!BL37</f>
        <v/>
      </c>
      <c r="BO479">
        <f>'T_TTAFStock'!BM37</f>
        <v/>
      </c>
      <c r="BP479">
        <f>'T_TTAFStock'!BN37</f>
        <v/>
      </c>
      <c r="BQ479">
        <f>'T_TTAFStock'!BO37</f>
        <v/>
      </c>
      <c r="BR479">
        <f>'T_TTAFStock'!BP37</f>
        <v/>
      </c>
      <c r="BS479">
        <f>'T_TTAFStock'!BQ37</f>
        <v/>
      </c>
      <c r="BT479">
        <f>'T_TTAFStock'!BR37</f>
        <v/>
      </c>
      <c r="BU479">
        <f>'T_TTAFStock'!BS37</f>
        <v/>
      </c>
      <c r="BV479">
        <f>'T_TTAFStock'!BT37</f>
        <v/>
      </c>
      <c r="BW479">
        <f>'T_TTAFStock'!BU37</f>
        <v/>
      </c>
      <c r="BX479">
        <f>'T_TTAFStock'!BV37</f>
        <v/>
      </c>
      <c r="BY479">
        <f>'T_TTAFStock'!BW37</f>
        <v/>
      </c>
      <c r="BZ479">
        <f>'T_TTAFStock'!BX37</f>
        <v/>
      </c>
      <c r="CA479">
        <f>'T_TTAFStock'!BY37</f>
        <v/>
      </c>
      <c r="CB479">
        <f>'T_TTAFStock'!BZ37</f>
        <v/>
      </c>
      <c r="CC479">
        <f>'T_TTAFStock'!CA37</f>
        <v/>
      </c>
      <c r="CD479">
        <f>'T_TTAFStock'!CB37</f>
        <v/>
      </c>
      <c r="CE479">
        <f>'T_TTAFStock'!CC37</f>
        <v/>
      </c>
      <c r="CF479">
        <f>'T_TTAFStock'!CD37</f>
        <v/>
      </c>
      <c r="CG479">
        <f>'T_TTAFStock'!CE37</f>
        <v/>
      </c>
      <c r="CH479">
        <f>'T_TTAFStock'!CF37</f>
        <v/>
      </c>
      <c r="CI479">
        <f>'T_TTAFStock'!CG37</f>
        <v/>
      </c>
      <c r="CJ479">
        <f>'T_TTAFStock'!CH37</f>
        <v/>
      </c>
      <c r="CK479">
        <f>'T_TTAFStock'!CI37</f>
        <v/>
      </c>
      <c r="CL479">
        <f>'T_TTAFStock'!CJ37</f>
        <v/>
      </c>
      <c r="CM479">
        <f>'T_TTAFStock'!CK37</f>
        <v/>
      </c>
      <c r="CN479">
        <f>'T_TTAFStock'!CL37</f>
        <v/>
      </c>
      <c r="CO479">
        <f>'T_TTAFStock'!CM37</f>
        <v/>
      </c>
      <c r="CP479">
        <f>'T_TTAFStock'!CN37</f>
        <v/>
      </c>
      <c r="CQ479">
        <f>'T_TTAFStock'!CO37</f>
        <v/>
      </c>
      <c r="CR479">
        <f>'T_TTAFStock'!CP37</f>
        <v/>
      </c>
      <c r="CS479">
        <f>'T_TTAFStock'!CQ37</f>
        <v/>
      </c>
      <c r="CT479">
        <f>'T_TTAFStock'!CR37</f>
        <v/>
      </c>
      <c r="CU479">
        <f>'T_TTAFStock'!CS37</f>
        <v/>
      </c>
      <c r="CV479">
        <f>'T_TTAFStock'!CT37</f>
        <v/>
      </c>
      <c r="CW479">
        <f>'T_TTAFStock'!CU37</f>
        <v/>
      </c>
      <c r="CX479">
        <f>'T_TTAFStock'!CV37</f>
        <v/>
      </c>
      <c r="CY479">
        <f>'T_TTAFStock'!CW37</f>
        <v/>
      </c>
      <c r="CZ479">
        <f>'T_TTAFStock'!CX37</f>
        <v/>
      </c>
      <c r="DA479">
        <f>'T_TTAFStock'!CY37</f>
        <v/>
      </c>
      <c r="DB479">
        <f>'T_TTAFStock'!CZ37</f>
        <v/>
      </c>
      <c r="DC479">
        <f>'T_TTAFStock'!DA37</f>
        <v/>
      </c>
    </row>
    <row r="480">
      <c r="B480" t="inlineStr">
        <is>
          <t>自社在庫(実績,kg)</t>
        </is>
      </c>
      <c r="D480">
        <f>'T_SelfStock'!B37</f>
        <v/>
      </c>
      <c r="E480">
        <f>'T_SelfStock'!C37</f>
        <v/>
      </c>
      <c r="F480">
        <f>'T_SelfStock'!D37</f>
        <v/>
      </c>
      <c r="G480">
        <f>'T_SelfStock'!E37</f>
        <v/>
      </c>
      <c r="H480">
        <f>'T_SelfStock'!F37</f>
        <v/>
      </c>
      <c r="I480">
        <f>'T_SelfStock'!G37</f>
        <v/>
      </c>
      <c r="J480">
        <f>'T_SelfStock'!H37</f>
        <v/>
      </c>
      <c r="K480">
        <f>'T_SelfStock'!I37</f>
        <v/>
      </c>
      <c r="L480">
        <f>'T_SelfStock'!J37</f>
        <v/>
      </c>
      <c r="M480">
        <f>'T_SelfStock'!K37</f>
        <v/>
      </c>
      <c r="N480">
        <f>'T_SelfStock'!L37</f>
        <v/>
      </c>
      <c r="O480">
        <f>'T_SelfStock'!M37</f>
        <v/>
      </c>
      <c r="P480">
        <f>'T_SelfStock'!N37</f>
        <v/>
      </c>
      <c r="Q480">
        <f>'T_SelfStock'!O37</f>
        <v/>
      </c>
      <c r="R480">
        <f>'T_SelfStock'!P37</f>
        <v/>
      </c>
      <c r="S480">
        <f>'T_SelfStock'!Q37</f>
        <v/>
      </c>
      <c r="T480">
        <f>'T_SelfStock'!R37</f>
        <v/>
      </c>
      <c r="U480">
        <f>'T_SelfStock'!S37</f>
        <v/>
      </c>
      <c r="V480">
        <f>'T_SelfStock'!T37</f>
        <v/>
      </c>
      <c r="W480">
        <f>'T_SelfStock'!U37</f>
        <v/>
      </c>
      <c r="X480">
        <f>'T_SelfStock'!V37</f>
        <v/>
      </c>
      <c r="Y480">
        <f>'T_SelfStock'!W37</f>
        <v/>
      </c>
      <c r="Z480">
        <f>'T_SelfStock'!X37</f>
        <v/>
      </c>
      <c r="AA480">
        <f>'T_SelfStock'!Y37</f>
        <v/>
      </c>
      <c r="AB480">
        <f>'T_SelfStock'!Z37</f>
        <v/>
      </c>
      <c r="AC480">
        <f>'T_SelfStock'!AA37</f>
        <v/>
      </c>
      <c r="AD480">
        <f>'T_SelfStock'!AB37</f>
        <v/>
      </c>
      <c r="AE480">
        <f>'T_SelfStock'!AC37</f>
        <v/>
      </c>
      <c r="AF480">
        <f>'T_SelfStock'!AD37</f>
        <v/>
      </c>
      <c r="AG480">
        <f>'T_SelfStock'!AE37</f>
        <v/>
      </c>
      <c r="AH480">
        <f>'T_SelfStock'!AF37</f>
        <v/>
      </c>
      <c r="AI480">
        <f>'T_SelfStock'!AG37</f>
        <v/>
      </c>
      <c r="AJ480">
        <f>'T_SelfStock'!AH37</f>
        <v/>
      </c>
      <c r="AK480">
        <f>'T_SelfStock'!AI37</f>
        <v/>
      </c>
      <c r="AL480">
        <f>'T_SelfStock'!AJ37</f>
        <v/>
      </c>
      <c r="AM480">
        <f>'T_SelfStock'!AK37</f>
        <v/>
      </c>
      <c r="AN480">
        <f>'T_SelfStock'!AL37</f>
        <v/>
      </c>
      <c r="AO480">
        <f>'T_SelfStock'!AM37</f>
        <v/>
      </c>
      <c r="AP480">
        <f>'T_SelfStock'!AN37</f>
        <v/>
      </c>
      <c r="AQ480">
        <f>'T_SelfStock'!AO37</f>
        <v/>
      </c>
      <c r="AR480">
        <f>'T_SelfStock'!AP37</f>
        <v/>
      </c>
      <c r="AS480">
        <f>'T_SelfStock'!AQ37</f>
        <v/>
      </c>
      <c r="AT480">
        <f>'T_SelfStock'!AR37</f>
        <v/>
      </c>
      <c r="AU480">
        <f>'T_SelfStock'!AS37</f>
        <v/>
      </c>
      <c r="AV480">
        <f>'T_SelfStock'!AT37</f>
        <v/>
      </c>
      <c r="AW480">
        <f>'T_SelfStock'!AU37</f>
        <v/>
      </c>
      <c r="AX480">
        <f>'T_SelfStock'!AV37</f>
        <v/>
      </c>
      <c r="AY480">
        <f>'T_SelfStock'!AW37</f>
        <v/>
      </c>
      <c r="AZ480">
        <f>'T_SelfStock'!AX37</f>
        <v/>
      </c>
      <c r="BA480">
        <f>'T_SelfStock'!AY37</f>
        <v/>
      </c>
      <c r="BB480">
        <f>'T_SelfStock'!AZ37</f>
        <v/>
      </c>
      <c r="BC480">
        <f>'T_SelfStock'!BA37</f>
        <v/>
      </c>
      <c r="BD480">
        <f>'T_SelfStock'!BB37</f>
        <v/>
      </c>
      <c r="BE480">
        <f>'T_SelfStock'!BC37</f>
        <v/>
      </c>
      <c r="BF480">
        <f>'T_SelfStock'!BD37</f>
        <v/>
      </c>
      <c r="BG480">
        <f>'T_SelfStock'!BE37</f>
        <v/>
      </c>
      <c r="BH480">
        <f>'T_SelfStock'!BF37</f>
        <v/>
      </c>
      <c r="BI480">
        <f>'T_SelfStock'!BG37</f>
        <v/>
      </c>
      <c r="BJ480">
        <f>'T_SelfStock'!BH37</f>
        <v/>
      </c>
      <c r="BK480">
        <f>'T_SelfStock'!BI37</f>
        <v/>
      </c>
      <c r="BL480">
        <f>'T_SelfStock'!BJ37</f>
        <v/>
      </c>
      <c r="BM480">
        <f>'T_SelfStock'!BK37</f>
        <v/>
      </c>
      <c r="BN480">
        <f>'T_SelfStock'!BL37</f>
        <v/>
      </c>
      <c r="BO480">
        <f>'T_SelfStock'!BM37</f>
        <v/>
      </c>
      <c r="BP480">
        <f>'T_SelfStock'!BN37</f>
        <v/>
      </c>
      <c r="BQ480">
        <f>'T_SelfStock'!BO37</f>
        <v/>
      </c>
      <c r="BR480">
        <f>'T_SelfStock'!BP37</f>
        <v/>
      </c>
      <c r="BS480">
        <f>'T_SelfStock'!BQ37</f>
        <v/>
      </c>
      <c r="BT480">
        <f>'T_SelfStock'!BR37</f>
        <v/>
      </c>
      <c r="BU480">
        <f>'T_SelfStock'!BS37</f>
        <v/>
      </c>
      <c r="BV480">
        <f>'T_SelfStock'!BT37</f>
        <v/>
      </c>
      <c r="BW480">
        <f>'T_SelfStock'!BU37</f>
        <v/>
      </c>
      <c r="BX480">
        <f>'T_SelfStock'!BV37</f>
        <v/>
      </c>
      <c r="BY480">
        <f>'T_SelfStock'!BW37</f>
        <v/>
      </c>
      <c r="BZ480">
        <f>'T_SelfStock'!BX37</f>
        <v/>
      </c>
      <c r="CA480">
        <f>'T_SelfStock'!BY37</f>
        <v/>
      </c>
      <c r="CB480">
        <f>'T_SelfStock'!BZ37</f>
        <v/>
      </c>
      <c r="CC480">
        <f>'T_SelfStock'!CA37</f>
        <v/>
      </c>
      <c r="CD480">
        <f>'T_SelfStock'!CB37</f>
        <v/>
      </c>
      <c r="CE480">
        <f>'T_SelfStock'!CC37</f>
        <v/>
      </c>
      <c r="CF480">
        <f>'T_SelfStock'!CD37</f>
        <v/>
      </c>
      <c r="CG480">
        <f>'T_SelfStock'!CE37</f>
        <v/>
      </c>
      <c r="CH480">
        <f>'T_SelfStock'!CF37</f>
        <v/>
      </c>
      <c r="CI480">
        <f>'T_SelfStock'!CG37</f>
        <v/>
      </c>
      <c r="CJ480">
        <f>'T_SelfStock'!CH37</f>
        <v/>
      </c>
      <c r="CK480">
        <f>'T_SelfStock'!CI37</f>
        <v/>
      </c>
      <c r="CL480">
        <f>'T_SelfStock'!CJ37</f>
        <v/>
      </c>
      <c r="CM480">
        <f>'T_SelfStock'!CK37</f>
        <v/>
      </c>
      <c r="CN480">
        <f>'T_SelfStock'!CL37</f>
        <v/>
      </c>
      <c r="CO480">
        <f>'T_SelfStock'!CM37</f>
        <v/>
      </c>
      <c r="CP480">
        <f>'T_SelfStock'!CN37</f>
        <v/>
      </c>
      <c r="CQ480">
        <f>'T_SelfStock'!CO37</f>
        <v/>
      </c>
      <c r="CR480">
        <f>'T_SelfStock'!CP37</f>
        <v/>
      </c>
      <c r="CS480">
        <f>'T_SelfStock'!CQ37</f>
        <v/>
      </c>
      <c r="CT480">
        <f>'T_SelfStock'!CR37</f>
        <v/>
      </c>
      <c r="CU480">
        <f>'T_SelfStock'!CS37</f>
        <v/>
      </c>
      <c r="CV480">
        <f>'T_SelfStock'!CT37</f>
        <v/>
      </c>
      <c r="CW480">
        <f>'T_SelfStock'!CU37</f>
        <v/>
      </c>
      <c r="CX480">
        <f>'T_SelfStock'!CV37</f>
        <v/>
      </c>
      <c r="CY480">
        <f>'T_SelfStock'!CW37</f>
        <v/>
      </c>
      <c r="CZ480">
        <f>'T_SelfStock'!CX37</f>
        <v/>
      </c>
      <c r="DA480">
        <f>'T_SelfStock'!CY37</f>
        <v/>
      </c>
      <c r="DB480">
        <f>'T_SelfStock'!CZ37</f>
        <v/>
      </c>
      <c r="DC480">
        <f>'T_SelfStock'!DA37</f>
        <v/>
      </c>
    </row>
    <row r="481">
      <c r="B481" t="inlineStr">
        <is>
          <t>Order(発注予定,kg)</t>
        </is>
      </c>
      <c r="D481">
        <f>IF(SUMIFS(T_PlannedOrders[EffectiveQty],T_PlannedOrders[Part Name],$A475,T_PlannedOrders[WeekIndex],1)=0,"",SUMIFS(T_PlannedOrders[EffectiveQty],T_PlannedOrders[Part Name],$A475,T_PlannedOrders[WeekIndex],1)&amp;" ("&amp;TEXT(SUMPRODUCT(MAX((T_PlannedOrders[Part Name]=$A475)*(T_PlannedOrders[WeekIndex]=1)*(T_PlannedOrders[EffectiveQty]&gt;0)*T_PlannedOrders[Order_Month])),"m月")&amp;"発注)")</f>
        <v/>
      </c>
      <c r="E481">
        <f>IF(SUMIFS(T_PlannedOrders[EffectiveQty],T_PlannedOrders[Part Name],$A475,T_PlannedOrders[WeekIndex],2)=0,"",SUMIFS(T_PlannedOrders[EffectiveQty],T_PlannedOrders[Part Name],$A475,T_PlannedOrders[WeekIndex],2)&amp;" ("&amp;TEXT(SUMPRODUCT(MAX((T_PlannedOrders[Part Name]=$A475)*(T_PlannedOrders[WeekIndex]=2)*(T_PlannedOrders[EffectiveQty]&gt;0)*T_PlannedOrders[Order_Month])),"m月")&amp;"発注)")</f>
        <v/>
      </c>
      <c r="F481">
        <f>IF(SUMIFS(T_PlannedOrders[EffectiveQty],T_PlannedOrders[Part Name],$A475,T_PlannedOrders[WeekIndex],3)=0,"",SUMIFS(T_PlannedOrders[EffectiveQty],T_PlannedOrders[Part Name],$A475,T_PlannedOrders[WeekIndex],3)&amp;" ("&amp;TEXT(SUMPRODUCT(MAX((T_PlannedOrders[Part Name]=$A475)*(T_PlannedOrders[WeekIndex]=3)*(T_PlannedOrders[EffectiveQty]&gt;0)*T_PlannedOrders[Order_Month])),"m月")&amp;"発注)")</f>
        <v/>
      </c>
      <c r="G481">
        <f>IF(SUMIFS(T_PlannedOrders[EffectiveQty],T_PlannedOrders[Part Name],$A475,T_PlannedOrders[WeekIndex],4)=0,"",SUMIFS(T_PlannedOrders[EffectiveQty],T_PlannedOrders[Part Name],$A475,T_PlannedOrders[WeekIndex],4)&amp;" ("&amp;TEXT(SUMPRODUCT(MAX((T_PlannedOrders[Part Name]=$A475)*(T_PlannedOrders[WeekIndex]=4)*(T_PlannedOrders[EffectiveQty]&gt;0)*T_PlannedOrders[Order_Month])),"m月")&amp;"発注)")</f>
        <v/>
      </c>
      <c r="H481">
        <f>IF(SUMIFS(T_PlannedOrders[EffectiveQty],T_PlannedOrders[Part Name],$A475,T_PlannedOrders[WeekIndex],5)=0,"",SUMIFS(T_PlannedOrders[EffectiveQty],T_PlannedOrders[Part Name],$A475,T_PlannedOrders[WeekIndex],5)&amp;" ("&amp;TEXT(SUMPRODUCT(MAX((T_PlannedOrders[Part Name]=$A475)*(T_PlannedOrders[WeekIndex]=5)*(T_PlannedOrders[EffectiveQty]&gt;0)*T_PlannedOrders[Order_Month])),"m月")&amp;"発注)")</f>
        <v/>
      </c>
      <c r="I481">
        <f>IF(SUMIFS(T_PlannedOrders[EffectiveQty],T_PlannedOrders[Part Name],$A475,T_PlannedOrders[WeekIndex],6)=0,"",SUMIFS(T_PlannedOrders[EffectiveQty],T_PlannedOrders[Part Name],$A475,T_PlannedOrders[WeekIndex],6)&amp;" ("&amp;TEXT(SUMPRODUCT(MAX((T_PlannedOrders[Part Name]=$A475)*(T_PlannedOrders[WeekIndex]=6)*(T_PlannedOrders[EffectiveQty]&gt;0)*T_PlannedOrders[Order_Month])),"m月")&amp;"発注)")</f>
        <v/>
      </c>
      <c r="J481">
        <f>IF(SUMIFS(T_PlannedOrders[EffectiveQty],T_PlannedOrders[Part Name],$A475,T_PlannedOrders[WeekIndex],7)=0,"",SUMIFS(T_PlannedOrders[EffectiveQty],T_PlannedOrders[Part Name],$A475,T_PlannedOrders[WeekIndex],7)&amp;" ("&amp;TEXT(SUMPRODUCT(MAX((T_PlannedOrders[Part Name]=$A475)*(T_PlannedOrders[WeekIndex]=7)*(T_PlannedOrders[EffectiveQty]&gt;0)*T_PlannedOrders[Order_Month])),"m月")&amp;"発注)")</f>
        <v/>
      </c>
      <c r="K481">
        <f>IF(SUMIFS(T_PlannedOrders[EffectiveQty],T_PlannedOrders[Part Name],$A475,T_PlannedOrders[WeekIndex],8)=0,"",SUMIFS(T_PlannedOrders[EffectiveQty],T_PlannedOrders[Part Name],$A475,T_PlannedOrders[WeekIndex],8)&amp;" ("&amp;TEXT(SUMPRODUCT(MAX((T_PlannedOrders[Part Name]=$A475)*(T_PlannedOrders[WeekIndex]=8)*(T_PlannedOrders[EffectiveQty]&gt;0)*T_PlannedOrders[Order_Month])),"m月")&amp;"発注)")</f>
        <v/>
      </c>
      <c r="L481">
        <f>IF(SUMIFS(T_PlannedOrders[EffectiveQty],T_PlannedOrders[Part Name],$A475,T_PlannedOrders[WeekIndex],9)=0,"",SUMIFS(T_PlannedOrders[EffectiveQty],T_PlannedOrders[Part Name],$A475,T_PlannedOrders[WeekIndex],9)&amp;" ("&amp;TEXT(SUMPRODUCT(MAX((T_PlannedOrders[Part Name]=$A475)*(T_PlannedOrders[WeekIndex]=9)*(T_PlannedOrders[EffectiveQty]&gt;0)*T_PlannedOrders[Order_Month])),"m月")&amp;"発注)")</f>
        <v/>
      </c>
      <c r="M481">
        <f>IF(SUMIFS(T_PlannedOrders[EffectiveQty],T_PlannedOrders[Part Name],$A475,T_PlannedOrders[WeekIndex],10)=0,"",SUMIFS(T_PlannedOrders[EffectiveQty],T_PlannedOrders[Part Name],$A475,T_PlannedOrders[WeekIndex],10)&amp;" ("&amp;TEXT(SUMPRODUCT(MAX((T_PlannedOrders[Part Name]=$A475)*(T_PlannedOrders[WeekIndex]=10)*(T_PlannedOrders[EffectiveQty]&gt;0)*T_PlannedOrders[Order_Month])),"m月")&amp;"発注)")</f>
        <v/>
      </c>
      <c r="N481">
        <f>IF(SUMIFS(T_PlannedOrders[EffectiveQty],T_PlannedOrders[Part Name],$A475,T_PlannedOrders[WeekIndex],11)=0,"",SUMIFS(T_PlannedOrders[EffectiveQty],T_PlannedOrders[Part Name],$A475,T_PlannedOrders[WeekIndex],11)&amp;" ("&amp;TEXT(SUMPRODUCT(MAX((T_PlannedOrders[Part Name]=$A475)*(T_PlannedOrders[WeekIndex]=11)*(T_PlannedOrders[EffectiveQty]&gt;0)*T_PlannedOrders[Order_Month])),"m月")&amp;"発注)")</f>
        <v/>
      </c>
      <c r="O481">
        <f>IF(SUMIFS(T_PlannedOrders[EffectiveQty],T_PlannedOrders[Part Name],$A475,T_PlannedOrders[WeekIndex],12)=0,"",SUMIFS(T_PlannedOrders[EffectiveQty],T_PlannedOrders[Part Name],$A475,T_PlannedOrders[WeekIndex],12)&amp;" ("&amp;TEXT(SUMPRODUCT(MAX((T_PlannedOrders[Part Name]=$A475)*(T_PlannedOrders[WeekIndex]=12)*(T_PlannedOrders[EffectiveQty]&gt;0)*T_PlannedOrders[Order_Month])),"m月")&amp;"発注)")</f>
        <v/>
      </c>
      <c r="P481">
        <f>IF(SUMIFS(T_PlannedOrders[EffectiveQty],T_PlannedOrders[Part Name],$A475,T_PlannedOrders[WeekIndex],13)=0,"",SUMIFS(T_PlannedOrders[EffectiveQty],T_PlannedOrders[Part Name],$A475,T_PlannedOrders[WeekIndex],13)&amp;" ("&amp;TEXT(SUMPRODUCT(MAX((T_PlannedOrders[Part Name]=$A475)*(T_PlannedOrders[WeekIndex]=13)*(T_PlannedOrders[EffectiveQty]&gt;0)*T_PlannedOrders[Order_Month])),"m月")&amp;"発注)")</f>
        <v/>
      </c>
      <c r="Q481">
        <f>IF(SUMIFS(T_PlannedOrders[EffectiveQty],T_PlannedOrders[Part Name],$A475,T_PlannedOrders[WeekIndex],14)=0,"",SUMIFS(T_PlannedOrders[EffectiveQty],T_PlannedOrders[Part Name],$A475,T_PlannedOrders[WeekIndex],14)&amp;" ("&amp;TEXT(SUMPRODUCT(MAX((T_PlannedOrders[Part Name]=$A475)*(T_PlannedOrders[WeekIndex]=14)*(T_PlannedOrders[EffectiveQty]&gt;0)*T_PlannedOrders[Order_Month])),"m月")&amp;"発注)")</f>
        <v/>
      </c>
      <c r="R481">
        <f>IF(SUMIFS(T_PlannedOrders[EffectiveQty],T_PlannedOrders[Part Name],$A475,T_PlannedOrders[WeekIndex],15)=0,"",SUMIFS(T_PlannedOrders[EffectiveQty],T_PlannedOrders[Part Name],$A475,T_PlannedOrders[WeekIndex],15)&amp;" ("&amp;TEXT(SUMPRODUCT(MAX((T_PlannedOrders[Part Name]=$A475)*(T_PlannedOrders[WeekIndex]=15)*(T_PlannedOrders[EffectiveQty]&gt;0)*T_PlannedOrders[Order_Month])),"m月")&amp;"発注)")</f>
        <v/>
      </c>
      <c r="S481">
        <f>IF(SUMIFS(T_PlannedOrders[EffectiveQty],T_PlannedOrders[Part Name],$A475,T_PlannedOrders[WeekIndex],16)=0,"",SUMIFS(T_PlannedOrders[EffectiveQty],T_PlannedOrders[Part Name],$A475,T_PlannedOrders[WeekIndex],16)&amp;" ("&amp;TEXT(SUMPRODUCT(MAX((T_PlannedOrders[Part Name]=$A475)*(T_PlannedOrders[WeekIndex]=16)*(T_PlannedOrders[EffectiveQty]&gt;0)*T_PlannedOrders[Order_Month])),"m月")&amp;"発注)")</f>
        <v/>
      </c>
      <c r="T481">
        <f>IF(SUMIFS(T_PlannedOrders[EffectiveQty],T_PlannedOrders[Part Name],$A475,T_PlannedOrders[WeekIndex],17)=0,"",SUMIFS(T_PlannedOrders[EffectiveQty],T_PlannedOrders[Part Name],$A475,T_PlannedOrders[WeekIndex],17)&amp;" ("&amp;TEXT(SUMPRODUCT(MAX((T_PlannedOrders[Part Name]=$A475)*(T_PlannedOrders[WeekIndex]=17)*(T_PlannedOrders[EffectiveQty]&gt;0)*T_PlannedOrders[Order_Month])),"m月")&amp;"発注)")</f>
        <v/>
      </c>
      <c r="U481">
        <f>IF(SUMIFS(T_PlannedOrders[EffectiveQty],T_PlannedOrders[Part Name],$A475,T_PlannedOrders[WeekIndex],18)=0,"",SUMIFS(T_PlannedOrders[EffectiveQty],T_PlannedOrders[Part Name],$A475,T_PlannedOrders[WeekIndex],18)&amp;" ("&amp;TEXT(SUMPRODUCT(MAX((T_PlannedOrders[Part Name]=$A475)*(T_PlannedOrders[WeekIndex]=18)*(T_PlannedOrders[EffectiveQty]&gt;0)*T_PlannedOrders[Order_Month])),"m月")&amp;"発注)")</f>
        <v/>
      </c>
      <c r="V481">
        <f>IF(SUMIFS(T_PlannedOrders[EffectiveQty],T_PlannedOrders[Part Name],$A475,T_PlannedOrders[WeekIndex],19)=0,"",SUMIFS(T_PlannedOrders[EffectiveQty],T_PlannedOrders[Part Name],$A475,T_PlannedOrders[WeekIndex],19)&amp;" ("&amp;TEXT(SUMPRODUCT(MAX((T_PlannedOrders[Part Name]=$A475)*(T_PlannedOrders[WeekIndex]=19)*(T_PlannedOrders[EffectiveQty]&gt;0)*T_PlannedOrders[Order_Month])),"m月")&amp;"発注)")</f>
        <v/>
      </c>
      <c r="W481">
        <f>IF(SUMIFS(T_PlannedOrders[EffectiveQty],T_PlannedOrders[Part Name],$A475,T_PlannedOrders[WeekIndex],20)=0,"",SUMIFS(T_PlannedOrders[EffectiveQty],T_PlannedOrders[Part Name],$A475,T_PlannedOrders[WeekIndex],20)&amp;" ("&amp;TEXT(SUMPRODUCT(MAX((T_PlannedOrders[Part Name]=$A475)*(T_PlannedOrders[WeekIndex]=20)*(T_PlannedOrders[EffectiveQty]&gt;0)*T_PlannedOrders[Order_Month])),"m月")&amp;"発注)")</f>
        <v/>
      </c>
      <c r="X481">
        <f>IF(SUMIFS(T_PlannedOrders[EffectiveQty],T_PlannedOrders[Part Name],$A475,T_PlannedOrders[WeekIndex],21)=0,"",SUMIFS(T_PlannedOrders[EffectiveQty],T_PlannedOrders[Part Name],$A475,T_PlannedOrders[WeekIndex],21)&amp;" ("&amp;TEXT(SUMPRODUCT(MAX((T_PlannedOrders[Part Name]=$A475)*(T_PlannedOrders[WeekIndex]=21)*(T_PlannedOrders[EffectiveQty]&gt;0)*T_PlannedOrders[Order_Month])),"m月")&amp;"発注)")</f>
        <v/>
      </c>
      <c r="Y481">
        <f>IF(SUMIFS(T_PlannedOrders[EffectiveQty],T_PlannedOrders[Part Name],$A475,T_PlannedOrders[WeekIndex],22)=0,"",SUMIFS(T_PlannedOrders[EffectiveQty],T_PlannedOrders[Part Name],$A475,T_PlannedOrders[WeekIndex],22)&amp;" ("&amp;TEXT(SUMPRODUCT(MAX((T_PlannedOrders[Part Name]=$A475)*(T_PlannedOrders[WeekIndex]=22)*(T_PlannedOrders[EffectiveQty]&gt;0)*T_PlannedOrders[Order_Month])),"m月")&amp;"発注)")</f>
        <v/>
      </c>
      <c r="Z481">
        <f>IF(SUMIFS(T_PlannedOrders[EffectiveQty],T_PlannedOrders[Part Name],$A475,T_PlannedOrders[WeekIndex],23)=0,"",SUMIFS(T_PlannedOrders[EffectiveQty],T_PlannedOrders[Part Name],$A475,T_PlannedOrders[WeekIndex],23)&amp;" ("&amp;TEXT(SUMPRODUCT(MAX((T_PlannedOrders[Part Name]=$A475)*(T_PlannedOrders[WeekIndex]=23)*(T_PlannedOrders[EffectiveQty]&gt;0)*T_PlannedOrders[Order_Month])),"m月")&amp;"発注)")</f>
        <v/>
      </c>
      <c r="AA481">
        <f>IF(SUMIFS(T_PlannedOrders[EffectiveQty],T_PlannedOrders[Part Name],$A475,T_PlannedOrders[WeekIndex],24)=0,"",SUMIFS(T_PlannedOrders[EffectiveQty],T_PlannedOrders[Part Name],$A475,T_PlannedOrders[WeekIndex],24)&amp;" ("&amp;TEXT(SUMPRODUCT(MAX((T_PlannedOrders[Part Name]=$A475)*(T_PlannedOrders[WeekIndex]=24)*(T_PlannedOrders[EffectiveQty]&gt;0)*T_PlannedOrders[Order_Month])),"m月")&amp;"発注)")</f>
        <v/>
      </c>
      <c r="AB481">
        <f>IF(SUMIFS(T_PlannedOrders[EffectiveQty],T_PlannedOrders[Part Name],$A475,T_PlannedOrders[WeekIndex],25)=0,"",SUMIFS(T_PlannedOrders[EffectiveQty],T_PlannedOrders[Part Name],$A475,T_PlannedOrders[WeekIndex],25)&amp;" ("&amp;TEXT(SUMPRODUCT(MAX((T_PlannedOrders[Part Name]=$A475)*(T_PlannedOrders[WeekIndex]=25)*(T_PlannedOrders[EffectiveQty]&gt;0)*T_PlannedOrders[Order_Month])),"m月")&amp;"発注)")</f>
        <v/>
      </c>
      <c r="AC481">
        <f>IF(SUMIFS(T_PlannedOrders[EffectiveQty],T_PlannedOrders[Part Name],$A475,T_PlannedOrders[WeekIndex],26)=0,"",SUMIFS(T_PlannedOrders[EffectiveQty],T_PlannedOrders[Part Name],$A475,T_PlannedOrders[WeekIndex],26)&amp;" ("&amp;TEXT(SUMPRODUCT(MAX((T_PlannedOrders[Part Name]=$A475)*(T_PlannedOrders[WeekIndex]=26)*(T_PlannedOrders[EffectiveQty]&gt;0)*T_PlannedOrders[Order_Month])),"m月")&amp;"発注)")</f>
        <v/>
      </c>
      <c r="AD481">
        <f>IF(SUMIFS(T_PlannedOrders[EffectiveQty],T_PlannedOrders[Part Name],$A475,T_PlannedOrders[WeekIndex],27)=0,"",SUMIFS(T_PlannedOrders[EffectiveQty],T_PlannedOrders[Part Name],$A475,T_PlannedOrders[WeekIndex],27)&amp;" ("&amp;TEXT(SUMPRODUCT(MAX((T_PlannedOrders[Part Name]=$A475)*(T_PlannedOrders[WeekIndex]=27)*(T_PlannedOrders[EffectiveQty]&gt;0)*T_PlannedOrders[Order_Month])),"m月")&amp;"発注)")</f>
        <v/>
      </c>
      <c r="AE481">
        <f>IF(SUMIFS(T_PlannedOrders[EffectiveQty],T_PlannedOrders[Part Name],$A475,T_PlannedOrders[WeekIndex],28)=0,"",SUMIFS(T_PlannedOrders[EffectiveQty],T_PlannedOrders[Part Name],$A475,T_PlannedOrders[WeekIndex],28)&amp;" ("&amp;TEXT(SUMPRODUCT(MAX((T_PlannedOrders[Part Name]=$A475)*(T_PlannedOrders[WeekIndex]=28)*(T_PlannedOrders[EffectiveQty]&gt;0)*T_PlannedOrders[Order_Month])),"m月")&amp;"発注)")</f>
        <v/>
      </c>
      <c r="AF481">
        <f>IF(SUMIFS(T_PlannedOrders[EffectiveQty],T_PlannedOrders[Part Name],$A475,T_PlannedOrders[WeekIndex],29)=0,"",SUMIFS(T_PlannedOrders[EffectiveQty],T_PlannedOrders[Part Name],$A475,T_PlannedOrders[WeekIndex],29)&amp;" ("&amp;TEXT(SUMPRODUCT(MAX((T_PlannedOrders[Part Name]=$A475)*(T_PlannedOrders[WeekIndex]=29)*(T_PlannedOrders[EffectiveQty]&gt;0)*T_PlannedOrders[Order_Month])),"m月")&amp;"発注)")</f>
        <v/>
      </c>
      <c r="AG481">
        <f>IF(SUMIFS(T_PlannedOrders[EffectiveQty],T_PlannedOrders[Part Name],$A475,T_PlannedOrders[WeekIndex],30)=0,"",SUMIFS(T_PlannedOrders[EffectiveQty],T_PlannedOrders[Part Name],$A475,T_PlannedOrders[WeekIndex],30)&amp;" ("&amp;TEXT(SUMPRODUCT(MAX((T_PlannedOrders[Part Name]=$A475)*(T_PlannedOrders[WeekIndex]=30)*(T_PlannedOrders[EffectiveQty]&gt;0)*T_PlannedOrders[Order_Month])),"m月")&amp;"発注)")</f>
        <v/>
      </c>
      <c r="AH481">
        <f>IF(SUMIFS(T_PlannedOrders[EffectiveQty],T_PlannedOrders[Part Name],$A475,T_PlannedOrders[WeekIndex],31)=0,"",SUMIFS(T_PlannedOrders[EffectiveQty],T_PlannedOrders[Part Name],$A475,T_PlannedOrders[WeekIndex],31)&amp;" ("&amp;TEXT(SUMPRODUCT(MAX((T_PlannedOrders[Part Name]=$A475)*(T_PlannedOrders[WeekIndex]=31)*(T_PlannedOrders[EffectiveQty]&gt;0)*T_PlannedOrders[Order_Month])),"m月")&amp;"発注)")</f>
        <v/>
      </c>
      <c r="AI481">
        <f>IF(SUMIFS(T_PlannedOrders[EffectiveQty],T_PlannedOrders[Part Name],$A475,T_PlannedOrders[WeekIndex],32)=0,"",SUMIFS(T_PlannedOrders[EffectiveQty],T_PlannedOrders[Part Name],$A475,T_PlannedOrders[WeekIndex],32)&amp;" ("&amp;TEXT(SUMPRODUCT(MAX((T_PlannedOrders[Part Name]=$A475)*(T_PlannedOrders[WeekIndex]=32)*(T_PlannedOrders[EffectiveQty]&gt;0)*T_PlannedOrders[Order_Month])),"m月")&amp;"発注)")</f>
        <v/>
      </c>
      <c r="AJ481">
        <f>IF(SUMIFS(T_PlannedOrders[EffectiveQty],T_PlannedOrders[Part Name],$A475,T_PlannedOrders[WeekIndex],33)=0,"",SUMIFS(T_PlannedOrders[EffectiveQty],T_PlannedOrders[Part Name],$A475,T_PlannedOrders[WeekIndex],33)&amp;" ("&amp;TEXT(SUMPRODUCT(MAX((T_PlannedOrders[Part Name]=$A475)*(T_PlannedOrders[WeekIndex]=33)*(T_PlannedOrders[EffectiveQty]&gt;0)*T_PlannedOrders[Order_Month])),"m月")&amp;"発注)")</f>
        <v/>
      </c>
      <c r="AK481">
        <f>IF(SUMIFS(T_PlannedOrders[EffectiveQty],T_PlannedOrders[Part Name],$A475,T_PlannedOrders[WeekIndex],34)=0,"",SUMIFS(T_PlannedOrders[EffectiveQty],T_PlannedOrders[Part Name],$A475,T_PlannedOrders[WeekIndex],34)&amp;" ("&amp;TEXT(SUMPRODUCT(MAX((T_PlannedOrders[Part Name]=$A475)*(T_PlannedOrders[WeekIndex]=34)*(T_PlannedOrders[EffectiveQty]&gt;0)*T_PlannedOrders[Order_Month])),"m月")&amp;"発注)")</f>
        <v/>
      </c>
      <c r="AL481">
        <f>IF(SUMIFS(T_PlannedOrders[EffectiveQty],T_PlannedOrders[Part Name],$A475,T_PlannedOrders[WeekIndex],35)=0,"",SUMIFS(T_PlannedOrders[EffectiveQty],T_PlannedOrders[Part Name],$A475,T_PlannedOrders[WeekIndex],35)&amp;" ("&amp;TEXT(SUMPRODUCT(MAX((T_PlannedOrders[Part Name]=$A475)*(T_PlannedOrders[WeekIndex]=35)*(T_PlannedOrders[EffectiveQty]&gt;0)*T_PlannedOrders[Order_Month])),"m月")&amp;"発注)")</f>
        <v/>
      </c>
      <c r="AM481">
        <f>IF(SUMIFS(T_PlannedOrders[EffectiveQty],T_PlannedOrders[Part Name],$A475,T_PlannedOrders[WeekIndex],36)=0,"",SUMIFS(T_PlannedOrders[EffectiveQty],T_PlannedOrders[Part Name],$A475,T_PlannedOrders[WeekIndex],36)&amp;" ("&amp;TEXT(SUMPRODUCT(MAX((T_PlannedOrders[Part Name]=$A475)*(T_PlannedOrders[WeekIndex]=36)*(T_PlannedOrders[EffectiveQty]&gt;0)*T_PlannedOrders[Order_Month])),"m月")&amp;"発注)")</f>
        <v/>
      </c>
      <c r="AN481">
        <f>IF(SUMIFS(T_PlannedOrders[EffectiveQty],T_PlannedOrders[Part Name],$A475,T_PlannedOrders[WeekIndex],37)=0,"",SUMIFS(T_PlannedOrders[EffectiveQty],T_PlannedOrders[Part Name],$A475,T_PlannedOrders[WeekIndex],37)&amp;" ("&amp;TEXT(SUMPRODUCT(MAX((T_PlannedOrders[Part Name]=$A475)*(T_PlannedOrders[WeekIndex]=37)*(T_PlannedOrders[EffectiveQty]&gt;0)*T_PlannedOrders[Order_Month])),"m月")&amp;"発注)")</f>
        <v/>
      </c>
      <c r="AO481">
        <f>IF(SUMIFS(T_PlannedOrders[EffectiveQty],T_PlannedOrders[Part Name],$A475,T_PlannedOrders[WeekIndex],38)=0,"",SUMIFS(T_PlannedOrders[EffectiveQty],T_PlannedOrders[Part Name],$A475,T_PlannedOrders[WeekIndex],38)&amp;" ("&amp;TEXT(SUMPRODUCT(MAX((T_PlannedOrders[Part Name]=$A475)*(T_PlannedOrders[WeekIndex]=38)*(T_PlannedOrders[EffectiveQty]&gt;0)*T_PlannedOrders[Order_Month])),"m月")&amp;"発注)")</f>
        <v/>
      </c>
      <c r="AP481">
        <f>IF(SUMIFS(T_PlannedOrders[EffectiveQty],T_PlannedOrders[Part Name],$A475,T_PlannedOrders[WeekIndex],39)=0,"",SUMIFS(T_PlannedOrders[EffectiveQty],T_PlannedOrders[Part Name],$A475,T_PlannedOrders[WeekIndex],39)&amp;" ("&amp;TEXT(SUMPRODUCT(MAX((T_PlannedOrders[Part Name]=$A475)*(T_PlannedOrders[WeekIndex]=39)*(T_PlannedOrders[EffectiveQty]&gt;0)*T_PlannedOrders[Order_Month])),"m月")&amp;"発注)")</f>
        <v/>
      </c>
      <c r="AQ481">
        <f>IF(SUMIFS(T_PlannedOrders[EffectiveQty],T_PlannedOrders[Part Name],$A475,T_PlannedOrders[WeekIndex],40)=0,"",SUMIFS(T_PlannedOrders[EffectiveQty],T_PlannedOrders[Part Name],$A475,T_PlannedOrders[WeekIndex],40)&amp;" ("&amp;TEXT(SUMPRODUCT(MAX((T_PlannedOrders[Part Name]=$A475)*(T_PlannedOrders[WeekIndex]=40)*(T_PlannedOrders[EffectiveQty]&gt;0)*T_PlannedOrders[Order_Month])),"m月")&amp;"発注)")</f>
        <v/>
      </c>
      <c r="AR481">
        <f>IF(SUMIFS(T_PlannedOrders[EffectiveQty],T_PlannedOrders[Part Name],$A475,T_PlannedOrders[WeekIndex],41)=0,"",SUMIFS(T_PlannedOrders[EffectiveQty],T_PlannedOrders[Part Name],$A475,T_PlannedOrders[WeekIndex],41)&amp;" ("&amp;TEXT(SUMPRODUCT(MAX((T_PlannedOrders[Part Name]=$A475)*(T_PlannedOrders[WeekIndex]=41)*(T_PlannedOrders[EffectiveQty]&gt;0)*T_PlannedOrders[Order_Month])),"m月")&amp;"発注)")</f>
        <v/>
      </c>
      <c r="AS481">
        <f>IF(SUMIFS(T_PlannedOrders[EffectiveQty],T_PlannedOrders[Part Name],$A475,T_PlannedOrders[WeekIndex],42)=0,"",SUMIFS(T_PlannedOrders[EffectiveQty],T_PlannedOrders[Part Name],$A475,T_PlannedOrders[WeekIndex],42)&amp;" ("&amp;TEXT(SUMPRODUCT(MAX((T_PlannedOrders[Part Name]=$A475)*(T_PlannedOrders[WeekIndex]=42)*(T_PlannedOrders[EffectiveQty]&gt;0)*T_PlannedOrders[Order_Month])),"m月")&amp;"発注)")</f>
        <v/>
      </c>
      <c r="AT481">
        <f>IF(SUMIFS(T_PlannedOrders[EffectiveQty],T_PlannedOrders[Part Name],$A475,T_PlannedOrders[WeekIndex],43)=0,"",SUMIFS(T_PlannedOrders[EffectiveQty],T_PlannedOrders[Part Name],$A475,T_PlannedOrders[WeekIndex],43)&amp;" ("&amp;TEXT(SUMPRODUCT(MAX((T_PlannedOrders[Part Name]=$A475)*(T_PlannedOrders[WeekIndex]=43)*(T_PlannedOrders[EffectiveQty]&gt;0)*T_PlannedOrders[Order_Month])),"m月")&amp;"発注)")</f>
        <v/>
      </c>
      <c r="AU481">
        <f>IF(SUMIFS(T_PlannedOrders[EffectiveQty],T_PlannedOrders[Part Name],$A475,T_PlannedOrders[WeekIndex],44)=0,"",SUMIFS(T_PlannedOrders[EffectiveQty],T_PlannedOrders[Part Name],$A475,T_PlannedOrders[WeekIndex],44)&amp;" ("&amp;TEXT(SUMPRODUCT(MAX((T_PlannedOrders[Part Name]=$A475)*(T_PlannedOrders[WeekIndex]=44)*(T_PlannedOrders[EffectiveQty]&gt;0)*T_PlannedOrders[Order_Month])),"m月")&amp;"発注)")</f>
        <v/>
      </c>
      <c r="AV481">
        <f>IF(SUMIFS(T_PlannedOrders[EffectiveQty],T_PlannedOrders[Part Name],$A475,T_PlannedOrders[WeekIndex],45)=0,"",SUMIFS(T_PlannedOrders[EffectiveQty],T_PlannedOrders[Part Name],$A475,T_PlannedOrders[WeekIndex],45)&amp;" ("&amp;TEXT(SUMPRODUCT(MAX((T_PlannedOrders[Part Name]=$A475)*(T_PlannedOrders[WeekIndex]=45)*(T_PlannedOrders[EffectiveQty]&gt;0)*T_PlannedOrders[Order_Month])),"m月")&amp;"発注)")</f>
        <v/>
      </c>
      <c r="AW481">
        <f>IF(SUMIFS(T_PlannedOrders[EffectiveQty],T_PlannedOrders[Part Name],$A475,T_PlannedOrders[WeekIndex],46)=0,"",SUMIFS(T_PlannedOrders[EffectiveQty],T_PlannedOrders[Part Name],$A475,T_PlannedOrders[WeekIndex],46)&amp;" ("&amp;TEXT(SUMPRODUCT(MAX((T_PlannedOrders[Part Name]=$A475)*(T_PlannedOrders[WeekIndex]=46)*(T_PlannedOrders[EffectiveQty]&gt;0)*T_PlannedOrders[Order_Month])),"m月")&amp;"発注)")</f>
        <v/>
      </c>
      <c r="AX481">
        <f>IF(SUMIFS(T_PlannedOrders[EffectiveQty],T_PlannedOrders[Part Name],$A475,T_PlannedOrders[WeekIndex],47)=0,"",SUMIFS(T_PlannedOrders[EffectiveQty],T_PlannedOrders[Part Name],$A475,T_PlannedOrders[WeekIndex],47)&amp;" ("&amp;TEXT(SUMPRODUCT(MAX((T_PlannedOrders[Part Name]=$A475)*(T_PlannedOrders[WeekIndex]=47)*(T_PlannedOrders[EffectiveQty]&gt;0)*T_PlannedOrders[Order_Month])),"m月")&amp;"発注)")</f>
        <v/>
      </c>
      <c r="AY481">
        <f>IF(SUMIFS(T_PlannedOrders[EffectiveQty],T_PlannedOrders[Part Name],$A475,T_PlannedOrders[WeekIndex],48)=0,"",SUMIFS(T_PlannedOrders[EffectiveQty],T_PlannedOrders[Part Name],$A475,T_PlannedOrders[WeekIndex],48)&amp;" ("&amp;TEXT(SUMPRODUCT(MAX((T_PlannedOrders[Part Name]=$A475)*(T_PlannedOrders[WeekIndex]=48)*(T_PlannedOrders[EffectiveQty]&gt;0)*T_PlannedOrders[Order_Month])),"m月")&amp;"発注)")</f>
        <v/>
      </c>
      <c r="AZ481">
        <f>IF(SUMIFS(T_PlannedOrders[EffectiveQty],T_PlannedOrders[Part Name],$A475,T_PlannedOrders[WeekIndex],49)=0,"",SUMIFS(T_PlannedOrders[EffectiveQty],T_PlannedOrders[Part Name],$A475,T_PlannedOrders[WeekIndex],49)&amp;" ("&amp;TEXT(SUMPRODUCT(MAX((T_PlannedOrders[Part Name]=$A475)*(T_PlannedOrders[WeekIndex]=49)*(T_PlannedOrders[EffectiveQty]&gt;0)*T_PlannedOrders[Order_Month])),"m月")&amp;"発注)")</f>
        <v/>
      </c>
      <c r="BA481">
        <f>IF(SUMIFS(T_PlannedOrders[EffectiveQty],T_PlannedOrders[Part Name],$A475,T_PlannedOrders[WeekIndex],50)=0,"",SUMIFS(T_PlannedOrders[EffectiveQty],T_PlannedOrders[Part Name],$A475,T_PlannedOrders[WeekIndex],50)&amp;" ("&amp;TEXT(SUMPRODUCT(MAX((T_PlannedOrders[Part Name]=$A475)*(T_PlannedOrders[WeekIndex]=50)*(T_PlannedOrders[EffectiveQty]&gt;0)*T_PlannedOrders[Order_Month])),"m月")&amp;"発注)")</f>
        <v/>
      </c>
      <c r="BB481">
        <f>IF(SUMIFS(T_PlannedOrders[EffectiveQty],T_PlannedOrders[Part Name],$A475,T_PlannedOrders[WeekIndex],51)=0,"",SUMIFS(T_PlannedOrders[EffectiveQty],T_PlannedOrders[Part Name],$A475,T_PlannedOrders[WeekIndex],51)&amp;" ("&amp;TEXT(SUMPRODUCT(MAX((T_PlannedOrders[Part Name]=$A475)*(T_PlannedOrders[WeekIndex]=51)*(T_PlannedOrders[EffectiveQty]&gt;0)*T_PlannedOrders[Order_Month])),"m月")&amp;"発注)")</f>
        <v/>
      </c>
      <c r="BC481">
        <f>IF(SUMIFS(T_PlannedOrders[EffectiveQty],T_PlannedOrders[Part Name],$A475,T_PlannedOrders[WeekIndex],52)=0,"",SUMIFS(T_PlannedOrders[EffectiveQty],T_PlannedOrders[Part Name],$A475,T_PlannedOrders[WeekIndex],52)&amp;" ("&amp;TEXT(SUMPRODUCT(MAX((T_PlannedOrders[Part Name]=$A475)*(T_PlannedOrders[WeekIndex]=52)*(T_PlannedOrders[EffectiveQty]&gt;0)*T_PlannedOrders[Order_Month])),"m月")&amp;"発注)")</f>
        <v/>
      </c>
      <c r="BD481">
        <f>IF(SUMIFS(T_PlannedOrders[EffectiveQty],T_PlannedOrders[Part Name],$A475,T_PlannedOrders[WeekIndex],53)=0,"",SUMIFS(T_PlannedOrders[EffectiveQty],T_PlannedOrders[Part Name],$A475,T_PlannedOrders[WeekIndex],53)&amp;" ("&amp;TEXT(SUMPRODUCT(MAX((T_PlannedOrders[Part Name]=$A475)*(T_PlannedOrders[WeekIndex]=53)*(T_PlannedOrders[EffectiveQty]&gt;0)*T_PlannedOrders[Order_Month])),"m月")&amp;"発注)")</f>
        <v/>
      </c>
      <c r="BE481">
        <f>IF(SUMIFS(T_PlannedOrders[EffectiveQty],T_PlannedOrders[Part Name],$A475,T_PlannedOrders[WeekIndex],54)=0,"",SUMIFS(T_PlannedOrders[EffectiveQty],T_PlannedOrders[Part Name],$A475,T_PlannedOrders[WeekIndex],54)&amp;" ("&amp;TEXT(SUMPRODUCT(MAX((T_PlannedOrders[Part Name]=$A475)*(T_PlannedOrders[WeekIndex]=54)*(T_PlannedOrders[EffectiveQty]&gt;0)*T_PlannedOrders[Order_Month])),"m月")&amp;"発注)")</f>
        <v/>
      </c>
      <c r="BF481">
        <f>IF(SUMIFS(T_PlannedOrders[EffectiveQty],T_PlannedOrders[Part Name],$A475,T_PlannedOrders[WeekIndex],55)=0,"",SUMIFS(T_PlannedOrders[EffectiveQty],T_PlannedOrders[Part Name],$A475,T_PlannedOrders[WeekIndex],55)&amp;" ("&amp;TEXT(SUMPRODUCT(MAX((T_PlannedOrders[Part Name]=$A475)*(T_PlannedOrders[WeekIndex]=55)*(T_PlannedOrders[EffectiveQty]&gt;0)*T_PlannedOrders[Order_Month])),"m月")&amp;"発注)")</f>
        <v/>
      </c>
      <c r="BG481">
        <f>IF(SUMIFS(T_PlannedOrders[EffectiveQty],T_PlannedOrders[Part Name],$A475,T_PlannedOrders[WeekIndex],56)=0,"",SUMIFS(T_PlannedOrders[EffectiveQty],T_PlannedOrders[Part Name],$A475,T_PlannedOrders[WeekIndex],56)&amp;" ("&amp;TEXT(SUMPRODUCT(MAX((T_PlannedOrders[Part Name]=$A475)*(T_PlannedOrders[WeekIndex]=56)*(T_PlannedOrders[EffectiveQty]&gt;0)*T_PlannedOrders[Order_Month])),"m月")&amp;"発注)")</f>
        <v/>
      </c>
      <c r="BH481">
        <f>IF(SUMIFS(T_PlannedOrders[EffectiveQty],T_PlannedOrders[Part Name],$A475,T_PlannedOrders[WeekIndex],57)=0,"",SUMIFS(T_PlannedOrders[EffectiveQty],T_PlannedOrders[Part Name],$A475,T_PlannedOrders[WeekIndex],57)&amp;" ("&amp;TEXT(SUMPRODUCT(MAX((T_PlannedOrders[Part Name]=$A475)*(T_PlannedOrders[WeekIndex]=57)*(T_PlannedOrders[EffectiveQty]&gt;0)*T_PlannedOrders[Order_Month])),"m月")&amp;"発注)")</f>
        <v/>
      </c>
      <c r="BI481">
        <f>IF(SUMIFS(T_PlannedOrders[EffectiveQty],T_PlannedOrders[Part Name],$A475,T_PlannedOrders[WeekIndex],58)=0,"",SUMIFS(T_PlannedOrders[EffectiveQty],T_PlannedOrders[Part Name],$A475,T_PlannedOrders[WeekIndex],58)&amp;" ("&amp;TEXT(SUMPRODUCT(MAX((T_PlannedOrders[Part Name]=$A475)*(T_PlannedOrders[WeekIndex]=58)*(T_PlannedOrders[EffectiveQty]&gt;0)*T_PlannedOrders[Order_Month])),"m月")&amp;"発注)")</f>
        <v/>
      </c>
      <c r="BJ481">
        <f>IF(SUMIFS(T_PlannedOrders[EffectiveQty],T_PlannedOrders[Part Name],$A475,T_PlannedOrders[WeekIndex],59)=0,"",SUMIFS(T_PlannedOrders[EffectiveQty],T_PlannedOrders[Part Name],$A475,T_PlannedOrders[WeekIndex],59)&amp;" ("&amp;TEXT(SUMPRODUCT(MAX((T_PlannedOrders[Part Name]=$A475)*(T_PlannedOrders[WeekIndex]=59)*(T_PlannedOrders[EffectiveQty]&gt;0)*T_PlannedOrders[Order_Month])),"m月")&amp;"発注)")</f>
        <v/>
      </c>
      <c r="BK481">
        <f>IF(SUMIFS(T_PlannedOrders[EffectiveQty],T_PlannedOrders[Part Name],$A475,T_PlannedOrders[WeekIndex],60)=0,"",SUMIFS(T_PlannedOrders[EffectiveQty],T_PlannedOrders[Part Name],$A475,T_PlannedOrders[WeekIndex],60)&amp;" ("&amp;TEXT(SUMPRODUCT(MAX((T_PlannedOrders[Part Name]=$A475)*(T_PlannedOrders[WeekIndex]=60)*(T_PlannedOrders[EffectiveQty]&gt;0)*T_PlannedOrders[Order_Month])),"m月")&amp;"発注)")</f>
        <v/>
      </c>
      <c r="BL481">
        <f>IF(SUMIFS(T_PlannedOrders[EffectiveQty],T_PlannedOrders[Part Name],$A475,T_PlannedOrders[WeekIndex],61)=0,"",SUMIFS(T_PlannedOrders[EffectiveQty],T_PlannedOrders[Part Name],$A475,T_PlannedOrders[WeekIndex],61)&amp;" ("&amp;TEXT(SUMPRODUCT(MAX((T_PlannedOrders[Part Name]=$A475)*(T_PlannedOrders[WeekIndex]=61)*(T_PlannedOrders[EffectiveQty]&gt;0)*T_PlannedOrders[Order_Month])),"m月")&amp;"発注)")</f>
        <v/>
      </c>
      <c r="BM481">
        <f>IF(SUMIFS(T_PlannedOrders[EffectiveQty],T_PlannedOrders[Part Name],$A475,T_PlannedOrders[WeekIndex],62)=0,"",SUMIFS(T_PlannedOrders[EffectiveQty],T_PlannedOrders[Part Name],$A475,T_PlannedOrders[WeekIndex],62)&amp;" ("&amp;TEXT(SUMPRODUCT(MAX((T_PlannedOrders[Part Name]=$A475)*(T_PlannedOrders[WeekIndex]=62)*(T_PlannedOrders[EffectiveQty]&gt;0)*T_PlannedOrders[Order_Month])),"m月")&amp;"発注)")</f>
        <v/>
      </c>
      <c r="BN481">
        <f>IF(SUMIFS(T_PlannedOrders[EffectiveQty],T_PlannedOrders[Part Name],$A475,T_PlannedOrders[WeekIndex],63)=0,"",SUMIFS(T_PlannedOrders[EffectiveQty],T_PlannedOrders[Part Name],$A475,T_PlannedOrders[WeekIndex],63)&amp;" ("&amp;TEXT(SUMPRODUCT(MAX((T_PlannedOrders[Part Name]=$A475)*(T_PlannedOrders[WeekIndex]=63)*(T_PlannedOrders[EffectiveQty]&gt;0)*T_PlannedOrders[Order_Month])),"m月")&amp;"発注)")</f>
        <v/>
      </c>
      <c r="BO481">
        <f>IF(SUMIFS(T_PlannedOrders[EffectiveQty],T_PlannedOrders[Part Name],$A475,T_PlannedOrders[WeekIndex],64)=0,"",SUMIFS(T_PlannedOrders[EffectiveQty],T_PlannedOrders[Part Name],$A475,T_PlannedOrders[WeekIndex],64)&amp;" ("&amp;TEXT(SUMPRODUCT(MAX((T_PlannedOrders[Part Name]=$A475)*(T_PlannedOrders[WeekIndex]=64)*(T_PlannedOrders[EffectiveQty]&gt;0)*T_PlannedOrders[Order_Month])),"m月")&amp;"発注)")</f>
        <v/>
      </c>
      <c r="BP481">
        <f>IF(SUMIFS(T_PlannedOrders[EffectiveQty],T_PlannedOrders[Part Name],$A475,T_PlannedOrders[WeekIndex],65)=0,"",SUMIFS(T_PlannedOrders[EffectiveQty],T_PlannedOrders[Part Name],$A475,T_PlannedOrders[WeekIndex],65)&amp;" ("&amp;TEXT(SUMPRODUCT(MAX((T_PlannedOrders[Part Name]=$A475)*(T_PlannedOrders[WeekIndex]=65)*(T_PlannedOrders[EffectiveQty]&gt;0)*T_PlannedOrders[Order_Month])),"m月")&amp;"発注)")</f>
        <v/>
      </c>
      <c r="BQ481">
        <f>IF(SUMIFS(T_PlannedOrders[EffectiveQty],T_PlannedOrders[Part Name],$A475,T_PlannedOrders[WeekIndex],66)=0,"",SUMIFS(T_PlannedOrders[EffectiveQty],T_PlannedOrders[Part Name],$A475,T_PlannedOrders[WeekIndex],66)&amp;" ("&amp;TEXT(SUMPRODUCT(MAX((T_PlannedOrders[Part Name]=$A475)*(T_PlannedOrders[WeekIndex]=66)*(T_PlannedOrders[EffectiveQty]&gt;0)*T_PlannedOrders[Order_Month])),"m月")&amp;"発注)")</f>
        <v/>
      </c>
      <c r="BR481">
        <f>IF(SUMIFS(T_PlannedOrders[EffectiveQty],T_PlannedOrders[Part Name],$A475,T_PlannedOrders[WeekIndex],67)=0,"",SUMIFS(T_PlannedOrders[EffectiveQty],T_PlannedOrders[Part Name],$A475,T_PlannedOrders[WeekIndex],67)&amp;" ("&amp;TEXT(SUMPRODUCT(MAX((T_PlannedOrders[Part Name]=$A475)*(T_PlannedOrders[WeekIndex]=67)*(T_PlannedOrders[EffectiveQty]&gt;0)*T_PlannedOrders[Order_Month])),"m月")&amp;"発注)")</f>
        <v/>
      </c>
      <c r="BS481">
        <f>IF(SUMIFS(T_PlannedOrders[EffectiveQty],T_PlannedOrders[Part Name],$A475,T_PlannedOrders[WeekIndex],68)=0,"",SUMIFS(T_PlannedOrders[EffectiveQty],T_PlannedOrders[Part Name],$A475,T_PlannedOrders[WeekIndex],68)&amp;" ("&amp;TEXT(SUMPRODUCT(MAX((T_PlannedOrders[Part Name]=$A475)*(T_PlannedOrders[WeekIndex]=68)*(T_PlannedOrders[EffectiveQty]&gt;0)*T_PlannedOrders[Order_Month])),"m月")&amp;"発注)")</f>
        <v/>
      </c>
      <c r="BT481">
        <f>IF(SUMIFS(T_PlannedOrders[EffectiveQty],T_PlannedOrders[Part Name],$A475,T_PlannedOrders[WeekIndex],69)=0,"",SUMIFS(T_PlannedOrders[EffectiveQty],T_PlannedOrders[Part Name],$A475,T_PlannedOrders[WeekIndex],69)&amp;" ("&amp;TEXT(SUMPRODUCT(MAX((T_PlannedOrders[Part Name]=$A475)*(T_PlannedOrders[WeekIndex]=69)*(T_PlannedOrders[EffectiveQty]&gt;0)*T_PlannedOrders[Order_Month])),"m月")&amp;"発注)")</f>
        <v/>
      </c>
      <c r="BU481">
        <f>IF(SUMIFS(T_PlannedOrders[EffectiveQty],T_PlannedOrders[Part Name],$A475,T_PlannedOrders[WeekIndex],70)=0,"",SUMIFS(T_PlannedOrders[EffectiveQty],T_PlannedOrders[Part Name],$A475,T_PlannedOrders[WeekIndex],70)&amp;" ("&amp;TEXT(SUMPRODUCT(MAX((T_PlannedOrders[Part Name]=$A475)*(T_PlannedOrders[WeekIndex]=70)*(T_PlannedOrders[EffectiveQty]&gt;0)*T_PlannedOrders[Order_Month])),"m月")&amp;"発注)")</f>
        <v/>
      </c>
      <c r="BV481">
        <f>IF(SUMIFS(T_PlannedOrders[EffectiveQty],T_PlannedOrders[Part Name],$A475,T_PlannedOrders[WeekIndex],71)=0,"",SUMIFS(T_PlannedOrders[EffectiveQty],T_PlannedOrders[Part Name],$A475,T_PlannedOrders[WeekIndex],71)&amp;" ("&amp;TEXT(SUMPRODUCT(MAX((T_PlannedOrders[Part Name]=$A475)*(T_PlannedOrders[WeekIndex]=71)*(T_PlannedOrders[EffectiveQty]&gt;0)*T_PlannedOrders[Order_Month])),"m月")&amp;"発注)")</f>
        <v/>
      </c>
      <c r="BW481">
        <f>IF(SUMIFS(T_PlannedOrders[EffectiveQty],T_PlannedOrders[Part Name],$A475,T_PlannedOrders[WeekIndex],72)=0,"",SUMIFS(T_PlannedOrders[EffectiveQty],T_PlannedOrders[Part Name],$A475,T_PlannedOrders[WeekIndex],72)&amp;" ("&amp;TEXT(SUMPRODUCT(MAX((T_PlannedOrders[Part Name]=$A475)*(T_PlannedOrders[WeekIndex]=72)*(T_PlannedOrders[EffectiveQty]&gt;0)*T_PlannedOrders[Order_Month])),"m月")&amp;"発注)")</f>
        <v/>
      </c>
      <c r="BX481">
        <f>IF(SUMIFS(T_PlannedOrders[EffectiveQty],T_PlannedOrders[Part Name],$A475,T_PlannedOrders[WeekIndex],73)=0,"",SUMIFS(T_PlannedOrders[EffectiveQty],T_PlannedOrders[Part Name],$A475,T_PlannedOrders[WeekIndex],73)&amp;" ("&amp;TEXT(SUMPRODUCT(MAX((T_PlannedOrders[Part Name]=$A475)*(T_PlannedOrders[WeekIndex]=73)*(T_PlannedOrders[EffectiveQty]&gt;0)*T_PlannedOrders[Order_Month])),"m月")&amp;"発注)")</f>
        <v/>
      </c>
      <c r="BY481">
        <f>IF(SUMIFS(T_PlannedOrders[EffectiveQty],T_PlannedOrders[Part Name],$A475,T_PlannedOrders[WeekIndex],74)=0,"",SUMIFS(T_PlannedOrders[EffectiveQty],T_PlannedOrders[Part Name],$A475,T_PlannedOrders[WeekIndex],74)&amp;" ("&amp;TEXT(SUMPRODUCT(MAX((T_PlannedOrders[Part Name]=$A475)*(T_PlannedOrders[WeekIndex]=74)*(T_PlannedOrders[EffectiveQty]&gt;0)*T_PlannedOrders[Order_Month])),"m月")&amp;"発注)")</f>
        <v/>
      </c>
      <c r="BZ481">
        <f>IF(SUMIFS(T_PlannedOrders[EffectiveQty],T_PlannedOrders[Part Name],$A475,T_PlannedOrders[WeekIndex],75)=0,"",SUMIFS(T_PlannedOrders[EffectiveQty],T_PlannedOrders[Part Name],$A475,T_PlannedOrders[WeekIndex],75)&amp;" ("&amp;TEXT(SUMPRODUCT(MAX((T_PlannedOrders[Part Name]=$A475)*(T_PlannedOrders[WeekIndex]=75)*(T_PlannedOrders[EffectiveQty]&gt;0)*T_PlannedOrders[Order_Month])),"m月")&amp;"発注)")</f>
        <v/>
      </c>
      <c r="CA481">
        <f>IF(SUMIFS(T_PlannedOrders[EffectiveQty],T_PlannedOrders[Part Name],$A475,T_PlannedOrders[WeekIndex],76)=0,"",SUMIFS(T_PlannedOrders[EffectiveQty],T_PlannedOrders[Part Name],$A475,T_PlannedOrders[WeekIndex],76)&amp;" ("&amp;TEXT(SUMPRODUCT(MAX((T_PlannedOrders[Part Name]=$A475)*(T_PlannedOrders[WeekIndex]=76)*(T_PlannedOrders[EffectiveQty]&gt;0)*T_PlannedOrders[Order_Month])),"m月")&amp;"発注)")</f>
        <v/>
      </c>
      <c r="CB481">
        <f>IF(SUMIFS(T_PlannedOrders[EffectiveQty],T_PlannedOrders[Part Name],$A475,T_PlannedOrders[WeekIndex],77)=0,"",SUMIFS(T_PlannedOrders[EffectiveQty],T_PlannedOrders[Part Name],$A475,T_PlannedOrders[WeekIndex],77)&amp;" ("&amp;TEXT(SUMPRODUCT(MAX((T_PlannedOrders[Part Name]=$A475)*(T_PlannedOrders[WeekIndex]=77)*(T_PlannedOrders[EffectiveQty]&gt;0)*T_PlannedOrders[Order_Month])),"m月")&amp;"発注)")</f>
        <v/>
      </c>
      <c r="CC481">
        <f>IF(SUMIFS(T_PlannedOrders[EffectiveQty],T_PlannedOrders[Part Name],$A475,T_PlannedOrders[WeekIndex],78)=0,"",SUMIFS(T_PlannedOrders[EffectiveQty],T_PlannedOrders[Part Name],$A475,T_PlannedOrders[WeekIndex],78)&amp;" ("&amp;TEXT(SUMPRODUCT(MAX((T_PlannedOrders[Part Name]=$A475)*(T_PlannedOrders[WeekIndex]=78)*(T_PlannedOrders[EffectiveQty]&gt;0)*T_PlannedOrders[Order_Month])),"m月")&amp;"発注)")</f>
        <v/>
      </c>
      <c r="CD481">
        <f>IF(SUMIFS(T_PlannedOrders[EffectiveQty],T_PlannedOrders[Part Name],$A475,T_PlannedOrders[WeekIndex],79)=0,"",SUMIFS(T_PlannedOrders[EffectiveQty],T_PlannedOrders[Part Name],$A475,T_PlannedOrders[WeekIndex],79)&amp;" ("&amp;TEXT(SUMPRODUCT(MAX((T_PlannedOrders[Part Name]=$A475)*(T_PlannedOrders[WeekIndex]=79)*(T_PlannedOrders[EffectiveQty]&gt;0)*T_PlannedOrders[Order_Month])),"m月")&amp;"発注)")</f>
        <v/>
      </c>
      <c r="CE481">
        <f>IF(SUMIFS(T_PlannedOrders[EffectiveQty],T_PlannedOrders[Part Name],$A475,T_PlannedOrders[WeekIndex],80)=0,"",SUMIFS(T_PlannedOrders[EffectiveQty],T_PlannedOrders[Part Name],$A475,T_PlannedOrders[WeekIndex],80)&amp;" ("&amp;TEXT(SUMPRODUCT(MAX((T_PlannedOrders[Part Name]=$A475)*(T_PlannedOrders[WeekIndex]=80)*(T_PlannedOrders[EffectiveQty]&gt;0)*T_PlannedOrders[Order_Month])),"m月")&amp;"発注)")</f>
        <v/>
      </c>
      <c r="CF481">
        <f>IF(SUMIFS(T_PlannedOrders[EffectiveQty],T_PlannedOrders[Part Name],$A475,T_PlannedOrders[WeekIndex],81)=0,"",SUMIFS(T_PlannedOrders[EffectiveQty],T_PlannedOrders[Part Name],$A475,T_PlannedOrders[WeekIndex],81)&amp;" ("&amp;TEXT(SUMPRODUCT(MAX((T_PlannedOrders[Part Name]=$A475)*(T_PlannedOrders[WeekIndex]=81)*(T_PlannedOrders[EffectiveQty]&gt;0)*T_PlannedOrders[Order_Month])),"m月")&amp;"発注)")</f>
        <v/>
      </c>
      <c r="CG481">
        <f>IF(SUMIFS(T_PlannedOrders[EffectiveQty],T_PlannedOrders[Part Name],$A475,T_PlannedOrders[WeekIndex],82)=0,"",SUMIFS(T_PlannedOrders[EffectiveQty],T_PlannedOrders[Part Name],$A475,T_PlannedOrders[WeekIndex],82)&amp;" ("&amp;TEXT(SUMPRODUCT(MAX((T_PlannedOrders[Part Name]=$A475)*(T_PlannedOrders[WeekIndex]=82)*(T_PlannedOrders[EffectiveQty]&gt;0)*T_PlannedOrders[Order_Month])),"m月")&amp;"発注)")</f>
        <v/>
      </c>
      <c r="CH481">
        <f>IF(SUMIFS(T_PlannedOrders[EffectiveQty],T_PlannedOrders[Part Name],$A475,T_PlannedOrders[WeekIndex],83)=0,"",SUMIFS(T_PlannedOrders[EffectiveQty],T_PlannedOrders[Part Name],$A475,T_PlannedOrders[WeekIndex],83)&amp;" ("&amp;TEXT(SUMPRODUCT(MAX((T_PlannedOrders[Part Name]=$A475)*(T_PlannedOrders[WeekIndex]=83)*(T_PlannedOrders[EffectiveQty]&gt;0)*T_PlannedOrders[Order_Month])),"m月")&amp;"発注)")</f>
        <v/>
      </c>
      <c r="CI481">
        <f>IF(SUMIFS(T_PlannedOrders[EffectiveQty],T_PlannedOrders[Part Name],$A475,T_PlannedOrders[WeekIndex],84)=0,"",SUMIFS(T_PlannedOrders[EffectiveQty],T_PlannedOrders[Part Name],$A475,T_PlannedOrders[WeekIndex],84)&amp;" ("&amp;TEXT(SUMPRODUCT(MAX((T_PlannedOrders[Part Name]=$A475)*(T_PlannedOrders[WeekIndex]=84)*(T_PlannedOrders[EffectiveQty]&gt;0)*T_PlannedOrders[Order_Month])),"m月")&amp;"発注)")</f>
        <v/>
      </c>
      <c r="CJ481">
        <f>IF(SUMIFS(T_PlannedOrders[EffectiveQty],T_PlannedOrders[Part Name],$A475,T_PlannedOrders[WeekIndex],85)=0,"",SUMIFS(T_PlannedOrders[EffectiveQty],T_PlannedOrders[Part Name],$A475,T_PlannedOrders[WeekIndex],85)&amp;" ("&amp;TEXT(SUMPRODUCT(MAX((T_PlannedOrders[Part Name]=$A475)*(T_PlannedOrders[WeekIndex]=85)*(T_PlannedOrders[EffectiveQty]&gt;0)*T_PlannedOrders[Order_Month])),"m月")&amp;"発注)")</f>
        <v/>
      </c>
      <c r="CK481">
        <f>IF(SUMIFS(T_PlannedOrders[EffectiveQty],T_PlannedOrders[Part Name],$A475,T_PlannedOrders[WeekIndex],86)=0,"",SUMIFS(T_PlannedOrders[EffectiveQty],T_PlannedOrders[Part Name],$A475,T_PlannedOrders[WeekIndex],86)&amp;" ("&amp;TEXT(SUMPRODUCT(MAX((T_PlannedOrders[Part Name]=$A475)*(T_PlannedOrders[WeekIndex]=86)*(T_PlannedOrders[EffectiveQty]&gt;0)*T_PlannedOrders[Order_Month])),"m月")&amp;"発注)")</f>
        <v/>
      </c>
      <c r="CL481">
        <f>IF(SUMIFS(T_PlannedOrders[EffectiveQty],T_PlannedOrders[Part Name],$A475,T_PlannedOrders[WeekIndex],87)=0,"",SUMIFS(T_PlannedOrders[EffectiveQty],T_PlannedOrders[Part Name],$A475,T_PlannedOrders[WeekIndex],87)&amp;" ("&amp;TEXT(SUMPRODUCT(MAX((T_PlannedOrders[Part Name]=$A475)*(T_PlannedOrders[WeekIndex]=87)*(T_PlannedOrders[EffectiveQty]&gt;0)*T_PlannedOrders[Order_Month])),"m月")&amp;"発注)")</f>
        <v/>
      </c>
      <c r="CM481">
        <f>IF(SUMIFS(T_PlannedOrders[EffectiveQty],T_PlannedOrders[Part Name],$A475,T_PlannedOrders[WeekIndex],88)=0,"",SUMIFS(T_PlannedOrders[EffectiveQty],T_PlannedOrders[Part Name],$A475,T_PlannedOrders[WeekIndex],88)&amp;" ("&amp;TEXT(SUMPRODUCT(MAX((T_PlannedOrders[Part Name]=$A475)*(T_PlannedOrders[WeekIndex]=88)*(T_PlannedOrders[EffectiveQty]&gt;0)*T_PlannedOrders[Order_Month])),"m月")&amp;"発注)")</f>
        <v/>
      </c>
      <c r="CN481">
        <f>IF(SUMIFS(T_PlannedOrders[EffectiveQty],T_PlannedOrders[Part Name],$A475,T_PlannedOrders[WeekIndex],89)=0,"",SUMIFS(T_PlannedOrders[EffectiveQty],T_PlannedOrders[Part Name],$A475,T_PlannedOrders[WeekIndex],89)&amp;" ("&amp;TEXT(SUMPRODUCT(MAX((T_PlannedOrders[Part Name]=$A475)*(T_PlannedOrders[WeekIndex]=89)*(T_PlannedOrders[EffectiveQty]&gt;0)*T_PlannedOrders[Order_Month])),"m月")&amp;"発注)")</f>
        <v/>
      </c>
      <c r="CO481">
        <f>IF(SUMIFS(T_PlannedOrders[EffectiveQty],T_PlannedOrders[Part Name],$A475,T_PlannedOrders[WeekIndex],90)=0,"",SUMIFS(T_PlannedOrders[EffectiveQty],T_PlannedOrders[Part Name],$A475,T_PlannedOrders[WeekIndex],90)&amp;" ("&amp;TEXT(SUMPRODUCT(MAX((T_PlannedOrders[Part Name]=$A475)*(T_PlannedOrders[WeekIndex]=90)*(T_PlannedOrders[EffectiveQty]&gt;0)*T_PlannedOrders[Order_Month])),"m月")&amp;"発注)")</f>
        <v/>
      </c>
      <c r="CP481">
        <f>IF(SUMIFS(T_PlannedOrders[EffectiveQty],T_PlannedOrders[Part Name],$A475,T_PlannedOrders[WeekIndex],91)=0,"",SUMIFS(T_PlannedOrders[EffectiveQty],T_PlannedOrders[Part Name],$A475,T_PlannedOrders[WeekIndex],91)&amp;" ("&amp;TEXT(SUMPRODUCT(MAX((T_PlannedOrders[Part Name]=$A475)*(T_PlannedOrders[WeekIndex]=91)*(T_PlannedOrders[EffectiveQty]&gt;0)*T_PlannedOrders[Order_Month])),"m月")&amp;"発注)")</f>
        <v/>
      </c>
      <c r="CQ481">
        <f>IF(SUMIFS(T_PlannedOrders[EffectiveQty],T_PlannedOrders[Part Name],$A475,T_PlannedOrders[WeekIndex],92)=0,"",SUMIFS(T_PlannedOrders[EffectiveQty],T_PlannedOrders[Part Name],$A475,T_PlannedOrders[WeekIndex],92)&amp;" ("&amp;TEXT(SUMPRODUCT(MAX((T_PlannedOrders[Part Name]=$A475)*(T_PlannedOrders[WeekIndex]=92)*(T_PlannedOrders[EffectiveQty]&gt;0)*T_PlannedOrders[Order_Month])),"m月")&amp;"発注)")</f>
        <v/>
      </c>
      <c r="CR481">
        <f>IF(SUMIFS(T_PlannedOrders[EffectiveQty],T_PlannedOrders[Part Name],$A475,T_PlannedOrders[WeekIndex],93)=0,"",SUMIFS(T_PlannedOrders[EffectiveQty],T_PlannedOrders[Part Name],$A475,T_PlannedOrders[WeekIndex],93)&amp;" ("&amp;TEXT(SUMPRODUCT(MAX((T_PlannedOrders[Part Name]=$A475)*(T_PlannedOrders[WeekIndex]=93)*(T_PlannedOrders[EffectiveQty]&gt;0)*T_PlannedOrders[Order_Month])),"m月")&amp;"発注)")</f>
        <v/>
      </c>
      <c r="CS481">
        <f>IF(SUMIFS(T_PlannedOrders[EffectiveQty],T_PlannedOrders[Part Name],$A475,T_PlannedOrders[WeekIndex],94)=0,"",SUMIFS(T_PlannedOrders[EffectiveQty],T_PlannedOrders[Part Name],$A475,T_PlannedOrders[WeekIndex],94)&amp;" ("&amp;TEXT(SUMPRODUCT(MAX((T_PlannedOrders[Part Name]=$A475)*(T_PlannedOrders[WeekIndex]=94)*(T_PlannedOrders[EffectiveQty]&gt;0)*T_PlannedOrders[Order_Month])),"m月")&amp;"発注)")</f>
        <v/>
      </c>
      <c r="CT481">
        <f>IF(SUMIFS(T_PlannedOrders[EffectiveQty],T_PlannedOrders[Part Name],$A475,T_PlannedOrders[WeekIndex],95)=0,"",SUMIFS(T_PlannedOrders[EffectiveQty],T_PlannedOrders[Part Name],$A475,T_PlannedOrders[WeekIndex],95)&amp;" ("&amp;TEXT(SUMPRODUCT(MAX((T_PlannedOrders[Part Name]=$A475)*(T_PlannedOrders[WeekIndex]=95)*(T_PlannedOrders[EffectiveQty]&gt;0)*T_PlannedOrders[Order_Month])),"m月")&amp;"発注)")</f>
        <v/>
      </c>
      <c r="CU481">
        <f>IF(SUMIFS(T_PlannedOrders[EffectiveQty],T_PlannedOrders[Part Name],$A475,T_PlannedOrders[WeekIndex],96)=0,"",SUMIFS(T_PlannedOrders[EffectiveQty],T_PlannedOrders[Part Name],$A475,T_PlannedOrders[WeekIndex],96)&amp;" ("&amp;TEXT(SUMPRODUCT(MAX((T_PlannedOrders[Part Name]=$A475)*(T_PlannedOrders[WeekIndex]=96)*(T_PlannedOrders[EffectiveQty]&gt;0)*T_PlannedOrders[Order_Month])),"m月")&amp;"発注)")</f>
        <v/>
      </c>
      <c r="CV481">
        <f>IF(SUMIFS(T_PlannedOrders[EffectiveQty],T_PlannedOrders[Part Name],$A475,T_PlannedOrders[WeekIndex],97)=0,"",SUMIFS(T_PlannedOrders[EffectiveQty],T_PlannedOrders[Part Name],$A475,T_PlannedOrders[WeekIndex],97)&amp;" ("&amp;TEXT(SUMPRODUCT(MAX((T_PlannedOrders[Part Name]=$A475)*(T_PlannedOrders[WeekIndex]=97)*(T_PlannedOrders[EffectiveQty]&gt;0)*T_PlannedOrders[Order_Month])),"m月")&amp;"発注)")</f>
        <v/>
      </c>
      <c r="CW481">
        <f>IF(SUMIFS(T_PlannedOrders[EffectiveQty],T_PlannedOrders[Part Name],$A475,T_PlannedOrders[WeekIndex],98)=0,"",SUMIFS(T_PlannedOrders[EffectiveQty],T_PlannedOrders[Part Name],$A475,T_PlannedOrders[WeekIndex],98)&amp;" ("&amp;TEXT(SUMPRODUCT(MAX((T_PlannedOrders[Part Name]=$A475)*(T_PlannedOrders[WeekIndex]=98)*(T_PlannedOrders[EffectiveQty]&gt;0)*T_PlannedOrders[Order_Month])),"m月")&amp;"発注)")</f>
        <v/>
      </c>
      <c r="CX481">
        <f>IF(SUMIFS(T_PlannedOrders[EffectiveQty],T_PlannedOrders[Part Name],$A475,T_PlannedOrders[WeekIndex],99)=0,"",SUMIFS(T_PlannedOrders[EffectiveQty],T_PlannedOrders[Part Name],$A475,T_PlannedOrders[WeekIndex],99)&amp;" ("&amp;TEXT(SUMPRODUCT(MAX((T_PlannedOrders[Part Name]=$A475)*(T_PlannedOrders[WeekIndex]=99)*(T_PlannedOrders[EffectiveQty]&gt;0)*T_PlannedOrders[Order_Month])),"m月")&amp;"発注)")</f>
        <v/>
      </c>
      <c r="CY481">
        <f>IF(SUMIFS(T_PlannedOrders[EffectiveQty],T_PlannedOrders[Part Name],$A475,T_PlannedOrders[WeekIndex],100)=0,"",SUMIFS(T_PlannedOrders[EffectiveQty],T_PlannedOrders[Part Name],$A475,T_PlannedOrders[WeekIndex],100)&amp;" ("&amp;TEXT(SUMPRODUCT(MAX((T_PlannedOrders[Part Name]=$A475)*(T_PlannedOrders[WeekIndex]=100)*(T_PlannedOrders[EffectiveQty]&gt;0)*T_PlannedOrders[Order_Month])),"m月")&amp;"発注)")</f>
        <v/>
      </c>
      <c r="CZ481">
        <f>IF(SUMIFS(T_PlannedOrders[EffectiveQty],T_PlannedOrders[Part Name],$A475,T_PlannedOrders[WeekIndex],101)=0,"",SUMIFS(T_PlannedOrders[EffectiveQty],T_PlannedOrders[Part Name],$A475,T_PlannedOrders[WeekIndex],101)&amp;" ("&amp;TEXT(SUMPRODUCT(MAX((T_PlannedOrders[Part Name]=$A475)*(T_PlannedOrders[WeekIndex]=101)*(T_PlannedOrders[EffectiveQty]&gt;0)*T_PlannedOrders[Order_Month])),"m月")&amp;"発注)")</f>
        <v/>
      </c>
      <c r="DA481">
        <f>IF(SUMIFS(T_PlannedOrders[EffectiveQty],T_PlannedOrders[Part Name],$A475,T_PlannedOrders[WeekIndex],102)=0,"",SUMIFS(T_PlannedOrders[EffectiveQty],T_PlannedOrders[Part Name],$A475,T_PlannedOrders[WeekIndex],102)&amp;" ("&amp;TEXT(SUMPRODUCT(MAX((T_PlannedOrders[Part Name]=$A475)*(T_PlannedOrders[WeekIndex]=102)*(T_PlannedOrders[EffectiveQty]&gt;0)*T_PlannedOrders[Order_Month])),"m月")&amp;"発注)")</f>
        <v/>
      </c>
      <c r="DB481">
        <f>IF(SUMIFS(T_PlannedOrders[EffectiveQty],T_PlannedOrders[Part Name],$A475,T_PlannedOrders[WeekIndex],103)=0,"",SUMIFS(T_PlannedOrders[EffectiveQty],T_PlannedOrders[Part Name],$A475,T_PlannedOrders[WeekIndex],103)&amp;" ("&amp;TEXT(SUMPRODUCT(MAX((T_PlannedOrders[Part Name]=$A475)*(T_PlannedOrders[WeekIndex]=103)*(T_PlannedOrders[EffectiveQty]&gt;0)*T_PlannedOrders[Order_Month])),"m月")&amp;"発注)")</f>
        <v/>
      </c>
      <c r="DC481">
        <f>IF(SUMIFS(T_PlannedOrders[EffectiveQty],T_PlannedOrders[Part Name],$A475,T_PlannedOrders[WeekIndex],104)=0,"",SUMIFS(T_PlannedOrders[EffectiveQty],T_PlannedOrders[Part Name],$A475,T_PlannedOrders[WeekIndex],104)&amp;" ("&amp;TEXT(SUMPRODUCT(MAX((T_PlannedOrders[Part Name]=$A475)*(T_PlannedOrders[WeekIndex]=104)*(T_PlannedOrders[EffectiveQty]&gt;0)*T_PlannedOrders[Order_Month])),"m月")&amp;"発注)")</f>
        <v/>
      </c>
    </row>
    <row r="482">
      <c r="B482" s="9" t="inlineStr">
        <is>
          <t>合計在庫(週末時点,kg)</t>
        </is>
      </c>
      <c r="D482">
        <f>'Grid_Stock'!B33</f>
        <v/>
      </c>
      <c r="E482">
        <f>'Grid_Stock'!C33</f>
        <v/>
      </c>
      <c r="F482">
        <f>'Grid_Stock'!D33</f>
        <v/>
      </c>
      <c r="G482">
        <f>'Grid_Stock'!E33</f>
        <v/>
      </c>
      <c r="H482">
        <f>'Grid_Stock'!F33</f>
        <v/>
      </c>
      <c r="I482">
        <f>'Grid_Stock'!G33</f>
        <v/>
      </c>
      <c r="J482">
        <f>'Grid_Stock'!H33</f>
        <v/>
      </c>
      <c r="K482">
        <f>'Grid_Stock'!I33</f>
        <v/>
      </c>
      <c r="L482">
        <f>'Grid_Stock'!J33</f>
        <v/>
      </c>
      <c r="M482">
        <f>'Grid_Stock'!K33</f>
        <v/>
      </c>
      <c r="N482">
        <f>'Grid_Stock'!L33</f>
        <v/>
      </c>
      <c r="O482">
        <f>'Grid_Stock'!M33</f>
        <v/>
      </c>
      <c r="P482">
        <f>'Grid_Stock'!N33</f>
        <v/>
      </c>
      <c r="Q482">
        <f>'Grid_Stock'!O33</f>
        <v/>
      </c>
      <c r="R482">
        <f>'Grid_Stock'!P33</f>
        <v/>
      </c>
      <c r="S482">
        <f>'Grid_Stock'!Q33</f>
        <v/>
      </c>
      <c r="T482">
        <f>'Grid_Stock'!R33</f>
        <v/>
      </c>
      <c r="U482">
        <f>'Grid_Stock'!S33</f>
        <v/>
      </c>
      <c r="V482">
        <f>'Grid_Stock'!T33</f>
        <v/>
      </c>
      <c r="W482">
        <f>'Grid_Stock'!U33</f>
        <v/>
      </c>
      <c r="X482">
        <f>'Grid_Stock'!V33</f>
        <v/>
      </c>
      <c r="Y482">
        <f>'Grid_Stock'!W33</f>
        <v/>
      </c>
      <c r="Z482">
        <f>'Grid_Stock'!X33</f>
        <v/>
      </c>
      <c r="AA482">
        <f>'Grid_Stock'!Y33</f>
        <v/>
      </c>
      <c r="AB482">
        <f>'Grid_Stock'!Z33</f>
        <v/>
      </c>
      <c r="AC482">
        <f>'Grid_Stock'!AA33</f>
        <v/>
      </c>
      <c r="AD482">
        <f>'Grid_Stock'!AB33</f>
        <v/>
      </c>
      <c r="AE482">
        <f>'Grid_Stock'!AC33</f>
        <v/>
      </c>
      <c r="AF482">
        <f>'Grid_Stock'!AD33</f>
        <v/>
      </c>
      <c r="AG482">
        <f>'Grid_Stock'!AE33</f>
        <v/>
      </c>
      <c r="AH482">
        <f>'Grid_Stock'!AF33</f>
        <v/>
      </c>
      <c r="AI482">
        <f>'Grid_Stock'!AG33</f>
        <v/>
      </c>
      <c r="AJ482">
        <f>'Grid_Stock'!AH33</f>
        <v/>
      </c>
      <c r="AK482">
        <f>'Grid_Stock'!AI33</f>
        <v/>
      </c>
      <c r="AL482">
        <f>'Grid_Stock'!AJ33</f>
        <v/>
      </c>
      <c r="AM482">
        <f>'Grid_Stock'!AK33</f>
        <v/>
      </c>
      <c r="AN482">
        <f>'Grid_Stock'!AL33</f>
        <v/>
      </c>
      <c r="AO482">
        <f>'Grid_Stock'!AM33</f>
        <v/>
      </c>
      <c r="AP482">
        <f>'Grid_Stock'!AN33</f>
        <v/>
      </c>
      <c r="AQ482">
        <f>'Grid_Stock'!AO33</f>
        <v/>
      </c>
      <c r="AR482">
        <f>'Grid_Stock'!AP33</f>
        <v/>
      </c>
      <c r="AS482">
        <f>'Grid_Stock'!AQ33</f>
        <v/>
      </c>
      <c r="AT482">
        <f>'Grid_Stock'!AR33</f>
        <v/>
      </c>
      <c r="AU482">
        <f>'Grid_Stock'!AS33</f>
        <v/>
      </c>
      <c r="AV482">
        <f>'Grid_Stock'!AT33</f>
        <v/>
      </c>
      <c r="AW482">
        <f>'Grid_Stock'!AU33</f>
        <v/>
      </c>
      <c r="AX482">
        <f>'Grid_Stock'!AV33</f>
        <v/>
      </c>
      <c r="AY482">
        <f>'Grid_Stock'!AW33</f>
        <v/>
      </c>
      <c r="AZ482">
        <f>'Grid_Stock'!AX33</f>
        <v/>
      </c>
      <c r="BA482">
        <f>'Grid_Stock'!AY33</f>
        <v/>
      </c>
      <c r="BB482">
        <f>'Grid_Stock'!AZ33</f>
        <v/>
      </c>
      <c r="BC482">
        <f>'Grid_Stock'!BA33</f>
        <v/>
      </c>
      <c r="BD482">
        <f>'Grid_Stock'!BB33</f>
        <v/>
      </c>
      <c r="BE482">
        <f>'Grid_Stock'!BC33</f>
        <v/>
      </c>
      <c r="BF482">
        <f>'Grid_Stock'!BD33</f>
        <v/>
      </c>
      <c r="BG482">
        <f>'Grid_Stock'!BE33</f>
        <v/>
      </c>
      <c r="BH482">
        <f>'Grid_Stock'!BF33</f>
        <v/>
      </c>
      <c r="BI482">
        <f>'Grid_Stock'!BG33</f>
        <v/>
      </c>
      <c r="BJ482">
        <f>'Grid_Stock'!BH33</f>
        <v/>
      </c>
      <c r="BK482">
        <f>'Grid_Stock'!BI33</f>
        <v/>
      </c>
      <c r="BL482">
        <f>'Grid_Stock'!BJ33</f>
        <v/>
      </c>
      <c r="BM482">
        <f>'Grid_Stock'!BK33</f>
        <v/>
      </c>
      <c r="BN482">
        <f>'Grid_Stock'!BL33</f>
        <v/>
      </c>
      <c r="BO482">
        <f>'Grid_Stock'!BM33</f>
        <v/>
      </c>
      <c r="BP482">
        <f>'Grid_Stock'!BN33</f>
        <v/>
      </c>
      <c r="BQ482">
        <f>'Grid_Stock'!BO33</f>
        <v/>
      </c>
      <c r="BR482">
        <f>'Grid_Stock'!BP33</f>
        <v/>
      </c>
      <c r="BS482">
        <f>'Grid_Stock'!BQ33</f>
        <v/>
      </c>
      <c r="BT482">
        <f>'Grid_Stock'!BR33</f>
        <v/>
      </c>
      <c r="BU482">
        <f>'Grid_Stock'!BS33</f>
        <v/>
      </c>
      <c r="BV482">
        <f>'Grid_Stock'!BT33</f>
        <v/>
      </c>
      <c r="BW482">
        <f>'Grid_Stock'!BU33</f>
        <v/>
      </c>
      <c r="BX482">
        <f>'Grid_Stock'!BV33</f>
        <v/>
      </c>
      <c r="BY482">
        <f>'Grid_Stock'!BW33</f>
        <v/>
      </c>
      <c r="BZ482">
        <f>'Grid_Stock'!BX33</f>
        <v/>
      </c>
      <c r="CA482">
        <f>'Grid_Stock'!BY33</f>
        <v/>
      </c>
      <c r="CB482">
        <f>'Grid_Stock'!BZ33</f>
        <v/>
      </c>
      <c r="CC482">
        <f>'Grid_Stock'!CA33</f>
        <v/>
      </c>
      <c r="CD482">
        <f>'Grid_Stock'!CB33</f>
        <v/>
      </c>
      <c r="CE482">
        <f>'Grid_Stock'!CC33</f>
        <v/>
      </c>
      <c r="CF482">
        <f>'Grid_Stock'!CD33</f>
        <v/>
      </c>
      <c r="CG482">
        <f>'Grid_Stock'!CE33</f>
        <v/>
      </c>
      <c r="CH482">
        <f>'Grid_Stock'!CF33</f>
        <v/>
      </c>
      <c r="CI482">
        <f>'Grid_Stock'!CG33</f>
        <v/>
      </c>
      <c r="CJ482">
        <f>'Grid_Stock'!CH33</f>
        <v/>
      </c>
      <c r="CK482">
        <f>'Grid_Stock'!CI33</f>
        <v/>
      </c>
      <c r="CL482">
        <f>'Grid_Stock'!CJ33</f>
        <v/>
      </c>
      <c r="CM482">
        <f>'Grid_Stock'!CK33</f>
        <v/>
      </c>
      <c r="CN482">
        <f>'Grid_Stock'!CL33</f>
        <v/>
      </c>
      <c r="CO482">
        <f>'Grid_Stock'!CM33</f>
        <v/>
      </c>
      <c r="CP482">
        <f>'Grid_Stock'!CN33</f>
        <v/>
      </c>
      <c r="CQ482">
        <f>'Grid_Stock'!CO33</f>
        <v/>
      </c>
      <c r="CR482">
        <f>'Grid_Stock'!CP33</f>
        <v/>
      </c>
      <c r="CS482">
        <f>'Grid_Stock'!CQ33</f>
        <v/>
      </c>
      <c r="CT482">
        <f>'Grid_Stock'!CR33</f>
        <v/>
      </c>
      <c r="CU482">
        <f>'Grid_Stock'!CS33</f>
        <v/>
      </c>
      <c r="CV482">
        <f>'Grid_Stock'!CT33</f>
        <v/>
      </c>
      <c r="CW482">
        <f>'Grid_Stock'!CU33</f>
        <v/>
      </c>
      <c r="CX482">
        <f>'Grid_Stock'!CV33</f>
        <v/>
      </c>
      <c r="CY482">
        <f>'Grid_Stock'!CW33</f>
        <v/>
      </c>
      <c r="CZ482">
        <f>'Grid_Stock'!CX33</f>
        <v/>
      </c>
      <c r="DA482">
        <f>'Grid_Stock'!CY33</f>
        <v/>
      </c>
      <c r="DB482">
        <f>'Grid_Stock'!CZ33</f>
        <v/>
      </c>
      <c r="DC482">
        <f>'Grid_Stock'!DA33</f>
        <v/>
      </c>
    </row>
    <row r="483">
      <c r="B483" s="21" t="inlineStr">
        <is>
          <t>（発注の目安はDashboardの基準在庫[下限/上限]と色分けを参照）</t>
        </is>
      </c>
    </row>
    <row r="485">
      <c r="A485" s="19" t="inlineStr">
        <is>
          <t>CHEM-1670</t>
        </is>
      </c>
      <c r="B485" s="19" t="inlineStr">
        <is>
          <t>ALESPER 1065</t>
        </is>
      </c>
      <c r="C485" s="20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/>
      <c r="W485" s="19" t="n"/>
      <c r="X485" s="19" t="n"/>
      <c r="Y485" s="19" t="n"/>
      <c r="Z485" s="19" t="n"/>
      <c r="AA485" s="19" t="n"/>
      <c r="AB485" s="19" t="n"/>
      <c r="AC485" s="19" t="n"/>
      <c r="AD485" s="19" t="n"/>
      <c r="AE485" s="19" t="n"/>
      <c r="AF485" s="19" t="n"/>
      <c r="AG485" s="19" t="n"/>
      <c r="AH485" s="19" t="n"/>
      <c r="AI485" s="19" t="n"/>
      <c r="AJ485" s="19" t="n"/>
      <c r="AK485" s="19" t="n"/>
      <c r="AL485" s="19" t="n"/>
      <c r="AM485" s="19" t="n"/>
      <c r="AN485" s="19" t="n"/>
      <c r="AO485" s="19" t="n"/>
      <c r="AP485" s="19" t="n"/>
      <c r="AQ485" s="19" t="n"/>
      <c r="AR485" s="19" t="n"/>
      <c r="AS485" s="19" t="n"/>
      <c r="AT485" s="19" t="n"/>
      <c r="AU485" s="19" t="n"/>
      <c r="AV485" s="19" t="n"/>
      <c r="AW485" s="19" t="n"/>
      <c r="AX485" s="19" t="n"/>
      <c r="AY485" s="19" t="n"/>
      <c r="AZ485" s="19" t="n"/>
      <c r="BA485" s="19" t="n"/>
      <c r="BB485" s="19" t="n"/>
      <c r="BC485" s="19" t="n"/>
      <c r="BD485" s="19" t="n"/>
      <c r="BE485" s="19" t="n"/>
      <c r="BF485" s="19" t="n"/>
      <c r="BG485" s="19" t="n"/>
      <c r="BH485" s="19" t="n"/>
      <c r="BI485" s="19" t="n"/>
      <c r="BJ485" s="19" t="n"/>
      <c r="BK485" s="19" t="n"/>
      <c r="BL485" s="19" t="n"/>
      <c r="BM485" s="19" t="n"/>
      <c r="BN485" s="19" t="n"/>
      <c r="BO485" s="19" t="n"/>
      <c r="BP485" s="19" t="n"/>
      <c r="BQ485" s="19" t="n"/>
      <c r="BR485" s="19" t="n"/>
      <c r="BS485" s="19" t="n"/>
      <c r="BT485" s="19" t="n"/>
      <c r="BU485" s="19" t="n"/>
      <c r="BV485" s="19" t="n"/>
      <c r="BW485" s="19" t="n"/>
      <c r="BX485" s="19" t="n"/>
      <c r="BY485" s="19" t="n"/>
      <c r="BZ485" s="19" t="n"/>
      <c r="CA485" s="19" t="n"/>
      <c r="CB485" s="19" t="n"/>
      <c r="CC485" s="19" t="n"/>
      <c r="CD485" s="19" t="n"/>
      <c r="CE485" s="19" t="n"/>
      <c r="CF485" s="19" t="n"/>
      <c r="CG485" s="19" t="n"/>
      <c r="CH485" s="19" t="n"/>
      <c r="CI485" s="19" t="n"/>
      <c r="CJ485" s="19" t="n"/>
      <c r="CK485" s="19" t="n"/>
      <c r="CL485" s="19" t="n"/>
      <c r="CM485" s="19" t="n"/>
      <c r="CN485" s="19" t="n"/>
      <c r="CO485" s="19" t="n"/>
      <c r="CP485" s="19" t="n"/>
      <c r="CQ485" s="19" t="n"/>
      <c r="CR485" s="19" t="n"/>
      <c r="CS485" s="19" t="n"/>
      <c r="CT485" s="19" t="n"/>
      <c r="CU485" s="19" t="n"/>
      <c r="CV485" s="19" t="n"/>
      <c r="CW485" s="19" t="n"/>
      <c r="CX485" s="19" t="n"/>
      <c r="CY485" s="19" t="n"/>
      <c r="CZ485" s="19" t="n"/>
      <c r="DA485" s="19" t="n"/>
      <c r="DB485" s="19" t="n"/>
      <c r="DC485" s="19" t="n"/>
    </row>
    <row r="486">
      <c r="B486" t="inlineStr">
        <is>
          <t>TSP-218</t>
        </is>
      </c>
      <c r="C486" t="inlineStr">
        <is>
          <t>No. of batches</t>
        </is>
      </c>
      <c r="D486">
        <f>IFERROR(INDEX(PP_Grid[#Data],$DD486,2),0)</f>
        <v/>
      </c>
      <c r="E486">
        <f>IFERROR(INDEX(PP_Grid[#Data],$DD486,3),0)</f>
        <v/>
      </c>
      <c r="F486">
        <f>IFERROR(INDEX(PP_Grid[#Data],$DD486,4),0)</f>
        <v/>
      </c>
      <c r="G486">
        <f>IFERROR(INDEX(PP_Grid[#Data],$DD486,5),0)</f>
        <v/>
      </c>
      <c r="H486">
        <f>IFERROR(INDEX(PP_Grid[#Data],$DD486,6),0)</f>
        <v/>
      </c>
      <c r="I486">
        <f>IFERROR(INDEX(PP_Grid[#Data],$DD486,7),0)</f>
        <v/>
      </c>
      <c r="J486">
        <f>IFERROR(INDEX(PP_Grid[#Data],$DD486,8),0)</f>
        <v/>
      </c>
      <c r="K486">
        <f>IFERROR(INDEX(PP_Grid[#Data],$DD486,9),0)</f>
        <v/>
      </c>
      <c r="L486">
        <f>IFERROR(INDEX(PP_Grid[#Data],$DD486,10),0)</f>
        <v/>
      </c>
      <c r="M486">
        <f>IFERROR(INDEX(PP_Grid[#Data],$DD486,11),0)</f>
        <v/>
      </c>
      <c r="N486">
        <f>IFERROR(INDEX(PP_Grid[#Data],$DD486,12),0)</f>
        <v/>
      </c>
      <c r="O486">
        <f>IFERROR(INDEX(PP_Grid[#Data],$DD486,13),0)</f>
        <v/>
      </c>
      <c r="P486">
        <f>IFERROR(INDEX(PP_Grid[#Data],$DD486,14),0)</f>
        <v/>
      </c>
      <c r="Q486">
        <f>IFERROR(INDEX(PP_Grid[#Data],$DD486,15),0)</f>
        <v/>
      </c>
      <c r="R486">
        <f>IFERROR(INDEX(PP_Grid[#Data],$DD486,16),0)</f>
        <v/>
      </c>
      <c r="S486">
        <f>IFERROR(INDEX(PP_Grid[#Data],$DD486,17),0)</f>
        <v/>
      </c>
      <c r="T486">
        <f>IFERROR(INDEX(PP_Grid[#Data],$DD486,18),0)</f>
        <v/>
      </c>
      <c r="U486">
        <f>IFERROR(INDEX(PP_Grid[#Data],$DD486,19),0)</f>
        <v/>
      </c>
      <c r="V486">
        <f>IFERROR(INDEX(PP_Grid[#Data],$DD486,20),0)</f>
        <v/>
      </c>
      <c r="W486">
        <f>IFERROR(INDEX(PP_Grid[#Data],$DD486,21),0)</f>
        <v/>
      </c>
      <c r="X486">
        <f>IFERROR(INDEX(PP_Grid[#Data],$DD486,22),0)</f>
        <v/>
      </c>
      <c r="Y486">
        <f>IFERROR(INDEX(PP_Grid[#Data],$DD486,23),0)</f>
        <v/>
      </c>
      <c r="Z486">
        <f>IFERROR(INDEX(PP_Grid[#Data],$DD486,24),0)</f>
        <v/>
      </c>
      <c r="AA486">
        <f>IFERROR(INDEX(PP_Grid[#Data],$DD486,25),0)</f>
        <v/>
      </c>
      <c r="AB486">
        <f>IFERROR(INDEX(PP_Grid[#Data],$DD486,26),0)</f>
        <v/>
      </c>
      <c r="AC486">
        <f>IFERROR(INDEX(PP_Grid[#Data],$DD486,27),0)</f>
        <v/>
      </c>
      <c r="AD486">
        <f>IFERROR(INDEX(PP_Grid[#Data],$DD486,28),0)</f>
        <v/>
      </c>
      <c r="AE486">
        <f>IFERROR(INDEX(PP_Grid[#Data],$DD486,29),0)</f>
        <v/>
      </c>
      <c r="AF486">
        <f>IFERROR(INDEX(PP_Grid[#Data],$DD486,30),0)</f>
        <v/>
      </c>
      <c r="AG486">
        <f>IFERROR(INDEX(PP_Grid[#Data],$DD486,31),0)</f>
        <v/>
      </c>
      <c r="AH486">
        <f>IFERROR(INDEX(PP_Grid[#Data],$DD486,32),0)</f>
        <v/>
      </c>
      <c r="AI486">
        <f>IFERROR(INDEX(PP_Grid[#Data],$DD486,33),0)</f>
        <v/>
      </c>
      <c r="AJ486">
        <f>IFERROR(INDEX(PP_Grid[#Data],$DD486,34),0)</f>
        <v/>
      </c>
      <c r="AK486">
        <f>IFERROR(INDEX(PP_Grid[#Data],$DD486,35),0)</f>
        <v/>
      </c>
      <c r="AL486">
        <f>IFERROR(INDEX(PP_Grid[#Data],$DD486,36),0)</f>
        <v/>
      </c>
      <c r="AM486">
        <f>IFERROR(INDEX(PP_Grid[#Data],$DD486,37),0)</f>
        <v/>
      </c>
      <c r="AN486">
        <f>IFERROR(INDEX(PP_Grid[#Data],$DD486,38),0)</f>
        <v/>
      </c>
      <c r="AO486">
        <f>IFERROR(INDEX(PP_Grid[#Data],$DD486,39),0)</f>
        <v/>
      </c>
      <c r="AP486">
        <f>IFERROR(INDEX(PP_Grid[#Data],$DD486,40),0)</f>
        <v/>
      </c>
      <c r="AQ486">
        <f>IFERROR(INDEX(PP_Grid[#Data],$DD486,41),0)</f>
        <v/>
      </c>
      <c r="AR486">
        <f>IFERROR(INDEX(PP_Grid[#Data],$DD486,42),0)</f>
        <v/>
      </c>
      <c r="AS486">
        <f>IFERROR(INDEX(PP_Grid[#Data],$DD486,43),0)</f>
        <v/>
      </c>
      <c r="AT486">
        <f>IFERROR(INDEX(PP_Grid[#Data],$DD486,44),0)</f>
        <v/>
      </c>
      <c r="AU486">
        <f>IFERROR(INDEX(PP_Grid[#Data],$DD486,45),0)</f>
        <v/>
      </c>
      <c r="AV486">
        <f>IFERROR(INDEX(PP_Grid[#Data],$DD486,46),0)</f>
        <v/>
      </c>
      <c r="AW486">
        <f>IFERROR(INDEX(PP_Grid[#Data],$DD486,47),0)</f>
        <v/>
      </c>
      <c r="AX486">
        <f>IFERROR(INDEX(PP_Grid[#Data],$DD486,48),0)</f>
        <v/>
      </c>
      <c r="AY486">
        <f>IFERROR(INDEX(PP_Grid[#Data],$DD486,49),0)</f>
        <v/>
      </c>
      <c r="AZ486">
        <f>IFERROR(INDEX(PP_Grid[#Data],$DD486,50),0)</f>
        <v/>
      </c>
      <c r="BA486">
        <f>IFERROR(INDEX(PP_Grid[#Data],$DD486,51),0)</f>
        <v/>
      </c>
      <c r="BB486">
        <f>IFERROR(INDEX(PP_Grid[#Data],$DD486,52),0)</f>
        <v/>
      </c>
      <c r="BC486">
        <f>IFERROR(INDEX(PP_Grid[#Data],$DD486,53),0)</f>
        <v/>
      </c>
      <c r="BD486">
        <f>IFERROR(INDEX(PP_Grid[#Data],$DD486,54),0)</f>
        <v/>
      </c>
      <c r="BE486">
        <f>IFERROR(INDEX(PP_Grid[#Data],$DD486,55),0)</f>
        <v/>
      </c>
      <c r="BF486">
        <f>IFERROR(INDEX(PP_Grid[#Data],$DD486,56),0)</f>
        <v/>
      </c>
      <c r="BG486">
        <f>IFERROR(INDEX(PP_Grid[#Data],$DD486,57),0)</f>
        <v/>
      </c>
      <c r="BH486">
        <f>IFERROR(INDEX(PP_Grid[#Data],$DD486,58),0)</f>
        <v/>
      </c>
      <c r="BI486">
        <f>IFERROR(INDEX(PP_Grid[#Data],$DD486,59),0)</f>
        <v/>
      </c>
      <c r="BJ486">
        <f>IFERROR(INDEX(PP_Grid[#Data],$DD486,60),0)</f>
        <v/>
      </c>
      <c r="BK486">
        <f>IFERROR(INDEX(PP_Grid[#Data],$DD486,61),0)</f>
        <v/>
      </c>
      <c r="BL486">
        <f>IFERROR(INDEX(PP_Grid[#Data],$DD486,62),0)</f>
        <v/>
      </c>
      <c r="BM486">
        <f>IFERROR(INDEX(PP_Grid[#Data],$DD486,63),0)</f>
        <v/>
      </c>
      <c r="BN486">
        <f>IFERROR(INDEX(PP_Grid[#Data],$DD486,64),0)</f>
        <v/>
      </c>
      <c r="BO486">
        <f>IFERROR(INDEX(PP_Grid[#Data],$DD486,65),0)</f>
        <v/>
      </c>
      <c r="BP486">
        <f>IFERROR(INDEX(PP_Grid[#Data],$DD486,66),0)</f>
        <v/>
      </c>
      <c r="BQ486">
        <f>IFERROR(INDEX(PP_Grid[#Data],$DD486,67),0)</f>
        <v/>
      </c>
      <c r="BR486">
        <f>IFERROR(INDEX(PP_Grid[#Data],$DD486,68),0)</f>
        <v/>
      </c>
      <c r="BS486">
        <f>IFERROR(INDEX(PP_Grid[#Data],$DD486,69),0)</f>
        <v/>
      </c>
      <c r="BT486">
        <f>IFERROR(INDEX(PP_Grid[#Data],$DD486,70),0)</f>
        <v/>
      </c>
      <c r="BU486">
        <f>IFERROR(INDEX(PP_Grid[#Data],$DD486,71),0)</f>
        <v/>
      </c>
      <c r="BV486">
        <f>IFERROR(INDEX(PP_Grid[#Data],$DD486,72),0)</f>
        <v/>
      </c>
      <c r="BW486">
        <f>IFERROR(INDEX(PP_Grid[#Data],$DD486,73),0)</f>
        <v/>
      </c>
      <c r="BX486">
        <f>IFERROR(INDEX(PP_Grid[#Data],$DD486,74),0)</f>
        <v/>
      </c>
      <c r="BY486">
        <f>IFERROR(INDEX(PP_Grid[#Data],$DD486,75),0)</f>
        <v/>
      </c>
      <c r="BZ486">
        <f>IFERROR(INDEX(PP_Grid[#Data],$DD486,76),0)</f>
        <v/>
      </c>
      <c r="CA486">
        <f>IFERROR(INDEX(PP_Grid[#Data],$DD486,77),0)</f>
        <v/>
      </c>
      <c r="CB486">
        <f>IFERROR(INDEX(PP_Grid[#Data],$DD486,78),0)</f>
        <v/>
      </c>
      <c r="CC486">
        <f>IFERROR(INDEX(PP_Grid[#Data],$DD486,79),0)</f>
        <v/>
      </c>
      <c r="CD486">
        <f>IFERROR(INDEX(PP_Grid[#Data],$DD486,80),0)</f>
        <v/>
      </c>
      <c r="CE486">
        <f>IFERROR(INDEX(PP_Grid[#Data],$DD486,81),0)</f>
        <v/>
      </c>
      <c r="CF486">
        <f>IFERROR(INDEX(PP_Grid[#Data],$DD486,82),0)</f>
        <v/>
      </c>
      <c r="CG486">
        <f>IFERROR(INDEX(PP_Grid[#Data],$DD486,83),0)</f>
        <v/>
      </c>
      <c r="CH486">
        <f>IFERROR(INDEX(PP_Grid[#Data],$DD486,84),0)</f>
        <v/>
      </c>
      <c r="CI486">
        <f>IFERROR(INDEX(PP_Grid[#Data],$DD486,85),0)</f>
        <v/>
      </c>
      <c r="CJ486">
        <f>IFERROR(INDEX(PP_Grid[#Data],$DD486,86),0)</f>
        <v/>
      </c>
      <c r="CK486">
        <f>IFERROR(INDEX(PP_Grid[#Data],$DD486,87),0)</f>
        <v/>
      </c>
      <c r="CL486">
        <f>IFERROR(INDEX(PP_Grid[#Data],$DD486,88),0)</f>
        <v/>
      </c>
      <c r="CM486">
        <f>IFERROR(INDEX(PP_Grid[#Data],$DD486,89),0)</f>
        <v/>
      </c>
      <c r="CN486">
        <f>IFERROR(INDEX(PP_Grid[#Data],$DD486,90),0)</f>
        <v/>
      </c>
      <c r="CO486">
        <f>IFERROR(INDEX(PP_Grid[#Data],$DD486,91),0)</f>
        <v/>
      </c>
      <c r="CP486">
        <f>IFERROR(INDEX(PP_Grid[#Data],$DD486,92),0)</f>
        <v/>
      </c>
      <c r="CQ486">
        <f>IFERROR(INDEX(PP_Grid[#Data],$DD486,93),0)</f>
        <v/>
      </c>
      <c r="CR486">
        <f>IFERROR(INDEX(PP_Grid[#Data],$DD486,94),0)</f>
        <v/>
      </c>
      <c r="CS486">
        <f>IFERROR(INDEX(PP_Grid[#Data],$DD486,95),0)</f>
        <v/>
      </c>
      <c r="CT486">
        <f>IFERROR(INDEX(PP_Grid[#Data],$DD486,96),0)</f>
        <v/>
      </c>
      <c r="CU486">
        <f>IFERROR(INDEX(PP_Grid[#Data],$DD486,97),0)</f>
        <v/>
      </c>
      <c r="CV486">
        <f>IFERROR(INDEX(PP_Grid[#Data],$DD486,98),0)</f>
        <v/>
      </c>
      <c r="CW486">
        <f>IFERROR(INDEX(PP_Grid[#Data],$DD486,99),0)</f>
        <v/>
      </c>
      <c r="CX486">
        <f>IFERROR(INDEX(PP_Grid[#Data],$DD486,100),0)</f>
        <v/>
      </c>
      <c r="CY486">
        <f>IFERROR(INDEX(PP_Grid[#Data],$DD486,101),0)</f>
        <v/>
      </c>
      <c r="CZ486">
        <f>IFERROR(INDEX(PP_Grid[#Data],$DD486,102),0)</f>
        <v/>
      </c>
      <c r="DA486">
        <f>IFERROR(INDEX(PP_Grid[#Data],$DD486,103),0)</f>
        <v/>
      </c>
      <c r="DB486">
        <f>IFERROR(INDEX(PP_Grid[#Data],$DD486,104),0)</f>
        <v/>
      </c>
      <c r="DC486">
        <f>IFERROR(INDEX(PP_Grid[#Data],$DD486,105),0)</f>
        <v/>
      </c>
      <c r="DD486" s="12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SUMIFS(M_BOM[RM_Qty_Per_Batch],M_BOM[Intermediate],$B486,M_BOM[Part Name],$A485)</f>
        <v/>
      </c>
      <c r="D487">
        <f>$C487*D486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</row>
    <row r="488">
      <c r="B488" t="inlineStr">
        <is>
          <t>TSP-558</t>
        </is>
      </c>
      <c r="C488" t="inlineStr">
        <is>
          <t>No. of batches</t>
        </is>
      </c>
      <c r="D488">
        <f>IFERROR(INDEX(PP_Grid[#Data],$DD488,2),0)</f>
        <v/>
      </c>
      <c r="E488">
        <f>IFERROR(INDEX(PP_Grid[#Data],$DD488,3),0)</f>
        <v/>
      </c>
      <c r="F488">
        <f>IFERROR(INDEX(PP_Grid[#Data],$DD488,4),0)</f>
        <v/>
      </c>
      <c r="G488">
        <f>IFERROR(INDEX(PP_Grid[#Data],$DD488,5),0)</f>
        <v/>
      </c>
      <c r="H488">
        <f>IFERROR(INDEX(PP_Grid[#Data],$DD488,6),0)</f>
        <v/>
      </c>
      <c r="I488">
        <f>IFERROR(INDEX(PP_Grid[#Data],$DD488,7),0)</f>
        <v/>
      </c>
      <c r="J488">
        <f>IFERROR(INDEX(PP_Grid[#Data],$DD488,8),0)</f>
        <v/>
      </c>
      <c r="K488">
        <f>IFERROR(INDEX(PP_Grid[#Data],$DD488,9),0)</f>
        <v/>
      </c>
      <c r="L488">
        <f>IFERROR(INDEX(PP_Grid[#Data],$DD488,10),0)</f>
        <v/>
      </c>
      <c r="M488">
        <f>IFERROR(INDEX(PP_Grid[#Data],$DD488,11),0)</f>
        <v/>
      </c>
      <c r="N488">
        <f>IFERROR(INDEX(PP_Grid[#Data],$DD488,12),0)</f>
        <v/>
      </c>
      <c r="O488">
        <f>IFERROR(INDEX(PP_Grid[#Data],$DD488,13),0)</f>
        <v/>
      </c>
      <c r="P488">
        <f>IFERROR(INDEX(PP_Grid[#Data],$DD488,14),0)</f>
        <v/>
      </c>
      <c r="Q488">
        <f>IFERROR(INDEX(PP_Grid[#Data],$DD488,15),0)</f>
        <v/>
      </c>
      <c r="R488">
        <f>IFERROR(INDEX(PP_Grid[#Data],$DD488,16),0)</f>
        <v/>
      </c>
      <c r="S488">
        <f>IFERROR(INDEX(PP_Grid[#Data],$DD488,17),0)</f>
        <v/>
      </c>
      <c r="T488">
        <f>IFERROR(INDEX(PP_Grid[#Data],$DD488,18),0)</f>
        <v/>
      </c>
      <c r="U488">
        <f>IFERROR(INDEX(PP_Grid[#Data],$DD488,19),0)</f>
        <v/>
      </c>
      <c r="V488">
        <f>IFERROR(INDEX(PP_Grid[#Data],$DD488,20),0)</f>
        <v/>
      </c>
      <c r="W488">
        <f>IFERROR(INDEX(PP_Grid[#Data],$DD488,21),0)</f>
        <v/>
      </c>
      <c r="X488">
        <f>IFERROR(INDEX(PP_Grid[#Data],$DD488,22),0)</f>
        <v/>
      </c>
      <c r="Y488">
        <f>IFERROR(INDEX(PP_Grid[#Data],$DD488,23),0)</f>
        <v/>
      </c>
      <c r="Z488">
        <f>IFERROR(INDEX(PP_Grid[#Data],$DD488,24),0)</f>
        <v/>
      </c>
      <c r="AA488">
        <f>IFERROR(INDEX(PP_Grid[#Data],$DD488,25),0)</f>
        <v/>
      </c>
      <c r="AB488">
        <f>IFERROR(INDEX(PP_Grid[#Data],$DD488,26),0)</f>
        <v/>
      </c>
      <c r="AC488">
        <f>IFERROR(INDEX(PP_Grid[#Data],$DD488,27),0)</f>
        <v/>
      </c>
      <c r="AD488">
        <f>IFERROR(INDEX(PP_Grid[#Data],$DD488,28),0)</f>
        <v/>
      </c>
      <c r="AE488">
        <f>IFERROR(INDEX(PP_Grid[#Data],$DD488,29),0)</f>
        <v/>
      </c>
      <c r="AF488">
        <f>IFERROR(INDEX(PP_Grid[#Data],$DD488,30),0)</f>
        <v/>
      </c>
      <c r="AG488">
        <f>IFERROR(INDEX(PP_Grid[#Data],$DD488,31),0)</f>
        <v/>
      </c>
      <c r="AH488">
        <f>IFERROR(INDEX(PP_Grid[#Data],$DD488,32),0)</f>
        <v/>
      </c>
      <c r="AI488">
        <f>IFERROR(INDEX(PP_Grid[#Data],$DD488,33),0)</f>
        <v/>
      </c>
      <c r="AJ488">
        <f>IFERROR(INDEX(PP_Grid[#Data],$DD488,34),0)</f>
        <v/>
      </c>
      <c r="AK488">
        <f>IFERROR(INDEX(PP_Grid[#Data],$DD488,35),0)</f>
        <v/>
      </c>
      <c r="AL488">
        <f>IFERROR(INDEX(PP_Grid[#Data],$DD488,36),0)</f>
        <v/>
      </c>
      <c r="AM488">
        <f>IFERROR(INDEX(PP_Grid[#Data],$DD488,37),0)</f>
        <v/>
      </c>
      <c r="AN488">
        <f>IFERROR(INDEX(PP_Grid[#Data],$DD488,38),0)</f>
        <v/>
      </c>
      <c r="AO488">
        <f>IFERROR(INDEX(PP_Grid[#Data],$DD488,39),0)</f>
        <v/>
      </c>
      <c r="AP488">
        <f>IFERROR(INDEX(PP_Grid[#Data],$DD488,40),0)</f>
        <v/>
      </c>
      <c r="AQ488">
        <f>IFERROR(INDEX(PP_Grid[#Data],$DD488,41),0)</f>
        <v/>
      </c>
      <c r="AR488">
        <f>IFERROR(INDEX(PP_Grid[#Data],$DD488,42),0)</f>
        <v/>
      </c>
      <c r="AS488">
        <f>IFERROR(INDEX(PP_Grid[#Data],$DD488,43),0)</f>
        <v/>
      </c>
      <c r="AT488">
        <f>IFERROR(INDEX(PP_Grid[#Data],$DD488,44),0)</f>
        <v/>
      </c>
      <c r="AU488">
        <f>IFERROR(INDEX(PP_Grid[#Data],$DD488,45),0)</f>
        <v/>
      </c>
      <c r="AV488">
        <f>IFERROR(INDEX(PP_Grid[#Data],$DD488,46),0)</f>
        <v/>
      </c>
      <c r="AW488">
        <f>IFERROR(INDEX(PP_Grid[#Data],$DD488,47),0)</f>
        <v/>
      </c>
      <c r="AX488">
        <f>IFERROR(INDEX(PP_Grid[#Data],$DD488,48),0)</f>
        <v/>
      </c>
      <c r="AY488">
        <f>IFERROR(INDEX(PP_Grid[#Data],$DD488,49),0)</f>
        <v/>
      </c>
      <c r="AZ488">
        <f>IFERROR(INDEX(PP_Grid[#Data],$DD488,50),0)</f>
        <v/>
      </c>
      <c r="BA488">
        <f>IFERROR(INDEX(PP_Grid[#Data],$DD488,51),0)</f>
        <v/>
      </c>
      <c r="BB488">
        <f>IFERROR(INDEX(PP_Grid[#Data],$DD488,52),0)</f>
        <v/>
      </c>
      <c r="BC488">
        <f>IFERROR(INDEX(PP_Grid[#Data],$DD488,53),0)</f>
        <v/>
      </c>
      <c r="BD488">
        <f>IFERROR(INDEX(PP_Grid[#Data],$DD488,54),0)</f>
        <v/>
      </c>
      <c r="BE488">
        <f>IFERROR(INDEX(PP_Grid[#Data],$DD488,55),0)</f>
        <v/>
      </c>
      <c r="BF488">
        <f>IFERROR(INDEX(PP_Grid[#Data],$DD488,56),0)</f>
        <v/>
      </c>
      <c r="BG488">
        <f>IFERROR(INDEX(PP_Grid[#Data],$DD488,57),0)</f>
        <v/>
      </c>
      <c r="BH488">
        <f>IFERROR(INDEX(PP_Grid[#Data],$DD488,58),0)</f>
        <v/>
      </c>
      <c r="BI488">
        <f>IFERROR(INDEX(PP_Grid[#Data],$DD488,59),0)</f>
        <v/>
      </c>
      <c r="BJ488">
        <f>IFERROR(INDEX(PP_Grid[#Data],$DD488,60),0)</f>
        <v/>
      </c>
      <c r="BK488">
        <f>IFERROR(INDEX(PP_Grid[#Data],$DD488,61),0)</f>
        <v/>
      </c>
      <c r="BL488">
        <f>IFERROR(INDEX(PP_Grid[#Data],$DD488,62),0)</f>
        <v/>
      </c>
      <c r="BM488">
        <f>IFERROR(INDEX(PP_Grid[#Data],$DD488,63),0)</f>
        <v/>
      </c>
      <c r="BN488">
        <f>IFERROR(INDEX(PP_Grid[#Data],$DD488,64),0)</f>
        <v/>
      </c>
      <c r="BO488">
        <f>IFERROR(INDEX(PP_Grid[#Data],$DD488,65),0)</f>
        <v/>
      </c>
      <c r="BP488">
        <f>IFERROR(INDEX(PP_Grid[#Data],$DD488,66),0)</f>
        <v/>
      </c>
      <c r="BQ488">
        <f>IFERROR(INDEX(PP_Grid[#Data],$DD488,67),0)</f>
        <v/>
      </c>
      <c r="BR488">
        <f>IFERROR(INDEX(PP_Grid[#Data],$DD488,68),0)</f>
        <v/>
      </c>
      <c r="BS488">
        <f>IFERROR(INDEX(PP_Grid[#Data],$DD488,69),0)</f>
        <v/>
      </c>
      <c r="BT488">
        <f>IFERROR(INDEX(PP_Grid[#Data],$DD488,70),0)</f>
        <v/>
      </c>
      <c r="BU488">
        <f>IFERROR(INDEX(PP_Grid[#Data],$DD488,71),0)</f>
        <v/>
      </c>
      <c r="BV488">
        <f>IFERROR(INDEX(PP_Grid[#Data],$DD488,72),0)</f>
        <v/>
      </c>
      <c r="BW488">
        <f>IFERROR(INDEX(PP_Grid[#Data],$DD488,73),0)</f>
        <v/>
      </c>
      <c r="BX488">
        <f>IFERROR(INDEX(PP_Grid[#Data],$DD488,74),0)</f>
        <v/>
      </c>
      <c r="BY488">
        <f>IFERROR(INDEX(PP_Grid[#Data],$DD488,75),0)</f>
        <v/>
      </c>
      <c r="BZ488">
        <f>IFERROR(INDEX(PP_Grid[#Data],$DD488,76),0)</f>
        <v/>
      </c>
      <c r="CA488">
        <f>IFERROR(INDEX(PP_Grid[#Data],$DD488,77),0)</f>
        <v/>
      </c>
      <c r="CB488">
        <f>IFERROR(INDEX(PP_Grid[#Data],$DD488,78),0)</f>
        <v/>
      </c>
      <c r="CC488">
        <f>IFERROR(INDEX(PP_Grid[#Data],$DD488,79),0)</f>
        <v/>
      </c>
      <c r="CD488">
        <f>IFERROR(INDEX(PP_Grid[#Data],$DD488,80),0)</f>
        <v/>
      </c>
      <c r="CE488">
        <f>IFERROR(INDEX(PP_Grid[#Data],$DD488,81),0)</f>
        <v/>
      </c>
      <c r="CF488">
        <f>IFERROR(INDEX(PP_Grid[#Data],$DD488,82),0)</f>
        <v/>
      </c>
      <c r="CG488">
        <f>IFERROR(INDEX(PP_Grid[#Data],$DD488,83),0)</f>
        <v/>
      </c>
      <c r="CH488">
        <f>IFERROR(INDEX(PP_Grid[#Data],$DD488,84),0)</f>
        <v/>
      </c>
      <c r="CI488">
        <f>IFERROR(INDEX(PP_Grid[#Data],$DD488,85),0)</f>
        <v/>
      </c>
      <c r="CJ488">
        <f>IFERROR(INDEX(PP_Grid[#Data],$DD488,86),0)</f>
        <v/>
      </c>
      <c r="CK488">
        <f>IFERROR(INDEX(PP_Grid[#Data],$DD488,87),0)</f>
        <v/>
      </c>
      <c r="CL488">
        <f>IFERROR(INDEX(PP_Grid[#Data],$DD488,88),0)</f>
        <v/>
      </c>
      <c r="CM488">
        <f>IFERROR(INDEX(PP_Grid[#Data],$DD488,89),0)</f>
        <v/>
      </c>
      <c r="CN488">
        <f>IFERROR(INDEX(PP_Grid[#Data],$DD488,90),0)</f>
        <v/>
      </c>
      <c r="CO488">
        <f>IFERROR(INDEX(PP_Grid[#Data],$DD488,91),0)</f>
        <v/>
      </c>
      <c r="CP488">
        <f>IFERROR(INDEX(PP_Grid[#Data],$DD488,92),0)</f>
        <v/>
      </c>
      <c r="CQ488">
        <f>IFERROR(INDEX(PP_Grid[#Data],$DD488,93),0)</f>
        <v/>
      </c>
      <c r="CR488">
        <f>IFERROR(INDEX(PP_Grid[#Data],$DD488,94),0)</f>
        <v/>
      </c>
      <c r="CS488">
        <f>IFERROR(INDEX(PP_Grid[#Data],$DD488,95),0)</f>
        <v/>
      </c>
      <c r="CT488">
        <f>IFERROR(INDEX(PP_Grid[#Data],$DD488,96),0)</f>
        <v/>
      </c>
      <c r="CU488">
        <f>IFERROR(INDEX(PP_Grid[#Data],$DD488,97),0)</f>
        <v/>
      </c>
      <c r="CV488">
        <f>IFERROR(INDEX(PP_Grid[#Data],$DD488,98),0)</f>
        <v/>
      </c>
      <c r="CW488">
        <f>IFERROR(INDEX(PP_Grid[#Data],$DD488,99),0)</f>
        <v/>
      </c>
      <c r="CX488">
        <f>IFERROR(INDEX(PP_Grid[#Data],$DD488,100),0)</f>
        <v/>
      </c>
      <c r="CY488">
        <f>IFERROR(INDEX(PP_Grid[#Data],$DD488,101),0)</f>
        <v/>
      </c>
      <c r="CZ488">
        <f>IFERROR(INDEX(PP_Grid[#Data],$DD488,102),0)</f>
        <v/>
      </c>
      <c r="DA488">
        <f>IFERROR(INDEX(PP_Grid[#Data],$DD488,103),0)</f>
        <v/>
      </c>
      <c r="DB488">
        <f>IFERROR(INDEX(PP_Grid[#Data],$DD488,104),0)</f>
        <v/>
      </c>
      <c r="DC488">
        <f>IFERROR(INDEX(PP_Grid[#Data],$DD488,105),0)</f>
        <v/>
      </c>
      <c r="DD488" s="12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SUMIFS(M_BOM[RM_Qty_Per_Batch],M_BOM[Intermediate],$B488,M_BOM[Part Name],$A485)</f>
        <v/>
      </c>
      <c r="D489">
        <f>$C489*D488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</row>
    <row r="490">
      <c r="B490" t="inlineStr">
        <is>
          <t>TSP-903</t>
        </is>
      </c>
      <c r="C490" t="inlineStr">
        <is>
          <t>No. of batches</t>
        </is>
      </c>
      <c r="D490">
        <f>IFERROR(INDEX(PP_Grid[#Data],$DD490,2),0)</f>
        <v/>
      </c>
      <c r="E490">
        <f>IFERROR(INDEX(PP_Grid[#Data],$DD490,3),0)</f>
        <v/>
      </c>
      <c r="F490">
        <f>IFERROR(INDEX(PP_Grid[#Data],$DD490,4),0)</f>
        <v/>
      </c>
      <c r="G490">
        <f>IFERROR(INDEX(PP_Grid[#Data],$DD490,5),0)</f>
        <v/>
      </c>
      <c r="H490">
        <f>IFERROR(INDEX(PP_Grid[#Data],$DD490,6),0)</f>
        <v/>
      </c>
      <c r="I490">
        <f>IFERROR(INDEX(PP_Grid[#Data],$DD490,7),0)</f>
        <v/>
      </c>
      <c r="J490">
        <f>IFERROR(INDEX(PP_Grid[#Data],$DD490,8),0)</f>
        <v/>
      </c>
      <c r="K490">
        <f>IFERROR(INDEX(PP_Grid[#Data],$DD490,9),0)</f>
        <v/>
      </c>
      <c r="L490">
        <f>IFERROR(INDEX(PP_Grid[#Data],$DD490,10),0)</f>
        <v/>
      </c>
      <c r="M490">
        <f>IFERROR(INDEX(PP_Grid[#Data],$DD490,11),0)</f>
        <v/>
      </c>
      <c r="N490">
        <f>IFERROR(INDEX(PP_Grid[#Data],$DD490,12),0)</f>
        <v/>
      </c>
      <c r="O490">
        <f>IFERROR(INDEX(PP_Grid[#Data],$DD490,13),0)</f>
        <v/>
      </c>
      <c r="P490">
        <f>IFERROR(INDEX(PP_Grid[#Data],$DD490,14),0)</f>
        <v/>
      </c>
      <c r="Q490">
        <f>IFERROR(INDEX(PP_Grid[#Data],$DD490,15),0)</f>
        <v/>
      </c>
      <c r="R490">
        <f>IFERROR(INDEX(PP_Grid[#Data],$DD490,16),0)</f>
        <v/>
      </c>
      <c r="S490">
        <f>IFERROR(INDEX(PP_Grid[#Data],$DD490,17),0)</f>
        <v/>
      </c>
      <c r="T490">
        <f>IFERROR(INDEX(PP_Grid[#Data],$DD490,18),0)</f>
        <v/>
      </c>
      <c r="U490">
        <f>IFERROR(INDEX(PP_Grid[#Data],$DD490,19),0)</f>
        <v/>
      </c>
      <c r="V490">
        <f>IFERROR(INDEX(PP_Grid[#Data],$DD490,20),0)</f>
        <v/>
      </c>
      <c r="W490">
        <f>IFERROR(INDEX(PP_Grid[#Data],$DD490,21),0)</f>
        <v/>
      </c>
      <c r="X490">
        <f>IFERROR(INDEX(PP_Grid[#Data],$DD490,22),0)</f>
        <v/>
      </c>
      <c r="Y490">
        <f>IFERROR(INDEX(PP_Grid[#Data],$DD490,23),0)</f>
        <v/>
      </c>
      <c r="Z490">
        <f>IFERROR(INDEX(PP_Grid[#Data],$DD490,24),0)</f>
        <v/>
      </c>
      <c r="AA490">
        <f>IFERROR(INDEX(PP_Grid[#Data],$DD490,25),0)</f>
        <v/>
      </c>
      <c r="AB490">
        <f>IFERROR(INDEX(PP_Grid[#Data],$DD490,26),0)</f>
        <v/>
      </c>
      <c r="AC490">
        <f>IFERROR(INDEX(PP_Grid[#Data],$DD490,27),0)</f>
        <v/>
      </c>
      <c r="AD490">
        <f>IFERROR(INDEX(PP_Grid[#Data],$DD490,28),0)</f>
        <v/>
      </c>
      <c r="AE490">
        <f>IFERROR(INDEX(PP_Grid[#Data],$DD490,29),0)</f>
        <v/>
      </c>
      <c r="AF490">
        <f>IFERROR(INDEX(PP_Grid[#Data],$DD490,30),0)</f>
        <v/>
      </c>
      <c r="AG490">
        <f>IFERROR(INDEX(PP_Grid[#Data],$DD490,31),0)</f>
        <v/>
      </c>
      <c r="AH490">
        <f>IFERROR(INDEX(PP_Grid[#Data],$DD490,32),0)</f>
        <v/>
      </c>
      <c r="AI490">
        <f>IFERROR(INDEX(PP_Grid[#Data],$DD490,33),0)</f>
        <v/>
      </c>
      <c r="AJ490">
        <f>IFERROR(INDEX(PP_Grid[#Data],$DD490,34),0)</f>
        <v/>
      </c>
      <c r="AK490">
        <f>IFERROR(INDEX(PP_Grid[#Data],$DD490,35),0)</f>
        <v/>
      </c>
      <c r="AL490">
        <f>IFERROR(INDEX(PP_Grid[#Data],$DD490,36),0)</f>
        <v/>
      </c>
      <c r="AM490">
        <f>IFERROR(INDEX(PP_Grid[#Data],$DD490,37),0)</f>
        <v/>
      </c>
      <c r="AN490">
        <f>IFERROR(INDEX(PP_Grid[#Data],$DD490,38),0)</f>
        <v/>
      </c>
      <c r="AO490">
        <f>IFERROR(INDEX(PP_Grid[#Data],$DD490,39),0)</f>
        <v/>
      </c>
      <c r="AP490">
        <f>IFERROR(INDEX(PP_Grid[#Data],$DD490,40),0)</f>
        <v/>
      </c>
      <c r="AQ490">
        <f>IFERROR(INDEX(PP_Grid[#Data],$DD490,41),0)</f>
        <v/>
      </c>
      <c r="AR490">
        <f>IFERROR(INDEX(PP_Grid[#Data],$DD490,42),0)</f>
        <v/>
      </c>
      <c r="AS490">
        <f>IFERROR(INDEX(PP_Grid[#Data],$DD490,43),0)</f>
        <v/>
      </c>
      <c r="AT490">
        <f>IFERROR(INDEX(PP_Grid[#Data],$DD490,44),0)</f>
        <v/>
      </c>
      <c r="AU490">
        <f>IFERROR(INDEX(PP_Grid[#Data],$DD490,45),0)</f>
        <v/>
      </c>
      <c r="AV490">
        <f>IFERROR(INDEX(PP_Grid[#Data],$DD490,46),0)</f>
        <v/>
      </c>
      <c r="AW490">
        <f>IFERROR(INDEX(PP_Grid[#Data],$DD490,47),0)</f>
        <v/>
      </c>
      <c r="AX490">
        <f>IFERROR(INDEX(PP_Grid[#Data],$DD490,48),0)</f>
        <v/>
      </c>
      <c r="AY490">
        <f>IFERROR(INDEX(PP_Grid[#Data],$DD490,49),0)</f>
        <v/>
      </c>
      <c r="AZ490">
        <f>IFERROR(INDEX(PP_Grid[#Data],$DD490,50),0)</f>
        <v/>
      </c>
      <c r="BA490">
        <f>IFERROR(INDEX(PP_Grid[#Data],$DD490,51),0)</f>
        <v/>
      </c>
      <c r="BB490">
        <f>IFERROR(INDEX(PP_Grid[#Data],$DD490,52),0)</f>
        <v/>
      </c>
      <c r="BC490">
        <f>IFERROR(INDEX(PP_Grid[#Data],$DD490,53),0)</f>
        <v/>
      </c>
      <c r="BD490">
        <f>IFERROR(INDEX(PP_Grid[#Data],$DD490,54),0)</f>
        <v/>
      </c>
      <c r="BE490">
        <f>IFERROR(INDEX(PP_Grid[#Data],$DD490,55),0)</f>
        <v/>
      </c>
      <c r="BF490">
        <f>IFERROR(INDEX(PP_Grid[#Data],$DD490,56),0)</f>
        <v/>
      </c>
      <c r="BG490">
        <f>IFERROR(INDEX(PP_Grid[#Data],$DD490,57),0)</f>
        <v/>
      </c>
      <c r="BH490">
        <f>IFERROR(INDEX(PP_Grid[#Data],$DD490,58),0)</f>
        <v/>
      </c>
      <c r="BI490">
        <f>IFERROR(INDEX(PP_Grid[#Data],$DD490,59),0)</f>
        <v/>
      </c>
      <c r="BJ490">
        <f>IFERROR(INDEX(PP_Grid[#Data],$DD490,60),0)</f>
        <v/>
      </c>
      <c r="BK490">
        <f>IFERROR(INDEX(PP_Grid[#Data],$DD490,61),0)</f>
        <v/>
      </c>
      <c r="BL490">
        <f>IFERROR(INDEX(PP_Grid[#Data],$DD490,62),0)</f>
        <v/>
      </c>
      <c r="BM490">
        <f>IFERROR(INDEX(PP_Grid[#Data],$DD490,63),0)</f>
        <v/>
      </c>
      <c r="BN490">
        <f>IFERROR(INDEX(PP_Grid[#Data],$DD490,64),0)</f>
        <v/>
      </c>
      <c r="BO490">
        <f>IFERROR(INDEX(PP_Grid[#Data],$DD490,65),0)</f>
        <v/>
      </c>
      <c r="BP490">
        <f>IFERROR(INDEX(PP_Grid[#Data],$DD490,66),0)</f>
        <v/>
      </c>
      <c r="BQ490">
        <f>IFERROR(INDEX(PP_Grid[#Data],$DD490,67),0)</f>
        <v/>
      </c>
      <c r="BR490">
        <f>IFERROR(INDEX(PP_Grid[#Data],$DD490,68),0)</f>
        <v/>
      </c>
      <c r="BS490">
        <f>IFERROR(INDEX(PP_Grid[#Data],$DD490,69),0)</f>
        <v/>
      </c>
      <c r="BT490">
        <f>IFERROR(INDEX(PP_Grid[#Data],$DD490,70),0)</f>
        <v/>
      </c>
      <c r="BU490">
        <f>IFERROR(INDEX(PP_Grid[#Data],$DD490,71),0)</f>
        <v/>
      </c>
      <c r="BV490">
        <f>IFERROR(INDEX(PP_Grid[#Data],$DD490,72),0)</f>
        <v/>
      </c>
      <c r="BW490">
        <f>IFERROR(INDEX(PP_Grid[#Data],$DD490,73),0)</f>
        <v/>
      </c>
      <c r="BX490">
        <f>IFERROR(INDEX(PP_Grid[#Data],$DD490,74),0)</f>
        <v/>
      </c>
      <c r="BY490">
        <f>IFERROR(INDEX(PP_Grid[#Data],$DD490,75),0)</f>
        <v/>
      </c>
      <c r="BZ490">
        <f>IFERROR(INDEX(PP_Grid[#Data],$DD490,76),0)</f>
        <v/>
      </c>
      <c r="CA490">
        <f>IFERROR(INDEX(PP_Grid[#Data],$DD490,77),0)</f>
        <v/>
      </c>
      <c r="CB490">
        <f>IFERROR(INDEX(PP_Grid[#Data],$DD490,78),0)</f>
        <v/>
      </c>
      <c r="CC490">
        <f>IFERROR(INDEX(PP_Grid[#Data],$DD490,79),0)</f>
        <v/>
      </c>
      <c r="CD490">
        <f>IFERROR(INDEX(PP_Grid[#Data],$DD490,80),0)</f>
        <v/>
      </c>
      <c r="CE490">
        <f>IFERROR(INDEX(PP_Grid[#Data],$DD490,81),0)</f>
        <v/>
      </c>
      <c r="CF490">
        <f>IFERROR(INDEX(PP_Grid[#Data],$DD490,82),0)</f>
        <v/>
      </c>
      <c r="CG490">
        <f>IFERROR(INDEX(PP_Grid[#Data],$DD490,83),0)</f>
        <v/>
      </c>
      <c r="CH490">
        <f>IFERROR(INDEX(PP_Grid[#Data],$DD490,84),0)</f>
        <v/>
      </c>
      <c r="CI490">
        <f>IFERROR(INDEX(PP_Grid[#Data],$DD490,85),0)</f>
        <v/>
      </c>
      <c r="CJ490">
        <f>IFERROR(INDEX(PP_Grid[#Data],$DD490,86),0)</f>
        <v/>
      </c>
      <c r="CK490">
        <f>IFERROR(INDEX(PP_Grid[#Data],$DD490,87),0)</f>
        <v/>
      </c>
      <c r="CL490">
        <f>IFERROR(INDEX(PP_Grid[#Data],$DD490,88),0)</f>
        <v/>
      </c>
      <c r="CM490">
        <f>IFERROR(INDEX(PP_Grid[#Data],$DD490,89),0)</f>
        <v/>
      </c>
      <c r="CN490">
        <f>IFERROR(INDEX(PP_Grid[#Data],$DD490,90),0)</f>
        <v/>
      </c>
      <c r="CO490">
        <f>IFERROR(INDEX(PP_Grid[#Data],$DD490,91),0)</f>
        <v/>
      </c>
      <c r="CP490">
        <f>IFERROR(INDEX(PP_Grid[#Data],$DD490,92),0)</f>
        <v/>
      </c>
      <c r="CQ490">
        <f>IFERROR(INDEX(PP_Grid[#Data],$DD490,93),0)</f>
        <v/>
      </c>
      <c r="CR490">
        <f>IFERROR(INDEX(PP_Grid[#Data],$DD490,94),0)</f>
        <v/>
      </c>
      <c r="CS490">
        <f>IFERROR(INDEX(PP_Grid[#Data],$DD490,95),0)</f>
        <v/>
      </c>
      <c r="CT490">
        <f>IFERROR(INDEX(PP_Grid[#Data],$DD490,96),0)</f>
        <v/>
      </c>
      <c r="CU490">
        <f>IFERROR(INDEX(PP_Grid[#Data],$DD490,97),0)</f>
        <v/>
      </c>
      <c r="CV490">
        <f>IFERROR(INDEX(PP_Grid[#Data],$DD490,98),0)</f>
        <v/>
      </c>
      <c r="CW490">
        <f>IFERROR(INDEX(PP_Grid[#Data],$DD490,99),0)</f>
        <v/>
      </c>
      <c r="CX490">
        <f>IFERROR(INDEX(PP_Grid[#Data],$DD490,100),0)</f>
        <v/>
      </c>
      <c r="CY490">
        <f>IFERROR(INDEX(PP_Grid[#Data],$DD490,101),0)</f>
        <v/>
      </c>
      <c r="CZ490">
        <f>IFERROR(INDEX(PP_Grid[#Data],$DD490,102),0)</f>
        <v/>
      </c>
      <c r="DA490">
        <f>IFERROR(INDEX(PP_Grid[#Data],$DD490,103),0)</f>
        <v/>
      </c>
      <c r="DB490">
        <f>IFERROR(INDEX(PP_Grid[#Data],$DD490,104),0)</f>
        <v/>
      </c>
      <c r="DC490">
        <f>IFERROR(INDEX(PP_Grid[#Data],$DD490,105),0)</f>
        <v/>
      </c>
      <c r="DD490" s="12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SUMIFS(M_BOM[RM_Qty_Per_Batch],M_BOM[Intermediate],$B490,M_BOM[Part Name],$A485)</f>
        <v/>
      </c>
      <c r="D491">
        <f>$C491*D490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</row>
    <row r="492">
      <c r="B492" t="inlineStr">
        <is>
          <t>TSP-1444</t>
        </is>
      </c>
      <c r="C492" t="inlineStr">
        <is>
          <t>No. of batches</t>
        </is>
      </c>
      <c r="D492">
        <f>IFERROR(INDEX(PP_Grid[#Data],$DD492,2),0)</f>
        <v/>
      </c>
      <c r="E492">
        <f>IFERROR(INDEX(PP_Grid[#Data],$DD492,3),0)</f>
        <v/>
      </c>
      <c r="F492">
        <f>IFERROR(INDEX(PP_Grid[#Data],$DD492,4),0)</f>
        <v/>
      </c>
      <c r="G492">
        <f>IFERROR(INDEX(PP_Grid[#Data],$DD492,5),0)</f>
        <v/>
      </c>
      <c r="H492">
        <f>IFERROR(INDEX(PP_Grid[#Data],$DD492,6),0)</f>
        <v/>
      </c>
      <c r="I492">
        <f>IFERROR(INDEX(PP_Grid[#Data],$DD492,7),0)</f>
        <v/>
      </c>
      <c r="J492">
        <f>IFERROR(INDEX(PP_Grid[#Data],$DD492,8),0)</f>
        <v/>
      </c>
      <c r="K492">
        <f>IFERROR(INDEX(PP_Grid[#Data],$DD492,9),0)</f>
        <v/>
      </c>
      <c r="L492">
        <f>IFERROR(INDEX(PP_Grid[#Data],$DD492,10),0)</f>
        <v/>
      </c>
      <c r="M492">
        <f>IFERROR(INDEX(PP_Grid[#Data],$DD492,11),0)</f>
        <v/>
      </c>
      <c r="N492">
        <f>IFERROR(INDEX(PP_Grid[#Data],$DD492,12),0)</f>
        <v/>
      </c>
      <c r="O492">
        <f>IFERROR(INDEX(PP_Grid[#Data],$DD492,13),0)</f>
        <v/>
      </c>
      <c r="P492">
        <f>IFERROR(INDEX(PP_Grid[#Data],$DD492,14),0)</f>
        <v/>
      </c>
      <c r="Q492">
        <f>IFERROR(INDEX(PP_Grid[#Data],$DD492,15),0)</f>
        <v/>
      </c>
      <c r="R492">
        <f>IFERROR(INDEX(PP_Grid[#Data],$DD492,16),0)</f>
        <v/>
      </c>
      <c r="S492">
        <f>IFERROR(INDEX(PP_Grid[#Data],$DD492,17),0)</f>
        <v/>
      </c>
      <c r="T492">
        <f>IFERROR(INDEX(PP_Grid[#Data],$DD492,18),0)</f>
        <v/>
      </c>
      <c r="U492">
        <f>IFERROR(INDEX(PP_Grid[#Data],$DD492,19),0)</f>
        <v/>
      </c>
      <c r="V492">
        <f>IFERROR(INDEX(PP_Grid[#Data],$DD492,20),0)</f>
        <v/>
      </c>
      <c r="W492">
        <f>IFERROR(INDEX(PP_Grid[#Data],$DD492,21),0)</f>
        <v/>
      </c>
      <c r="X492">
        <f>IFERROR(INDEX(PP_Grid[#Data],$DD492,22),0)</f>
        <v/>
      </c>
      <c r="Y492">
        <f>IFERROR(INDEX(PP_Grid[#Data],$DD492,23),0)</f>
        <v/>
      </c>
      <c r="Z492">
        <f>IFERROR(INDEX(PP_Grid[#Data],$DD492,24),0)</f>
        <v/>
      </c>
      <c r="AA492">
        <f>IFERROR(INDEX(PP_Grid[#Data],$DD492,25),0)</f>
        <v/>
      </c>
      <c r="AB492">
        <f>IFERROR(INDEX(PP_Grid[#Data],$DD492,26),0)</f>
        <v/>
      </c>
      <c r="AC492">
        <f>IFERROR(INDEX(PP_Grid[#Data],$DD492,27),0)</f>
        <v/>
      </c>
      <c r="AD492">
        <f>IFERROR(INDEX(PP_Grid[#Data],$DD492,28),0)</f>
        <v/>
      </c>
      <c r="AE492">
        <f>IFERROR(INDEX(PP_Grid[#Data],$DD492,29),0)</f>
        <v/>
      </c>
      <c r="AF492">
        <f>IFERROR(INDEX(PP_Grid[#Data],$DD492,30),0)</f>
        <v/>
      </c>
      <c r="AG492">
        <f>IFERROR(INDEX(PP_Grid[#Data],$DD492,31),0)</f>
        <v/>
      </c>
      <c r="AH492">
        <f>IFERROR(INDEX(PP_Grid[#Data],$DD492,32),0)</f>
        <v/>
      </c>
      <c r="AI492">
        <f>IFERROR(INDEX(PP_Grid[#Data],$DD492,33),0)</f>
        <v/>
      </c>
      <c r="AJ492">
        <f>IFERROR(INDEX(PP_Grid[#Data],$DD492,34),0)</f>
        <v/>
      </c>
      <c r="AK492">
        <f>IFERROR(INDEX(PP_Grid[#Data],$DD492,35),0)</f>
        <v/>
      </c>
      <c r="AL492">
        <f>IFERROR(INDEX(PP_Grid[#Data],$DD492,36),0)</f>
        <v/>
      </c>
      <c r="AM492">
        <f>IFERROR(INDEX(PP_Grid[#Data],$DD492,37),0)</f>
        <v/>
      </c>
      <c r="AN492">
        <f>IFERROR(INDEX(PP_Grid[#Data],$DD492,38),0)</f>
        <v/>
      </c>
      <c r="AO492">
        <f>IFERROR(INDEX(PP_Grid[#Data],$DD492,39),0)</f>
        <v/>
      </c>
      <c r="AP492">
        <f>IFERROR(INDEX(PP_Grid[#Data],$DD492,40),0)</f>
        <v/>
      </c>
      <c r="AQ492">
        <f>IFERROR(INDEX(PP_Grid[#Data],$DD492,41),0)</f>
        <v/>
      </c>
      <c r="AR492">
        <f>IFERROR(INDEX(PP_Grid[#Data],$DD492,42),0)</f>
        <v/>
      </c>
      <c r="AS492">
        <f>IFERROR(INDEX(PP_Grid[#Data],$DD492,43),0)</f>
        <v/>
      </c>
      <c r="AT492">
        <f>IFERROR(INDEX(PP_Grid[#Data],$DD492,44),0)</f>
        <v/>
      </c>
      <c r="AU492">
        <f>IFERROR(INDEX(PP_Grid[#Data],$DD492,45),0)</f>
        <v/>
      </c>
      <c r="AV492">
        <f>IFERROR(INDEX(PP_Grid[#Data],$DD492,46),0)</f>
        <v/>
      </c>
      <c r="AW492">
        <f>IFERROR(INDEX(PP_Grid[#Data],$DD492,47),0)</f>
        <v/>
      </c>
      <c r="AX492">
        <f>IFERROR(INDEX(PP_Grid[#Data],$DD492,48),0)</f>
        <v/>
      </c>
      <c r="AY492">
        <f>IFERROR(INDEX(PP_Grid[#Data],$DD492,49),0)</f>
        <v/>
      </c>
      <c r="AZ492">
        <f>IFERROR(INDEX(PP_Grid[#Data],$DD492,50),0)</f>
        <v/>
      </c>
      <c r="BA492">
        <f>IFERROR(INDEX(PP_Grid[#Data],$DD492,51),0)</f>
        <v/>
      </c>
      <c r="BB492">
        <f>IFERROR(INDEX(PP_Grid[#Data],$DD492,52),0)</f>
        <v/>
      </c>
      <c r="BC492">
        <f>IFERROR(INDEX(PP_Grid[#Data],$DD492,53),0)</f>
        <v/>
      </c>
      <c r="BD492">
        <f>IFERROR(INDEX(PP_Grid[#Data],$DD492,54),0)</f>
        <v/>
      </c>
      <c r="BE492">
        <f>IFERROR(INDEX(PP_Grid[#Data],$DD492,55),0)</f>
        <v/>
      </c>
      <c r="BF492">
        <f>IFERROR(INDEX(PP_Grid[#Data],$DD492,56),0)</f>
        <v/>
      </c>
      <c r="BG492">
        <f>IFERROR(INDEX(PP_Grid[#Data],$DD492,57),0)</f>
        <v/>
      </c>
      <c r="BH492">
        <f>IFERROR(INDEX(PP_Grid[#Data],$DD492,58),0)</f>
        <v/>
      </c>
      <c r="BI492">
        <f>IFERROR(INDEX(PP_Grid[#Data],$DD492,59),0)</f>
        <v/>
      </c>
      <c r="BJ492">
        <f>IFERROR(INDEX(PP_Grid[#Data],$DD492,60),0)</f>
        <v/>
      </c>
      <c r="BK492">
        <f>IFERROR(INDEX(PP_Grid[#Data],$DD492,61),0)</f>
        <v/>
      </c>
      <c r="BL492">
        <f>IFERROR(INDEX(PP_Grid[#Data],$DD492,62),0)</f>
        <v/>
      </c>
      <c r="BM492">
        <f>IFERROR(INDEX(PP_Grid[#Data],$DD492,63),0)</f>
        <v/>
      </c>
      <c r="BN492">
        <f>IFERROR(INDEX(PP_Grid[#Data],$DD492,64),0)</f>
        <v/>
      </c>
      <c r="BO492">
        <f>IFERROR(INDEX(PP_Grid[#Data],$DD492,65),0)</f>
        <v/>
      </c>
      <c r="BP492">
        <f>IFERROR(INDEX(PP_Grid[#Data],$DD492,66),0)</f>
        <v/>
      </c>
      <c r="BQ492">
        <f>IFERROR(INDEX(PP_Grid[#Data],$DD492,67),0)</f>
        <v/>
      </c>
      <c r="BR492">
        <f>IFERROR(INDEX(PP_Grid[#Data],$DD492,68),0)</f>
        <v/>
      </c>
      <c r="BS492">
        <f>IFERROR(INDEX(PP_Grid[#Data],$DD492,69),0)</f>
        <v/>
      </c>
      <c r="BT492">
        <f>IFERROR(INDEX(PP_Grid[#Data],$DD492,70),0)</f>
        <v/>
      </c>
      <c r="BU492">
        <f>IFERROR(INDEX(PP_Grid[#Data],$DD492,71),0)</f>
        <v/>
      </c>
      <c r="BV492">
        <f>IFERROR(INDEX(PP_Grid[#Data],$DD492,72),0)</f>
        <v/>
      </c>
      <c r="BW492">
        <f>IFERROR(INDEX(PP_Grid[#Data],$DD492,73),0)</f>
        <v/>
      </c>
      <c r="BX492">
        <f>IFERROR(INDEX(PP_Grid[#Data],$DD492,74),0)</f>
        <v/>
      </c>
      <c r="BY492">
        <f>IFERROR(INDEX(PP_Grid[#Data],$DD492,75),0)</f>
        <v/>
      </c>
      <c r="BZ492">
        <f>IFERROR(INDEX(PP_Grid[#Data],$DD492,76),0)</f>
        <v/>
      </c>
      <c r="CA492">
        <f>IFERROR(INDEX(PP_Grid[#Data],$DD492,77),0)</f>
        <v/>
      </c>
      <c r="CB492">
        <f>IFERROR(INDEX(PP_Grid[#Data],$DD492,78),0)</f>
        <v/>
      </c>
      <c r="CC492">
        <f>IFERROR(INDEX(PP_Grid[#Data],$DD492,79),0)</f>
        <v/>
      </c>
      <c r="CD492">
        <f>IFERROR(INDEX(PP_Grid[#Data],$DD492,80),0)</f>
        <v/>
      </c>
      <c r="CE492">
        <f>IFERROR(INDEX(PP_Grid[#Data],$DD492,81),0)</f>
        <v/>
      </c>
      <c r="CF492">
        <f>IFERROR(INDEX(PP_Grid[#Data],$DD492,82),0)</f>
        <v/>
      </c>
      <c r="CG492">
        <f>IFERROR(INDEX(PP_Grid[#Data],$DD492,83),0)</f>
        <v/>
      </c>
      <c r="CH492">
        <f>IFERROR(INDEX(PP_Grid[#Data],$DD492,84),0)</f>
        <v/>
      </c>
      <c r="CI492">
        <f>IFERROR(INDEX(PP_Grid[#Data],$DD492,85),0)</f>
        <v/>
      </c>
      <c r="CJ492">
        <f>IFERROR(INDEX(PP_Grid[#Data],$DD492,86),0)</f>
        <v/>
      </c>
      <c r="CK492">
        <f>IFERROR(INDEX(PP_Grid[#Data],$DD492,87),0)</f>
        <v/>
      </c>
      <c r="CL492">
        <f>IFERROR(INDEX(PP_Grid[#Data],$DD492,88),0)</f>
        <v/>
      </c>
      <c r="CM492">
        <f>IFERROR(INDEX(PP_Grid[#Data],$DD492,89),0)</f>
        <v/>
      </c>
      <c r="CN492">
        <f>IFERROR(INDEX(PP_Grid[#Data],$DD492,90),0)</f>
        <v/>
      </c>
      <c r="CO492">
        <f>IFERROR(INDEX(PP_Grid[#Data],$DD492,91),0)</f>
        <v/>
      </c>
      <c r="CP492">
        <f>IFERROR(INDEX(PP_Grid[#Data],$DD492,92),0)</f>
        <v/>
      </c>
      <c r="CQ492">
        <f>IFERROR(INDEX(PP_Grid[#Data],$DD492,93),0)</f>
        <v/>
      </c>
      <c r="CR492">
        <f>IFERROR(INDEX(PP_Grid[#Data],$DD492,94),0)</f>
        <v/>
      </c>
      <c r="CS492">
        <f>IFERROR(INDEX(PP_Grid[#Data],$DD492,95),0)</f>
        <v/>
      </c>
      <c r="CT492">
        <f>IFERROR(INDEX(PP_Grid[#Data],$DD492,96),0)</f>
        <v/>
      </c>
      <c r="CU492">
        <f>IFERROR(INDEX(PP_Grid[#Data],$DD492,97),0)</f>
        <v/>
      </c>
      <c r="CV492">
        <f>IFERROR(INDEX(PP_Grid[#Data],$DD492,98),0)</f>
        <v/>
      </c>
      <c r="CW492">
        <f>IFERROR(INDEX(PP_Grid[#Data],$DD492,99),0)</f>
        <v/>
      </c>
      <c r="CX492">
        <f>IFERROR(INDEX(PP_Grid[#Data],$DD492,100),0)</f>
        <v/>
      </c>
      <c r="CY492">
        <f>IFERROR(INDEX(PP_Grid[#Data],$DD492,101),0)</f>
        <v/>
      </c>
      <c r="CZ492">
        <f>IFERROR(INDEX(PP_Grid[#Data],$DD492,102),0)</f>
        <v/>
      </c>
      <c r="DA492">
        <f>IFERROR(INDEX(PP_Grid[#Data],$DD492,103),0)</f>
        <v/>
      </c>
      <c r="DB492">
        <f>IFERROR(INDEX(PP_Grid[#Data],$DD492,104),0)</f>
        <v/>
      </c>
      <c r="DC492">
        <f>IFERROR(INDEX(PP_Grid[#Data],$DD492,105),0)</f>
        <v/>
      </c>
      <c r="DD492" s="12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SUMIFS(M_BOM[RM_Qty_Per_Batch],M_BOM[Intermediate],$B492,M_BOM[Part Name],$A485)</f>
        <v/>
      </c>
      <c r="D493">
        <f>$C493*D492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</row>
    <row r="494">
      <c r="B494" t="inlineStr">
        <is>
          <t>TSP-1445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Name],$A485)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TSP-1446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Name],$A485)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TSP-1499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Name],$A485)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s="9" t="inlineStr">
        <is>
          <t>合計使用量(kg)/週</t>
        </is>
      </c>
      <c r="D500">
        <f>'Grid_Requirement'!B3</f>
        <v/>
      </c>
      <c r="E500">
        <f>'Grid_Requirement'!C3</f>
        <v/>
      </c>
      <c r="F500">
        <f>'Grid_Requirement'!D3</f>
        <v/>
      </c>
      <c r="G500">
        <f>'Grid_Requirement'!E3</f>
        <v/>
      </c>
      <c r="H500">
        <f>'Grid_Requirement'!F3</f>
        <v/>
      </c>
      <c r="I500">
        <f>'Grid_Requirement'!G3</f>
        <v/>
      </c>
      <c r="J500">
        <f>'Grid_Requirement'!H3</f>
        <v/>
      </c>
      <c r="K500">
        <f>'Grid_Requirement'!I3</f>
        <v/>
      </c>
      <c r="L500">
        <f>'Grid_Requirement'!J3</f>
        <v/>
      </c>
      <c r="M500">
        <f>'Grid_Requirement'!K3</f>
        <v/>
      </c>
      <c r="N500">
        <f>'Grid_Requirement'!L3</f>
        <v/>
      </c>
      <c r="O500">
        <f>'Grid_Requirement'!M3</f>
        <v/>
      </c>
      <c r="P500">
        <f>'Grid_Requirement'!N3</f>
        <v/>
      </c>
      <c r="Q500">
        <f>'Grid_Requirement'!O3</f>
        <v/>
      </c>
      <c r="R500">
        <f>'Grid_Requirement'!P3</f>
        <v/>
      </c>
      <c r="S500">
        <f>'Grid_Requirement'!Q3</f>
        <v/>
      </c>
      <c r="T500">
        <f>'Grid_Requirement'!R3</f>
        <v/>
      </c>
      <c r="U500">
        <f>'Grid_Requirement'!S3</f>
        <v/>
      </c>
      <c r="V500">
        <f>'Grid_Requirement'!T3</f>
        <v/>
      </c>
      <c r="W500">
        <f>'Grid_Requirement'!U3</f>
        <v/>
      </c>
      <c r="X500">
        <f>'Grid_Requirement'!V3</f>
        <v/>
      </c>
      <c r="Y500">
        <f>'Grid_Requirement'!W3</f>
        <v/>
      </c>
      <c r="Z500">
        <f>'Grid_Requirement'!X3</f>
        <v/>
      </c>
      <c r="AA500">
        <f>'Grid_Requirement'!Y3</f>
        <v/>
      </c>
      <c r="AB500">
        <f>'Grid_Requirement'!Z3</f>
        <v/>
      </c>
      <c r="AC500">
        <f>'Grid_Requirement'!AA3</f>
        <v/>
      </c>
      <c r="AD500">
        <f>'Grid_Requirement'!AB3</f>
        <v/>
      </c>
      <c r="AE500">
        <f>'Grid_Requirement'!AC3</f>
        <v/>
      </c>
      <c r="AF500">
        <f>'Grid_Requirement'!AD3</f>
        <v/>
      </c>
      <c r="AG500">
        <f>'Grid_Requirement'!AE3</f>
        <v/>
      </c>
      <c r="AH500">
        <f>'Grid_Requirement'!AF3</f>
        <v/>
      </c>
      <c r="AI500">
        <f>'Grid_Requirement'!AG3</f>
        <v/>
      </c>
      <c r="AJ500">
        <f>'Grid_Requirement'!AH3</f>
        <v/>
      </c>
      <c r="AK500">
        <f>'Grid_Requirement'!AI3</f>
        <v/>
      </c>
      <c r="AL500">
        <f>'Grid_Requirement'!AJ3</f>
        <v/>
      </c>
      <c r="AM500">
        <f>'Grid_Requirement'!AK3</f>
        <v/>
      </c>
      <c r="AN500">
        <f>'Grid_Requirement'!AL3</f>
        <v/>
      </c>
      <c r="AO500">
        <f>'Grid_Requirement'!AM3</f>
        <v/>
      </c>
      <c r="AP500">
        <f>'Grid_Requirement'!AN3</f>
        <v/>
      </c>
      <c r="AQ500">
        <f>'Grid_Requirement'!AO3</f>
        <v/>
      </c>
      <c r="AR500">
        <f>'Grid_Requirement'!AP3</f>
        <v/>
      </c>
      <c r="AS500">
        <f>'Grid_Requirement'!AQ3</f>
        <v/>
      </c>
      <c r="AT500">
        <f>'Grid_Requirement'!AR3</f>
        <v/>
      </c>
      <c r="AU500">
        <f>'Grid_Requirement'!AS3</f>
        <v/>
      </c>
      <c r="AV500">
        <f>'Grid_Requirement'!AT3</f>
        <v/>
      </c>
      <c r="AW500">
        <f>'Grid_Requirement'!AU3</f>
        <v/>
      </c>
      <c r="AX500">
        <f>'Grid_Requirement'!AV3</f>
        <v/>
      </c>
      <c r="AY500">
        <f>'Grid_Requirement'!AW3</f>
        <v/>
      </c>
      <c r="AZ500">
        <f>'Grid_Requirement'!AX3</f>
        <v/>
      </c>
      <c r="BA500">
        <f>'Grid_Requirement'!AY3</f>
        <v/>
      </c>
      <c r="BB500">
        <f>'Grid_Requirement'!AZ3</f>
        <v/>
      </c>
      <c r="BC500">
        <f>'Grid_Requirement'!BA3</f>
        <v/>
      </c>
      <c r="BD500">
        <f>'Grid_Requirement'!BB3</f>
        <v/>
      </c>
      <c r="BE500">
        <f>'Grid_Requirement'!BC3</f>
        <v/>
      </c>
      <c r="BF500">
        <f>'Grid_Requirement'!BD3</f>
        <v/>
      </c>
      <c r="BG500">
        <f>'Grid_Requirement'!BE3</f>
        <v/>
      </c>
      <c r="BH500">
        <f>'Grid_Requirement'!BF3</f>
        <v/>
      </c>
      <c r="BI500">
        <f>'Grid_Requirement'!BG3</f>
        <v/>
      </c>
      <c r="BJ500">
        <f>'Grid_Requirement'!BH3</f>
        <v/>
      </c>
      <c r="BK500">
        <f>'Grid_Requirement'!BI3</f>
        <v/>
      </c>
      <c r="BL500">
        <f>'Grid_Requirement'!BJ3</f>
        <v/>
      </c>
      <c r="BM500">
        <f>'Grid_Requirement'!BK3</f>
        <v/>
      </c>
      <c r="BN500">
        <f>'Grid_Requirement'!BL3</f>
        <v/>
      </c>
      <c r="BO500">
        <f>'Grid_Requirement'!BM3</f>
        <v/>
      </c>
      <c r="BP500">
        <f>'Grid_Requirement'!BN3</f>
        <v/>
      </c>
      <c r="BQ500">
        <f>'Grid_Requirement'!BO3</f>
        <v/>
      </c>
      <c r="BR500">
        <f>'Grid_Requirement'!BP3</f>
        <v/>
      </c>
      <c r="BS500">
        <f>'Grid_Requirement'!BQ3</f>
        <v/>
      </c>
      <c r="BT500">
        <f>'Grid_Requirement'!BR3</f>
        <v/>
      </c>
      <c r="BU500">
        <f>'Grid_Requirement'!BS3</f>
        <v/>
      </c>
      <c r="BV500">
        <f>'Grid_Requirement'!BT3</f>
        <v/>
      </c>
      <c r="BW500">
        <f>'Grid_Requirement'!BU3</f>
        <v/>
      </c>
      <c r="BX500">
        <f>'Grid_Requirement'!BV3</f>
        <v/>
      </c>
      <c r="BY500">
        <f>'Grid_Requirement'!BW3</f>
        <v/>
      </c>
      <c r="BZ500">
        <f>'Grid_Requirement'!BX3</f>
        <v/>
      </c>
      <c r="CA500">
        <f>'Grid_Requirement'!BY3</f>
        <v/>
      </c>
      <c r="CB500">
        <f>'Grid_Requirement'!BZ3</f>
        <v/>
      </c>
      <c r="CC500">
        <f>'Grid_Requirement'!CA3</f>
        <v/>
      </c>
      <c r="CD500">
        <f>'Grid_Requirement'!CB3</f>
        <v/>
      </c>
      <c r="CE500">
        <f>'Grid_Requirement'!CC3</f>
        <v/>
      </c>
      <c r="CF500">
        <f>'Grid_Requirement'!CD3</f>
        <v/>
      </c>
      <c r="CG500">
        <f>'Grid_Requirement'!CE3</f>
        <v/>
      </c>
      <c r="CH500">
        <f>'Grid_Requirement'!CF3</f>
        <v/>
      </c>
      <c r="CI500">
        <f>'Grid_Requirement'!CG3</f>
        <v/>
      </c>
      <c r="CJ500">
        <f>'Grid_Requirement'!CH3</f>
        <v/>
      </c>
      <c r="CK500">
        <f>'Grid_Requirement'!CI3</f>
        <v/>
      </c>
      <c r="CL500">
        <f>'Grid_Requirement'!CJ3</f>
        <v/>
      </c>
      <c r="CM500">
        <f>'Grid_Requirement'!CK3</f>
        <v/>
      </c>
      <c r="CN500">
        <f>'Grid_Requirement'!CL3</f>
        <v/>
      </c>
      <c r="CO500">
        <f>'Grid_Requirement'!CM3</f>
        <v/>
      </c>
      <c r="CP500">
        <f>'Grid_Requirement'!CN3</f>
        <v/>
      </c>
      <c r="CQ500">
        <f>'Grid_Requirement'!CO3</f>
        <v/>
      </c>
      <c r="CR500">
        <f>'Grid_Requirement'!CP3</f>
        <v/>
      </c>
      <c r="CS500">
        <f>'Grid_Requirement'!CQ3</f>
        <v/>
      </c>
      <c r="CT500">
        <f>'Grid_Requirement'!CR3</f>
        <v/>
      </c>
      <c r="CU500">
        <f>'Grid_Requirement'!CS3</f>
        <v/>
      </c>
      <c r="CV500">
        <f>'Grid_Requirement'!CT3</f>
        <v/>
      </c>
      <c r="CW500">
        <f>'Grid_Requirement'!CU3</f>
        <v/>
      </c>
      <c r="CX500">
        <f>'Grid_Requirement'!CV3</f>
        <v/>
      </c>
      <c r="CY500">
        <f>'Grid_Requirement'!CW3</f>
        <v/>
      </c>
      <c r="CZ500">
        <f>'Grid_Requirement'!CX3</f>
        <v/>
      </c>
      <c r="DA500">
        <f>'Grid_Requirement'!CY3</f>
        <v/>
      </c>
      <c r="DB500">
        <f>'Grid_Requirement'!CZ3</f>
        <v/>
      </c>
      <c r="DC500">
        <f>'Grid_Requirement'!DA3</f>
        <v/>
      </c>
    </row>
    <row r="501">
      <c r="B501" t="inlineStr">
        <is>
          <t>TTAF在庫(実績,kg)</t>
        </is>
      </c>
      <c r="D501">
        <f>'T_TTAFStock'!B7</f>
        <v/>
      </c>
      <c r="E501">
        <f>'T_TTAFStock'!C7</f>
        <v/>
      </c>
      <c r="F501">
        <f>'T_TTAFStock'!D7</f>
        <v/>
      </c>
      <c r="G501">
        <f>'T_TTAFStock'!E7</f>
        <v/>
      </c>
      <c r="H501">
        <f>'T_TTAFStock'!F7</f>
        <v/>
      </c>
      <c r="I501">
        <f>'T_TTAFStock'!G7</f>
        <v/>
      </c>
      <c r="J501">
        <f>'T_TTAFStock'!H7</f>
        <v/>
      </c>
      <c r="K501">
        <f>'T_TTAFStock'!I7</f>
        <v/>
      </c>
      <c r="L501">
        <f>'T_TTAFStock'!J7</f>
        <v/>
      </c>
      <c r="M501">
        <f>'T_TTAFStock'!K7</f>
        <v/>
      </c>
      <c r="N501">
        <f>'T_TTAFStock'!L7</f>
        <v/>
      </c>
      <c r="O501">
        <f>'T_TTAFStock'!M7</f>
        <v/>
      </c>
      <c r="P501">
        <f>'T_TTAFStock'!N7</f>
        <v/>
      </c>
      <c r="Q501">
        <f>'T_TTAFStock'!O7</f>
        <v/>
      </c>
      <c r="R501">
        <f>'T_TTAFStock'!P7</f>
        <v/>
      </c>
      <c r="S501">
        <f>'T_TTAFStock'!Q7</f>
        <v/>
      </c>
      <c r="T501">
        <f>'T_TTAFStock'!R7</f>
        <v/>
      </c>
      <c r="U501">
        <f>'T_TTAFStock'!S7</f>
        <v/>
      </c>
      <c r="V501">
        <f>'T_TTAFStock'!T7</f>
        <v/>
      </c>
      <c r="W501">
        <f>'T_TTAFStock'!U7</f>
        <v/>
      </c>
      <c r="X501">
        <f>'T_TTAFStock'!V7</f>
        <v/>
      </c>
      <c r="Y501">
        <f>'T_TTAFStock'!W7</f>
        <v/>
      </c>
      <c r="Z501">
        <f>'T_TTAFStock'!X7</f>
        <v/>
      </c>
      <c r="AA501">
        <f>'T_TTAFStock'!Y7</f>
        <v/>
      </c>
      <c r="AB501">
        <f>'T_TTAFStock'!Z7</f>
        <v/>
      </c>
      <c r="AC501">
        <f>'T_TTAFStock'!AA7</f>
        <v/>
      </c>
      <c r="AD501">
        <f>'T_TTAFStock'!AB7</f>
        <v/>
      </c>
      <c r="AE501">
        <f>'T_TTAFStock'!AC7</f>
        <v/>
      </c>
      <c r="AF501">
        <f>'T_TTAFStock'!AD7</f>
        <v/>
      </c>
      <c r="AG501">
        <f>'T_TTAFStock'!AE7</f>
        <v/>
      </c>
      <c r="AH501">
        <f>'T_TTAFStock'!AF7</f>
        <v/>
      </c>
      <c r="AI501">
        <f>'T_TTAFStock'!AG7</f>
        <v/>
      </c>
      <c r="AJ501">
        <f>'T_TTAFStock'!AH7</f>
        <v/>
      </c>
      <c r="AK501">
        <f>'T_TTAFStock'!AI7</f>
        <v/>
      </c>
      <c r="AL501">
        <f>'T_TTAFStock'!AJ7</f>
        <v/>
      </c>
      <c r="AM501">
        <f>'T_TTAFStock'!AK7</f>
        <v/>
      </c>
      <c r="AN501">
        <f>'T_TTAFStock'!AL7</f>
        <v/>
      </c>
      <c r="AO501">
        <f>'T_TTAFStock'!AM7</f>
        <v/>
      </c>
      <c r="AP501">
        <f>'T_TTAFStock'!AN7</f>
        <v/>
      </c>
      <c r="AQ501">
        <f>'T_TTAFStock'!AO7</f>
        <v/>
      </c>
      <c r="AR501">
        <f>'T_TTAFStock'!AP7</f>
        <v/>
      </c>
      <c r="AS501">
        <f>'T_TTAFStock'!AQ7</f>
        <v/>
      </c>
      <c r="AT501">
        <f>'T_TTAFStock'!AR7</f>
        <v/>
      </c>
      <c r="AU501">
        <f>'T_TTAFStock'!AS7</f>
        <v/>
      </c>
      <c r="AV501">
        <f>'T_TTAFStock'!AT7</f>
        <v/>
      </c>
      <c r="AW501">
        <f>'T_TTAFStock'!AU7</f>
        <v/>
      </c>
      <c r="AX501">
        <f>'T_TTAFStock'!AV7</f>
        <v/>
      </c>
      <c r="AY501">
        <f>'T_TTAFStock'!AW7</f>
        <v/>
      </c>
      <c r="AZ501">
        <f>'T_TTAFStock'!AX7</f>
        <v/>
      </c>
      <c r="BA501">
        <f>'T_TTAFStock'!AY7</f>
        <v/>
      </c>
      <c r="BB501">
        <f>'T_TTAFStock'!AZ7</f>
        <v/>
      </c>
      <c r="BC501">
        <f>'T_TTAFStock'!BA7</f>
        <v/>
      </c>
      <c r="BD501">
        <f>'T_TTAFStock'!BB7</f>
        <v/>
      </c>
      <c r="BE501">
        <f>'T_TTAFStock'!BC7</f>
        <v/>
      </c>
      <c r="BF501">
        <f>'T_TTAFStock'!BD7</f>
        <v/>
      </c>
      <c r="BG501">
        <f>'T_TTAFStock'!BE7</f>
        <v/>
      </c>
      <c r="BH501">
        <f>'T_TTAFStock'!BF7</f>
        <v/>
      </c>
      <c r="BI501">
        <f>'T_TTAFStock'!BG7</f>
        <v/>
      </c>
      <c r="BJ501">
        <f>'T_TTAFStock'!BH7</f>
        <v/>
      </c>
      <c r="BK501">
        <f>'T_TTAFStock'!BI7</f>
        <v/>
      </c>
      <c r="BL501">
        <f>'T_TTAFStock'!BJ7</f>
        <v/>
      </c>
      <c r="BM501">
        <f>'T_TTAFStock'!BK7</f>
        <v/>
      </c>
      <c r="BN501">
        <f>'T_TTAFStock'!BL7</f>
        <v/>
      </c>
      <c r="BO501">
        <f>'T_TTAFStock'!BM7</f>
        <v/>
      </c>
      <c r="BP501">
        <f>'T_TTAFStock'!BN7</f>
        <v/>
      </c>
      <c r="BQ501">
        <f>'T_TTAFStock'!BO7</f>
        <v/>
      </c>
      <c r="BR501">
        <f>'T_TTAFStock'!BP7</f>
        <v/>
      </c>
      <c r="BS501">
        <f>'T_TTAFStock'!BQ7</f>
        <v/>
      </c>
      <c r="BT501">
        <f>'T_TTAFStock'!BR7</f>
        <v/>
      </c>
      <c r="BU501">
        <f>'T_TTAFStock'!BS7</f>
        <v/>
      </c>
      <c r="BV501">
        <f>'T_TTAFStock'!BT7</f>
        <v/>
      </c>
      <c r="BW501">
        <f>'T_TTAFStock'!BU7</f>
        <v/>
      </c>
      <c r="BX501">
        <f>'T_TTAFStock'!BV7</f>
        <v/>
      </c>
      <c r="BY501">
        <f>'T_TTAFStock'!BW7</f>
        <v/>
      </c>
      <c r="BZ501">
        <f>'T_TTAFStock'!BX7</f>
        <v/>
      </c>
      <c r="CA501">
        <f>'T_TTAFStock'!BY7</f>
        <v/>
      </c>
      <c r="CB501">
        <f>'T_TTAFStock'!BZ7</f>
        <v/>
      </c>
      <c r="CC501">
        <f>'T_TTAFStock'!CA7</f>
        <v/>
      </c>
      <c r="CD501">
        <f>'T_TTAFStock'!CB7</f>
        <v/>
      </c>
      <c r="CE501">
        <f>'T_TTAFStock'!CC7</f>
        <v/>
      </c>
      <c r="CF501">
        <f>'T_TTAFStock'!CD7</f>
        <v/>
      </c>
      <c r="CG501">
        <f>'T_TTAFStock'!CE7</f>
        <v/>
      </c>
      <c r="CH501">
        <f>'T_TTAFStock'!CF7</f>
        <v/>
      </c>
      <c r="CI501">
        <f>'T_TTAFStock'!CG7</f>
        <v/>
      </c>
      <c r="CJ501">
        <f>'T_TTAFStock'!CH7</f>
        <v/>
      </c>
      <c r="CK501">
        <f>'T_TTAFStock'!CI7</f>
        <v/>
      </c>
      <c r="CL501">
        <f>'T_TTAFStock'!CJ7</f>
        <v/>
      </c>
      <c r="CM501">
        <f>'T_TTAFStock'!CK7</f>
        <v/>
      </c>
      <c r="CN501">
        <f>'T_TTAFStock'!CL7</f>
        <v/>
      </c>
      <c r="CO501">
        <f>'T_TTAFStock'!CM7</f>
        <v/>
      </c>
      <c r="CP501">
        <f>'T_TTAFStock'!CN7</f>
        <v/>
      </c>
      <c r="CQ501">
        <f>'T_TTAFStock'!CO7</f>
        <v/>
      </c>
      <c r="CR501">
        <f>'T_TTAFStock'!CP7</f>
        <v/>
      </c>
      <c r="CS501">
        <f>'T_TTAFStock'!CQ7</f>
        <v/>
      </c>
      <c r="CT501">
        <f>'T_TTAFStock'!CR7</f>
        <v/>
      </c>
      <c r="CU501">
        <f>'T_TTAFStock'!CS7</f>
        <v/>
      </c>
      <c r="CV501">
        <f>'T_TTAFStock'!CT7</f>
        <v/>
      </c>
      <c r="CW501">
        <f>'T_TTAFStock'!CU7</f>
        <v/>
      </c>
      <c r="CX501">
        <f>'T_TTAFStock'!CV7</f>
        <v/>
      </c>
      <c r="CY501">
        <f>'T_TTAFStock'!CW7</f>
        <v/>
      </c>
      <c r="CZ501">
        <f>'T_TTAFStock'!CX7</f>
        <v/>
      </c>
      <c r="DA501">
        <f>'T_TTAFStock'!CY7</f>
        <v/>
      </c>
      <c r="DB501">
        <f>'T_TTAFStock'!CZ7</f>
        <v/>
      </c>
      <c r="DC501">
        <f>'T_TTAFStock'!DA7</f>
        <v/>
      </c>
    </row>
    <row r="502">
      <c r="B502" t="inlineStr">
        <is>
          <t>自社在庫(実績,kg)</t>
        </is>
      </c>
      <c r="D502">
        <f>'T_SelfStock'!B7</f>
        <v/>
      </c>
      <c r="E502">
        <f>'T_SelfStock'!C7</f>
        <v/>
      </c>
      <c r="F502">
        <f>'T_SelfStock'!D7</f>
        <v/>
      </c>
      <c r="G502">
        <f>'T_SelfStock'!E7</f>
        <v/>
      </c>
      <c r="H502">
        <f>'T_SelfStock'!F7</f>
        <v/>
      </c>
      <c r="I502">
        <f>'T_SelfStock'!G7</f>
        <v/>
      </c>
      <c r="J502">
        <f>'T_SelfStock'!H7</f>
        <v/>
      </c>
      <c r="K502">
        <f>'T_SelfStock'!I7</f>
        <v/>
      </c>
      <c r="L502">
        <f>'T_SelfStock'!J7</f>
        <v/>
      </c>
      <c r="M502">
        <f>'T_SelfStock'!K7</f>
        <v/>
      </c>
      <c r="N502">
        <f>'T_SelfStock'!L7</f>
        <v/>
      </c>
      <c r="O502">
        <f>'T_SelfStock'!M7</f>
        <v/>
      </c>
      <c r="P502">
        <f>'T_SelfStock'!N7</f>
        <v/>
      </c>
      <c r="Q502">
        <f>'T_SelfStock'!O7</f>
        <v/>
      </c>
      <c r="R502">
        <f>'T_SelfStock'!P7</f>
        <v/>
      </c>
      <c r="S502">
        <f>'T_SelfStock'!Q7</f>
        <v/>
      </c>
      <c r="T502">
        <f>'T_SelfStock'!R7</f>
        <v/>
      </c>
      <c r="U502">
        <f>'T_SelfStock'!S7</f>
        <v/>
      </c>
      <c r="V502">
        <f>'T_SelfStock'!T7</f>
        <v/>
      </c>
      <c r="W502">
        <f>'T_SelfStock'!U7</f>
        <v/>
      </c>
      <c r="X502">
        <f>'T_SelfStock'!V7</f>
        <v/>
      </c>
      <c r="Y502">
        <f>'T_SelfStock'!W7</f>
        <v/>
      </c>
      <c r="Z502">
        <f>'T_SelfStock'!X7</f>
        <v/>
      </c>
      <c r="AA502">
        <f>'T_SelfStock'!Y7</f>
        <v/>
      </c>
      <c r="AB502">
        <f>'T_SelfStock'!Z7</f>
        <v/>
      </c>
      <c r="AC502">
        <f>'T_SelfStock'!AA7</f>
        <v/>
      </c>
      <c r="AD502">
        <f>'T_SelfStock'!AB7</f>
        <v/>
      </c>
      <c r="AE502">
        <f>'T_SelfStock'!AC7</f>
        <v/>
      </c>
      <c r="AF502">
        <f>'T_SelfStock'!AD7</f>
        <v/>
      </c>
      <c r="AG502">
        <f>'T_SelfStock'!AE7</f>
        <v/>
      </c>
      <c r="AH502">
        <f>'T_SelfStock'!AF7</f>
        <v/>
      </c>
      <c r="AI502">
        <f>'T_SelfStock'!AG7</f>
        <v/>
      </c>
      <c r="AJ502">
        <f>'T_SelfStock'!AH7</f>
        <v/>
      </c>
      <c r="AK502">
        <f>'T_SelfStock'!AI7</f>
        <v/>
      </c>
      <c r="AL502">
        <f>'T_SelfStock'!AJ7</f>
        <v/>
      </c>
      <c r="AM502">
        <f>'T_SelfStock'!AK7</f>
        <v/>
      </c>
      <c r="AN502">
        <f>'T_SelfStock'!AL7</f>
        <v/>
      </c>
      <c r="AO502">
        <f>'T_SelfStock'!AM7</f>
        <v/>
      </c>
      <c r="AP502">
        <f>'T_SelfStock'!AN7</f>
        <v/>
      </c>
      <c r="AQ502">
        <f>'T_SelfStock'!AO7</f>
        <v/>
      </c>
      <c r="AR502">
        <f>'T_SelfStock'!AP7</f>
        <v/>
      </c>
      <c r="AS502">
        <f>'T_SelfStock'!AQ7</f>
        <v/>
      </c>
      <c r="AT502">
        <f>'T_SelfStock'!AR7</f>
        <v/>
      </c>
      <c r="AU502">
        <f>'T_SelfStock'!AS7</f>
        <v/>
      </c>
      <c r="AV502">
        <f>'T_SelfStock'!AT7</f>
        <v/>
      </c>
      <c r="AW502">
        <f>'T_SelfStock'!AU7</f>
        <v/>
      </c>
      <c r="AX502">
        <f>'T_SelfStock'!AV7</f>
        <v/>
      </c>
      <c r="AY502">
        <f>'T_SelfStock'!AW7</f>
        <v/>
      </c>
      <c r="AZ502">
        <f>'T_SelfStock'!AX7</f>
        <v/>
      </c>
      <c r="BA502">
        <f>'T_SelfStock'!AY7</f>
        <v/>
      </c>
      <c r="BB502">
        <f>'T_SelfStock'!AZ7</f>
        <v/>
      </c>
      <c r="BC502">
        <f>'T_SelfStock'!BA7</f>
        <v/>
      </c>
      <c r="BD502">
        <f>'T_SelfStock'!BB7</f>
        <v/>
      </c>
      <c r="BE502">
        <f>'T_SelfStock'!BC7</f>
        <v/>
      </c>
      <c r="BF502">
        <f>'T_SelfStock'!BD7</f>
        <v/>
      </c>
      <c r="BG502">
        <f>'T_SelfStock'!BE7</f>
        <v/>
      </c>
      <c r="BH502">
        <f>'T_SelfStock'!BF7</f>
        <v/>
      </c>
      <c r="BI502">
        <f>'T_SelfStock'!BG7</f>
        <v/>
      </c>
      <c r="BJ502">
        <f>'T_SelfStock'!BH7</f>
        <v/>
      </c>
      <c r="BK502">
        <f>'T_SelfStock'!BI7</f>
        <v/>
      </c>
      <c r="BL502">
        <f>'T_SelfStock'!BJ7</f>
        <v/>
      </c>
      <c r="BM502">
        <f>'T_SelfStock'!BK7</f>
        <v/>
      </c>
      <c r="BN502">
        <f>'T_SelfStock'!BL7</f>
        <v/>
      </c>
      <c r="BO502">
        <f>'T_SelfStock'!BM7</f>
        <v/>
      </c>
      <c r="BP502">
        <f>'T_SelfStock'!BN7</f>
        <v/>
      </c>
      <c r="BQ502">
        <f>'T_SelfStock'!BO7</f>
        <v/>
      </c>
      <c r="BR502">
        <f>'T_SelfStock'!BP7</f>
        <v/>
      </c>
      <c r="BS502">
        <f>'T_SelfStock'!BQ7</f>
        <v/>
      </c>
      <c r="BT502">
        <f>'T_SelfStock'!BR7</f>
        <v/>
      </c>
      <c r="BU502">
        <f>'T_SelfStock'!BS7</f>
        <v/>
      </c>
      <c r="BV502">
        <f>'T_SelfStock'!BT7</f>
        <v/>
      </c>
      <c r="BW502">
        <f>'T_SelfStock'!BU7</f>
        <v/>
      </c>
      <c r="BX502">
        <f>'T_SelfStock'!BV7</f>
        <v/>
      </c>
      <c r="BY502">
        <f>'T_SelfStock'!BW7</f>
        <v/>
      </c>
      <c r="BZ502">
        <f>'T_SelfStock'!BX7</f>
        <v/>
      </c>
      <c r="CA502">
        <f>'T_SelfStock'!BY7</f>
        <v/>
      </c>
      <c r="CB502">
        <f>'T_SelfStock'!BZ7</f>
        <v/>
      </c>
      <c r="CC502">
        <f>'T_SelfStock'!CA7</f>
        <v/>
      </c>
      <c r="CD502">
        <f>'T_SelfStock'!CB7</f>
        <v/>
      </c>
      <c r="CE502">
        <f>'T_SelfStock'!CC7</f>
        <v/>
      </c>
      <c r="CF502">
        <f>'T_SelfStock'!CD7</f>
        <v/>
      </c>
      <c r="CG502">
        <f>'T_SelfStock'!CE7</f>
        <v/>
      </c>
      <c r="CH502">
        <f>'T_SelfStock'!CF7</f>
        <v/>
      </c>
      <c r="CI502">
        <f>'T_SelfStock'!CG7</f>
        <v/>
      </c>
      <c r="CJ502">
        <f>'T_SelfStock'!CH7</f>
        <v/>
      </c>
      <c r="CK502">
        <f>'T_SelfStock'!CI7</f>
        <v/>
      </c>
      <c r="CL502">
        <f>'T_SelfStock'!CJ7</f>
        <v/>
      </c>
      <c r="CM502">
        <f>'T_SelfStock'!CK7</f>
        <v/>
      </c>
      <c r="CN502">
        <f>'T_SelfStock'!CL7</f>
        <v/>
      </c>
      <c r="CO502">
        <f>'T_SelfStock'!CM7</f>
        <v/>
      </c>
      <c r="CP502">
        <f>'T_SelfStock'!CN7</f>
        <v/>
      </c>
      <c r="CQ502">
        <f>'T_SelfStock'!CO7</f>
        <v/>
      </c>
      <c r="CR502">
        <f>'T_SelfStock'!CP7</f>
        <v/>
      </c>
      <c r="CS502">
        <f>'T_SelfStock'!CQ7</f>
        <v/>
      </c>
      <c r="CT502">
        <f>'T_SelfStock'!CR7</f>
        <v/>
      </c>
      <c r="CU502">
        <f>'T_SelfStock'!CS7</f>
        <v/>
      </c>
      <c r="CV502">
        <f>'T_SelfStock'!CT7</f>
        <v/>
      </c>
      <c r="CW502">
        <f>'T_SelfStock'!CU7</f>
        <v/>
      </c>
      <c r="CX502">
        <f>'T_SelfStock'!CV7</f>
        <v/>
      </c>
      <c r="CY502">
        <f>'T_SelfStock'!CW7</f>
        <v/>
      </c>
      <c r="CZ502">
        <f>'T_SelfStock'!CX7</f>
        <v/>
      </c>
      <c r="DA502">
        <f>'T_SelfStock'!CY7</f>
        <v/>
      </c>
      <c r="DB502">
        <f>'T_SelfStock'!CZ7</f>
        <v/>
      </c>
      <c r="DC502">
        <f>'T_SelfStock'!DA7</f>
        <v/>
      </c>
    </row>
    <row r="503">
      <c r="B503" t="inlineStr">
        <is>
          <t>Order(発注予定,kg)</t>
        </is>
      </c>
      <c r="D503">
        <f>IF(SUMIFS(T_PlannedOrders[EffectiveQty],T_PlannedOrders[Part Name],$A485,T_PlannedOrders[WeekIndex],1)=0,"",SUMIFS(T_PlannedOrders[EffectiveQty],T_PlannedOrders[Part Name],$A485,T_PlannedOrders[WeekIndex],1)&amp;" ("&amp;TEXT(SUMPRODUCT(MAX((T_PlannedOrders[Part Name]=$A485)*(T_PlannedOrders[WeekIndex]=1)*(T_PlannedOrders[EffectiveQty]&gt;0)*T_PlannedOrders[Order_Month])),"m月")&amp;"発注)")</f>
        <v/>
      </c>
      <c r="E503">
        <f>IF(SUMIFS(T_PlannedOrders[EffectiveQty],T_PlannedOrders[Part Name],$A485,T_PlannedOrders[WeekIndex],2)=0,"",SUMIFS(T_PlannedOrders[EffectiveQty],T_PlannedOrders[Part Name],$A485,T_PlannedOrders[WeekIndex],2)&amp;" ("&amp;TEXT(SUMPRODUCT(MAX((T_PlannedOrders[Part Name]=$A485)*(T_PlannedOrders[WeekIndex]=2)*(T_PlannedOrders[EffectiveQty]&gt;0)*T_PlannedOrders[Order_Month])),"m月")&amp;"発注)")</f>
        <v/>
      </c>
      <c r="F503">
        <f>IF(SUMIFS(T_PlannedOrders[EffectiveQty],T_PlannedOrders[Part Name],$A485,T_PlannedOrders[WeekIndex],3)=0,"",SUMIFS(T_PlannedOrders[EffectiveQty],T_PlannedOrders[Part Name],$A485,T_PlannedOrders[WeekIndex],3)&amp;" ("&amp;TEXT(SUMPRODUCT(MAX((T_PlannedOrders[Part Name]=$A485)*(T_PlannedOrders[WeekIndex]=3)*(T_PlannedOrders[EffectiveQty]&gt;0)*T_PlannedOrders[Order_Month])),"m月")&amp;"発注)")</f>
        <v/>
      </c>
      <c r="G503">
        <f>IF(SUMIFS(T_PlannedOrders[EffectiveQty],T_PlannedOrders[Part Name],$A485,T_PlannedOrders[WeekIndex],4)=0,"",SUMIFS(T_PlannedOrders[EffectiveQty],T_PlannedOrders[Part Name],$A485,T_PlannedOrders[WeekIndex],4)&amp;" ("&amp;TEXT(SUMPRODUCT(MAX((T_PlannedOrders[Part Name]=$A485)*(T_PlannedOrders[WeekIndex]=4)*(T_PlannedOrders[EffectiveQty]&gt;0)*T_PlannedOrders[Order_Month])),"m月")&amp;"発注)")</f>
        <v/>
      </c>
      <c r="H503">
        <f>IF(SUMIFS(T_PlannedOrders[EffectiveQty],T_PlannedOrders[Part Name],$A485,T_PlannedOrders[WeekIndex],5)=0,"",SUMIFS(T_PlannedOrders[EffectiveQty],T_PlannedOrders[Part Name],$A485,T_PlannedOrders[WeekIndex],5)&amp;" ("&amp;TEXT(SUMPRODUCT(MAX((T_PlannedOrders[Part Name]=$A485)*(T_PlannedOrders[WeekIndex]=5)*(T_PlannedOrders[EffectiveQty]&gt;0)*T_PlannedOrders[Order_Month])),"m月")&amp;"発注)")</f>
        <v/>
      </c>
      <c r="I503">
        <f>IF(SUMIFS(T_PlannedOrders[EffectiveQty],T_PlannedOrders[Part Name],$A485,T_PlannedOrders[WeekIndex],6)=0,"",SUMIFS(T_PlannedOrders[EffectiveQty],T_PlannedOrders[Part Name],$A485,T_PlannedOrders[WeekIndex],6)&amp;" ("&amp;TEXT(SUMPRODUCT(MAX((T_PlannedOrders[Part Name]=$A485)*(T_PlannedOrders[WeekIndex]=6)*(T_PlannedOrders[EffectiveQty]&gt;0)*T_PlannedOrders[Order_Month])),"m月")&amp;"発注)")</f>
        <v/>
      </c>
      <c r="J503">
        <f>IF(SUMIFS(T_PlannedOrders[EffectiveQty],T_PlannedOrders[Part Name],$A485,T_PlannedOrders[WeekIndex],7)=0,"",SUMIFS(T_PlannedOrders[EffectiveQty],T_PlannedOrders[Part Name],$A485,T_PlannedOrders[WeekIndex],7)&amp;" ("&amp;TEXT(SUMPRODUCT(MAX((T_PlannedOrders[Part Name]=$A485)*(T_PlannedOrders[WeekIndex]=7)*(T_PlannedOrders[EffectiveQty]&gt;0)*T_PlannedOrders[Order_Month])),"m月")&amp;"発注)")</f>
        <v/>
      </c>
      <c r="K503">
        <f>IF(SUMIFS(T_PlannedOrders[EffectiveQty],T_PlannedOrders[Part Name],$A485,T_PlannedOrders[WeekIndex],8)=0,"",SUMIFS(T_PlannedOrders[EffectiveQty],T_PlannedOrders[Part Name],$A485,T_PlannedOrders[WeekIndex],8)&amp;" ("&amp;TEXT(SUMPRODUCT(MAX((T_PlannedOrders[Part Name]=$A485)*(T_PlannedOrders[WeekIndex]=8)*(T_PlannedOrders[EffectiveQty]&gt;0)*T_PlannedOrders[Order_Month])),"m月")&amp;"発注)")</f>
        <v/>
      </c>
      <c r="L503">
        <f>IF(SUMIFS(T_PlannedOrders[EffectiveQty],T_PlannedOrders[Part Name],$A485,T_PlannedOrders[WeekIndex],9)=0,"",SUMIFS(T_PlannedOrders[EffectiveQty],T_PlannedOrders[Part Name],$A485,T_PlannedOrders[WeekIndex],9)&amp;" ("&amp;TEXT(SUMPRODUCT(MAX((T_PlannedOrders[Part Name]=$A485)*(T_PlannedOrders[WeekIndex]=9)*(T_PlannedOrders[EffectiveQty]&gt;0)*T_PlannedOrders[Order_Month])),"m月")&amp;"発注)")</f>
        <v/>
      </c>
      <c r="M503">
        <f>IF(SUMIFS(T_PlannedOrders[EffectiveQty],T_PlannedOrders[Part Name],$A485,T_PlannedOrders[WeekIndex],10)=0,"",SUMIFS(T_PlannedOrders[EffectiveQty],T_PlannedOrders[Part Name],$A485,T_PlannedOrders[WeekIndex],10)&amp;" ("&amp;TEXT(SUMPRODUCT(MAX((T_PlannedOrders[Part Name]=$A485)*(T_PlannedOrders[WeekIndex]=10)*(T_PlannedOrders[EffectiveQty]&gt;0)*T_PlannedOrders[Order_Month])),"m月")&amp;"発注)")</f>
        <v/>
      </c>
      <c r="N503">
        <f>IF(SUMIFS(T_PlannedOrders[EffectiveQty],T_PlannedOrders[Part Name],$A485,T_PlannedOrders[WeekIndex],11)=0,"",SUMIFS(T_PlannedOrders[EffectiveQty],T_PlannedOrders[Part Name],$A485,T_PlannedOrders[WeekIndex],11)&amp;" ("&amp;TEXT(SUMPRODUCT(MAX((T_PlannedOrders[Part Name]=$A485)*(T_PlannedOrders[WeekIndex]=11)*(T_PlannedOrders[EffectiveQty]&gt;0)*T_PlannedOrders[Order_Month])),"m月")&amp;"発注)")</f>
        <v/>
      </c>
      <c r="O503">
        <f>IF(SUMIFS(T_PlannedOrders[EffectiveQty],T_PlannedOrders[Part Name],$A485,T_PlannedOrders[WeekIndex],12)=0,"",SUMIFS(T_PlannedOrders[EffectiveQty],T_PlannedOrders[Part Name],$A485,T_PlannedOrders[WeekIndex],12)&amp;" ("&amp;TEXT(SUMPRODUCT(MAX((T_PlannedOrders[Part Name]=$A485)*(T_PlannedOrders[WeekIndex]=12)*(T_PlannedOrders[EffectiveQty]&gt;0)*T_PlannedOrders[Order_Month])),"m月")&amp;"発注)")</f>
        <v/>
      </c>
      <c r="P503">
        <f>IF(SUMIFS(T_PlannedOrders[EffectiveQty],T_PlannedOrders[Part Name],$A485,T_PlannedOrders[WeekIndex],13)=0,"",SUMIFS(T_PlannedOrders[EffectiveQty],T_PlannedOrders[Part Name],$A485,T_PlannedOrders[WeekIndex],13)&amp;" ("&amp;TEXT(SUMPRODUCT(MAX((T_PlannedOrders[Part Name]=$A485)*(T_PlannedOrders[WeekIndex]=13)*(T_PlannedOrders[EffectiveQty]&gt;0)*T_PlannedOrders[Order_Month])),"m月")&amp;"発注)")</f>
        <v/>
      </c>
      <c r="Q503">
        <f>IF(SUMIFS(T_PlannedOrders[EffectiveQty],T_PlannedOrders[Part Name],$A485,T_PlannedOrders[WeekIndex],14)=0,"",SUMIFS(T_PlannedOrders[EffectiveQty],T_PlannedOrders[Part Name],$A485,T_PlannedOrders[WeekIndex],14)&amp;" ("&amp;TEXT(SUMPRODUCT(MAX((T_PlannedOrders[Part Name]=$A485)*(T_PlannedOrders[WeekIndex]=14)*(T_PlannedOrders[EffectiveQty]&gt;0)*T_PlannedOrders[Order_Month])),"m月")&amp;"発注)")</f>
        <v/>
      </c>
      <c r="R503">
        <f>IF(SUMIFS(T_PlannedOrders[EffectiveQty],T_PlannedOrders[Part Name],$A485,T_PlannedOrders[WeekIndex],15)=0,"",SUMIFS(T_PlannedOrders[EffectiveQty],T_PlannedOrders[Part Name],$A485,T_PlannedOrders[WeekIndex],15)&amp;" ("&amp;TEXT(SUMPRODUCT(MAX((T_PlannedOrders[Part Name]=$A485)*(T_PlannedOrders[WeekIndex]=15)*(T_PlannedOrders[EffectiveQty]&gt;0)*T_PlannedOrders[Order_Month])),"m月")&amp;"発注)")</f>
        <v/>
      </c>
      <c r="S503">
        <f>IF(SUMIFS(T_PlannedOrders[EffectiveQty],T_PlannedOrders[Part Name],$A485,T_PlannedOrders[WeekIndex],16)=0,"",SUMIFS(T_PlannedOrders[EffectiveQty],T_PlannedOrders[Part Name],$A485,T_PlannedOrders[WeekIndex],16)&amp;" ("&amp;TEXT(SUMPRODUCT(MAX((T_PlannedOrders[Part Name]=$A485)*(T_PlannedOrders[WeekIndex]=16)*(T_PlannedOrders[EffectiveQty]&gt;0)*T_PlannedOrders[Order_Month])),"m月")&amp;"発注)")</f>
        <v/>
      </c>
      <c r="T503">
        <f>IF(SUMIFS(T_PlannedOrders[EffectiveQty],T_PlannedOrders[Part Name],$A485,T_PlannedOrders[WeekIndex],17)=0,"",SUMIFS(T_PlannedOrders[EffectiveQty],T_PlannedOrders[Part Name],$A485,T_PlannedOrders[WeekIndex],17)&amp;" ("&amp;TEXT(SUMPRODUCT(MAX((T_PlannedOrders[Part Name]=$A485)*(T_PlannedOrders[WeekIndex]=17)*(T_PlannedOrders[EffectiveQty]&gt;0)*T_PlannedOrders[Order_Month])),"m月")&amp;"発注)")</f>
        <v/>
      </c>
      <c r="U503">
        <f>IF(SUMIFS(T_PlannedOrders[EffectiveQty],T_PlannedOrders[Part Name],$A485,T_PlannedOrders[WeekIndex],18)=0,"",SUMIFS(T_PlannedOrders[EffectiveQty],T_PlannedOrders[Part Name],$A485,T_PlannedOrders[WeekIndex],18)&amp;" ("&amp;TEXT(SUMPRODUCT(MAX((T_PlannedOrders[Part Name]=$A485)*(T_PlannedOrders[WeekIndex]=18)*(T_PlannedOrders[EffectiveQty]&gt;0)*T_PlannedOrders[Order_Month])),"m月")&amp;"発注)")</f>
        <v/>
      </c>
      <c r="V503">
        <f>IF(SUMIFS(T_PlannedOrders[EffectiveQty],T_PlannedOrders[Part Name],$A485,T_PlannedOrders[WeekIndex],19)=0,"",SUMIFS(T_PlannedOrders[EffectiveQty],T_PlannedOrders[Part Name],$A485,T_PlannedOrders[WeekIndex],19)&amp;" ("&amp;TEXT(SUMPRODUCT(MAX((T_PlannedOrders[Part Name]=$A485)*(T_PlannedOrders[WeekIndex]=19)*(T_PlannedOrders[EffectiveQty]&gt;0)*T_PlannedOrders[Order_Month])),"m月")&amp;"発注)")</f>
        <v/>
      </c>
      <c r="W503">
        <f>IF(SUMIFS(T_PlannedOrders[EffectiveQty],T_PlannedOrders[Part Name],$A485,T_PlannedOrders[WeekIndex],20)=0,"",SUMIFS(T_PlannedOrders[EffectiveQty],T_PlannedOrders[Part Name],$A485,T_PlannedOrders[WeekIndex],20)&amp;" ("&amp;TEXT(SUMPRODUCT(MAX((T_PlannedOrders[Part Name]=$A485)*(T_PlannedOrders[WeekIndex]=20)*(T_PlannedOrders[EffectiveQty]&gt;0)*T_PlannedOrders[Order_Month])),"m月")&amp;"発注)")</f>
        <v/>
      </c>
      <c r="X503">
        <f>IF(SUMIFS(T_PlannedOrders[EffectiveQty],T_PlannedOrders[Part Name],$A485,T_PlannedOrders[WeekIndex],21)=0,"",SUMIFS(T_PlannedOrders[EffectiveQty],T_PlannedOrders[Part Name],$A485,T_PlannedOrders[WeekIndex],21)&amp;" ("&amp;TEXT(SUMPRODUCT(MAX((T_PlannedOrders[Part Name]=$A485)*(T_PlannedOrders[WeekIndex]=21)*(T_PlannedOrders[EffectiveQty]&gt;0)*T_PlannedOrders[Order_Month])),"m月")&amp;"発注)")</f>
        <v/>
      </c>
      <c r="Y503">
        <f>IF(SUMIFS(T_PlannedOrders[EffectiveQty],T_PlannedOrders[Part Name],$A485,T_PlannedOrders[WeekIndex],22)=0,"",SUMIFS(T_PlannedOrders[EffectiveQty],T_PlannedOrders[Part Name],$A485,T_PlannedOrders[WeekIndex],22)&amp;" ("&amp;TEXT(SUMPRODUCT(MAX((T_PlannedOrders[Part Name]=$A485)*(T_PlannedOrders[WeekIndex]=22)*(T_PlannedOrders[EffectiveQty]&gt;0)*T_PlannedOrders[Order_Month])),"m月")&amp;"発注)")</f>
        <v/>
      </c>
      <c r="Z503">
        <f>IF(SUMIFS(T_PlannedOrders[EffectiveQty],T_PlannedOrders[Part Name],$A485,T_PlannedOrders[WeekIndex],23)=0,"",SUMIFS(T_PlannedOrders[EffectiveQty],T_PlannedOrders[Part Name],$A485,T_PlannedOrders[WeekIndex],23)&amp;" ("&amp;TEXT(SUMPRODUCT(MAX((T_PlannedOrders[Part Name]=$A485)*(T_PlannedOrders[WeekIndex]=23)*(T_PlannedOrders[EffectiveQty]&gt;0)*T_PlannedOrders[Order_Month])),"m月")&amp;"発注)")</f>
        <v/>
      </c>
      <c r="AA503">
        <f>IF(SUMIFS(T_PlannedOrders[EffectiveQty],T_PlannedOrders[Part Name],$A485,T_PlannedOrders[WeekIndex],24)=0,"",SUMIFS(T_PlannedOrders[EffectiveQty],T_PlannedOrders[Part Name],$A485,T_PlannedOrders[WeekIndex],24)&amp;" ("&amp;TEXT(SUMPRODUCT(MAX((T_PlannedOrders[Part Name]=$A485)*(T_PlannedOrders[WeekIndex]=24)*(T_PlannedOrders[EffectiveQty]&gt;0)*T_PlannedOrders[Order_Month])),"m月")&amp;"発注)")</f>
        <v/>
      </c>
      <c r="AB503">
        <f>IF(SUMIFS(T_PlannedOrders[EffectiveQty],T_PlannedOrders[Part Name],$A485,T_PlannedOrders[WeekIndex],25)=0,"",SUMIFS(T_PlannedOrders[EffectiveQty],T_PlannedOrders[Part Name],$A485,T_PlannedOrders[WeekIndex],25)&amp;" ("&amp;TEXT(SUMPRODUCT(MAX((T_PlannedOrders[Part Name]=$A485)*(T_PlannedOrders[WeekIndex]=25)*(T_PlannedOrders[EffectiveQty]&gt;0)*T_PlannedOrders[Order_Month])),"m月")&amp;"発注)")</f>
        <v/>
      </c>
      <c r="AC503">
        <f>IF(SUMIFS(T_PlannedOrders[EffectiveQty],T_PlannedOrders[Part Name],$A485,T_PlannedOrders[WeekIndex],26)=0,"",SUMIFS(T_PlannedOrders[EffectiveQty],T_PlannedOrders[Part Name],$A485,T_PlannedOrders[WeekIndex],26)&amp;" ("&amp;TEXT(SUMPRODUCT(MAX((T_PlannedOrders[Part Name]=$A485)*(T_PlannedOrders[WeekIndex]=26)*(T_PlannedOrders[EffectiveQty]&gt;0)*T_PlannedOrders[Order_Month])),"m月")&amp;"発注)")</f>
        <v/>
      </c>
      <c r="AD503">
        <f>IF(SUMIFS(T_PlannedOrders[EffectiveQty],T_PlannedOrders[Part Name],$A485,T_PlannedOrders[WeekIndex],27)=0,"",SUMIFS(T_PlannedOrders[EffectiveQty],T_PlannedOrders[Part Name],$A485,T_PlannedOrders[WeekIndex],27)&amp;" ("&amp;TEXT(SUMPRODUCT(MAX((T_PlannedOrders[Part Name]=$A485)*(T_PlannedOrders[WeekIndex]=27)*(T_PlannedOrders[EffectiveQty]&gt;0)*T_PlannedOrders[Order_Month])),"m月")&amp;"発注)")</f>
        <v/>
      </c>
      <c r="AE503">
        <f>IF(SUMIFS(T_PlannedOrders[EffectiveQty],T_PlannedOrders[Part Name],$A485,T_PlannedOrders[WeekIndex],28)=0,"",SUMIFS(T_PlannedOrders[EffectiveQty],T_PlannedOrders[Part Name],$A485,T_PlannedOrders[WeekIndex],28)&amp;" ("&amp;TEXT(SUMPRODUCT(MAX((T_PlannedOrders[Part Name]=$A485)*(T_PlannedOrders[WeekIndex]=28)*(T_PlannedOrders[EffectiveQty]&gt;0)*T_PlannedOrders[Order_Month])),"m月")&amp;"発注)")</f>
        <v/>
      </c>
      <c r="AF503">
        <f>IF(SUMIFS(T_PlannedOrders[EffectiveQty],T_PlannedOrders[Part Name],$A485,T_PlannedOrders[WeekIndex],29)=0,"",SUMIFS(T_PlannedOrders[EffectiveQty],T_PlannedOrders[Part Name],$A485,T_PlannedOrders[WeekIndex],29)&amp;" ("&amp;TEXT(SUMPRODUCT(MAX((T_PlannedOrders[Part Name]=$A485)*(T_PlannedOrders[WeekIndex]=29)*(T_PlannedOrders[EffectiveQty]&gt;0)*T_PlannedOrders[Order_Month])),"m月")&amp;"発注)")</f>
        <v/>
      </c>
      <c r="AG503">
        <f>IF(SUMIFS(T_PlannedOrders[EffectiveQty],T_PlannedOrders[Part Name],$A485,T_PlannedOrders[WeekIndex],30)=0,"",SUMIFS(T_PlannedOrders[EffectiveQty],T_PlannedOrders[Part Name],$A485,T_PlannedOrders[WeekIndex],30)&amp;" ("&amp;TEXT(SUMPRODUCT(MAX((T_PlannedOrders[Part Name]=$A485)*(T_PlannedOrders[WeekIndex]=30)*(T_PlannedOrders[EffectiveQty]&gt;0)*T_PlannedOrders[Order_Month])),"m月")&amp;"発注)")</f>
        <v/>
      </c>
      <c r="AH503">
        <f>IF(SUMIFS(T_PlannedOrders[EffectiveQty],T_PlannedOrders[Part Name],$A485,T_PlannedOrders[WeekIndex],31)=0,"",SUMIFS(T_PlannedOrders[EffectiveQty],T_PlannedOrders[Part Name],$A485,T_PlannedOrders[WeekIndex],31)&amp;" ("&amp;TEXT(SUMPRODUCT(MAX((T_PlannedOrders[Part Name]=$A485)*(T_PlannedOrders[WeekIndex]=31)*(T_PlannedOrders[EffectiveQty]&gt;0)*T_PlannedOrders[Order_Month])),"m月")&amp;"発注)")</f>
        <v/>
      </c>
      <c r="AI503">
        <f>IF(SUMIFS(T_PlannedOrders[EffectiveQty],T_PlannedOrders[Part Name],$A485,T_PlannedOrders[WeekIndex],32)=0,"",SUMIFS(T_PlannedOrders[EffectiveQty],T_PlannedOrders[Part Name],$A485,T_PlannedOrders[WeekIndex],32)&amp;" ("&amp;TEXT(SUMPRODUCT(MAX((T_PlannedOrders[Part Name]=$A485)*(T_PlannedOrders[WeekIndex]=32)*(T_PlannedOrders[EffectiveQty]&gt;0)*T_PlannedOrders[Order_Month])),"m月")&amp;"発注)")</f>
        <v/>
      </c>
      <c r="AJ503">
        <f>IF(SUMIFS(T_PlannedOrders[EffectiveQty],T_PlannedOrders[Part Name],$A485,T_PlannedOrders[WeekIndex],33)=0,"",SUMIFS(T_PlannedOrders[EffectiveQty],T_PlannedOrders[Part Name],$A485,T_PlannedOrders[WeekIndex],33)&amp;" ("&amp;TEXT(SUMPRODUCT(MAX((T_PlannedOrders[Part Name]=$A485)*(T_PlannedOrders[WeekIndex]=33)*(T_PlannedOrders[EffectiveQty]&gt;0)*T_PlannedOrders[Order_Month])),"m月")&amp;"発注)")</f>
        <v/>
      </c>
      <c r="AK503">
        <f>IF(SUMIFS(T_PlannedOrders[EffectiveQty],T_PlannedOrders[Part Name],$A485,T_PlannedOrders[WeekIndex],34)=0,"",SUMIFS(T_PlannedOrders[EffectiveQty],T_PlannedOrders[Part Name],$A485,T_PlannedOrders[WeekIndex],34)&amp;" ("&amp;TEXT(SUMPRODUCT(MAX((T_PlannedOrders[Part Name]=$A485)*(T_PlannedOrders[WeekIndex]=34)*(T_PlannedOrders[EffectiveQty]&gt;0)*T_PlannedOrders[Order_Month])),"m月")&amp;"発注)")</f>
        <v/>
      </c>
      <c r="AL503">
        <f>IF(SUMIFS(T_PlannedOrders[EffectiveQty],T_PlannedOrders[Part Name],$A485,T_PlannedOrders[WeekIndex],35)=0,"",SUMIFS(T_PlannedOrders[EffectiveQty],T_PlannedOrders[Part Name],$A485,T_PlannedOrders[WeekIndex],35)&amp;" ("&amp;TEXT(SUMPRODUCT(MAX((T_PlannedOrders[Part Name]=$A485)*(T_PlannedOrders[WeekIndex]=35)*(T_PlannedOrders[EffectiveQty]&gt;0)*T_PlannedOrders[Order_Month])),"m月")&amp;"発注)")</f>
        <v/>
      </c>
      <c r="AM503">
        <f>IF(SUMIFS(T_PlannedOrders[EffectiveQty],T_PlannedOrders[Part Name],$A485,T_PlannedOrders[WeekIndex],36)=0,"",SUMIFS(T_PlannedOrders[EffectiveQty],T_PlannedOrders[Part Name],$A485,T_PlannedOrders[WeekIndex],36)&amp;" ("&amp;TEXT(SUMPRODUCT(MAX((T_PlannedOrders[Part Name]=$A485)*(T_PlannedOrders[WeekIndex]=36)*(T_PlannedOrders[EffectiveQty]&gt;0)*T_PlannedOrders[Order_Month])),"m月")&amp;"発注)")</f>
        <v/>
      </c>
      <c r="AN503">
        <f>IF(SUMIFS(T_PlannedOrders[EffectiveQty],T_PlannedOrders[Part Name],$A485,T_PlannedOrders[WeekIndex],37)=0,"",SUMIFS(T_PlannedOrders[EffectiveQty],T_PlannedOrders[Part Name],$A485,T_PlannedOrders[WeekIndex],37)&amp;" ("&amp;TEXT(SUMPRODUCT(MAX((T_PlannedOrders[Part Name]=$A485)*(T_PlannedOrders[WeekIndex]=37)*(T_PlannedOrders[EffectiveQty]&gt;0)*T_PlannedOrders[Order_Month])),"m月")&amp;"発注)")</f>
        <v/>
      </c>
      <c r="AO503">
        <f>IF(SUMIFS(T_PlannedOrders[EffectiveQty],T_PlannedOrders[Part Name],$A485,T_PlannedOrders[WeekIndex],38)=0,"",SUMIFS(T_PlannedOrders[EffectiveQty],T_PlannedOrders[Part Name],$A485,T_PlannedOrders[WeekIndex],38)&amp;" ("&amp;TEXT(SUMPRODUCT(MAX((T_PlannedOrders[Part Name]=$A485)*(T_PlannedOrders[WeekIndex]=38)*(T_PlannedOrders[EffectiveQty]&gt;0)*T_PlannedOrders[Order_Month])),"m月")&amp;"発注)")</f>
        <v/>
      </c>
      <c r="AP503">
        <f>IF(SUMIFS(T_PlannedOrders[EffectiveQty],T_PlannedOrders[Part Name],$A485,T_PlannedOrders[WeekIndex],39)=0,"",SUMIFS(T_PlannedOrders[EffectiveQty],T_PlannedOrders[Part Name],$A485,T_PlannedOrders[WeekIndex],39)&amp;" ("&amp;TEXT(SUMPRODUCT(MAX((T_PlannedOrders[Part Name]=$A485)*(T_PlannedOrders[WeekIndex]=39)*(T_PlannedOrders[EffectiveQty]&gt;0)*T_PlannedOrders[Order_Month])),"m月")&amp;"発注)")</f>
        <v/>
      </c>
      <c r="AQ503">
        <f>IF(SUMIFS(T_PlannedOrders[EffectiveQty],T_PlannedOrders[Part Name],$A485,T_PlannedOrders[WeekIndex],40)=0,"",SUMIFS(T_PlannedOrders[EffectiveQty],T_PlannedOrders[Part Name],$A485,T_PlannedOrders[WeekIndex],40)&amp;" ("&amp;TEXT(SUMPRODUCT(MAX((T_PlannedOrders[Part Name]=$A485)*(T_PlannedOrders[WeekIndex]=40)*(T_PlannedOrders[EffectiveQty]&gt;0)*T_PlannedOrders[Order_Month])),"m月")&amp;"発注)")</f>
        <v/>
      </c>
      <c r="AR503">
        <f>IF(SUMIFS(T_PlannedOrders[EffectiveQty],T_PlannedOrders[Part Name],$A485,T_PlannedOrders[WeekIndex],41)=0,"",SUMIFS(T_PlannedOrders[EffectiveQty],T_PlannedOrders[Part Name],$A485,T_PlannedOrders[WeekIndex],41)&amp;" ("&amp;TEXT(SUMPRODUCT(MAX((T_PlannedOrders[Part Name]=$A485)*(T_PlannedOrders[WeekIndex]=41)*(T_PlannedOrders[EffectiveQty]&gt;0)*T_PlannedOrders[Order_Month])),"m月")&amp;"発注)")</f>
        <v/>
      </c>
      <c r="AS503">
        <f>IF(SUMIFS(T_PlannedOrders[EffectiveQty],T_PlannedOrders[Part Name],$A485,T_PlannedOrders[WeekIndex],42)=0,"",SUMIFS(T_PlannedOrders[EffectiveQty],T_PlannedOrders[Part Name],$A485,T_PlannedOrders[WeekIndex],42)&amp;" ("&amp;TEXT(SUMPRODUCT(MAX((T_PlannedOrders[Part Name]=$A485)*(T_PlannedOrders[WeekIndex]=42)*(T_PlannedOrders[EffectiveQty]&gt;0)*T_PlannedOrders[Order_Month])),"m月")&amp;"発注)")</f>
        <v/>
      </c>
      <c r="AT503">
        <f>IF(SUMIFS(T_PlannedOrders[EffectiveQty],T_PlannedOrders[Part Name],$A485,T_PlannedOrders[WeekIndex],43)=0,"",SUMIFS(T_PlannedOrders[EffectiveQty],T_PlannedOrders[Part Name],$A485,T_PlannedOrders[WeekIndex],43)&amp;" ("&amp;TEXT(SUMPRODUCT(MAX((T_PlannedOrders[Part Name]=$A485)*(T_PlannedOrders[WeekIndex]=43)*(T_PlannedOrders[EffectiveQty]&gt;0)*T_PlannedOrders[Order_Month])),"m月")&amp;"発注)")</f>
        <v/>
      </c>
      <c r="AU503">
        <f>IF(SUMIFS(T_PlannedOrders[EffectiveQty],T_PlannedOrders[Part Name],$A485,T_PlannedOrders[WeekIndex],44)=0,"",SUMIFS(T_PlannedOrders[EffectiveQty],T_PlannedOrders[Part Name],$A485,T_PlannedOrders[WeekIndex],44)&amp;" ("&amp;TEXT(SUMPRODUCT(MAX((T_PlannedOrders[Part Name]=$A485)*(T_PlannedOrders[WeekIndex]=44)*(T_PlannedOrders[EffectiveQty]&gt;0)*T_PlannedOrders[Order_Month])),"m月")&amp;"発注)")</f>
        <v/>
      </c>
      <c r="AV503">
        <f>IF(SUMIFS(T_PlannedOrders[EffectiveQty],T_PlannedOrders[Part Name],$A485,T_PlannedOrders[WeekIndex],45)=0,"",SUMIFS(T_PlannedOrders[EffectiveQty],T_PlannedOrders[Part Name],$A485,T_PlannedOrders[WeekIndex],45)&amp;" ("&amp;TEXT(SUMPRODUCT(MAX((T_PlannedOrders[Part Name]=$A485)*(T_PlannedOrders[WeekIndex]=45)*(T_PlannedOrders[EffectiveQty]&gt;0)*T_PlannedOrders[Order_Month])),"m月")&amp;"発注)")</f>
        <v/>
      </c>
      <c r="AW503">
        <f>IF(SUMIFS(T_PlannedOrders[EffectiveQty],T_PlannedOrders[Part Name],$A485,T_PlannedOrders[WeekIndex],46)=0,"",SUMIFS(T_PlannedOrders[EffectiveQty],T_PlannedOrders[Part Name],$A485,T_PlannedOrders[WeekIndex],46)&amp;" ("&amp;TEXT(SUMPRODUCT(MAX((T_PlannedOrders[Part Name]=$A485)*(T_PlannedOrders[WeekIndex]=46)*(T_PlannedOrders[EffectiveQty]&gt;0)*T_PlannedOrders[Order_Month])),"m月")&amp;"発注)")</f>
        <v/>
      </c>
      <c r="AX503">
        <f>IF(SUMIFS(T_PlannedOrders[EffectiveQty],T_PlannedOrders[Part Name],$A485,T_PlannedOrders[WeekIndex],47)=0,"",SUMIFS(T_PlannedOrders[EffectiveQty],T_PlannedOrders[Part Name],$A485,T_PlannedOrders[WeekIndex],47)&amp;" ("&amp;TEXT(SUMPRODUCT(MAX((T_PlannedOrders[Part Name]=$A485)*(T_PlannedOrders[WeekIndex]=47)*(T_PlannedOrders[EffectiveQty]&gt;0)*T_PlannedOrders[Order_Month])),"m月")&amp;"発注)")</f>
        <v/>
      </c>
      <c r="AY503">
        <f>IF(SUMIFS(T_PlannedOrders[EffectiveQty],T_PlannedOrders[Part Name],$A485,T_PlannedOrders[WeekIndex],48)=0,"",SUMIFS(T_PlannedOrders[EffectiveQty],T_PlannedOrders[Part Name],$A485,T_PlannedOrders[WeekIndex],48)&amp;" ("&amp;TEXT(SUMPRODUCT(MAX((T_PlannedOrders[Part Name]=$A485)*(T_PlannedOrders[WeekIndex]=48)*(T_PlannedOrders[EffectiveQty]&gt;0)*T_PlannedOrders[Order_Month])),"m月")&amp;"発注)")</f>
        <v/>
      </c>
      <c r="AZ503">
        <f>IF(SUMIFS(T_PlannedOrders[EffectiveQty],T_PlannedOrders[Part Name],$A485,T_PlannedOrders[WeekIndex],49)=0,"",SUMIFS(T_PlannedOrders[EffectiveQty],T_PlannedOrders[Part Name],$A485,T_PlannedOrders[WeekIndex],49)&amp;" ("&amp;TEXT(SUMPRODUCT(MAX((T_PlannedOrders[Part Name]=$A485)*(T_PlannedOrders[WeekIndex]=49)*(T_PlannedOrders[EffectiveQty]&gt;0)*T_PlannedOrders[Order_Month])),"m月")&amp;"発注)")</f>
        <v/>
      </c>
      <c r="BA503">
        <f>IF(SUMIFS(T_PlannedOrders[EffectiveQty],T_PlannedOrders[Part Name],$A485,T_PlannedOrders[WeekIndex],50)=0,"",SUMIFS(T_PlannedOrders[EffectiveQty],T_PlannedOrders[Part Name],$A485,T_PlannedOrders[WeekIndex],50)&amp;" ("&amp;TEXT(SUMPRODUCT(MAX((T_PlannedOrders[Part Name]=$A485)*(T_PlannedOrders[WeekIndex]=50)*(T_PlannedOrders[EffectiveQty]&gt;0)*T_PlannedOrders[Order_Month])),"m月")&amp;"発注)")</f>
        <v/>
      </c>
      <c r="BB503">
        <f>IF(SUMIFS(T_PlannedOrders[EffectiveQty],T_PlannedOrders[Part Name],$A485,T_PlannedOrders[WeekIndex],51)=0,"",SUMIFS(T_PlannedOrders[EffectiveQty],T_PlannedOrders[Part Name],$A485,T_PlannedOrders[WeekIndex],51)&amp;" ("&amp;TEXT(SUMPRODUCT(MAX((T_PlannedOrders[Part Name]=$A485)*(T_PlannedOrders[WeekIndex]=51)*(T_PlannedOrders[EffectiveQty]&gt;0)*T_PlannedOrders[Order_Month])),"m月")&amp;"発注)")</f>
        <v/>
      </c>
      <c r="BC503">
        <f>IF(SUMIFS(T_PlannedOrders[EffectiveQty],T_PlannedOrders[Part Name],$A485,T_PlannedOrders[WeekIndex],52)=0,"",SUMIFS(T_PlannedOrders[EffectiveQty],T_PlannedOrders[Part Name],$A485,T_PlannedOrders[WeekIndex],52)&amp;" ("&amp;TEXT(SUMPRODUCT(MAX((T_PlannedOrders[Part Name]=$A485)*(T_PlannedOrders[WeekIndex]=52)*(T_PlannedOrders[EffectiveQty]&gt;0)*T_PlannedOrders[Order_Month])),"m月")&amp;"発注)")</f>
        <v/>
      </c>
      <c r="BD503">
        <f>IF(SUMIFS(T_PlannedOrders[EffectiveQty],T_PlannedOrders[Part Name],$A485,T_PlannedOrders[WeekIndex],53)=0,"",SUMIFS(T_PlannedOrders[EffectiveQty],T_PlannedOrders[Part Name],$A485,T_PlannedOrders[WeekIndex],53)&amp;" ("&amp;TEXT(SUMPRODUCT(MAX((T_PlannedOrders[Part Name]=$A485)*(T_PlannedOrders[WeekIndex]=53)*(T_PlannedOrders[EffectiveQty]&gt;0)*T_PlannedOrders[Order_Month])),"m月")&amp;"発注)")</f>
        <v/>
      </c>
      <c r="BE503">
        <f>IF(SUMIFS(T_PlannedOrders[EffectiveQty],T_PlannedOrders[Part Name],$A485,T_PlannedOrders[WeekIndex],54)=0,"",SUMIFS(T_PlannedOrders[EffectiveQty],T_PlannedOrders[Part Name],$A485,T_PlannedOrders[WeekIndex],54)&amp;" ("&amp;TEXT(SUMPRODUCT(MAX((T_PlannedOrders[Part Name]=$A485)*(T_PlannedOrders[WeekIndex]=54)*(T_PlannedOrders[EffectiveQty]&gt;0)*T_PlannedOrders[Order_Month])),"m月")&amp;"発注)")</f>
        <v/>
      </c>
      <c r="BF503">
        <f>IF(SUMIFS(T_PlannedOrders[EffectiveQty],T_PlannedOrders[Part Name],$A485,T_PlannedOrders[WeekIndex],55)=0,"",SUMIFS(T_PlannedOrders[EffectiveQty],T_PlannedOrders[Part Name],$A485,T_PlannedOrders[WeekIndex],55)&amp;" ("&amp;TEXT(SUMPRODUCT(MAX((T_PlannedOrders[Part Name]=$A485)*(T_PlannedOrders[WeekIndex]=55)*(T_PlannedOrders[EffectiveQty]&gt;0)*T_PlannedOrders[Order_Month])),"m月")&amp;"発注)")</f>
        <v/>
      </c>
      <c r="BG503">
        <f>IF(SUMIFS(T_PlannedOrders[EffectiveQty],T_PlannedOrders[Part Name],$A485,T_PlannedOrders[WeekIndex],56)=0,"",SUMIFS(T_PlannedOrders[EffectiveQty],T_PlannedOrders[Part Name],$A485,T_PlannedOrders[WeekIndex],56)&amp;" ("&amp;TEXT(SUMPRODUCT(MAX((T_PlannedOrders[Part Name]=$A485)*(T_PlannedOrders[WeekIndex]=56)*(T_PlannedOrders[EffectiveQty]&gt;0)*T_PlannedOrders[Order_Month])),"m月")&amp;"発注)")</f>
        <v/>
      </c>
      <c r="BH503">
        <f>IF(SUMIFS(T_PlannedOrders[EffectiveQty],T_PlannedOrders[Part Name],$A485,T_PlannedOrders[WeekIndex],57)=0,"",SUMIFS(T_PlannedOrders[EffectiveQty],T_PlannedOrders[Part Name],$A485,T_PlannedOrders[WeekIndex],57)&amp;" ("&amp;TEXT(SUMPRODUCT(MAX((T_PlannedOrders[Part Name]=$A485)*(T_PlannedOrders[WeekIndex]=57)*(T_PlannedOrders[EffectiveQty]&gt;0)*T_PlannedOrders[Order_Month])),"m月")&amp;"発注)")</f>
        <v/>
      </c>
      <c r="BI503">
        <f>IF(SUMIFS(T_PlannedOrders[EffectiveQty],T_PlannedOrders[Part Name],$A485,T_PlannedOrders[WeekIndex],58)=0,"",SUMIFS(T_PlannedOrders[EffectiveQty],T_PlannedOrders[Part Name],$A485,T_PlannedOrders[WeekIndex],58)&amp;" ("&amp;TEXT(SUMPRODUCT(MAX((T_PlannedOrders[Part Name]=$A485)*(T_PlannedOrders[WeekIndex]=58)*(T_PlannedOrders[EffectiveQty]&gt;0)*T_PlannedOrders[Order_Month])),"m月")&amp;"発注)")</f>
        <v/>
      </c>
      <c r="BJ503">
        <f>IF(SUMIFS(T_PlannedOrders[EffectiveQty],T_PlannedOrders[Part Name],$A485,T_PlannedOrders[WeekIndex],59)=0,"",SUMIFS(T_PlannedOrders[EffectiveQty],T_PlannedOrders[Part Name],$A485,T_PlannedOrders[WeekIndex],59)&amp;" ("&amp;TEXT(SUMPRODUCT(MAX((T_PlannedOrders[Part Name]=$A485)*(T_PlannedOrders[WeekIndex]=59)*(T_PlannedOrders[EffectiveQty]&gt;0)*T_PlannedOrders[Order_Month])),"m月")&amp;"発注)")</f>
        <v/>
      </c>
      <c r="BK503">
        <f>IF(SUMIFS(T_PlannedOrders[EffectiveQty],T_PlannedOrders[Part Name],$A485,T_PlannedOrders[WeekIndex],60)=0,"",SUMIFS(T_PlannedOrders[EffectiveQty],T_PlannedOrders[Part Name],$A485,T_PlannedOrders[WeekIndex],60)&amp;" ("&amp;TEXT(SUMPRODUCT(MAX((T_PlannedOrders[Part Name]=$A485)*(T_PlannedOrders[WeekIndex]=60)*(T_PlannedOrders[EffectiveQty]&gt;0)*T_PlannedOrders[Order_Month])),"m月")&amp;"発注)")</f>
        <v/>
      </c>
      <c r="BL503">
        <f>IF(SUMIFS(T_PlannedOrders[EffectiveQty],T_PlannedOrders[Part Name],$A485,T_PlannedOrders[WeekIndex],61)=0,"",SUMIFS(T_PlannedOrders[EffectiveQty],T_PlannedOrders[Part Name],$A485,T_PlannedOrders[WeekIndex],61)&amp;" ("&amp;TEXT(SUMPRODUCT(MAX((T_PlannedOrders[Part Name]=$A485)*(T_PlannedOrders[WeekIndex]=61)*(T_PlannedOrders[EffectiveQty]&gt;0)*T_PlannedOrders[Order_Month])),"m月")&amp;"発注)")</f>
        <v/>
      </c>
      <c r="BM503">
        <f>IF(SUMIFS(T_PlannedOrders[EffectiveQty],T_PlannedOrders[Part Name],$A485,T_PlannedOrders[WeekIndex],62)=0,"",SUMIFS(T_PlannedOrders[EffectiveQty],T_PlannedOrders[Part Name],$A485,T_PlannedOrders[WeekIndex],62)&amp;" ("&amp;TEXT(SUMPRODUCT(MAX((T_PlannedOrders[Part Name]=$A485)*(T_PlannedOrders[WeekIndex]=62)*(T_PlannedOrders[EffectiveQty]&gt;0)*T_PlannedOrders[Order_Month])),"m月")&amp;"発注)")</f>
        <v/>
      </c>
      <c r="BN503">
        <f>IF(SUMIFS(T_PlannedOrders[EffectiveQty],T_PlannedOrders[Part Name],$A485,T_PlannedOrders[WeekIndex],63)=0,"",SUMIFS(T_PlannedOrders[EffectiveQty],T_PlannedOrders[Part Name],$A485,T_PlannedOrders[WeekIndex],63)&amp;" ("&amp;TEXT(SUMPRODUCT(MAX((T_PlannedOrders[Part Name]=$A485)*(T_PlannedOrders[WeekIndex]=63)*(T_PlannedOrders[EffectiveQty]&gt;0)*T_PlannedOrders[Order_Month])),"m月")&amp;"発注)")</f>
        <v/>
      </c>
      <c r="BO503">
        <f>IF(SUMIFS(T_PlannedOrders[EffectiveQty],T_PlannedOrders[Part Name],$A485,T_PlannedOrders[WeekIndex],64)=0,"",SUMIFS(T_PlannedOrders[EffectiveQty],T_PlannedOrders[Part Name],$A485,T_PlannedOrders[WeekIndex],64)&amp;" ("&amp;TEXT(SUMPRODUCT(MAX((T_PlannedOrders[Part Name]=$A485)*(T_PlannedOrders[WeekIndex]=64)*(T_PlannedOrders[EffectiveQty]&gt;0)*T_PlannedOrders[Order_Month])),"m月")&amp;"発注)")</f>
        <v/>
      </c>
      <c r="BP503">
        <f>IF(SUMIFS(T_PlannedOrders[EffectiveQty],T_PlannedOrders[Part Name],$A485,T_PlannedOrders[WeekIndex],65)=0,"",SUMIFS(T_PlannedOrders[EffectiveQty],T_PlannedOrders[Part Name],$A485,T_PlannedOrders[WeekIndex],65)&amp;" ("&amp;TEXT(SUMPRODUCT(MAX((T_PlannedOrders[Part Name]=$A485)*(T_PlannedOrders[WeekIndex]=65)*(T_PlannedOrders[EffectiveQty]&gt;0)*T_PlannedOrders[Order_Month])),"m月")&amp;"発注)")</f>
        <v/>
      </c>
      <c r="BQ503">
        <f>IF(SUMIFS(T_PlannedOrders[EffectiveQty],T_PlannedOrders[Part Name],$A485,T_PlannedOrders[WeekIndex],66)=0,"",SUMIFS(T_PlannedOrders[EffectiveQty],T_PlannedOrders[Part Name],$A485,T_PlannedOrders[WeekIndex],66)&amp;" ("&amp;TEXT(SUMPRODUCT(MAX((T_PlannedOrders[Part Name]=$A485)*(T_PlannedOrders[WeekIndex]=66)*(T_PlannedOrders[EffectiveQty]&gt;0)*T_PlannedOrders[Order_Month])),"m月")&amp;"発注)")</f>
        <v/>
      </c>
      <c r="BR503">
        <f>IF(SUMIFS(T_PlannedOrders[EffectiveQty],T_PlannedOrders[Part Name],$A485,T_PlannedOrders[WeekIndex],67)=0,"",SUMIFS(T_PlannedOrders[EffectiveQty],T_PlannedOrders[Part Name],$A485,T_PlannedOrders[WeekIndex],67)&amp;" ("&amp;TEXT(SUMPRODUCT(MAX((T_PlannedOrders[Part Name]=$A485)*(T_PlannedOrders[WeekIndex]=67)*(T_PlannedOrders[EffectiveQty]&gt;0)*T_PlannedOrders[Order_Month])),"m月")&amp;"発注)")</f>
        <v/>
      </c>
      <c r="BS503">
        <f>IF(SUMIFS(T_PlannedOrders[EffectiveQty],T_PlannedOrders[Part Name],$A485,T_PlannedOrders[WeekIndex],68)=0,"",SUMIFS(T_PlannedOrders[EffectiveQty],T_PlannedOrders[Part Name],$A485,T_PlannedOrders[WeekIndex],68)&amp;" ("&amp;TEXT(SUMPRODUCT(MAX((T_PlannedOrders[Part Name]=$A485)*(T_PlannedOrders[WeekIndex]=68)*(T_PlannedOrders[EffectiveQty]&gt;0)*T_PlannedOrders[Order_Month])),"m月")&amp;"発注)")</f>
        <v/>
      </c>
      <c r="BT503">
        <f>IF(SUMIFS(T_PlannedOrders[EffectiveQty],T_PlannedOrders[Part Name],$A485,T_PlannedOrders[WeekIndex],69)=0,"",SUMIFS(T_PlannedOrders[EffectiveQty],T_PlannedOrders[Part Name],$A485,T_PlannedOrders[WeekIndex],69)&amp;" ("&amp;TEXT(SUMPRODUCT(MAX((T_PlannedOrders[Part Name]=$A485)*(T_PlannedOrders[WeekIndex]=69)*(T_PlannedOrders[EffectiveQty]&gt;0)*T_PlannedOrders[Order_Month])),"m月")&amp;"発注)")</f>
        <v/>
      </c>
      <c r="BU503">
        <f>IF(SUMIFS(T_PlannedOrders[EffectiveQty],T_PlannedOrders[Part Name],$A485,T_PlannedOrders[WeekIndex],70)=0,"",SUMIFS(T_PlannedOrders[EffectiveQty],T_PlannedOrders[Part Name],$A485,T_PlannedOrders[WeekIndex],70)&amp;" ("&amp;TEXT(SUMPRODUCT(MAX((T_PlannedOrders[Part Name]=$A485)*(T_PlannedOrders[WeekIndex]=70)*(T_PlannedOrders[EffectiveQty]&gt;0)*T_PlannedOrders[Order_Month])),"m月")&amp;"発注)")</f>
        <v/>
      </c>
      <c r="BV503">
        <f>IF(SUMIFS(T_PlannedOrders[EffectiveQty],T_PlannedOrders[Part Name],$A485,T_PlannedOrders[WeekIndex],71)=0,"",SUMIFS(T_PlannedOrders[EffectiveQty],T_PlannedOrders[Part Name],$A485,T_PlannedOrders[WeekIndex],71)&amp;" ("&amp;TEXT(SUMPRODUCT(MAX((T_PlannedOrders[Part Name]=$A485)*(T_PlannedOrders[WeekIndex]=71)*(T_PlannedOrders[EffectiveQty]&gt;0)*T_PlannedOrders[Order_Month])),"m月")&amp;"発注)")</f>
        <v/>
      </c>
      <c r="BW503">
        <f>IF(SUMIFS(T_PlannedOrders[EffectiveQty],T_PlannedOrders[Part Name],$A485,T_PlannedOrders[WeekIndex],72)=0,"",SUMIFS(T_PlannedOrders[EffectiveQty],T_PlannedOrders[Part Name],$A485,T_PlannedOrders[WeekIndex],72)&amp;" ("&amp;TEXT(SUMPRODUCT(MAX((T_PlannedOrders[Part Name]=$A485)*(T_PlannedOrders[WeekIndex]=72)*(T_PlannedOrders[EffectiveQty]&gt;0)*T_PlannedOrders[Order_Month])),"m月")&amp;"発注)")</f>
        <v/>
      </c>
      <c r="BX503">
        <f>IF(SUMIFS(T_PlannedOrders[EffectiveQty],T_PlannedOrders[Part Name],$A485,T_PlannedOrders[WeekIndex],73)=0,"",SUMIFS(T_PlannedOrders[EffectiveQty],T_PlannedOrders[Part Name],$A485,T_PlannedOrders[WeekIndex],73)&amp;" ("&amp;TEXT(SUMPRODUCT(MAX((T_PlannedOrders[Part Name]=$A485)*(T_PlannedOrders[WeekIndex]=73)*(T_PlannedOrders[EffectiveQty]&gt;0)*T_PlannedOrders[Order_Month])),"m月")&amp;"発注)")</f>
        <v/>
      </c>
      <c r="BY503">
        <f>IF(SUMIFS(T_PlannedOrders[EffectiveQty],T_PlannedOrders[Part Name],$A485,T_PlannedOrders[WeekIndex],74)=0,"",SUMIFS(T_PlannedOrders[EffectiveQty],T_PlannedOrders[Part Name],$A485,T_PlannedOrders[WeekIndex],74)&amp;" ("&amp;TEXT(SUMPRODUCT(MAX((T_PlannedOrders[Part Name]=$A485)*(T_PlannedOrders[WeekIndex]=74)*(T_PlannedOrders[EffectiveQty]&gt;0)*T_PlannedOrders[Order_Month])),"m月")&amp;"発注)")</f>
        <v/>
      </c>
      <c r="BZ503">
        <f>IF(SUMIFS(T_PlannedOrders[EffectiveQty],T_PlannedOrders[Part Name],$A485,T_PlannedOrders[WeekIndex],75)=0,"",SUMIFS(T_PlannedOrders[EffectiveQty],T_PlannedOrders[Part Name],$A485,T_PlannedOrders[WeekIndex],75)&amp;" ("&amp;TEXT(SUMPRODUCT(MAX((T_PlannedOrders[Part Name]=$A485)*(T_PlannedOrders[WeekIndex]=75)*(T_PlannedOrders[EffectiveQty]&gt;0)*T_PlannedOrders[Order_Month])),"m月")&amp;"発注)")</f>
        <v/>
      </c>
      <c r="CA503">
        <f>IF(SUMIFS(T_PlannedOrders[EffectiveQty],T_PlannedOrders[Part Name],$A485,T_PlannedOrders[WeekIndex],76)=0,"",SUMIFS(T_PlannedOrders[EffectiveQty],T_PlannedOrders[Part Name],$A485,T_PlannedOrders[WeekIndex],76)&amp;" ("&amp;TEXT(SUMPRODUCT(MAX((T_PlannedOrders[Part Name]=$A485)*(T_PlannedOrders[WeekIndex]=76)*(T_PlannedOrders[EffectiveQty]&gt;0)*T_PlannedOrders[Order_Month])),"m月")&amp;"発注)")</f>
        <v/>
      </c>
      <c r="CB503">
        <f>IF(SUMIFS(T_PlannedOrders[EffectiveQty],T_PlannedOrders[Part Name],$A485,T_PlannedOrders[WeekIndex],77)=0,"",SUMIFS(T_PlannedOrders[EffectiveQty],T_PlannedOrders[Part Name],$A485,T_PlannedOrders[WeekIndex],77)&amp;" ("&amp;TEXT(SUMPRODUCT(MAX((T_PlannedOrders[Part Name]=$A485)*(T_PlannedOrders[WeekIndex]=77)*(T_PlannedOrders[EffectiveQty]&gt;0)*T_PlannedOrders[Order_Month])),"m月")&amp;"発注)")</f>
        <v/>
      </c>
      <c r="CC503">
        <f>IF(SUMIFS(T_PlannedOrders[EffectiveQty],T_PlannedOrders[Part Name],$A485,T_PlannedOrders[WeekIndex],78)=0,"",SUMIFS(T_PlannedOrders[EffectiveQty],T_PlannedOrders[Part Name],$A485,T_PlannedOrders[WeekIndex],78)&amp;" ("&amp;TEXT(SUMPRODUCT(MAX((T_PlannedOrders[Part Name]=$A485)*(T_PlannedOrders[WeekIndex]=78)*(T_PlannedOrders[EffectiveQty]&gt;0)*T_PlannedOrders[Order_Month])),"m月")&amp;"発注)")</f>
        <v/>
      </c>
      <c r="CD503">
        <f>IF(SUMIFS(T_PlannedOrders[EffectiveQty],T_PlannedOrders[Part Name],$A485,T_PlannedOrders[WeekIndex],79)=0,"",SUMIFS(T_PlannedOrders[EffectiveQty],T_PlannedOrders[Part Name],$A485,T_PlannedOrders[WeekIndex],79)&amp;" ("&amp;TEXT(SUMPRODUCT(MAX((T_PlannedOrders[Part Name]=$A485)*(T_PlannedOrders[WeekIndex]=79)*(T_PlannedOrders[EffectiveQty]&gt;0)*T_PlannedOrders[Order_Month])),"m月")&amp;"発注)")</f>
        <v/>
      </c>
      <c r="CE503">
        <f>IF(SUMIFS(T_PlannedOrders[EffectiveQty],T_PlannedOrders[Part Name],$A485,T_PlannedOrders[WeekIndex],80)=0,"",SUMIFS(T_PlannedOrders[EffectiveQty],T_PlannedOrders[Part Name],$A485,T_PlannedOrders[WeekIndex],80)&amp;" ("&amp;TEXT(SUMPRODUCT(MAX((T_PlannedOrders[Part Name]=$A485)*(T_PlannedOrders[WeekIndex]=80)*(T_PlannedOrders[EffectiveQty]&gt;0)*T_PlannedOrders[Order_Month])),"m月")&amp;"発注)")</f>
        <v/>
      </c>
      <c r="CF503">
        <f>IF(SUMIFS(T_PlannedOrders[EffectiveQty],T_PlannedOrders[Part Name],$A485,T_PlannedOrders[WeekIndex],81)=0,"",SUMIFS(T_PlannedOrders[EffectiveQty],T_PlannedOrders[Part Name],$A485,T_PlannedOrders[WeekIndex],81)&amp;" ("&amp;TEXT(SUMPRODUCT(MAX((T_PlannedOrders[Part Name]=$A485)*(T_PlannedOrders[WeekIndex]=81)*(T_PlannedOrders[EffectiveQty]&gt;0)*T_PlannedOrders[Order_Month])),"m月")&amp;"発注)")</f>
        <v/>
      </c>
      <c r="CG503">
        <f>IF(SUMIFS(T_PlannedOrders[EffectiveQty],T_PlannedOrders[Part Name],$A485,T_PlannedOrders[WeekIndex],82)=0,"",SUMIFS(T_PlannedOrders[EffectiveQty],T_PlannedOrders[Part Name],$A485,T_PlannedOrders[WeekIndex],82)&amp;" ("&amp;TEXT(SUMPRODUCT(MAX((T_PlannedOrders[Part Name]=$A485)*(T_PlannedOrders[WeekIndex]=82)*(T_PlannedOrders[EffectiveQty]&gt;0)*T_PlannedOrders[Order_Month])),"m月")&amp;"発注)")</f>
        <v/>
      </c>
      <c r="CH503">
        <f>IF(SUMIFS(T_PlannedOrders[EffectiveQty],T_PlannedOrders[Part Name],$A485,T_PlannedOrders[WeekIndex],83)=0,"",SUMIFS(T_PlannedOrders[EffectiveQty],T_PlannedOrders[Part Name],$A485,T_PlannedOrders[WeekIndex],83)&amp;" ("&amp;TEXT(SUMPRODUCT(MAX((T_PlannedOrders[Part Name]=$A485)*(T_PlannedOrders[WeekIndex]=83)*(T_PlannedOrders[EffectiveQty]&gt;0)*T_PlannedOrders[Order_Month])),"m月")&amp;"発注)")</f>
        <v/>
      </c>
      <c r="CI503">
        <f>IF(SUMIFS(T_PlannedOrders[EffectiveQty],T_PlannedOrders[Part Name],$A485,T_PlannedOrders[WeekIndex],84)=0,"",SUMIFS(T_PlannedOrders[EffectiveQty],T_PlannedOrders[Part Name],$A485,T_PlannedOrders[WeekIndex],84)&amp;" ("&amp;TEXT(SUMPRODUCT(MAX((T_PlannedOrders[Part Name]=$A485)*(T_PlannedOrders[WeekIndex]=84)*(T_PlannedOrders[EffectiveQty]&gt;0)*T_PlannedOrders[Order_Month])),"m月")&amp;"発注)")</f>
        <v/>
      </c>
      <c r="CJ503">
        <f>IF(SUMIFS(T_PlannedOrders[EffectiveQty],T_PlannedOrders[Part Name],$A485,T_PlannedOrders[WeekIndex],85)=0,"",SUMIFS(T_PlannedOrders[EffectiveQty],T_PlannedOrders[Part Name],$A485,T_PlannedOrders[WeekIndex],85)&amp;" ("&amp;TEXT(SUMPRODUCT(MAX((T_PlannedOrders[Part Name]=$A485)*(T_PlannedOrders[WeekIndex]=85)*(T_PlannedOrders[EffectiveQty]&gt;0)*T_PlannedOrders[Order_Month])),"m月")&amp;"発注)")</f>
        <v/>
      </c>
      <c r="CK503">
        <f>IF(SUMIFS(T_PlannedOrders[EffectiveQty],T_PlannedOrders[Part Name],$A485,T_PlannedOrders[WeekIndex],86)=0,"",SUMIFS(T_PlannedOrders[EffectiveQty],T_PlannedOrders[Part Name],$A485,T_PlannedOrders[WeekIndex],86)&amp;" ("&amp;TEXT(SUMPRODUCT(MAX((T_PlannedOrders[Part Name]=$A485)*(T_PlannedOrders[WeekIndex]=86)*(T_PlannedOrders[EffectiveQty]&gt;0)*T_PlannedOrders[Order_Month])),"m月")&amp;"発注)")</f>
        <v/>
      </c>
      <c r="CL503">
        <f>IF(SUMIFS(T_PlannedOrders[EffectiveQty],T_PlannedOrders[Part Name],$A485,T_PlannedOrders[WeekIndex],87)=0,"",SUMIFS(T_PlannedOrders[EffectiveQty],T_PlannedOrders[Part Name],$A485,T_PlannedOrders[WeekIndex],87)&amp;" ("&amp;TEXT(SUMPRODUCT(MAX((T_PlannedOrders[Part Name]=$A485)*(T_PlannedOrders[WeekIndex]=87)*(T_PlannedOrders[EffectiveQty]&gt;0)*T_PlannedOrders[Order_Month])),"m月")&amp;"発注)")</f>
        <v/>
      </c>
      <c r="CM503">
        <f>IF(SUMIFS(T_PlannedOrders[EffectiveQty],T_PlannedOrders[Part Name],$A485,T_PlannedOrders[WeekIndex],88)=0,"",SUMIFS(T_PlannedOrders[EffectiveQty],T_PlannedOrders[Part Name],$A485,T_PlannedOrders[WeekIndex],88)&amp;" ("&amp;TEXT(SUMPRODUCT(MAX((T_PlannedOrders[Part Name]=$A485)*(T_PlannedOrders[WeekIndex]=88)*(T_PlannedOrders[EffectiveQty]&gt;0)*T_PlannedOrders[Order_Month])),"m月")&amp;"発注)")</f>
        <v/>
      </c>
      <c r="CN503">
        <f>IF(SUMIFS(T_PlannedOrders[EffectiveQty],T_PlannedOrders[Part Name],$A485,T_PlannedOrders[WeekIndex],89)=0,"",SUMIFS(T_PlannedOrders[EffectiveQty],T_PlannedOrders[Part Name],$A485,T_PlannedOrders[WeekIndex],89)&amp;" ("&amp;TEXT(SUMPRODUCT(MAX((T_PlannedOrders[Part Name]=$A485)*(T_PlannedOrders[WeekIndex]=89)*(T_PlannedOrders[EffectiveQty]&gt;0)*T_PlannedOrders[Order_Month])),"m月")&amp;"発注)")</f>
        <v/>
      </c>
      <c r="CO503">
        <f>IF(SUMIFS(T_PlannedOrders[EffectiveQty],T_PlannedOrders[Part Name],$A485,T_PlannedOrders[WeekIndex],90)=0,"",SUMIFS(T_PlannedOrders[EffectiveQty],T_PlannedOrders[Part Name],$A485,T_PlannedOrders[WeekIndex],90)&amp;" ("&amp;TEXT(SUMPRODUCT(MAX((T_PlannedOrders[Part Name]=$A485)*(T_PlannedOrders[WeekIndex]=90)*(T_PlannedOrders[EffectiveQty]&gt;0)*T_PlannedOrders[Order_Month])),"m月")&amp;"発注)")</f>
        <v/>
      </c>
      <c r="CP503">
        <f>IF(SUMIFS(T_PlannedOrders[EffectiveQty],T_PlannedOrders[Part Name],$A485,T_PlannedOrders[WeekIndex],91)=0,"",SUMIFS(T_PlannedOrders[EffectiveQty],T_PlannedOrders[Part Name],$A485,T_PlannedOrders[WeekIndex],91)&amp;" ("&amp;TEXT(SUMPRODUCT(MAX((T_PlannedOrders[Part Name]=$A485)*(T_PlannedOrders[WeekIndex]=91)*(T_PlannedOrders[EffectiveQty]&gt;0)*T_PlannedOrders[Order_Month])),"m月")&amp;"発注)")</f>
        <v/>
      </c>
      <c r="CQ503">
        <f>IF(SUMIFS(T_PlannedOrders[EffectiveQty],T_PlannedOrders[Part Name],$A485,T_PlannedOrders[WeekIndex],92)=0,"",SUMIFS(T_PlannedOrders[EffectiveQty],T_PlannedOrders[Part Name],$A485,T_PlannedOrders[WeekIndex],92)&amp;" ("&amp;TEXT(SUMPRODUCT(MAX((T_PlannedOrders[Part Name]=$A485)*(T_PlannedOrders[WeekIndex]=92)*(T_PlannedOrders[EffectiveQty]&gt;0)*T_PlannedOrders[Order_Month])),"m月")&amp;"発注)")</f>
        <v/>
      </c>
      <c r="CR503">
        <f>IF(SUMIFS(T_PlannedOrders[EffectiveQty],T_PlannedOrders[Part Name],$A485,T_PlannedOrders[WeekIndex],93)=0,"",SUMIFS(T_PlannedOrders[EffectiveQty],T_PlannedOrders[Part Name],$A485,T_PlannedOrders[WeekIndex],93)&amp;" ("&amp;TEXT(SUMPRODUCT(MAX((T_PlannedOrders[Part Name]=$A485)*(T_PlannedOrders[WeekIndex]=93)*(T_PlannedOrders[EffectiveQty]&gt;0)*T_PlannedOrders[Order_Month])),"m月")&amp;"発注)")</f>
        <v/>
      </c>
      <c r="CS503">
        <f>IF(SUMIFS(T_PlannedOrders[EffectiveQty],T_PlannedOrders[Part Name],$A485,T_PlannedOrders[WeekIndex],94)=0,"",SUMIFS(T_PlannedOrders[EffectiveQty],T_PlannedOrders[Part Name],$A485,T_PlannedOrders[WeekIndex],94)&amp;" ("&amp;TEXT(SUMPRODUCT(MAX((T_PlannedOrders[Part Name]=$A485)*(T_PlannedOrders[WeekIndex]=94)*(T_PlannedOrders[EffectiveQty]&gt;0)*T_PlannedOrders[Order_Month])),"m月")&amp;"発注)")</f>
        <v/>
      </c>
      <c r="CT503">
        <f>IF(SUMIFS(T_PlannedOrders[EffectiveQty],T_PlannedOrders[Part Name],$A485,T_PlannedOrders[WeekIndex],95)=0,"",SUMIFS(T_PlannedOrders[EffectiveQty],T_PlannedOrders[Part Name],$A485,T_PlannedOrders[WeekIndex],95)&amp;" ("&amp;TEXT(SUMPRODUCT(MAX((T_PlannedOrders[Part Name]=$A485)*(T_PlannedOrders[WeekIndex]=95)*(T_PlannedOrders[EffectiveQty]&gt;0)*T_PlannedOrders[Order_Month])),"m月")&amp;"発注)")</f>
        <v/>
      </c>
      <c r="CU503">
        <f>IF(SUMIFS(T_PlannedOrders[EffectiveQty],T_PlannedOrders[Part Name],$A485,T_PlannedOrders[WeekIndex],96)=0,"",SUMIFS(T_PlannedOrders[EffectiveQty],T_PlannedOrders[Part Name],$A485,T_PlannedOrders[WeekIndex],96)&amp;" ("&amp;TEXT(SUMPRODUCT(MAX((T_PlannedOrders[Part Name]=$A485)*(T_PlannedOrders[WeekIndex]=96)*(T_PlannedOrders[EffectiveQty]&gt;0)*T_PlannedOrders[Order_Month])),"m月")&amp;"発注)")</f>
        <v/>
      </c>
      <c r="CV503">
        <f>IF(SUMIFS(T_PlannedOrders[EffectiveQty],T_PlannedOrders[Part Name],$A485,T_PlannedOrders[WeekIndex],97)=0,"",SUMIFS(T_PlannedOrders[EffectiveQty],T_PlannedOrders[Part Name],$A485,T_PlannedOrders[WeekIndex],97)&amp;" ("&amp;TEXT(SUMPRODUCT(MAX((T_PlannedOrders[Part Name]=$A485)*(T_PlannedOrders[WeekIndex]=97)*(T_PlannedOrders[EffectiveQty]&gt;0)*T_PlannedOrders[Order_Month])),"m月")&amp;"発注)")</f>
        <v/>
      </c>
      <c r="CW503">
        <f>IF(SUMIFS(T_PlannedOrders[EffectiveQty],T_PlannedOrders[Part Name],$A485,T_PlannedOrders[WeekIndex],98)=0,"",SUMIFS(T_PlannedOrders[EffectiveQty],T_PlannedOrders[Part Name],$A485,T_PlannedOrders[WeekIndex],98)&amp;" ("&amp;TEXT(SUMPRODUCT(MAX((T_PlannedOrders[Part Name]=$A485)*(T_PlannedOrders[WeekIndex]=98)*(T_PlannedOrders[EffectiveQty]&gt;0)*T_PlannedOrders[Order_Month])),"m月")&amp;"発注)")</f>
        <v/>
      </c>
      <c r="CX503">
        <f>IF(SUMIFS(T_PlannedOrders[EffectiveQty],T_PlannedOrders[Part Name],$A485,T_PlannedOrders[WeekIndex],99)=0,"",SUMIFS(T_PlannedOrders[EffectiveQty],T_PlannedOrders[Part Name],$A485,T_PlannedOrders[WeekIndex],99)&amp;" ("&amp;TEXT(SUMPRODUCT(MAX((T_PlannedOrders[Part Name]=$A485)*(T_PlannedOrders[WeekIndex]=99)*(T_PlannedOrders[EffectiveQty]&gt;0)*T_PlannedOrders[Order_Month])),"m月")&amp;"発注)")</f>
        <v/>
      </c>
      <c r="CY503">
        <f>IF(SUMIFS(T_PlannedOrders[EffectiveQty],T_PlannedOrders[Part Name],$A485,T_PlannedOrders[WeekIndex],100)=0,"",SUMIFS(T_PlannedOrders[EffectiveQty],T_PlannedOrders[Part Name],$A485,T_PlannedOrders[WeekIndex],100)&amp;" ("&amp;TEXT(SUMPRODUCT(MAX((T_PlannedOrders[Part Name]=$A485)*(T_PlannedOrders[WeekIndex]=100)*(T_PlannedOrders[EffectiveQty]&gt;0)*T_PlannedOrders[Order_Month])),"m月")&amp;"発注)")</f>
        <v/>
      </c>
      <c r="CZ503">
        <f>IF(SUMIFS(T_PlannedOrders[EffectiveQty],T_PlannedOrders[Part Name],$A485,T_PlannedOrders[WeekIndex],101)=0,"",SUMIFS(T_PlannedOrders[EffectiveQty],T_PlannedOrders[Part Name],$A485,T_PlannedOrders[WeekIndex],101)&amp;" ("&amp;TEXT(SUMPRODUCT(MAX((T_PlannedOrders[Part Name]=$A485)*(T_PlannedOrders[WeekIndex]=101)*(T_PlannedOrders[EffectiveQty]&gt;0)*T_PlannedOrders[Order_Month])),"m月")&amp;"発注)")</f>
        <v/>
      </c>
      <c r="DA503">
        <f>IF(SUMIFS(T_PlannedOrders[EffectiveQty],T_PlannedOrders[Part Name],$A485,T_PlannedOrders[WeekIndex],102)=0,"",SUMIFS(T_PlannedOrders[EffectiveQty],T_PlannedOrders[Part Name],$A485,T_PlannedOrders[WeekIndex],102)&amp;" ("&amp;TEXT(SUMPRODUCT(MAX((T_PlannedOrders[Part Name]=$A485)*(T_PlannedOrders[WeekIndex]=102)*(T_PlannedOrders[EffectiveQty]&gt;0)*T_PlannedOrders[Order_Month])),"m月")&amp;"発注)")</f>
        <v/>
      </c>
      <c r="DB503">
        <f>IF(SUMIFS(T_PlannedOrders[EffectiveQty],T_PlannedOrders[Part Name],$A485,T_PlannedOrders[WeekIndex],103)=0,"",SUMIFS(T_PlannedOrders[EffectiveQty],T_PlannedOrders[Part Name],$A485,T_PlannedOrders[WeekIndex],103)&amp;" ("&amp;TEXT(SUMPRODUCT(MAX((T_PlannedOrders[Part Name]=$A485)*(T_PlannedOrders[WeekIndex]=103)*(T_PlannedOrders[EffectiveQty]&gt;0)*T_PlannedOrders[Order_Month])),"m月")&amp;"発注)")</f>
        <v/>
      </c>
      <c r="DC503">
        <f>IF(SUMIFS(T_PlannedOrders[EffectiveQty],T_PlannedOrders[Part Name],$A485,T_PlannedOrders[WeekIndex],104)=0,"",SUMIFS(T_PlannedOrders[EffectiveQty],T_PlannedOrders[Part Name],$A485,T_PlannedOrders[WeekIndex],104)&amp;" ("&amp;TEXT(SUMPRODUCT(MAX((T_PlannedOrders[Part Name]=$A485)*(T_PlannedOrders[WeekIndex]=104)*(T_PlannedOrders[EffectiveQty]&gt;0)*T_PlannedOrders[Order_Month])),"m月")&amp;"発注)")</f>
        <v/>
      </c>
    </row>
    <row r="504">
      <c r="B504" s="9" t="inlineStr">
        <is>
          <t>合計在庫(週末時点,kg)</t>
        </is>
      </c>
      <c r="D504">
        <f>'Grid_Stock'!B3</f>
        <v/>
      </c>
      <c r="E504">
        <f>'Grid_Stock'!C3</f>
        <v/>
      </c>
      <c r="F504">
        <f>'Grid_Stock'!D3</f>
        <v/>
      </c>
      <c r="G504">
        <f>'Grid_Stock'!E3</f>
        <v/>
      </c>
      <c r="H504">
        <f>'Grid_Stock'!F3</f>
        <v/>
      </c>
      <c r="I504">
        <f>'Grid_Stock'!G3</f>
        <v/>
      </c>
      <c r="J504">
        <f>'Grid_Stock'!H3</f>
        <v/>
      </c>
      <c r="K504">
        <f>'Grid_Stock'!I3</f>
        <v/>
      </c>
      <c r="L504">
        <f>'Grid_Stock'!J3</f>
        <v/>
      </c>
      <c r="M504">
        <f>'Grid_Stock'!K3</f>
        <v/>
      </c>
      <c r="N504">
        <f>'Grid_Stock'!L3</f>
        <v/>
      </c>
      <c r="O504">
        <f>'Grid_Stock'!M3</f>
        <v/>
      </c>
      <c r="P504">
        <f>'Grid_Stock'!N3</f>
        <v/>
      </c>
      <c r="Q504">
        <f>'Grid_Stock'!O3</f>
        <v/>
      </c>
      <c r="R504">
        <f>'Grid_Stock'!P3</f>
        <v/>
      </c>
      <c r="S504">
        <f>'Grid_Stock'!Q3</f>
        <v/>
      </c>
      <c r="T504">
        <f>'Grid_Stock'!R3</f>
        <v/>
      </c>
      <c r="U504">
        <f>'Grid_Stock'!S3</f>
        <v/>
      </c>
      <c r="V504">
        <f>'Grid_Stock'!T3</f>
        <v/>
      </c>
      <c r="W504">
        <f>'Grid_Stock'!U3</f>
        <v/>
      </c>
      <c r="X504">
        <f>'Grid_Stock'!V3</f>
        <v/>
      </c>
      <c r="Y504">
        <f>'Grid_Stock'!W3</f>
        <v/>
      </c>
      <c r="Z504">
        <f>'Grid_Stock'!X3</f>
        <v/>
      </c>
      <c r="AA504">
        <f>'Grid_Stock'!Y3</f>
        <v/>
      </c>
      <c r="AB504">
        <f>'Grid_Stock'!Z3</f>
        <v/>
      </c>
      <c r="AC504">
        <f>'Grid_Stock'!AA3</f>
        <v/>
      </c>
      <c r="AD504">
        <f>'Grid_Stock'!AB3</f>
        <v/>
      </c>
      <c r="AE504">
        <f>'Grid_Stock'!AC3</f>
        <v/>
      </c>
      <c r="AF504">
        <f>'Grid_Stock'!AD3</f>
        <v/>
      </c>
      <c r="AG504">
        <f>'Grid_Stock'!AE3</f>
        <v/>
      </c>
      <c r="AH504">
        <f>'Grid_Stock'!AF3</f>
        <v/>
      </c>
      <c r="AI504">
        <f>'Grid_Stock'!AG3</f>
        <v/>
      </c>
      <c r="AJ504">
        <f>'Grid_Stock'!AH3</f>
        <v/>
      </c>
      <c r="AK504">
        <f>'Grid_Stock'!AI3</f>
        <v/>
      </c>
      <c r="AL504">
        <f>'Grid_Stock'!AJ3</f>
        <v/>
      </c>
      <c r="AM504">
        <f>'Grid_Stock'!AK3</f>
        <v/>
      </c>
      <c r="AN504">
        <f>'Grid_Stock'!AL3</f>
        <v/>
      </c>
      <c r="AO504">
        <f>'Grid_Stock'!AM3</f>
        <v/>
      </c>
      <c r="AP504">
        <f>'Grid_Stock'!AN3</f>
        <v/>
      </c>
      <c r="AQ504">
        <f>'Grid_Stock'!AO3</f>
        <v/>
      </c>
      <c r="AR504">
        <f>'Grid_Stock'!AP3</f>
        <v/>
      </c>
      <c r="AS504">
        <f>'Grid_Stock'!AQ3</f>
        <v/>
      </c>
      <c r="AT504">
        <f>'Grid_Stock'!AR3</f>
        <v/>
      </c>
      <c r="AU504">
        <f>'Grid_Stock'!AS3</f>
        <v/>
      </c>
      <c r="AV504">
        <f>'Grid_Stock'!AT3</f>
        <v/>
      </c>
      <c r="AW504">
        <f>'Grid_Stock'!AU3</f>
        <v/>
      </c>
      <c r="AX504">
        <f>'Grid_Stock'!AV3</f>
        <v/>
      </c>
      <c r="AY504">
        <f>'Grid_Stock'!AW3</f>
        <v/>
      </c>
      <c r="AZ504">
        <f>'Grid_Stock'!AX3</f>
        <v/>
      </c>
      <c r="BA504">
        <f>'Grid_Stock'!AY3</f>
        <v/>
      </c>
      <c r="BB504">
        <f>'Grid_Stock'!AZ3</f>
        <v/>
      </c>
      <c r="BC504">
        <f>'Grid_Stock'!BA3</f>
        <v/>
      </c>
      <c r="BD504">
        <f>'Grid_Stock'!BB3</f>
        <v/>
      </c>
      <c r="BE504">
        <f>'Grid_Stock'!BC3</f>
        <v/>
      </c>
      <c r="BF504">
        <f>'Grid_Stock'!BD3</f>
        <v/>
      </c>
      <c r="BG504">
        <f>'Grid_Stock'!BE3</f>
        <v/>
      </c>
      <c r="BH504">
        <f>'Grid_Stock'!BF3</f>
        <v/>
      </c>
      <c r="BI504">
        <f>'Grid_Stock'!BG3</f>
        <v/>
      </c>
      <c r="BJ504">
        <f>'Grid_Stock'!BH3</f>
        <v/>
      </c>
      <c r="BK504">
        <f>'Grid_Stock'!BI3</f>
        <v/>
      </c>
      <c r="BL504">
        <f>'Grid_Stock'!BJ3</f>
        <v/>
      </c>
      <c r="BM504">
        <f>'Grid_Stock'!BK3</f>
        <v/>
      </c>
      <c r="BN504">
        <f>'Grid_Stock'!BL3</f>
        <v/>
      </c>
      <c r="BO504">
        <f>'Grid_Stock'!BM3</f>
        <v/>
      </c>
      <c r="BP504">
        <f>'Grid_Stock'!BN3</f>
        <v/>
      </c>
      <c r="BQ504">
        <f>'Grid_Stock'!BO3</f>
        <v/>
      </c>
      <c r="BR504">
        <f>'Grid_Stock'!BP3</f>
        <v/>
      </c>
      <c r="BS504">
        <f>'Grid_Stock'!BQ3</f>
        <v/>
      </c>
      <c r="BT504">
        <f>'Grid_Stock'!BR3</f>
        <v/>
      </c>
      <c r="BU504">
        <f>'Grid_Stock'!BS3</f>
        <v/>
      </c>
      <c r="BV504">
        <f>'Grid_Stock'!BT3</f>
        <v/>
      </c>
      <c r="BW504">
        <f>'Grid_Stock'!BU3</f>
        <v/>
      </c>
      <c r="BX504">
        <f>'Grid_Stock'!BV3</f>
        <v/>
      </c>
      <c r="BY504">
        <f>'Grid_Stock'!BW3</f>
        <v/>
      </c>
      <c r="BZ504">
        <f>'Grid_Stock'!BX3</f>
        <v/>
      </c>
      <c r="CA504">
        <f>'Grid_Stock'!BY3</f>
        <v/>
      </c>
      <c r="CB504">
        <f>'Grid_Stock'!BZ3</f>
        <v/>
      </c>
      <c r="CC504">
        <f>'Grid_Stock'!CA3</f>
        <v/>
      </c>
      <c r="CD504">
        <f>'Grid_Stock'!CB3</f>
        <v/>
      </c>
      <c r="CE504">
        <f>'Grid_Stock'!CC3</f>
        <v/>
      </c>
      <c r="CF504">
        <f>'Grid_Stock'!CD3</f>
        <v/>
      </c>
      <c r="CG504">
        <f>'Grid_Stock'!CE3</f>
        <v/>
      </c>
      <c r="CH504">
        <f>'Grid_Stock'!CF3</f>
        <v/>
      </c>
      <c r="CI504">
        <f>'Grid_Stock'!CG3</f>
        <v/>
      </c>
      <c r="CJ504">
        <f>'Grid_Stock'!CH3</f>
        <v/>
      </c>
      <c r="CK504">
        <f>'Grid_Stock'!CI3</f>
        <v/>
      </c>
      <c r="CL504">
        <f>'Grid_Stock'!CJ3</f>
        <v/>
      </c>
      <c r="CM504">
        <f>'Grid_Stock'!CK3</f>
        <v/>
      </c>
      <c r="CN504">
        <f>'Grid_Stock'!CL3</f>
        <v/>
      </c>
      <c r="CO504">
        <f>'Grid_Stock'!CM3</f>
        <v/>
      </c>
      <c r="CP504">
        <f>'Grid_Stock'!CN3</f>
        <v/>
      </c>
      <c r="CQ504">
        <f>'Grid_Stock'!CO3</f>
        <v/>
      </c>
      <c r="CR504">
        <f>'Grid_Stock'!CP3</f>
        <v/>
      </c>
      <c r="CS504">
        <f>'Grid_Stock'!CQ3</f>
        <v/>
      </c>
      <c r="CT504">
        <f>'Grid_Stock'!CR3</f>
        <v/>
      </c>
      <c r="CU504">
        <f>'Grid_Stock'!CS3</f>
        <v/>
      </c>
      <c r="CV504">
        <f>'Grid_Stock'!CT3</f>
        <v/>
      </c>
      <c r="CW504">
        <f>'Grid_Stock'!CU3</f>
        <v/>
      </c>
      <c r="CX504">
        <f>'Grid_Stock'!CV3</f>
        <v/>
      </c>
      <c r="CY504">
        <f>'Grid_Stock'!CW3</f>
        <v/>
      </c>
      <c r="CZ504">
        <f>'Grid_Stock'!CX3</f>
        <v/>
      </c>
      <c r="DA504">
        <f>'Grid_Stock'!CY3</f>
        <v/>
      </c>
      <c r="DB504">
        <f>'Grid_Stock'!CZ3</f>
        <v/>
      </c>
      <c r="DC504">
        <f>'Grid_Stock'!DA3</f>
        <v/>
      </c>
    </row>
    <row r="505">
      <c r="B505" s="21" t="inlineStr">
        <is>
          <t>（発注の目安はDashboardの基準在庫[下限/上限]と色分けを参照）</t>
        </is>
      </c>
    </row>
    <row r="507">
      <c r="A507" s="19" t="inlineStr">
        <is>
          <t>CHEM-1600</t>
        </is>
      </c>
      <c r="B507" s="19" t="inlineStr">
        <is>
          <t>BF-1P</t>
        </is>
      </c>
      <c r="C507" s="20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/>
      <c r="W507" s="19" t="n"/>
      <c r="X507" s="19" t="n"/>
      <c r="Y507" s="19" t="n"/>
      <c r="Z507" s="19" t="n"/>
      <c r="AA507" s="19" t="n"/>
      <c r="AB507" s="19" t="n"/>
      <c r="AC507" s="19" t="n"/>
      <c r="AD507" s="19" t="n"/>
      <c r="AE507" s="19" t="n"/>
      <c r="AF507" s="19" t="n"/>
      <c r="AG507" s="19" t="n"/>
      <c r="AH507" s="19" t="n"/>
      <c r="AI507" s="19" t="n"/>
      <c r="AJ507" s="19" t="n"/>
      <c r="AK507" s="19" t="n"/>
      <c r="AL507" s="19" t="n"/>
      <c r="AM507" s="19" t="n"/>
      <c r="AN507" s="19" t="n"/>
      <c r="AO507" s="19" t="n"/>
      <c r="AP507" s="19" t="n"/>
      <c r="AQ507" s="19" t="n"/>
      <c r="AR507" s="19" t="n"/>
      <c r="AS507" s="19" t="n"/>
      <c r="AT507" s="19" t="n"/>
      <c r="AU507" s="19" t="n"/>
      <c r="AV507" s="19" t="n"/>
      <c r="AW507" s="19" t="n"/>
      <c r="AX507" s="19" t="n"/>
      <c r="AY507" s="19" t="n"/>
      <c r="AZ507" s="19" t="n"/>
      <c r="BA507" s="19" t="n"/>
      <c r="BB507" s="19" t="n"/>
      <c r="BC507" s="19" t="n"/>
      <c r="BD507" s="19" t="n"/>
      <c r="BE507" s="19" t="n"/>
      <c r="BF507" s="19" t="n"/>
      <c r="BG507" s="19" t="n"/>
      <c r="BH507" s="19" t="n"/>
      <c r="BI507" s="19" t="n"/>
      <c r="BJ507" s="19" t="n"/>
      <c r="BK507" s="19" t="n"/>
      <c r="BL507" s="19" t="n"/>
      <c r="BM507" s="19" t="n"/>
      <c r="BN507" s="19" t="n"/>
      <c r="BO507" s="19" t="n"/>
      <c r="BP507" s="19" t="n"/>
      <c r="BQ507" s="19" t="n"/>
      <c r="BR507" s="19" t="n"/>
      <c r="BS507" s="19" t="n"/>
      <c r="BT507" s="19" t="n"/>
      <c r="BU507" s="19" t="n"/>
      <c r="BV507" s="19" t="n"/>
      <c r="BW507" s="19" t="n"/>
      <c r="BX507" s="19" t="n"/>
      <c r="BY507" s="19" t="n"/>
      <c r="BZ507" s="19" t="n"/>
      <c r="CA507" s="19" t="n"/>
      <c r="CB507" s="19" t="n"/>
      <c r="CC507" s="19" t="n"/>
      <c r="CD507" s="19" t="n"/>
      <c r="CE507" s="19" t="n"/>
      <c r="CF507" s="19" t="n"/>
      <c r="CG507" s="19" t="n"/>
      <c r="CH507" s="19" t="n"/>
      <c r="CI507" s="19" t="n"/>
      <c r="CJ507" s="19" t="n"/>
      <c r="CK507" s="19" t="n"/>
      <c r="CL507" s="19" t="n"/>
      <c r="CM507" s="19" t="n"/>
      <c r="CN507" s="19" t="n"/>
      <c r="CO507" s="19" t="n"/>
      <c r="CP507" s="19" t="n"/>
      <c r="CQ507" s="19" t="n"/>
      <c r="CR507" s="19" t="n"/>
      <c r="CS507" s="19" t="n"/>
      <c r="CT507" s="19" t="n"/>
      <c r="CU507" s="19" t="n"/>
      <c r="CV507" s="19" t="n"/>
      <c r="CW507" s="19" t="n"/>
      <c r="CX507" s="19" t="n"/>
      <c r="CY507" s="19" t="n"/>
      <c r="CZ507" s="19" t="n"/>
      <c r="DA507" s="19" t="n"/>
      <c r="DB507" s="19" t="n"/>
      <c r="DC507" s="19" t="n"/>
    </row>
    <row r="508">
      <c r="B508" t="inlineStr">
        <is>
          <t>TSP-219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Name],$A507)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TSP-828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Name],$A507)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TSZ-616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Name],$A507)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TSP-1449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Name],$A507)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VSP-567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Name],$A507)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VSP-600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Name],$A507)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VSP-601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Name],$A507)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VSP-603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Name],$A507)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VSP-604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Name],$A507)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VSP-606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Name],$A507)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VSP-607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Name],$A507)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VSP-738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Name],$A507)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VSP-739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Name],$A507)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VSP-820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Name],$A507)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VSP-869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Name],$A507)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VSP-989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Name],$A507)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VSZ-745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Name],$A507)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TSP-1388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Name],$A507)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TSP-924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Name],$A507)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TSP-925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Name],$A507)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s="9" t="inlineStr">
        <is>
          <t>合計使用量(kg)/週</t>
        </is>
      </c>
      <c r="D548">
        <f>'Grid_Requirement'!B19</f>
        <v/>
      </c>
      <c r="E548">
        <f>'Grid_Requirement'!C19</f>
        <v/>
      </c>
      <c r="F548">
        <f>'Grid_Requirement'!D19</f>
        <v/>
      </c>
      <c r="G548">
        <f>'Grid_Requirement'!E19</f>
        <v/>
      </c>
      <c r="H548">
        <f>'Grid_Requirement'!F19</f>
        <v/>
      </c>
      <c r="I548">
        <f>'Grid_Requirement'!G19</f>
        <v/>
      </c>
      <c r="J548">
        <f>'Grid_Requirement'!H19</f>
        <v/>
      </c>
      <c r="K548">
        <f>'Grid_Requirement'!I19</f>
        <v/>
      </c>
      <c r="L548">
        <f>'Grid_Requirement'!J19</f>
        <v/>
      </c>
      <c r="M548">
        <f>'Grid_Requirement'!K19</f>
        <v/>
      </c>
      <c r="N548">
        <f>'Grid_Requirement'!L19</f>
        <v/>
      </c>
      <c r="O548">
        <f>'Grid_Requirement'!M19</f>
        <v/>
      </c>
      <c r="P548">
        <f>'Grid_Requirement'!N19</f>
        <v/>
      </c>
      <c r="Q548">
        <f>'Grid_Requirement'!O19</f>
        <v/>
      </c>
      <c r="R548">
        <f>'Grid_Requirement'!P19</f>
        <v/>
      </c>
      <c r="S548">
        <f>'Grid_Requirement'!Q19</f>
        <v/>
      </c>
      <c r="T548">
        <f>'Grid_Requirement'!R19</f>
        <v/>
      </c>
      <c r="U548">
        <f>'Grid_Requirement'!S19</f>
        <v/>
      </c>
      <c r="V548">
        <f>'Grid_Requirement'!T19</f>
        <v/>
      </c>
      <c r="W548">
        <f>'Grid_Requirement'!U19</f>
        <v/>
      </c>
      <c r="X548">
        <f>'Grid_Requirement'!V19</f>
        <v/>
      </c>
      <c r="Y548">
        <f>'Grid_Requirement'!W19</f>
        <v/>
      </c>
      <c r="Z548">
        <f>'Grid_Requirement'!X19</f>
        <v/>
      </c>
      <c r="AA548">
        <f>'Grid_Requirement'!Y19</f>
        <v/>
      </c>
      <c r="AB548">
        <f>'Grid_Requirement'!Z19</f>
        <v/>
      </c>
      <c r="AC548">
        <f>'Grid_Requirement'!AA19</f>
        <v/>
      </c>
      <c r="AD548">
        <f>'Grid_Requirement'!AB19</f>
        <v/>
      </c>
      <c r="AE548">
        <f>'Grid_Requirement'!AC19</f>
        <v/>
      </c>
      <c r="AF548">
        <f>'Grid_Requirement'!AD19</f>
        <v/>
      </c>
      <c r="AG548">
        <f>'Grid_Requirement'!AE19</f>
        <v/>
      </c>
      <c r="AH548">
        <f>'Grid_Requirement'!AF19</f>
        <v/>
      </c>
      <c r="AI548">
        <f>'Grid_Requirement'!AG19</f>
        <v/>
      </c>
      <c r="AJ548">
        <f>'Grid_Requirement'!AH19</f>
        <v/>
      </c>
      <c r="AK548">
        <f>'Grid_Requirement'!AI19</f>
        <v/>
      </c>
      <c r="AL548">
        <f>'Grid_Requirement'!AJ19</f>
        <v/>
      </c>
      <c r="AM548">
        <f>'Grid_Requirement'!AK19</f>
        <v/>
      </c>
      <c r="AN548">
        <f>'Grid_Requirement'!AL19</f>
        <v/>
      </c>
      <c r="AO548">
        <f>'Grid_Requirement'!AM19</f>
        <v/>
      </c>
      <c r="AP548">
        <f>'Grid_Requirement'!AN19</f>
        <v/>
      </c>
      <c r="AQ548">
        <f>'Grid_Requirement'!AO19</f>
        <v/>
      </c>
      <c r="AR548">
        <f>'Grid_Requirement'!AP19</f>
        <v/>
      </c>
      <c r="AS548">
        <f>'Grid_Requirement'!AQ19</f>
        <v/>
      </c>
      <c r="AT548">
        <f>'Grid_Requirement'!AR19</f>
        <v/>
      </c>
      <c r="AU548">
        <f>'Grid_Requirement'!AS19</f>
        <v/>
      </c>
      <c r="AV548">
        <f>'Grid_Requirement'!AT19</f>
        <v/>
      </c>
      <c r="AW548">
        <f>'Grid_Requirement'!AU19</f>
        <v/>
      </c>
      <c r="AX548">
        <f>'Grid_Requirement'!AV19</f>
        <v/>
      </c>
      <c r="AY548">
        <f>'Grid_Requirement'!AW19</f>
        <v/>
      </c>
      <c r="AZ548">
        <f>'Grid_Requirement'!AX19</f>
        <v/>
      </c>
      <c r="BA548">
        <f>'Grid_Requirement'!AY19</f>
        <v/>
      </c>
      <c r="BB548">
        <f>'Grid_Requirement'!AZ19</f>
        <v/>
      </c>
      <c r="BC548">
        <f>'Grid_Requirement'!BA19</f>
        <v/>
      </c>
      <c r="BD548">
        <f>'Grid_Requirement'!BB19</f>
        <v/>
      </c>
      <c r="BE548">
        <f>'Grid_Requirement'!BC19</f>
        <v/>
      </c>
      <c r="BF548">
        <f>'Grid_Requirement'!BD19</f>
        <v/>
      </c>
      <c r="BG548">
        <f>'Grid_Requirement'!BE19</f>
        <v/>
      </c>
      <c r="BH548">
        <f>'Grid_Requirement'!BF19</f>
        <v/>
      </c>
      <c r="BI548">
        <f>'Grid_Requirement'!BG19</f>
        <v/>
      </c>
      <c r="BJ548">
        <f>'Grid_Requirement'!BH19</f>
        <v/>
      </c>
      <c r="BK548">
        <f>'Grid_Requirement'!BI19</f>
        <v/>
      </c>
      <c r="BL548">
        <f>'Grid_Requirement'!BJ19</f>
        <v/>
      </c>
      <c r="BM548">
        <f>'Grid_Requirement'!BK19</f>
        <v/>
      </c>
      <c r="BN548">
        <f>'Grid_Requirement'!BL19</f>
        <v/>
      </c>
      <c r="BO548">
        <f>'Grid_Requirement'!BM19</f>
        <v/>
      </c>
      <c r="BP548">
        <f>'Grid_Requirement'!BN19</f>
        <v/>
      </c>
      <c r="BQ548">
        <f>'Grid_Requirement'!BO19</f>
        <v/>
      </c>
      <c r="BR548">
        <f>'Grid_Requirement'!BP19</f>
        <v/>
      </c>
      <c r="BS548">
        <f>'Grid_Requirement'!BQ19</f>
        <v/>
      </c>
      <c r="BT548">
        <f>'Grid_Requirement'!BR19</f>
        <v/>
      </c>
      <c r="BU548">
        <f>'Grid_Requirement'!BS19</f>
        <v/>
      </c>
      <c r="BV548">
        <f>'Grid_Requirement'!BT19</f>
        <v/>
      </c>
      <c r="BW548">
        <f>'Grid_Requirement'!BU19</f>
        <v/>
      </c>
      <c r="BX548">
        <f>'Grid_Requirement'!BV19</f>
        <v/>
      </c>
      <c r="BY548">
        <f>'Grid_Requirement'!BW19</f>
        <v/>
      </c>
      <c r="BZ548">
        <f>'Grid_Requirement'!BX19</f>
        <v/>
      </c>
      <c r="CA548">
        <f>'Grid_Requirement'!BY19</f>
        <v/>
      </c>
      <c r="CB548">
        <f>'Grid_Requirement'!BZ19</f>
        <v/>
      </c>
      <c r="CC548">
        <f>'Grid_Requirement'!CA19</f>
        <v/>
      </c>
      <c r="CD548">
        <f>'Grid_Requirement'!CB19</f>
        <v/>
      </c>
      <c r="CE548">
        <f>'Grid_Requirement'!CC19</f>
        <v/>
      </c>
      <c r="CF548">
        <f>'Grid_Requirement'!CD19</f>
        <v/>
      </c>
      <c r="CG548">
        <f>'Grid_Requirement'!CE19</f>
        <v/>
      </c>
      <c r="CH548">
        <f>'Grid_Requirement'!CF19</f>
        <v/>
      </c>
      <c r="CI548">
        <f>'Grid_Requirement'!CG19</f>
        <v/>
      </c>
      <c r="CJ548">
        <f>'Grid_Requirement'!CH19</f>
        <v/>
      </c>
      <c r="CK548">
        <f>'Grid_Requirement'!CI19</f>
        <v/>
      </c>
      <c r="CL548">
        <f>'Grid_Requirement'!CJ19</f>
        <v/>
      </c>
      <c r="CM548">
        <f>'Grid_Requirement'!CK19</f>
        <v/>
      </c>
      <c r="CN548">
        <f>'Grid_Requirement'!CL19</f>
        <v/>
      </c>
      <c r="CO548">
        <f>'Grid_Requirement'!CM19</f>
        <v/>
      </c>
      <c r="CP548">
        <f>'Grid_Requirement'!CN19</f>
        <v/>
      </c>
      <c r="CQ548">
        <f>'Grid_Requirement'!CO19</f>
        <v/>
      </c>
      <c r="CR548">
        <f>'Grid_Requirement'!CP19</f>
        <v/>
      </c>
      <c r="CS548">
        <f>'Grid_Requirement'!CQ19</f>
        <v/>
      </c>
      <c r="CT548">
        <f>'Grid_Requirement'!CR19</f>
        <v/>
      </c>
      <c r="CU548">
        <f>'Grid_Requirement'!CS19</f>
        <v/>
      </c>
      <c r="CV548">
        <f>'Grid_Requirement'!CT19</f>
        <v/>
      </c>
      <c r="CW548">
        <f>'Grid_Requirement'!CU19</f>
        <v/>
      </c>
      <c r="CX548">
        <f>'Grid_Requirement'!CV19</f>
        <v/>
      </c>
      <c r="CY548">
        <f>'Grid_Requirement'!CW19</f>
        <v/>
      </c>
      <c r="CZ548">
        <f>'Grid_Requirement'!CX19</f>
        <v/>
      </c>
      <c r="DA548">
        <f>'Grid_Requirement'!CY19</f>
        <v/>
      </c>
      <c r="DB548">
        <f>'Grid_Requirement'!CZ19</f>
        <v/>
      </c>
      <c r="DC548">
        <f>'Grid_Requirement'!DA19</f>
        <v/>
      </c>
    </row>
    <row r="549">
      <c r="B549" t="inlineStr">
        <is>
          <t>TTAF在庫(実績,kg)</t>
        </is>
      </c>
      <c r="D549">
        <f>'T_TTAFStock'!B23</f>
        <v/>
      </c>
      <c r="E549">
        <f>'T_TTAFStock'!C23</f>
        <v/>
      </c>
      <c r="F549">
        <f>'T_TTAFStock'!D23</f>
        <v/>
      </c>
      <c r="G549">
        <f>'T_TTAFStock'!E23</f>
        <v/>
      </c>
      <c r="H549">
        <f>'T_TTAFStock'!F23</f>
        <v/>
      </c>
      <c r="I549">
        <f>'T_TTAFStock'!G23</f>
        <v/>
      </c>
      <c r="J549">
        <f>'T_TTAFStock'!H23</f>
        <v/>
      </c>
      <c r="K549">
        <f>'T_TTAFStock'!I23</f>
        <v/>
      </c>
      <c r="L549">
        <f>'T_TTAFStock'!J23</f>
        <v/>
      </c>
      <c r="M549">
        <f>'T_TTAFStock'!K23</f>
        <v/>
      </c>
      <c r="N549">
        <f>'T_TTAFStock'!L23</f>
        <v/>
      </c>
      <c r="O549">
        <f>'T_TTAFStock'!M23</f>
        <v/>
      </c>
      <c r="P549">
        <f>'T_TTAFStock'!N23</f>
        <v/>
      </c>
      <c r="Q549">
        <f>'T_TTAFStock'!O23</f>
        <v/>
      </c>
      <c r="R549">
        <f>'T_TTAFStock'!P23</f>
        <v/>
      </c>
      <c r="S549">
        <f>'T_TTAFStock'!Q23</f>
        <v/>
      </c>
      <c r="T549">
        <f>'T_TTAFStock'!R23</f>
        <v/>
      </c>
      <c r="U549">
        <f>'T_TTAFStock'!S23</f>
        <v/>
      </c>
      <c r="V549">
        <f>'T_TTAFStock'!T23</f>
        <v/>
      </c>
      <c r="W549">
        <f>'T_TTAFStock'!U23</f>
        <v/>
      </c>
      <c r="X549">
        <f>'T_TTAFStock'!V23</f>
        <v/>
      </c>
      <c r="Y549">
        <f>'T_TTAFStock'!W23</f>
        <v/>
      </c>
      <c r="Z549">
        <f>'T_TTAFStock'!X23</f>
        <v/>
      </c>
      <c r="AA549">
        <f>'T_TTAFStock'!Y23</f>
        <v/>
      </c>
      <c r="AB549">
        <f>'T_TTAFStock'!Z23</f>
        <v/>
      </c>
      <c r="AC549">
        <f>'T_TTAFStock'!AA23</f>
        <v/>
      </c>
      <c r="AD549">
        <f>'T_TTAFStock'!AB23</f>
        <v/>
      </c>
      <c r="AE549">
        <f>'T_TTAFStock'!AC23</f>
        <v/>
      </c>
      <c r="AF549">
        <f>'T_TTAFStock'!AD23</f>
        <v/>
      </c>
      <c r="AG549">
        <f>'T_TTAFStock'!AE23</f>
        <v/>
      </c>
      <c r="AH549">
        <f>'T_TTAFStock'!AF23</f>
        <v/>
      </c>
      <c r="AI549">
        <f>'T_TTAFStock'!AG23</f>
        <v/>
      </c>
      <c r="AJ549">
        <f>'T_TTAFStock'!AH23</f>
        <v/>
      </c>
      <c r="AK549">
        <f>'T_TTAFStock'!AI23</f>
        <v/>
      </c>
      <c r="AL549">
        <f>'T_TTAFStock'!AJ23</f>
        <v/>
      </c>
      <c r="AM549">
        <f>'T_TTAFStock'!AK23</f>
        <v/>
      </c>
      <c r="AN549">
        <f>'T_TTAFStock'!AL23</f>
        <v/>
      </c>
      <c r="AO549">
        <f>'T_TTAFStock'!AM23</f>
        <v/>
      </c>
      <c r="AP549">
        <f>'T_TTAFStock'!AN23</f>
        <v/>
      </c>
      <c r="AQ549">
        <f>'T_TTAFStock'!AO23</f>
        <v/>
      </c>
      <c r="AR549">
        <f>'T_TTAFStock'!AP23</f>
        <v/>
      </c>
      <c r="AS549">
        <f>'T_TTAFStock'!AQ23</f>
        <v/>
      </c>
      <c r="AT549">
        <f>'T_TTAFStock'!AR23</f>
        <v/>
      </c>
      <c r="AU549">
        <f>'T_TTAFStock'!AS23</f>
        <v/>
      </c>
      <c r="AV549">
        <f>'T_TTAFStock'!AT23</f>
        <v/>
      </c>
      <c r="AW549">
        <f>'T_TTAFStock'!AU23</f>
        <v/>
      </c>
      <c r="AX549">
        <f>'T_TTAFStock'!AV23</f>
        <v/>
      </c>
      <c r="AY549">
        <f>'T_TTAFStock'!AW23</f>
        <v/>
      </c>
      <c r="AZ549">
        <f>'T_TTAFStock'!AX23</f>
        <v/>
      </c>
      <c r="BA549">
        <f>'T_TTAFStock'!AY23</f>
        <v/>
      </c>
      <c r="BB549">
        <f>'T_TTAFStock'!AZ23</f>
        <v/>
      </c>
      <c r="BC549">
        <f>'T_TTAFStock'!BA23</f>
        <v/>
      </c>
      <c r="BD549">
        <f>'T_TTAFStock'!BB23</f>
        <v/>
      </c>
      <c r="BE549">
        <f>'T_TTAFStock'!BC23</f>
        <v/>
      </c>
      <c r="BF549">
        <f>'T_TTAFStock'!BD23</f>
        <v/>
      </c>
      <c r="BG549">
        <f>'T_TTAFStock'!BE23</f>
        <v/>
      </c>
      <c r="BH549">
        <f>'T_TTAFStock'!BF23</f>
        <v/>
      </c>
      <c r="BI549">
        <f>'T_TTAFStock'!BG23</f>
        <v/>
      </c>
      <c r="BJ549">
        <f>'T_TTAFStock'!BH23</f>
        <v/>
      </c>
      <c r="BK549">
        <f>'T_TTAFStock'!BI23</f>
        <v/>
      </c>
      <c r="BL549">
        <f>'T_TTAFStock'!BJ23</f>
        <v/>
      </c>
      <c r="BM549">
        <f>'T_TTAFStock'!BK23</f>
        <v/>
      </c>
      <c r="BN549">
        <f>'T_TTAFStock'!BL23</f>
        <v/>
      </c>
      <c r="BO549">
        <f>'T_TTAFStock'!BM23</f>
        <v/>
      </c>
      <c r="BP549">
        <f>'T_TTAFStock'!BN23</f>
        <v/>
      </c>
      <c r="BQ549">
        <f>'T_TTAFStock'!BO23</f>
        <v/>
      </c>
      <c r="BR549">
        <f>'T_TTAFStock'!BP23</f>
        <v/>
      </c>
      <c r="BS549">
        <f>'T_TTAFStock'!BQ23</f>
        <v/>
      </c>
      <c r="BT549">
        <f>'T_TTAFStock'!BR23</f>
        <v/>
      </c>
      <c r="BU549">
        <f>'T_TTAFStock'!BS23</f>
        <v/>
      </c>
      <c r="BV549">
        <f>'T_TTAFStock'!BT23</f>
        <v/>
      </c>
      <c r="BW549">
        <f>'T_TTAFStock'!BU23</f>
        <v/>
      </c>
      <c r="BX549">
        <f>'T_TTAFStock'!BV23</f>
        <v/>
      </c>
      <c r="BY549">
        <f>'T_TTAFStock'!BW23</f>
        <v/>
      </c>
      <c r="BZ549">
        <f>'T_TTAFStock'!BX23</f>
        <v/>
      </c>
      <c r="CA549">
        <f>'T_TTAFStock'!BY23</f>
        <v/>
      </c>
      <c r="CB549">
        <f>'T_TTAFStock'!BZ23</f>
        <v/>
      </c>
      <c r="CC549">
        <f>'T_TTAFStock'!CA23</f>
        <v/>
      </c>
      <c r="CD549">
        <f>'T_TTAFStock'!CB23</f>
        <v/>
      </c>
      <c r="CE549">
        <f>'T_TTAFStock'!CC23</f>
        <v/>
      </c>
      <c r="CF549">
        <f>'T_TTAFStock'!CD23</f>
        <v/>
      </c>
      <c r="CG549">
        <f>'T_TTAFStock'!CE23</f>
        <v/>
      </c>
      <c r="CH549">
        <f>'T_TTAFStock'!CF23</f>
        <v/>
      </c>
      <c r="CI549">
        <f>'T_TTAFStock'!CG23</f>
        <v/>
      </c>
      <c r="CJ549">
        <f>'T_TTAFStock'!CH23</f>
        <v/>
      </c>
      <c r="CK549">
        <f>'T_TTAFStock'!CI23</f>
        <v/>
      </c>
      <c r="CL549">
        <f>'T_TTAFStock'!CJ23</f>
        <v/>
      </c>
      <c r="CM549">
        <f>'T_TTAFStock'!CK23</f>
        <v/>
      </c>
      <c r="CN549">
        <f>'T_TTAFStock'!CL23</f>
        <v/>
      </c>
      <c r="CO549">
        <f>'T_TTAFStock'!CM23</f>
        <v/>
      </c>
      <c r="CP549">
        <f>'T_TTAFStock'!CN23</f>
        <v/>
      </c>
      <c r="CQ549">
        <f>'T_TTAFStock'!CO23</f>
        <v/>
      </c>
      <c r="CR549">
        <f>'T_TTAFStock'!CP23</f>
        <v/>
      </c>
      <c r="CS549">
        <f>'T_TTAFStock'!CQ23</f>
        <v/>
      </c>
      <c r="CT549">
        <f>'T_TTAFStock'!CR23</f>
        <v/>
      </c>
      <c r="CU549">
        <f>'T_TTAFStock'!CS23</f>
        <v/>
      </c>
      <c r="CV549">
        <f>'T_TTAFStock'!CT23</f>
        <v/>
      </c>
      <c r="CW549">
        <f>'T_TTAFStock'!CU23</f>
        <v/>
      </c>
      <c r="CX549">
        <f>'T_TTAFStock'!CV23</f>
        <v/>
      </c>
      <c r="CY549">
        <f>'T_TTAFStock'!CW23</f>
        <v/>
      </c>
      <c r="CZ549">
        <f>'T_TTAFStock'!CX23</f>
        <v/>
      </c>
      <c r="DA549">
        <f>'T_TTAFStock'!CY23</f>
        <v/>
      </c>
      <c r="DB549">
        <f>'T_TTAFStock'!CZ23</f>
        <v/>
      </c>
      <c r="DC549">
        <f>'T_TTAFStock'!DA23</f>
        <v/>
      </c>
    </row>
    <row r="550">
      <c r="B550" t="inlineStr">
        <is>
          <t>自社在庫(実績,kg)</t>
        </is>
      </c>
      <c r="D550">
        <f>'T_SelfStock'!B23</f>
        <v/>
      </c>
      <c r="E550">
        <f>'T_SelfStock'!C23</f>
        <v/>
      </c>
      <c r="F550">
        <f>'T_SelfStock'!D23</f>
        <v/>
      </c>
      <c r="G550">
        <f>'T_SelfStock'!E23</f>
        <v/>
      </c>
      <c r="H550">
        <f>'T_SelfStock'!F23</f>
        <v/>
      </c>
      <c r="I550">
        <f>'T_SelfStock'!G23</f>
        <v/>
      </c>
      <c r="J550">
        <f>'T_SelfStock'!H23</f>
        <v/>
      </c>
      <c r="K550">
        <f>'T_SelfStock'!I23</f>
        <v/>
      </c>
      <c r="L550">
        <f>'T_SelfStock'!J23</f>
        <v/>
      </c>
      <c r="M550">
        <f>'T_SelfStock'!K23</f>
        <v/>
      </c>
      <c r="N550">
        <f>'T_SelfStock'!L23</f>
        <v/>
      </c>
      <c r="O550">
        <f>'T_SelfStock'!M23</f>
        <v/>
      </c>
      <c r="P550">
        <f>'T_SelfStock'!N23</f>
        <v/>
      </c>
      <c r="Q550">
        <f>'T_SelfStock'!O23</f>
        <v/>
      </c>
      <c r="R550">
        <f>'T_SelfStock'!P23</f>
        <v/>
      </c>
      <c r="S550">
        <f>'T_SelfStock'!Q23</f>
        <v/>
      </c>
      <c r="T550">
        <f>'T_SelfStock'!R23</f>
        <v/>
      </c>
      <c r="U550">
        <f>'T_SelfStock'!S23</f>
        <v/>
      </c>
      <c r="V550">
        <f>'T_SelfStock'!T23</f>
        <v/>
      </c>
      <c r="W550">
        <f>'T_SelfStock'!U23</f>
        <v/>
      </c>
      <c r="X550">
        <f>'T_SelfStock'!V23</f>
        <v/>
      </c>
      <c r="Y550">
        <f>'T_SelfStock'!W23</f>
        <v/>
      </c>
      <c r="Z550">
        <f>'T_SelfStock'!X23</f>
        <v/>
      </c>
      <c r="AA550">
        <f>'T_SelfStock'!Y23</f>
        <v/>
      </c>
      <c r="AB550">
        <f>'T_SelfStock'!Z23</f>
        <v/>
      </c>
      <c r="AC550">
        <f>'T_SelfStock'!AA23</f>
        <v/>
      </c>
      <c r="AD550">
        <f>'T_SelfStock'!AB23</f>
        <v/>
      </c>
      <c r="AE550">
        <f>'T_SelfStock'!AC23</f>
        <v/>
      </c>
      <c r="AF550">
        <f>'T_SelfStock'!AD23</f>
        <v/>
      </c>
      <c r="AG550">
        <f>'T_SelfStock'!AE23</f>
        <v/>
      </c>
      <c r="AH550">
        <f>'T_SelfStock'!AF23</f>
        <v/>
      </c>
      <c r="AI550">
        <f>'T_SelfStock'!AG23</f>
        <v/>
      </c>
      <c r="AJ550">
        <f>'T_SelfStock'!AH23</f>
        <v/>
      </c>
      <c r="AK550">
        <f>'T_SelfStock'!AI23</f>
        <v/>
      </c>
      <c r="AL550">
        <f>'T_SelfStock'!AJ23</f>
        <v/>
      </c>
      <c r="AM550">
        <f>'T_SelfStock'!AK23</f>
        <v/>
      </c>
      <c r="AN550">
        <f>'T_SelfStock'!AL23</f>
        <v/>
      </c>
      <c r="AO550">
        <f>'T_SelfStock'!AM23</f>
        <v/>
      </c>
      <c r="AP550">
        <f>'T_SelfStock'!AN23</f>
        <v/>
      </c>
      <c r="AQ550">
        <f>'T_SelfStock'!AO23</f>
        <v/>
      </c>
      <c r="AR550">
        <f>'T_SelfStock'!AP23</f>
        <v/>
      </c>
      <c r="AS550">
        <f>'T_SelfStock'!AQ23</f>
        <v/>
      </c>
      <c r="AT550">
        <f>'T_SelfStock'!AR23</f>
        <v/>
      </c>
      <c r="AU550">
        <f>'T_SelfStock'!AS23</f>
        <v/>
      </c>
      <c r="AV550">
        <f>'T_SelfStock'!AT23</f>
        <v/>
      </c>
      <c r="AW550">
        <f>'T_SelfStock'!AU23</f>
        <v/>
      </c>
      <c r="AX550">
        <f>'T_SelfStock'!AV23</f>
        <v/>
      </c>
      <c r="AY550">
        <f>'T_SelfStock'!AW23</f>
        <v/>
      </c>
      <c r="AZ550">
        <f>'T_SelfStock'!AX23</f>
        <v/>
      </c>
      <c r="BA550">
        <f>'T_SelfStock'!AY23</f>
        <v/>
      </c>
      <c r="BB550">
        <f>'T_SelfStock'!AZ23</f>
        <v/>
      </c>
      <c r="BC550">
        <f>'T_SelfStock'!BA23</f>
        <v/>
      </c>
      <c r="BD550">
        <f>'T_SelfStock'!BB23</f>
        <v/>
      </c>
      <c r="BE550">
        <f>'T_SelfStock'!BC23</f>
        <v/>
      </c>
      <c r="BF550">
        <f>'T_SelfStock'!BD23</f>
        <v/>
      </c>
      <c r="BG550">
        <f>'T_SelfStock'!BE23</f>
        <v/>
      </c>
      <c r="BH550">
        <f>'T_SelfStock'!BF23</f>
        <v/>
      </c>
      <c r="BI550">
        <f>'T_SelfStock'!BG23</f>
        <v/>
      </c>
      <c r="BJ550">
        <f>'T_SelfStock'!BH23</f>
        <v/>
      </c>
      <c r="BK550">
        <f>'T_SelfStock'!BI23</f>
        <v/>
      </c>
      <c r="BL550">
        <f>'T_SelfStock'!BJ23</f>
        <v/>
      </c>
      <c r="BM550">
        <f>'T_SelfStock'!BK23</f>
        <v/>
      </c>
      <c r="BN550">
        <f>'T_SelfStock'!BL23</f>
        <v/>
      </c>
      <c r="BO550">
        <f>'T_SelfStock'!BM23</f>
        <v/>
      </c>
      <c r="BP550">
        <f>'T_SelfStock'!BN23</f>
        <v/>
      </c>
      <c r="BQ550">
        <f>'T_SelfStock'!BO23</f>
        <v/>
      </c>
      <c r="BR550">
        <f>'T_SelfStock'!BP23</f>
        <v/>
      </c>
      <c r="BS550">
        <f>'T_SelfStock'!BQ23</f>
        <v/>
      </c>
      <c r="BT550">
        <f>'T_SelfStock'!BR23</f>
        <v/>
      </c>
      <c r="BU550">
        <f>'T_SelfStock'!BS23</f>
        <v/>
      </c>
      <c r="BV550">
        <f>'T_SelfStock'!BT23</f>
        <v/>
      </c>
      <c r="BW550">
        <f>'T_SelfStock'!BU23</f>
        <v/>
      </c>
      <c r="BX550">
        <f>'T_SelfStock'!BV23</f>
        <v/>
      </c>
      <c r="BY550">
        <f>'T_SelfStock'!BW23</f>
        <v/>
      </c>
      <c r="BZ550">
        <f>'T_SelfStock'!BX23</f>
        <v/>
      </c>
      <c r="CA550">
        <f>'T_SelfStock'!BY23</f>
        <v/>
      </c>
      <c r="CB550">
        <f>'T_SelfStock'!BZ23</f>
        <v/>
      </c>
      <c r="CC550">
        <f>'T_SelfStock'!CA23</f>
        <v/>
      </c>
      <c r="CD550">
        <f>'T_SelfStock'!CB23</f>
        <v/>
      </c>
      <c r="CE550">
        <f>'T_SelfStock'!CC23</f>
        <v/>
      </c>
      <c r="CF550">
        <f>'T_SelfStock'!CD23</f>
        <v/>
      </c>
      <c r="CG550">
        <f>'T_SelfStock'!CE23</f>
        <v/>
      </c>
      <c r="CH550">
        <f>'T_SelfStock'!CF23</f>
        <v/>
      </c>
      <c r="CI550">
        <f>'T_SelfStock'!CG23</f>
        <v/>
      </c>
      <c r="CJ550">
        <f>'T_SelfStock'!CH23</f>
        <v/>
      </c>
      <c r="CK550">
        <f>'T_SelfStock'!CI23</f>
        <v/>
      </c>
      <c r="CL550">
        <f>'T_SelfStock'!CJ23</f>
        <v/>
      </c>
      <c r="CM550">
        <f>'T_SelfStock'!CK23</f>
        <v/>
      </c>
      <c r="CN550">
        <f>'T_SelfStock'!CL23</f>
        <v/>
      </c>
      <c r="CO550">
        <f>'T_SelfStock'!CM23</f>
        <v/>
      </c>
      <c r="CP550">
        <f>'T_SelfStock'!CN23</f>
        <v/>
      </c>
      <c r="CQ550">
        <f>'T_SelfStock'!CO23</f>
        <v/>
      </c>
      <c r="CR550">
        <f>'T_SelfStock'!CP23</f>
        <v/>
      </c>
      <c r="CS550">
        <f>'T_SelfStock'!CQ23</f>
        <v/>
      </c>
      <c r="CT550">
        <f>'T_SelfStock'!CR23</f>
        <v/>
      </c>
      <c r="CU550">
        <f>'T_SelfStock'!CS23</f>
        <v/>
      </c>
      <c r="CV550">
        <f>'T_SelfStock'!CT23</f>
        <v/>
      </c>
      <c r="CW550">
        <f>'T_SelfStock'!CU23</f>
        <v/>
      </c>
      <c r="CX550">
        <f>'T_SelfStock'!CV23</f>
        <v/>
      </c>
      <c r="CY550">
        <f>'T_SelfStock'!CW23</f>
        <v/>
      </c>
      <c r="CZ550">
        <f>'T_SelfStock'!CX23</f>
        <v/>
      </c>
      <c r="DA550">
        <f>'T_SelfStock'!CY23</f>
        <v/>
      </c>
      <c r="DB550">
        <f>'T_SelfStock'!CZ23</f>
        <v/>
      </c>
      <c r="DC550">
        <f>'T_SelfStock'!DA23</f>
        <v/>
      </c>
    </row>
    <row r="551">
      <c r="B551" t="inlineStr">
        <is>
          <t>Order(発注予定,kg)</t>
        </is>
      </c>
      <c r="D551">
        <f>IF(SUMIFS(T_PlannedOrders[EffectiveQty],T_PlannedOrders[Part Name],$A507,T_PlannedOrders[WeekIndex],1)=0,"",SUMIFS(T_PlannedOrders[EffectiveQty],T_PlannedOrders[Part Name],$A507,T_PlannedOrders[WeekIndex],1)&amp;" ("&amp;TEXT(SUMPRODUCT(MAX((T_PlannedOrders[Part Name]=$A507)*(T_PlannedOrders[WeekIndex]=1)*(T_PlannedOrders[EffectiveQty]&gt;0)*T_PlannedOrders[Order_Month])),"m月")&amp;"発注)")</f>
        <v/>
      </c>
      <c r="E551">
        <f>IF(SUMIFS(T_PlannedOrders[EffectiveQty],T_PlannedOrders[Part Name],$A507,T_PlannedOrders[WeekIndex],2)=0,"",SUMIFS(T_PlannedOrders[EffectiveQty],T_PlannedOrders[Part Name],$A507,T_PlannedOrders[WeekIndex],2)&amp;" ("&amp;TEXT(SUMPRODUCT(MAX((T_PlannedOrders[Part Name]=$A507)*(T_PlannedOrders[WeekIndex]=2)*(T_PlannedOrders[EffectiveQty]&gt;0)*T_PlannedOrders[Order_Month])),"m月")&amp;"発注)")</f>
        <v/>
      </c>
      <c r="F551">
        <f>IF(SUMIFS(T_PlannedOrders[EffectiveQty],T_PlannedOrders[Part Name],$A507,T_PlannedOrders[WeekIndex],3)=0,"",SUMIFS(T_PlannedOrders[EffectiveQty],T_PlannedOrders[Part Name],$A507,T_PlannedOrders[WeekIndex],3)&amp;" ("&amp;TEXT(SUMPRODUCT(MAX((T_PlannedOrders[Part Name]=$A507)*(T_PlannedOrders[WeekIndex]=3)*(T_PlannedOrders[EffectiveQty]&gt;0)*T_PlannedOrders[Order_Month])),"m月")&amp;"発注)")</f>
        <v/>
      </c>
      <c r="G551">
        <f>IF(SUMIFS(T_PlannedOrders[EffectiveQty],T_PlannedOrders[Part Name],$A507,T_PlannedOrders[WeekIndex],4)=0,"",SUMIFS(T_PlannedOrders[EffectiveQty],T_PlannedOrders[Part Name],$A507,T_PlannedOrders[WeekIndex],4)&amp;" ("&amp;TEXT(SUMPRODUCT(MAX((T_PlannedOrders[Part Name]=$A507)*(T_PlannedOrders[WeekIndex]=4)*(T_PlannedOrders[EffectiveQty]&gt;0)*T_PlannedOrders[Order_Month])),"m月")&amp;"発注)")</f>
        <v/>
      </c>
      <c r="H551">
        <f>IF(SUMIFS(T_PlannedOrders[EffectiveQty],T_PlannedOrders[Part Name],$A507,T_PlannedOrders[WeekIndex],5)=0,"",SUMIFS(T_PlannedOrders[EffectiveQty],T_PlannedOrders[Part Name],$A507,T_PlannedOrders[WeekIndex],5)&amp;" ("&amp;TEXT(SUMPRODUCT(MAX((T_PlannedOrders[Part Name]=$A507)*(T_PlannedOrders[WeekIndex]=5)*(T_PlannedOrders[EffectiveQty]&gt;0)*T_PlannedOrders[Order_Month])),"m月")&amp;"発注)")</f>
        <v/>
      </c>
      <c r="I551">
        <f>IF(SUMIFS(T_PlannedOrders[EffectiveQty],T_PlannedOrders[Part Name],$A507,T_PlannedOrders[WeekIndex],6)=0,"",SUMIFS(T_PlannedOrders[EffectiveQty],T_PlannedOrders[Part Name],$A507,T_PlannedOrders[WeekIndex],6)&amp;" ("&amp;TEXT(SUMPRODUCT(MAX((T_PlannedOrders[Part Name]=$A507)*(T_PlannedOrders[WeekIndex]=6)*(T_PlannedOrders[EffectiveQty]&gt;0)*T_PlannedOrders[Order_Month])),"m月")&amp;"発注)")</f>
        <v/>
      </c>
      <c r="J551">
        <f>IF(SUMIFS(T_PlannedOrders[EffectiveQty],T_PlannedOrders[Part Name],$A507,T_PlannedOrders[WeekIndex],7)=0,"",SUMIFS(T_PlannedOrders[EffectiveQty],T_PlannedOrders[Part Name],$A507,T_PlannedOrders[WeekIndex],7)&amp;" ("&amp;TEXT(SUMPRODUCT(MAX((T_PlannedOrders[Part Name]=$A507)*(T_PlannedOrders[WeekIndex]=7)*(T_PlannedOrders[EffectiveQty]&gt;0)*T_PlannedOrders[Order_Month])),"m月")&amp;"発注)")</f>
        <v/>
      </c>
      <c r="K551">
        <f>IF(SUMIFS(T_PlannedOrders[EffectiveQty],T_PlannedOrders[Part Name],$A507,T_PlannedOrders[WeekIndex],8)=0,"",SUMIFS(T_PlannedOrders[EffectiveQty],T_PlannedOrders[Part Name],$A507,T_PlannedOrders[WeekIndex],8)&amp;" ("&amp;TEXT(SUMPRODUCT(MAX((T_PlannedOrders[Part Name]=$A507)*(T_PlannedOrders[WeekIndex]=8)*(T_PlannedOrders[EffectiveQty]&gt;0)*T_PlannedOrders[Order_Month])),"m月")&amp;"発注)")</f>
        <v/>
      </c>
      <c r="L551">
        <f>IF(SUMIFS(T_PlannedOrders[EffectiveQty],T_PlannedOrders[Part Name],$A507,T_PlannedOrders[WeekIndex],9)=0,"",SUMIFS(T_PlannedOrders[EffectiveQty],T_PlannedOrders[Part Name],$A507,T_PlannedOrders[WeekIndex],9)&amp;" ("&amp;TEXT(SUMPRODUCT(MAX((T_PlannedOrders[Part Name]=$A507)*(T_PlannedOrders[WeekIndex]=9)*(T_PlannedOrders[EffectiveQty]&gt;0)*T_PlannedOrders[Order_Month])),"m月")&amp;"発注)")</f>
        <v/>
      </c>
      <c r="M551">
        <f>IF(SUMIFS(T_PlannedOrders[EffectiveQty],T_PlannedOrders[Part Name],$A507,T_PlannedOrders[WeekIndex],10)=0,"",SUMIFS(T_PlannedOrders[EffectiveQty],T_PlannedOrders[Part Name],$A507,T_PlannedOrders[WeekIndex],10)&amp;" ("&amp;TEXT(SUMPRODUCT(MAX((T_PlannedOrders[Part Name]=$A507)*(T_PlannedOrders[WeekIndex]=10)*(T_PlannedOrders[EffectiveQty]&gt;0)*T_PlannedOrders[Order_Month])),"m月")&amp;"発注)")</f>
        <v/>
      </c>
      <c r="N551">
        <f>IF(SUMIFS(T_PlannedOrders[EffectiveQty],T_PlannedOrders[Part Name],$A507,T_PlannedOrders[WeekIndex],11)=0,"",SUMIFS(T_PlannedOrders[EffectiveQty],T_PlannedOrders[Part Name],$A507,T_PlannedOrders[WeekIndex],11)&amp;" ("&amp;TEXT(SUMPRODUCT(MAX((T_PlannedOrders[Part Name]=$A507)*(T_PlannedOrders[WeekIndex]=11)*(T_PlannedOrders[EffectiveQty]&gt;0)*T_PlannedOrders[Order_Month])),"m月")&amp;"発注)")</f>
        <v/>
      </c>
      <c r="O551">
        <f>IF(SUMIFS(T_PlannedOrders[EffectiveQty],T_PlannedOrders[Part Name],$A507,T_PlannedOrders[WeekIndex],12)=0,"",SUMIFS(T_PlannedOrders[EffectiveQty],T_PlannedOrders[Part Name],$A507,T_PlannedOrders[WeekIndex],12)&amp;" ("&amp;TEXT(SUMPRODUCT(MAX((T_PlannedOrders[Part Name]=$A507)*(T_PlannedOrders[WeekIndex]=12)*(T_PlannedOrders[EffectiveQty]&gt;0)*T_PlannedOrders[Order_Month])),"m月")&amp;"発注)")</f>
        <v/>
      </c>
      <c r="P551">
        <f>IF(SUMIFS(T_PlannedOrders[EffectiveQty],T_PlannedOrders[Part Name],$A507,T_PlannedOrders[WeekIndex],13)=0,"",SUMIFS(T_PlannedOrders[EffectiveQty],T_PlannedOrders[Part Name],$A507,T_PlannedOrders[WeekIndex],13)&amp;" ("&amp;TEXT(SUMPRODUCT(MAX((T_PlannedOrders[Part Name]=$A507)*(T_PlannedOrders[WeekIndex]=13)*(T_PlannedOrders[EffectiveQty]&gt;0)*T_PlannedOrders[Order_Month])),"m月")&amp;"発注)")</f>
        <v/>
      </c>
      <c r="Q551">
        <f>IF(SUMIFS(T_PlannedOrders[EffectiveQty],T_PlannedOrders[Part Name],$A507,T_PlannedOrders[WeekIndex],14)=0,"",SUMIFS(T_PlannedOrders[EffectiveQty],T_PlannedOrders[Part Name],$A507,T_PlannedOrders[WeekIndex],14)&amp;" ("&amp;TEXT(SUMPRODUCT(MAX((T_PlannedOrders[Part Name]=$A507)*(T_PlannedOrders[WeekIndex]=14)*(T_PlannedOrders[EffectiveQty]&gt;0)*T_PlannedOrders[Order_Month])),"m月")&amp;"発注)")</f>
        <v/>
      </c>
      <c r="R551">
        <f>IF(SUMIFS(T_PlannedOrders[EffectiveQty],T_PlannedOrders[Part Name],$A507,T_PlannedOrders[WeekIndex],15)=0,"",SUMIFS(T_PlannedOrders[EffectiveQty],T_PlannedOrders[Part Name],$A507,T_PlannedOrders[WeekIndex],15)&amp;" ("&amp;TEXT(SUMPRODUCT(MAX((T_PlannedOrders[Part Name]=$A507)*(T_PlannedOrders[WeekIndex]=15)*(T_PlannedOrders[EffectiveQty]&gt;0)*T_PlannedOrders[Order_Month])),"m月")&amp;"発注)")</f>
        <v/>
      </c>
      <c r="S551">
        <f>IF(SUMIFS(T_PlannedOrders[EffectiveQty],T_PlannedOrders[Part Name],$A507,T_PlannedOrders[WeekIndex],16)=0,"",SUMIFS(T_PlannedOrders[EffectiveQty],T_PlannedOrders[Part Name],$A507,T_PlannedOrders[WeekIndex],16)&amp;" ("&amp;TEXT(SUMPRODUCT(MAX((T_PlannedOrders[Part Name]=$A507)*(T_PlannedOrders[WeekIndex]=16)*(T_PlannedOrders[EffectiveQty]&gt;0)*T_PlannedOrders[Order_Month])),"m月")&amp;"発注)")</f>
        <v/>
      </c>
      <c r="T551">
        <f>IF(SUMIFS(T_PlannedOrders[EffectiveQty],T_PlannedOrders[Part Name],$A507,T_PlannedOrders[WeekIndex],17)=0,"",SUMIFS(T_PlannedOrders[EffectiveQty],T_PlannedOrders[Part Name],$A507,T_PlannedOrders[WeekIndex],17)&amp;" ("&amp;TEXT(SUMPRODUCT(MAX((T_PlannedOrders[Part Name]=$A507)*(T_PlannedOrders[WeekIndex]=17)*(T_PlannedOrders[EffectiveQty]&gt;0)*T_PlannedOrders[Order_Month])),"m月")&amp;"発注)")</f>
        <v/>
      </c>
      <c r="U551">
        <f>IF(SUMIFS(T_PlannedOrders[EffectiveQty],T_PlannedOrders[Part Name],$A507,T_PlannedOrders[WeekIndex],18)=0,"",SUMIFS(T_PlannedOrders[EffectiveQty],T_PlannedOrders[Part Name],$A507,T_PlannedOrders[WeekIndex],18)&amp;" ("&amp;TEXT(SUMPRODUCT(MAX((T_PlannedOrders[Part Name]=$A507)*(T_PlannedOrders[WeekIndex]=18)*(T_PlannedOrders[EffectiveQty]&gt;0)*T_PlannedOrders[Order_Month])),"m月")&amp;"発注)")</f>
        <v/>
      </c>
      <c r="V551">
        <f>IF(SUMIFS(T_PlannedOrders[EffectiveQty],T_PlannedOrders[Part Name],$A507,T_PlannedOrders[WeekIndex],19)=0,"",SUMIFS(T_PlannedOrders[EffectiveQty],T_PlannedOrders[Part Name],$A507,T_PlannedOrders[WeekIndex],19)&amp;" ("&amp;TEXT(SUMPRODUCT(MAX((T_PlannedOrders[Part Name]=$A507)*(T_PlannedOrders[WeekIndex]=19)*(T_PlannedOrders[EffectiveQty]&gt;0)*T_PlannedOrders[Order_Month])),"m月")&amp;"発注)")</f>
        <v/>
      </c>
      <c r="W551">
        <f>IF(SUMIFS(T_PlannedOrders[EffectiveQty],T_PlannedOrders[Part Name],$A507,T_PlannedOrders[WeekIndex],20)=0,"",SUMIFS(T_PlannedOrders[EffectiveQty],T_PlannedOrders[Part Name],$A507,T_PlannedOrders[WeekIndex],20)&amp;" ("&amp;TEXT(SUMPRODUCT(MAX((T_PlannedOrders[Part Name]=$A507)*(T_PlannedOrders[WeekIndex]=20)*(T_PlannedOrders[EffectiveQty]&gt;0)*T_PlannedOrders[Order_Month])),"m月")&amp;"発注)")</f>
        <v/>
      </c>
      <c r="X551">
        <f>IF(SUMIFS(T_PlannedOrders[EffectiveQty],T_PlannedOrders[Part Name],$A507,T_PlannedOrders[WeekIndex],21)=0,"",SUMIFS(T_PlannedOrders[EffectiveQty],T_PlannedOrders[Part Name],$A507,T_PlannedOrders[WeekIndex],21)&amp;" ("&amp;TEXT(SUMPRODUCT(MAX((T_PlannedOrders[Part Name]=$A507)*(T_PlannedOrders[WeekIndex]=21)*(T_PlannedOrders[EffectiveQty]&gt;0)*T_PlannedOrders[Order_Month])),"m月")&amp;"発注)")</f>
        <v/>
      </c>
      <c r="Y551">
        <f>IF(SUMIFS(T_PlannedOrders[EffectiveQty],T_PlannedOrders[Part Name],$A507,T_PlannedOrders[WeekIndex],22)=0,"",SUMIFS(T_PlannedOrders[EffectiveQty],T_PlannedOrders[Part Name],$A507,T_PlannedOrders[WeekIndex],22)&amp;" ("&amp;TEXT(SUMPRODUCT(MAX((T_PlannedOrders[Part Name]=$A507)*(T_PlannedOrders[WeekIndex]=22)*(T_PlannedOrders[EffectiveQty]&gt;0)*T_PlannedOrders[Order_Month])),"m月")&amp;"発注)")</f>
        <v/>
      </c>
      <c r="Z551">
        <f>IF(SUMIFS(T_PlannedOrders[EffectiveQty],T_PlannedOrders[Part Name],$A507,T_PlannedOrders[WeekIndex],23)=0,"",SUMIFS(T_PlannedOrders[EffectiveQty],T_PlannedOrders[Part Name],$A507,T_PlannedOrders[WeekIndex],23)&amp;" ("&amp;TEXT(SUMPRODUCT(MAX((T_PlannedOrders[Part Name]=$A507)*(T_PlannedOrders[WeekIndex]=23)*(T_PlannedOrders[EffectiveQty]&gt;0)*T_PlannedOrders[Order_Month])),"m月")&amp;"発注)")</f>
        <v/>
      </c>
      <c r="AA551">
        <f>IF(SUMIFS(T_PlannedOrders[EffectiveQty],T_PlannedOrders[Part Name],$A507,T_PlannedOrders[WeekIndex],24)=0,"",SUMIFS(T_PlannedOrders[EffectiveQty],T_PlannedOrders[Part Name],$A507,T_PlannedOrders[WeekIndex],24)&amp;" ("&amp;TEXT(SUMPRODUCT(MAX((T_PlannedOrders[Part Name]=$A507)*(T_PlannedOrders[WeekIndex]=24)*(T_PlannedOrders[EffectiveQty]&gt;0)*T_PlannedOrders[Order_Month])),"m月")&amp;"発注)")</f>
        <v/>
      </c>
      <c r="AB551">
        <f>IF(SUMIFS(T_PlannedOrders[EffectiveQty],T_PlannedOrders[Part Name],$A507,T_PlannedOrders[WeekIndex],25)=0,"",SUMIFS(T_PlannedOrders[EffectiveQty],T_PlannedOrders[Part Name],$A507,T_PlannedOrders[WeekIndex],25)&amp;" ("&amp;TEXT(SUMPRODUCT(MAX((T_PlannedOrders[Part Name]=$A507)*(T_PlannedOrders[WeekIndex]=25)*(T_PlannedOrders[EffectiveQty]&gt;0)*T_PlannedOrders[Order_Month])),"m月")&amp;"発注)")</f>
        <v/>
      </c>
      <c r="AC551">
        <f>IF(SUMIFS(T_PlannedOrders[EffectiveQty],T_PlannedOrders[Part Name],$A507,T_PlannedOrders[WeekIndex],26)=0,"",SUMIFS(T_PlannedOrders[EffectiveQty],T_PlannedOrders[Part Name],$A507,T_PlannedOrders[WeekIndex],26)&amp;" ("&amp;TEXT(SUMPRODUCT(MAX((T_PlannedOrders[Part Name]=$A507)*(T_PlannedOrders[WeekIndex]=26)*(T_PlannedOrders[EffectiveQty]&gt;0)*T_PlannedOrders[Order_Month])),"m月")&amp;"発注)")</f>
        <v/>
      </c>
      <c r="AD551">
        <f>IF(SUMIFS(T_PlannedOrders[EffectiveQty],T_PlannedOrders[Part Name],$A507,T_PlannedOrders[WeekIndex],27)=0,"",SUMIFS(T_PlannedOrders[EffectiveQty],T_PlannedOrders[Part Name],$A507,T_PlannedOrders[WeekIndex],27)&amp;" ("&amp;TEXT(SUMPRODUCT(MAX((T_PlannedOrders[Part Name]=$A507)*(T_PlannedOrders[WeekIndex]=27)*(T_PlannedOrders[EffectiveQty]&gt;0)*T_PlannedOrders[Order_Month])),"m月")&amp;"発注)")</f>
        <v/>
      </c>
      <c r="AE551">
        <f>IF(SUMIFS(T_PlannedOrders[EffectiveQty],T_PlannedOrders[Part Name],$A507,T_PlannedOrders[WeekIndex],28)=0,"",SUMIFS(T_PlannedOrders[EffectiveQty],T_PlannedOrders[Part Name],$A507,T_PlannedOrders[WeekIndex],28)&amp;" ("&amp;TEXT(SUMPRODUCT(MAX((T_PlannedOrders[Part Name]=$A507)*(T_PlannedOrders[WeekIndex]=28)*(T_PlannedOrders[EffectiveQty]&gt;0)*T_PlannedOrders[Order_Month])),"m月")&amp;"発注)")</f>
        <v/>
      </c>
      <c r="AF551">
        <f>IF(SUMIFS(T_PlannedOrders[EffectiveQty],T_PlannedOrders[Part Name],$A507,T_PlannedOrders[WeekIndex],29)=0,"",SUMIFS(T_PlannedOrders[EffectiveQty],T_PlannedOrders[Part Name],$A507,T_PlannedOrders[WeekIndex],29)&amp;" ("&amp;TEXT(SUMPRODUCT(MAX((T_PlannedOrders[Part Name]=$A507)*(T_PlannedOrders[WeekIndex]=29)*(T_PlannedOrders[EffectiveQty]&gt;0)*T_PlannedOrders[Order_Month])),"m月")&amp;"発注)")</f>
        <v/>
      </c>
      <c r="AG551">
        <f>IF(SUMIFS(T_PlannedOrders[EffectiveQty],T_PlannedOrders[Part Name],$A507,T_PlannedOrders[WeekIndex],30)=0,"",SUMIFS(T_PlannedOrders[EffectiveQty],T_PlannedOrders[Part Name],$A507,T_PlannedOrders[WeekIndex],30)&amp;" ("&amp;TEXT(SUMPRODUCT(MAX((T_PlannedOrders[Part Name]=$A507)*(T_PlannedOrders[WeekIndex]=30)*(T_PlannedOrders[EffectiveQty]&gt;0)*T_PlannedOrders[Order_Month])),"m月")&amp;"発注)")</f>
        <v/>
      </c>
      <c r="AH551">
        <f>IF(SUMIFS(T_PlannedOrders[EffectiveQty],T_PlannedOrders[Part Name],$A507,T_PlannedOrders[WeekIndex],31)=0,"",SUMIFS(T_PlannedOrders[EffectiveQty],T_PlannedOrders[Part Name],$A507,T_PlannedOrders[WeekIndex],31)&amp;" ("&amp;TEXT(SUMPRODUCT(MAX((T_PlannedOrders[Part Name]=$A507)*(T_PlannedOrders[WeekIndex]=31)*(T_PlannedOrders[EffectiveQty]&gt;0)*T_PlannedOrders[Order_Month])),"m月")&amp;"発注)")</f>
        <v/>
      </c>
      <c r="AI551">
        <f>IF(SUMIFS(T_PlannedOrders[EffectiveQty],T_PlannedOrders[Part Name],$A507,T_PlannedOrders[WeekIndex],32)=0,"",SUMIFS(T_PlannedOrders[EffectiveQty],T_PlannedOrders[Part Name],$A507,T_PlannedOrders[WeekIndex],32)&amp;" ("&amp;TEXT(SUMPRODUCT(MAX((T_PlannedOrders[Part Name]=$A507)*(T_PlannedOrders[WeekIndex]=32)*(T_PlannedOrders[EffectiveQty]&gt;0)*T_PlannedOrders[Order_Month])),"m月")&amp;"発注)")</f>
        <v/>
      </c>
      <c r="AJ551">
        <f>IF(SUMIFS(T_PlannedOrders[EffectiveQty],T_PlannedOrders[Part Name],$A507,T_PlannedOrders[WeekIndex],33)=0,"",SUMIFS(T_PlannedOrders[EffectiveQty],T_PlannedOrders[Part Name],$A507,T_PlannedOrders[WeekIndex],33)&amp;" ("&amp;TEXT(SUMPRODUCT(MAX((T_PlannedOrders[Part Name]=$A507)*(T_PlannedOrders[WeekIndex]=33)*(T_PlannedOrders[EffectiveQty]&gt;0)*T_PlannedOrders[Order_Month])),"m月")&amp;"発注)")</f>
        <v/>
      </c>
      <c r="AK551">
        <f>IF(SUMIFS(T_PlannedOrders[EffectiveQty],T_PlannedOrders[Part Name],$A507,T_PlannedOrders[WeekIndex],34)=0,"",SUMIFS(T_PlannedOrders[EffectiveQty],T_PlannedOrders[Part Name],$A507,T_PlannedOrders[WeekIndex],34)&amp;" ("&amp;TEXT(SUMPRODUCT(MAX((T_PlannedOrders[Part Name]=$A507)*(T_PlannedOrders[WeekIndex]=34)*(T_PlannedOrders[EffectiveQty]&gt;0)*T_PlannedOrders[Order_Month])),"m月")&amp;"発注)")</f>
        <v/>
      </c>
      <c r="AL551">
        <f>IF(SUMIFS(T_PlannedOrders[EffectiveQty],T_PlannedOrders[Part Name],$A507,T_PlannedOrders[WeekIndex],35)=0,"",SUMIFS(T_PlannedOrders[EffectiveQty],T_PlannedOrders[Part Name],$A507,T_PlannedOrders[WeekIndex],35)&amp;" ("&amp;TEXT(SUMPRODUCT(MAX((T_PlannedOrders[Part Name]=$A507)*(T_PlannedOrders[WeekIndex]=35)*(T_PlannedOrders[EffectiveQty]&gt;0)*T_PlannedOrders[Order_Month])),"m月")&amp;"発注)")</f>
        <v/>
      </c>
      <c r="AM551">
        <f>IF(SUMIFS(T_PlannedOrders[EffectiveQty],T_PlannedOrders[Part Name],$A507,T_PlannedOrders[WeekIndex],36)=0,"",SUMIFS(T_PlannedOrders[EffectiveQty],T_PlannedOrders[Part Name],$A507,T_PlannedOrders[WeekIndex],36)&amp;" ("&amp;TEXT(SUMPRODUCT(MAX((T_PlannedOrders[Part Name]=$A507)*(T_PlannedOrders[WeekIndex]=36)*(T_PlannedOrders[EffectiveQty]&gt;0)*T_PlannedOrders[Order_Month])),"m月")&amp;"発注)")</f>
        <v/>
      </c>
      <c r="AN551">
        <f>IF(SUMIFS(T_PlannedOrders[EffectiveQty],T_PlannedOrders[Part Name],$A507,T_PlannedOrders[WeekIndex],37)=0,"",SUMIFS(T_PlannedOrders[EffectiveQty],T_PlannedOrders[Part Name],$A507,T_PlannedOrders[WeekIndex],37)&amp;" ("&amp;TEXT(SUMPRODUCT(MAX((T_PlannedOrders[Part Name]=$A507)*(T_PlannedOrders[WeekIndex]=37)*(T_PlannedOrders[EffectiveQty]&gt;0)*T_PlannedOrders[Order_Month])),"m月")&amp;"発注)")</f>
        <v/>
      </c>
      <c r="AO551">
        <f>IF(SUMIFS(T_PlannedOrders[EffectiveQty],T_PlannedOrders[Part Name],$A507,T_PlannedOrders[WeekIndex],38)=0,"",SUMIFS(T_PlannedOrders[EffectiveQty],T_PlannedOrders[Part Name],$A507,T_PlannedOrders[WeekIndex],38)&amp;" ("&amp;TEXT(SUMPRODUCT(MAX((T_PlannedOrders[Part Name]=$A507)*(T_PlannedOrders[WeekIndex]=38)*(T_PlannedOrders[EffectiveQty]&gt;0)*T_PlannedOrders[Order_Month])),"m月")&amp;"発注)")</f>
        <v/>
      </c>
      <c r="AP551">
        <f>IF(SUMIFS(T_PlannedOrders[EffectiveQty],T_PlannedOrders[Part Name],$A507,T_PlannedOrders[WeekIndex],39)=0,"",SUMIFS(T_PlannedOrders[EffectiveQty],T_PlannedOrders[Part Name],$A507,T_PlannedOrders[WeekIndex],39)&amp;" ("&amp;TEXT(SUMPRODUCT(MAX((T_PlannedOrders[Part Name]=$A507)*(T_PlannedOrders[WeekIndex]=39)*(T_PlannedOrders[EffectiveQty]&gt;0)*T_PlannedOrders[Order_Month])),"m月")&amp;"発注)")</f>
        <v/>
      </c>
      <c r="AQ551">
        <f>IF(SUMIFS(T_PlannedOrders[EffectiveQty],T_PlannedOrders[Part Name],$A507,T_PlannedOrders[WeekIndex],40)=0,"",SUMIFS(T_PlannedOrders[EffectiveQty],T_PlannedOrders[Part Name],$A507,T_PlannedOrders[WeekIndex],40)&amp;" ("&amp;TEXT(SUMPRODUCT(MAX((T_PlannedOrders[Part Name]=$A507)*(T_PlannedOrders[WeekIndex]=40)*(T_PlannedOrders[EffectiveQty]&gt;0)*T_PlannedOrders[Order_Month])),"m月")&amp;"発注)")</f>
        <v/>
      </c>
      <c r="AR551">
        <f>IF(SUMIFS(T_PlannedOrders[EffectiveQty],T_PlannedOrders[Part Name],$A507,T_PlannedOrders[WeekIndex],41)=0,"",SUMIFS(T_PlannedOrders[EffectiveQty],T_PlannedOrders[Part Name],$A507,T_PlannedOrders[WeekIndex],41)&amp;" ("&amp;TEXT(SUMPRODUCT(MAX((T_PlannedOrders[Part Name]=$A507)*(T_PlannedOrders[WeekIndex]=41)*(T_PlannedOrders[EffectiveQty]&gt;0)*T_PlannedOrders[Order_Month])),"m月")&amp;"発注)")</f>
        <v/>
      </c>
      <c r="AS551">
        <f>IF(SUMIFS(T_PlannedOrders[EffectiveQty],T_PlannedOrders[Part Name],$A507,T_PlannedOrders[WeekIndex],42)=0,"",SUMIFS(T_PlannedOrders[EffectiveQty],T_PlannedOrders[Part Name],$A507,T_PlannedOrders[WeekIndex],42)&amp;" ("&amp;TEXT(SUMPRODUCT(MAX((T_PlannedOrders[Part Name]=$A507)*(T_PlannedOrders[WeekIndex]=42)*(T_PlannedOrders[EffectiveQty]&gt;0)*T_PlannedOrders[Order_Month])),"m月")&amp;"発注)")</f>
        <v/>
      </c>
      <c r="AT551">
        <f>IF(SUMIFS(T_PlannedOrders[EffectiveQty],T_PlannedOrders[Part Name],$A507,T_PlannedOrders[WeekIndex],43)=0,"",SUMIFS(T_PlannedOrders[EffectiveQty],T_PlannedOrders[Part Name],$A507,T_PlannedOrders[WeekIndex],43)&amp;" ("&amp;TEXT(SUMPRODUCT(MAX((T_PlannedOrders[Part Name]=$A507)*(T_PlannedOrders[WeekIndex]=43)*(T_PlannedOrders[EffectiveQty]&gt;0)*T_PlannedOrders[Order_Month])),"m月")&amp;"発注)")</f>
        <v/>
      </c>
      <c r="AU551">
        <f>IF(SUMIFS(T_PlannedOrders[EffectiveQty],T_PlannedOrders[Part Name],$A507,T_PlannedOrders[WeekIndex],44)=0,"",SUMIFS(T_PlannedOrders[EffectiveQty],T_PlannedOrders[Part Name],$A507,T_PlannedOrders[WeekIndex],44)&amp;" ("&amp;TEXT(SUMPRODUCT(MAX((T_PlannedOrders[Part Name]=$A507)*(T_PlannedOrders[WeekIndex]=44)*(T_PlannedOrders[EffectiveQty]&gt;0)*T_PlannedOrders[Order_Month])),"m月")&amp;"発注)")</f>
        <v/>
      </c>
      <c r="AV551">
        <f>IF(SUMIFS(T_PlannedOrders[EffectiveQty],T_PlannedOrders[Part Name],$A507,T_PlannedOrders[WeekIndex],45)=0,"",SUMIFS(T_PlannedOrders[EffectiveQty],T_PlannedOrders[Part Name],$A507,T_PlannedOrders[WeekIndex],45)&amp;" ("&amp;TEXT(SUMPRODUCT(MAX((T_PlannedOrders[Part Name]=$A507)*(T_PlannedOrders[WeekIndex]=45)*(T_PlannedOrders[EffectiveQty]&gt;0)*T_PlannedOrders[Order_Month])),"m月")&amp;"発注)")</f>
        <v/>
      </c>
      <c r="AW551">
        <f>IF(SUMIFS(T_PlannedOrders[EffectiveQty],T_PlannedOrders[Part Name],$A507,T_PlannedOrders[WeekIndex],46)=0,"",SUMIFS(T_PlannedOrders[EffectiveQty],T_PlannedOrders[Part Name],$A507,T_PlannedOrders[WeekIndex],46)&amp;" ("&amp;TEXT(SUMPRODUCT(MAX((T_PlannedOrders[Part Name]=$A507)*(T_PlannedOrders[WeekIndex]=46)*(T_PlannedOrders[EffectiveQty]&gt;0)*T_PlannedOrders[Order_Month])),"m月")&amp;"発注)")</f>
        <v/>
      </c>
      <c r="AX551">
        <f>IF(SUMIFS(T_PlannedOrders[EffectiveQty],T_PlannedOrders[Part Name],$A507,T_PlannedOrders[WeekIndex],47)=0,"",SUMIFS(T_PlannedOrders[EffectiveQty],T_PlannedOrders[Part Name],$A507,T_PlannedOrders[WeekIndex],47)&amp;" ("&amp;TEXT(SUMPRODUCT(MAX((T_PlannedOrders[Part Name]=$A507)*(T_PlannedOrders[WeekIndex]=47)*(T_PlannedOrders[EffectiveQty]&gt;0)*T_PlannedOrders[Order_Month])),"m月")&amp;"発注)")</f>
        <v/>
      </c>
      <c r="AY551">
        <f>IF(SUMIFS(T_PlannedOrders[EffectiveQty],T_PlannedOrders[Part Name],$A507,T_PlannedOrders[WeekIndex],48)=0,"",SUMIFS(T_PlannedOrders[EffectiveQty],T_PlannedOrders[Part Name],$A507,T_PlannedOrders[WeekIndex],48)&amp;" ("&amp;TEXT(SUMPRODUCT(MAX((T_PlannedOrders[Part Name]=$A507)*(T_PlannedOrders[WeekIndex]=48)*(T_PlannedOrders[EffectiveQty]&gt;0)*T_PlannedOrders[Order_Month])),"m月")&amp;"発注)")</f>
        <v/>
      </c>
      <c r="AZ551">
        <f>IF(SUMIFS(T_PlannedOrders[EffectiveQty],T_PlannedOrders[Part Name],$A507,T_PlannedOrders[WeekIndex],49)=0,"",SUMIFS(T_PlannedOrders[EffectiveQty],T_PlannedOrders[Part Name],$A507,T_PlannedOrders[WeekIndex],49)&amp;" ("&amp;TEXT(SUMPRODUCT(MAX((T_PlannedOrders[Part Name]=$A507)*(T_PlannedOrders[WeekIndex]=49)*(T_PlannedOrders[EffectiveQty]&gt;0)*T_PlannedOrders[Order_Month])),"m月")&amp;"発注)")</f>
        <v/>
      </c>
      <c r="BA551">
        <f>IF(SUMIFS(T_PlannedOrders[EffectiveQty],T_PlannedOrders[Part Name],$A507,T_PlannedOrders[WeekIndex],50)=0,"",SUMIFS(T_PlannedOrders[EffectiveQty],T_PlannedOrders[Part Name],$A507,T_PlannedOrders[WeekIndex],50)&amp;" ("&amp;TEXT(SUMPRODUCT(MAX((T_PlannedOrders[Part Name]=$A507)*(T_PlannedOrders[WeekIndex]=50)*(T_PlannedOrders[EffectiveQty]&gt;0)*T_PlannedOrders[Order_Month])),"m月")&amp;"発注)")</f>
        <v/>
      </c>
      <c r="BB551">
        <f>IF(SUMIFS(T_PlannedOrders[EffectiveQty],T_PlannedOrders[Part Name],$A507,T_PlannedOrders[WeekIndex],51)=0,"",SUMIFS(T_PlannedOrders[EffectiveQty],T_PlannedOrders[Part Name],$A507,T_PlannedOrders[WeekIndex],51)&amp;" ("&amp;TEXT(SUMPRODUCT(MAX((T_PlannedOrders[Part Name]=$A507)*(T_PlannedOrders[WeekIndex]=51)*(T_PlannedOrders[EffectiveQty]&gt;0)*T_PlannedOrders[Order_Month])),"m月")&amp;"発注)")</f>
        <v/>
      </c>
      <c r="BC551">
        <f>IF(SUMIFS(T_PlannedOrders[EffectiveQty],T_PlannedOrders[Part Name],$A507,T_PlannedOrders[WeekIndex],52)=0,"",SUMIFS(T_PlannedOrders[EffectiveQty],T_PlannedOrders[Part Name],$A507,T_PlannedOrders[WeekIndex],52)&amp;" ("&amp;TEXT(SUMPRODUCT(MAX((T_PlannedOrders[Part Name]=$A507)*(T_PlannedOrders[WeekIndex]=52)*(T_PlannedOrders[EffectiveQty]&gt;0)*T_PlannedOrders[Order_Month])),"m月")&amp;"発注)")</f>
        <v/>
      </c>
      <c r="BD551">
        <f>IF(SUMIFS(T_PlannedOrders[EffectiveQty],T_PlannedOrders[Part Name],$A507,T_PlannedOrders[WeekIndex],53)=0,"",SUMIFS(T_PlannedOrders[EffectiveQty],T_PlannedOrders[Part Name],$A507,T_PlannedOrders[WeekIndex],53)&amp;" ("&amp;TEXT(SUMPRODUCT(MAX((T_PlannedOrders[Part Name]=$A507)*(T_PlannedOrders[WeekIndex]=53)*(T_PlannedOrders[EffectiveQty]&gt;0)*T_PlannedOrders[Order_Month])),"m月")&amp;"発注)")</f>
        <v/>
      </c>
      <c r="BE551">
        <f>IF(SUMIFS(T_PlannedOrders[EffectiveQty],T_PlannedOrders[Part Name],$A507,T_PlannedOrders[WeekIndex],54)=0,"",SUMIFS(T_PlannedOrders[EffectiveQty],T_PlannedOrders[Part Name],$A507,T_PlannedOrders[WeekIndex],54)&amp;" ("&amp;TEXT(SUMPRODUCT(MAX((T_PlannedOrders[Part Name]=$A507)*(T_PlannedOrders[WeekIndex]=54)*(T_PlannedOrders[EffectiveQty]&gt;0)*T_PlannedOrders[Order_Month])),"m月")&amp;"発注)")</f>
        <v/>
      </c>
      <c r="BF551">
        <f>IF(SUMIFS(T_PlannedOrders[EffectiveQty],T_PlannedOrders[Part Name],$A507,T_PlannedOrders[WeekIndex],55)=0,"",SUMIFS(T_PlannedOrders[EffectiveQty],T_PlannedOrders[Part Name],$A507,T_PlannedOrders[WeekIndex],55)&amp;" ("&amp;TEXT(SUMPRODUCT(MAX((T_PlannedOrders[Part Name]=$A507)*(T_PlannedOrders[WeekIndex]=55)*(T_PlannedOrders[EffectiveQty]&gt;0)*T_PlannedOrders[Order_Month])),"m月")&amp;"発注)")</f>
        <v/>
      </c>
      <c r="BG551">
        <f>IF(SUMIFS(T_PlannedOrders[EffectiveQty],T_PlannedOrders[Part Name],$A507,T_PlannedOrders[WeekIndex],56)=0,"",SUMIFS(T_PlannedOrders[EffectiveQty],T_PlannedOrders[Part Name],$A507,T_PlannedOrders[WeekIndex],56)&amp;" ("&amp;TEXT(SUMPRODUCT(MAX((T_PlannedOrders[Part Name]=$A507)*(T_PlannedOrders[WeekIndex]=56)*(T_PlannedOrders[EffectiveQty]&gt;0)*T_PlannedOrders[Order_Month])),"m月")&amp;"発注)")</f>
        <v/>
      </c>
      <c r="BH551">
        <f>IF(SUMIFS(T_PlannedOrders[EffectiveQty],T_PlannedOrders[Part Name],$A507,T_PlannedOrders[WeekIndex],57)=0,"",SUMIFS(T_PlannedOrders[EffectiveQty],T_PlannedOrders[Part Name],$A507,T_PlannedOrders[WeekIndex],57)&amp;" ("&amp;TEXT(SUMPRODUCT(MAX((T_PlannedOrders[Part Name]=$A507)*(T_PlannedOrders[WeekIndex]=57)*(T_PlannedOrders[EffectiveQty]&gt;0)*T_PlannedOrders[Order_Month])),"m月")&amp;"発注)")</f>
        <v/>
      </c>
      <c r="BI551">
        <f>IF(SUMIFS(T_PlannedOrders[EffectiveQty],T_PlannedOrders[Part Name],$A507,T_PlannedOrders[WeekIndex],58)=0,"",SUMIFS(T_PlannedOrders[EffectiveQty],T_PlannedOrders[Part Name],$A507,T_PlannedOrders[WeekIndex],58)&amp;" ("&amp;TEXT(SUMPRODUCT(MAX((T_PlannedOrders[Part Name]=$A507)*(T_PlannedOrders[WeekIndex]=58)*(T_PlannedOrders[EffectiveQty]&gt;0)*T_PlannedOrders[Order_Month])),"m月")&amp;"発注)")</f>
        <v/>
      </c>
      <c r="BJ551">
        <f>IF(SUMIFS(T_PlannedOrders[EffectiveQty],T_PlannedOrders[Part Name],$A507,T_PlannedOrders[WeekIndex],59)=0,"",SUMIFS(T_PlannedOrders[EffectiveQty],T_PlannedOrders[Part Name],$A507,T_PlannedOrders[WeekIndex],59)&amp;" ("&amp;TEXT(SUMPRODUCT(MAX((T_PlannedOrders[Part Name]=$A507)*(T_PlannedOrders[WeekIndex]=59)*(T_PlannedOrders[EffectiveQty]&gt;0)*T_PlannedOrders[Order_Month])),"m月")&amp;"発注)")</f>
        <v/>
      </c>
      <c r="BK551">
        <f>IF(SUMIFS(T_PlannedOrders[EffectiveQty],T_PlannedOrders[Part Name],$A507,T_PlannedOrders[WeekIndex],60)=0,"",SUMIFS(T_PlannedOrders[EffectiveQty],T_PlannedOrders[Part Name],$A507,T_PlannedOrders[WeekIndex],60)&amp;" ("&amp;TEXT(SUMPRODUCT(MAX((T_PlannedOrders[Part Name]=$A507)*(T_PlannedOrders[WeekIndex]=60)*(T_PlannedOrders[EffectiveQty]&gt;0)*T_PlannedOrders[Order_Month])),"m月")&amp;"発注)")</f>
        <v/>
      </c>
      <c r="BL551">
        <f>IF(SUMIFS(T_PlannedOrders[EffectiveQty],T_PlannedOrders[Part Name],$A507,T_PlannedOrders[WeekIndex],61)=0,"",SUMIFS(T_PlannedOrders[EffectiveQty],T_PlannedOrders[Part Name],$A507,T_PlannedOrders[WeekIndex],61)&amp;" ("&amp;TEXT(SUMPRODUCT(MAX((T_PlannedOrders[Part Name]=$A507)*(T_PlannedOrders[WeekIndex]=61)*(T_PlannedOrders[EffectiveQty]&gt;0)*T_PlannedOrders[Order_Month])),"m月")&amp;"発注)")</f>
        <v/>
      </c>
      <c r="BM551">
        <f>IF(SUMIFS(T_PlannedOrders[EffectiveQty],T_PlannedOrders[Part Name],$A507,T_PlannedOrders[WeekIndex],62)=0,"",SUMIFS(T_PlannedOrders[EffectiveQty],T_PlannedOrders[Part Name],$A507,T_PlannedOrders[WeekIndex],62)&amp;" ("&amp;TEXT(SUMPRODUCT(MAX((T_PlannedOrders[Part Name]=$A507)*(T_PlannedOrders[WeekIndex]=62)*(T_PlannedOrders[EffectiveQty]&gt;0)*T_PlannedOrders[Order_Month])),"m月")&amp;"発注)")</f>
        <v/>
      </c>
      <c r="BN551">
        <f>IF(SUMIFS(T_PlannedOrders[EffectiveQty],T_PlannedOrders[Part Name],$A507,T_PlannedOrders[WeekIndex],63)=0,"",SUMIFS(T_PlannedOrders[EffectiveQty],T_PlannedOrders[Part Name],$A507,T_PlannedOrders[WeekIndex],63)&amp;" ("&amp;TEXT(SUMPRODUCT(MAX((T_PlannedOrders[Part Name]=$A507)*(T_PlannedOrders[WeekIndex]=63)*(T_PlannedOrders[EffectiveQty]&gt;0)*T_PlannedOrders[Order_Month])),"m月")&amp;"発注)")</f>
        <v/>
      </c>
      <c r="BO551">
        <f>IF(SUMIFS(T_PlannedOrders[EffectiveQty],T_PlannedOrders[Part Name],$A507,T_PlannedOrders[WeekIndex],64)=0,"",SUMIFS(T_PlannedOrders[EffectiveQty],T_PlannedOrders[Part Name],$A507,T_PlannedOrders[WeekIndex],64)&amp;" ("&amp;TEXT(SUMPRODUCT(MAX((T_PlannedOrders[Part Name]=$A507)*(T_PlannedOrders[WeekIndex]=64)*(T_PlannedOrders[EffectiveQty]&gt;0)*T_PlannedOrders[Order_Month])),"m月")&amp;"発注)")</f>
        <v/>
      </c>
      <c r="BP551">
        <f>IF(SUMIFS(T_PlannedOrders[EffectiveQty],T_PlannedOrders[Part Name],$A507,T_PlannedOrders[WeekIndex],65)=0,"",SUMIFS(T_PlannedOrders[EffectiveQty],T_PlannedOrders[Part Name],$A507,T_PlannedOrders[WeekIndex],65)&amp;" ("&amp;TEXT(SUMPRODUCT(MAX((T_PlannedOrders[Part Name]=$A507)*(T_PlannedOrders[WeekIndex]=65)*(T_PlannedOrders[EffectiveQty]&gt;0)*T_PlannedOrders[Order_Month])),"m月")&amp;"発注)")</f>
        <v/>
      </c>
      <c r="BQ551">
        <f>IF(SUMIFS(T_PlannedOrders[EffectiveQty],T_PlannedOrders[Part Name],$A507,T_PlannedOrders[WeekIndex],66)=0,"",SUMIFS(T_PlannedOrders[EffectiveQty],T_PlannedOrders[Part Name],$A507,T_PlannedOrders[WeekIndex],66)&amp;" ("&amp;TEXT(SUMPRODUCT(MAX((T_PlannedOrders[Part Name]=$A507)*(T_PlannedOrders[WeekIndex]=66)*(T_PlannedOrders[EffectiveQty]&gt;0)*T_PlannedOrders[Order_Month])),"m月")&amp;"発注)")</f>
        <v/>
      </c>
      <c r="BR551">
        <f>IF(SUMIFS(T_PlannedOrders[EffectiveQty],T_PlannedOrders[Part Name],$A507,T_PlannedOrders[WeekIndex],67)=0,"",SUMIFS(T_PlannedOrders[EffectiveQty],T_PlannedOrders[Part Name],$A507,T_PlannedOrders[WeekIndex],67)&amp;" ("&amp;TEXT(SUMPRODUCT(MAX((T_PlannedOrders[Part Name]=$A507)*(T_PlannedOrders[WeekIndex]=67)*(T_PlannedOrders[EffectiveQty]&gt;0)*T_PlannedOrders[Order_Month])),"m月")&amp;"発注)")</f>
        <v/>
      </c>
      <c r="BS551">
        <f>IF(SUMIFS(T_PlannedOrders[EffectiveQty],T_PlannedOrders[Part Name],$A507,T_PlannedOrders[WeekIndex],68)=0,"",SUMIFS(T_PlannedOrders[EffectiveQty],T_PlannedOrders[Part Name],$A507,T_PlannedOrders[WeekIndex],68)&amp;" ("&amp;TEXT(SUMPRODUCT(MAX((T_PlannedOrders[Part Name]=$A507)*(T_PlannedOrders[WeekIndex]=68)*(T_PlannedOrders[EffectiveQty]&gt;0)*T_PlannedOrders[Order_Month])),"m月")&amp;"発注)")</f>
        <v/>
      </c>
      <c r="BT551">
        <f>IF(SUMIFS(T_PlannedOrders[EffectiveQty],T_PlannedOrders[Part Name],$A507,T_PlannedOrders[WeekIndex],69)=0,"",SUMIFS(T_PlannedOrders[EffectiveQty],T_PlannedOrders[Part Name],$A507,T_PlannedOrders[WeekIndex],69)&amp;" ("&amp;TEXT(SUMPRODUCT(MAX((T_PlannedOrders[Part Name]=$A507)*(T_PlannedOrders[WeekIndex]=69)*(T_PlannedOrders[EffectiveQty]&gt;0)*T_PlannedOrders[Order_Month])),"m月")&amp;"発注)")</f>
        <v/>
      </c>
      <c r="BU551">
        <f>IF(SUMIFS(T_PlannedOrders[EffectiveQty],T_PlannedOrders[Part Name],$A507,T_PlannedOrders[WeekIndex],70)=0,"",SUMIFS(T_PlannedOrders[EffectiveQty],T_PlannedOrders[Part Name],$A507,T_PlannedOrders[WeekIndex],70)&amp;" ("&amp;TEXT(SUMPRODUCT(MAX((T_PlannedOrders[Part Name]=$A507)*(T_PlannedOrders[WeekIndex]=70)*(T_PlannedOrders[EffectiveQty]&gt;0)*T_PlannedOrders[Order_Month])),"m月")&amp;"発注)")</f>
        <v/>
      </c>
      <c r="BV551">
        <f>IF(SUMIFS(T_PlannedOrders[EffectiveQty],T_PlannedOrders[Part Name],$A507,T_PlannedOrders[WeekIndex],71)=0,"",SUMIFS(T_PlannedOrders[EffectiveQty],T_PlannedOrders[Part Name],$A507,T_PlannedOrders[WeekIndex],71)&amp;" ("&amp;TEXT(SUMPRODUCT(MAX((T_PlannedOrders[Part Name]=$A507)*(T_PlannedOrders[WeekIndex]=71)*(T_PlannedOrders[EffectiveQty]&gt;0)*T_PlannedOrders[Order_Month])),"m月")&amp;"発注)")</f>
        <v/>
      </c>
      <c r="BW551">
        <f>IF(SUMIFS(T_PlannedOrders[EffectiveQty],T_PlannedOrders[Part Name],$A507,T_PlannedOrders[WeekIndex],72)=0,"",SUMIFS(T_PlannedOrders[EffectiveQty],T_PlannedOrders[Part Name],$A507,T_PlannedOrders[WeekIndex],72)&amp;" ("&amp;TEXT(SUMPRODUCT(MAX((T_PlannedOrders[Part Name]=$A507)*(T_PlannedOrders[WeekIndex]=72)*(T_PlannedOrders[EffectiveQty]&gt;0)*T_PlannedOrders[Order_Month])),"m月")&amp;"発注)")</f>
        <v/>
      </c>
      <c r="BX551">
        <f>IF(SUMIFS(T_PlannedOrders[EffectiveQty],T_PlannedOrders[Part Name],$A507,T_PlannedOrders[WeekIndex],73)=0,"",SUMIFS(T_PlannedOrders[EffectiveQty],T_PlannedOrders[Part Name],$A507,T_PlannedOrders[WeekIndex],73)&amp;" ("&amp;TEXT(SUMPRODUCT(MAX((T_PlannedOrders[Part Name]=$A507)*(T_PlannedOrders[WeekIndex]=73)*(T_PlannedOrders[EffectiveQty]&gt;0)*T_PlannedOrders[Order_Month])),"m月")&amp;"発注)")</f>
        <v/>
      </c>
      <c r="BY551">
        <f>IF(SUMIFS(T_PlannedOrders[EffectiveQty],T_PlannedOrders[Part Name],$A507,T_PlannedOrders[WeekIndex],74)=0,"",SUMIFS(T_PlannedOrders[EffectiveQty],T_PlannedOrders[Part Name],$A507,T_PlannedOrders[WeekIndex],74)&amp;" ("&amp;TEXT(SUMPRODUCT(MAX((T_PlannedOrders[Part Name]=$A507)*(T_PlannedOrders[WeekIndex]=74)*(T_PlannedOrders[EffectiveQty]&gt;0)*T_PlannedOrders[Order_Month])),"m月")&amp;"発注)")</f>
        <v/>
      </c>
      <c r="BZ551">
        <f>IF(SUMIFS(T_PlannedOrders[EffectiveQty],T_PlannedOrders[Part Name],$A507,T_PlannedOrders[WeekIndex],75)=0,"",SUMIFS(T_PlannedOrders[EffectiveQty],T_PlannedOrders[Part Name],$A507,T_PlannedOrders[WeekIndex],75)&amp;" ("&amp;TEXT(SUMPRODUCT(MAX((T_PlannedOrders[Part Name]=$A507)*(T_PlannedOrders[WeekIndex]=75)*(T_PlannedOrders[EffectiveQty]&gt;0)*T_PlannedOrders[Order_Month])),"m月")&amp;"発注)")</f>
        <v/>
      </c>
      <c r="CA551">
        <f>IF(SUMIFS(T_PlannedOrders[EffectiveQty],T_PlannedOrders[Part Name],$A507,T_PlannedOrders[WeekIndex],76)=0,"",SUMIFS(T_PlannedOrders[EffectiveQty],T_PlannedOrders[Part Name],$A507,T_PlannedOrders[WeekIndex],76)&amp;" ("&amp;TEXT(SUMPRODUCT(MAX((T_PlannedOrders[Part Name]=$A507)*(T_PlannedOrders[WeekIndex]=76)*(T_PlannedOrders[EffectiveQty]&gt;0)*T_PlannedOrders[Order_Month])),"m月")&amp;"発注)")</f>
        <v/>
      </c>
      <c r="CB551">
        <f>IF(SUMIFS(T_PlannedOrders[EffectiveQty],T_PlannedOrders[Part Name],$A507,T_PlannedOrders[WeekIndex],77)=0,"",SUMIFS(T_PlannedOrders[EffectiveQty],T_PlannedOrders[Part Name],$A507,T_PlannedOrders[WeekIndex],77)&amp;" ("&amp;TEXT(SUMPRODUCT(MAX((T_PlannedOrders[Part Name]=$A507)*(T_PlannedOrders[WeekIndex]=77)*(T_PlannedOrders[EffectiveQty]&gt;0)*T_PlannedOrders[Order_Month])),"m月")&amp;"発注)")</f>
        <v/>
      </c>
      <c r="CC551">
        <f>IF(SUMIFS(T_PlannedOrders[EffectiveQty],T_PlannedOrders[Part Name],$A507,T_PlannedOrders[WeekIndex],78)=0,"",SUMIFS(T_PlannedOrders[EffectiveQty],T_PlannedOrders[Part Name],$A507,T_PlannedOrders[WeekIndex],78)&amp;" ("&amp;TEXT(SUMPRODUCT(MAX((T_PlannedOrders[Part Name]=$A507)*(T_PlannedOrders[WeekIndex]=78)*(T_PlannedOrders[EffectiveQty]&gt;0)*T_PlannedOrders[Order_Month])),"m月")&amp;"発注)")</f>
        <v/>
      </c>
      <c r="CD551">
        <f>IF(SUMIFS(T_PlannedOrders[EffectiveQty],T_PlannedOrders[Part Name],$A507,T_PlannedOrders[WeekIndex],79)=0,"",SUMIFS(T_PlannedOrders[EffectiveQty],T_PlannedOrders[Part Name],$A507,T_PlannedOrders[WeekIndex],79)&amp;" ("&amp;TEXT(SUMPRODUCT(MAX((T_PlannedOrders[Part Name]=$A507)*(T_PlannedOrders[WeekIndex]=79)*(T_PlannedOrders[EffectiveQty]&gt;0)*T_PlannedOrders[Order_Month])),"m月")&amp;"発注)")</f>
        <v/>
      </c>
      <c r="CE551">
        <f>IF(SUMIFS(T_PlannedOrders[EffectiveQty],T_PlannedOrders[Part Name],$A507,T_PlannedOrders[WeekIndex],80)=0,"",SUMIFS(T_PlannedOrders[EffectiveQty],T_PlannedOrders[Part Name],$A507,T_PlannedOrders[WeekIndex],80)&amp;" ("&amp;TEXT(SUMPRODUCT(MAX((T_PlannedOrders[Part Name]=$A507)*(T_PlannedOrders[WeekIndex]=80)*(T_PlannedOrders[EffectiveQty]&gt;0)*T_PlannedOrders[Order_Month])),"m月")&amp;"発注)")</f>
        <v/>
      </c>
      <c r="CF551">
        <f>IF(SUMIFS(T_PlannedOrders[EffectiveQty],T_PlannedOrders[Part Name],$A507,T_PlannedOrders[WeekIndex],81)=0,"",SUMIFS(T_PlannedOrders[EffectiveQty],T_PlannedOrders[Part Name],$A507,T_PlannedOrders[WeekIndex],81)&amp;" ("&amp;TEXT(SUMPRODUCT(MAX((T_PlannedOrders[Part Name]=$A507)*(T_PlannedOrders[WeekIndex]=81)*(T_PlannedOrders[EffectiveQty]&gt;0)*T_PlannedOrders[Order_Month])),"m月")&amp;"発注)")</f>
        <v/>
      </c>
      <c r="CG551">
        <f>IF(SUMIFS(T_PlannedOrders[EffectiveQty],T_PlannedOrders[Part Name],$A507,T_PlannedOrders[WeekIndex],82)=0,"",SUMIFS(T_PlannedOrders[EffectiveQty],T_PlannedOrders[Part Name],$A507,T_PlannedOrders[WeekIndex],82)&amp;" ("&amp;TEXT(SUMPRODUCT(MAX((T_PlannedOrders[Part Name]=$A507)*(T_PlannedOrders[WeekIndex]=82)*(T_PlannedOrders[EffectiveQty]&gt;0)*T_PlannedOrders[Order_Month])),"m月")&amp;"発注)")</f>
        <v/>
      </c>
      <c r="CH551">
        <f>IF(SUMIFS(T_PlannedOrders[EffectiveQty],T_PlannedOrders[Part Name],$A507,T_PlannedOrders[WeekIndex],83)=0,"",SUMIFS(T_PlannedOrders[EffectiveQty],T_PlannedOrders[Part Name],$A507,T_PlannedOrders[WeekIndex],83)&amp;" ("&amp;TEXT(SUMPRODUCT(MAX((T_PlannedOrders[Part Name]=$A507)*(T_PlannedOrders[WeekIndex]=83)*(T_PlannedOrders[EffectiveQty]&gt;0)*T_PlannedOrders[Order_Month])),"m月")&amp;"発注)")</f>
        <v/>
      </c>
      <c r="CI551">
        <f>IF(SUMIFS(T_PlannedOrders[EffectiveQty],T_PlannedOrders[Part Name],$A507,T_PlannedOrders[WeekIndex],84)=0,"",SUMIFS(T_PlannedOrders[EffectiveQty],T_PlannedOrders[Part Name],$A507,T_PlannedOrders[WeekIndex],84)&amp;" ("&amp;TEXT(SUMPRODUCT(MAX((T_PlannedOrders[Part Name]=$A507)*(T_PlannedOrders[WeekIndex]=84)*(T_PlannedOrders[EffectiveQty]&gt;0)*T_PlannedOrders[Order_Month])),"m月")&amp;"発注)")</f>
        <v/>
      </c>
      <c r="CJ551">
        <f>IF(SUMIFS(T_PlannedOrders[EffectiveQty],T_PlannedOrders[Part Name],$A507,T_PlannedOrders[WeekIndex],85)=0,"",SUMIFS(T_PlannedOrders[EffectiveQty],T_PlannedOrders[Part Name],$A507,T_PlannedOrders[WeekIndex],85)&amp;" ("&amp;TEXT(SUMPRODUCT(MAX((T_PlannedOrders[Part Name]=$A507)*(T_PlannedOrders[WeekIndex]=85)*(T_PlannedOrders[EffectiveQty]&gt;0)*T_PlannedOrders[Order_Month])),"m月")&amp;"発注)")</f>
        <v/>
      </c>
      <c r="CK551">
        <f>IF(SUMIFS(T_PlannedOrders[EffectiveQty],T_PlannedOrders[Part Name],$A507,T_PlannedOrders[WeekIndex],86)=0,"",SUMIFS(T_PlannedOrders[EffectiveQty],T_PlannedOrders[Part Name],$A507,T_PlannedOrders[WeekIndex],86)&amp;" ("&amp;TEXT(SUMPRODUCT(MAX((T_PlannedOrders[Part Name]=$A507)*(T_PlannedOrders[WeekIndex]=86)*(T_PlannedOrders[EffectiveQty]&gt;0)*T_PlannedOrders[Order_Month])),"m月")&amp;"発注)")</f>
        <v/>
      </c>
      <c r="CL551">
        <f>IF(SUMIFS(T_PlannedOrders[EffectiveQty],T_PlannedOrders[Part Name],$A507,T_PlannedOrders[WeekIndex],87)=0,"",SUMIFS(T_PlannedOrders[EffectiveQty],T_PlannedOrders[Part Name],$A507,T_PlannedOrders[WeekIndex],87)&amp;" ("&amp;TEXT(SUMPRODUCT(MAX((T_PlannedOrders[Part Name]=$A507)*(T_PlannedOrders[WeekIndex]=87)*(T_PlannedOrders[EffectiveQty]&gt;0)*T_PlannedOrders[Order_Month])),"m月")&amp;"発注)")</f>
        <v/>
      </c>
      <c r="CM551">
        <f>IF(SUMIFS(T_PlannedOrders[EffectiveQty],T_PlannedOrders[Part Name],$A507,T_PlannedOrders[WeekIndex],88)=0,"",SUMIFS(T_PlannedOrders[EffectiveQty],T_PlannedOrders[Part Name],$A507,T_PlannedOrders[WeekIndex],88)&amp;" ("&amp;TEXT(SUMPRODUCT(MAX((T_PlannedOrders[Part Name]=$A507)*(T_PlannedOrders[WeekIndex]=88)*(T_PlannedOrders[EffectiveQty]&gt;0)*T_PlannedOrders[Order_Month])),"m月")&amp;"発注)")</f>
        <v/>
      </c>
      <c r="CN551">
        <f>IF(SUMIFS(T_PlannedOrders[EffectiveQty],T_PlannedOrders[Part Name],$A507,T_PlannedOrders[WeekIndex],89)=0,"",SUMIFS(T_PlannedOrders[EffectiveQty],T_PlannedOrders[Part Name],$A507,T_PlannedOrders[WeekIndex],89)&amp;" ("&amp;TEXT(SUMPRODUCT(MAX((T_PlannedOrders[Part Name]=$A507)*(T_PlannedOrders[WeekIndex]=89)*(T_PlannedOrders[EffectiveQty]&gt;0)*T_PlannedOrders[Order_Month])),"m月")&amp;"発注)")</f>
        <v/>
      </c>
      <c r="CO551">
        <f>IF(SUMIFS(T_PlannedOrders[EffectiveQty],T_PlannedOrders[Part Name],$A507,T_PlannedOrders[WeekIndex],90)=0,"",SUMIFS(T_PlannedOrders[EffectiveQty],T_PlannedOrders[Part Name],$A507,T_PlannedOrders[WeekIndex],90)&amp;" ("&amp;TEXT(SUMPRODUCT(MAX((T_PlannedOrders[Part Name]=$A507)*(T_PlannedOrders[WeekIndex]=90)*(T_PlannedOrders[EffectiveQty]&gt;0)*T_PlannedOrders[Order_Month])),"m月")&amp;"発注)")</f>
        <v/>
      </c>
      <c r="CP551">
        <f>IF(SUMIFS(T_PlannedOrders[EffectiveQty],T_PlannedOrders[Part Name],$A507,T_PlannedOrders[WeekIndex],91)=0,"",SUMIFS(T_PlannedOrders[EffectiveQty],T_PlannedOrders[Part Name],$A507,T_PlannedOrders[WeekIndex],91)&amp;" ("&amp;TEXT(SUMPRODUCT(MAX((T_PlannedOrders[Part Name]=$A507)*(T_PlannedOrders[WeekIndex]=91)*(T_PlannedOrders[EffectiveQty]&gt;0)*T_PlannedOrders[Order_Month])),"m月")&amp;"発注)")</f>
        <v/>
      </c>
      <c r="CQ551">
        <f>IF(SUMIFS(T_PlannedOrders[EffectiveQty],T_PlannedOrders[Part Name],$A507,T_PlannedOrders[WeekIndex],92)=0,"",SUMIFS(T_PlannedOrders[EffectiveQty],T_PlannedOrders[Part Name],$A507,T_PlannedOrders[WeekIndex],92)&amp;" ("&amp;TEXT(SUMPRODUCT(MAX((T_PlannedOrders[Part Name]=$A507)*(T_PlannedOrders[WeekIndex]=92)*(T_PlannedOrders[EffectiveQty]&gt;0)*T_PlannedOrders[Order_Month])),"m月")&amp;"発注)")</f>
        <v/>
      </c>
      <c r="CR551">
        <f>IF(SUMIFS(T_PlannedOrders[EffectiveQty],T_PlannedOrders[Part Name],$A507,T_PlannedOrders[WeekIndex],93)=0,"",SUMIFS(T_PlannedOrders[EffectiveQty],T_PlannedOrders[Part Name],$A507,T_PlannedOrders[WeekIndex],93)&amp;" ("&amp;TEXT(SUMPRODUCT(MAX((T_PlannedOrders[Part Name]=$A507)*(T_PlannedOrders[WeekIndex]=93)*(T_PlannedOrders[EffectiveQty]&gt;0)*T_PlannedOrders[Order_Month])),"m月")&amp;"発注)")</f>
        <v/>
      </c>
      <c r="CS551">
        <f>IF(SUMIFS(T_PlannedOrders[EffectiveQty],T_PlannedOrders[Part Name],$A507,T_PlannedOrders[WeekIndex],94)=0,"",SUMIFS(T_PlannedOrders[EffectiveQty],T_PlannedOrders[Part Name],$A507,T_PlannedOrders[WeekIndex],94)&amp;" ("&amp;TEXT(SUMPRODUCT(MAX((T_PlannedOrders[Part Name]=$A507)*(T_PlannedOrders[WeekIndex]=94)*(T_PlannedOrders[EffectiveQty]&gt;0)*T_PlannedOrders[Order_Month])),"m月")&amp;"発注)")</f>
        <v/>
      </c>
      <c r="CT551">
        <f>IF(SUMIFS(T_PlannedOrders[EffectiveQty],T_PlannedOrders[Part Name],$A507,T_PlannedOrders[WeekIndex],95)=0,"",SUMIFS(T_PlannedOrders[EffectiveQty],T_PlannedOrders[Part Name],$A507,T_PlannedOrders[WeekIndex],95)&amp;" ("&amp;TEXT(SUMPRODUCT(MAX((T_PlannedOrders[Part Name]=$A507)*(T_PlannedOrders[WeekIndex]=95)*(T_PlannedOrders[EffectiveQty]&gt;0)*T_PlannedOrders[Order_Month])),"m月")&amp;"発注)")</f>
        <v/>
      </c>
      <c r="CU551">
        <f>IF(SUMIFS(T_PlannedOrders[EffectiveQty],T_PlannedOrders[Part Name],$A507,T_PlannedOrders[WeekIndex],96)=0,"",SUMIFS(T_PlannedOrders[EffectiveQty],T_PlannedOrders[Part Name],$A507,T_PlannedOrders[WeekIndex],96)&amp;" ("&amp;TEXT(SUMPRODUCT(MAX((T_PlannedOrders[Part Name]=$A507)*(T_PlannedOrders[WeekIndex]=96)*(T_PlannedOrders[EffectiveQty]&gt;0)*T_PlannedOrders[Order_Month])),"m月")&amp;"発注)")</f>
        <v/>
      </c>
      <c r="CV551">
        <f>IF(SUMIFS(T_PlannedOrders[EffectiveQty],T_PlannedOrders[Part Name],$A507,T_PlannedOrders[WeekIndex],97)=0,"",SUMIFS(T_PlannedOrders[EffectiveQty],T_PlannedOrders[Part Name],$A507,T_PlannedOrders[WeekIndex],97)&amp;" ("&amp;TEXT(SUMPRODUCT(MAX((T_PlannedOrders[Part Name]=$A507)*(T_PlannedOrders[WeekIndex]=97)*(T_PlannedOrders[EffectiveQty]&gt;0)*T_PlannedOrders[Order_Month])),"m月")&amp;"発注)")</f>
        <v/>
      </c>
      <c r="CW551">
        <f>IF(SUMIFS(T_PlannedOrders[EffectiveQty],T_PlannedOrders[Part Name],$A507,T_PlannedOrders[WeekIndex],98)=0,"",SUMIFS(T_PlannedOrders[EffectiveQty],T_PlannedOrders[Part Name],$A507,T_PlannedOrders[WeekIndex],98)&amp;" ("&amp;TEXT(SUMPRODUCT(MAX((T_PlannedOrders[Part Name]=$A507)*(T_PlannedOrders[WeekIndex]=98)*(T_PlannedOrders[EffectiveQty]&gt;0)*T_PlannedOrders[Order_Month])),"m月")&amp;"発注)")</f>
        <v/>
      </c>
      <c r="CX551">
        <f>IF(SUMIFS(T_PlannedOrders[EffectiveQty],T_PlannedOrders[Part Name],$A507,T_PlannedOrders[WeekIndex],99)=0,"",SUMIFS(T_PlannedOrders[EffectiveQty],T_PlannedOrders[Part Name],$A507,T_PlannedOrders[WeekIndex],99)&amp;" ("&amp;TEXT(SUMPRODUCT(MAX((T_PlannedOrders[Part Name]=$A507)*(T_PlannedOrders[WeekIndex]=99)*(T_PlannedOrders[EffectiveQty]&gt;0)*T_PlannedOrders[Order_Month])),"m月")&amp;"発注)")</f>
        <v/>
      </c>
      <c r="CY551">
        <f>IF(SUMIFS(T_PlannedOrders[EffectiveQty],T_PlannedOrders[Part Name],$A507,T_PlannedOrders[WeekIndex],100)=0,"",SUMIFS(T_PlannedOrders[EffectiveQty],T_PlannedOrders[Part Name],$A507,T_PlannedOrders[WeekIndex],100)&amp;" ("&amp;TEXT(SUMPRODUCT(MAX((T_PlannedOrders[Part Name]=$A507)*(T_PlannedOrders[WeekIndex]=100)*(T_PlannedOrders[EffectiveQty]&gt;0)*T_PlannedOrders[Order_Month])),"m月")&amp;"発注)")</f>
        <v/>
      </c>
      <c r="CZ551">
        <f>IF(SUMIFS(T_PlannedOrders[EffectiveQty],T_PlannedOrders[Part Name],$A507,T_PlannedOrders[WeekIndex],101)=0,"",SUMIFS(T_PlannedOrders[EffectiveQty],T_PlannedOrders[Part Name],$A507,T_PlannedOrders[WeekIndex],101)&amp;" ("&amp;TEXT(SUMPRODUCT(MAX((T_PlannedOrders[Part Name]=$A507)*(T_PlannedOrders[WeekIndex]=101)*(T_PlannedOrders[EffectiveQty]&gt;0)*T_PlannedOrders[Order_Month])),"m月")&amp;"発注)")</f>
        <v/>
      </c>
      <c r="DA551">
        <f>IF(SUMIFS(T_PlannedOrders[EffectiveQty],T_PlannedOrders[Part Name],$A507,T_PlannedOrders[WeekIndex],102)=0,"",SUMIFS(T_PlannedOrders[EffectiveQty],T_PlannedOrders[Part Name],$A507,T_PlannedOrders[WeekIndex],102)&amp;" ("&amp;TEXT(SUMPRODUCT(MAX((T_PlannedOrders[Part Name]=$A507)*(T_PlannedOrders[WeekIndex]=102)*(T_PlannedOrders[EffectiveQty]&gt;0)*T_PlannedOrders[Order_Month])),"m月")&amp;"発注)")</f>
        <v/>
      </c>
      <c r="DB551">
        <f>IF(SUMIFS(T_PlannedOrders[EffectiveQty],T_PlannedOrders[Part Name],$A507,T_PlannedOrders[WeekIndex],103)=0,"",SUMIFS(T_PlannedOrders[EffectiveQty],T_PlannedOrders[Part Name],$A507,T_PlannedOrders[WeekIndex],103)&amp;" ("&amp;TEXT(SUMPRODUCT(MAX((T_PlannedOrders[Part Name]=$A507)*(T_PlannedOrders[WeekIndex]=103)*(T_PlannedOrders[EffectiveQty]&gt;0)*T_PlannedOrders[Order_Month])),"m月")&amp;"発注)")</f>
        <v/>
      </c>
      <c r="DC551">
        <f>IF(SUMIFS(T_PlannedOrders[EffectiveQty],T_PlannedOrders[Part Name],$A507,T_PlannedOrders[WeekIndex],104)=0,"",SUMIFS(T_PlannedOrders[EffectiveQty],T_PlannedOrders[Part Name],$A507,T_PlannedOrders[WeekIndex],104)&amp;" ("&amp;TEXT(SUMPRODUCT(MAX((T_PlannedOrders[Part Name]=$A507)*(T_PlannedOrders[WeekIndex]=104)*(T_PlannedOrders[EffectiveQty]&gt;0)*T_PlannedOrders[Order_Month])),"m月")&amp;"発注)")</f>
        <v/>
      </c>
    </row>
    <row r="552">
      <c r="B552" s="9" t="inlineStr">
        <is>
          <t>合計在庫(週末時点,kg)</t>
        </is>
      </c>
      <c r="D552">
        <f>'Grid_Stock'!B19</f>
        <v/>
      </c>
      <c r="E552">
        <f>'Grid_Stock'!C19</f>
        <v/>
      </c>
      <c r="F552">
        <f>'Grid_Stock'!D19</f>
        <v/>
      </c>
      <c r="G552">
        <f>'Grid_Stock'!E19</f>
        <v/>
      </c>
      <c r="H552">
        <f>'Grid_Stock'!F19</f>
        <v/>
      </c>
      <c r="I552">
        <f>'Grid_Stock'!G19</f>
        <v/>
      </c>
      <c r="J552">
        <f>'Grid_Stock'!H19</f>
        <v/>
      </c>
      <c r="K552">
        <f>'Grid_Stock'!I19</f>
        <v/>
      </c>
      <c r="L552">
        <f>'Grid_Stock'!J19</f>
        <v/>
      </c>
      <c r="M552">
        <f>'Grid_Stock'!K19</f>
        <v/>
      </c>
      <c r="N552">
        <f>'Grid_Stock'!L19</f>
        <v/>
      </c>
      <c r="O552">
        <f>'Grid_Stock'!M19</f>
        <v/>
      </c>
      <c r="P552">
        <f>'Grid_Stock'!N19</f>
        <v/>
      </c>
      <c r="Q552">
        <f>'Grid_Stock'!O19</f>
        <v/>
      </c>
      <c r="R552">
        <f>'Grid_Stock'!P19</f>
        <v/>
      </c>
      <c r="S552">
        <f>'Grid_Stock'!Q19</f>
        <v/>
      </c>
      <c r="T552">
        <f>'Grid_Stock'!R19</f>
        <v/>
      </c>
      <c r="U552">
        <f>'Grid_Stock'!S19</f>
        <v/>
      </c>
      <c r="V552">
        <f>'Grid_Stock'!T19</f>
        <v/>
      </c>
      <c r="W552">
        <f>'Grid_Stock'!U19</f>
        <v/>
      </c>
      <c r="X552">
        <f>'Grid_Stock'!V19</f>
        <v/>
      </c>
      <c r="Y552">
        <f>'Grid_Stock'!W19</f>
        <v/>
      </c>
      <c r="Z552">
        <f>'Grid_Stock'!X19</f>
        <v/>
      </c>
      <c r="AA552">
        <f>'Grid_Stock'!Y19</f>
        <v/>
      </c>
      <c r="AB552">
        <f>'Grid_Stock'!Z19</f>
        <v/>
      </c>
      <c r="AC552">
        <f>'Grid_Stock'!AA19</f>
        <v/>
      </c>
      <c r="AD552">
        <f>'Grid_Stock'!AB19</f>
        <v/>
      </c>
      <c r="AE552">
        <f>'Grid_Stock'!AC19</f>
        <v/>
      </c>
      <c r="AF552">
        <f>'Grid_Stock'!AD19</f>
        <v/>
      </c>
      <c r="AG552">
        <f>'Grid_Stock'!AE19</f>
        <v/>
      </c>
      <c r="AH552">
        <f>'Grid_Stock'!AF19</f>
        <v/>
      </c>
      <c r="AI552">
        <f>'Grid_Stock'!AG19</f>
        <v/>
      </c>
      <c r="AJ552">
        <f>'Grid_Stock'!AH19</f>
        <v/>
      </c>
      <c r="AK552">
        <f>'Grid_Stock'!AI19</f>
        <v/>
      </c>
      <c r="AL552">
        <f>'Grid_Stock'!AJ19</f>
        <v/>
      </c>
      <c r="AM552">
        <f>'Grid_Stock'!AK19</f>
        <v/>
      </c>
      <c r="AN552">
        <f>'Grid_Stock'!AL19</f>
        <v/>
      </c>
      <c r="AO552">
        <f>'Grid_Stock'!AM19</f>
        <v/>
      </c>
      <c r="AP552">
        <f>'Grid_Stock'!AN19</f>
        <v/>
      </c>
      <c r="AQ552">
        <f>'Grid_Stock'!AO19</f>
        <v/>
      </c>
      <c r="AR552">
        <f>'Grid_Stock'!AP19</f>
        <v/>
      </c>
      <c r="AS552">
        <f>'Grid_Stock'!AQ19</f>
        <v/>
      </c>
      <c r="AT552">
        <f>'Grid_Stock'!AR19</f>
        <v/>
      </c>
      <c r="AU552">
        <f>'Grid_Stock'!AS19</f>
        <v/>
      </c>
      <c r="AV552">
        <f>'Grid_Stock'!AT19</f>
        <v/>
      </c>
      <c r="AW552">
        <f>'Grid_Stock'!AU19</f>
        <v/>
      </c>
      <c r="AX552">
        <f>'Grid_Stock'!AV19</f>
        <v/>
      </c>
      <c r="AY552">
        <f>'Grid_Stock'!AW19</f>
        <v/>
      </c>
      <c r="AZ552">
        <f>'Grid_Stock'!AX19</f>
        <v/>
      </c>
      <c r="BA552">
        <f>'Grid_Stock'!AY19</f>
        <v/>
      </c>
      <c r="BB552">
        <f>'Grid_Stock'!AZ19</f>
        <v/>
      </c>
      <c r="BC552">
        <f>'Grid_Stock'!BA19</f>
        <v/>
      </c>
      <c r="BD552">
        <f>'Grid_Stock'!BB19</f>
        <v/>
      </c>
      <c r="BE552">
        <f>'Grid_Stock'!BC19</f>
        <v/>
      </c>
      <c r="BF552">
        <f>'Grid_Stock'!BD19</f>
        <v/>
      </c>
      <c r="BG552">
        <f>'Grid_Stock'!BE19</f>
        <v/>
      </c>
      <c r="BH552">
        <f>'Grid_Stock'!BF19</f>
        <v/>
      </c>
      <c r="BI552">
        <f>'Grid_Stock'!BG19</f>
        <v/>
      </c>
      <c r="BJ552">
        <f>'Grid_Stock'!BH19</f>
        <v/>
      </c>
      <c r="BK552">
        <f>'Grid_Stock'!BI19</f>
        <v/>
      </c>
      <c r="BL552">
        <f>'Grid_Stock'!BJ19</f>
        <v/>
      </c>
      <c r="BM552">
        <f>'Grid_Stock'!BK19</f>
        <v/>
      </c>
      <c r="BN552">
        <f>'Grid_Stock'!BL19</f>
        <v/>
      </c>
      <c r="BO552">
        <f>'Grid_Stock'!BM19</f>
        <v/>
      </c>
      <c r="BP552">
        <f>'Grid_Stock'!BN19</f>
        <v/>
      </c>
      <c r="BQ552">
        <f>'Grid_Stock'!BO19</f>
        <v/>
      </c>
      <c r="BR552">
        <f>'Grid_Stock'!BP19</f>
        <v/>
      </c>
      <c r="BS552">
        <f>'Grid_Stock'!BQ19</f>
        <v/>
      </c>
      <c r="BT552">
        <f>'Grid_Stock'!BR19</f>
        <v/>
      </c>
      <c r="BU552">
        <f>'Grid_Stock'!BS19</f>
        <v/>
      </c>
      <c r="BV552">
        <f>'Grid_Stock'!BT19</f>
        <v/>
      </c>
      <c r="BW552">
        <f>'Grid_Stock'!BU19</f>
        <v/>
      </c>
      <c r="BX552">
        <f>'Grid_Stock'!BV19</f>
        <v/>
      </c>
      <c r="BY552">
        <f>'Grid_Stock'!BW19</f>
        <v/>
      </c>
      <c r="BZ552">
        <f>'Grid_Stock'!BX19</f>
        <v/>
      </c>
      <c r="CA552">
        <f>'Grid_Stock'!BY19</f>
        <v/>
      </c>
      <c r="CB552">
        <f>'Grid_Stock'!BZ19</f>
        <v/>
      </c>
      <c r="CC552">
        <f>'Grid_Stock'!CA19</f>
        <v/>
      </c>
      <c r="CD552">
        <f>'Grid_Stock'!CB19</f>
        <v/>
      </c>
      <c r="CE552">
        <f>'Grid_Stock'!CC19</f>
        <v/>
      </c>
      <c r="CF552">
        <f>'Grid_Stock'!CD19</f>
        <v/>
      </c>
      <c r="CG552">
        <f>'Grid_Stock'!CE19</f>
        <v/>
      </c>
      <c r="CH552">
        <f>'Grid_Stock'!CF19</f>
        <v/>
      </c>
      <c r="CI552">
        <f>'Grid_Stock'!CG19</f>
        <v/>
      </c>
      <c r="CJ552">
        <f>'Grid_Stock'!CH19</f>
        <v/>
      </c>
      <c r="CK552">
        <f>'Grid_Stock'!CI19</f>
        <v/>
      </c>
      <c r="CL552">
        <f>'Grid_Stock'!CJ19</f>
        <v/>
      </c>
      <c r="CM552">
        <f>'Grid_Stock'!CK19</f>
        <v/>
      </c>
      <c r="CN552">
        <f>'Grid_Stock'!CL19</f>
        <v/>
      </c>
      <c r="CO552">
        <f>'Grid_Stock'!CM19</f>
        <v/>
      </c>
      <c r="CP552">
        <f>'Grid_Stock'!CN19</f>
        <v/>
      </c>
      <c r="CQ552">
        <f>'Grid_Stock'!CO19</f>
        <v/>
      </c>
      <c r="CR552">
        <f>'Grid_Stock'!CP19</f>
        <v/>
      </c>
      <c r="CS552">
        <f>'Grid_Stock'!CQ19</f>
        <v/>
      </c>
      <c r="CT552">
        <f>'Grid_Stock'!CR19</f>
        <v/>
      </c>
      <c r="CU552">
        <f>'Grid_Stock'!CS19</f>
        <v/>
      </c>
      <c r="CV552">
        <f>'Grid_Stock'!CT19</f>
        <v/>
      </c>
      <c r="CW552">
        <f>'Grid_Stock'!CU19</f>
        <v/>
      </c>
      <c r="CX552">
        <f>'Grid_Stock'!CV19</f>
        <v/>
      </c>
      <c r="CY552">
        <f>'Grid_Stock'!CW19</f>
        <v/>
      </c>
      <c r="CZ552">
        <f>'Grid_Stock'!CX19</f>
        <v/>
      </c>
      <c r="DA552">
        <f>'Grid_Stock'!CY19</f>
        <v/>
      </c>
      <c r="DB552">
        <f>'Grid_Stock'!CZ19</f>
        <v/>
      </c>
      <c r="DC552">
        <f>'Grid_Stock'!DA19</f>
        <v/>
      </c>
    </row>
    <row r="553">
      <c r="B553" s="21" t="inlineStr">
        <is>
          <t>（発注の目安はDashboardの基準在庫[下限/上限]と色分けを参照）</t>
        </is>
      </c>
    </row>
    <row r="555">
      <c r="A555" s="19" t="inlineStr">
        <is>
          <t>CHEM-1510</t>
        </is>
      </c>
      <c r="B555" s="19" t="inlineStr">
        <is>
          <t>BA-070</t>
        </is>
      </c>
      <c r="C555" s="20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/>
      <c r="Z555" s="19" t="n"/>
      <c r="AA555" s="19" t="n"/>
      <c r="AB555" s="19" t="n"/>
      <c r="AC555" s="19" t="n"/>
      <c r="AD555" s="19" t="n"/>
      <c r="AE555" s="19" t="n"/>
      <c r="AF555" s="19" t="n"/>
      <c r="AG555" s="19" t="n"/>
      <c r="AH555" s="19" t="n"/>
      <c r="AI555" s="19" t="n"/>
      <c r="AJ555" s="19" t="n"/>
      <c r="AK555" s="19" t="n"/>
      <c r="AL555" s="19" t="n"/>
      <c r="AM555" s="19" t="n"/>
      <c r="AN555" s="19" t="n"/>
      <c r="AO555" s="19" t="n"/>
      <c r="AP555" s="19" t="n"/>
      <c r="AQ555" s="19" t="n"/>
      <c r="AR555" s="19" t="n"/>
      <c r="AS555" s="19" t="n"/>
      <c r="AT555" s="19" t="n"/>
      <c r="AU555" s="19" t="n"/>
      <c r="AV555" s="19" t="n"/>
      <c r="AW555" s="19" t="n"/>
      <c r="AX555" s="19" t="n"/>
      <c r="AY555" s="19" t="n"/>
      <c r="AZ555" s="19" t="n"/>
      <c r="BA555" s="19" t="n"/>
      <c r="BB555" s="19" t="n"/>
      <c r="BC555" s="19" t="n"/>
      <c r="BD555" s="19" t="n"/>
      <c r="BE555" s="19" t="n"/>
      <c r="BF555" s="19" t="n"/>
      <c r="BG555" s="19" t="n"/>
      <c r="BH555" s="19" t="n"/>
      <c r="BI555" s="19" t="n"/>
      <c r="BJ555" s="19" t="n"/>
      <c r="BK555" s="19" t="n"/>
      <c r="BL555" s="19" t="n"/>
      <c r="BM555" s="19" t="n"/>
      <c r="BN555" s="19" t="n"/>
      <c r="BO555" s="19" t="n"/>
      <c r="BP555" s="19" t="n"/>
      <c r="BQ555" s="19" t="n"/>
      <c r="BR555" s="19" t="n"/>
      <c r="BS555" s="19" t="n"/>
      <c r="BT555" s="19" t="n"/>
      <c r="BU555" s="19" t="n"/>
      <c r="BV555" s="19" t="n"/>
      <c r="BW555" s="19" t="n"/>
      <c r="BX555" s="19" t="n"/>
      <c r="BY555" s="19" t="n"/>
      <c r="BZ555" s="19" t="n"/>
      <c r="CA555" s="19" t="n"/>
      <c r="CB555" s="19" t="n"/>
      <c r="CC555" s="19" t="n"/>
      <c r="CD555" s="19" t="n"/>
      <c r="CE555" s="19" t="n"/>
      <c r="CF555" s="19" t="n"/>
      <c r="CG555" s="19" t="n"/>
      <c r="CH555" s="19" t="n"/>
      <c r="CI555" s="19" t="n"/>
      <c r="CJ555" s="19" t="n"/>
      <c r="CK555" s="19" t="n"/>
      <c r="CL555" s="19" t="n"/>
      <c r="CM555" s="19" t="n"/>
      <c r="CN555" s="19" t="n"/>
      <c r="CO555" s="19" t="n"/>
      <c r="CP555" s="19" t="n"/>
      <c r="CQ555" s="19" t="n"/>
      <c r="CR555" s="19" t="n"/>
      <c r="CS555" s="19" t="n"/>
      <c r="CT555" s="19" t="n"/>
      <c r="CU555" s="19" t="n"/>
      <c r="CV555" s="19" t="n"/>
      <c r="CW555" s="19" t="n"/>
      <c r="CX555" s="19" t="n"/>
      <c r="CY555" s="19" t="n"/>
      <c r="CZ555" s="19" t="n"/>
      <c r="DA555" s="19" t="n"/>
      <c r="DB555" s="19" t="n"/>
      <c r="DC555" s="19" t="n"/>
    </row>
    <row r="556">
      <c r="B556" t="inlineStr">
        <is>
          <t>TSP-219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Name],$A555)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TSP-360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Name],$A555)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TSP-367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Name],$A555)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TSP-544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Name],$A555)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TSP-710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Name],$A555)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TSZ-616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Name],$A555)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VSP-739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12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SUMIFS(M_BOM[RM_Qty_Per_Batch],M_BOM[Intermediate],$B568,M_BOM[Part Name],$A555)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VSP-820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12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SUMIFS(M_BOM[RM_Qty_Per_Batch],M_BOM[Intermediate],$B570,M_BOM[Part Name],$A555)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VSP-869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12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SUMIFS(M_BOM[RM_Qty_Per_Batch],M_BOM[Intermediate],$B572,M_BOM[Part Name],$A555)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t="inlineStr">
        <is>
          <t>VSP-989</t>
        </is>
      </c>
      <c r="C574" t="inlineStr">
        <is>
          <t>No. of batches</t>
        </is>
      </c>
      <c r="D574">
        <f>IFERROR(INDEX(PP_Grid[#Data],$DD574,2),0)</f>
        <v/>
      </c>
      <c r="E574">
        <f>IFERROR(INDEX(PP_Grid[#Data],$DD574,3),0)</f>
        <v/>
      </c>
      <c r="F574">
        <f>IFERROR(INDEX(PP_Grid[#Data],$DD574,4),0)</f>
        <v/>
      </c>
      <c r="G574">
        <f>IFERROR(INDEX(PP_Grid[#Data],$DD574,5),0)</f>
        <v/>
      </c>
      <c r="H574">
        <f>IFERROR(INDEX(PP_Grid[#Data],$DD574,6),0)</f>
        <v/>
      </c>
      <c r="I574">
        <f>IFERROR(INDEX(PP_Grid[#Data],$DD574,7),0)</f>
        <v/>
      </c>
      <c r="J574">
        <f>IFERROR(INDEX(PP_Grid[#Data],$DD574,8),0)</f>
        <v/>
      </c>
      <c r="K574">
        <f>IFERROR(INDEX(PP_Grid[#Data],$DD574,9),0)</f>
        <v/>
      </c>
      <c r="L574">
        <f>IFERROR(INDEX(PP_Grid[#Data],$DD574,10),0)</f>
        <v/>
      </c>
      <c r="M574">
        <f>IFERROR(INDEX(PP_Grid[#Data],$DD574,11),0)</f>
        <v/>
      </c>
      <c r="N574">
        <f>IFERROR(INDEX(PP_Grid[#Data],$DD574,12),0)</f>
        <v/>
      </c>
      <c r="O574">
        <f>IFERROR(INDEX(PP_Grid[#Data],$DD574,13),0)</f>
        <v/>
      </c>
      <c r="P574">
        <f>IFERROR(INDEX(PP_Grid[#Data],$DD574,14),0)</f>
        <v/>
      </c>
      <c r="Q574">
        <f>IFERROR(INDEX(PP_Grid[#Data],$DD574,15),0)</f>
        <v/>
      </c>
      <c r="R574">
        <f>IFERROR(INDEX(PP_Grid[#Data],$DD574,16),0)</f>
        <v/>
      </c>
      <c r="S574">
        <f>IFERROR(INDEX(PP_Grid[#Data],$DD574,17),0)</f>
        <v/>
      </c>
      <c r="T574">
        <f>IFERROR(INDEX(PP_Grid[#Data],$DD574,18),0)</f>
        <v/>
      </c>
      <c r="U574">
        <f>IFERROR(INDEX(PP_Grid[#Data],$DD574,19),0)</f>
        <v/>
      </c>
      <c r="V574">
        <f>IFERROR(INDEX(PP_Grid[#Data],$DD574,20),0)</f>
        <v/>
      </c>
      <c r="W574">
        <f>IFERROR(INDEX(PP_Grid[#Data],$DD574,21),0)</f>
        <v/>
      </c>
      <c r="X574">
        <f>IFERROR(INDEX(PP_Grid[#Data],$DD574,22),0)</f>
        <v/>
      </c>
      <c r="Y574">
        <f>IFERROR(INDEX(PP_Grid[#Data],$DD574,23),0)</f>
        <v/>
      </c>
      <c r="Z574">
        <f>IFERROR(INDEX(PP_Grid[#Data],$DD574,24),0)</f>
        <v/>
      </c>
      <c r="AA574">
        <f>IFERROR(INDEX(PP_Grid[#Data],$DD574,25),0)</f>
        <v/>
      </c>
      <c r="AB574">
        <f>IFERROR(INDEX(PP_Grid[#Data],$DD574,26),0)</f>
        <v/>
      </c>
      <c r="AC574">
        <f>IFERROR(INDEX(PP_Grid[#Data],$DD574,27),0)</f>
        <v/>
      </c>
      <c r="AD574">
        <f>IFERROR(INDEX(PP_Grid[#Data],$DD574,28),0)</f>
        <v/>
      </c>
      <c r="AE574">
        <f>IFERROR(INDEX(PP_Grid[#Data],$DD574,29),0)</f>
        <v/>
      </c>
      <c r="AF574">
        <f>IFERROR(INDEX(PP_Grid[#Data],$DD574,30),0)</f>
        <v/>
      </c>
      <c r="AG574">
        <f>IFERROR(INDEX(PP_Grid[#Data],$DD574,31),0)</f>
        <v/>
      </c>
      <c r="AH574">
        <f>IFERROR(INDEX(PP_Grid[#Data],$DD574,32),0)</f>
        <v/>
      </c>
      <c r="AI574">
        <f>IFERROR(INDEX(PP_Grid[#Data],$DD574,33),0)</f>
        <v/>
      </c>
      <c r="AJ574">
        <f>IFERROR(INDEX(PP_Grid[#Data],$DD574,34),0)</f>
        <v/>
      </c>
      <c r="AK574">
        <f>IFERROR(INDEX(PP_Grid[#Data],$DD574,35),0)</f>
        <v/>
      </c>
      <c r="AL574">
        <f>IFERROR(INDEX(PP_Grid[#Data],$DD574,36),0)</f>
        <v/>
      </c>
      <c r="AM574">
        <f>IFERROR(INDEX(PP_Grid[#Data],$DD574,37),0)</f>
        <v/>
      </c>
      <c r="AN574">
        <f>IFERROR(INDEX(PP_Grid[#Data],$DD574,38),0)</f>
        <v/>
      </c>
      <c r="AO574">
        <f>IFERROR(INDEX(PP_Grid[#Data],$DD574,39),0)</f>
        <v/>
      </c>
      <c r="AP574">
        <f>IFERROR(INDEX(PP_Grid[#Data],$DD574,40),0)</f>
        <v/>
      </c>
      <c r="AQ574">
        <f>IFERROR(INDEX(PP_Grid[#Data],$DD574,41),0)</f>
        <v/>
      </c>
      <c r="AR574">
        <f>IFERROR(INDEX(PP_Grid[#Data],$DD574,42),0)</f>
        <v/>
      </c>
      <c r="AS574">
        <f>IFERROR(INDEX(PP_Grid[#Data],$DD574,43),0)</f>
        <v/>
      </c>
      <c r="AT574">
        <f>IFERROR(INDEX(PP_Grid[#Data],$DD574,44),0)</f>
        <v/>
      </c>
      <c r="AU574">
        <f>IFERROR(INDEX(PP_Grid[#Data],$DD574,45),0)</f>
        <v/>
      </c>
      <c r="AV574">
        <f>IFERROR(INDEX(PP_Grid[#Data],$DD574,46),0)</f>
        <v/>
      </c>
      <c r="AW574">
        <f>IFERROR(INDEX(PP_Grid[#Data],$DD574,47),0)</f>
        <v/>
      </c>
      <c r="AX574">
        <f>IFERROR(INDEX(PP_Grid[#Data],$DD574,48),0)</f>
        <v/>
      </c>
      <c r="AY574">
        <f>IFERROR(INDEX(PP_Grid[#Data],$DD574,49),0)</f>
        <v/>
      </c>
      <c r="AZ574">
        <f>IFERROR(INDEX(PP_Grid[#Data],$DD574,50),0)</f>
        <v/>
      </c>
      <c r="BA574">
        <f>IFERROR(INDEX(PP_Grid[#Data],$DD574,51),0)</f>
        <v/>
      </c>
      <c r="BB574">
        <f>IFERROR(INDEX(PP_Grid[#Data],$DD574,52),0)</f>
        <v/>
      </c>
      <c r="BC574">
        <f>IFERROR(INDEX(PP_Grid[#Data],$DD574,53),0)</f>
        <v/>
      </c>
      <c r="BD574">
        <f>IFERROR(INDEX(PP_Grid[#Data],$DD574,54),0)</f>
        <v/>
      </c>
      <c r="BE574">
        <f>IFERROR(INDEX(PP_Grid[#Data],$DD574,55),0)</f>
        <v/>
      </c>
      <c r="BF574">
        <f>IFERROR(INDEX(PP_Grid[#Data],$DD574,56),0)</f>
        <v/>
      </c>
      <c r="BG574">
        <f>IFERROR(INDEX(PP_Grid[#Data],$DD574,57),0)</f>
        <v/>
      </c>
      <c r="BH574">
        <f>IFERROR(INDEX(PP_Grid[#Data],$DD574,58),0)</f>
        <v/>
      </c>
      <c r="BI574">
        <f>IFERROR(INDEX(PP_Grid[#Data],$DD574,59),0)</f>
        <v/>
      </c>
      <c r="BJ574">
        <f>IFERROR(INDEX(PP_Grid[#Data],$DD574,60),0)</f>
        <v/>
      </c>
      <c r="BK574">
        <f>IFERROR(INDEX(PP_Grid[#Data],$DD574,61),0)</f>
        <v/>
      </c>
      <c r="BL574">
        <f>IFERROR(INDEX(PP_Grid[#Data],$DD574,62),0)</f>
        <v/>
      </c>
      <c r="BM574">
        <f>IFERROR(INDEX(PP_Grid[#Data],$DD574,63),0)</f>
        <v/>
      </c>
      <c r="BN574">
        <f>IFERROR(INDEX(PP_Grid[#Data],$DD574,64),0)</f>
        <v/>
      </c>
      <c r="BO574">
        <f>IFERROR(INDEX(PP_Grid[#Data],$DD574,65),0)</f>
        <v/>
      </c>
      <c r="BP574">
        <f>IFERROR(INDEX(PP_Grid[#Data],$DD574,66),0)</f>
        <v/>
      </c>
      <c r="BQ574">
        <f>IFERROR(INDEX(PP_Grid[#Data],$DD574,67),0)</f>
        <v/>
      </c>
      <c r="BR574">
        <f>IFERROR(INDEX(PP_Grid[#Data],$DD574,68),0)</f>
        <v/>
      </c>
      <c r="BS574">
        <f>IFERROR(INDEX(PP_Grid[#Data],$DD574,69),0)</f>
        <v/>
      </c>
      <c r="BT574">
        <f>IFERROR(INDEX(PP_Grid[#Data],$DD574,70),0)</f>
        <v/>
      </c>
      <c r="BU574">
        <f>IFERROR(INDEX(PP_Grid[#Data],$DD574,71),0)</f>
        <v/>
      </c>
      <c r="BV574">
        <f>IFERROR(INDEX(PP_Grid[#Data],$DD574,72),0)</f>
        <v/>
      </c>
      <c r="BW574">
        <f>IFERROR(INDEX(PP_Grid[#Data],$DD574,73),0)</f>
        <v/>
      </c>
      <c r="BX574">
        <f>IFERROR(INDEX(PP_Grid[#Data],$DD574,74),0)</f>
        <v/>
      </c>
      <c r="BY574">
        <f>IFERROR(INDEX(PP_Grid[#Data],$DD574,75),0)</f>
        <v/>
      </c>
      <c r="BZ574">
        <f>IFERROR(INDEX(PP_Grid[#Data],$DD574,76),0)</f>
        <v/>
      </c>
      <c r="CA574">
        <f>IFERROR(INDEX(PP_Grid[#Data],$DD574,77),0)</f>
        <v/>
      </c>
      <c r="CB574">
        <f>IFERROR(INDEX(PP_Grid[#Data],$DD574,78),0)</f>
        <v/>
      </c>
      <c r="CC574">
        <f>IFERROR(INDEX(PP_Grid[#Data],$DD574,79),0)</f>
        <v/>
      </c>
      <c r="CD574">
        <f>IFERROR(INDEX(PP_Grid[#Data],$DD574,80),0)</f>
        <v/>
      </c>
      <c r="CE574">
        <f>IFERROR(INDEX(PP_Grid[#Data],$DD574,81),0)</f>
        <v/>
      </c>
      <c r="CF574">
        <f>IFERROR(INDEX(PP_Grid[#Data],$DD574,82),0)</f>
        <v/>
      </c>
      <c r="CG574">
        <f>IFERROR(INDEX(PP_Grid[#Data],$DD574,83),0)</f>
        <v/>
      </c>
      <c r="CH574">
        <f>IFERROR(INDEX(PP_Grid[#Data],$DD574,84),0)</f>
        <v/>
      </c>
      <c r="CI574">
        <f>IFERROR(INDEX(PP_Grid[#Data],$DD574,85),0)</f>
        <v/>
      </c>
      <c r="CJ574">
        <f>IFERROR(INDEX(PP_Grid[#Data],$DD574,86),0)</f>
        <v/>
      </c>
      <c r="CK574">
        <f>IFERROR(INDEX(PP_Grid[#Data],$DD574,87),0)</f>
        <v/>
      </c>
      <c r="CL574">
        <f>IFERROR(INDEX(PP_Grid[#Data],$DD574,88),0)</f>
        <v/>
      </c>
      <c r="CM574">
        <f>IFERROR(INDEX(PP_Grid[#Data],$DD574,89),0)</f>
        <v/>
      </c>
      <c r="CN574">
        <f>IFERROR(INDEX(PP_Grid[#Data],$DD574,90),0)</f>
        <v/>
      </c>
      <c r="CO574">
        <f>IFERROR(INDEX(PP_Grid[#Data],$DD574,91),0)</f>
        <v/>
      </c>
      <c r="CP574">
        <f>IFERROR(INDEX(PP_Grid[#Data],$DD574,92),0)</f>
        <v/>
      </c>
      <c r="CQ574">
        <f>IFERROR(INDEX(PP_Grid[#Data],$DD574,93),0)</f>
        <v/>
      </c>
      <c r="CR574">
        <f>IFERROR(INDEX(PP_Grid[#Data],$DD574,94),0)</f>
        <v/>
      </c>
      <c r="CS574">
        <f>IFERROR(INDEX(PP_Grid[#Data],$DD574,95),0)</f>
        <v/>
      </c>
      <c r="CT574">
        <f>IFERROR(INDEX(PP_Grid[#Data],$DD574,96),0)</f>
        <v/>
      </c>
      <c r="CU574">
        <f>IFERROR(INDEX(PP_Grid[#Data],$DD574,97),0)</f>
        <v/>
      </c>
      <c r="CV574">
        <f>IFERROR(INDEX(PP_Grid[#Data],$DD574,98),0)</f>
        <v/>
      </c>
      <c r="CW574">
        <f>IFERROR(INDEX(PP_Grid[#Data],$DD574,99),0)</f>
        <v/>
      </c>
      <c r="CX574">
        <f>IFERROR(INDEX(PP_Grid[#Data],$DD574,100),0)</f>
        <v/>
      </c>
      <c r="CY574">
        <f>IFERROR(INDEX(PP_Grid[#Data],$DD574,101),0)</f>
        <v/>
      </c>
      <c r="CZ574">
        <f>IFERROR(INDEX(PP_Grid[#Data],$DD574,102),0)</f>
        <v/>
      </c>
      <c r="DA574">
        <f>IFERROR(INDEX(PP_Grid[#Data],$DD574,103),0)</f>
        <v/>
      </c>
      <c r="DB574">
        <f>IFERROR(INDEX(PP_Grid[#Data],$DD574,104),0)</f>
        <v/>
      </c>
      <c r="DC574">
        <f>IFERROR(INDEX(PP_Grid[#Data],$DD574,105),0)</f>
        <v/>
      </c>
      <c r="DD574" s="12">
        <f>IFERROR(MATCH($B574,PP_Grid[Intermediate],0),99999)</f>
        <v/>
      </c>
    </row>
    <row r="575">
      <c r="B575" t="inlineStr">
        <is>
          <t>使用量(kg)</t>
        </is>
      </c>
      <c r="C575">
        <f>SUMIFS(M_BOM[RM_Qty_Per_Batch],M_BOM[Intermediate],$B574,M_BOM[Part Name],$A555)</f>
        <v/>
      </c>
      <c r="D575">
        <f>$C575*D574</f>
        <v/>
      </c>
      <c r="E575">
        <f>$C575*E574</f>
        <v/>
      </c>
      <c r="F575">
        <f>$C575*F574</f>
        <v/>
      </c>
      <c r="G575">
        <f>$C575*G574</f>
        <v/>
      </c>
      <c r="H575">
        <f>$C575*H574</f>
        <v/>
      </c>
      <c r="I575">
        <f>$C575*I574</f>
        <v/>
      </c>
      <c r="J575">
        <f>$C575*J574</f>
        <v/>
      </c>
      <c r="K575">
        <f>$C575*K574</f>
        <v/>
      </c>
      <c r="L575">
        <f>$C575*L574</f>
        <v/>
      </c>
      <c r="M575">
        <f>$C575*M574</f>
        <v/>
      </c>
      <c r="N575">
        <f>$C575*N574</f>
        <v/>
      </c>
      <c r="O575">
        <f>$C575*O574</f>
        <v/>
      </c>
      <c r="P575">
        <f>$C575*P574</f>
        <v/>
      </c>
      <c r="Q575">
        <f>$C575*Q574</f>
        <v/>
      </c>
      <c r="R575">
        <f>$C575*R574</f>
        <v/>
      </c>
      <c r="S575">
        <f>$C575*S574</f>
        <v/>
      </c>
      <c r="T575">
        <f>$C575*T574</f>
        <v/>
      </c>
      <c r="U575">
        <f>$C575*U574</f>
        <v/>
      </c>
      <c r="V575">
        <f>$C575*V574</f>
        <v/>
      </c>
      <c r="W575">
        <f>$C575*W574</f>
        <v/>
      </c>
      <c r="X575">
        <f>$C575*X574</f>
        <v/>
      </c>
      <c r="Y575">
        <f>$C575*Y574</f>
        <v/>
      </c>
      <c r="Z575">
        <f>$C575*Z574</f>
        <v/>
      </c>
      <c r="AA575">
        <f>$C575*AA574</f>
        <v/>
      </c>
      <c r="AB575">
        <f>$C575*AB574</f>
        <v/>
      </c>
      <c r="AC575">
        <f>$C575*AC574</f>
        <v/>
      </c>
      <c r="AD575">
        <f>$C575*AD574</f>
        <v/>
      </c>
      <c r="AE575">
        <f>$C575*AE574</f>
        <v/>
      </c>
      <c r="AF575">
        <f>$C575*AF574</f>
        <v/>
      </c>
      <c r="AG575">
        <f>$C575*AG574</f>
        <v/>
      </c>
      <c r="AH575">
        <f>$C575*AH574</f>
        <v/>
      </c>
      <c r="AI575">
        <f>$C575*AI574</f>
        <v/>
      </c>
      <c r="AJ575">
        <f>$C575*AJ574</f>
        <v/>
      </c>
      <c r="AK575">
        <f>$C575*AK574</f>
        <v/>
      </c>
      <c r="AL575">
        <f>$C575*AL574</f>
        <v/>
      </c>
      <c r="AM575">
        <f>$C575*AM574</f>
        <v/>
      </c>
      <c r="AN575">
        <f>$C575*AN574</f>
        <v/>
      </c>
      <c r="AO575">
        <f>$C575*AO574</f>
        <v/>
      </c>
      <c r="AP575">
        <f>$C575*AP574</f>
        <v/>
      </c>
      <c r="AQ575">
        <f>$C575*AQ574</f>
        <v/>
      </c>
      <c r="AR575">
        <f>$C575*AR574</f>
        <v/>
      </c>
      <c r="AS575">
        <f>$C575*AS574</f>
        <v/>
      </c>
      <c r="AT575">
        <f>$C575*AT574</f>
        <v/>
      </c>
      <c r="AU575">
        <f>$C575*AU574</f>
        <v/>
      </c>
      <c r="AV575">
        <f>$C575*AV574</f>
        <v/>
      </c>
      <c r="AW575">
        <f>$C575*AW574</f>
        <v/>
      </c>
      <c r="AX575">
        <f>$C575*AX574</f>
        <v/>
      </c>
      <c r="AY575">
        <f>$C575*AY574</f>
        <v/>
      </c>
      <c r="AZ575">
        <f>$C575*AZ574</f>
        <v/>
      </c>
      <c r="BA575">
        <f>$C575*BA574</f>
        <v/>
      </c>
      <c r="BB575">
        <f>$C575*BB574</f>
        <v/>
      </c>
      <c r="BC575">
        <f>$C575*BC574</f>
        <v/>
      </c>
      <c r="BD575">
        <f>$C575*BD574</f>
        <v/>
      </c>
      <c r="BE575">
        <f>$C575*BE574</f>
        <v/>
      </c>
      <c r="BF575">
        <f>$C575*BF574</f>
        <v/>
      </c>
      <c r="BG575">
        <f>$C575*BG574</f>
        <v/>
      </c>
      <c r="BH575">
        <f>$C575*BH574</f>
        <v/>
      </c>
      <c r="BI575">
        <f>$C575*BI574</f>
        <v/>
      </c>
      <c r="BJ575">
        <f>$C575*BJ574</f>
        <v/>
      </c>
      <c r="BK575">
        <f>$C575*BK574</f>
        <v/>
      </c>
      <c r="BL575">
        <f>$C575*BL574</f>
        <v/>
      </c>
      <c r="BM575">
        <f>$C575*BM574</f>
        <v/>
      </c>
      <c r="BN575">
        <f>$C575*BN574</f>
        <v/>
      </c>
      <c r="BO575">
        <f>$C575*BO574</f>
        <v/>
      </c>
      <c r="BP575">
        <f>$C575*BP574</f>
        <v/>
      </c>
      <c r="BQ575">
        <f>$C575*BQ574</f>
        <v/>
      </c>
      <c r="BR575">
        <f>$C575*BR574</f>
        <v/>
      </c>
      <c r="BS575">
        <f>$C575*BS574</f>
        <v/>
      </c>
      <c r="BT575">
        <f>$C575*BT574</f>
        <v/>
      </c>
      <c r="BU575">
        <f>$C575*BU574</f>
        <v/>
      </c>
      <c r="BV575">
        <f>$C575*BV574</f>
        <v/>
      </c>
      <c r="BW575">
        <f>$C575*BW574</f>
        <v/>
      </c>
      <c r="BX575">
        <f>$C575*BX574</f>
        <v/>
      </c>
      <c r="BY575">
        <f>$C575*BY574</f>
        <v/>
      </c>
      <c r="BZ575">
        <f>$C575*BZ574</f>
        <v/>
      </c>
      <c r="CA575">
        <f>$C575*CA574</f>
        <v/>
      </c>
      <c r="CB575">
        <f>$C575*CB574</f>
        <v/>
      </c>
      <c r="CC575">
        <f>$C575*CC574</f>
        <v/>
      </c>
      <c r="CD575">
        <f>$C575*CD574</f>
        <v/>
      </c>
      <c r="CE575">
        <f>$C575*CE574</f>
        <v/>
      </c>
      <c r="CF575">
        <f>$C575*CF574</f>
        <v/>
      </c>
      <c r="CG575">
        <f>$C575*CG574</f>
        <v/>
      </c>
      <c r="CH575">
        <f>$C575*CH574</f>
        <v/>
      </c>
      <c r="CI575">
        <f>$C575*CI574</f>
        <v/>
      </c>
      <c r="CJ575">
        <f>$C575*CJ574</f>
        <v/>
      </c>
      <c r="CK575">
        <f>$C575*CK574</f>
        <v/>
      </c>
      <c r="CL575">
        <f>$C575*CL574</f>
        <v/>
      </c>
      <c r="CM575">
        <f>$C575*CM574</f>
        <v/>
      </c>
      <c r="CN575">
        <f>$C575*CN574</f>
        <v/>
      </c>
      <c r="CO575">
        <f>$C575*CO574</f>
        <v/>
      </c>
      <c r="CP575">
        <f>$C575*CP574</f>
        <v/>
      </c>
      <c r="CQ575">
        <f>$C575*CQ574</f>
        <v/>
      </c>
      <c r="CR575">
        <f>$C575*CR574</f>
        <v/>
      </c>
      <c r="CS575">
        <f>$C575*CS574</f>
        <v/>
      </c>
      <c r="CT575">
        <f>$C575*CT574</f>
        <v/>
      </c>
      <c r="CU575">
        <f>$C575*CU574</f>
        <v/>
      </c>
      <c r="CV575">
        <f>$C575*CV574</f>
        <v/>
      </c>
      <c r="CW575">
        <f>$C575*CW574</f>
        <v/>
      </c>
      <c r="CX575">
        <f>$C575*CX574</f>
        <v/>
      </c>
      <c r="CY575">
        <f>$C575*CY574</f>
        <v/>
      </c>
      <c r="CZ575">
        <f>$C575*CZ574</f>
        <v/>
      </c>
      <c r="DA575">
        <f>$C575*DA574</f>
        <v/>
      </c>
      <c r="DB575">
        <f>$C575*DB574</f>
        <v/>
      </c>
      <c r="DC575">
        <f>$C575*DC574</f>
        <v/>
      </c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12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Name],$A555)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TSP-924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12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Name],$A555)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TSP-925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12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Name],$A555)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s="9" t="inlineStr">
        <is>
          <t>合計使用量(kg)/週</t>
        </is>
      </c>
      <c r="D582">
        <f>'Grid_Requirement'!B35</f>
        <v/>
      </c>
      <c r="E582">
        <f>'Grid_Requirement'!C35</f>
        <v/>
      </c>
      <c r="F582">
        <f>'Grid_Requirement'!D35</f>
        <v/>
      </c>
      <c r="G582">
        <f>'Grid_Requirement'!E35</f>
        <v/>
      </c>
      <c r="H582">
        <f>'Grid_Requirement'!F35</f>
        <v/>
      </c>
      <c r="I582">
        <f>'Grid_Requirement'!G35</f>
        <v/>
      </c>
      <c r="J582">
        <f>'Grid_Requirement'!H35</f>
        <v/>
      </c>
      <c r="K582">
        <f>'Grid_Requirement'!I35</f>
        <v/>
      </c>
      <c r="L582">
        <f>'Grid_Requirement'!J35</f>
        <v/>
      </c>
      <c r="M582">
        <f>'Grid_Requirement'!K35</f>
        <v/>
      </c>
      <c r="N582">
        <f>'Grid_Requirement'!L35</f>
        <v/>
      </c>
      <c r="O582">
        <f>'Grid_Requirement'!M35</f>
        <v/>
      </c>
      <c r="P582">
        <f>'Grid_Requirement'!N35</f>
        <v/>
      </c>
      <c r="Q582">
        <f>'Grid_Requirement'!O35</f>
        <v/>
      </c>
      <c r="R582">
        <f>'Grid_Requirement'!P35</f>
        <v/>
      </c>
      <c r="S582">
        <f>'Grid_Requirement'!Q35</f>
        <v/>
      </c>
      <c r="T582">
        <f>'Grid_Requirement'!R35</f>
        <v/>
      </c>
      <c r="U582">
        <f>'Grid_Requirement'!S35</f>
        <v/>
      </c>
      <c r="V582">
        <f>'Grid_Requirement'!T35</f>
        <v/>
      </c>
      <c r="W582">
        <f>'Grid_Requirement'!U35</f>
        <v/>
      </c>
      <c r="X582">
        <f>'Grid_Requirement'!V35</f>
        <v/>
      </c>
      <c r="Y582">
        <f>'Grid_Requirement'!W35</f>
        <v/>
      </c>
      <c r="Z582">
        <f>'Grid_Requirement'!X35</f>
        <v/>
      </c>
      <c r="AA582">
        <f>'Grid_Requirement'!Y35</f>
        <v/>
      </c>
      <c r="AB582">
        <f>'Grid_Requirement'!Z35</f>
        <v/>
      </c>
      <c r="AC582">
        <f>'Grid_Requirement'!AA35</f>
        <v/>
      </c>
      <c r="AD582">
        <f>'Grid_Requirement'!AB35</f>
        <v/>
      </c>
      <c r="AE582">
        <f>'Grid_Requirement'!AC35</f>
        <v/>
      </c>
      <c r="AF582">
        <f>'Grid_Requirement'!AD35</f>
        <v/>
      </c>
      <c r="AG582">
        <f>'Grid_Requirement'!AE35</f>
        <v/>
      </c>
      <c r="AH582">
        <f>'Grid_Requirement'!AF35</f>
        <v/>
      </c>
      <c r="AI582">
        <f>'Grid_Requirement'!AG35</f>
        <v/>
      </c>
      <c r="AJ582">
        <f>'Grid_Requirement'!AH35</f>
        <v/>
      </c>
      <c r="AK582">
        <f>'Grid_Requirement'!AI35</f>
        <v/>
      </c>
      <c r="AL582">
        <f>'Grid_Requirement'!AJ35</f>
        <v/>
      </c>
      <c r="AM582">
        <f>'Grid_Requirement'!AK35</f>
        <v/>
      </c>
      <c r="AN582">
        <f>'Grid_Requirement'!AL35</f>
        <v/>
      </c>
      <c r="AO582">
        <f>'Grid_Requirement'!AM35</f>
        <v/>
      </c>
      <c r="AP582">
        <f>'Grid_Requirement'!AN35</f>
        <v/>
      </c>
      <c r="AQ582">
        <f>'Grid_Requirement'!AO35</f>
        <v/>
      </c>
      <c r="AR582">
        <f>'Grid_Requirement'!AP35</f>
        <v/>
      </c>
      <c r="AS582">
        <f>'Grid_Requirement'!AQ35</f>
        <v/>
      </c>
      <c r="AT582">
        <f>'Grid_Requirement'!AR35</f>
        <v/>
      </c>
      <c r="AU582">
        <f>'Grid_Requirement'!AS35</f>
        <v/>
      </c>
      <c r="AV582">
        <f>'Grid_Requirement'!AT35</f>
        <v/>
      </c>
      <c r="AW582">
        <f>'Grid_Requirement'!AU35</f>
        <v/>
      </c>
      <c r="AX582">
        <f>'Grid_Requirement'!AV35</f>
        <v/>
      </c>
      <c r="AY582">
        <f>'Grid_Requirement'!AW35</f>
        <v/>
      </c>
      <c r="AZ582">
        <f>'Grid_Requirement'!AX35</f>
        <v/>
      </c>
      <c r="BA582">
        <f>'Grid_Requirement'!AY35</f>
        <v/>
      </c>
      <c r="BB582">
        <f>'Grid_Requirement'!AZ35</f>
        <v/>
      </c>
      <c r="BC582">
        <f>'Grid_Requirement'!BA35</f>
        <v/>
      </c>
      <c r="BD582">
        <f>'Grid_Requirement'!BB35</f>
        <v/>
      </c>
      <c r="BE582">
        <f>'Grid_Requirement'!BC35</f>
        <v/>
      </c>
      <c r="BF582">
        <f>'Grid_Requirement'!BD35</f>
        <v/>
      </c>
      <c r="BG582">
        <f>'Grid_Requirement'!BE35</f>
        <v/>
      </c>
      <c r="BH582">
        <f>'Grid_Requirement'!BF35</f>
        <v/>
      </c>
      <c r="BI582">
        <f>'Grid_Requirement'!BG35</f>
        <v/>
      </c>
      <c r="BJ582">
        <f>'Grid_Requirement'!BH35</f>
        <v/>
      </c>
      <c r="BK582">
        <f>'Grid_Requirement'!BI35</f>
        <v/>
      </c>
      <c r="BL582">
        <f>'Grid_Requirement'!BJ35</f>
        <v/>
      </c>
      <c r="BM582">
        <f>'Grid_Requirement'!BK35</f>
        <v/>
      </c>
      <c r="BN582">
        <f>'Grid_Requirement'!BL35</f>
        <v/>
      </c>
      <c r="BO582">
        <f>'Grid_Requirement'!BM35</f>
        <v/>
      </c>
      <c r="BP582">
        <f>'Grid_Requirement'!BN35</f>
        <v/>
      </c>
      <c r="BQ582">
        <f>'Grid_Requirement'!BO35</f>
        <v/>
      </c>
      <c r="BR582">
        <f>'Grid_Requirement'!BP35</f>
        <v/>
      </c>
      <c r="BS582">
        <f>'Grid_Requirement'!BQ35</f>
        <v/>
      </c>
      <c r="BT582">
        <f>'Grid_Requirement'!BR35</f>
        <v/>
      </c>
      <c r="BU582">
        <f>'Grid_Requirement'!BS35</f>
        <v/>
      </c>
      <c r="BV582">
        <f>'Grid_Requirement'!BT35</f>
        <v/>
      </c>
      <c r="BW582">
        <f>'Grid_Requirement'!BU35</f>
        <v/>
      </c>
      <c r="BX582">
        <f>'Grid_Requirement'!BV35</f>
        <v/>
      </c>
      <c r="BY582">
        <f>'Grid_Requirement'!BW35</f>
        <v/>
      </c>
      <c r="BZ582">
        <f>'Grid_Requirement'!BX35</f>
        <v/>
      </c>
      <c r="CA582">
        <f>'Grid_Requirement'!BY35</f>
        <v/>
      </c>
      <c r="CB582">
        <f>'Grid_Requirement'!BZ35</f>
        <v/>
      </c>
      <c r="CC582">
        <f>'Grid_Requirement'!CA35</f>
        <v/>
      </c>
      <c r="CD582">
        <f>'Grid_Requirement'!CB35</f>
        <v/>
      </c>
      <c r="CE582">
        <f>'Grid_Requirement'!CC35</f>
        <v/>
      </c>
      <c r="CF582">
        <f>'Grid_Requirement'!CD35</f>
        <v/>
      </c>
      <c r="CG582">
        <f>'Grid_Requirement'!CE35</f>
        <v/>
      </c>
      <c r="CH582">
        <f>'Grid_Requirement'!CF35</f>
        <v/>
      </c>
      <c r="CI582">
        <f>'Grid_Requirement'!CG35</f>
        <v/>
      </c>
      <c r="CJ582">
        <f>'Grid_Requirement'!CH35</f>
        <v/>
      </c>
      <c r="CK582">
        <f>'Grid_Requirement'!CI35</f>
        <v/>
      </c>
      <c r="CL582">
        <f>'Grid_Requirement'!CJ35</f>
        <v/>
      </c>
      <c r="CM582">
        <f>'Grid_Requirement'!CK35</f>
        <v/>
      </c>
      <c r="CN582">
        <f>'Grid_Requirement'!CL35</f>
        <v/>
      </c>
      <c r="CO582">
        <f>'Grid_Requirement'!CM35</f>
        <v/>
      </c>
      <c r="CP582">
        <f>'Grid_Requirement'!CN35</f>
        <v/>
      </c>
      <c r="CQ582">
        <f>'Grid_Requirement'!CO35</f>
        <v/>
      </c>
      <c r="CR582">
        <f>'Grid_Requirement'!CP35</f>
        <v/>
      </c>
      <c r="CS582">
        <f>'Grid_Requirement'!CQ35</f>
        <v/>
      </c>
      <c r="CT582">
        <f>'Grid_Requirement'!CR35</f>
        <v/>
      </c>
      <c r="CU582">
        <f>'Grid_Requirement'!CS35</f>
        <v/>
      </c>
      <c r="CV582">
        <f>'Grid_Requirement'!CT35</f>
        <v/>
      </c>
      <c r="CW582">
        <f>'Grid_Requirement'!CU35</f>
        <v/>
      </c>
      <c r="CX582">
        <f>'Grid_Requirement'!CV35</f>
        <v/>
      </c>
      <c r="CY582">
        <f>'Grid_Requirement'!CW35</f>
        <v/>
      </c>
      <c r="CZ582">
        <f>'Grid_Requirement'!CX35</f>
        <v/>
      </c>
      <c r="DA582">
        <f>'Grid_Requirement'!CY35</f>
        <v/>
      </c>
      <c r="DB582">
        <f>'Grid_Requirement'!CZ35</f>
        <v/>
      </c>
      <c r="DC582">
        <f>'Grid_Requirement'!DA35</f>
        <v/>
      </c>
    </row>
    <row r="583">
      <c r="B583" t="inlineStr">
        <is>
          <t>TTAF在庫(実績,kg)</t>
        </is>
      </c>
      <c r="D583">
        <f>'T_TTAFStock'!B39</f>
        <v/>
      </c>
      <c r="E583">
        <f>'T_TTAFStock'!C39</f>
        <v/>
      </c>
      <c r="F583">
        <f>'T_TTAFStock'!D39</f>
        <v/>
      </c>
      <c r="G583">
        <f>'T_TTAFStock'!E39</f>
        <v/>
      </c>
      <c r="H583">
        <f>'T_TTAFStock'!F39</f>
        <v/>
      </c>
      <c r="I583">
        <f>'T_TTAFStock'!G39</f>
        <v/>
      </c>
      <c r="J583">
        <f>'T_TTAFStock'!H39</f>
        <v/>
      </c>
      <c r="K583">
        <f>'T_TTAFStock'!I39</f>
        <v/>
      </c>
      <c r="L583">
        <f>'T_TTAFStock'!J39</f>
        <v/>
      </c>
      <c r="M583">
        <f>'T_TTAFStock'!K39</f>
        <v/>
      </c>
      <c r="N583">
        <f>'T_TTAFStock'!L39</f>
        <v/>
      </c>
      <c r="O583">
        <f>'T_TTAFStock'!M39</f>
        <v/>
      </c>
      <c r="P583">
        <f>'T_TTAFStock'!N39</f>
        <v/>
      </c>
      <c r="Q583">
        <f>'T_TTAFStock'!O39</f>
        <v/>
      </c>
      <c r="R583">
        <f>'T_TTAFStock'!P39</f>
        <v/>
      </c>
      <c r="S583">
        <f>'T_TTAFStock'!Q39</f>
        <v/>
      </c>
      <c r="T583">
        <f>'T_TTAFStock'!R39</f>
        <v/>
      </c>
      <c r="U583">
        <f>'T_TTAFStock'!S39</f>
        <v/>
      </c>
      <c r="V583">
        <f>'T_TTAFStock'!T39</f>
        <v/>
      </c>
      <c r="W583">
        <f>'T_TTAFStock'!U39</f>
        <v/>
      </c>
      <c r="X583">
        <f>'T_TTAFStock'!V39</f>
        <v/>
      </c>
      <c r="Y583">
        <f>'T_TTAFStock'!W39</f>
        <v/>
      </c>
      <c r="Z583">
        <f>'T_TTAFStock'!X39</f>
        <v/>
      </c>
      <c r="AA583">
        <f>'T_TTAFStock'!Y39</f>
        <v/>
      </c>
      <c r="AB583">
        <f>'T_TTAFStock'!Z39</f>
        <v/>
      </c>
      <c r="AC583">
        <f>'T_TTAFStock'!AA39</f>
        <v/>
      </c>
      <c r="AD583">
        <f>'T_TTAFStock'!AB39</f>
        <v/>
      </c>
      <c r="AE583">
        <f>'T_TTAFStock'!AC39</f>
        <v/>
      </c>
      <c r="AF583">
        <f>'T_TTAFStock'!AD39</f>
        <v/>
      </c>
      <c r="AG583">
        <f>'T_TTAFStock'!AE39</f>
        <v/>
      </c>
      <c r="AH583">
        <f>'T_TTAFStock'!AF39</f>
        <v/>
      </c>
      <c r="AI583">
        <f>'T_TTAFStock'!AG39</f>
        <v/>
      </c>
      <c r="AJ583">
        <f>'T_TTAFStock'!AH39</f>
        <v/>
      </c>
      <c r="AK583">
        <f>'T_TTAFStock'!AI39</f>
        <v/>
      </c>
      <c r="AL583">
        <f>'T_TTAFStock'!AJ39</f>
        <v/>
      </c>
      <c r="AM583">
        <f>'T_TTAFStock'!AK39</f>
        <v/>
      </c>
      <c r="AN583">
        <f>'T_TTAFStock'!AL39</f>
        <v/>
      </c>
      <c r="AO583">
        <f>'T_TTAFStock'!AM39</f>
        <v/>
      </c>
      <c r="AP583">
        <f>'T_TTAFStock'!AN39</f>
        <v/>
      </c>
      <c r="AQ583">
        <f>'T_TTAFStock'!AO39</f>
        <v/>
      </c>
      <c r="AR583">
        <f>'T_TTAFStock'!AP39</f>
        <v/>
      </c>
      <c r="AS583">
        <f>'T_TTAFStock'!AQ39</f>
        <v/>
      </c>
      <c r="AT583">
        <f>'T_TTAFStock'!AR39</f>
        <v/>
      </c>
      <c r="AU583">
        <f>'T_TTAFStock'!AS39</f>
        <v/>
      </c>
      <c r="AV583">
        <f>'T_TTAFStock'!AT39</f>
        <v/>
      </c>
      <c r="AW583">
        <f>'T_TTAFStock'!AU39</f>
        <v/>
      </c>
      <c r="AX583">
        <f>'T_TTAFStock'!AV39</f>
        <v/>
      </c>
      <c r="AY583">
        <f>'T_TTAFStock'!AW39</f>
        <v/>
      </c>
      <c r="AZ583">
        <f>'T_TTAFStock'!AX39</f>
        <v/>
      </c>
      <c r="BA583">
        <f>'T_TTAFStock'!AY39</f>
        <v/>
      </c>
      <c r="BB583">
        <f>'T_TTAFStock'!AZ39</f>
        <v/>
      </c>
      <c r="BC583">
        <f>'T_TTAFStock'!BA39</f>
        <v/>
      </c>
      <c r="BD583">
        <f>'T_TTAFStock'!BB39</f>
        <v/>
      </c>
      <c r="BE583">
        <f>'T_TTAFStock'!BC39</f>
        <v/>
      </c>
      <c r="BF583">
        <f>'T_TTAFStock'!BD39</f>
        <v/>
      </c>
      <c r="BG583">
        <f>'T_TTAFStock'!BE39</f>
        <v/>
      </c>
      <c r="BH583">
        <f>'T_TTAFStock'!BF39</f>
        <v/>
      </c>
      <c r="BI583">
        <f>'T_TTAFStock'!BG39</f>
        <v/>
      </c>
      <c r="BJ583">
        <f>'T_TTAFStock'!BH39</f>
        <v/>
      </c>
      <c r="BK583">
        <f>'T_TTAFStock'!BI39</f>
        <v/>
      </c>
      <c r="BL583">
        <f>'T_TTAFStock'!BJ39</f>
        <v/>
      </c>
      <c r="BM583">
        <f>'T_TTAFStock'!BK39</f>
        <v/>
      </c>
      <c r="BN583">
        <f>'T_TTAFStock'!BL39</f>
        <v/>
      </c>
      <c r="BO583">
        <f>'T_TTAFStock'!BM39</f>
        <v/>
      </c>
      <c r="BP583">
        <f>'T_TTAFStock'!BN39</f>
        <v/>
      </c>
      <c r="BQ583">
        <f>'T_TTAFStock'!BO39</f>
        <v/>
      </c>
      <c r="BR583">
        <f>'T_TTAFStock'!BP39</f>
        <v/>
      </c>
      <c r="BS583">
        <f>'T_TTAFStock'!BQ39</f>
        <v/>
      </c>
      <c r="BT583">
        <f>'T_TTAFStock'!BR39</f>
        <v/>
      </c>
      <c r="BU583">
        <f>'T_TTAFStock'!BS39</f>
        <v/>
      </c>
      <c r="BV583">
        <f>'T_TTAFStock'!BT39</f>
        <v/>
      </c>
      <c r="BW583">
        <f>'T_TTAFStock'!BU39</f>
        <v/>
      </c>
      <c r="BX583">
        <f>'T_TTAFStock'!BV39</f>
        <v/>
      </c>
      <c r="BY583">
        <f>'T_TTAFStock'!BW39</f>
        <v/>
      </c>
      <c r="BZ583">
        <f>'T_TTAFStock'!BX39</f>
        <v/>
      </c>
      <c r="CA583">
        <f>'T_TTAFStock'!BY39</f>
        <v/>
      </c>
      <c r="CB583">
        <f>'T_TTAFStock'!BZ39</f>
        <v/>
      </c>
      <c r="CC583">
        <f>'T_TTAFStock'!CA39</f>
        <v/>
      </c>
      <c r="CD583">
        <f>'T_TTAFStock'!CB39</f>
        <v/>
      </c>
      <c r="CE583">
        <f>'T_TTAFStock'!CC39</f>
        <v/>
      </c>
      <c r="CF583">
        <f>'T_TTAFStock'!CD39</f>
        <v/>
      </c>
      <c r="CG583">
        <f>'T_TTAFStock'!CE39</f>
        <v/>
      </c>
      <c r="CH583">
        <f>'T_TTAFStock'!CF39</f>
        <v/>
      </c>
      <c r="CI583">
        <f>'T_TTAFStock'!CG39</f>
        <v/>
      </c>
      <c r="CJ583">
        <f>'T_TTAFStock'!CH39</f>
        <v/>
      </c>
      <c r="CK583">
        <f>'T_TTAFStock'!CI39</f>
        <v/>
      </c>
      <c r="CL583">
        <f>'T_TTAFStock'!CJ39</f>
        <v/>
      </c>
      <c r="CM583">
        <f>'T_TTAFStock'!CK39</f>
        <v/>
      </c>
      <c r="CN583">
        <f>'T_TTAFStock'!CL39</f>
        <v/>
      </c>
      <c r="CO583">
        <f>'T_TTAFStock'!CM39</f>
        <v/>
      </c>
      <c r="CP583">
        <f>'T_TTAFStock'!CN39</f>
        <v/>
      </c>
      <c r="CQ583">
        <f>'T_TTAFStock'!CO39</f>
        <v/>
      </c>
      <c r="CR583">
        <f>'T_TTAFStock'!CP39</f>
        <v/>
      </c>
      <c r="CS583">
        <f>'T_TTAFStock'!CQ39</f>
        <v/>
      </c>
      <c r="CT583">
        <f>'T_TTAFStock'!CR39</f>
        <v/>
      </c>
      <c r="CU583">
        <f>'T_TTAFStock'!CS39</f>
        <v/>
      </c>
      <c r="CV583">
        <f>'T_TTAFStock'!CT39</f>
        <v/>
      </c>
      <c r="CW583">
        <f>'T_TTAFStock'!CU39</f>
        <v/>
      </c>
      <c r="CX583">
        <f>'T_TTAFStock'!CV39</f>
        <v/>
      </c>
      <c r="CY583">
        <f>'T_TTAFStock'!CW39</f>
        <v/>
      </c>
      <c r="CZ583">
        <f>'T_TTAFStock'!CX39</f>
        <v/>
      </c>
      <c r="DA583">
        <f>'T_TTAFStock'!CY39</f>
        <v/>
      </c>
      <c r="DB583">
        <f>'T_TTAFStock'!CZ39</f>
        <v/>
      </c>
      <c r="DC583">
        <f>'T_TTAFStock'!DA39</f>
        <v/>
      </c>
    </row>
    <row r="584">
      <c r="B584" t="inlineStr">
        <is>
          <t>自社在庫(実績,kg)</t>
        </is>
      </c>
      <c r="D584">
        <f>'T_SelfStock'!B39</f>
        <v/>
      </c>
      <c r="E584">
        <f>'T_SelfStock'!C39</f>
        <v/>
      </c>
      <c r="F584">
        <f>'T_SelfStock'!D39</f>
        <v/>
      </c>
      <c r="G584">
        <f>'T_SelfStock'!E39</f>
        <v/>
      </c>
      <c r="H584">
        <f>'T_SelfStock'!F39</f>
        <v/>
      </c>
      <c r="I584">
        <f>'T_SelfStock'!G39</f>
        <v/>
      </c>
      <c r="J584">
        <f>'T_SelfStock'!H39</f>
        <v/>
      </c>
      <c r="K584">
        <f>'T_SelfStock'!I39</f>
        <v/>
      </c>
      <c r="L584">
        <f>'T_SelfStock'!J39</f>
        <v/>
      </c>
      <c r="M584">
        <f>'T_SelfStock'!K39</f>
        <v/>
      </c>
      <c r="N584">
        <f>'T_SelfStock'!L39</f>
        <v/>
      </c>
      <c r="O584">
        <f>'T_SelfStock'!M39</f>
        <v/>
      </c>
      <c r="P584">
        <f>'T_SelfStock'!N39</f>
        <v/>
      </c>
      <c r="Q584">
        <f>'T_SelfStock'!O39</f>
        <v/>
      </c>
      <c r="R584">
        <f>'T_SelfStock'!P39</f>
        <v/>
      </c>
      <c r="S584">
        <f>'T_SelfStock'!Q39</f>
        <v/>
      </c>
      <c r="T584">
        <f>'T_SelfStock'!R39</f>
        <v/>
      </c>
      <c r="U584">
        <f>'T_SelfStock'!S39</f>
        <v/>
      </c>
      <c r="V584">
        <f>'T_SelfStock'!T39</f>
        <v/>
      </c>
      <c r="W584">
        <f>'T_SelfStock'!U39</f>
        <v/>
      </c>
      <c r="X584">
        <f>'T_SelfStock'!V39</f>
        <v/>
      </c>
      <c r="Y584">
        <f>'T_SelfStock'!W39</f>
        <v/>
      </c>
      <c r="Z584">
        <f>'T_SelfStock'!X39</f>
        <v/>
      </c>
      <c r="AA584">
        <f>'T_SelfStock'!Y39</f>
        <v/>
      </c>
      <c r="AB584">
        <f>'T_SelfStock'!Z39</f>
        <v/>
      </c>
      <c r="AC584">
        <f>'T_SelfStock'!AA39</f>
        <v/>
      </c>
      <c r="AD584">
        <f>'T_SelfStock'!AB39</f>
        <v/>
      </c>
      <c r="AE584">
        <f>'T_SelfStock'!AC39</f>
        <v/>
      </c>
      <c r="AF584">
        <f>'T_SelfStock'!AD39</f>
        <v/>
      </c>
      <c r="AG584">
        <f>'T_SelfStock'!AE39</f>
        <v/>
      </c>
      <c r="AH584">
        <f>'T_SelfStock'!AF39</f>
        <v/>
      </c>
      <c r="AI584">
        <f>'T_SelfStock'!AG39</f>
        <v/>
      </c>
      <c r="AJ584">
        <f>'T_SelfStock'!AH39</f>
        <v/>
      </c>
      <c r="AK584">
        <f>'T_SelfStock'!AI39</f>
        <v/>
      </c>
      <c r="AL584">
        <f>'T_SelfStock'!AJ39</f>
        <v/>
      </c>
      <c r="AM584">
        <f>'T_SelfStock'!AK39</f>
        <v/>
      </c>
      <c r="AN584">
        <f>'T_SelfStock'!AL39</f>
        <v/>
      </c>
      <c r="AO584">
        <f>'T_SelfStock'!AM39</f>
        <v/>
      </c>
      <c r="AP584">
        <f>'T_SelfStock'!AN39</f>
        <v/>
      </c>
      <c r="AQ584">
        <f>'T_SelfStock'!AO39</f>
        <v/>
      </c>
      <c r="AR584">
        <f>'T_SelfStock'!AP39</f>
        <v/>
      </c>
      <c r="AS584">
        <f>'T_SelfStock'!AQ39</f>
        <v/>
      </c>
      <c r="AT584">
        <f>'T_SelfStock'!AR39</f>
        <v/>
      </c>
      <c r="AU584">
        <f>'T_SelfStock'!AS39</f>
        <v/>
      </c>
      <c r="AV584">
        <f>'T_SelfStock'!AT39</f>
        <v/>
      </c>
      <c r="AW584">
        <f>'T_SelfStock'!AU39</f>
        <v/>
      </c>
      <c r="AX584">
        <f>'T_SelfStock'!AV39</f>
        <v/>
      </c>
      <c r="AY584">
        <f>'T_SelfStock'!AW39</f>
        <v/>
      </c>
      <c r="AZ584">
        <f>'T_SelfStock'!AX39</f>
        <v/>
      </c>
      <c r="BA584">
        <f>'T_SelfStock'!AY39</f>
        <v/>
      </c>
      <c r="BB584">
        <f>'T_SelfStock'!AZ39</f>
        <v/>
      </c>
      <c r="BC584">
        <f>'T_SelfStock'!BA39</f>
        <v/>
      </c>
      <c r="BD584">
        <f>'T_SelfStock'!BB39</f>
        <v/>
      </c>
      <c r="BE584">
        <f>'T_SelfStock'!BC39</f>
        <v/>
      </c>
      <c r="BF584">
        <f>'T_SelfStock'!BD39</f>
        <v/>
      </c>
      <c r="BG584">
        <f>'T_SelfStock'!BE39</f>
        <v/>
      </c>
      <c r="BH584">
        <f>'T_SelfStock'!BF39</f>
        <v/>
      </c>
      <c r="BI584">
        <f>'T_SelfStock'!BG39</f>
        <v/>
      </c>
      <c r="BJ584">
        <f>'T_SelfStock'!BH39</f>
        <v/>
      </c>
      <c r="BK584">
        <f>'T_SelfStock'!BI39</f>
        <v/>
      </c>
      <c r="BL584">
        <f>'T_SelfStock'!BJ39</f>
        <v/>
      </c>
      <c r="BM584">
        <f>'T_SelfStock'!BK39</f>
        <v/>
      </c>
      <c r="BN584">
        <f>'T_SelfStock'!BL39</f>
        <v/>
      </c>
      <c r="BO584">
        <f>'T_SelfStock'!BM39</f>
        <v/>
      </c>
      <c r="BP584">
        <f>'T_SelfStock'!BN39</f>
        <v/>
      </c>
      <c r="BQ584">
        <f>'T_SelfStock'!BO39</f>
        <v/>
      </c>
      <c r="BR584">
        <f>'T_SelfStock'!BP39</f>
        <v/>
      </c>
      <c r="BS584">
        <f>'T_SelfStock'!BQ39</f>
        <v/>
      </c>
      <c r="BT584">
        <f>'T_SelfStock'!BR39</f>
        <v/>
      </c>
      <c r="BU584">
        <f>'T_SelfStock'!BS39</f>
        <v/>
      </c>
      <c r="BV584">
        <f>'T_SelfStock'!BT39</f>
        <v/>
      </c>
      <c r="BW584">
        <f>'T_SelfStock'!BU39</f>
        <v/>
      </c>
      <c r="BX584">
        <f>'T_SelfStock'!BV39</f>
        <v/>
      </c>
      <c r="BY584">
        <f>'T_SelfStock'!BW39</f>
        <v/>
      </c>
      <c r="BZ584">
        <f>'T_SelfStock'!BX39</f>
        <v/>
      </c>
      <c r="CA584">
        <f>'T_SelfStock'!BY39</f>
        <v/>
      </c>
      <c r="CB584">
        <f>'T_SelfStock'!BZ39</f>
        <v/>
      </c>
      <c r="CC584">
        <f>'T_SelfStock'!CA39</f>
        <v/>
      </c>
      <c r="CD584">
        <f>'T_SelfStock'!CB39</f>
        <v/>
      </c>
      <c r="CE584">
        <f>'T_SelfStock'!CC39</f>
        <v/>
      </c>
      <c r="CF584">
        <f>'T_SelfStock'!CD39</f>
        <v/>
      </c>
      <c r="CG584">
        <f>'T_SelfStock'!CE39</f>
        <v/>
      </c>
      <c r="CH584">
        <f>'T_SelfStock'!CF39</f>
        <v/>
      </c>
      <c r="CI584">
        <f>'T_SelfStock'!CG39</f>
        <v/>
      </c>
      <c r="CJ584">
        <f>'T_SelfStock'!CH39</f>
        <v/>
      </c>
      <c r="CK584">
        <f>'T_SelfStock'!CI39</f>
        <v/>
      </c>
      <c r="CL584">
        <f>'T_SelfStock'!CJ39</f>
        <v/>
      </c>
      <c r="CM584">
        <f>'T_SelfStock'!CK39</f>
        <v/>
      </c>
      <c r="CN584">
        <f>'T_SelfStock'!CL39</f>
        <v/>
      </c>
      <c r="CO584">
        <f>'T_SelfStock'!CM39</f>
        <v/>
      </c>
      <c r="CP584">
        <f>'T_SelfStock'!CN39</f>
        <v/>
      </c>
      <c r="CQ584">
        <f>'T_SelfStock'!CO39</f>
        <v/>
      </c>
      <c r="CR584">
        <f>'T_SelfStock'!CP39</f>
        <v/>
      </c>
      <c r="CS584">
        <f>'T_SelfStock'!CQ39</f>
        <v/>
      </c>
      <c r="CT584">
        <f>'T_SelfStock'!CR39</f>
        <v/>
      </c>
      <c r="CU584">
        <f>'T_SelfStock'!CS39</f>
        <v/>
      </c>
      <c r="CV584">
        <f>'T_SelfStock'!CT39</f>
        <v/>
      </c>
      <c r="CW584">
        <f>'T_SelfStock'!CU39</f>
        <v/>
      </c>
      <c r="CX584">
        <f>'T_SelfStock'!CV39</f>
        <v/>
      </c>
      <c r="CY584">
        <f>'T_SelfStock'!CW39</f>
        <v/>
      </c>
      <c r="CZ584">
        <f>'T_SelfStock'!CX39</f>
        <v/>
      </c>
      <c r="DA584">
        <f>'T_SelfStock'!CY39</f>
        <v/>
      </c>
      <c r="DB584">
        <f>'T_SelfStock'!CZ39</f>
        <v/>
      </c>
      <c r="DC584">
        <f>'T_SelfStock'!DA39</f>
        <v/>
      </c>
    </row>
    <row r="585">
      <c r="B585" t="inlineStr">
        <is>
          <t>Order(発注予定,kg)</t>
        </is>
      </c>
      <c r="D585">
        <f>IF(SUMIFS(T_PlannedOrders[EffectiveQty],T_PlannedOrders[Part Name],$A555,T_PlannedOrders[WeekIndex],1)=0,"",SUMIFS(T_PlannedOrders[EffectiveQty],T_PlannedOrders[Part Name],$A555,T_PlannedOrders[WeekIndex],1)&amp;" ("&amp;TEXT(SUMPRODUCT(MAX((T_PlannedOrders[Part Name]=$A555)*(T_PlannedOrders[WeekIndex]=1)*(T_PlannedOrders[EffectiveQty]&gt;0)*T_PlannedOrders[Order_Month])),"m月")&amp;"発注)")</f>
        <v/>
      </c>
      <c r="E585">
        <f>IF(SUMIFS(T_PlannedOrders[EffectiveQty],T_PlannedOrders[Part Name],$A555,T_PlannedOrders[WeekIndex],2)=0,"",SUMIFS(T_PlannedOrders[EffectiveQty],T_PlannedOrders[Part Name],$A555,T_PlannedOrders[WeekIndex],2)&amp;" ("&amp;TEXT(SUMPRODUCT(MAX((T_PlannedOrders[Part Name]=$A555)*(T_PlannedOrders[WeekIndex]=2)*(T_PlannedOrders[EffectiveQty]&gt;0)*T_PlannedOrders[Order_Month])),"m月")&amp;"発注)")</f>
        <v/>
      </c>
      <c r="F585">
        <f>IF(SUMIFS(T_PlannedOrders[EffectiveQty],T_PlannedOrders[Part Name],$A555,T_PlannedOrders[WeekIndex],3)=0,"",SUMIFS(T_PlannedOrders[EffectiveQty],T_PlannedOrders[Part Name],$A555,T_PlannedOrders[WeekIndex],3)&amp;" ("&amp;TEXT(SUMPRODUCT(MAX((T_PlannedOrders[Part Name]=$A555)*(T_PlannedOrders[WeekIndex]=3)*(T_PlannedOrders[EffectiveQty]&gt;0)*T_PlannedOrders[Order_Month])),"m月")&amp;"発注)")</f>
        <v/>
      </c>
      <c r="G585">
        <f>IF(SUMIFS(T_PlannedOrders[EffectiveQty],T_PlannedOrders[Part Name],$A555,T_PlannedOrders[WeekIndex],4)=0,"",SUMIFS(T_PlannedOrders[EffectiveQty],T_PlannedOrders[Part Name],$A555,T_PlannedOrders[WeekIndex],4)&amp;" ("&amp;TEXT(SUMPRODUCT(MAX((T_PlannedOrders[Part Name]=$A555)*(T_PlannedOrders[WeekIndex]=4)*(T_PlannedOrders[EffectiveQty]&gt;0)*T_PlannedOrders[Order_Month])),"m月")&amp;"発注)")</f>
        <v/>
      </c>
      <c r="H585">
        <f>IF(SUMIFS(T_PlannedOrders[EffectiveQty],T_PlannedOrders[Part Name],$A555,T_PlannedOrders[WeekIndex],5)=0,"",SUMIFS(T_PlannedOrders[EffectiveQty],T_PlannedOrders[Part Name],$A555,T_PlannedOrders[WeekIndex],5)&amp;" ("&amp;TEXT(SUMPRODUCT(MAX((T_PlannedOrders[Part Name]=$A555)*(T_PlannedOrders[WeekIndex]=5)*(T_PlannedOrders[EffectiveQty]&gt;0)*T_PlannedOrders[Order_Month])),"m月")&amp;"発注)")</f>
        <v/>
      </c>
      <c r="I585">
        <f>IF(SUMIFS(T_PlannedOrders[EffectiveQty],T_PlannedOrders[Part Name],$A555,T_PlannedOrders[WeekIndex],6)=0,"",SUMIFS(T_PlannedOrders[EffectiveQty],T_PlannedOrders[Part Name],$A555,T_PlannedOrders[WeekIndex],6)&amp;" ("&amp;TEXT(SUMPRODUCT(MAX((T_PlannedOrders[Part Name]=$A555)*(T_PlannedOrders[WeekIndex]=6)*(T_PlannedOrders[EffectiveQty]&gt;0)*T_PlannedOrders[Order_Month])),"m月")&amp;"発注)")</f>
        <v/>
      </c>
      <c r="J585">
        <f>IF(SUMIFS(T_PlannedOrders[EffectiveQty],T_PlannedOrders[Part Name],$A555,T_PlannedOrders[WeekIndex],7)=0,"",SUMIFS(T_PlannedOrders[EffectiveQty],T_PlannedOrders[Part Name],$A555,T_PlannedOrders[WeekIndex],7)&amp;" ("&amp;TEXT(SUMPRODUCT(MAX((T_PlannedOrders[Part Name]=$A555)*(T_PlannedOrders[WeekIndex]=7)*(T_PlannedOrders[EffectiveQty]&gt;0)*T_PlannedOrders[Order_Month])),"m月")&amp;"発注)")</f>
        <v/>
      </c>
      <c r="K585">
        <f>IF(SUMIFS(T_PlannedOrders[EffectiveQty],T_PlannedOrders[Part Name],$A555,T_PlannedOrders[WeekIndex],8)=0,"",SUMIFS(T_PlannedOrders[EffectiveQty],T_PlannedOrders[Part Name],$A555,T_PlannedOrders[WeekIndex],8)&amp;" ("&amp;TEXT(SUMPRODUCT(MAX((T_PlannedOrders[Part Name]=$A555)*(T_PlannedOrders[WeekIndex]=8)*(T_PlannedOrders[EffectiveQty]&gt;0)*T_PlannedOrders[Order_Month])),"m月")&amp;"発注)")</f>
        <v/>
      </c>
      <c r="L585">
        <f>IF(SUMIFS(T_PlannedOrders[EffectiveQty],T_PlannedOrders[Part Name],$A555,T_PlannedOrders[WeekIndex],9)=0,"",SUMIFS(T_PlannedOrders[EffectiveQty],T_PlannedOrders[Part Name],$A555,T_PlannedOrders[WeekIndex],9)&amp;" ("&amp;TEXT(SUMPRODUCT(MAX((T_PlannedOrders[Part Name]=$A555)*(T_PlannedOrders[WeekIndex]=9)*(T_PlannedOrders[EffectiveQty]&gt;0)*T_PlannedOrders[Order_Month])),"m月")&amp;"発注)")</f>
        <v/>
      </c>
      <c r="M585">
        <f>IF(SUMIFS(T_PlannedOrders[EffectiveQty],T_PlannedOrders[Part Name],$A555,T_PlannedOrders[WeekIndex],10)=0,"",SUMIFS(T_PlannedOrders[EffectiveQty],T_PlannedOrders[Part Name],$A555,T_PlannedOrders[WeekIndex],10)&amp;" ("&amp;TEXT(SUMPRODUCT(MAX((T_PlannedOrders[Part Name]=$A555)*(T_PlannedOrders[WeekIndex]=10)*(T_PlannedOrders[EffectiveQty]&gt;0)*T_PlannedOrders[Order_Month])),"m月")&amp;"発注)")</f>
        <v/>
      </c>
      <c r="N585">
        <f>IF(SUMIFS(T_PlannedOrders[EffectiveQty],T_PlannedOrders[Part Name],$A555,T_PlannedOrders[WeekIndex],11)=0,"",SUMIFS(T_PlannedOrders[EffectiveQty],T_PlannedOrders[Part Name],$A555,T_PlannedOrders[WeekIndex],11)&amp;" ("&amp;TEXT(SUMPRODUCT(MAX((T_PlannedOrders[Part Name]=$A555)*(T_PlannedOrders[WeekIndex]=11)*(T_PlannedOrders[EffectiveQty]&gt;0)*T_PlannedOrders[Order_Month])),"m月")&amp;"発注)")</f>
        <v/>
      </c>
      <c r="O585">
        <f>IF(SUMIFS(T_PlannedOrders[EffectiveQty],T_PlannedOrders[Part Name],$A555,T_PlannedOrders[WeekIndex],12)=0,"",SUMIFS(T_PlannedOrders[EffectiveQty],T_PlannedOrders[Part Name],$A555,T_PlannedOrders[WeekIndex],12)&amp;" ("&amp;TEXT(SUMPRODUCT(MAX((T_PlannedOrders[Part Name]=$A555)*(T_PlannedOrders[WeekIndex]=12)*(T_PlannedOrders[EffectiveQty]&gt;0)*T_PlannedOrders[Order_Month])),"m月")&amp;"発注)")</f>
        <v/>
      </c>
      <c r="P585">
        <f>IF(SUMIFS(T_PlannedOrders[EffectiveQty],T_PlannedOrders[Part Name],$A555,T_PlannedOrders[WeekIndex],13)=0,"",SUMIFS(T_PlannedOrders[EffectiveQty],T_PlannedOrders[Part Name],$A555,T_PlannedOrders[WeekIndex],13)&amp;" ("&amp;TEXT(SUMPRODUCT(MAX((T_PlannedOrders[Part Name]=$A555)*(T_PlannedOrders[WeekIndex]=13)*(T_PlannedOrders[EffectiveQty]&gt;0)*T_PlannedOrders[Order_Month])),"m月")&amp;"発注)")</f>
        <v/>
      </c>
      <c r="Q585">
        <f>IF(SUMIFS(T_PlannedOrders[EffectiveQty],T_PlannedOrders[Part Name],$A555,T_PlannedOrders[WeekIndex],14)=0,"",SUMIFS(T_PlannedOrders[EffectiveQty],T_PlannedOrders[Part Name],$A555,T_PlannedOrders[WeekIndex],14)&amp;" ("&amp;TEXT(SUMPRODUCT(MAX((T_PlannedOrders[Part Name]=$A555)*(T_PlannedOrders[WeekIndex]=14)*(T_PlannedOrders[EffectiveQty]&gt;0)*T_PlannedOrders[Order_Month])),"m月")&amp;"発注)")</f>
        <v/>
      </c>
      <c r="R585">
        <f>IF(SUMIFS(T_PlannedOrders[EffectiveQty],T_PlannedOrders[Part Name],$A555,T_PlannedOrders[WeekIndex],15)=0,"",SUMIFS(T_PlannedOrders[EffectiveQty],T_PlannedOrders[Part Name],$A555,T_PlannedOrders[WeekIndex],15)&amp;" ("&amp;TEXT(SUMPRODUCT(MAX((T_PlannedOrders[Part Name]=$A555)*(T_PlannedOrders[WeekIndex]=15)*(T_PlannedOrders[EffectiveQty]&gt;0)*T_PlannedOrders[Order_Month])),"m月")&amp;"発注)")</f>
        <v/>
      </c>
      <c r="S585">
        <f>IF(SUMIFS(T_PlannedOrders[EffectiveQty],T_PlannedOrders[Part Name],$A555,T_PlannedOrders[WeekIndex],16)=0,"",SUMIFS(T_PlannedOrders[EffectiveQty],T_PlannedOrders[Part Name],$A555,T_PlannedOrders[WeekIndex],16)&amp;" ("&amp;TEXT(SUMPRODUCT(MAX((T_PlannedOrders[Part Name]=$A555)*(T_PlannedOrders[WeekIndex]=16)*(T_PlannedOrders[EffectiveQty]&gt;0)*T_PlannedOrders[Order_Month])),"m月")&amp;"発注)")</f>
        <v/>
      </c>
      <c r="T585">
        <f>IF(SUMIFS(T_PlannedOrders[EffectiveQty],T_PlannedOrders[Part Name],$A555,T_PlannedOrders[WeekIndex],17)=0,"",SUMIFS(T_PlannedOrders[EffectiveQty],T_PlannedOrders[Part Name],$A555,T_PlannedOrders[WeekIndex],17)&amp;" ("&amp;TEXT(SUMPRODUCT(MAX((T_PlannedOrders[Part Name]=$A555)*(T_PlannedOrders[WeekIndex]=17)*(T_PlannedOrders[EffectiveQty]&gt;0)*T_PlannedOrders[Order_Month])),"m月")&amp;"発注)")</f>
        <v/>
      </c>
      <c r="U585">
        <f>IF(SUMIFS(T_PlannedOrders[EffectiveQty],T_PlannedOrders[Part Name],$A555,T_PlannedOrders[WeekIndex],18)=0,"",SUMIFS(T_PlannedOrders[EffectiveQty],T_PlannedOrders[Part Name],$A555,T_PlannedOrders[WeekIndex],18)&amp;" ("&amp;TEXT(SUMPRODUCT(MAX((T_PlannedOrders[Part Name]=$A555)*(T_PlannedOrders[WeekIndex]=18)*(T_PlannedOrders[EffectiveQty]&gt;0)*T_PlannedOrders[Order_Month])),"m月")&amp;"発注)")</f>
        <v/>
      </c>
      <c r="V585">
        <f>IF(SUMIFS(T_PlannedOrders[EffectiveQty],T_PlannedOrders[Part Name],$A555,T_PlannedOrders[WeekIndex],19)=0,"",SUMIFS(T_PlannedOrders[EffectiveQty],T_PlannedOrders[Part Name],$A555,T_PlannedOrders[WeekIndex],19)&amp;" ("&amp;TEXT(SUMPRODUCT(MAX((T_PlannedOrders[Part Name]=$A555)*(T_PlannedOrders[WeekIndex]=19)*(T_PlannedOrders[EffectiveQty]&gt;0)*T_PlannedOrders[Order_Month])),"m月")&amp;"発注)")</f>
        <v/>
      </c>
      <c r="W585">
        <f>IF(SUMIFS(T_PlannedOrders[EffectiveQty],T_PlannedOrders[Part Name],$A555,T_PlannedOrders[WeekIndex],20)=0,"",SUMIFS(T_PlannedOrders[EffectiveQty],T_PlannedOrders[Part Name],$A555,T_PlannedOrders[WeekIndex],20)&amp;" ("&amp;TEXT(SUMPRODUCT(MAX((T_PlannedOrders[Part Name]=$A555)*(T_PlannedOrders[WeekIndex]=20)*(T_PlannedOrders[EffectiveQty]&gt;0)*T_PlannedOrders[Order_Month])),"m月")&amp;"発注)")</f>
        <v/>
      </c>
      <c r="X585">
        <f>IF(SUMIFS(T_PlannedOrders[EffectiveQty],T_PlannedOrders[Part Name],$A555,T_PlannedOrders[WeekIndex],21)=0,"",SUMIFS(T_PlannedOrders[EffectiveQty],T_PlannedOrders[Part Name],$A555,T_PlannedOrders[WeekIndex],21)&amp;" ("&amp;TEXT(SUMPRODUCT(MAX((T_PlannedOrders[Part Name]=$A555)*(T_PlannedOrders[WeekIndex]=21)*(T_PlannedOrders[EffectiveQty]&gt;0)*T_PlannedOrders[Order_Month])),"m月")&amp;"発注)")</f>
        <v/>
      </c>
      <c r="Y585">
        <f>IF(SUMIFS(T_PlannedOrders[EffectiveQty],T_PlannedOrders[Part Name],$A555,T_PlannedOrders[WeekIndex],22)=0,"",SUMIFS(T_PlannedOrders[EffectiveQty],T_PlannedOrders[Part Name],$A555,T_PlannedOrders[WeekIndex],22)&amp;" ("&amp;TEXT(SUMPRODUCT(MAX((T_PlannedOrders[Part Name]=$A555)*(T_PlannedOrders[WeekIndex]=22)*(T_PlannedOrders[EffectiveQty]&gt;0)*T_PlannedOrders[Order_Month])),"m月")&amp;"発注)")</f>
        <v/>
      </c>
      <c r="Z585">
        <f>IF(SUMIFS(T_PlannedOrders[EffectiveQty],T_PlannedOrders[Part Name],$A555,T_PlannedOrders[WeekIndex],23)=0,"",SUMIFS(T_PlannedOrders[EffectiveQty],T_PlannedOrders[Part Name],$A555,T_PlannedOrders[WeekIndex],23)&amp;" ("&amp;TEXT(SUMPRODUCT(MAX((T_PlannedOrders[Part Name]=$A555)*(T_PlannedOrders[WeekIndex]=23)*(T_PlannedOrders[EffectiveQty]&gt;0)*T_PlannedOrders[Order_Month])),"m月")&amp;"発注)")</f>
        <v/>
      </c>
      <c r="AA585">
        <f>IF(SUMIFS(T_PlannedOrders[EffectiveQty],T_PlannedOrders[Part Name],$A555,T_PlannedOrders[WeekIndex],24)=0,"",SUMIFS(T_PlannedOrders[EffectiveQty],T_PlannedOrders[Part Name],$A555,T_PlannedOrders[WeekIndex],24)&amp;" ("&amp;TEXT(SUMPRODUCT(MAX((T_PlannedOrders[Part Name]=$A555)*(T_PlannedOrders[WeekIndex]=24)*(T_PlannedOrders[EffectiveQty]&gt;0)*T_PlannedOrders[Order_Month])),"m月")&amp;"発注)")</f>
        <v/>
      </c>
      <c r="AB585">
        <f>IF(SUMIFS(T_PlannedOrders[EffectiveQty],T_PlannedOrders[Part Name],$A555,T_PlannedOrders[WeekIndex],25)=0,"",SUMIFS(T_PlannedOrders[EffectiveQty],T_PlannedOrders[Part Name],$A555,T_PlannedOrders[WeekIndex],25)&amp;" ("&amp;TEXT(SUMPRODUCT(MAX((T_PlannedOrders[Part Name]=$A555)*(T_PlannedOrders[WeekIndex]=25)*(T_PlannedOrders[EffectiveQty]&gt;0)*T_PlannedOrders[Order_Month])),"m月")&amp;"発注)")</f>
        <v/>
      </c>
      <c r="AC585">
        <f>IF(SUMIFS(T_PlannedOrders[EffectiveQty],T_PlannedOrders[Part Name],$A555,T_PlannedOrders[WeekIndex],26)=0,"",SUMIFS(T_PlannedOrders[EffectiveQty],T_PlannedOrders[Part Name],$A555,T_PlannedOrders[WeekIndex],26)&amp;" ("&amp;TEXT(SUMPRODUCT(MAX((T_PlannedOrders[Part Name]=$A555)*(T_PlannedOrders[WeekIndex]=26)*(T_PlannedOrders[EffectiveQty]&gt;0)*T_PlannedOrders[Order_Month])),"m月")&amp;"発注)")</f>
        <v/>
      </c>
      <c r="AD585">
        <f>IF(SUMIFS(T_PlannedOrders[EffectiveQty],T_PlannedOrders[Part Name],$A555,T_PlannedOrders[WeekIndex],27)=0,"",SUMIFS(T_PlannedOrders[EffectiveQty],T_PlannedOrders[Part Name],$A555,T_PlannedOrders[WeekIndex],27)&amp;" ("&amp;TEXT(SUMPRODUCT(MAX((T_PlannedOrders[Part Name]=$A555)*(T_PlannedOrders[WeekIndex]=27)*(T_PlannedOrders[EffectiveQty]&gt;0)*T_PlannedOrders[Order_Month])),"m月")&amp;"発注)")</f>
        <v/>
      </c>
      <c r="AE585">
        <f>IF(SUMIFS(T_PlannedOrders[EffectiveQty],T_PlannedOrders[Part Name],$A555,T_PlannedOrders[WeekIndex],28)=0,"",SUMIFS(T_PlannedOrders[EffectiveQty],T_PlannedOrders[Part Name],$A555,T_PlannedOrders[WeekIndex],28)&amp;" ("&amp;TEXT(SUMPRODUCT(MAX((T_PlannedOrders[Part Name]=$A555)*(T_PlannedOrders[WeekIndex]=28)*(T_PlannedOrders[EffectiveQty]&gt;0)*T_PlannedOrders[Order_Month])),"m月")&amp;"発注)")</f>
        <v/>
      </c>
      <c r="AF585">
        <f>IF(SUMIFS(T_PlannedOrders[EffectiveQty],T_PlannedOrders[Part Name],$A555,T_PlannedOrders[WeekIndex],29)=0,"",SUMIFS(T_PlannedOrders[EffectiveQty],T_PlannedOrders[Part Name],$A555,T_PlannedOrders[WeekIndex],29)&amp;" ("&amp;TEXT(SUMPRODUCT(MAX((T_PlannedOrders[Part Name]=$A555)*(T_PlannedOrders[WeekIndex]=29)*(T_PlannedOrders[EffectiveQty]&gt;0)*T_PlannedOrders[Order_Month])),"m月")&amp;"発注)")</f>
        <v/>
      </c>
      <c r="AG585">
        <f>IF(SUMIFS(T_PlannedOrders[EffectiveQty],T_PlannedOrders[Part Name],$A555,T_PlannedOrders[WeekIndex],30)=0,"",SUMIFS(T_PlannedOrders[EffectiveQty],T_PlannedOrders[Part Name],$A555,T_PlannedOrders[WeekIndex],30)&amp;" ("&amp;TEXT(SUMPRODUCT(MAX((T_PlannedOrders[Part Name]=$A555)*(T_PlannedOrders[WeekIndex]=30)*(T_PlannedOrders[EffectiveQty]&gt;0)*T_PlannedOrders[Order_Month])),"m月")&amp;"発注)")</f>
        <v/>
      </c>
      <c r="AH585">
        <f>IF(SUMIFS(T_PlannedOrders[EffectiveQty],T_PlannedOrders[Part Name],$A555,T_PlannedOrders[WeekIndex],31)=0,"",SUMIFS(T_PlannedOrders[EffectiveQty],T_PlannedOrders[Part Name],$A555,T_PlannedOrders[WeekIndex],31)&amp;" ("&amp;TEXT(SUMPRODUCT(MAX((T_PlannedOrders[Part Name]=$A555)*(T_PlannedOrders[WeekIndex]=31)*(T_PlannedOrders[EffectiveQty]&gt;0)*T_PlannedOrders[Order_Month])),"m月")&amp;"発注)")</f>
        <v/>
      </c>
      <c r="AI585">
        <f>IF(SUMIFS(T_PlannedOrders[EffectiveQty],T_PlannedOrders[Part Name],$A555,T_PlannedOrders[WeekIndex],32)=0,"",SUMIFS(T_PlannedOrders[EffectiveQty],T_PlannedOrders[Part Name],$A555,T_PlannedOrders[WeekIndex],32)&amp;" ("&amp;TEXT(SUMPRODUCT(MAX((T_PlannedOrders[Part Name]=$A555)*(T_PlannedOrders[WeekIndex]=32)*(T_PlannedOrders[EffectiveQty]&gt;0)*T_PlannedOrders[Order_Month])),"m月")&amp;"発注)")</f>
        <v/>
      </c>
      <c r="AJ585">
        <f>IF(SUMIFS(T_PlannedOrders[EffectiveQty],T_PlannedOrders[Part Name],$A555,T_PlannedOrders[WeekIndex],33)=0,"",SUMIFS(T_PlannedOrders[EffectiveQty],T_PlannedOrders[Part Name],$A555,T_PlannedOrders[WeekIndex],33)&amp;" ("&amp;TEXT(SUMPRODUCT(MAX((T_PlannedOrders[Part Name]=$A555)*(T_PlannedOrders[WeekIndex]=33)*(T_PlannedOrders[EffectiveQty]&gt;0)*T_PlannedOrders[Order_Month])),"m月")&amp;"発注)")</f>
        <v/>
      </c>
      <c r="AK585">
        <f>IF(SUMIFS(T_PlannedOrders[EffectiveQty],T_PlannedOrders[Part Name],$A555,T_PlannedOrders[WeekIndex],34)=0,"",SUMIFS(T_PlannedOrders[EffectiveQty],T_PlannedOrders[Part Name],$A555,T_PlannedOrders[WeekIndex],34)&amp;" ("&amp;TEXT(SUMPRODUCT(MAX((T_PlannedOrders[Part Name]=$A555)*(T_PlannedOrders[WeekIndex]=34)*(T_PlannedOrders[EffectiveQty]&gt;0)*T_PlannedOrders[Order_Month])),"m月")&amp;"発注)")</f>
        <v/>
      </c>
      <c r="AL585">
        <f>IF(SUMIFS(T_PlannedOrders[EffectiveQty],T_PlannedOrders[Part Name],$A555,T_PlannedOrders[WeekIndex],35)=0,"",SUMIFS(T_PlannedOrders[EffectiveQty],T_PlannedOrders[Part Name],$A555,T_PlannedOrders[WeekIndex],35)&amp;" ("&amp;TEXT(SUMPRODUCT(MAX((T_PlannedOrders[Part Name]=$A555)*(T_PlannedOrders[WeekIndex]=35)*(T_PlannedOrders[EffectiveQty]&gt;0)*T_PlannedOrders[Order_Month])),"m月")&amp;"発注)")</f>
        <v/>
      </c>
      <c r="AM585">
        <f>IF(SUMIFS(T_PlannedOrders[EffectiveQty],T_PlannedOrders[Part Name],$A555,T_PlannedOrders[WeekIndex],36)=0,"",SUMIFS(T_PlannedOrders[EffectiveQty],T_PlannedOrders[Part Name],$A555,T_PlannedOrders[WeekIndex],36)&amp;" ("&amp;TEXT(SUMPRODUCT(MAX((T_PlannedOrders[Part Name]=$A555)*(T_PlannedOrders[WeekIndex]=36)*(T_PlannedOrders[EffectiveQty]&gt;0)*T_PlannedOrders[Order_Month])),"m月")&amp;"発注)")</f>
        <v/>
      </c>
      <c r="AN585">
        <f>IF(SUMIFS(T_PlannedOrders[EffectiveQty],T_PlannedOrders[Part Name],$A555,T_PlannedOrders[WeekIndex],37)=0,"",SUMIFS(T_PlannedOrders[EffectiveQty],T_PlannedOrders[Part Name],$A555,T_PlannedOrders[WeekIndex],37)&amp;" ("&amp;TEXT(SUMPRODUCT(MAX((T_PlannedOrders[Part Name]=$A555)*(T_PlannedOrders[WeekIndex]=37)*(T_PlannedOrders[EffectiveQty]&gt;0)*T_PlannedOrders[Order_Month])),"m月")&amp;"発注)")</f>
        <v/>
      </c>
      <c r="AO585">
        <f>IF(SUMIFS(T_PlannedOrders[EffectiveQty],T_PlannedOrders[Part Name],$A555,T_PlannedOrders[WeekIndex],38)=0,"",SUMIFS(T_PlannedOrders[EffectiveQty],T_PlannedOrders[Part Name],$A555,T_PlannedOrders[WeekIndex],38)&amp;" ("&amp;TEXT(SUMPRODUCT(MAX((T_PlannedOrders[Part Name]=$A555)*(T_PlannedOrders[WeekIndex]=38)*(T_PlannedOrders[EffectiveQty]&gt;0)*T_PlannedOrders[Order_Month])),"m月")&amp;"発注)")</f>
        <v/>
      </c>
      <c r="AP585">
        <f>IF(SUMIFS(T_PlannedOrders[EffectiveQty],T_PlannedOrders[Part Name],$A555,T_PlannedOrders[WeekIndex],39)=0,"",SUMIFS(T_PlannedOrders[EffectiveQty],T_PlannedOrders[Part Name],$A555,T_PlannedOrders[WeekIndex],39)&amp;" ("&amp;TEXT(SUMPRODUCT(MAX((T_PlannedOrders[Part Name]=$A555)*(T_PlannedOrders[WeekIndex]=39)*(T_PlannedOrders[EffectiveQty]&gt;0)*T_PlannedOrders[Order_Month])),"m月")&amp;"発注)")</f>
        <v/>
      </c>
      <c r="AQ585">
        <f>IF(SUMIFS(T_PlannedOrders[EffectiveQty],T_PlannedOrders[Part Name],$A555,T_PlannedOrders[WeekIndex],40)=0,"",SUMIFS(T_PlannedOrders[EffectiveQty],T_PlannedOrders[Part Name],$A555,T_PlannedOrders[WeekIndex],40)&amp;" ("&amp;TEXT(SUMPRODUCT(MAX((T_PlannedOrders[Part Name]=$A555)*(T_PlannedOrders[WeekIndex]=40)*(T_PlannedOrders[EffectiveQty]&gt;0)*T_PlannedOrders[Order_Month])),"m月")&amp;"発注)")</f>
        <v/>
      </c>
      <c r="AR585">
        <f>IF(SUMIFS(T_PlannedOrders[EffectiveQty],T_PlannedOrders[Part Name],$A555,T_PlannedOrders[WeekIndex],41)=0,"",SUMIFS(T_PlannedOrders[EffectiveQty],T_PlannedOrders[Part Name],$A555,T_PlannedOrders[WeekIndex],41)&amp;" ("&amp;TEXT(SUMPRODUCT(MAX((T_PlannedOrders[Part Name]=$A555)*(T_PlannedOrders[WeekIndex]=41)*(T_PlannedOrders[EffectiveQty]&gt;0)*T_PlannedOrders[Order_Month])),"m月")&amp;"発注)")</f>
        <v/>
      </c>
      <c r="AS585">
        <f>IF(SUMIFS(T_PlannedOrders[EffectiveQty],T_PlannedOrders[Part Name],$A555,T_PlannedOrders[WeekIndex],42)=0,"",SUMIFS(T_PlannedOrders[EffectiveQty],T_PlannedOrders[Part Name],$A555,T_PlannedOrders[WeekIndex],42)&amp;" ("&amp;TEXT(SUMPRODUCT(MAX((T_PlannedOrders[Part Name]=$A555)*(T_PlannedOrders[WeekIndex]=42)*(T_PlannedOrders[EffectiveQty]&gt;0)*T_PlannedOrders[Order_Month])),"m月")&amp;"発注)")</f>
        <v/>
      </c>
      <c r="AT585">
        <f>IF(SUMIFS(T_PlannedOrders[EffectiveQty],T_PlannedOrders[Part Name],$A555,T_PlannedOrders[WeekIndex],43)=0,"",SUMIFS(T_PlannedOrders[EffectiveQty],T_PlannedOrders[Part Name],$A555,T_PlannedOrders[WeekIndex],43)&amp;" ("&amp;TEXT(SUMPRODUCT(MAX((T_PlannedOrders[Part Name]=$A555)*(T_PlannedOrders[WeekIndex]=43)*(T_PlannedOrders[EffectiveQty]&gt;0)*T_PlannedOrders[Order_Month])),"m月")&amp;"発注)")</f>
        <v/>
      </c>
      <c r="AU585">
        <f>IF(SUMIFS(T_PlannedOrders[EffectiveQty],T_PlannedOrders[Part Name],$A555,T_PlannedOrders[WeekIndex],44)=0,"",SUMIFS(T_PlannedOrders[EffectiveQty],T_PlannedOrders[Part Name],$A555,T_PlannedOrders[WeekIndex],44)&amp;" ("&amp;TEXT(SUMPRODUCT(MAX((T_PlannedOrders[Part Name]=$A555)*(T_PlannedOrders[WeekIndex]=44)*(T_PlannedOrders[EffectiveQty]&gt;0)*T_PlannedOrders[Order_Month])),"m月")&amp;"発注)")</f>
        <v/>
      </c>
      <c r="AV585">
        <f>IF(SUMIFS(T_PlannedOrders[EffectiveQty],T_PlannedOrders[Part Name],$A555,T_PlannedOrders[WeekIndex],45)=0,"",SUMIFS(T_PlannedOrders[EffectiveQty],T_PlannedOrders[Part Name],$A555,T_PlannedOrders[WeekIndex],45)&amp;" ("&amp;TEXT(SUMPRODUCT(MAX((T_PlannedOrders[Part Name]=$A555)*(T_PlannedOrders[WeekIndex]=45)*(T_PlannedOrders[EffectiveQty]&gt;0)*T_PlannedOrders[Order_Month])),"m月")&amp;"発注)")</f>
        <v/>
      </c>
      <c r="AW585">
        <f>IF(SUMIFS(T_PlannedOrders[EffectiveQty],T_PlannedOrders[Part Name],$A555,T_PlannedOrders[WeekIndex],46)=0,"",SUMIFS(T_PlannedOrders[EffectiveQty],T_PlannedOrders[Part Name],$A555,T_PlannedOrders[WeekIndex],46)&amp;" ("&amp;TEXT(SUMPRODUCT(MAX((T_PlannedOrders[Part Name]=$A555)*(T_PlannedOrders[WeekIndex]=46)*(T_PlannedOrders[EffectiveQty]&gt;0)*T_PlannedOrders[Order_Month])),"m月")&amp;"発注)")</f>
        <v/>
      </c>
      <c r="AX585">
        <f>IF(SUMIFS(T_PlannedOrders[EffectiveQty],T_PlannedOrders[Part Name],$A555,T_PlannedOrders[WeekIndex],47)=0,"",SUMIFS(T_PlannedOrders[EffectiveQty],T_PlannedOrders[Part Name],$A555,T_PlannedOrders[WeekIndex],47)&amp;" ("&amp;TEXT(SUMPRODUCT(MAX((T_PlannedOrders[Part Name]=$A555)*(T_PlannedOrders[WeekIndex]=47)*(T_PlannedOrders[EffectiveQty]&gt;0)*T_PlannedOrders[Order_Month])),"m月")&amp;"発注)")</f>
        <v/>
      </c>
      <c r="AY585">
        <f>IF(SUMIFS(T_PlannedOrders[EffectiveQty],T_PlannedOrders[Part Name],$A555,T_PlannedOrders[WeekIndex],48)=0,"",SUMIFS(T_PlannedOrders[EffectiveQty],T_PlannedOrders[Part Name],$A555,T_PlannedOrders[WeekIndex],48)&amp;" ("&amp;TEXT(SUMPRODUCT(MAX((T_PlannedOrders[Part Name]=$A555)*(T_PlannedOrders[WeekIndex]=48)*(T_PlannedOrders[EffectiveQty]&gt;0)*T_PlannedOrders[Order_Month])),"m月")&amp;"発注)")</f>
        <v/>
      </c>
      <c r="AZ585">
        <f>IF(SUMIFS(T_PlannedOrders[EffectiveQty],T_PlannedOrders[Part Name],$A555,T_PlannedOrders[WeekIndex],49)=0,"",SUMIFS(T_PlannedOrders[EffectiveQty],T_PlannedOrders[Part Name],$A555,T_PlannedOrders[WeekIndex],49)&amp;" ("&amp;TEXT(SUMPRODUCT(MAX((T_PlannedOrders[Part Name]=$A555)*(T_PlannedOrders[WeekIndex]=49)*(T_PlannedOrders[EffectiveQty]&gt;0)*T_PlannedOrders[Order_Month])),"m月")&amp;"発注)")</f>
        <v/>
      </c>
      <c r="BA585">
        <f>IF(SUMIFS(T_PlannedOrders[EffectiveQty],T_PlannedOrders[Part Name],$A555,T_PlannedOrders[WeekIndex],50)=0,"",SUMIFS(T_PlannedOrders[EffectiveQty],T_PlannedOrders[Part Name],$A555,T_PlannedOrders[WeekIndex],50)&amp;" ("&amp;TEXT(SUMPRODUCT(MAX((T_PlannedOrders[Part Name]=$A555)*(T_PlannedOrders[WeekIndex]=50)*(T_PlannedOrders[EffectiveQty]&gt;0)*T_PlannedOrders[Order_Month])),"m月")&amp;"発注)")</f>
        <v/>
      </c>
      <c r="BB585">
        <f>IF(SUMIFS(T_PlannedOrders[EffectiveQty],T_PlannedOrders[Part Name],$A555,T_PlannedOrders[WeekIndex],51)=0,"",SUMIFS(T_PlannedOrders[EffectiveQty],T_PlannedOrders[Part Name],$A555,T_PlannedOrders[WeekIndex],51)&amp;" ("&amp;TEXT(SUMPRODUCT(MAX((T_PlannedOrders[Part Name]=$A555)*(T_PlannedOrders[WeekIndex]=51)*(T_PlannedOrders[EffectiveQty]&gt;0)*T_PlannedOrders[Order_Month])),"m月")&amp;"発注)")</f>
        <v/>
      </c>
      <c r="BC585">
        <f>IF(SUMIFS(T_PlannedOrders[EffectiveQty],T_PlannedOrders[Part Name],$A555,T_PlannedOrders[WeekIndex],52)=0,"",SUMIFS(T_PlannedOrders[EffectiveQty],T_PlannedOrders[Part Name],$A555,T_PlannedOrders[WeekIndex],52)&amp;" ("&amp;TEXT(SUMPRODUCT(MAX((T_PlannedOrders[Part Name]=$A555)*(T_PlannedOrders[WeekIndex]=52)*(T_PlannedOrders[EffectiveQty]&gt;0)*T_PlannedOrders[Order_Month])),"m月")&amp;"発注)")</f>
        <v/>
      </c>
      <c r="BD585">
        <f>IF(SUMIFS(T_PlannedOrders[EffectiveQty],T_PlannedOrders[Part Name],$A555,T_PlannedOrders[WeekIndex],53)=0,"",SUMIFS(T_PlannedOrders[EffectiveQty],T_PlannedOrders[Part Name],$A555,T_PlannedOrders[WeekIndex],53)&amp;" ("&amp;TEXT(SUMPRODUCT(MAX((T_PlannedOrders[Part Name]=$A555)*(T_PlannedOrders[WeekIndex]=53)*(T_PlannedOrders[EffectiveQty]&gt;0)*T_PlannedOrders[Order_Month])),"m月")&amp;"発注)")</f>
        <v/>
      </c>
      <c r="BE585">
        <f>IF(SUMIFS(T_PlannedOrders[EffectiveQty],T_PlannedOrders[Part Name],$A555,T_PlannedOrders[WeekIndex],54)=0,"",SUMIFS(T_PlannedOrders[EffectiveQty],T_PlannedOrders[Part Name],$A555,T_PlannedOrders[WeekIndex],54)&amp;" ("&amp;TEXT(SUMPRODUCT(MAX((T_PlannedOrders[Part Name]=$A555)*(T_PlannedOrders[WeekIndex]=54)*(T_PlannedOrders[EffectiveQty]&gt;0)*T_PlannedOrders[Order_Month])),"m月")&amp;"発注)")</f>
        <v/>
      </c>
      <c r="BF585">
        <f>IF(SUMIFS(T_PlannedOrders[EffectiveQty],T_PlannedOrders[Part Name],$A555,T_PlannedOrders[WeekIndex],55)=0,"",SUMIFS(T_PlannedOrders[EffectiveQty],T_PlannedOrders[Part Name],$A555,T_PlannedOrders[WeekIndex],55)&amp;" ("&amp;TEXT(SUMPRODUCT(MAX((T_PlannedOrders[Part Name]=$A555)*(T_PlannedOrders[WeekIndex]=55)*(T_PlannedOrders[EffectiveQty]&gt;0)*T_PlannedOrders[Order_Month])),"m月")&amp;"発注)")</f>
        <v/>
      </c>
      <c r="BG585">
        <f>IF(SUMIFS(T_PlannedOrders[EffectiveQty],T_PlannedOrders[Part Name],$A555,T_PlannedOrders[WeekIndex],56)=0,"",SUMIFS(T_PlannedOrders[EffectiveQty],T_PlannedOrders[Part Name],$A555,T_PlannedOrders[WeekIndex],56)&amp;" ("&amp;TEXT(SUMPRODUCT(MAX((T_PlannedOrders[Part Name]=$A555)*(T_PlannedOrders[WeekIndex]=56)*(T_PlannedOrders[EffectiveQty]&gt;0)*T_PlannedOrders[Order_Month])),"m月")&amp;"発注)")</f>
        <v/>
      </c>
      <c r="BH585">
        <f>IF(SUMIFS(T_PlannedOrders[EffectiveQty],T_PlannedOrders[Part Name],$A555,T_PlannedOrders[WeekIndex],57)=0,"",SUMIFS(T_PlannedOrders[EffectiveQty],T_PlannedOrders[Part Name],$A555,T_PlannedOrders[WeekIndex],57)&amp;" ("&amp;TEXT(SUMPRODUCT(MAX((T_PlannedOrders[Part Name]=$A555)*(T_PlannedOrders[WeekIndex]=57)*(T_PlannedOrders[EffectiveQty]&gt;0)*T_PlannedOrders[Order_Month])),"m月")&amp;"発注)")</f>
        <v/>
      </c>
      <c r="BI585">
        <f>IF(SUMIFS(T_PlannedOrders[EffectiveQty],T_PlannedOrders[Part Name],$A555,T_PlannedOrders[WeekIndex],58)=0,"",SUMIFS(T_PlannedOrders[EffectiveQty],T_PlannedOrders[Part Name],$A555,T_PlannedOrders[WeekIndex],58)&amp;" ("&amp;TEXT(SUMPRODUCT(MAX((T_PlannedOrders[Part Name]=$A555)*(T_PlannedOrders[WeekIndex]=58)*(T_PlannedOrders[EffectiveQty]&gt;0)*T_PlannedOrders[Order_Month])),"m月")&amp;"発注)")</f>
        <v/>
      </c>
      <c r="BJ585">
        <f>IF(SUMIFS(T_PlannedOrders[EffectiveQty],T_PlannedOrders[Part Name],$A555,T_PlannedOrders[WeekIndex],59)=0,"",SUMIFS(T_PlannedOrders[EffectiveQty],T_PlannedOrders[Part Name],$A555,T_PlannedOrders[WeekIndex],59)&amp;" ("&amp;TEXT(SUMPRODUCT(MAX((T_PlannedOrders[Part Name]=$A555)*(T_PlannedOrders[WeekIndex]=59)*(T_PlannedOrders[EffectiveQty]&gt;0)*T_PlannedOrders[Order_Month])),"m月")&amp;"発注)")</f>
        <v/>
      </c>
      <c r="BK585">
        <f>IF(SUMIFS(T_PlannedOrders[EffectiveQty],T_PlannedOrders[Part Name],$A555,T_PlannedOrders[WeekIndex],60)=0,"",SUMIFS(T_PlannedOrders[EffectiveQty],T_PlannedOrders[Part Name],$A555,T_PlannedOrders[WeekIndex],60)&amp;" ("&amp;TEXT(SUMPRODUCT(MAX((T_PlannedOrders[Part Name]=$A555)*(T_PlannedOrders[WeekIndex]=60)*(T_PlannedOrders[EffectiveQty]&gt;0)*T_PlannedOrders[Order_Month])),"m月")&amp;"発注)")</f>
        <v/>
      </c>
      <c r="BL585">
        <f>IF(SUMIFS(T_PlannedOrders[EffectiveQty],T_PlannedOrders[Part Name],$A555,T_PlannedOrders[WeekIndex],61)=0,"",SUMIFS(T_PlannedOrders[EffectiveQty],T_PlannedOrders[Part Name],$A555,T_PlannedOrders[WeekIndex],61)&amp;" ("&amp;TEXT(SUMPRODUCT(MAX((T_PlannedOrders[Part Name]=$A555)*(T_PlannedOrders[WeekIndex]=61)*(T_PlannedOrders[EffectiveQty]&gt;0)*T_PlannedOrders[Order_Month])),"m月")&amp;"発注)")</f>
        <v/>
      </c>
      <c r="BM585">
        <f>IF(SUMIFS(T_PlannedOrders[EffectiveQty],T_PlannedOrders[Part Name],$A555,T_PlannedOrders[WeekIndex],62)=0,"",SUMIFS(T_PlannedOrders[EffectiveQty],T_PlannedOrders[Part Name],$A555,T_PlannedOrders[WeekIndex],62)&amp;" ("&amp;TEXT(SUMPRODUCT(MAX((T_PlannedOrders[Part Name]=$A555)*(T_PlannedOrders[WeekIndex]=62)*(T_PlannedOrders[EffectiveQty]&gt;0)*T_PlannedOrders[Order_Month])),"m月")&amp;"発注)")</f>
        <v/>
      </c>
      <c r="BN585">
        <f>IF(SUMIFS(T_PlannedOrders[EffectiveQty],T_PlannedOrders[Part Name],$A555,T_PlannedOrders[WeekIndex],63)=0,"",SUMIFS(T_PlannedOrders[EffectiveQty],T_PlannedOrders[Part Name],$A555,T_PlannedOrders[WeekIndex],63)&amp;" ("&amp;TEXT(SUMPRODUCT(MAX((T_PlannedOrders[Part Name]=$A555)*(T_PlannedOrders[WeekIndex]=63)*(T_PlannedOrders[EffectiveQty]&gt;0)*T_PlannedOrders[Order_Month])),"m月")&amp;"発注)")</f>
        <v/>
      </c>
      <c r="BO585">
        <f>IF(SUMIFS(T_PlannedOrders[EffectiveQty],T_PlannedOrders[Part Name],$A555,T_PlannedOrders[WeekIndex],64)=0,"",SUMIFS(T_PlannedOrders[EffectiveQty],T_PlannedOrders[Part Name],$A555,T_PlannedOrders[WeekIndex],64)&amp;" ("&amp;TEXT(SUMPRODUCT(MAX((T_PlannedOrders[Part Name]=$A555)*(T_PlannedOrders[WeekIndex]=64)*(T_PlannedOrders[EffectiveQty]&gt;0)*T_PlannedOrders[Order_Month])),"m月")&amp;"発注)")</f>
        <v/>
      </c>
      <c r="BP585">
        <f>IF(SUMIFS(T_PlannedOrders[EffectiveQty],T_PlannedOrders[Part Name],$A555,T_PlannedOrders[WeekIndex],65)=0,"",SUMIFS(T_PlannedOrders[EffectiveQty],T_PlannedOrders[Part Name],$A555,T_PlannedOrders[WeekIndex],65)&amp;" ("&amp;TEXT(SUMPRODUCT(MAX((T_PlannedOrders[Part Name]=$A555)*(T_PlannedOrders[WeekIndex]=65)*(T_PlannedOrders[EffectiveQty]&gt;0)*T_PlannedOrders[Order_Month])),"m月")&amp;"発注)")</f>
        <v/>
      </c>
      <c r="BQ585">
        <f>IF(SUMIFS(T_PlannedOrders[EffectiveQty],T_PlannedOrders[Part Name],$A555,T_PlannedOrders[WeekIndex],66)=0,"",SUMIFS(T_PlannedOrders[EffectiveQty],T_PlannedOrders[Part Name],$A555,T_PlannedOrders[WeekIndex],66)&amp;" ("&amp;TEXT(SUMPRODUCT(MAX((T_PlannedOrders[Part Name]=$A555)*(T_PlannedOrders[WeekIndex]=66)*(T_PlannedOrders[EffectiveQty]&gt;0)*T_PlannedOrders[Order_Month])),"m月")&amp;"発注)")</f>
        <v/>
      </c>
      <c r="BR585">
        <f>IF(SUMIFS(T_PlannedOrders[EffectiveQty],T_PlannedOrders[Part Name],$A555,T_PlannedOrders[WeekIndex],67)=0,"",SUMIFS(T_PlannedOrders[EffectiveQty],T_PlannedOrders[Part Name],$A555,T_PlannedOrders[WeekIndex],67)&amp;" ("&amp;TEXT(SUMPRODUCT(MAX((T_PlannedOrders[Part Name]=$A555)*(T_PlannedOrders[WeekIndex]=67)*(T_PlannedOrders[EffectiveQty]&gt;0)*T_PlannedOrders[Order_Month])),"m月")&amp;"発注)")</f>
        <v/>
      </c>
      <c r="BS585">
        <f>IF(SUMIFS(T_PlannedOrders[EffectiveQty],T_PlannedOrders[Part Name],$A555,T_PlannedOrders[WeekIndex],68)=0,"",SUMIFS(T_PlannedOrders[EffectiveQty],T_PlannedOrders[Part Name],$A555,T_PlannedOrders[WeekIndex],68)&amp;" ("&amp;TEXT(SUMPRODUCT(MAX((T_PlannedOrders[Part Name]=$A555)*(T_PlannedOrders[WeekIndex]=68)*(T_PlannedOrders[EffectiveQty]&gt;0)*T_PlannedOrders[Order_Month])),"m月")&amp;"発注)")</f>
        <v/>
      </c>
      <c r="BT585">
        <f>IF(SUMIFS(T_PlannedOrders[EffectiveQty],T_PlannedOrders[Part Name],$A555,T_PlannedOrders[WeekIndex],69)=0,"",SUMIFS(T_PlannedOrders[EffectiveQty],T_PlannedOrders[Part Name],$A555,T_PlannedOrders[WeekIndex],69)&amp;" ("&amp;TEXT(SUMPRODUCT(MAX((T_PlannedOrders[Part Name]=$A555)*(T_PlannedOrders[WeekIndex]=69)*(T_PlannedOrders[EffectiveQty]&gt;0)*T_PlannedOrders[Order_Month])),"m月")&amp;"発注)")</f>
        <v/>
      </c>
      <c r="BU585">
        <f>IF(SUMIFS(T_PlannedOrders[EffectiveQty],T_PlannedOrders[Part Name],$A555,T_PlannedOrders[WeekIndex],70)=0,"",SUMIFS(T_PlannedOrders[EffectiveQty],T_PlannedOrders[Part Name],$A555,T_PlannedOrders[WeekIndex],70)&amp;" ("&amp;TEXT(SUMPRODUCT(MAX((T_PlannedOrders[Part Name]=$A555)*(T_PlannedOrders[WeekIndex]=70)*(T_PlannedOrders[EffectiveQty]&gt;0)*T_PlannedOrders[Order_Month])),"m月")&amp;"発注)")</f>
        <v/>
      </c>
      <c r="BV585">
        <f>IF(SUMIFS(T_PlannedOrders[EffectiveQty],T_PlannedOrders[Part Name],$A555,T_PlannedOrders[WeekIndex],71)=0,"",SUMIFS(T_PlannedOrders[EffectiveQty],T_PlannedOrders[Part Name],$A555,T_PlannedOrders[WeekIndex],71)&amp;" ("&amp;TEXT(SUMPRODUCT(MAX((T_PlannedOrders[Part Name]=$A555)*(T_PlannedOrders[WeekIndex]=71)*(T_PlannedOrders[EffectiveQty]&gt;0)*T_PlannedOrders[Order_Month])),"m月")&amp;"発注)")</f>
        <v/>
      </c>
      <c r="BW585">
        <f>IF(SUMIFS(T_PlannedOrders[EffectiveQty],T_PlannedOrders[Part Name],$A555,T_PlannedOrders[WeekIndex],72)=0,"",SUMIFS(T_PlannedOrders[EffectiveQty],T_PlannedOrders[Part Name],$A555,T_PlannedOrders[WeekIndex],72)&amp;" ("&amp;TEXT(SUMPRODUCT(MAX((T_PlannedOrders[Part Name]=$A555)*(T_PlannedOrders[WeekIndex]=72)*(T_PlannedOrders[EffectiveQty]&gt;0)*T_PlannedOrders[Order_Month])),"m月")&amp;"発注)")</f>
        <v/>
      </c>
      <c r="BX585">
        <f>IF(SUMIFS(T_PlannedOrders[EffectiveQty],T_PlannedOrders[Part Name],$A555,T_PlannedOrders[WeekIndex],73)=0,"",SUMIFS(T_PlannedOrders[EffectiveQty],T_PlannedOrders[Part Name],$A555,T_PlannedOrders[WeekIndex],73)&amp;" ("&amp;TEXT(SUMPRODUCT(MAX((T_PlannedOrders[Part Name]=$A555)*(T_PlannedOrders[WeekIndex]=73)*(T_PlannedOrders[EffectiveQty]&gt;0)*T_PlannedOrders[Order_Month])),"m月")&amp;"発注)")</f>
        <v/>
      </c>
      <c r="BY585">
        <f>IF(SUMIFS(T_PlannedOrders[EffectiveQty],T_PlannedOrders[Part Name],$A555,T_PlannedOrders[WeekIndex],74)=0,"",SUMIFS(T_PlannedOrders[EffectiveQty],T_PlannedOrders[Part Name],$A555,T_PlannedOrders[WeekIndex],74)&amp;" ("&amp;TEXT(SUMPRODUCT(MAX((T_PlannedOrders[Part Name]=$A555)*(T_PlannedOrders[WeekIndex]=74)*(T_PlannedOrders[EffectiveQty]&gt;0)*T_PlannedOrders[Order_Month])),"m月")&amp;"発注)")</f>
        <v/>
      </c>
      <c r="BZ585">
        <f>IF(SUMIFS(T_PlannedOrders[EffectiveQty],T_PlannedOrders[Part Name],$A555,T_PlannedOrders[WeekIndex],75)=0,"",SUMIFS(T_PlannedOrders[EffectiveQty],T_PlannedOrders[Part Name],$A555,T_PlannedOrders[WeekIndex],75)&amp;" ("&amp;TEXT(SUMPRODUCT(MAX((T_PlannedOrders[Part Name]=$A555)*(T_PlannedOrders[WeekIndex]=75)*(T_PlannedOrders[EffectiveQty]&gt;0)*T_PlannedOrders[Order_Month])),"m月")&amp;"発注)")</f>
        <v/>
      </c>
      <c r="CA585">
        <f>IF(SUMIFS(T_PlannedOrders[EffectiveQty],T_PlannedOrders[Part Name],$A555,T_PlannedOrders[WeekIndex],76)=0,"",SUMIFS(T_PlannedOrders[EffectiveQty],T_PlannedOrders[Part Name],$A555,T_PlannedOrders[WeekIndex],76)&amp;" ("&amp;TEXT(SUMPRODUCT(MAX((T_PlannedOrders[Part Name]=$A555)*(T_PlannedOrders[WeekIndex]=76)*(T_PlannedOrders[EffectiveQty]&gt;0)*T_PlannedOrders[Order_Month])),"m月")&amp;"発注)")</f>
        <v/>
      </c>
      <c r="CB585">
        <f>IF(SUMIFS(T_PlannedOrders[EffectiveQty],T_PlannedOrders[Part Name],$A555,T_PlannedOrders[WeekIndex],77)=0,"",SUMIFS(T_PlannedOrders[EffectiveQty],T_PlannedOrders[Part Name],$A555,T_PlannedOrders[WeekIndex],77)&amp;" ("&amp;TEXT(SUMPRODUCT(MAX((T_PlannedOrders[Part Name]=$A555)*(T_PlannedOrders[WeekIndex]=77)*(T_PlannedOrders[EffectiveQty]&gt;0)*T_PlannedOrders[Order_Month])),"m月")&amp;"発注)")</f>
        <v/>
      </c>
      <c r="CC585">
        <f>IF(SUMIFS(T_PlannedOrders[EffectiveQty],T_PlannedOrders[Part Name],$A555,T_PlannedOrders[WeekIndex],78)=0,"",SUMIFS(T_PlannedOrders[EffectiveQty],T_PlannedOrders[Part Name],$A555,T_PlannedOrders[WeekIndex],78)&amp;" ("&amp;TEXT(SUMPRODUCT(MAX((T_PlannedOrders[Part Name]=$A555)*(T_PlannedOrders[WeekIndex]=78)*(T_PlannedOrders[EffectiveQty]&gt;0)*T_PlannedOrders[Order_Month])),"m月")&amp;"発注)")</f>
        <v/>
      </c>
      <c r="CD585">
        <f>IF(SUMIFS(T_PlannedOrders[EffectiveQty],T_PlannedOrders[Part Name],$A555,T_PlannedOrders[WeekIndex],79)=0,"",SUMIFS(T_PlannedOrders[EffectiveQty],T_PlannedOrders[Part Name],$A555,T_PlannedOrders[WeekIndex],79)&amp;" ("&amp;TEXT(SUMPRODUCT(MAX((T_PlannedOrders[Part Name]=$A555)*(T_PlannedOrders[WeekIndex]=79)*(T_PlannedOrders[EffectiveQty]&gt;0)*T_PlannedOrders[Order_Month])),"m月")&amp;"発注)")</f>
        <v/>
      </c>
      <c r="CE585">
        <f>IF(SUMIFS(T_PlannedOrders[EffectiveQty],T_PlannedOrders[Part Name],$A555,T_PlannedOrders[WeekIndex],80)=0,"",SUMIFS(T_PlannedOrders[EffectiveQty],T_PlannedOrders[Part Name],$A555,T_PlannedOrders[WeekIndex],80)&amp;" ("&amp;TEXT(SUMPRODUCT(MAX((T_PlannedOrders[Part Name]=$A555)*(T_PlannedOrders[WeekIndex]=80)*(T_PlannedOrders[EffectiveQty]&gt;0)*T_PlannedOrders[Order_Month])),"m月")&amp;"発注)")</f>
        <v/>
      </c>
      <c r="CF585">
        <f>IF(SUMIFS(T_PlannedOrders[EffectiveQty],T_PlannedOrders[Part Name],$A555,T_PlannedOrders[WeekIndex],81)=0,"",SUMIFS(T_PlannedOrders[EffectiveQty],T_PlannedOrders[Part Name],$A555,T_PlannedOrders[WeekIndex],81)&amp;" ("&amp;TEXT(SUMPRODUCT(MAX((T_PlannedOrders[Part Name]=$A555)*(T_PlannedOrders[WeekIndex]=81)*(T_PlannedOrders[EffectiveQty]&gt;0)*T_PlannedOrders[Order_Month])),"m月")&amp;"発注)")</f>
        <v/>
      </c>
      <c r="CG585">
        <f>IF(SUMIFS(T_PlannedOrders[EffectiveQty],T_PlannedOrders[Part Name],$A555,T_PlannedOrders[WeekIndex],82)=0,"",SUMIFS(T_PlannedOrders[EffectiveQty],T_PlannedOrders[Part Name],$A555,T_PlannedOrders[WeekIndex],82)&amp;" ("&amp;TEXT(SUMPRODUCT(MAX((T_PlannedOrders[Part Name]=$A555)*(T_PlannedOrders[WeekIndex]=82)*(T_PlannedOrders[EffectiveQty]&gt;0)*T_PlannedOrders[Order_Month])),"m月")&amp;"発注)")</f>
        <v/>
      </c>
      <c r="CH585">
        <f>IF(SUMIFS(T_PlannedOrders[EffectiveQty],T_PlannedOrders[Part Name],$A555,T_PlannedOrders[WeekIndex],83)=0,"",SUMIFS(T_PlannedOrders[EffectiveQty],T_PlannedOrders[Part Name],$A555,T_PlannedOrders[WeekIndex],83)&amp;" ("&amp;TEXT(SUMPRODUCT(MAX((T_PlannedOrders[Part Name]=$A555)*(T_PlannedOrders[WeekIndex]=83)*(T_PlannedOrders[EffectiveQty]&gt;0)*T_PlannedOrders[Order_Month])),"m月")&amp;"発注)")</f>
        <v/>
      </c>
      <c r="CI585">
        <f>IF(SUMIFS(T_PlannedOrders[EffectiveQty],T_PlannedOrders[Part Name],$A555,T_PlannedOrders[WeekIndex],84)=0,"",SUMIFS(T_PlannedOrders[EffectiveQty],T_PlannedOrders[Part Name],$A555,T_PlannedOrders[WeekIndex],84)&amp;" ("&amp;TEXT(SUMPRODUCT(MAX((T_PlannedOrders[Part Name]=$A555)*(T_PlannedOrders[WeekIndex]=84)*(T_PlannedOrders[EffectiveQty]&gt;0)*T_PlannedOrders[Order_Month])),"m月")&amp;"発注)")</f>
        <v/>
      </c>
      <c r="CJ585">
        <f>IF(SUMIFS(T_PlannedOrders[EffectiveQty],T_PlannedOrders[Part Name],$A555,T_PlannedOrders[WeekIndex],85)=0,"",SUMIFS(T_PlannedOrders[EffectiveQty],T_PlannedOrders[Part Name],$A555,T_PlannedOrders[WeekIndex],85)&amp;" ("&amp;TEXT(SUMPRODUCT(MAX((T_PlannedOrders[Part Name]=$A555)*(T_PlannedOrders[WeekIndex]=85)*(T_PlannedOrders[EffectiveQty]&gt;0)*T_PlannedOrders[Order_Month])),"m月")&amp;"発注)")</f>
        <v/>
      </c>
      <c r="CK585">
        <f>IF(SUMIFS(T_PlannedOrders[EffectiveQty],T_PlannedOrders[Part Name],$A555,T_PlannedOrders[WeekIndex],86)=0,"",SUMIFS(T_PlannedOrders[EffectiveQty],T_PlannedOrders[Part Name],$A555,T_PlannedOrders[WeekIndex],86)&amp;" ("&amp;TEXT(SUMPRODUCT(MAX((T_PlannedOrders[Part Name]=$A555)*(T_PlannedOrders[WeekIndex]=86)*(T_PlannedOrders[EffectiveQty]&gt;0)*T_PlannedOrders[Order_Month])),"m月")&amp;"発注)")</f>
        <v/>
      </c>
      <c r="CL585">
        <f>IF(SUMIFS(T_PlannedOrders[EffectiveQty],T_PlannedOrders[Part Name],$A555,T_PlannedOrders[WeekIndex],87)=0,"",SUMIFS(T_PlannedOrders[EffectiveQty],T_PlannedOrders[Part Name],$A555,T_PlannedOrders[WeekIndex],87)&amp;" ("&amp;TEXT(SUMPRODUCT(MAX((T_PlannedOrders[Part Name]=$A555)*(T_PlannedOrders[WeekIndex]=87)*(T_PlannedOrders[EffectiveQty]&gt;0)*T_PlannedOrders[Order_Month])),"m月")&amp;"発注)")</f>
        <v/>
      </c>
      <c r="CM585">
        <f>IF(SUMIFS(T_PlannedOrders[EffectiveQty],T_PlannedOrders[Part Name],$A555,T_PlannedOrders[WeekIndex],88)=0,"",SUMIFS(T_PlannedOrders[EffectiveQty],T_PlannedOrders[Part Name],$A555,T_PlannedOrders[WeekIndex],88)&amp;" ("&amp;TEXT(SUMPRODUCT(MAX((T_PlannedOrders[Part Name]=$A555)*(T_PlannedOrders[WeekIndex]=88)*(T_PlannedOrders[EffectiveQty]&gt;0)*T_PlannedOrders[Order_Month])),"m月")&amp;"発注)")</f>
        <v/>
      </c>
      <c r="CN585">
        <f>IF(SUMIFS(T_PlannedOrders[EffectiveQty],T_PlannedOrders[Part Name],$A555,T_PlannedOrders[WeekIndex],89)=0,"",SUMIFS(T_PlannedOrders[EffectiveQty],T_PlannedOrders[Part Name],$A555,T_PlannedOrders[WeekIndex],89)&amp;" ("&amp;TEXT(SUMPRODUCT(MAX((T_PlannedOrders[Part Name]=$A555)*(T_PlannedOrders[WeekIndex]=89)*(T_PlannedOrders[EffectiveQty]&gt;0)*T_PlannedOrders[Order_Month])),"m月")&amp;"発注)")</f>
        <v/>
      </c>
      <c r="CO585">
        <f>IF(SUMIFS(T_PlannedOrders[EffectiveQty],T_PlannedOrders[Part Name],$A555,T_PlannedOrders[WeekIndex],90)=0,"",SUMIFS(T_PlannedOrders[EffectiveQty],T_PlannedOrders[Part Name],$A555,T_PlannedOrders[WeekIndex],90)&amp;" ("&amp;TEXT(SUMPRODUCT(MAX((T_PlannedOrders[Part Name]=$A555)*(T_PlannedOrders[WeekIndex]=90)*(T_PlannedOrders[EffectiveQty]&gt;0)*T_PlannedOrders[Order_Month])),"m月")&amp;"発注)")</f>
        <v/>
      </c>
      <c r="CP585">
        <f>IF(SUMIFS(T_PlannedOrders[EffectiveQty],T_PlannedOrders[Part Name],$A555,T_PlannedOrders[WeekIndex],91)=0,"",SUMIFS(T_PlannedOrders[EffectiveQty],T_PlannedOrders[Part Name],$A555,T_PlannedOrders[WeekIndex],91)&amp;" ("&amp;TEXT(SUMPRODUCT(MAX((T_PlannedOrders[Part Name]=$A555)*(T_PlannedOrders[WeekIndex]=91)*(T_PlannedOrders[EffectiveQty]&gt;0)*T_PlannedOrders[Order_Month])),"m月")&amp;"発注)")</f>
        <v/>
      </c>
      <c r="CQ585">
        <f>IF(SUMIFS(T_PlannedOrders[EffectiveQty],T_PlannedOrders[Part Name],$A555,T_PlannedOrders[WeekIndex],92)=0,"",SUMIFS(T_PlannedOrders[EffectiveQty],T_PlannedOrders[Part Name],$A555,T_PlannedOrders[WeekIndex],92)&amp;" ("&amp;TEXT(SUMPRODUCT(MAX((T_PlannedOrders[Part Name]=$A555)*(T_PlannedOrders[WeekIndex]=92)*(T_PlannedOrders[EffectiveQty]&gt;0)*T_PlannedOrders[Order_Month])),"m月")&amp;"発注)")</f>
        <v/>
      </c>
      <c r="CR585">
        <f>IF(SUMIFS(T_PlannedOrders[EffectiveQty],T_PlannedOrders[Part Name],$A555,T_PlannedOrders[WeekIndex],93)=0,"",SUMIFS(T_PlannedOrders[EffectiveQty],T_PlannedOrders[Part Name],$A555,T_PlannedOrders[WeekIndex],93)&amp;" ("&amp;TEXT(SUMPRODUCT(MAX((T_PlannedOrders[Part Name]=$A555)*(T_PlannedOrders[WeekIndex]=93)*(T_PlannedOrders[EffectiveQty]&gt;0)*T_PlannedOrders[Order_Month])),"m月")&amp;"発注)")</f>
        <v/>
      </c>
      <c r="CS585">
        <f>IF(SUMIFS(T_PlannedOrders[EffectiveQty],T_PlannedOrders[Part Name],$A555,T_PlannedOrders[WeekIndex],94)=0,"",SUMIFS(T_PlannedOrders[EffectiveQty],T_PlannedOrders[Part Name],$A555,T_PlannedOrders[WeekIndex],94)&amp;" ("&amp;TEXT(SUMPRODUCT(MAX((T_PlannedOrders[Part Name]=$A555)*(T_PlannedOrders[WeekIndex]=94)*(T_PlannedOrders[EffectiveQty]&gt;0)*T_PlannedOrders[Order_Month])),"m月")&amp;"発注)")</f>
        <v/>
      </c>
      <c r="CT585">
        <f>IF(SUMIFS(T_PlannedOrders[EffectiveQty],T_PlannedOrders[Part Name],$A555,T_PlannedOrders[WeekIndex],95)=0,"",SUMIFS(T_PlannedOrders[EffectiveQty],T_PlannedOrders[Part Name],$A555,T_PlannedOrders[WeekIndex],95)&amp;" ("&amp;TEXT(SUMPRODUCT(MAX((T_PlannedOrders[Part Name]=$A555)*(T_PlannedOrders[WeekIndex]=95)*(T_PlannedOrders[EffectiveQty]&gt;0)*T_PlannedOrders[Order_Month])),"m月")&amp;"発注)")</f>
        <v/>
      </c>
      <c r="CU585">
        <f>IF(SUMIFS(T_PlannedOrders[EffectiveQty],T_PlannedOrders[Part Name],$A555,T_PlannedOrders[WeekIndex],96)=0,"",SUMIFS(T_PlannedOrders[EffectiveQty],T_PlannedOrders[Part Name],$A555,T_PlannedOrders[WeekIndex],96)&amp;" ("&amp;TEXT(SUMPRODUCT(MAX((T_PlannedOrders[Part Name]=$A555)*(T_PlannedOrders[WeekIndex]=96)*(T_PlannedOrders[EffectiveQty]&gt;0)*T_PlannedOrders[Order_Month])),"m月")&amp;"発注)")</f>
        <v/>
      </c>
      <c r="CV585">
        <f>IF(SUMIFS(T_PlannedOrders[EffectiveQty],T_PlannedOrders[Part Name],$A555,T_PlannedOrders[WeekIndex],97)=0,"",SUMIFS(T_PlannedOrders[EffectiveQty],T_PlannedOrders[Part Name],$A555,T_PlannedOrders[WeekIndex],97)&amp;" ("&amp;TEXT(SUMPRODUCT(MAX((T_PlannedOrders[Part Name]=$A555)*(T_PlannedOrders[WeekIndex]=97)*(T_PlannedOrders[EffectiveQty]&gt;0)*T_PlannedOrders[Order_Month])),"m月")&amp;"発注)")</f>
        <v/>
      </c>
      <c r="CW585">
        <f>IF(SUMIFS(T_PlannedOrders[EffectiveQty],T_PlannedOrders[Part Name],$A555,T_PlannedOrders[WeekIndex],98)=0,"",SUMIFS(T_PlannedOrders[EffectiveQty],T_PlannedOrders[Part Name],$A555,T_PlannedOrders[WeekIndex],98)&amp;" ("&amp;TEXT(SUMPRODUCT(MAX((T_PlannedOrders[Part Name]=$A555)*(T_PlannedOrders[WeekIndex]=98)*(T_PlannedOrders[EffectiveQty]&gt;0)*T_PlannedOrders[Order_Month])),"m月")&amp;"発注)")</f>
        <v/>
      </c>
      <c r="CX585">
        <f>IF(SUMIFS(T_PlannedOrders[EffectiveQty],T_PlannedOrders[Part Name],$A555,T_PlannedOrders[WeekIndex],99)=0,"",SUMIFS(T_PlannedOrders[EffectiveQty],T_PlannedOrders[Part Name],$A555,T_PlannedOrders[WeekIndex],99)&amp;" ("&amp;TEXT(SUMPRODUCT(MAX((T_PlannedOrders[Part Name]=$A555)*(T_PlannedOrders[WeekIndex]=99)*(T_PlannedOrders[EffectiveQty]&gt;0)*T_PlannedOrders[Order_Month])),"m月")&amp;"発注)")</f>
        <v/>
      </c>
      <c r="CY585">
        <f>IF(SUMIFS(T_PlannedOrders[EffectiveQty],T_PlannedOrders[Part Name],$A555,T_PlannedOrders[WeekIndex],100)=0,"",SUMIFS(T_PlannedOrders[EffectiveQty],T_PlannedOrders[Part Name],$A555,T_PlannedOrders[WeekIndex],100)&amp;" ("&amp;TEXT(SUMPRODUCT(MAX((T_PlannedOrders[Part Name]=$A555)*(T_PlannedOrders[WeekIndex]=100)*(T_PlannedOrders[EffectiveQty]&gt;0)*T_PlannedOrders[Order_Month])),"m月")&amp;"発注)")</f>
        <v/>
      </c>
      <c r="CZ585">
        <f>IF(SUMIFS(T_PlannedOrders[EffectiveQty],T_PlannedOrders[Part Name],$A555,T_PlannedOrders[WeekIndex],101)=0,"",SUMIFS(T_PlannedOrders[EffectiveQty],T_PlannedOrders[Part Name],$A555,T_PlannedOrders[WeekIndex],101)&amp;" ("&amp;TEXT(SUMPRODUCT(MAX((T_PlannedOrders[Part Name]=$A555)*(T_PlannedOrders[WeekIndex]=101)*(T_PlannedOrders[EffectiveQty]&gt;0)*T_PlannedOrders[Order_Month])),"m月")&amp;"発注)")</f>
        <v/>
      </c>
      <c r="DA585">
        <f>IF(SUMIFS(T_PlannedOrders[EffectiveQty],T_PlannedOrders[Part Name],$A555,T_PlannedOrders[WeekIndex],102)=0,"",SUMIFS(T_PlannedOrders[EffectiveQty],T_PlannedOrders[Part Name],$A555,T_PlannedOrders[WeekIndex],102)&amp;" ("&amp;TEXT(SUMPRODUCT(MAX((T_PlannedOrders[Part Name]=$A555)*(T_PlannedOrders[WeekIndex]=102)*(T_PlannedOrders[EffectiveQty]&gt;0)*T_PlannedOrders[Order_Month])),"m月")&amp;"発注)")</f>
        <v/>
      </c>
      <c r="DB585">
        <f>IF(SUMIFS(T_PlannedOrders[EffectiveQty],T_PlannedOrders[Part Name],$A555,T_PlannedOrders[WeekIndex],103)=0,"",SUMIFS(T_PlannedOrders[EffectiveQty],T_PlannedOrders[Part Name],$A555,T_PlannedOrders[WeekIndex],103)&amp;" ("&amp;TEXT(SUMPRODUCT(MAX((T_PlannedOrders[Part Name]=$A555)*(T_PlannedOrders[WeekIndex]=103)*(T_PlannedOrders[EffectiveQty]&gt;0)*T_PlannedOrders[Order_Month])),"m月")&amp;"発注)")</f>
        <v/>
      </c>
      <c r="DC585">
        <f>IF(SUMIFS(T_PlannedOrders[EffectiveQty],T_PlannedOrders[Part Name],$A555,T_PlannedOrders[WeekIndex],104)=0,"",SUMIFS(T_PlannedOrders[EffectiveQty],T_PlannedOrders[Part Name],$A555,T_PlannedOrders[WeekIndex],104)&amp;" ("&amp;TEXT(SUMPRODUCT(MAX((T_PlannedOrders[Part Name]=$A555)*(T_PlannedOrders[WeekIndex]=104)*(T_PlannedOrders[EffectiveQty]&gt;0)*T_PlannedOrders[Order_Month])),"m月")&amp;"発注)")</f>
        <v/>
      </c>
    </row>
    <row r="586">
      <c r="B586" s="9" t="inlineStr">
        <is>
          <t>合計在庫(週末時点,kg)</t>
        </is>
      </c>
      <c r="D586">
        <f>'Grid_Stock'!B35</f>
        <v/>
      </c>
      <c r="E586">
        <f>'Grid_Stock'!C35</f>
        <v/>
      </c>
      <c r="F586">
        <f>'Grid_Stock'!D35</f>
        <v/>
      </c>
      <c r="G586">
        <f>'Grid_Stock'!E35</f>
        <v/>
      </c>
      <c r="H586">
        <f>'Grid_Stock'!F35</f>
        <v/>
      </c>
      <c r="I586">
        <f>'Grid_Stock'!G35</f>
        <v/>
      </c>
      <c r="J586">
        <f>'Grid_Stock'!H35</f>
        <v/>
      </c>
      <c r="K586">
        <f>'Grid_Stock'!I35</f>
        <v/>
      </c>
      <c r="L586">
        <f>'Grid_Stock'!J35</f>
        <v/>
      </c>
      <c r="M586">
        <f>'Grid_Stock'!K35</f>
        <v/>
      </c>
      <c r="N586">
        <f>'Grid_Stock'!L35</f>
        <v/>
      </c>
      <c r="O586">
        <f>'Grid_Stock'!M35</f>
        <v/>
      </c>
      <c r="P586">
        <f>'Grid_Stock'!N35</f>
        <v/>
      </c>
      <c r="Q586">
        <f>'Grid_Stock'!O35</f>
        <v/>
      </c>
      <c r="R586">
        <f>'Grid_Stock'!P35</f>
        <v/>
      </c>
      <c r="S586">
        <f>'Grid_Stock'!Q35</f>
        <v/>
      </c>
      <c r="T586">
        <f>'Grid_Stock'!R35</f>
        <v/>
      </c>
      <c r="U586">
        <f>'Grid_Stock'!S35</f>
        <v/>
      </c>
      <c r="V586">
        <f>'Grid_Stock'!T35</f>
        <v/>
      </c>
      <c r="W586">
        <f>'Grid_Stock'!U35</f>
        <v/>
      </c>
      <c r="X586">
        <f>'Grid_Stock'!V35</f>
        <v/>
      </c>
      <c r="Y586">
        <f>'Grid_Stock'!W35</f>
        <v/>
      </c>
      <c r="Z586">
        <f>'Grid_Stock'!X35</f>
        <v/>
      </c>
      <c r="AA586">
        <f>'Grid_Stock'!Y35</f>
        <v/>
      </c>
      <c r="AB586">
        <f>'Grid_Stock'!Z35</f>
        <v/>
      </c>
      <c r="AC586">
        <f>'Grid_Stock'!AA35</f>
        <v/>
      </c>
      <c r="AD586">
        <f>'Grid_Stock'!AB35</f>
        <v/>
      </c>
      <c r="AE586">
        <f>'Grid_Stock'!AC35</f>
        <v/>
      </c>
      <c r="AF586">
        <f>'Grid_Stock'!AD35</f>
        <v/>
      </c>
      <c r="AG586">
        <f>'Grid_Stock'!AE35</f>
        <v/>
      </c>
      <c r="AH586">
        <f>'Grid_Stock'!AF35</f>
        <v/>
      </c>
      <c r="AI586">
        <f>'Grid_Stock'!AG35</f>
        <v/>
      </c>
      <c r="AJ586">
        <f>'Grid_Stock'!AH35</f>
        <v/>
      </c>
      <c r="AK586">
        <f>'Grid_Stock'!AI35</f>
        <v/>
      </c>
      <c r="AL586">
        <f>'Grid_Stock'!AJ35</f>
        <v/>
      </c>
      <c r="AM586">
        <f>'Grid_Stock'!AK35</f>
        <v/>
      </c>
      <c r="AN586">
        <f>'Grid_Stock'!AL35</f>
        <v/>
      </c>
      <c r="AO586">
        <f>'Grid_Stock'!AM35</f>
        <v/>
      </c>
      <c r="AP586">
        <f>'Grid_Stock'!AN35</f>
        <v/>
      </c>
      <c r="AQ586">
        <f>'Grid_Stock'!AO35</f>
        <v/>
      </c>
      <c r="AR586">
        <f>'Grid_Stock'!AP35</f>
        <v/>
      </c>
      <c r="AS586">
        <f>'Grid_Stock'!AQ35</f>
        <v/>
      </c>
      <c r="AT586">
        <f>'Grid_Stock'!AR35</f>
        <v/>
      </c>
      <c r="AU586">
        <f>'Grid_Stock'!AS35</f>
        <v/>
      </c>
      <c r="AV586">
        <f>'Grid_Stock'!AT35</f>
        <v/>
      </c>
      <c r="AW586">
        <f>'Grid_Stock'!AU35</f>
        <v/>
      </c>
      <c r="AX586">
        <f>'Grid_Stock'!AV35</f>
        <v/>
      </c>
      <c r="AY586">
        <f>'Grid_Stock'!AW35</f>
        <v/>
      </c>
      <c r="AZ586">
        <f>'Grid_Stock'!AX35</f>
        <v/>
      </c>
      <c r="BA586">
        <f>'Grid_Stock'!AY35</f>
        <v/>
      </c>
      <c r="BB586">
        <f>'Grid_Stock'!AZ35</f>
        <v/>
      </c>
      <c r="BC586">
        <f>'Grid_Stock'!BA35</f>
        <v/>
      </c>
      <c r="BD586">
        <f>'Grid_Stock'!BB35</f>
        <v/>
      </c>
      <c r="BE586">
        <f>'Grid_Stock'!BC35</f>
        <v/>
      </c>
      <c r="BF586">
        <f>'Grid_Stock'!BD35</f>
        <v/>
      </c>
      <c r="BG586">
        <f>'Grid_Stock'!BE35</f>
        <v/>
      </c>
      <c r="BH586">
        <f>'Grid_Stock'!BF35</f>
        <v/>
      </c>
      <c r="BI586">
        <f>'Grid_Stock'!BG35</f>
        <v/>
      </c>
      <c r="BJ586">
        <f>'Grid_Stock'!BH35</f>
        <v/>
      </c>
      <c r="BK586">
        <f>'Grid_Stock'!BI35</f>
        <v/>
      </c>
      <c r="BL586">
        <f>'Grid_Stock'!BJ35</f>
        <v/>
      </c>
      <c r="BM586">
        <f>'Grid_Stock'!BK35</f>
        <v/>
      </c>
      <c r="BN586">
        <f>'Grid_Stock'!BL35</f>
        <v/>
      </c>
      <c r="BO586">
        <f>'Grid_Stock'!BM35</f>
        <v/>
      </c>
      <c r="BP586">
        <f>'Grid_Stock'!BN35</f>
        <v/>
      </c>
      <c r="BQ586">
        <f>'Grid_Stock'!BO35</f>
        <v/>
      </c>
      <c r="BR586">
        <f>'Grid_Stock'!BP35</f>
        <v/>
      </c>
      <c r="BS586">
        <f>'Grid_Stock'!BQ35</f>
        <v/>
      </c>
      <c r="BT586">
        <f>'Grid_Stock'!BR35</f>
        <v/>
      </c>
      <c r="BU586">
        <f>'Grid_Stock'!BS35</f>
        <v/>
      </c>
      <c r="BV586">
        <f>'Grid_Stock'!BT35</f>
        <v/>
      </c>
      <c r="BW586">
        <f>'Grid_Stock'!BU35</f>
        <v/>
      </c>
      <c r="BX586">
        <f>'Grid_Stock'!BV35</f>
        <v/>
      </c>
      <c r="BY586">
        <f>'Grid_Stock'!BW35</f>
        <v/>
      </c>
      <c r="BZ586">
        <f>'Grid_Stock'!BX35</f>
        <v/>
      </c>
      <c r="CA586">
        <f>'Grid_Stock'!BY35</f>
        <v/>
      </c>
      <c r="CB586">
        <f>'Grid_Stock'!BZ35</f>
        <v/>
      </c>
      <c r="CC586">
        <f>'Grid_Stock'!CA35</f>
        <v/>
      </c>
      <c r="CD586">
        <f>'Grid_Stock'!CB35</f>
        <v/>
      </c>
      <c r="CE586">
        <f>'Grid_Stock'!CC35</f>
        <v/>
      </c>
      <c r="CF586">
        <f>'Grid_Stock'!CD35</f>
        <v/>
      </c>
      <c r="CG586">
        <f>'Grid_Stock'!CE35</f>
        <v/>
      </c>
      <c r="CH586">
        <f>'Grid_Stock'!CF35</f>
        <v/>
      </c>
      <c r="CI586">
        <f>'Grid_Stock'!CG35</f>
        <v/>
      </c>
      <c r="CJ586">
        <f>'Grid_Stock'!CH35</f>
        <v/>
      </c>
      <c r="CK586">
        <f>'Grid_Stock'!CI35</f>
        <v/>
      </c>
      <c r="CL586">
        <f>'Grid_Stock'!CJ35</f>
        <v/>
      </c>
      <c r="CM586">
        <f>'Grid_Stock'!CK35</f>
        <v/>
      </c>
      <c r="CN586">
        <f>'Grid_Stock'!CL35</f>
        <v/>
      </c>
      <c r="CO586">
        <f>'Grid_Stock'!CM35</f>
        <v/>
      </c>
      <c r="CP586">
        <f>'Grid_Stock'!CN35</f>
        <v/>
      </c>
      <c r="CQ586">
        <f>'Grid_Stock'!CO35</f>
        <v/>
      </c>
      <c r="CR586">
        <f>'Grid_Stock'!CP35</f>
        <v/>
      </c>
      <c r="CS586">
        <f>'Grid_Stock'!CQ35</f>
        <v/>
      </c>
      <c r="CT586">
        <f>'Grid_Stock'!CR35</f>
        <v/>
      </c>
      <c r="CU586">
        <f>'Grid_Stock'!CS35</f>
        <v/>
      </c>
      <c r="CV586">
        <f>'Grid_Stock'!CT35</f>
        <v/>
      </c>
      <c r="CW586">
        <f>'Grid_Stock'!CU35</f>
        <v/>
      </c>
      <c r="CX586">
        <f>'Grid_Stock'!CV35</f>
        <v/>
      </c>
      <c r="CY586">
        <f>'Grid_Stock'!CW35</f>
        <v/>
      </c>
      <c r="CZ586">
        <f>'Grid_Stock'!CX35</f>
        <v/>
      </c>
      <c r="DA586">
        <f>'Grid_Stock'!CY35</f>
        <v/>
      </c>
      <c r="DB586">
        <f>'Grid_Stock'!CZ35</f>
        <v/>
      </c>
      <c r="DC586">
        <f>'Grid_Stock'!DA35</f>
        <v/>
      </c>
    </row>
    <row r="587">
      <c r="B587" s="21" t="inlineStr">
        <is>
          <t>（発注の目安はDashboardの基準在庫[下限/上限]と色分けを参照）</t>
        </is>
      </c>
    </row>
    <row r="589">
      <c r="A589" s="19" t="inlineStr">
        <is>
          <t>0JN</t>
        </is>
      </c>
      <c r="B589" s="19" t="inlineStr">
        <is>
          <t>N30S/10 : 11R-11 (F2090) Poland</t>
        </is>
      </c>
      <c r="C589" s="20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/>
      <c r="Z589" s="19" t="n"/>
      <c r="AA589" s="19" t="n"/>
      <c r="AB589" s="19" t="n"/>
      <c r="AC589" s="19" t="n"/>
      <c r="AD589" s="19" t="n"/>
      <c r="AE589" s="19" t="n"/>
      <c r="AF589" s="19" t="n"/>
      <c r="AG589" s="19" t="n"/>
      <c r="AH589" s="19" t="n"/>
      <c r="AI589" s="19" t="n"/>
      <c r="AJ589" s="19" t="n"/>
      <c r="AK589" s="19" t="n"/>
      <c r="AL589" s="19" t="n"/>
      <c r="AM589" s="19" t="n"/>
      <c r="AN589" s="19" t="n"/>
      <c r="AO589" s="19" t="n"/>
      <c r="AP589" s="19" t="n"/>
      <c r="AQ589" s="19" t="n"/>
      <c r="AR589" s="19" t="n"/>
      <c r="AS589" s="19" t="n"/>
      <c r="AT589" s="19" t="n"/>
      <c r="AU589" s="19" t="n"/>
      <c r="AV589" s="19" t="n"/>
      <c r="AW589" s="19" t="n"/>
      <c r="AX589" s="19" t="n"/>
      <c r="AY589" s="19" t="n"/>
      <c r="AZ589" s="19" t="n"/>
      <c r="BA589" s="19" t="n"/>
      <c r="BB589" s="19" t="n"/>
      <c r="BC589" s="19" t="n"/>
      <c r="BD589" s="19" t="n"/>
      <c r="BE589" s="19" t="n"/>
      <c r="BF589" s="19" t="n"/>
      <c r="BG589" s="19" t="n"/>
      <c r="BH589" s="19" t="n"/>
      <c r="BI589" s="19" t="n"/>
      <c r="BJ589" s="19" t="n"/>
      <c r="BK589" s="19" t="n"/>
      <c r="BL589" s="19" t="n"/>
      <c r="BM589" s="19" t="n"/>
      <c r="BN589" s="19" t="n"/>
      <c r="BO589" s="19" t="n"/>
      <c r="BP589" s="19" t="n"/>
      <c r="BQ589" s="19" t="n"/>
      <c r="BR589" s="19" t="n"/>
      <c r="BS589" s="19" t="n"/>
      <c r="BT589" s="19" t="n"/>
      <c r="BU589" s="19" t="n"/>
      <c r="BV589" s="19" t="n"/>
      <c r="BW589" s="19" t="n"/>
      <c r="BX589" s="19" t="n"/>
      <c r="BY589" s="19" t="n"/>
      <c r="BZ589" s="19" t="n"/>
      <c r="CA589" s="19" t="n"/>
      <c r="CB589" s="19" t="n"/>
      <c r="CC589" s="19" t="n"/>
      <c r="CD589" s="19" t="n"/>
      <c r="CE589" s="19" t="n"/>
      <c r="CF589" s="19" t="n"/>
      <c r="CG589" s="19" t="n"/>
      <c r="CH589" s="19" t="n"/>
      <c r="CI589" s="19" t="n"/>
      <c r="CJ589" s="19" t="n"/>
      <c r="CK589" s="19" t="n"/>
      <c r="CL589" s="19" t="n"/>
      <c r="CM589" s="19" t="n"/>
      <c r="CN589" s="19" t="n"/>
      <c r="CO589" s="19" t="n"/>
      <c r="CP589" s="19" t="n"/>
      <c r="CQ589" s="19" t="n"/>
      <c r="CR589" s="19" t="n"/>
      <c r="CS589" s="19" t="n"/>
      <c r="CT589" s="19" t="n"/>
      <c r="CU589" s="19" t="n"/>
      <c r="CV589" s="19" t="n"/>
      <c r="CW589" s="19" t="n"/>
      <c r="CX589" s="19" t="n"/>
      <c r="CY589" s="19" t="n"/>
      <c r="CZ589" s="19" t="n"/>
      <c r="DA589" s="19" t="n"/>
      <c r="DB589" s="19" t="n"/>
      <c r="DC589" s="19" t="n"/>
    </row>
    <row r="590">
      <c r="B590" t="inlineStr">
        <is>
          <t>TSP-219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12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Name],$A589)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TVS-833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Name],$A589)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TSP-1449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Name],$A589)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VSP-600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Name],$A589)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VSP-601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Name],$A589)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VSP-603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Name],$A589)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VSP-604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Name],$A589)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VSP-606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Name],$A589)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VSP-607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Name],$A589)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VSP-738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Name],$A589)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VSP-739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Name],$A589)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VSP-820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12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Name],$A589)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VSP-869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12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Name],$A589)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VSP-989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12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Name],$A589)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TPP-190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12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Name],$A589)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TPP-204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Name],$A589)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TPP-350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Name],$A589)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TPP-356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Name],$A589)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TPP-704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Name],$A589)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TPP-650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Name],$A589)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TPP-527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Name],$A589)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TPP-537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Name],$A589)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TPP-609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12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Name],$A589)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TPP-911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12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Name],$A589)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t="inlineStr">
        <is>
          <t>TPP-970</t>
        </is>
      </c>
      <c r="C638" t="inlineStr">
        <is>
          <t>No. of batches</t>
        </is>
      </c>
      <c r="D638">
        <f>IFERROR(INDEX(PP_Grid[#Data],$DD638,2),0)</f>
        <v/>
      </c>
      <c r="E638">
        <f>IFERROR(INDEX(PP_Grid[#Data],$DD638,3),0)</f>
        <v/>
      </c>
      <c r="F638">
        <f>IFERROR(INDEX(PP_Grid[#Data],$DD638,4),0)</f>
        <v/>
      </c>
      <c r="G638">
        <f>IFERROR(INDEX(PP_Grid[#Data],$DD638,5),0)</f>
        <v/>
      </c>
      <c r="H638">
        <f>IFERROR(INDEX(PP_Grid[#Data],$DD638,6),0)</f>
        <v/>
      </c>
      <c r="I638">
        <f>IFERROR(INDEX(PP_Grid[#Data],$DD638,7),0)</f>
        <v/>
      </c>
      <c r="J638">
        <f>IFERROR(INDEX(PP_Grid[#Data],$DD638,8),0)</f>
        <v/>
      </c>
      <c r="K638">
        <f>IFERROR(INDEX(PP_Grid[#Data],$DD638,9),0)</f>
        <v/>
      </c>
      <c r="L638">
        <f>IFERROR(INDEX(PP_Grid[#Data],$DD638,10),0)</f>
        <v/>
      </c>
      <c r="M638">
        <f>IFERROR(INDEX(PP_Grid[#Data],$DD638,11),0)</f>
        <v/>
      </c>
      <c r="N638">
        <f>IFERROR(INDEX(PP_Grid[#Data],$DD638,12),0)</f>
        <v/>
      </c>
      <c r="O638">
        <f>IFERROR(INDEX(PP_Grid[#Data],$DD638,13),0)</f>
        <v/>
      </c>
      <c r="P638">
        <f>IFERROR(INDEX(PP_Grid[#Data],$DD638,14),0)</f>
        <v/>
      </c>
      <c r="Q638">
        <f>IFERROR(INDEX(PP_Grid[#Data],$DD638,15),0)</f>
        <v/>
      </c>
      <c r="R638">
        <f>IFERROR(INDEX(PP_Grid[#Data],$DD638,16),0)</f>
        <v/>
      </c>
      <c r="S638">
        <f>IFERROR(INDEX(PP_Grid[#Data],$DD638,17),0)</f>
        <v/>
      </c>
      <c r="T638">
        <f>IFERROR(INDEX(PP_Grid[#Data],$DD638,18),0)</f>
        <v/>
      </c>
      <c r="U638">
        <f>IFERROR(INDEX(PP_Grid[#Data],$DD638,19),0)</f>
        <v/>
      </c>
      <c r="V638">
        <f>IFERROR(INDEX(PP_Grid[#Data],$DD638,20),0)</f>
        <v/>
      </c>
      <c r="W638">
        <f>IFERROR(INDEX(PP_Grid[#Data],$DD638,21),0)</f>
        <v/>
      </c>
      <c r="X638">
        <f>IFERROR(INDEX(PP_Grid[#Data],$DD638,22),0)</f>
        <v/>
      </c>
      <c r="Y638">
        <f>IFERROR(INDEX(PP_Grid[#Data],$DD638,23),0)</f>
        <v/>
      </c>
      <c r="Z638">
        <f>IFERROR(INDEX(PP_Grid[#Data],$DD638,24),0)</f>
        <v/>
      </c>
      <c r="AA638">
        <f>IFERROR(INDEX(PP_Grid[#Data],$DD638,25),0)</f>
        <v/>
      </c>
      <c r="AB638">
        <f>IFERROR(INDEX(PP_Grid[#Data],$DD638,26),0)</f>
        <v/>
      </c>
      <c r="AC638">
        <f>IFERROR(INDEX(PP_Grid[#Data],$DD638,27),0)</f>
        <v/>
      </c>
      <c r="AD638">
        <f>IFERROR(INDEX(PP_Grid[#Data],$DD638,28),0)</f>
        <v/>
      </c>
      <c r="AE638">
        <f>IFERROR(INDEX(PP_Grid[#Data],$DD638,29),0)</f>
        <v/>
      </c>
      <c r="AF638">
        <f>IFERROR(INDEX(PP_Grid[#Data],$DD638,30),0)</f>
        <v/>
      </c>
      <c r="AG638">
        <f>IFERROR(INDEX(PP_Grid[#Data],$DD638,31),0)</f>
        <v/>
      </c>
      <c r="AH638">
        <f>IFERROR(INDEX(PP_Grid[#Data],$DD638,32),0)</f>
        <v/>
      </c>
      <c r="AI638">
        <f>IFERROR(INDEX(PP_Grid[#Data],$DD638,33),0)</f>
        <v/>
      </c>
      <c r="AJ638">
        <f>IFERROR(INDEX(PP_Grid[#Data],$DD638,34),0)</f>
        <v/>
      </c>
      <c r="AK638">
        <f>IFERROR(INDEX(PP_Grid[#Data],$DD638,35),0)</f>
        <v/>
      </c>
      <c r="AL638">
        <f>IFERROR(INDEX(PP_Grid[#Data],$DD638,36),0)</f>
        <v/>
      </c>
      <c r="AM638">
        <f>IFERROR(INDEX(PP_Grid[#Data],$DD638,37),0)</f>
        <v/>
      </c>
      <c r="AN638">
        <f>IFERROR(INDEX(PP_Grid[#Data],$DD638,38),0)</f>
        <v/>
      </c>
      <c r="AO638">
        <f>IFERROR(INDEX(PP_Grid[#Data],$DD638,39),0)</f>
        <v/>
      </c>
      <c r="AP638">
        <f>IFERROR(INDEX(PP_Grid[#Data],$DD638,40),0)</f>
        <v/>
      </c>
      <c r="AQ638">
        <f>IFERROR(INDEX(PP_Grid[#Data],$DD638,41),0)</f>
        <v/>
      </c>
      <c r="AR638">
        <f>IFERROR(INDEX(PP_Grid[#Data],$DD638,42),0)</f>
        <v/>
      </c>
      <c r="AS638">
        <f>IFERROR(INDEX(PP_Grid[#Data],$DD638,43),0)</f>
        <v/>
      </c>
      <c r="AT638">
        <f>IFERROR(INDEX(PP_Grid[#Data],$DD638,44),0)</f>
        <v/>
      </c>
      <c r="AU638">
        <f>IFERROR(INDEX(PP_Grid[#Data],$DD638,45),0)</f>
        <v/>
      </c>
      <c r="AV638">
        <f>IFERROR(INDEX(PP_Grid[#Data],$DD638,46),0)</f>
        <v/>
      </c>
      <c r="AW638">
        <f>IFERROR(INDEX(PP_Grid[#Data],$DD638,47),0)</f>
        <v/>
      </c>
      <c r="AX638">
        <f>IFERROR(INDEX(PP_Grid[#Data],$DD638,48),0)</f>
        <v/>
      </c>
      <c r="AY638">
        <f>IFERROR(INDEX(PP_Grid[#Data],$DD638,49),0)</f>
        <v/>
      </c>
      <c r="AZ638">
        <f>IFERROR(INDEX(PP_Grid[#Data],$DD638,50),0)</f>
        <v/>
      </c>
      <c r="BA638">
        <f>IFERROR(INDEX(PP_Grid[#Data],$DD638,51),0)</f>
        <v/>
      </c>
      <c r="BB638">
        <f>IFERROR(INDEX(PP_Grid[#Data],$DD638,52),0)</f>
        <v/>
      </c>
      <c r="BC638">
        <f>IFERROR(INDEX(PP_Grid[#Data],$DD638,53),0)</f>
        <v/>
      </c>
      <c r="BD638">
        <f>IFERROR(INDEX(PP_Grid[#Data],$DD638,54),0)</f>
        <v/>
      </c>
      <c r="BE638">
        <f>IFERROR(INDEX(PP_Grid[#Data],$DD638,55),0)</f>
        <v/>
      </c>
      <c r="BF638">
        <f>IFERROR(INDEX(PP_Grid[#Data],$DD638,56),0)</f>
        <v/>
      </c>
      <c r="BG638">
        <f>IFERROR(INDEX(PP_Grid[#Data],$DD638,57),0)</f>
        <v/>
      </c>
      <c r="BH638">
        <f>IFERROR(INDEX(PP_Grid[#Data],$DD638,58),0)</f>
        <v/>
      </c>
      <c r="BI638">
        <f>IFERROR(INDEX(PP_Grid[#Data],$DD638,59),0)</f>
        <v/>
      </c>
      <c r="BJ638">
        <f>IFERROR(INDEX(PP_Grid[#Data],$DD638,60),0)</f>
        <v/>
      </c>
      <c r="BK638">
        <f>IFERROR(INDEX(PP_Grid[#Data],$DD638,61),0)</f>
        <v/>
      </c>
      <c r="BL638">
        <f>IFERROR(INDEX(PP_Grid[#Data],$DD638,62),0)</f>
        <v/>
      </c>
      <c r="BM638">
        <f>IFERROR(INDEX(PP_Grid[#Data],$DD638,63),0)</f>
        <v/>
      </c>
      <c r="BN638">
        <f>IFERROR(INDEX(PP_Grid[#Data],$DD638,64),0)</f>
        <v/>
      </c>
      <c r="BO638">
        <f>IFERROR(INDEX(PP_Grid[#Data],$DD638,65),0)</f>
        <v/>
      </c>
      <c r="BP638">
        <f>IFERROR(INDEX(PP_Grid[#Data],$DD638,66),0)</f>
        <v/>
      </c>
      <c r="BQ638">
        <f>IFERROR(INDEX(PP_Grid[#Data],$DD638,67),0)</f>
        <v/>
      </c>
      <c r="BR638">
        <f>IFERROR(INDEX(PP_Grid[#Data],$DD638,68),0)</f>
        <v/>
      </c>
      <c r="BS638">
        <f>IFERROR(INDEX(PP_Grid[#Data],$DD638,69),0)</f>
        <v/>
      </c>
      <c r="BT638">
        <f>IFERROR(INDEX(PP_Grid[#Data],$DD638,70),0)</f>
        <v/>
      </c>
      <c r="BU638">
        <f>IFERROR(INDEX(PP_Grid[#Data],$DD638,71),0)</f>
        <v/>
      </c>
      <c r="BV638">
        <f>IFERROR(INDEX(PP_Grid[#Data],$DD638,72),0)</f>
        <v/>
      </c>
      <c r="BW638">
        <f>IFERROR(INDEX(PP_Grid[#Data],$DD638,73),0)</f>
        <v/>
      </c>
      <c r="BX638">
        <f>IFERROR(INDEX(PP_Grid[#Data],$DD638,74),0)</f>
        <v/>
      </c>
      <c r="BY638">
        <f>IFERROR(INDEX(PP_Grid[#Data],$DD638,75),0)</f>
        <v/>
      </c>
      <c r="BZ638">
        <f>IFERROR(INDEX(PP_Grid[#Data],$DD638,76),0)</f>
        <v/>
      </c>
      <c r="CA638">
        <f>IFERROR(INDEX(PP_Grid[#Data],$DD638,77),0)</f>
        <v/>
      </c>
      <c r="CB638">
        <f>IFERROR(INDEX(PP_Grid[#Data],$DD638,78),0)</f>
        <v/>
      </c>
      <c r="CC638">
        <f>IFERROR(INDEX(PP_Grid[#Data],$DD638,79),0)</f>
        <v/>
      </c>
      <c r="CD638">
        <f>IFERROR(INDEX(PP_Grid[#Data],$DD638,80),0)</f>
        <v/>
      </c>
      <c r="CE638">
        <f>IFERROR(INDEX(PP_Grid[#Data],$DD638,81),0)</f>
        <v/>
      </c>
      <c r="CF638">
        <f>IFERROR(INDEX(PP_Grid[#Data],$DD638,82),0)</f>
        <v/>
      </c>
      <c r="CG638">
        <f>IFERROR(INDEX(PP_Grid[#Data],$DD638,83),0)</f>
        <v/>
      </c>
      <c r="CH638">
        <f>IFERROR(INDEX(PP_Grid[#Data],$DD638,84),0)</f>
        <v/>
      </c>
      <c r="CI638">
        <f>IFERROR(INDEX(PP_Grid[#Data],$DD638,85),0)</f>
        <v/>
      </c>
      <c r="CJ638">
        <f>IFERROR(INDEX(PP_Grid[#Data],$DD638,86),0)</f>
        <v/>
      </c>
      <c r="CK638">
        <f>IFERROR(INDEX(PP_Grid[#Data],$DD638,87),0)</f>
        <v/>
      </c>
      <c r="CL638">
        <f>IFERROR(INDEX(PP_Grid[#Data],$DD638,88),0)</f>
        <v/>
      </c>
      <c r="CM638">
        <f>IFERROR(INDEX(PP_Grid[#Data],$DD638,89),0)</f>
        <v/>
      </c>
      <c r="CN638">
        <f>IFERROR(INDEX(PP_Grid[#Data],$DD638,90),0)</f>
        <v/>
      </c>
      <c r="CO638">
        <f>IFERROR(INDEX(PP_Grid[#Data],$DD638,91),0)</f>
        <v/>
      </c>
      <c r="CP638">
        <f>IFERROR(INDEX(PP_Grid[#Data],$DD638,92),0)</f>
        <v/>
      </c>
      <c r="CQ638">
        <f>IFERROR(INDEX(PP_Grid[#Data],$DD638,93),0)</f>
        <v/>
      </c>
      <c r="CR638">
        <f>IFERROR(INDEX(PP_Grid[#Data],$DD638,94),0)</f>
        <v/>
      </c>
      <c r="CS638">
        <f>IFERROR(INDEX(PP_Grid[#Data],$DD638,95),0)</f>
        <v/>
      </c>
      <c r="CT638">
        <f>IFERROR(INDEX(PP_Grid[#Data],$DD638,96),0)</f>
        <v/>
      </c>
      <c r="CU638">
        <f>IFERROR(INDEX(PP_Grid[#Data],$DD638,97),0)</f>
        <v/>
      </c>
      <c r="CV638">
        <f>IFERROR(INDEX(PP_Grid[#Data],$DD638,98),0)</f>
        <v/>
      </c>
      <c r="CW638">
        <f>IFERROR(INDEX(PP_Grid[#Data],$DD638,99),0)</f>
        <v/>
      </c>
      <c r="CX638">
        <f>IFERROR(INDEX(PP_Grid[#Data],$DD638,100),0)</f>
        <v/>
      </c>
      <c r="CY638">
        <f>IFERROR(INDEX(PP_Grid[#Data],$DD638,101),0)</f>
        <v/>
      </c>
      <c r="CZ638">
        <f>IFERROR(INDEX(PP_Grid[#Data],$DD638,102),0)</f>
        <v/>
      </c>
      <c r="DA638">
        <f>IFERROR(INDEX(PP_Grid[#Data],$DD638,103),0)</f>
        <v/>
      </c>
      <c r="DB638">
        <f>IFERROR(INDEX(PP_Grid[#Data],$DD638,104),0)</f>
        <v/>
      </c>
      <c r="DC638">
        <f>IFERROR(INDEX(PP_Grid[#Data],$DD638,105),0)</f>
        <v/>
      </c>
      <c r="DD638" s="12">
        <f>IFERROR(MATCH($B638,PP_Grid[Intermediate],0),99999)</f>
        <v/>
      </c>
    </row>
    <row r="639">
      <c r="B639" t="inlineStr">
        <is>
          <t>使用量(kg)</t>
        </is>
      </c>
      <c r="C639">
        <f>SUMIFS(M_BOM[RM_Qty_Per_Batch],M_BOM[Intermediate],$B638,M_BOM[Part Name],$A589)</f>
        <v/>
      </c>
      <c r="D639">
        <f>$C639*D638</f>
        <v/>
      </c>
      <c r="E639">
        <f>$C639*E638</f>
        <v/>
      </c>
      <c r="F639">
        <f>$C639*F638</f>
        <v/>
      </c>
      <c r="G639">
        <f>$C639*G638</f>
        <v/>
      </c>
      <c r="H639">
        <f>$C639*H638</f>
        <v/>
      </c>
      <c r="I639">
        <f>$C639*I638</f>
        <v/>
      </c>
      <c r="J639">
        <f>$C639*J638</f>
        <v/>
      </c>
      <c r="K639">
        <f>$C639*K638</f>
        <v/>
      </c>
      <c r="L639">
        <f>$C639*L638</f>
        <v/>
      </c>
      <c r="M639">
        <f>$C639*M638</f>
        <v/>
      </c>
      <c r="N639">
        <f>$C639*N638</f>
        <v/>
      </c>
      <c r="O639">
        <f>$C639*O638</f>
        <v/>
      </c>
      <c r="P639">
        <f>$C639*P638</f>
        <v/>
      </c>
      <c r="Q639">
        <f>$C639*Q638</f>
        <v/>
      </c>
      <c r="R639">
        <f>$C639*R638</f>
        <v/>
      </c>
      <c r="S639">
        <f>$C639*S638</f>
        <v/>
      </c>
      <c r="T639">
        <f>$C639*T638</f>
        <v/>
      </c>
      <c r="U639">
        <f>$C639*U638</f>
        <v/>
      </c>
      <c r="V639">
        <f>$C639*V638</f>
        <v/>
      </c>
      <c r="W639">
        <f>$C639*W638</f>
        <v/>
      </c>
      <c r="X639">
        <f>$C639*X638</f>
        <v/>
      </c>
      <c r="Y639">
        <f>$C639*Y638</f>
        <v/>
      </c>
      <c r="Z639">
        <f>$C639*Z638</f>
        <v/>
      </c>
      <c r="AA639">
        <f>$C639*AA638</f>
        <v/>
      </c>
      <c r="AB639">
        <f>$C639*AB638</f>
        <v/>
      </c>
      <c r="AC639">
        <f>$C639*AC638</f>
        <v/>
      </c>
      <c r="AD639">
        <f>$C639*AD638</f>
        <v/>
      </c>
      <c r="AE639">
        <f>$C639*AE638</f>
        <v/>
      </c>
      <c r="AF639">
        <f>$C639*AF638</f>
        <v/>
      </c>
      <c r="AG639">
        <f>$C639*AG638</f>
        <v/>
      </c>
      <c r="AH639">
        <f>$C639*AH638</f>
        <v/>
      </c>
      <c r="AI639">
        <f>$C639*AI638</f>
        <v/>
      </c>
      <c r="AJ639">
        <f>$C639*AJ638</f>
        <v/>
      </c>
      <c r="AK639">
        <f>$C639*AK638</f>
        <v/>
      </c>
      <c r="AL639">
        <f>$C639*AL638</f>
        <v/>
      </c>
      <c r="AM639">
        <f>$C639*AM638</f>
        <v/>
      </c>
      <c r="AN639">
        <f>$C639*AN638</f>
        <v/>
      </c>
      <c r="AO639">
        <f>$C639*AO638</f>
        <v/>
      </c>
      <c r="AP639">
        <f>$C639*AP638</f>
        <v/>
      </c>
      <c r="AQ639">
        <f>$C639*AQ638</f>
        <v/>
      </c>
      <c r="AR639">
        <f>$C639*AR638</f>
        <v/>
      </c>
      <c r="AS639">
        <f>$C639*AS638</f>
        <v/>
      </c>
      <c r="AT639">
        <f>$C639*AT638</f>
        <v/>
      </c>
      <c r="AU639">
        <f>$C639*AU638</f>
        <v/>
      </c>
      <c r="AV639">
        <f>$C639*AV638</f>
        <v/>
      </c>
      <c r="AW639">
        <f>$C639*AW638</f>
        <v/>
      </c>
      <c r="AX639">
        <f>$C639*AX638</f>
        <v/>
      </c>
      <c r="AY639">
        <f>$C639*AY638</f>
        <v/>
      </c>
      <c r="AZ639">
        <f>$C639*AZ638</f>
        <v/>
      </c>
      <c r="BA639">
        <f>$C639*BA638</f>
        <v/>
      </c>
      <c r="BB639">
        <f>$C639*BB638</f>
        <v/>
      </c>
      <c r="BC639">
        <f>$C639*BC638</f>
        <v/>
      </c>
      <c r="BD639">
        <f>$C639*BD638</f>
        <v/>
      </c>
      <c r="BE639">
        <f>$C639*BE638</f>
        <v/>
      </c>
      <c r="BF639">
        <f>$C639*BF638</f>
        <v/>
      </c>
      <c r="BG639">
        <f>$C639*BG638</f>
        <v/>
      </c>
      <c r="BH639">
        <f>$C639*BH638</f>
        <v/>
      </c>
      <c r="BI639">
        <f>$C639*BI638</f>
        <v/>
      </c>
      <c r="BJ639">
        <f>$C639*BJ638</f>
        <v/>
      </c>
      <c r="BK639">
        <f>$C639*BK638</f>
        <v/>
      </c>
      <c r="BL639">
        <f>$C639*BL638</f>
        <v/>
      </c>
      <c r="BM639">
        <f>$C639*BM638</f>
        <v/>
      </c>
      <c r="BN639">
        <f>$C639*BN638</f>
        <v/>
      </c>
      <c r="BO639">
        <f>$C639*BO638</f>
        <v/>
      </c>
      <c r="BP639">
        <f>$C639*BP638</f>
        <v/>
      </c>
      <c r="BQ639">
        <f>$C639*BQ638</f>
        <v/>
      </c>
      <c r="BR639">
        <f>$C639*BR638</f>
        <v/>
      </c>
      <c r="BS639">
        <f>$C639*BS638</f>
        <v/>
      </c>
      <c r="BT639">
        <f>$C639*BT638</f>
        <v/>
      </c>
      <c r="BU639">
        <f>$C639*BU638</f>
        <v/>
      </c>
      <c r="BV639">
        <f>$C639*BV638</f>
        <v/>
      </c>
      <c r="BW639">
        <f>$C639*BW638</f>
        <v/>
      </c>
      <c r="BX639">
        <f>$C639*BX638</f>
        <v/>
      </c>
      <c r="BY639">
        <f>$C639*BY638</f>
        <v/>
      </c>
      <c r="BZ639">
        <f>$C639*BZ638</f>
        <v/>
      </c>
      <c r="CA639">
        <f>$C639*CA638</f>
        <v/>
      </c>
      <c r="CB639">
        <f>$C639*CB638</f>
        <v/>
      </c>
      <c r="CC639">
        <f>$C639*CC638</f>
        <v/>
      </c>
      <c r="CD639">
        <f>$C639*CD638</f>
        <v/>
      </c>
      <c r="CE639">
        <f>$C639*CE638</f>
        <v/>
      </c>
      <c r="CF639">
        <f>$C639*CF638</f>
        <v/>
      </c>
      <c r="CG639">
        <f>$C639*CG638</f>
        <v/>
      </c>
      <c r="CH639">
        <f>$C639*CH638</f>
        <v/>
      </c>
      <c r="CI639">
        <f>$C639*CI638</f>
        <v/>
      </c>
      <c r="CJ639">
        <f>$C639*CJ638</f>
        <v/>
      </c>
      <c r="CK639">
        <f>$C639*CK638</f>
        <v/>
      </c>
      <c r="CL639">
        <f>$C639*CL638</f>
        <v/>
      </c>
      <c r="CM639">
        <f>$C639*CM638</f>
        <v/>
      </c>
      <c r="CN639">
        <f>$C639*CN638</f>
        <v/>
      </c>
      <c r="CO639">
        <f>$C639*CO638</f>
        <v/>
      </c>
      <c r="CP639">
        <f>$C639*CP638</f>
        <v/>
      </c>
      <c r="CQ639">
        <f>$C639*CQ638</f>
        <v/>
      </c>
      <c r="CR639">
        <f>$C639*CR638</f>
        <v/>
      </c>
      <c r="CS639">
        <f>$C639*CS638</f>
        <v/>
      </c>
      <c r="CT639">
        <f>$C639*CT638</f>
        <v/>
      </c>
      <c r="CU639">
        <f>$C639*CU638</f>
        <v/>
      </c>
      <c r="CV639">
        <f>$C639*CV638</f>
        <v/>
      </c>
      <c r="CW639">
        <f>$C639*CW638</f>
        <v/>
      </c>
      <c r="CX639">
        <f>$C639*CX638</f>
        <v/>
      </c>
      <c r="CY639">
        <f>$C639*CY638</f>
        <v/>
      </c>
      <c r="CZ639">
        <f>$C639*CZ638</f>
        <v/>
      </c>
      <c r="DA639">
        <f>$C639*DA638</f>
        <v/>
      </c>
      <c r="DB639">
        <f>$C639*DB638</f>
        <v/>
      </c>
      <c r="DC639">
        <f>$C639*DC638</f>
        <v/>
      </c>
    </row>
    <row r="640">
      <c r="B640" t="inlineStr">
        <is>
          <t>TPP-912</t>
        </is>
      </c>
      <c r="C640" t="inlineStr">
        <is>
          <t>No. of batches</t>
        </is>
      </c>
      <c r="D640">
        <f>IFERROR(INDEX(PP_Grid[#Data],$DD640,2),0)</f>
        <v/>
      </c>
      <c r="E640">
        <f>IFERROR(INDEX(PP_Grid[#Data],$DD640,3),0)</f>
        <v/>
      </c>
      <c r="F640">
        <f>IFERROR(INDEX(PP_Grid[#Data],$DD640,4),0)</f>
        <v/>
      </c>
      <c r="G640">
        <f>IFERROR(INDEX(PP_Grid[#Data],$DD640,5),0)</f>
        <v/>
      </c>
      <c r="H640">
        <f>IFERROR(INDEX(PP_Grid[#Data],$DD640,6),0)</f>
        <v/>
      </c>
      <c r="I640">
        <f>IFERROR(INDEX(PP_Grid[#Data],$DD640,7),0)</f>
        <v/>
      </c>
      <c r="J640">
        <f>IFERROR(INDEX(PP_Grid[#Data],$DD640,8),0)</f>
        <v/>
      </c>
      <c r="K640">
        <f>IFERROR(INDEX(PP_Grid[#Data],$DD640,9),0)</f>
        <v/>
      </c>
      <c r="L640">
        <f>IFERROR(INDEX(PP_Grid[#Data],$DD640,10),0)</f>
        <v/>
      </c>
      <c r="M640">
        <f>IFERROR(INDEX(PP_Grid[#Data],$DD640,11),0)</f>
        <v/>
      </c>
      <c r="N640">
        <f>IFERROR(INDEX(PP_Grid[#Data],$DD640,12),0)</f>
        <v/>
      </c>
      <c r="O640">
        <f>IFERROR(INDEX(PP_Grid[#Data],$DD640,13),0)</f>
        <v/>
      </c>
      <c r="P640">
        <f>IFERROR(INDEX(PP_Grid[#Data],$DD640,14),0)</f>
        <v/>
      </c>
      <c r="Q640">
        <f>IFERROR(INDEX(PP_Grid[#Data],$DD640,15),0)</f>
        <v/>
      </c>
      <c r="R640">
        <f>IFERROR(INDEX(PP_Grid[#Data],$DD640,16),0)</f>
        <v/>
      </c>
      <c r="S640">
        <f>IFERROR(INDEX(PP_Grid[#Data],$DD640,17),0)</f>
        <v/>
      </c>
      <c r="T640">
        <f>IFERROR(INDEX(PP_Grid[#Data],$DD640,18),0)</f>
        <v/>
      </c>
      <c r="U640">
        <f>IFERROR(INDEX(PP_Grid[#Data],$DD640,19),0)</f>
        <v/>
      </c>
      <c r="V640">
        <f>IFERROR(INDEX(PP_Grid[#Data],$DD640,20),0)</f>
        <v/>
      </c>
      <c r="W640">
        <f>IFERROR(INDEX(PP_Grid[#Data],$DD640,21),0)</f>
        <v/>
      </c>
      <c r="X640">
        <f>IFERROR(INDEX(PP_Grid[#Data],$DD640,22),0)</f>
        <v/>
      </c>
      <c r="Y640">
        <f>IFERROR(INDEX(PP_Grid[#Data],$DD640,23),0)</f>
        <v/>
      </c>
      <c r="Z640">
        <f>IFERROR(INDEX(PP_Grid[#Data],$DD640,24),0)</f>
        <v/>
      </c>
      <c r="AA640">
        <f>IFERROR(INDEX(PP_Grid[#Data],$DD640,25),0)</f>
        <v/>
      </c>
      <c r="AB640">
        <f>IFERROR(INDEX(PP_Grid[#Data],$DD640,26),0)</f>
        <v/>
      </c>
      <c r="AC640">
        <f>IFERROR(INDEX(PP_Grid[#Data],$DD640,27),0)</f>
        <v/>
      </c>
      <c r="AD640">
        <f>IFERROR(INDEX(PP_Grid[#Data],$DD640,28),0)</f>
        <v/>
      </c>
      <c r="AE640">
        <f>IFERROR(INDEX(PP_Grid[#Data],$DD640,29),0)</f>
        <v/>
      </c>
      <c r="AF640">
        <f>IFERROR(INDEX(PP_Grid[#Data],$DD640,30),0)</f>
        <v/>
      </c>
      <c r="AG640">
        <f>IFERROR(INDEX(PP_Grid[#Data],$DD640,31),0)</f>
        <v/>
      </c>
      <c r="AH640">
        <f>IFERROR(INDEX(PP_Grid[#Data],$DD640,32),0)</f>
        <v/>
      </c>
      <c r="AI640">
        <f>IFERROR(INDEX(PP_Grid[#Data],$DD640,33),0)</f>
        <v/>
      </c>
      <c r="AJ640">
        <f>IFERROR(INDEX(PP_Grid[#Data],$DD640,34),0)</f>
        <v/>
      </c>
      <c r="AK640">
        <f>IFERROR(INDEX(PP_Grid[#Data],$DD640,35),0)</f>
        <v/>
      </c>
      <c r="AL640">
        <f>IFERROR(INDEX(PP_Grid[#Data],$DD640,36),0)</f>
        <v/>
      </c>
      <c r="AM640">
        <f>IFERROR(INDEX(PP_Grid[#Data],$DD640,37),0)</f>
        <v/>
      </c>
      <c r="AN640">
        <f>IFERROR(INDEX(PP_Grid[#Data],$DD640,38),0)</f>
        <v/>
      </c>
      <c r="AO640">
        <f>IFERROR(INDEX(PP_Grid[#Data],$DD640,39),0)</f>
        <v/>
      </c>
      <c r="AP640">
        <f>IFERROR(INDEX(PP_Grid[#Data],$DD640,40),0)</f>
        <v/>
      </c>
      <c r="AQ640">
        <f>IFERROR(INDEX(PP_Grid[#Data],$DD640,41),0)</f>
        <v/>
      </c>
      <c r="AR640">
        <f>IFERROR(INDEX(PP_Grid[#Data],$DD640,42),0)</f>
        <v/>
      </c>
      <c r="AS640">
        <f>IFERROR(INDEX(PP_Grid[#Data],$DD640,43),0)</f>
        <v/>
      </c>
      <c r="AT640">
        <f>IFERROR(INDEX(PP_Grid[#Data],$DD640,44),0)</f>
        <v/>
      </c>
      <c r="AU640">
        <f>IFERROR(INDEX(PP_Grid[#Data],$DD640,45),0)</f>
        <v/>
      </c>
      <c r="AV640">
        <f>IFERROR(INDEX(PP_Grid[#Data],$DD640,46),0)</f>
        <v/>
      </c>
      <c r="AW640">
        <f>IFERROR(INDEX(PP_Grid[#Data],$DD640,47),0)</f>
        <v/>
      </c>
      <c r="AX640">
        <f>IFERROR(INDEX(PP_Grid[#Data],$DD640,48),0)</f>
        <v/>
      </c>
      <c r="AY640">
        <f>IFERROR(INDEX(PP_Grid[#Data],$DD640,49),0)</f>
        <v/>
      </c>
      <c r="AZ640">
        <f>IFERROR(INDEX(PP_Grid[#Data],$DD640,50),0)</f>
        <v/>
      </c>
      <c r="BA640">
        <f>IFERROR(INDEX(PP_Grid[#Data],$DD640,51),0)</f>
        <v/>
      </c>
      <c r="BB640">
        <f>IFERROR(INDEX(PP_Grid[#Data],$DD640,52),0)</f>
        <v/>
      </c>
      <c r="BC640">
        <f>IFERROR(INDEX(PP_Grid[#Data],$DD640,53),0)</f>
        <v/>
      </c>
      <c r="BD640">
        <f>IFERROR(INDEX(PP_Grid[#Data],$DD640,54),0)</f>
        <v/>
      </c>
      <c r="BE640">
        <f>IFERROR(INDEX(PP_Grid[#Data],$DD640,55),0)</f>
        <v/>
      </c>
      <c r="BF640">
        <f>IFERROR(INDEX(PP_Grid[#Data],$DD640,56),0)</f>
        <v/>
      </c>
      <c r="BG640">
        <f>IFERROR(INDEX(PP_Grid[#Data],$DD640,57),0)</f>
        <v/>
      </c>
      <c r="BH640">
        <f>IFERROR(INDEX(PP_Grid[#Data],$DD640,58),0)</f>
        <v/>
      </c>
      <c r="BI640">
        <f>IFERROR(INDEX(PP_Grid[#Data],$DD640,59),0)</f>
        <v/>
      </c>
      <c r="BJ640">
        <f>IFERROR(INDEX(PP_Grid[#Data],$DD640,60),0)</f>
        <v/>
      </c>
      <c r="BK640">
        <f>IFERROR(INDEX(PP_Grid[#Data],$DD640,61),0)</f>
        <v/>
      </c>
      <c r="BL640">
        <f>IFERROR(INDEX(PP_Grid[#Data],$DD640,62),0)</f>
        <v/>
      </c>
      <c r="BM640">
        <f>IFERROR(INDEX(PP_Grid[#Data],$DD640,63),0)</f>
        <v/>
      </c>
      <c r="BN640">
        <f>IFERROR(INDEX(PP_Grid[#Data],$DD640,64),0)</f>
        <v/>
      </c>
      <c r="BO640">
        <f>IFERROR(INDEX(PP_Grid[#Data],$DD640,65),0)</f>
        <v/>
      </c>
      <c r="BP640">
        <f>IFERROR(INDEX(PP_Grid[#Data],$DD640,66),0)</f>
        <v/>
      </c>
      <c r="BQ640">
        <f>IFERROR(INDEX(PP_Grid[#Data],$DD640,67),0)</f>
        <v/>
      </c>
      <c r="BR640">
        <f>IFERROR(INDEX(PP_Grid[#Data],$DD640,68),0)</f>
        <v/>
      </c>
      <c r="BS640">
        <f>IFERROR(INDEX(PP_Grid[#Data],$DD640,69),0)</f>
        <v/>
      </c>
      <c r="BT640">
        <f>IFERROR(INDEX(PP_Grid[#Data],$DD640,70),0)</f>
        <v/>
      </c>
      <c r="BU640">
        <f>IFERROR(INDEX(PP_Grid[#Data],$DD640,71),0)</f>
        <v/>
      </c>
      <c r="BV640">
        <f>IFERROR(INDEX(PP_Grid[#Data],$DD640,72),0)</f>
        <v/>
      </c>
      <c r="BW640">
        <f>IFERROR(INDEX(PP_Grid[#Data],$DD640,73),0)</f>
        <v/>
      </c>
      <c r="BX640">
        <f>IFERROR(INDEX(PP_Grid[#Data],$DD640,74),0)</f>
        <v/>
      </c>
      <c r="BY640">
        <f>IFERROR(INDEX(PP_Grid[#Data],$DD640,75),0)</f>
        <v/>
      </c>
      <c r="BZ640">
        <f>IFERROR(INDEX(PP_Grid[#Data],$DD640,76),0)</f>
        <v/>
      </c>
      <c r="CA640">
        <f>IFERROR(INDEX(PP_Grid[#Data],$DD640,77),0)</f>
        <v/>
      </c>
      <c r="CB640">
        <f>IFERROR(INDEX(PP_Grid[#Data],$DD640,78),0)</f>
        <v/>
      </c>
      <c r="CC640">
        <f>IFERROR(INDEX(PP_Grid[#Data],$DD640,79),0)</f>
        <v/>
      </c>
      <c r="CD640">
        <f>IFERROR(INDEX(PP_Grid[#Data],$DD640,80),0)</f>
        <v/>
      </c>
      <c r="CE640">
        <f>IFERROR(INDEX(PP_Grid[#Data],$DD640,81),0)</f>
        <v/>
      </c>
      <c r="CF640">
        <f>IFERROR(INDEX(PP_Grid[#Data],$DD640,82),0)</f>
        <v/>
      </c>
      <c r="CG640">
        <f>IFERROR(INDEX(PP_Grid[#Data],$DD640,83),0)</f>
        <v/>
      </c>
      <c r="CH640">
        <f>IFERROR(INDEX(PP_Grid[#Data],$DD640,84),0)</f>
        <v/>
      </c>
      <c r="CI640">
        <f>IFERROR(INDEX(PP_Grid[#Data],$DD640,85),0)</f>
        <v/>
      </c>
      <c r="CJ640">
        <f>IFERROR(INDEX(PP_Grid[#Data],$DD640,86),0)</f>
        <v/>
      </c>
      <c r="CK640">
        <f>IFERROR(INDEX(PP_Grid[#Data],$DD640,87),0)</f>
        <v/>
      </c>
      <c r="CL640">
        <f>IFERROR(INDEX(PP_Grid[#Data],$DD640,88),0)</f>
        <v/>
      </c>
      <c r="CM640">
        <f>IFERROR(INDEX(PP_Grid[#Data],$DD640,89),0)</f>
        <v/>
      </c>
      <c r="CN640">
        <f>IFERROR(INDEX(PP_Grid[#Data],$DD640,90),0)</f>
        <v/>
      </c>
      <c r="CO640">
        <f>IFERROR(INDEX(PP_Grid[#Data],$DD640,91),0)</f>
        <v/>
      </c>
      <c r="CP640">
        <f>IFERROR(INDEX(PP_Grid[#Data],$DD640,92),0)</f>
        <v/>
      </c>
      <c r="CQ640">
        <f>IFERROR(INDEX(PP_Grid[#Data],$DD640,93),0)</f>
        <v/>
      </c>
      <c r="CR640">
        <f>IFERROR(INDEX(PP_Grid[#Data],$DD640,94),0)</f>
        <v/>
      </c>
      <c r="CS640">
        <f>IFERROR(INDEX(PP_Grid[#Data],$DD640,95),0)</f>
        <v/>
      </c>
      <c r="CT640">
        <f>IFERROR(INDEX(PP_Grid[#Data],$DD640,96),0)</f>
        <v/>
      </c>
      <c r="CU640">
        <f>IFERROR(INDEX(PP_Grid[#Data],$DD640,97),0)</f>
        <v/>
      </c>
      <c r="CV640">
        <f>IFERROR(INDEX(PP_Grid[#Data],$DD640,98),0)</f>
        <v/>
      </c>
      <c r="CW640">
        <f>IFERROR(INDEX(PP_Grid[#Data],$DD640,99),0)</f>
        <v/>
      </c>
      <c r="CX640">
        <f>IFERROR(INDEX(PP_Grid[#Data],$DD640,100),0)</f>
        <v/>
      </c>
      <c r="CY640">
        <f>IFERROR(INDEX(PP_Grid[#Data],$DD640,101),0)</f>
        <v/>
      </c>
      <c r="CZ640">
        <f>IFERROR(INDEX(PP_Grid[#Data],$DD640,102),0)</f>
        <v/>
      </c>
      <c r="DA640">
        <f>IFERROR(INDEX(PP_Grid[#Data],$DD640,103),0)</f>
        <v/>
      </c>
      <c r="DB640">
        <f>IFERROR(INDEX(PP_Grid[#Data],$DD640,104),0)</f>
        <v/>
      </c>
      <c r="DC640">
        <f>IFERROR(INDEX(PP_Grid[#Data],$DD640,105),0)</f>
        <v/>
      </c>
      <c r="DD640" s="12">
        <f>IFERROR(MATCH($B640,PP_Grid[Intermediate],0),99999)</f>
        <v/>
      </c>
    </row>
    <row r="641">
      <c r="B641" t="inlineStr">
        <is>
          <t>使用量(kg)</t>
        </is>
      </c>
      <c r="C641">
        <f>SUMIFS(M_BOM[RM_Qty_Per_Batch],M_BOM[Intermediate],$B640,M_BOM[Part Name],$A589)</f>
        <v/>
      </c>
      <c r="D641">
        <f>$C641*D640</f>
        <v/>
      </c>
      <c r="E641">
        <f>$C641*E640</f>
        <v/>
      </c>
      <c r="F641">
        <f>$C641*F640</f>
        <v/>
      </c>
      <c r="G641">
        <f>$C641*G640</f>
        <v/>
      </c>
      <c r="H641">
        <f>$C641*H640</f>
        <v/>
      </c>
      <c r="I641">
        <f>$C641*I640</f>
        <v/>
      </c>
      <c r="J641">
        <f>$C641*J640</f>
        <v/>
      </c>
      <c r="K641">
        <f>$C641*K640</f>
        <v/>
      </c>
      <c r="L641">
        <f>$C641*L640</f>
        <v/>
      </c>
      <c r="M641">
        <f>$C641*M640</f>
        <v/>
      </c>
      <c r="N641">
        <f>$C641*N640</f>
        <v/>
      </c>
      <c r="O641">
        <f>$C641*O640</f>
        <v/>
      </c>
      <c r="P641">
        <f>$C641*P640</f>
        <v/>
      </c>
      <c r="Q641">
        <f>$C641*Q640</f>
        <v/>
      </c>
      <c r="R641">
        <f>$C641*R640</f>
        <v/>
      </c>
      <c r="S641">
        <f>$C641*S640</f>
        <v/>
      </c>
      <c r="T641">
        <f>$C641*T640</f>
        <v/>
      </c>
      <c r="U641">
        <f>$C641*U640</f>
        <v/>
      </c>
      <c r="V641">
        <f>$C641*V640</f>
        <v/>
      </c>
      <c r="W641">
        <f>$C641*W640</f>
        <v/>
      </c>
      <c r="X641">
        <f>$C641*X640</f>
        <v/>
      </c>
      <c r="Y641">
        <f>$C641*Y640</f>
        <v/>
      </c>
      <c r="Z641">
        <f>$C641*Z640</f>
        <v/>
      </c>
      <c r="AA641">
        <f>$C641*AA640</f>
        <v/>
      </c>
      <c r="AB641">
        <f>$C641*AB640</f>
        <v/>
      </c>
      <c r="AC641">
        <f>$C641*AC640</f>
        <v/>
      </c>
      <c r="AD641">
        <f>$C641*AD640</f>
        <v/>
      </c>
      <c r="AE641">
        <f>$C641*AE640</f>
        <v/>
      </c>
      <c r="AF641">
        <f>$C641*AF640</f>
        <v/>
      </c>
      <c r="AG641">
        <f>$C641*AG640</f>
        <v/>
      </c>
      <c r="AH641">
        <f>$C641*AH640</f>
        <v/>
      </c>
      <c r="AI641">
        <f>$C641*AI640</f>
        <v/>
      </c>
      <c r="AJ641">
        <f>$C641*AJ640</f>
        <v/>
      </c>
      <c r="AK641">
        <f>$C641*AK640</f>
        <v/>
      </c>
      <c r="AL641">
        <f>$C641*AL640</f>
        <v/>
      </c>
      <c r="AM641">
        <f>$C641*AM640</f>
        <v/>
      </c>
      <c r="AN641">
        <f>$C641*AN640</f>
        <v/>
      </c>
      <c r="AO641">
        <f>$C641*AO640</f>
        <v/>
      </c>
      <c r="AP641">
        <f>$C641*AP640</f>
        <v/>
      </c>
      <c r="AQ641">
        <f>$C641*AQ640</f>
        <v/>
      </c>
      <c r="AR641">
        <f>$C641*AR640</f>
        <v/>
      </c>
      <c r="AS641">
        <f>$C641*AS640</f>
        <v/>
      </c>
      <c r="AT641">
        <f>$C641*AT640</f>
        <v/>
      </c>
      <c r="AU641">
        <f>$C641*AU640</f>
        <v/>
      </c>
      <c r="AV641">
        <f>$C641*AV640</f>
        <v/>
      </c>
      <c r="AW641">
        <f>$C641*AW640</f>
        <v/>
      </c>
      <c r="AX641">
        <f>$C641*AX640</f>
        <v/>
      </c>
      <c r="AY641">
        <f>$C641*AY640</f>
        <v/>
      </c>
      <c r="AZ641">
        <f>$C641*AZ640</f>
        <v/>
      </c>
      <c r="BA641">
        <f>$C641*BA640</f>
        <v/>
      </c>
      <c r="BB641">
        <f>$C641*BB640</f>
        <v/>
      </c>
      <c r="BC641">
        <f>$C641*BC640</f>
        <v/>
      </c>
      <c r="BD641">
        <f>$C641*BD640</f>
        <v/>
      </c>
      <c r="BE641">
        <f>$C641*BE640</f>
        <v/>
      </c>
      <c r="BF641">
        <f>$C641*BF640</f>
        <v/>
      </c>
      <c r="BG641">
        <f>$C641*BG640</f>
        <v/>
      </c>
      <c r="BH641">
        <f>$C641*BH640</f>
        <v/>
      </c>
      <c r="BI641">
        <f>$C641*BI640</f>
        <v/>
      </c>
      <c r="BJ641">
        <f>$C641*BJ640</f>
        <v/>
      </c>
      <c r="BK641">
        <f>$C641*BK640</f>
        <v/>
      </c>
      <c r="BL641">
        <f>$C641*BL640</f>
        <v/>
      </c>
      <c r="BM641">
        <f>$C641*BM640</f>
        <v/>
      </c>
      <c r="BN641">
        <f>$C641*BN640</f>
        <v/>
      </c>
      <c r="BO641">
        <f>$C641*BO640</f>
        <v/>
      </c>
      <c r="BP641">
        <f>$C641*BP640</f>
        <v/>
      </c>
      <c r="BQ641">
        <f>$C641*BQ640</f>
        <v/>
      </c>
      <c r="BR641">
        <f>$C641*BR640</f>
        <v/>
      </c>
      <c r="BS641">
        <f>$C641*BS640</f>
        <v/>
      </c>
      <c r="BT641">
        <f>$C641*BT640</f>
        <v/>
      </c>
      <c r="BU641">
        <f>$C641*BU640</f>
        <v/>
      </c>
      <c r="BV641">
        <f>$C641*BV640</f>
        <v/>
      </c>
      <c r="BW641">
        <f>$C641*BW640</f>
        <v/>
      </c>
      <c r="BX641">
        <f>$C641*BX640</f>
        <v/>
      </c>
      <c r="BY641">
        <f>$C641*BY640</f>
        <v/>
      </c>
      <c r="BZ641">
        <f>$C641*BZ640</f>
        <v/>
      </c>
      <c r="CA641">
        <f>$C641*CA640</f>
        <v/>
      </c>
      <c r="CB641">
        <f>$C641*CB640</f>
        <v/>
      </c>
      <c r="CC641">
        <f>$C641*CC640</f>
        <v/>
      </c>
      <c r="CD641">
        <f>$C641*CD640</f>
        <v/>
      </c>
      <c r="CE641">
        <f>$C641*CE640</f>
        <v/>
      </c>
      <c r="CF641">
        <f>$C641*CF640</f>
        <v/>
      </c>
      <c r="CG641">
        <f>$C641*CG640</f>
        <v/>
      </c>
      <c r="CH641">
        <f>$C641*CH640</f>
        <v/>
      </c>
      <c r="CI641">
        <f>$C641*CI640</f>
        <v/>
      </c>
      <c r="CJ641">
        <f>$C641*CJ640</f>
        <v/>
      </c>
      <c r="CK641">
        <f>$C641*CK640</f>
        <v/>
      </c>
      <c r="CL641">
        <f>$C641*CL640</f>
        <v/>
      </c>
      <c r="CM641">
        <f>$C641*CM640</f>
        <v/>
      </c>
      <c r="CN641">
        <f>$C641*CN640</f>
        <v/>
      </c>
      <c r="CO641">
        <f>$C641*CO640</f>
        <v/>
      </c>
      <c r="CP641">
        <f>$C641*CP640</f>
        <v/>
      </c>
      <c r="CQ641">
        <f>$C641*CQ640</f>
        <v/>
      </c>
      <c r="CR641">
        <f>$C641*CR640</f>
        <v/>
      </c>
      <c r="CS641">
        <f>$C641*CS640</f>
        <v/>
      </c>
      <c r="CT641">
        <f>$C641*CT640</f>
        <v/>
      </c>
      <c r="CU641">
        <f>$C641*CU640</f>
        <v/>
      </c>
      <c r="CV641">
        <f>$C641*CV640</f>
        <v/>
      </c>
      <c r="CW641">
        <f>$C641*CW640</f>
        <v/>
      </c>
      <c r="CX641">
        <f>$C641*CX640</f>
        <v/>
      </c>
      <c r="CY641">
        <f>$C641*CY640</f>
        <v/>
      </c>
      <c r="CZ641">
        <f>$C641*CZ640</f>
        <v/>
      </c>
      <c r="DA641">
        <f>$C641*DA640</f>
        <v/>
      </c>
      <c r="DB641">
        <f>$C641*DB640</f>
        <v/>
      </c>
      <c r="DC641">
        <f>$C641*DC640</f>
        <v/>
      </c>
    </row>
    <row r="642">
      <c r="B642" t="inlineStr">
        <is>
          <t>No of times used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Name],$A589)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F2090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Name],$A589)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s="9" t="inlineStr">
        <is>
          <t>合計使用量(kg)/週</t>
        </is>
      </c>
      <c r="D646">
        <f>'Grid_Requirement'!B22</f>
        <v/>
      </c>
      <c r="E646">
        <f>'Grid_Requirement'!C22</f>
        <v/>
      </c>
      <c r="F646">
        <f>'Grid_Requirement'!D22</f>
        <v/>
      </c>
      <c r="G646">
        <f>'Grid_Requirement'!E22</f>
        <v/>
      </c>
      <c r="H646">
        <f>'Grid_Requirement'!F22</f>
        <v/>
      </c>
      <c r="I646">
        <f>'Grid_Requirement'!G22</f>
        <v/>
      </c>
      <c r="J646">
        <f>'Grid_Requirement'!H22</f>
        <v/>
      </c>
      <c r="K646">
        <f>'Grid_Requirement'!I22</f>
        <v/>
      </c>
      <c r="L646">
        <f>'Grid_Requirement'!J22</f>
        <v/>
      </c>
      <c r="M646">
        <f>'Grid_Requirement'!K22</f>
        <v/>
      </c>
      <c r="N646">
        <f>'Grid_Requirement'!L22</f>
        <v/>
      </c>
      <c r="O646">
        <f>'Grid_Requirement'!M22</f>
        <v/>
      </c>
      <c r="P646">
        <f>'Grid_Requirement'!N22</f>
        <v/>
      </c>
      <c r="Q646">
        <f>'Grid_Requirement'!O22</f>
        <v/>
      </c>
      <c r="R646">
        <f>'Grid_Requirement'!P22</f>
        <v/>
      </c>
      <c r="S646">
        <f>'Grid_Requirement'!Q22</f>
        <v/>
      </c>
      <c r="T646">
        <f>'Grid_Requirement'!R22</f>
        <v/>
      </c>
      <c r="U646">
        <f>'Grid_Requirement'!S22</f>
        <v/>
      </c>
      <c r="V646">
        <f>'Grid_Requirement'!T22</f>
        <v/>
      </c>
      <c r="W646">
        <f>'Grid_Requirement'!U22</f>
        <v/>
      </c>
      <c r="X646">
        <f>'Grid_Requirement'!V22</f>
        <v/>
      </c>
      <c r="Y646">
        <f>'Grid_Requirement'!W22</f>
        <v/>
      </c>
      <c r="Z646">
        <f>'Grid_Requirement'!X22</f>
        <v/>
      </c>
      <c r="AA646">
        <f>'Grid_Requirement'!Y22</f>
        <v/>
      </c>
      <c r="AB646">
        <f>'Grid_Requirement'!Z22</f>
        <v/>
      </c>
      <c r="AC646">
        <f>'Grid_Requirement'!AA22</f>
        <v/>
      </c>
      <c r="AD646">
        <f>'Grid_Requirement'!AB22</f>
        <v/>
      </c>
      <c r="AE646">
        <f>'Grid_Requirement'!AC22</f>
        <v/>
      </c>
      <c r="AF646">
        <f>'Grid_Requirement'!AD22</f>
        <v/>
      </c>
      <c r="AG646">
        <f>'Grid_Requirement'!AE22</f>
        <v/>
      </c>
      <c r="AH646">
        <f>'Grid_Requirement'!AF22</f>
        <v/>
      </c>
      <c r="AI646">
        <f>'Grid_Requirement'!AG22</f>
        <v/>
      </c>
      <c r="AJ646">
        <f>'Grid_Requirement'!AH22</f>
        <v/>
      </c>
      <c r="AK646">
        <f>'Grid_Requirement'!AI22</f>
        <v/>
      </c>
      <c r="AL646">
        <f>'Grid_Requirement'!AJ22</f>
        <v/>
      </c>
      <c r="AM646">
        <f>'Grid_Requirement'!AK22</f>
        <v/>
      </c>
      <c r="AN646">
        <f>'Grid_Requirement'!AL22</f>
        <v/>
      </c>
      <c r="AO646">
        <f>'Grid_Requirement'!AM22</f>
        <v/>
      </c>
      <c r="AP646">
        <f>'Grid_Requirement'!AN22</f>
        <v/>
      </c>
      <c r="AQ646">
        <f>'Grid_Requirement'!AO22</f>
        <v/>
      </c>
      <c r="AR646">
        <f>'Grid_Requirement'!AP22</f>
        <v/>
      </c>
      <c r="AS646">
        <f>'Grid_Requirement'!AQ22</f>
        <v/>
      </c>
      <c r="AT646">
        <f>'Grid_Requirement'!AR22</f>
        <v/>
      </c>
      <c r="AU646">
        <f>'Grid_Requirement'!AS22</f>
        <v/>
      </c>
      <c r="AV646">
        <f>'Grid_Requirement'!AT22</f>
        <v/>
      </c>
      <c r="AW646">
        <f>'Grid_Requirement'!AU22</f>
        <v/>
      </c>
      <c r="AX646">
        <f>'Grid_Requirement'!AV22</f>
        <v/>
      </c>
      <c r="AY646">
        <f>'Grid_Requirement'!AW22</f>
        <v/>
      </c>
      <c r="AZ646">
        <f>'Grid_Requirement'!AX22</f>
        <v/>
      </c>
      <c r="BA646">
        <f>'Grid_Requirement'!AY22</f>
        <v/>
      </c>
      <c r="BB646">
        <f>'Grid_Requirement'!AZ22</f>
        <v/>
      </c>
      <c r="BC646">
        <f>'Grid_Requirement'!BA22</f>
        <v/>
      </c>
      <c r="BD646">
        <f>'Grid_Requirement'!BB22</f>
        <v/>
      </c>
      <c r="BE646">
        <f>'Grid_Requirement'!BC22</f>
        <v/>
      </c>
      <c r="BF646">
        <f>'Grid_Requirement'!BD22</f>
        <v/>
      </c>
      <c r="BG646">
        <f>'Grid_Requirement'!BE22</f>
        <v/>
      </c>
      <c r="BH646">
        <f>'Grid_Requirement'!BF22</f>
        <v/>
      </c>
      <c r="BI646">
        <f>'Grid_Requirement'!BG22</f>
        <v/>
      </c>
      <c r="BJ646">
        <f>'Grid_Requirement'!BH22</f>
        <v/>
      </c>
      <c r="BK646">
        <f>'Grid_Requirement'!BI22</f>
        <v/>
      </c>
      <c r="BL646">
        <f>'Grid_Requirement'!BJ22</f>
        <v/>
      </c>
      <c r="BM646">
        <f>'Grid_Requirement'!BK22</f>
        <v/>
      </c>
      <c r="BN646">
        <f>'Grid_Requirement'!BL22</f>
        <v/>
      </c>
      <c r="BO646">
        <f>'Grid_Requirement'!BM22</f>
        <v/>
      </c>
      <c r="BP646">
        <f>'Grid_Requirement'!BN22</f>
        <v/>
      </c>
      <c r="BQ646">
        <f>'Grid_Requirement'!BO22</f>
        <v/>
      </c>
      <c r="BR646">
        <f>'Grid_Requirement'!BP22</f>
        <v/>
      </c>
      <c r="BS646">
        <f>'Grid_Requirement'!BQ22</f>
        <v/>
      </c>
      <c r="BT646">
        <f>'Grid_Requirement'!BR22</f>
        <v/>
      </c>
      <c r="BU646">
        <f>'Grid_Requirement'!BS22</f>
        <v/>
      </c>
      <c r="BV646">
        <f>'Grid_Requirement'!BT22</f>
        <v/>
      </c>
      <c r="BW646">
        <f>'Grid_Requirement'!BU22</f>
        <v/>
      </c>
      <c r="BX646">
        <f>'Grid_Requirement'!BV22</f>
        <v/>
      </c>
      <c r="BY646">
        <f>'Grid_Requirement'!BW22</f>
        <v/>
      </c>
      <c r="BZ646">
        <f>'Grid_Requirement'!BX22</f>
        <v/>
      </c>
      <c r="CA646">
        <f>'Grid_Requirement'!BY22</f>
        <v/>
      </c>
      <c r="CB646">
        <f>'Grid_Requirement'!BZ22</f>
        <v/>
      </c>
      <c r="CC646">
        <f>'Grid_Requirement'!CA22</f>
        <v/>
      </c>
      <c r="CD646">
        <f>'Grid_Requirement'!CB22</f>
        <v/>
      </c>
      <c r="CE646">
        <f>'Grid_Requirement'!CC22</f>
        <v/>
      </c>
      <c r="CF646">
        <f>'Grid_Requirement'!CD22</f>
        <v/>
      </c>
      <c r="CG646">
        <f>'Grid_Requirement'!CE22</f>
        <v/>
      </c>
      <c r="CH646">
        <f>'Grid_Requirement'!CF22</f>
        <v/>
      </c>
      <c r="CI646">
        <f>'Grid_Requirement'!CG22</f>
        <v/>
      </c>
      <c r="CJ646">
        <f>'Grid_Requirement'!CH22</f>
        <v/>
      </c>
      <c r="CK646">
        <f>'Grid_Requirement'!CI22</f>
        <v/>
      </c>
      <c r="CL646">
        <f>'Grid_Requirement'!CJ22</f>
        <v/>
      </c>
      <c r="CM646">
        <f>'Grid_Requirement'!CK22</f>
        <v/>
      </c>
      <c r="CN646">
        <f>'Grid_Requirement'!CL22</f>
        <v/>
      </c>
      <c r="CO646">
        <f>'Grid_Requirement'!CM22</f>
        <v/>
      </c>
      <c r="CP646">
        <f>'Grid_Requirement'!CN22</f>
        <v/>
      </c>
      <c r="CQ646">
        <f>'Grid_Requirement'!CO22</f>
        <v/>
      </c>
      <c r="CR646">
        <f>'Grid_Requirement'!CP22</f>
        <v/>
      </c>
      <c r="CS646">
        <f>'Grid_Requirement'!CQ22</f>
        <v/>
      </c>
      <c r="CT646">
        <f>'Grid_Requirement'!CR22</f>
        <v/>
      </c>
      <c r="CU646">
        <f>'Grid_Requirement'!CS22</f>
        <v/>
      </c>
      <c r="CV646">
        <f>'Grid_Requirement'!CT22</f>
        <v/>
      </c>
      <c r="CW646">
        <f>'Grid_Requirement'!CU22</f>
        <v/>
      </c>
      <c r="CX646">
        <f>'Grid_Requirement'!CV22</f>
        <v/>
      </c>
      <c r="CY646">
        <f>'Grid_Requirement'!CW22</f>
        <v/>
      </c>
      <c r="CZ646">
        <f>'Grid_Requirement'!CX22</f>
        <v/>
      </c>
      <c r="DA646">
        <f>'Grid_Requirement'!CY22</f>
        <v/>
      </c>
      <c r="DB646">
        <f>'Grid_Requirement'!CZ22</f>
        <v/>
      </c>
      <c r="DC646">
        <f>'Grid_Requirement'!DA22</f>
        <v/>
      </c>
    </row>
    <row r="647">
      <c r="B647" t="inlineStr">
        <is>
          <t>TTAF在庫(実績,kg)</t>
        </is>
      </c>
      <c r="D647">
        <f>'T_TTAFStock'!B26</f>
        <v/>
      </c>
      <c r="E647">
        <f>'T_TTAFStock'!C26</f>
        <v/>
      </c>
      <c r="F647">
        <f>'T_TTAFStock'!D26</f>
        <v/>
      </c>
      <c r="G647">
        <f>'T_TTAFStock'!E26</f>
        <v/>
      </c>
      <c r="H647">
        <f>'T_TTAFStock'!F26</f>
        <v/>
      </c>
      <c r="I647">
        <f>'T_TTAFStock'!G26</f>
        <v/>
      </c>
      <c r="J647">
        <f>'T_TTAFStock'!H26</f>
        <v/>
      </c>
      <c r="K647">
        <f>'T_TTAFStock'!I26</f>
        <v/>
      </c>
      <c r="L647">
        <f>'T_TTAFStock'!J26</f>
        <v/>
      </c>
      <c r="M647">
        <f>'T_TTAFStock'!K26</f>
        <v/>
      </c>
      <c r="N647">
        <f>'T_TTAFStock'!L26</f>
        <v/>
      </c>
      <c r="O647">
        <f>'T_TTAFStock'!M26</f>
        <v/>
      </c>
      <c r="P647">
        <f>'T_TTAFStock'!N26</f>
        <v/>
      </c>
      <c r="Q647">
        <f>'T_TTAFStock'!O26</f>
        <v/>
      </c>
      <c r="R647">
        <f>'T_TTAFStock'!P26</f>
        <v/>
      </c>
      <c r="S647">
        <f>'T_TTAFStock'!Q26</f>
        <v/>
      </c>
      <c r="T647">
        <f>'T_TTAFStock'!R26</f>
        <v/>
      </c>
      <c r="U647">
        <f>'T_TTAFStock'!S26</f>
        <v/>
      </c>
      <c r="V647">
        <f>'T_TTAFStock'!T26</f>
        <v/>
      </c>
      <c r="W647">
        <f>'T_TTAFStock'!U26</f>
        <v/>
      </c>
      <c r="X647">
        <f>'T_TTAFStock'!V26</f>
        <v/>
      </c>
      <c r="Y647">
        <f>'T_TTAFStock'!W26</f>
        <v/>
      </c>
      <c r="Z647">
        <f>'T_TTAFStock'!X26</f>
        <v/>
      </c>
      <c r="AA647">
        <f>'T_TTAFStock'!Y26</f>
        <v/>
      </c>
      <c r="AB647">
        <f>'T_TTAFStock'!Z26</f>
        <v/>
      </c>
      <c r="AC647">
        <f>'T_TTAFStock'!AA26</f>
        <v/>
      </c>
      <c r="AD647">
        <f>'T_TTAFStock'!AB26</f>
        <v/>
      </c>
      <c r="AE647">
        <f>'T_TTAFStock'!AC26</f>
        <v/>
      </c>
      <c r="AF647">
        <f>'T_TTAFStock'!AD26</f>
        <v/>
      </c>
      <c r="AG647">
        <f>'T_TTAFStock'!AE26</f>
        <v/>
      </c>
      <c r="AH647">
        <f>'T_TTAFStock'!AF26</f>
        <v/>
      </c>
      <c r="AI647">
        <f>'T_TTAFStock'!AG26</f>
        <v/>
      </c>
      <c r="AJ647">
        <f>'T_TTAFStock'!AH26</f>
        <v/>
      </c>
      <c r="AK647">
        <f>'T_TTAFStock'!AI26</f>
        <v/>
      </c>
      <c r="AL647">
        <f>'T_TTAFStock'!AJ26</f>
        <v/>
      </c>
      <c r="AM647">
        <f>'T_TTAFStock'!AK26</f>
        <v/>
      </c>
      <c r="AN647">
        <f>'T_TTAFStock'!AL26</f>
        <v/>
      </c>
      <c r="AO647">
        <f>'T_TTAFStock'!AM26</f>
        <v/>
      </c>
      <c r="AP647">
        <f>'T_TTAFStock'!AN26</f>
        <v/>
      </c>
      <c r="AQ647">
        <f>'T_TTAFStock'!AO26</f>
        <v/>
      </c>
      <c r="AR647">
        <f>'T_TTAFStock'!AP26</f>
        <v/>
      </c>
      <c r="AS647">
        <f>'T_TTAFStock'!AQ26</f>
        <v/>
      </c>
      <c r="AT647">
        <f>'T_TTAFStock'!AR26</f>
        <v/>
      </c>
      <c r="AU647">
        <f>'T_TTAFStock'!AS26</f>
        <v/>
      </c>
      <c r="AV647">
        <f>'T_TTAFStock'!AT26</f>
        <v/>
      </c>
      <c r="AW647">
        <f>'T_TTAFStock'!AU26</f>
        <v/>
      </c>
      <c r="AX647">
        <f>'T_TTAFStock'!AV26</f>
        <v/>
      </c>
      <c r="AY647">
        <f>'T_TTAFStock'!AW26</f>
        <v/>
      </c>
      <c r="AZ647">
        <f>'T_TTAFStock'!AX26</f>
        <v/>
      </c>
      <c r="BA647">
        <f>'T_TTAFStock'!AY26</f>
        <v/>
      </c>
      <c r="BB647">
        <f>'T_TTAFStock'!AZ26</f>
        <v/>
      </c>
      <c r="BC647">
        <f>'T_TTAFStock'!BA26</f>
        <v/>
      </c>
      <c r="BD647">
        <f>'T_TTAFStock'!BB26</f>
        <v/>
      </c>
      <c r="BE647">
        <f>'T_TTAFStock'!BC26</f>
        <v/>
      </c>
      <c r="BF647">
        <f>'T_TTAFStock'!BD26</f>
        <v/>
      </c>
      <c r="BG647">
        <f>'T_TTAFStock'!BE26</f>
        <v/>
      </c>
      <c r="BH647">
        <f>'T_TTAFStock'!BF26</f>
        <v/>
      </c>
      <c r="BI647">
        <f>'T_TTAFStock'!BG26</f>
        <v/>
      </c>
      <c r="BJ647">
        <f>'T_TTAFStock'!BH26</f>
        <v/>
      </c>
      <c r="BK647">
        <f>'T_TTAFStock'!BI26</f>
        <v/>
      </c>
      <c r="BL647">
        <f>'T_TTAFStock'!BJ26</f>
        <v/>
      </c>
      <c r="BM647">
        <f>'T_TTAFStock'!BK26</f>
        <v/>
      </c>
      <c r="BN647">
        <f>'T_TTAFStock'!BL26</f>
        <v/>
      </c>
      <c r="BO647">
        <f>'T_TTAFStock'!BM26</f>
        <v/>
      </c>
      <c r="BP647">
        <f>'T_TTAFStock'!BN26</f>
        <v/>
      </c>
      <c r="BQ647">
        <f>'T_TTAFStock'!BO26</f>
        <v/>
      </c>
      <c r="BR647">
        <f>'T_TTAFStock'!BP26</f>
        <v/>
      </c>
      <c r="BS647">
        <f>'T_TTAFStock'!BQ26</f>
        <v/>
      </c>
      <c r="BT647">
        <f>'T_TTAFStock'!BR26</f>
        <v/>
      </c>
      <c r="BU647">
        <f>'T_TTAFStock'!BS26</f>
        <v/>
      </c>
      <c r="BV647">
        <f>'T_TTAFStock'!BT26</f>
        <v/>
      </c>
      <c r="BW647">
        <f>'T_TTAFStock'!BU26</f>
        <v/>
      </c>
      <c r="BX647">
        <f>'T_TTAFStock'!BV26</f>
        <v/>
      </c>
      <c r="BY647">
        <f>'T_TTAFStock'!BW26</f>
        <v/>
      </c>
      <c r="BZ647">
        <f>'T_TTAFStock'!BX26</f>
        <v/>
      </c>
      <c r="CA647">
        <f>'T_TTAFStock'!BY26</f>
        <v/>
      </c>
      <c r="CB647">
        <f>'T_TTAFStock'!BZ26</f>
        <v/>
      </c>
      <c r="CC647">
        <f>'T_TTAFStock'!CA26</f>
        <v/>
      </c>
      <c r="CD647">
        <f>'T_TTAFStock'!CB26</f>
        <v/>
      </c>
      <c r="CE647">
        <f>'T_TTAFStock'!CC26</f>
        <v/>
      </c>
      <c r="CF647">
        <f>'T_TTAFStock'!CD26</f>
        <v/>
      </c>
      <c r="CG647">
        <f>'T_TTAFStock'!CE26</f>
        <v/>
      </c>
      <c r="CH647">
        <f>'T_TTAFStock'!CF26</f>
        <v/>
      </c>
      <c r="CI647">
        <f>'T_TTAFStock'!CG26</f>
        <v/>
      </c>
      <c r="CJ647">
        <f>'T_TTAFStock'!CH26</f>
        <v/>
      </c>
      <c r="CK647">
        <f>'T_TTAFStock'!CI26</f>
        <v/>
      </c>
      <c r="CL647">
        <f>'T_TTAFStock'!CJ26</f>
        <v/>
      </c>
      <c r="CM647">
        <f>'T_TTAFStock'!CK26</f>
        <v/>
      </c>
      <c r="CN647">
        <f>'T_TTAFStock'!CL26</f>
        <v/>
      </c>
      <c r="CO647">
        <f>'T_TTAFStock'!CM26</f>
        <v/>
      </c>
      <c r="CP647">
        <f>'T_TTAFStock'!CN26</f>
        <v/>
      </c>
      <c r="CQ647">
        <f>'T_TTAFStock'!CO26</f>
        <v/>
      </c>
      <c r="CR647">
        <f>'T_TTAFStock'!CP26</f>
        <v/>
      </c>
      <c r="CS647">
        <f>'T_TTAFStock'!CQ26</f>
        <v/>
      </c>
      <c r="CT647">
        <f>'T_TTAFStock'!CR26</f>
        <v/>
      </c>
      <c r="CU647">
        <f>'T_TTAFStock'!CS26</f>
        <v/>
      </c>
      <c r="CV647">
        <f>'T_TTAFStock'!CT26</f>
        <v/>
      </c>
      <c r="CW647">
        <f>'T_TTAFStock'!CU26</f>
        <v/>
      </c>
      <c r="CX647">
        <f>'T_TTAFStock'!CV26</f>
        <v/>
      </c>
      <c r="CY647">
        <f>'T_TTAFStock'!CW26</f>
        <v/>
      </c>
      <c r="CZ647">
        <f>'T_TTAFStock'!CX26</f>
        <v/>
      </c>
      <c r="DA647">
        <f>'T_TTAFStock'!CY26</f>
        <v/>
      </c>
      <c r="DB647">
        <f>'T_TTAFStock'!CZ26</f>
        <v/>
      </c>
      <c r="DC647">
        <f>'T_TTAFStock'!DA26</f>
        <v/>
      </c>
    </row>
    <row r="648">
      <c r="B648" t="inlineStr">
        <is>
          <t>自社在庫(実績,kg)</t>
        </is>
      </c>
      <c r="D648">
        <f>'T_SelfStock'!B26</f>
        <v/>
      </c>
      <c r="E648">
        <f>'T_SelfStock'!C26</f>
        <v/>
      </c>
      <c r="F648">
        <f>'T_SelfStock'!D26</f>
        <v/>
      </c>
      <c r="G648">
        <f>'T_SelfStock'!E26</f>
        <v/>
      </c>
      <c r="H648">
        <f>'T_SelfStock'!F26</f>
        <v/>
      </c>
      <c r="I648">
        <f>'T_SelfStock'!G26</f>
        <v/>
      </c>
      <c r="J648">
        <f>'T_SelfStock'!H26</f>
        <v/>
      </c>
      <c r="K648">
        <f>'T_SelfStock'!I26</f>
        <v/>
      </c>
      <c r="L648">
        <f>'T_SelfStock'!J26</f>
        <v/>
      </c>
      <c r="M648">
        <f>'T_SelfStock'!K26</f>
        <v/>
      </c>
      <c r="N648">
        <f>'T_SelfStock'!L26</f>
        <v/>
      </c>
      <c r="O648">
        <f>'T_SelfStock'!M26</f>
        <v/>
      </c>
      <c r="P648">
        <f>'T_SelfStock'!N26</f>
        <v/>
      </c>
      <c r="Q648">
        <f>'T_SelfStock'!O26</f>
        <v/>
      </c>
      <c r="R648">
        <f>'T_SelfStock'!P26</f>
        <v/>
      </c>
      <c r="S648">
        <f>'T_SelfStock'!Q26</f>
        <v/>
      </c>
      <c r="T648">
        <f>'T_SelfStock'!R26</f>
        <v/>
      </c>
      <c r="U648">
        <f>'T_SelfStock'!S26</f>
        <v/>
      </c>
      <c r="V648">
        <f>'T_SelfStock'!T26</f>
        <v/>
      </c>
      <c r="W648">
        <f>'T_SelfStock'!U26</f>
        <v/>
      </c>
      <c r="X648">
        <f>'T_SelfStock'!V26</f>
        <v/>
      </c>
      <c r="Y648">
        <f>'T_SelfStock'!W26</f>
        <v/>
      </c>
      <c r="Z648">
        <f>'T_SelfStock'!X26</f>
        <v/>
      </c>
      <c r="AA648">
        <f>'T_SelfStock'!Y26</f>
        <v/>
      </c>
      <c r="AB648">
        <f>'T_SelfStock'!Z26</f>
        <v/>
      </c>
      <c r="AC648">
        <f>'T_SelfStock'!AA26</f>
        <v/>
      </c>
      <c r="AD648">
        <f>'T_SelfStock'!AB26</f>
        <v/>
      </c>
      <c r="AE648">
        <f>'T_SelfStock'!AC26</f>
        <v/>
      </c>
      <c r="AF648">
        <f>'T_SelfStock'!AD26</f>
        <v/>
      </c>
      <c r="AG648">
        <f>'T_SelfStock'!AE26</f>
        <v/>
      </c>
      <c r="AH648">
        <f>'T_SelfStock'!AF26</f>
        <v/>
      </c>
      <c r="AI648">
        <f>'T_SelfStock'!AG26</f>
        <v/>
      </c>
      <c r="AJ648">
        <f>'T_SelfStock'!AH26</f>
        <v/>
      </c>
      <c r="AK648">
        <f>'T_SelfStock'!AI26</f>
        <v/>
      </c>
      <c r="AL648">
        <f>'T_SelfStock'!AJ26</f>
        <v/>
      </c>
      <c r="AM648">
        <f>'T_SelfStock'!AK26</f>
        <v/>
      </c>
      <c r="AN648">
        <f>'T_SelfStock'!AL26</f>
        <v/>
      </c>
      <c r="AO648">
        <f>'T_SelfStock'!AM26</f>
        <v/>
      </c>
      <c r="AP648">
        <f>'T_SelfStock'!AN26</f>
        <v/>
      </c>
      <c r="AQ648">
        <f>'T_SelfStock'!AO26</f>
        <v/>
      </c>
      <c r="AR648">
        <f>'T_SelfStock'!AP26</f>
        <v/>
      </c>
      <c r="AS648">
        <f>'T_SelfStock'!AQ26</f>
        <v/>
      </c>
      <c r="AT648">
        <f>'T_SelfStock'!AR26</f>
        <v/>
      </c>
      <c r="AU648">
        <f>'T_SelfStock'!AS26</f>
        <v/>
      </c>
      <c r="AV648">
        <f>'T_SelfStock'!AT26</f>
        <v/>
      </c>
      <c r="AW648">
        <f>'T_SelfStock'!AU26</f>
        <v/>
      </c>
      <c r="AX648">
        <f>'T_SelfStock'!AV26</f>
        <v/>
      </c>
      <c r="AY648">
        <f>'T_SelfStock'!AW26</f>
        <v/>
      </c>
      <c r="AZ648">
        <f>'T_SelfStock'!AX26</f>
        <v/>
      </c>
      <c r="BA648">
        <f>'T_SelfStock'!AY26</f>
        <v/>
      </c>
      <c r="BB648">
        <f>'T_SelfStock'!AZ26</f>
        <v/>
      </c>
      <c r="BC648">
        <f>'T_SelfStock'!BA26</f>
        <v/>
      </c>
      <c r="BD648">
        <f>'T_SelfStock'!BB26</f>
        <v/>
      </c>
      <c r="BE648">
        <f>'T_SelfStock'!BC26</f>
        <v/>
      </c>
      <c r="BF648">
        <f>'T_SelfStock'!BD26</f>
        <v/>
      </c>
      <c r="BG648">
        <f>'T_SelfStock'!BE26</f>
        <v/>
      </c>
      <c r="BH648">
        <f>'T_SelfStock'!BF26</f>
        <v/>
      </c>
      <c r="BI648">
        <f>'T_SelfStock'!BG26</f>
        <v/>
      </c>
      <c r="BJ648">
        <f>'T_SelfStock'!BH26</f>
        <v/>
      </c>
      <c r="BK648">
        <f>'T_SelfStock'!BI26</f>
        <v/>
      </c>
      <c r="BL648">
        <f>'T_SelfStock'!BJ26</f>
        <v/>
      </c>
      <c r="BM648">
        <f>'T_SelfStock'!BK26</f>
        <v/>
      </c>
      <c r="BN648">
        <f>'T_SelfStock'!BL26</f>
        <v/>
      </c>
      <c r="BO648">
        <f>'T_SelfStock'!BM26</f>
        <v/>
      </c>
      <c r="BP648">
        <f>'T_SelfStock'!BN26</f>
        <v/>
      </c>
      <c r="BQ648">
        <f>'T_SelfStock'!BO26</f>
        <v/>
      </c>
      <c r="BR648">
        <f>'T_SelfStock'!BP26</f>
        <v/>
      </c>
      <c r="BS648">
        <f>'T_SelfStock'!BQ26</f>
        <v/>
      </c>
      <c r="BT648">
        <f>'T_SelfStock'!BR26</f>
        <v/>
      </c>
      <c r="BU648">
        <f>'T_SelfStock'!BS26</f>
        <v/>
      </c>
      <c r="BV648">
        <f>'T_SelfStock'!BT26</f>
        <v/>
      </c>
      <c r="BW648">
        <f>'T_SelfStock'!BU26</f>
        <v/>
      </c>
      <c r="BX648">
        <f>'T_SelfStock'!BV26</f>
        <v/>
      </c>
      <c r="BY648">
        <f>'T_SelfStock'!BW26</f>
        <v/>
      </c>
      <c r="BZ648">
        <f>'T_SelfStock'!BX26</f>
        <v/>
      </c>
      <c r="CA648">
        <f>'T_SelfStock'!BY26</f>
        <v/>
      </c>
      <c r="CB648">
        <f>'T_SelfStock'!BZ26</f>
        <v/>
      </c>
      <c r="CC648">
        <f>'T_SelfStock'!CA26</f>
        <v/>
      </c>
      <c r="CD648">
        <f>'T_SelfStock'!CB26</f>
        <v/>
      </c>
      <c r="CE648">
        <f>'T_SelfStock'!CC26</f>
        <v/>
      </c>
      <c r="CF648">
        <f>'T_SelfStock'!CD26</f>
        <v/>
      </c>
      <c r="CG648">
        <f>'T_SelfStock'!CE26</f>
        <v/>
      </c>
      <c r="CH648">
        <f>'T_SelfStock'!CF26</f>
        <v/>
      </c>
      <c r="CI648">
        <f>'T_SelfStock'!CG26</f>
        <v/>
      </c>
      <c r="CJ648">
        <f>'T_SelfStock'!CH26</f>
        <v/>
      </c>
      <c r="CK648">
        <f>'T_SelfStock'!CI26</f>
        <v/>
      </c>
      <c r="CL648">
        <f>'T_SelfStock'!CJ26</f>
        <v/>
      </c>
      <c r="CM648">
        <f>'T_SelfStock'!CK26</f>
        <v/>
      </c>
      <c r="CN648">
        <f>'T_SelfStock'!CL26</f>
        <v/>
      </c>
      <c r="CO648">
        <f>'T_SelfStock'!CM26</f>
        <v/>
      </c>
      <c r="CP648">
        <f>'T_SelfStock'!CN26</f>
        <v/>
      </c>
      <c r="CQ648">
        <f>'T_SelfStock'!CO26</f>
        <v/>
      </c>
      <c r="CR648">
        <f>'T_SelfStock'!CP26</f>
        <v/>
      </c>
      <c r="CS648">
        <f>'T_SelfStock'!CQ26</f>
        <v/>
      </c>
      <c r="CT648">
        <f>'T_SelfStock'!CR26</f>
        <v/>
      </c>
      <c r="CU648">
        <f>'T_SelfStock'!CS26</f>
        <v/>
      </c>
      <c r="CV648">
        <f>'T_SelfStock'!CT26</f>
        <v/>
      </c>
      <c r="CW648">
        <f>'T_SelfStock'!CU26</f>
        <v/>
      </c>
      <c r="CX648">
        <f>'T_SelfStock'!CV26</f>
        <v/>
      </c>
      <c r="CY648">
        <f>'T_SelfStock'!CW26</f>
        <v/>
      </c>
      <c r="CZ648">
        <f>'T_SelfStock'!CX26</f>
        <v/>
      </c>
      <c r="DA648">
        <f>'T_SelfStock'!CY26</f>
        <v/>
      </c>
      <c r="DB648">
        <f>'T_SelfStock'!CZ26</f>
        <v/>
      </c>
      <c r="DC648">
        <f>'T_SelfStock'!DA26</f>
        <v/>
      </c>
    </row>
    <row r="649">
      <c r="B649" t="inlineStr">
        <is>
          <t>Order(発注予定,kg)</t>
        </is>
      </c>
      <c r="D649">
        <f>IF(SUMIFS(T_PlannedOrders[EffectiveQty],T_PlannedOrders[Part Name],$A589,T_PlannedOrders[WeekIndex],1)=0,"",SUMIFS(T_PlannedOrders[EffectiveQty],T_PlannedOrders[Part Name],$A589,T_PlannedOrders[WeekIndex],1)&amp;" ("&amp;TEXT(SUMPRODUCT(MAX((T_PlannedOrders[Part Name]=$A589)*(T_PlannedOrders[WeekIndex]=1)*(T_PlannedOrders[EffectiveQty]&gt;0)*T_PlannedOrders[Order_Month])),"m月")&amp;"発注)")</f>
        <v/>
      </c>
      <c r="E649">
        <f>IF(SUMIFS(T_PlannedOrders[EffectiveQty],T_PlannedOrders[Part Name],$A589,T_PlannedOrders[WeekIndex],2)=0,"",SUMIFS(T_PlannedOrders[EffectiveQty],T_PlannedOrders[Part Name],$A589,T_PlannedOrders[WeekIndex],2)&amp;" ("&amp;TEXT(SUMPRODUCT(MAX((T_PlannedOrders[Part Name]=$A589)*(T_PlannedOrders[WeekIndex]=2)*(T_PlannedOrders[EffectiveQty]&gt;0)*T_PlannedOrders[Order_Month])),"m月")&amp;"発注)")</f>
        <v/>
      </c>
      <c r="F649">
        <f>IF(SUMIFS(T_PlannedOrders[EffectiveQty],T_PlannedOrders[Part Name],$A589,T_PlannedOrders[WeekIndex],3)=0,"",SUMIFS(T_PlannedOrders[EffectiveQty],T_PlannedOrders[Part Name],$A589,T_PlannedOrders[WeekIndex],3)&amp;" ("&amp;TEXT(SUMPRODUCT(MAX((T_PlannedOrders[Part Name]=$A589)*(T_PlannedOrders[WeekIndex]=3)*(T_PlannedOrders[EffectiveQty]&gt;0)*T_PlannedOrders[Order_Month])),"m月")&amp;"発注)")</f>
        <v/>
      </c>
      <c r="G649">
        <f>IF(SUMIFS(T_PlannedOrders[EffectiveQty],T_PlannedOrders[Part Name],$A589,T_PlannedOrders[WeekIndex],4)=0,"",SUMIFS(T_PlannedOrders[EffectiveQty],T_PlannedOrders[Part Name],$A589,T_PlannedOrders[WeekIndex],4)&amp;" ("&amp;TEXT(SUMPRODUCT(MAX((T_PlannedOrders[Part Name]=$A589)*(T_PlannedOrders[WeekIndex]=4)*(T_PlannedOrders[EffectiveQty]&gt;0)*T_PlannedOrders[Order_Month])),"m月")&amp;"発注)")</f>
        <v/>
      </c>
      <c r="H649">
        <f>IF(SUMIFS(T_PlannedOrders[EffectiveQty],T_PlannedOrders[Part Name],$A589,T_PlannedOrders[WeekIndex],5)=0,"",SUMIFS(T_PlannedOrders[EffectiveQty],T_PlannedOrders[Part Name],$A589,T_PlannedOrders[WeekIndex],5)&amp;" ("&amp;TEXT(SUMPRODUCT(MAX((T_PlannedOrders[Part Name]=$A589)*(T_PlannedOrders[WeekIndex]=5)*(T_PlannedOrders[EffectiveQty]&gt;0)*T_PlannedOrders[Order_Month])),"m月")&amp;"発注)")</f>
        <v/>
      </c>
      <c r="I649">
        <f>IF(SUMIFS(T_PlannedOrders[EffectiveQty],T_PlannedOrders[Part Name],$A589,T_PlannedOrders[WeekIndex],6)=0,"",SUMIFS(T_PlannedOrders[EffectiveQty],T_PlannedOrders[Part Name],$A589,T_PlannedOrders[WeekIndex],6)&amp;" ("&amp;TEXT(SUMPRODUCT(MAX((T_PlannedOrders[Part Name]=$A589)*(T_PlannedOrders[WeekIndex]=6)*(T_PlannedOrders[EffectiveQty]&gt;0)*T_PlannedOrders[Order_Month])),"m月")&amp;"発注)")</f>
        <v/>
      </c>
      <c r="J649">
        <f>IF(SUMIFS(T_PlannedOrders[EffectiveQty],T_PlannedOrders[Part Name],$A589,T_PlannedOrders[WeekIndex],7)=0,"",SUMIFS(T_PlannedOrders[EffectiveQty],T_PlannedOrders[Part Name],$A589,T_PlannedOrders[WeekIndex],7)&amp;" ("&amp;TEXT(SUMPRODUCT(MAX((T_PlannedOrders[Part Name]=$A589)*(T_PlannedOrders[WeekIndex]=7)*(T_PlannedOrders[EffectiveQty]&gt;0)*T_PlannedOrders[Order_Month])),"m月")&amp;"発注)")</f>
        <v/>
      </c>
      <c r="K649">
        <f>IF(SUMIFS(T_PlannedOrders[EffectiveQty],T_PlannedOrders[Part Name],$A589,T_PlannedOrders[WeekIndex],8)=0,"",SUMIFS(T_PlannedOrders[EffectiveQty],T_PlannedOrders[Part Name],$A589,T_PlannedOrders[WeekIndex],8)&amp;" ("&amp;TEXT(SUMPRODUCT(MAX((T_PlannedOrders[Part Name]=$A589)*(T_PlannedOrders[WeekIndex]=8)*(T_PlannedOrders[EffectiveQty]&gt;0)*T_PlannedOrders[Order_Month])),"m月")&amp;"発注)")</f>
        <v/>
      </c>
      <c r="L649">
        <f>IF(SUMIFS(T_PlannedOrders[EffectiveQty],T_PlannedOrders[Part Name],$A589,T_PlannedOrders[WeekIndex],9)=0,"",SUMIFS(T_PlannedOrders[EffectiveQty],T_PlannedOrders[Part Name],$A589,T_PlannedOrders[WeekIndex],9)&amp;" ("&amp;TEXT(SUMPRODUCT(MAX((T_PlannedOrders[Part Name]=$A589)*(T_PlannedOrders[WeekIndex]=9)*(T_PlannedOrders[EffectiveQty]&gt;0)*T_PlannedOrders[Order_Month])),"m月")&amp;"発注)")</f>
        <v/>
      </c>
      <c r="M649">
        <f>IF(SUMIFS(T_PlannedOrders[EffectiveQty],T_PlannedOrders[Part Name],$A589,T_PlannedOrders[WeekIndex],10)=0,"",SUMIFS(T_PlannedOrders[EffectiveQty],T_PlannedOrders[Part Name],$A589,T_PlannedOrders[WeekIndex],10)&amp;" ("&amp;TEXT(SUMPRODUCT(MAX((T_PlannedOrders[Part Name]=$A589)*(T_PlannedOrders[WeekIndex]=10)*(T_PlannedOrders[EffectiveQty]&gt;0)*T_PlannedOrders[Order_Month])),"m月")&amp;"発注)")</f>
        <v/>
      </c>
      <c r="N649">
        <f>IF(SUMIFS(T_PlannedOrders[EffectiveQty],T_PlannedOrders[Part Name],$A589,T_PlannedOrders[WeekIndex],11)=0,"",SUMIFS(T_PlannedOrders[EffectiveQty],T_PlannedOrders[Part Name],$A589,T_PlannedOrders[WeekIndex],11)&amp;" ("&amp;TEXT(SUMPRODUCT(MAX((T_PlannedOrders[Part Name]=$A589)*(T_PlannedOrders[WeekIndex]=11)*(T_PlannedOrders[EffectiveQty]&gt;0)*T_PlannedOrders[Order_Month])),"m月")&amp;"発注)")</f>
        <v/>
      </c>
      <c r="O649">
        <f>IF(SUMIFS(T_PlannedOrders[EffectiveQty],T_PlannedOrders[Part Name],$A589,T_PlannedOrders[WeekIndex],12)=0,"",SUMIFS(T_PlannedOrders[EffectiveQty],T_PlannedOrders[Part Name],$A589,T_PlannedOrders[WeekIndex],12)&amp;" ("&amp;TEXT(SUMPRODUCT(MAX((T_PlannedOrders[Part Name]=$A589)*(T_PlannedOrders[WeekIndex]=12)*(T_PlannedOrders[EffectiveQty]&gt;0)*T_PlannedOrders[Order_Month])),"m月")&amp;"発注)")</f>
        <v/>
      </c>
      <c r="P649">
        <f>IF(SUMIFS(T_PlannedOrders[EffectiveQty],T_PlannedOrders[Part Name],$A589,T_PlannedOrders[WeekIndex],13)=0,"",SUMIFS(T_PlannedOrders[EffectiveQty],T_PlannedOrders[Part Name],$A589,T_PlannedOrders[WeekIndex],13)&amp;" ("&amp;TEXT(SUMPRODUCT(MAX((T_PlannedOrders[Part Name]=$A589)*(T_PlannedOrders[WeekIndex]=13)*(T_PlannedOrders[EffectiveQty]&gt;0)*T_PlannedOrders[Order_Month])),"m月")&amp;"発注)")</f>
        <v/>
      </c>
      <c r="Q649">
        <f>IF(SUMIFS(T_PlannedOrders[EffectiveQty],T_PlannedOrders[Part Name],$A589,T_PlannedOrders[WeekIndex],14)=0,"",SUMIFS(T_PlannedOrders[EffectiveQty],T_PlannedOrders[Part Name],$A589,T_PlannedOrders[WeekIndex],14)&amp;" ("&amp;TEXT(SUMPRODUCT(MAX((T_PlannedOrders[Part Name]=$A589)*(T_PlannedOrders[WeekIndex]=14)*(T_PlannedOrders[EffectiveQty]&gt;0)*T_PlannedOrders[Order_Month])),"m月")&amp;"発注)")</f>
        <v/>
      </c>
      <c r="R649">
        <f>IF(SUMIFS(T_PlannedOrders[EffectiveQty],T_PlannedOrders[Part Name],$A589,T_PlannedOrders[WeekIndex],15)=0,"",SUMIFS(T_PlannedOrders[EffectiveQty],T_PlannedOrders[Part Name],$A589,T_PlannedOrders[WeekIndex],15)&amp;" ("&amp;TEXT(SUMPRODUCT(MAX((T_PlannedOrders[Part Name]=$A589)*(T_PlannedOrders[WeekIndex]=15)*(T_PlannedOrders[EffectiveQty]&gt;0)*T_PlannedOrders[Order_Month])),"m月")&amp;"発注)")</f>
        <v/>
      </c>
      <c r="S649">
        <f>IF(SUMIFS(T_PlannedOrders[EffectiveQty],T_PlannedOrders[Part Name],$A589,T_PlannedOrders[WeekIndex],16)=0,"",SUMIFS(T_PlannedOrders[EffectiveQty],T_PlannedOrders[Part Name],$A589,T_PlannedOrders[WeekIndex],16)&amp;" ("&amp;TEXT(SUMPRODUCT(MAX((T_PlannedOrders[Part Name]=$A589)*(T_PlannedOrders[WeekIndex]=16)*(T_PlannedOrders[EffectiveQty]&gt;0)*T_PlannedOrders[Order_Month])),"m月")&amp;"発注)")</f>
        <v/>
      </c>
      <c r="T649">
        <f>IF(SUMIFS(T_PlannedOrders[EffectiveQty],T_PlannedOrders[Part Name],$A589,T_PlannedOrders[WeekIndex],17)=0,"",SUMIFS(T_PlannedOrders[EffectiveQty],T_PlannedOrders[Part Name],$A589,T_PlannedOrders[WeekIndex],17)&amp;" ("&amp;TEXT(SUMPRODUCT(MAX((T_PlannedOrders[Part Name]=$A589)*(T_PlannedOrders[WeekIndex]=17)*(T_PlannedOrders[EffectiveQty]&gt;0)*T_PlannedOrders[Order_Month])),"m月")&amp;"発注)")</f>
        <v/>
      </c>
      <c r="U649">
        <f>IF(SUMIFS(T_PlannedOrders[EffectiveQty],T_PlannedOrders[Part Name],$A589,T_PlannedOrders[WeekIndex],18)=0,"",SUMIFS(T_PlannedOrders[EffectiveQty],T_PlannedOrders[Part Name],$A589,T_PlannedOrders[WeekIndex],18)&amp;" ("&amp;TEXT(SUMPRODUCT(MAX((T_PlannedOrders[Part Name]=$A589)*(T_PlannedOrders[WeekIndex]=18)*(T_PlannedOrders[EffectiveQty]&gt;0)*T_PlannedOrders[Order_Month])),"m月")&amp;"発注)")</f>
        <v/>
      </c>
      <c r="V649">
        <f>IF(SUMIFS(T_PlannedOrders[EffectiveQty],T_PlannedOrders[Part Name],$A589,T_PlannedOrders[WeekIndex],19)=0,"",SUMIFS(T_PlannedOrders[EffectiveQty],T_PlannedOrders[Part Name],$A589,T_PlannedOrders[WeekIndex],19)&amp;" ("&amp;TEXT(SUMPRODUCT(MAX((T_PlannedOrders[Part Name]=$A589)*(T_PlannedOrders[WeekIndex]=19)*(T_PlannedOrders[EffectiveQty]&gt;0)*T_PlannedOrders[Order_Month])),"m月")&amp;"発注)")</f>
        <v/>
      </c>
      <c r="W649">
        <f>IF(SUMIFS(T_PlannedOrders[EffectiveQty],T_PlannedOrders[Part Name],$A589,T_PlannedOrders[WeekIndex],20)=0,"",SUMIFS(T_PlannedOrders[EffectiveQty],T_PlannedOrders[Part Name],$A589,T_PlannedOrders[WeekIndex],20)&amp;" ("&amp;TEXT(SUMPRODUCT(MAX((T_PlannedOrders[Part Name]=$A589)*(T_PlannedOrders[WeekIndex]=20)*(T_PlannedOrders[EffectiveQty]&gt;0)*T_PlannedOrders[Order_Month])),"m月")&amp;"発注)")</f>
        <v/>
      </c>
      <c r="X649">
        <f>IF(SUMIFS(T_PlannedOrders[EffectiveQty],T_PlannedOrders[Part Name],$A589,T_PlannedOrders[WeekIndex],21)=0,"",SUMIFS(T_PlannedOrders[EffectiveQty],T_PlannedOrders[Part Name],$A589,T_PlannedOrders[WeekIndex],21)&amp;" ("&amp;TEXT(SUMPRODUCT(MAX((T_PlannedOrders[Part Name]=$A589)*(T_PlannedOrders[WeekIndex]=21)*(T_PlannedOrders[EffectiveQty]&gt;0)*T_PlannedOrders[Order_Month])),"m月")&amp;"発注)")</f>
        <v/>
      </c>
      <c r="Y649">
        <f>IF(SUMIFS(T_PlannedOrders[EffectiveQty],T_PlannedOrders[Part Name],$A589,T_PlannedOrders[WeekIndex],22)=0,"",SUMIFS(T_PlannedOrders[EffectiveQty],T_PlannedOrders[Part Name],$A589,T_PlannedOrders[WeekIndex],22)&amp;" ("&amp;TEXT(SUMPRODUCT(MAX((T_PlannedOrders[Part Name]=$A589)*(T_PlannedOrders[WeekIndex]=22)*(T_PlannedOrders[EffectiveQty]&gt;0)*T_PlannedOrders[Order_Month])),"m月")&amp;"発注)")</f>
        <v/>
      </c>
      <c r="Z649">
        <f>IF(SUMIFS(T_PlannedOrders[EffectiveQty],T_PlannedOrders[Part Name],$A589,T_PlannedOrders[WeekIndex],23)=0,"",SUMIFS(T_PlannedOrders[EffectiveQty],T_PlannedOrders[Part Name],$A589,T_PlannedOrders[WeekIndex],23)&amp;" ("&amp;TEXT(SUMPRODUCT(MAX((T_PlannedOrders[Part Name]=$A589)*(T_PlannedOrders[WeekIndex]=23)*(T_PlannedOrders[EffectiveQty]&gt;0)*T_PlannedOrders[Order_Month])),"m月")&amp;"発注)")</f>
        <v/>
      </c>
      <c r="AA649">
        <f>IF(SUMIFS(T_PlannedOrders[EffectiveQty],T_PlannedOrders[Part Name],$A589,T_PlannedOrders[WeekIndex],24)=0,"",SUMIFS(T_PlannedOrders[EffectiveQty],T_PlannedOrders[Part Name],$A589,T_PlannedOrders[WeekIndex],24)&amp;" ("&amp;TEXT(SUMPRODUCT(MAX((T_PlannedOrders[Part Name]=$A589)*(T_PlannedOrders[WeekIndex]=24)*(T_PlannedOrders[EffectiveQty]&gt;0)*T_PlannedOrders[Order_Month])),"m月")&amp;"発注)")</f>
        <v/>
      </c>
      <c r="AB649">
        <f>IF(SUMIFS(T_PlannedOrders[EffectiveQty],T_PlannedOrders[Part Name],$A589,T_PlannedOrders[WeekIndex],25)=0,"",SUMIFS(T_PlannedOrders[EffectiveQty],T_PlannedOrders[Part Name],$A589,T_PlannedOrders[WeekIndex],25)&amp;" ("&amp;TEXT(SUMPRODUCT(MAX((T_PlannedOrders[Part Name]=$A589)*(T_PlannedOrders[WeekIndex]=25)*(T_PlannedOrders[EffectiveQty]&gt;0)*T_PlannedOrders[Order_Month])),"m月")&amp;"発注)")</f>
        <v/>
      </c>
      <c r="AC649">
        <f>IF(SUMIFS(T_PlannedOrders[EffectiveQty],T_PlannedOrders[Part Name],$A589,T_PlannedOrders[WeekIndex],26)=0,"",SUMIFS(T_PlannedOrders[EffectiveQty],T_PlannedOrders[Part Name],$A589,T_PlannedOrders[WeekIndex],26)&amp;" ("&amp;TEXT(SUMPRODUCT(MAX((T_PlannedOrders[Part Name]=$A589)*(T_PlannedOrders[WeekIndex]=26)*(T_PlannedOrders[EffectiveQty]&gt;0)*T_PlannedOrders[Order_Month])),"m月")&amp;"発注)")</f>
        <v/>
      </c>
      <c r="AD649">
        <f>IF(SUMIFS(T_PlannedOrders[EffectiveQty],T_PlannedOrders[Part Name],$A589,T_PlannedOrders[WeekIndex],27)=0,"",SUMIFS(T_PlannedOrders[EffectiveQty],T_PlannedOrders[Part Name],$A589,T_PlannedOrders[WeekIndex],27)&amp;" ("&amp;TEXT(SUMPRODUCT(MAX((T_PlannedOrders[Part Name]=$A589)*(T_PlannedOrders[WeekIndex]=27)*(T_PlannedOrders[EffectiveQty]&gt;0)*T_PlannedOrders[Order_Month])),"m月")&amp;"発注)")</f>
        <v/>
      </c>
      <c r="AE649">
        <f>IF(SUMIFS(T_PlannedOrders[EffectiveQty],T_PlannedOrders[Part Name],$A589,T_PlannedOrders[WeekIndex],28)=0,"",SUMIFS(T_PlannedOrders[EffectiveQty],T_PlannedOrders[Part Name],$A589,T_PlannedOrders[WeekIndex],28)&amp;" ("&amp;TEXT(SUMPRODUCT(MAX((T_PlannedOrders[Part Name]=$A589)*(T_PlannedOrders[WeekIndex]=28)*(T_PlannedOrders[EffectiveQty]&gt;0)*T_PlannedOrders[Order_Month])),"m月")&amp;"発注)")</f>
        <v/>
      </c>
      <c r="AF649">
        <f>IF(SUMIFS(T_PlannedOrders[EffectiveQty],T_PlannedOrders[Part Name],$A589,T_PlannedOrders[WeekIndex],29)=0,"",SUMIFS(T_PlannedOrders[EffectiveQty],T_PlannedOrders[Part Name],$A589,T_PlannedOrders[WeekIndex],29)&amp;" ("&amp;TEXT(SUMPRODUCT(MAX((T_PlannedOrders[Part Name]=$A589)*(T_PlannedOrders[WeekIndex]=29)*(T_PlannedOrders[EffectiveQty]&gt;0)*T_PlannedOrders[Order_Month])),"m月")&amp;"発注)")</f>
        <v/>
      </c>
      <c r="AG649">
        <f>IF(SUMIFS(T_PlannedOrders[EffectiveQty],T_PlannedOrders[Part Name],$A589,T_PlannedOrders[WeekIndex],30)=0,"",SUMIFS(T_PlannedOrders[EffectiveQty],T_PlannedOrders[Part Name],$A589,T_PlannedOrders[WeekIndex],30)&amp;" ("&amp;TEXT(SUMPRODUCT(MAX((T_PlannedOrders[Part Name]=$A589)*(T_PlannedOrders[WeekIndex]=30)*(T_PlannedOrders[EffectiveQty]&gt;0)*T_PlannedOrders[Order_Month])),"m月")&amp;"発注)")</f>
        <v/>
      </c>
      <c r="AH649">
        <f>IF(SUMIFS(T_PlannedOrders[EffectiveQty],T_PlannedOrders[Part Name],$A589,T_PlannedOrders[WeekIndex],31)=0,"",SUMIFS(T_PlannedOrders[EffectiveQty],T_PlannedOrders[Part Name],$A589,T_PlannedOrders[WeekIndex],31)&amp;" ("&amp;TEXT(SUMPRODUCT(MAX((T_PlannedOrders[Part Name]=$A589)*(T_PlannedOrders[WeekIndex]=31)*(T_PlannedOrders[EffectiveQty]&gt;0)*T_PlannedOrders[Order_Month])),"m月")&amp;"発注)")</f>
        <v/>
      </c>
      <c r="AI649">
        <f>IF(SUMIFS(T_PlannedOrders[EffectiveQty],T_PlannedOrders[Part Name],$A589,T_PlannedOrders[WeekIndex],32)=0,"",SUMIFS(T_PlannedOrders[EffectiveQty],T_PlannedOrders[Part Name],$A589,T_PlannedOrders[WeekIndex],32)&amp;" ("&amp;TEXT(SUMPRODUCT(MAX((T_PlannedOrders[Part Name]=$A589)*(T_PlannedOrders[WeekIndex]=32)*(T_PlannedOrders[EffectiveQty]&gt;0)*T_PlannedOrders[Order_Month])),"m月")&amp;"発注)")</f>
        <v/>
      </c>
      <c r="AJ649">
        <f>IF(SUMIFS(T_PlannedOrders[EffectiveQty],T_PlannedOrders[Part Name],$A589,T_PlannedOrders[WeekIndex],33)=0,"",SUMIFS(T_PlannedOrders[EffectiveQty],T_PlannedOrders[Part Name],$A589,T_PlannedOrders[WeekIndex],33)&amp;" ("&amp;TEXT(SUMPRODUCT(MAX((T_PlannedOrders[Part Name]=$A589)*(T_PlannedOrders[WeekIndex]=33)*(T_PlannedOrders[EffectiveQty]&gt;0)*T_PlannedOrders[Order_Month])),"m月")&amp;"発注)")</f>
        <v/>
      </c>
      <c r="AK649">
        <f>IF(SUMIFS(T_PlannedOrders[EffectiveQty],T_PlannedOrders[Part Name],$A589,T_PlannedOrders[WeekIndex],34)=0,"",SUMIFS(T_PlannedOrders[EffectiveQty],T_PlannedOrders[Part Name],$A589,T_PlannedOrders[WeekIndex],34)&amp;" ("&amp;TEXT(SUMPRODUCT(MAX((T_PlannedOrders[Part Name]=$A589)*(T_PlannedOrders[WeekIndex]=34)*(T_PlannedOrders[EffectiveQty]&gt;0)*T_PlannedOrders[Order_Month])),"m月")&amp;"発注)")</f>
        <v/>
      </c>
      <c r="AL649">
        <f>IF(SUMIFS(T_PlannedOrders[EffectiveQty],T_PlannedOrders[Part Name],$A589,T_PlannedOrders[WeekIndex],35)=0,"",SUMIFS(T_PlannedOrders[EffectiveQty],T_PlannedOrders[Part Name],$A589,T_PlannedOrders[WeekIndex],35)&amp;" ("&amp;TEXT(SUMPRODUCT(MAX((T_PlannedOrders[Part Name]=$A589)*(T_PlannedOrders[WeekIndex]=35)*(T_PlannedOrders[EffectiveQty]&gt;0)*T_PlannedOrders[Order_Month])),"m月")&amp;"発注)")</f>
        <v/>
      </c>
      <c r="AM649">
        <f>IF(SUMIFS(T_PlannedOrders[EffectiveQty],T_PlannedOrders[Part Name],$A589,T_PlannedOrders[WeekIndex],36)=0,"",SUMIFS(T_PlannedOrders[EffectiveQty],T_PlannedOrders[Part Name],$A589,T_PlannedOrders[WeekIndex],36)&amp;" ("&amp;TEXT(SUMPRODUCT(MAX((T_PlannedOrders[Part Name]=$A589)*(T_PlannedOrders[WeekIndex]=36)*(T_PlannedOrders[EffectiveQty]&gt;0)*T_PlannedOrders[Order_Month])),"m月")&amp;"発注)")</f>
        <v/>
      </c>
      <c r="AN649">
        <f>IF(SUMIFS(T_PlannedOrders[EffectiveQty],T_PlannedOrders[Part Name],$A589,T_PlannedOrders[WeekIndex],37)=0,"",SUMIFS(T_PlannedOrders[EffectiveQty],T_PlannedOrders[Part Name],$A589,T_PlannedOrders[WeekIndex],37)&amp;" ("&amp;TEXT(SUMPRODUCT(MAX((T_PlannedOrders[Part Name]=$A589)*(T_PlannedOrders[WeekIndex]=37)*(T_PlannedOrders[EffectiveQty]&gt;0)*T_PlannedOrders[Order_Month])),"m月")&amp;"発注)")</f>
        <v/>
      </c>
      <c r="AO649">
        <f>IF(SUMIFS(T_PlannedOrders[EffectiveQty],T_PlannedOrders[Part Name],$A589,T_PlannedOrders[WeekIndex],38)=0,"",SUMIFS(T_PlannedOrders[EffectiveQty],T_PlannedOrders[Part Name],$A589,T_PlannedOrders[WeekIndex],38)&amp;" ("&amp;TEXT(SUMPRODUCT(MAX((T_PlannedOrders[Part Name]=$A589)*(T_PlannedOrders[WeekIndex]=38)*(T_PlannedOrders[EffectiveQty]&gt;0)*T_PlannedOrders[Order_Month])),"m月")&amp;"発注)")</f>
        <v/>
      </c>
      <c r="AP649">
        <f>IF(SUMIFS(T_PlannedOrders[EffectiveQty],T_PlannedOrders[Part Name],$A589,T_PlannedOrders[WeekIndex],39)=0,"",SUMIFS(T_PlannedOrders[EffectiveQty],T_PlannedOrders[Part Name],$A589,T_PlannedOrders[WeekIndex],39)&amp;" ("&amp;TEXT(SUMPRODUCT(MAX((T_PlannedOrders[Part Name]=$A589)*(T_PlannedOrders[WeekIndex]=39)*(T_PlannedOrders[EffectiveQty]&gt;0)*T_PlannedOrders[Order_Month])),"m月")&amp;"発注)")</f>
        <v/>
      </c>
      <c r="AQ649">
        <f>IF(SUMIFS(T_PlannedOrders[EffectiveQty],T_PlannedOrders[Part Name],$A589,T_PlannedOrders[WeekIndex],40)=0,"",SUMIFS(T_PlannedOrders[EffectiveQty],T_PlannedOrders[Part Name],$A589,T_PlannedOrders[WeekIndex],40)&amp;" ("&amp;TEXT(SUMPRODUCT(MAX((T_PlannedOrders[Part Name]=$A589)*(T_PlannedOrders[WeekIndex]=40)*(T_PlannedOrders[EffectiveQty]&gt;0)*T_PlannedOrders[Order_Month])),"m月")&amp;"発注)")</f>
        <v/>
      </c>
      <c r="AR649">
        <f>IF(SUMIFS(T_PlannedOrders[EffectiveQty],T_PlannedOrders[Part Name],$A589,T_PlannedOrders[WeekIndex],41)=0,"",SUMIFS(T_PlannedOrders[EffectiveQty],T_PlannedOrders[Part Name],$A589,T_PlannedOrders[WeekIndex],41)&amp;" ("&amp;TEXT(SUMPRODUCT(MAX((T_PlannedOrders[Part Name]=$A589)*(T_PlannedOrders[WeekIndex]=41)*(T_PlannedOrders[EffectiveQty]&gt;0)*T_PlannedOrders[Order_Month])),"m月")&amp;"発注)")</f>
        <v/>
      </c>
      <c r="AS649">
        <f>IF(SUMIFS(T_PlannedOrders[EffectiveQty],T_PlannedOrders[Part Name],$A589,T_PlannedOrders[WeekIndex],42)=0,"",SUMIFS(T_PlannedOrders[EffectiveQty],T_PlannedOrders[Part Name],$A589,T_PlannedOrders[WeekIndex],42)&amp;" ("&amp;TEXT(SUMPRODUCT(MAX((T_PlannedOrders[Part Name]=$A589)*(T_PlannedOrders[WeekIndex]=42)*(T_PlannedOrders[EffectiveQty]&gt;0)*T_PlannedOrders[Order_Month])),"m月")&amp;"発注)")</f>
        <v/>
      </c>
      <c r="AT649">
        <f>IF(SUMIFS(T_PlannedOrders[EffectiveQty],T_PlannedOrders[Part Name],$A589,T_PlannedOrders[WeekIndex],43)=0,"",SUMIFS(T_PlannedOrders[EffectiveQty],T_PlannedOrders[Part Name],$A589,T_PlannedOrders[WeekIndex],43)&amp;" ("&amp;TEXT(SUMPRODUCT(MAX((T_PlannedOrders[Part Name]=$A589)*(T_PlannedOrders[WeekIndex]=43)*(T_PlannedOrders[EffectiveQty]&gt;0)*T_PlannedOrders[Order_Month])),"m月")&amp;"発注)")</f>
        <v/>
      </c>
      <c r="AU649">
        <f>IF(SUMIFS(T_PlannedOrders[EffectiveQty],T_PlannedOrders[Part Name],$A589,T_PlannedOrders[WeekIndex],44)=0,"",SUMIFS(T_PlannedOrders[EffectiveQty],T_PlannedOrders[Part Name],$A589,T_PlannedOrders[WeekIndex],44)&amp;" ("&amp;TEXT(SUMPRODUCT(MAX((T_PlannedOrders[Part Name]=$A589)*(T_PlannedOrders[WeekIndex]=44)*(T_PlannedOrders[EffectiveQty]&gt;0)*T_PlannedOrders[Order_Month])),"m月")&amp;"発注)")</f>
        <v/>
      </c>
      <c r="AV649">
        <f>IF(SUMIFS(T_PlannedOrders[EffectiveQty],T_PlannedOrders[Part Name],$A589,T_PlannedOrders[WeekIndex],45)=0,"",SUMIFS(T_PlannedOrders[EffectiveQty],T_PlannedOrders[Part Name],$A589,T_PlannedOrders[WeekIndex],45)&amp;" ("&amp;TEXT(SUMPRODUCT(MAX((T_PlannedOrders[Part Name]=$A589)*(T_PlannedOrders[WeekIndex]=45)*(T_PlannedOrders[EffectiveQty]&gt;0)*T_PlannedOrders[Order_Month])),"m月")&amp;"発注)")</f>
        <v/>
      </c>
      <c r="AW649">
        <f>IF(SUMIFS(T_PlannedOrders[EffectiveQty],T_PlannedOrders[Part Name],$A589,T_PlannedOrders[WeekIndex],46)=0,"",SUMIFS(T_PlannedOrders[EffectiveQty],T_PlannedOrders[Part Name],$A589,T_PlannedOrders[WeekIndex],46)&amp;" ("&amp;TEXT(SUMPRODUCT(MAX((T_PlannedOrders[Part Name]=$A589)*(T_PlannedOrders[WeekIndex]=46)*(T_PlannedOrders[EffectiveQty]&gt;0)*T_PlannedOrders[Order_Month])),"m月")&amp;"発注)")</f>
        <v/>
      </c>
      <c r="AX649">
        <f>IF(SUMIFS(T_PlannedOrders[EffectiveQty],T_PlannedOrders[Part Name],$A589,T_PlannedOrders[WeekIndex],47)=0,"",SUMIFS(T_PlannedOrders[EffectiveQty],T_PlannedOrders[Part Name],$A589,T_PlannedOrders[WeekIndex],47)&amp;" ("&amp;TEXT(SUMPRODUCT(MAX((T_PlannedOrders[Part Name]=$A589)*(T_PlannedOrders[WeekIndex]=47)*(T_PlannedOrders[EffectiveQty]&gt;0)*T_PlannedOrders[Order_Month])),"m月")&amp;"発注)")</f>
        <v/>
      </c>
      <c r="AY649">
        <f>IF(SUMIFS(T_PlannedOrders[EffectiveQty],T_PlannedOrders[Part Name],$A589,T_PlannedOrders[WeekIndex],48)=0,"",SUMIFS(T_PlannedOrders[EffectiveQty],T_PlannedOrders[Part Name],$A589,T_PlannedOrders[WeekIndex],48)&amp;" ("&amp;TEXT(SUMPRODUCT(MAX((T_PlannedOrders[Part Name]=$A589)*(T_PlannedOrders[WeekIndex]=48)*(T_PlannedOrders[EffectiveQty]&gt;0)*T_PlannedOrders[Order_Month])),"m月")&amp;"発注)")</f>
        <v/>
      </c>
      <c r="AZ649">
        <f>IF(SUMIFS(T_PlannedOrders[EffectiveQty],T_PlannedOrders[Part Name],$A589,T_PlannedOrders[WeekIndex],49)=0,"",SUMIFS(T_PlannedOrders[EffectiveQty],T_PlannedOrders[Part Name],$A589,T_PlannedOrders[WeekIndex],49)&amp;" ("&amp;TEXT(SUMPRODUCT(MAX((T_PlannedOrders[Part Name]=$A589)*(T_PlannedOrders[WeekIndex]=49)*(T_PlannedOrders[EffectiveQty]&gt;0)*T_PlannedOrders[Order_Month])),"m月")&amp;"発注)")</f>
        <v/>
      </c>
      <c r="BA649">
        <f>IF(SUMIFS(T_PlannedOrders[EffectiveQty],T_PlannedOrders[Part Name],$A589,T_PlannedOrders[WeekIndex],50)=0,"",SUMIFS(T_PlannedOrders[EffectiveQty],T_PlannedOrders[Part Name],$A589,T_PlannedOrders[WeekIndex],50)&amp;" ("&amp;TEXT(SUMPRODUCT(MAX((T_PlannedOrders[Part Name]=$A589)*(T_PlannedOrders[WeekIndex]=50)*(T_PlannedOrders[EffectiveQty]&gt;0)*T_PlannedOrders[Order_Month])),"m月")&amp;"発注)")</f>
        <v/>
      </c>
      <c r="BB649">
        <f>IF(SUMIFS(T_PlannedOrders[EffectiveQty],T_PlannedOrders[Part Name],$A589,T_PlannedOrders[WeekIndex],51)=0,"",SUMIFS(T_PlannedOrders[EffectiveQty],T_PlannedOrders[Part Name],$A589,T_PlannedOrders[WeekIndex],51)&amp;" ("&amp;TEXT(SUMPRODUCT(MAX((T_PlannedOrders[Part Name]=$A589)*(T_PlannedOrders[WeekIndex]=51)*(T_PlannedOrders[EffectiveQty]&gt;0)*T_PlannedOrders[Order_Month])),"m月")&amp;"発注)")</f>
        <v/>
      </c>
      <c r="BC649">
        <f>IF(SUMIFS(T_PlannedOrders[EffectiveQty],T_PlannedOrders[Part Name],$A589,T_PlannedOrders[WeekIndex],52)=0,"",SUMIFS(T_PlannedOrders[EffectiveQty],T_PlannedOrders[Part Name],$A589,T_PlannedOrders[WeekIndex],52)&amp;" ("&amp;TEXT(SUMPRODUCT(MAX((T_PlannedOrders[Part Name]=$A589)*(T_PlannedOrders[WeekIndex]=52)*(T_PlannedOrders[EffectiveQty]&gt;0)*T_PlannedOrders[Order_Month])),"m月")&amp;"発注)")</f>
        <v/>
      </c>
      <c r="BD649">
        <f>IF(SUMIFS(T_PlannedOrders[EffectiveQty],T_PlannedOrders[Part Name],$A589,T_PlannedOrders[WeekIndex],53)=0,"",SUMIFS(T_PlannedOrders[EffectiveQty],T_PlannedOrders[Part Name],$A589,T_PlannedOrders[WeekIndex],53)&amp;" ("&amp;TEXT(SUMPRODUCT(MAX((T_PlannedOrders[Part Name]=$A589)*(T_PlannedOrders[WeekIndex]=53)*(T_PlannedOrders[EffectiveQty]&gt;0)*T_PlannedOrders[Order_Month])),"m月")&amp;"発注)")</f>
        <v/>
      </c>
      <c r="BE649">
        <f>IF(SUMIFS(T_PlannedOrders[EffectiveQty],T_PlannedOrders[Part Name],$A589,T_PlannedOrders[WeekIndex],54)=0,"",SUMIFS(T_PlannedOrders[EffectiveQty],T_PlannedOrders[Part Name],$A589,T_PlannedOrders[WeekIndex],54)&amp;" ("&amp;TEXT(SUMPRODUCT(MAX((T_PlannedOrders[Part Name]=$A589)*(T_PlannedOrders[WeekIndex]=54)*(T_PlannedOrders[EffectiveQty]&gt;0)*T_PlannedOrders[Order_Month])),"m月")&amp;"発注)")</f>
        <v/>
      </c>
      <c r="BF649">
        <f>IF(SUMIFS(T_PlannedOrders[EffectiveQty],T_PlannedOrders[Part Name],$A589,T_PlannedOrders[WeekIndex],55)=0,"",SUMIFS(T_PlannedOrders[EffectiveQty],T_PlannedOrders[Part Name],$A589,T_PlannedOrders[WeekIndex],55)&amp;" ("&amp;TEXT(SUMPRODUCT(MAX((T_PlannedOrders[Part Name]=$A589)*(T_PlannedOrders[WeekIndex]=55)*(T_PlannedOrders[EffectiveQty]&gt;0)*T_PlannedOrders[Order_Month])),"m月")&amp;"発注)")</f>
        <v/>
      </c>
      <c r="BG649">
        <f>IF(SUMIFS(T_PlannedOrders[EffectiveQty],T_PlannedOrders[Part Name],$A589,T_PlannedOrders[WeekIndex],56)=0,"",SUMIFS(T_PlannedOrders[EffectiveQty],T_PlannedOrders[Part Name],$A589,T_PlannedOrders[WeekIndex],56)&amp;" ("&amp;TEXT(SUMPRODUCT(MAX((T_PlannedOrders[Part Name]=$A589)*(T_PlannedOrders[WeekIndex]=56)*(T_PlannedOrders[EffectiveQty]&gt;0)*T_PlannedOrders[Order_Month])),"m月")&amp;"発注)")</f>
        <v/>
      </c>
      <c r="BH649">
        <f>IF(SUMIFS(T_PlannedOrders[EffectiveQty],T_PlannedOrders[Part Name],$A589,T_PlannedOrders[WeekIndex],57)=0,"",SUMIFS(T_PlannedOrders[EffectiveQty],T_PlannedOrders[Part Name],$A589,T_PlannedOrders[WeekIndex],57)&amp;" ("&amp;TEXT(SUMPRODUCT(MAX((T_PlannedOrders[Part Name]=$A589)*(T_PlannedOrders[WeekIndex]=57)*(T_PlannedOrders[EffectiveQty]&gt;0)*T_PlannedOrders[Order_Month])),"m月")&amp;"発注)")</f>
        <v/>
      </c>
      <c r="BI649">
        <f>IF(SUMIFS(T_PlannedOrders[EffectiveQty],T_PlannedOrders[Part Name],$A589,T_PlannedOrders[WeekIndex],58)=0,"",SUMIFS(T_PlannedOrders[EffectiveQty],T_PlannedOrders[Part Name],$A589,T_PlannedOrders[WeekIndex],58)&amp;" ("&amp;TEXT(SUMPRODUCT(MAX((T_PlannedOrders[Part Name]=$A589)*(T_PlannedOrders[WeekIndex]=58)*(T_PlannedOrders[EffectiveQty]&gt;0)*T_PlannedOrders[Order_Month])),"m月")&amp;"発注)")</f>
        <v/>
      </c>
      <c r="BJ649">
        <f>IF(SUMIFS(T_PlannedOrders[EffectiveQty],T_PlannedOrders[Part Name],$A589,T_PlannedOrders[WeekIndex],59)=0,"",SUMIFS(T_PlannedOrders[EffectiveQty],T_PlannedOrders[Part Name],$A589,T_PlannedOrders[WeekIndex],59)&amp;" ("&amp;TEXT(SUMPRODUCT(MAX((T_PlannedOrders[Part Name]=$A589)*(T_PlannedOrders[WeekIndex]=59)*(T_PlannedOrders[EffectiveQty]&gt;0)*T_PlannedOrders[Order_Month])),"m月")&amp;"発注)")</f>
        <v/>
      </c>
      <c r="BK649">
        <f>IF(SUMIFS(T_PlannedOrders[EffectiveQty],T_PlannedOrders[Part Name],$A589,T_PlannedOrders[WeekIndex],60)=0,"",SUMIFS(T_PlannedOrders[EffectiveQty],T_PlannedOrders[Part Name],$A589,T_PlannedOrders[WeekIndex],60)&amp;" ("&amp;TEXT(SUMPRODUCT(MAX((T_PlannedOrders[Part Name]=$A589)*(T_PlannedOrders[WeekIndex]=60)*(T_PlannedOrders[EffectiveQty]&gt;0)*T_PlannedOrders[Order_Month])),"m月")&amp;"発注)")</f>
        <v/>
      </c>
      <c r="BL649">
        <f>IF(SUMIFS(T_PlannedOrders[EffectiveQty],T_PlannedOrders[Part Name],$A589,T_PlannedOrders[WeekIndex],61)=0,"",SUMIFS(T_PlannedOrders[EffectiveQty],T_PlannedOrders[Part Name],$A589,T_PlannedOrders[WeekIndex],61)&amp;" ("&amp;TEXT(SUMPRODUCT(MAX((T_PlannedOrders[Part Name]=$A589)*(T_PlannedOrders[WeekIndex]=61)*(T_PlannedOrders[EffectiveQty]&gt;0)*T_PlannedOrders[Order_Month])),"m月")&amp;"発注)")</f>
        <v/>
      </c>
      <c r="BM649">
        <f>IF(SUMIFS(T_PlannedOrders[EffectiveQty],T_PlannedOrders[Part Name],$A589,T_PlannedOrders[WeekIndex],62)=0,"",SUMIFS(T_PlannedOrders[EffectiveQty],T_PlannedOrders[Part Name],$A589,T_PlannedOrders[WeekIndex],62)&amp;" ("&amp;TEXT(SUMPRODUCT(MAX((T_PlannedOrders[Part Name]=$A589)*(T_PlannedOrders[WeekIndex]=62)*(T_PlannedOrders[EffectiveQty]&gt;0)*T_PlannedOrders[Order_Month])),"m月")&amp;"発注)")</f>
        <v/>
      </c>
      <c r="BN649">
        <f>IF(SUMIFS(T_PlannedOrders[EffectiveQty],T_PlannedOrders[Part Name],$A589,T_PlannedOrders[WeekIndex],63)=0,"",SUMIFS(T_PlannedOrders[EffectiveQty],T_PlannedOrders[Part Name],$A589,T_PlannedOrders[WeekIndex],63)&amp;" ("&amp;TEXT(SUMPRODUCT(MAX((T_PlannedOrders[Part Name]=$A589)*(T_PlannedOrders[WeekIndex]=63)*(T_PlannedOrders[EffectiveQty]&gt;0)*T_PlannedOrders[Order_Month])),"m月")&amp;"発注)")</f>
        <v/>
      </c>
      <c r="BO649">
        <f>IF(SUMIFS(T_PlannedOrders[EffectiveQty],T_PlannedOrders[Part Name],$A589,T_PlannedOrders[WeekIndex],64)=0,"",SUMIFS(T_PlannedOrders[EffectiveQty],T_PlannedOrders[Part Name],$A589,T_PlannedOrders[WeekIndex],64)&amp;" ("&amp;TEXT(SUMPRODUCT(MAX((T_PlannedOrders[Part Name]=$A589)*(T_PlannedOrders[WeekIndex]=64)*(T_PlannedOrders[EffectiveQty]&gt;0)*T_PlannedOrders[Order_Month])),"m月")&amp;"発注)")</f>
        <v/>
      </c>
      <c r="BP649">
        <f>IF(SUMIFS(T_PlannedOrders[EffectiveQty],T_PlannedOrders[Part Name],$A589,T_PlannedOrders[WeekIndex],65)=0,"",SUMIFS(T_PlannedOrders[EffectiveQty],T_PlannedOrders[Part Name],$A589,T_PlannedOrders[WeekIndex],65)&amp;" ("&amp;TEXT(SUMPRODUCT(MAX((T_PlannedOrders[Part Name]=$A589)*(T_PlannedOrders[WeekIndex]=65)*(T_PlannedOrders[EffectiveQty]&gt;0)*T_PlannedOrders[Order_Month])),"m月")&amp;"発注)")</f>
        <v/>
      </c>
      <c r="BQ649">
        <f>IF(SUMIFS(T_PlannedOrders[EffectiveQty],T_PlannedOrders[Part Name],$A589,T_PlannedOrders[WeekIndex],66)=0,"",SUMIFS(T_PlannedOrders[EffectiveQty],T_PlannedOrders[Part Name],$A589,T_PlannedOrders[WeekIndex],66)&amp;" ("&amp;TEXT(SUMPRODUCT(MAX((T_PlannedOrders[Part Name]=$A589)*(T_PlannedOrders[WeekIndex]=66)*(T_PlannedOrders[EffectiveQty]&gt;0)*T_PlannedOrders[Order_Month])),"m月")&amp;"発注)")</f>
        <v/>
      </c>
      <c r="BR649">
        <f>IF(SUMIFS(T_PlannedOrders[EffectiveQty],T_PlannedOrders[Part Name],$A589,T_PlannedOrders[WeekIndex],67)=0,"",SUMIFS(T_PlannedOrders[EffectiveQty],T_PlannedOrders[Part Name],$A589,T_PlannedOrders[WeekIndex],67)&amp;" ("&amp;TEXT(SUMPRODUCT(MAX((T_PlannedOrders[Part Name]=$A589)*(T_PlannedOrders[WeekIndex]=67)*(T_PlannedOrders[EffectiveQty]&gt;0)*T_PlannedOrders[Order_Month])),"m月")&amp;"発注)")</f>
        <v/>
      </c>
      <c r="BS649">
        <f>IF(SUMIFS(T_PlannedOrders[EffectiveQty],T_PlannedOrders[Part Name],$A589,T_PlannedOrders[WeekIndex],68)=0,"",SUMIFS(T_PlannedOrders[EffectiveQty],T_PlannedOrders[Part Name],$A589,T_PlannedOrders[WeekIndex],68)&amp;" ("&amp;TEXT(SUMPRODUCT(MAX((T_PlannedOrders[Part Name]=$A589)*(T_PlannedOrders[WeekIndex]=68)*(T_PlannedOrders[EffectiveQty]&gt;0)*T_PlannedOrders[Order_Month])),"m月")&amp;"発注)")</f>
        <v/>
      </c>
      <c r="BT649">
        <f>IF(SUMIFS(T_PlannedOrders[EffectiveQty],T_PlannedOrders[Part Name],$A589,T_PlannedOrders[WeekIndex],69)=0,"",SUMIFS(T_PlannedOrders[EffectiveQty],T_PlannedOrders[Part Name],$A589,T_PlannedOrders[WeekIndex],69)&amp;" ("&amp;TEXT(SUMPRODUCT(MAX((T_PlannedOrders[Part Name]=$A589)*(T_PlannedOrders[WeekIndex]=69)*(T_PlannedOrders[EffectiveQty]&gt;0)*T_PlannedOrders[Order_Month])),"m月")&amp;"発注)")</f>
        <v/>
      </c>
      <c r="BU649">
        <f>IF(SUMIFS(T_PlannedOrders[EffectiveQty],T_PlannedOrders[Part Name],$A589,T_PlannedOrders[WeekIndex],70)=0,"",SUMIFS(T_PlannedOrders[EffectiveQty],T_PlannedOrders[Part Name],$A589,T_PlannedOrders[WeekIndex],70)&amp;" ("&amp;TEXT(SUMPRODUCT(MAX((T_PlannedOrders[Part Name]=$A589)*(T_PlannedOrders[WeekIndex]=70)*(T_PlannedOrders[EffectiveQty]&gt;0)*T_PlannedOrders[Order_Month])),"m月")&amp;"発注)")</f>
        <v/>
      </c>
      <c r="BV649">
        <f>IF(SUMIFS(T_PlannedOrders[EffectiveQty],T_PlannedOrders[Part Name],$A589,T_PlannedOrders[WeekIndex],71)=0,"",SUMIFS(T_PlannedOrders[EffectiveQty],T_PlannedOrders[Part Name],$A589,T_PlannedOrders[WeekIndex],71)&amp;" ("&amp;TEXT(SUMPRODUCT(MAX((T_PlannedOrders[Part Name]=$A589)*(T_PlannedOrders[WeekIndex]=71)*(T_PlannedOrders[EffectiveQty]&gt;0)*T_PlannedOrders[Order_Month])),"m月")&amp;"発注)")</f>
        <v/>
      </c>
      <c r="BW649">
        <f>IF(SUMIFS(T_PlannedOrders[EffectiveQty],T_PlannedOrders[Part Name],$A589,T_PlannedOrders[WeekIndex],72)=0,"",SUMIFS(T_PlannedOrders[EffectiveQty],T_PlannedOrders[Part Name],$A589,T_PlannedOrders[WeekIndex],72)&amp;" ("&amp;TEXT(SUMPRODUCT(MAX((T_PlannedOrders[Part Name]=$A589)*(T_PlannedOrders[WeekIndex]=72)*(T_PlannedOrders[EffectiveQty]&gt;0)*T_PlannedOrders[Order_Month])),"m月")&amp;"発注)")</f>
        <v/>
      </c>
      <c r="BX649">
        <f>IF(SUMIFS(T_PlannedOrders[EffectiveQty],T_PlannedOrders[Part Name],$A589,T_PlannedOrders[WeekIndex],73)=0,"",SUMIFS(T_PlannedOrders[EffectiveQty],T_PlannedOrders[Part Name],$A589,T_PlannedOrders[WeekIndex],73)&amp;" ("&amp;TEXT(SUMPRODUCT(MAX((T_PlannedOrders[Part Name]=$A589)*(T_PlannedOrders[WeekIndex]=73)*(T_PlannedOrders[EffectiveQty]&gt;0)*T_PlannedOrders[Order_Month])),"m月")&amp;"発注)")</f>
        <v/>
      </c>
      <c r="BY649">
        <f>IF(SUMIFS(T_PlannedOrders[EffectiveQty],T_PlannedOrders[Part Name],$A589,T_PlannedOrders[WeekIndex],74)=0,"",SUMIFS(T_PlannedOrders[EffectiveQty],T_PlannedOrders[Part Name],$A589,T_PlannedOrders[WeekIndex],74)&amp;" ("&amp;TEXT(SUMPRODUCT(MAX((T_PlannedOrders[Part Name]=$A589)*(T_PlannedOrders[WeekIndex]=74)*(T_PlannedOrders[EffectiveQty]&gt;0)*T_PlannedOrders[Order_Month])),"m月")&amp;"発注)")</f>
        <v/>
      </c>
      <c r="BZ649">
        <f>IF(SUMIFS(T_PlannedOrders[EffectiveQty],T_PlannedOrders[Part Name],$A589,T_PlannedOrders[WeekIndex],75)=0,"",SUMIFS(T_PlannedOrders[EffectiveQty],T_PlannedOrders[Part Name],$A589,T_PlannedOrders[WeekIndex],75)&amp;" ("&amp;TEXT(SUMPRODUCT(MAX((T_PlannedOrders[Part Name]=$A589)*(T_PlannedOrders[WeekIndex]=75)*(T_PlannedOrders[EffectiveQty]&gt;0)*T_PlannedOrders[Order_Month])),"m月")&amp;"発注)")</f>
        <v/>
      </c>
      <c r="CA649">
        <f>IF(SUMIFS(T_PlannedOrders[EffectiveQty],T_PlannedOrders[Part Name],$A589,T_PlannedOrders[WeekIndex],76)=0,"",SUMIFS(T_PlannedOrders[EffectiveQty],T_PlannedOrders[Part Name],$A589,T_PlannedOrders[WeekIndex],76)&amp;" ("&amp;TEXT(SUMPRODUCT(MAX((T_PlannedOrders[Part Name]=$A589)*(T_PlannedOrders[WeekIndex]=76)*(T_PlannedOrders[EffectiveQty]&gt;0)*T_PlannedOrders[Order_Month])),"m月")&amp;"発注)")</f>
        <v/>
      </c>
      <c r="CB649">
        <f>IF(SUMIFS(T_PlannedOrders[EffectiveQty],T_PlannedOrders[Part Name],$A589,T_PlannedOrders[WeekIndex],77)=0,"",SUMIFS(T_PlannedOrders[EffectiveQty],T_PlannedOrders[Part Name],$A589,T_PlannedOrders[WeekIndex],77)&amp;" ("&amp;TEXT(SUMPRODUCT(MAX((T_PlannedOrders[Part Name]=$A589)*(T_PlannedOrders[WeekIndex]=77)*(T_PlannedOrders[EffectiveQty]&gt;0)*T_PlannedOrders[Order_Month])),"m月")&amp;"発注)")</f>
        <v/>
      </c>
      <c r="CC649">
        <f>IF(SUMIFS(T_PlannedOrders[EffectiveQty],T_PlannedOrders[Part Name],$A589,T_PlannedOrders[WeekIndex],78)=0,"",SUMIFS(T_PlannedOrders[EffectiveQty],T_PlannedOrders[Part Name],$A589,T_PlannedOrders[WeekIndex],78)&amp;" ("&amp;TEXT(SUMPRODUCT(MAX((T_PlannedOrders[Part Name]=$A589)*(T_PlannedOrders[WeekIndex]=78)*(T_PlannedOrders[EffectiveQty]&gt;0)*T_PlannedOrders[Order_Month])),"m月")&amp;"発注)")</f>
        <v/>
      </c>
      <c r="CD649">
        <f>IF(SUMIFS(T_PlannedOrders[EffectiveQty],T_PlannedOrders[Part Name],$A589,T_PlannedOrders[WeekIndex],79)=0,"",SUMIFS(T_PlannedOrders[EffectiveQty],T_PlannedOrders[Part Name],$A589,T_PlannedOrders[WeekIndex],79)&amp;" ("&amp;TEXT(SUMPRODUCT(MAX((T_PlannedOrders[Part Name]=$A589)*(T_PlannedOrders[WeekIndex]=79)*(T_PlannedOrders[EffectiveQty]&gt;0)*T_PlannedOrders[Order_Month])),"m月")&amp;"発注)")</f>
        <v/>
      </c>
      <c r="CE649">
        <f>IF(SUMIFS(T_PlannedOrders[EffectiveQty],T_PlannedOrders[Part Name],$A589,T_PlannedOrders[WeekIndex],80)=0,"",SUMIFS(T_PlannedOrders[EffectiveQty],T_PlannedOrders[Part Name],$A589,T_PlannedOrders[WeekIndex],80)&amp;" ("&amp;TEXT(SUMPRODUCT(MAX((T_PlannedOrders[Part Name]=$A589)*(T_PlannedOrders[WeekIndex]=80)*(T_PlannedOrders[EffectiveQty]&gt;0)*T_PlannedOrders[Order_Month])),"m月")&amp;"発注)")</f>
        <v/>
      </c>
      <c r="CF649">
        <f>IF(SUMIFS(T_PlannedOrders[EffectiveQty],T_PlannedOrders[Part Name],$A589,T_PlannedOrders[WeekIndex],81)=0,"",SUMIFS(T_PlannedOrders[EffectiveQty],T_PlannedOrders[Part Name],$A589,T_PlannedOrders[WeekIndex],81)&amp;" ("&amp;TEXT(SUMPRODUCT(MAX((T_PlannedOrders[Part Name]=$A589)*(T_PlannedOrders[WeekIndex]=81)*(T_PlannedOrders[EffectiveQty]&gt;0)*T_PlannedOrders[Order_Month])),"m月")&amp;"発注)")</f>
        <v/>
      </c>
      <c r="CG649">
        <f>IF(SUMIFS(T_PlannedOrders[EffectiveQty],T_PlannedOrders[Part Name],$A589,T_PlannedOrders[WeekIndex],82)=0,"",SUMIFS(T_PlannedOrders[EffectiveQty],T_PlannedOrders[Part Name],$A589,T_PlannedOrders[WeekIndex],82)&amp;" ("&amp;TEXT(SUMPRODUCT(MAX((T_PlannedOrders[Part Name]=$A589)*(T_PlannedOrders[WeekIndex]=82)*(T_PlannedOrders[EffectiveQty]&gt;0)*T_PlannedOrders[Order_Month])),"m月")&amp;"発注)")</f>
        <v/>
      </c>
      <c r="CH649">
        <f>IF(SUMIFS(T_PlannedOrders[EffectiveQty],T_PlannedOrders[Part Name],$A589,T_PlannedOrders[WeekIndex],83)=0,"",SUMIFS(T_PlannedOrders[EffectiveQty],T_PlannedOrders[Part Name],$A589,T_PlannedOrders[WeekIndex],83)&amp;" ("&amp;TEXT(SUMPRODUCT(MAX((T_PlannedOrders[Part Name]=$A589)*(T_PlannedOrders[WeekIndex]=83)*(T_PlannedOrders[EffectiveQty]&gt;0)*T_PlannedOrders[Order_Month])),"m月")&amp;"発注)")</f>
        <v/>
      </c>
      <c r="CI649">
        <f>IF(SUMIFS(T_PlannedOrders[EffectiveQty],T_PlannedOrders[Part Name],$A589,T_PlannedOrders[WeekIndex],84)=0,"",SUMIFS(T_PlannedOrders[EffectiveQty],T_PlannedOrders[Part Name],$A589,T_PlannedOrders[WeekIndex],84)&amp;" ("&amp;TEXT(SUMPRODUCT(MAX((T_PlannedOrders[Part Name]=$A589)*(T_PlannedOrders[WeekIndex]=84)*(T_PlannedOrders[EffectiveQty]&gt;0)*T_PlannedOrders[Order_Month])),"m月")&amp;"発注)")</f>
        <v/>
      </c>
      <c r="CJ649">
        <f>IF(SUMIFS(T_PlannedOrders[EffectiveQty],T_PlannedOrders[Part Name],$A589,T_PlannedOrders[WeekIndex],85)=0,"",SUMIFS(T_PlannedOrders[EffectiveQty],T_PlannedOrders[Part Name],$A589,T_PlannedOrders[WeekIndex],85)&amp;" ("&amp;TEXT(SUMPRODUCT(MAX((T_PlannedOrders[Part Name]=$A589)*(T_PlannedOrders[WeekIndex]=85)*(T_PlannedOrders[EffectiveQty]&gt;0)*T_PlannedOrders[Order_Month])),"m月")&amp;"発注)")</f>
        <v/>
      </c>
      <c r="CK649">
        <f>IF(SUMIFS(T_PlannedOrders[EffectiveQty],T_PlannedOrders[Part Name],$A589,T_PlannedOrders[WeekIndex],86)=0,"",SUMIFS(T_PlannedOrders[EffectiveQty],T_PlannedOrders[Part Name],$A589,T_PlannedOrders[WeekIndex],86)&amp;" ("&amp;TEXT(SUMPRODUCT(MAX((T_PlannedOrders[Part Name]=$A589)*(T_PlannedOrders[WeekIndex]=86)*(T_PlannedOrders[EffectiveQty]&gt;0)*T_PlannedOrders[Order_Month])),"m月")&amp;"発注)")</f>
        <v/>
      </c>
      <c r="CL649">
        <f>IF(SUMIFS(T_PlannedOrders[EffectiveQty],T_PlannedOrders[Part Name],$A589,T_PlannedOrders[WeekIndex],87)=0,"",SUMIFS(T_PlannedOrders[EffectiveQty],T_PlannedOrders[Part Name],$A589,T_PlannedOrders[WeekIndex],87)&amp;" ("&amp;TEXT(SUMPRODUCT(MAX((T_PlannedOrders[Part Name]=$A589)*(T_PlannedOrders[WeekIndex]=87)*(T_PlannedOrders[EffectiveQty]&gt;0)*T_PlannedOrders[Order_Month])),"m月")&amp;"発注)")</f>
        <v/>
      </c>
      <c r="CM649">
        <f>IF(SUMIFS(T_PlannedOrders[EffectiveQty],T_PlannedOrders[Part Name],$A589,T_PlannedOrders[WeekIndex],88)=0,"",SUMIFS(T_PlannedOrders[EffectiveQty],T_PlannedOrders[Part Name],$A589,T_PlannedOrders[WeekIndex],88)&amp;" ("&amp;TEXT(SUMPRODUCT(MAX((T_PlannedOrders[Part Name]=$A589)*(T_PlannedOrders[WeekIndex]=88)*(T_PlannedOrders[EffectiveQty]&gt;0)*T_PlannedOrders[Order_Month])),"m月")&amp;"発注)")</f>
        <v/>
      </c>
      <c r="CN649">
        <f>IF(SUMIFS(T_PlannedOrders[EffectiveQty],T_PlannedOrders[Part Name],$A589,T_PlannedOrders[WeekIndex],89)=0,"",SUMIFS(T_PlannedOrders[EffectiveQty],T_PlannedOrders[Part Name],$A589,T_PlannedOrders[WeekIndex],89)&amp;" ("&amp;TEXT(SUMPRODUCT(MAX((T_PlannedOrders[Part Name]=$A589)*(T_PlannedOrders[WeekIndex]=89)*(T_PlannedOrders[EffectiveQty]&gt;0)*T_PlannedOrders[Order_Month])),"m月")&amp;"発注)")</f>
        <v/>
      </c>
      <c r="CO649">
        <f>IF(SUMIFS(T_PlannedOrders[EffectiveQty],T_PlannedOrders[Part Name],$A589,T_PlannedOrders[WeekIndex],90)=0,"",SUMIFS(T_PlannedOrders[EffectiveQty],T_PlannedOrders[Part Name],$A589,T_PlannedOrders[WeekIndex],90)&amp;" ("&amp;TEXT(SUMPRODUCT(MAX((T_PlannedOrders[Part Name]=$A589)*(T_PlannedOrders[WeekIndex]=90)*(T_PlannedOrders[EffectiveQty]&gt;0)*T_PlannedOrders[Order_Month])),"m月")&amp;"発注)")</f>
        <v/>
      </c>
      <c r="CP649">
        <f>IF(SUMIFS(T_PlannedOrders[EffectiveQty],T_PlannedOrders[Part Name],$A589,T_PlannedOrders[WeekIndex],91)=0,"",SUMIFS(T_PlannedOrders[EffectiveQty],T_PlannedOrders[Part Name],$A589,T_PlannedOrders[WeekIndex],91)&amp;" ("&amp;TEXT(SUMPRODUCT(MAX((T_PlannedOrders[Part Name]=$A589)*(T_PlannedOrders[WeekIndex]=91)*(T_PlannedOrders[EffectiveQty]&gt;0)*T_PlannedOrders[Order_Month])),"m月")&amp;"発注)")</f>
        <v/>
      </c>
      <c r="CQ649">
        <f>IF(SUMIFS(T_PlannedOrders[EffectiveQty],T_PlannedOrders[Part Name],$A589,T_PlannedOrders[WeekIndex],92)=0,"",SUMIFS(T_PlannedOrders[EffectiveQty],T_PlannedOrders[Part Name],$A589,T_PlannedOrders[WeekIndex],92)&amp;" ("&amp;TEXT(SUMPRODUCT(MAX((T_PlannedOrders[Part Name]=$A589)*(T_PlannedOrders[WeekIndex]=92)*(T_PlannedOrders[EffectiveQty]&gt;0)*T_PlannedOrders[Order_Month])),"m月")&amp;"発注)")</f>
        <v/>
      </c>
      <c r="CR649">
        <f>IF(SUMIFS(T_PlannedOrders[EffectiveQty],T_PlannedOrders[Part Name],$A589,T_PlannedOrders[WeekIndex],93)=0,"",SUMIFS(T_PlannedOrders[EffectiveQty],T_PlannedOrders[Part Name],$A589,T_PlannedOrders[WeekIndex],93)&amp;" ("&amp;TEXT(SUMPRODUCT(MAX((T_PlannedOrders[Part Name]=$A589)*(T_PlannedOrders[WeekIndex]=93)*(T_PlannedOrders[EffectiveQty]&gt;0)*T_PlannedOrders[Order_Month])),"m月")&amp;"発注)")</f>
        <v/>
      </c>
      <c r="CS649">
        <f>IF(SUMIFS(T_PlannedOrders[EffectiveQty],T_PlannedOrders[Part Name],$A589,T_PlannedOrders[WeekIndex],94)=0,"",SUMIFS(T_PlannedOrders[EffectiveQty],T_PlannedOrders[Part Name],$A589,T_PlannedOrders[WeekIndex],94)&amp;" ("&amp;TEXT(SUMPRODUCT(MAX((T_PlannedOrders[Part Name]=$A589)*(T_PlannedOrders[WeekIndex]=94)*(T_PlannedOrders[EffectiveQty]&gt;0)*T_PlannedOrders[Order_Month])),"m月")&amp;"発注)")</f>
        <v/>
      </c>
      <c r="CT649">
        <f>IF(SUMIFS(T_PlannedOrders[EffectiveQty],T_PlannedOrders[Part Name],$A589,T_PlannedOrders[WeekIndex],95)=0,"",SUMIFS(T_PlannedOrders[EffectiveQty],T_PlannedOrders[Part Name],$A589,T_PlannedOrders[WeekIndex],95)&amp;" ("&amp;TEXT(SUMPRODUCT(MAX((T_PlannedOrders[Part Name]=$A589)*(T_PlannedOrders[WeekIndex]=95)*(T_PlannedOrders[EffectiveQty]&gt;0)*T_PlannedOrders[Order_Month])),"m月")&amp;"発注)")</f>
        <v/>
      </c>
      <c r="CU649">
        <f>IF(SUMIFS(T_PlannedOrders[EffectiveQty],T_PlannedOrders[Part Name],$A589,T_PlannedOrders[WeekIndex],96)=0,"",SUMIFS(T_PlannedOrders[EffectiveQty],T_PlannedOrders[Part Name],$A589,T_PlannedOrders[WeekIndex],96)&amp;" ("&amp;TEXT(SUMPRODUCT(MAX((T_PlannedOrders[Part Name]=$A589)*(T_PlannedOrders[WeekIndex]=96)*(T_PlannedOrders[EffectiveQty]&gt;0)*T_PlannedOrders[Order_Month])),"m月")&amp;"発注)")</f>
        <v/>
      </c>
      <c r="CV649">
        <f>IF(SUMIFS(T_PlannedOrders[EffectiveQty],T_PlannedOrders[Part Name],$A589,T_PlannedOrders[WeekIndex],97)=0,"",SUMIFS(T_PlannedOrders[EffectiveQty],T_PlannedOrders[Part Name],$A589,T_PlannedOrders[WeekIndex],97)&amp;" ("&amp;TEXT(SUMPRODUCT(MAX((T_PlannedOrders[Part Name]=$A589)*(T_PlannedOrders[WeekIndex]=97)*(T_PlannedOrders[EffectiveQty]&gt;0)*T_PlannedOrders[Order_Month])),"m月")&amp;"発注)")</f>
        <v/>
      </c>
      <c r="CW649">
        <f>IF(SUMIFS(T_PlannedOrders[EffectiveQty],T_PlannedOrders[Part Name],$A589,T_PlannedOrders[WeekIndex],98)=0,"",SUMIFS(T_PlannedOrders[EffectiveQty],T_PlannedOrders[Part Name],$A589,T_PlannedOrders[WeekIndex],98)&amp;" ("&amp;TEXT(SUMPRODUCT(MAX((T_PlannedOrders[Part Name]=$A589)*(T_PlannedOrders[WeekIndex]=98)*(T_PlannedOrders[EffectiveQty]&gt;0)*T_PlannedOrders[Order_Month])),"m月")&amp;"発注)")</f>
        <v/>
      </c>
      <c r="CX649">
        <f>IF(SUMIFS(T_PlannedOrders[EffectiveQty],T_PlannedOrders[Part Name],$A589,T_PlannedOrders[WeekIndex],99)=0,"",SUMIFS(T_PlannedOrders[EffectiveQty],T_PlannedOrders[Part Name],$A589,T_PlannedOrders[WeekIndex],99)&amp;" ("&amp;TEXT(SUMPRODUCT(MAX((T_PlannedOrders[Part Name]=$A589)*(T_PlannedOrders[WeekIndex]=99)*(T_PlannedOrders[EffectiveQty]&gt;0)*T_PlannedOrders[Order_Month])),"m月")&amp;"発注)")</f>
        <v/>
      </c>
      <c r="CY649">
        <f>IF(SUMIFS(T_PlannedOrders[EffectiveQty],T_PlannedOrders[Part Name],$A589,T_PlannedOrders[WeekIndex],100)=0,"",SUMIFS(T_PlannedOrders[EffectiveQty],T_PlannedOrders[Part Name],$A589,T_PlannedOrders[WeekIndex],100)&amp;" ("&amp;TEXT(SUMPRODUCT(MAX((T_PlannedOrders[Part Name]=$A589)*(T_PlannedOrders[WeekIndex]=100)*(T_PlannedOrders[EffectiveQty]&gt;0)*T_PlannedOrders[Order_Month])),"m月")&amp;"発注)")</f>
        <v/>
      </c>
      <c r="CZ649">
        <f>IF(SUMIFS(T_PlannedOrders[EffectiveQty],T_PlannedOrders[Part Name],$A589,T_PlannedOrders[WeekIndex],101)=0,"",SUMIFS(T_PlannedOrders[EffectiveQty],T_PlannedOrders[Part Name],$A589,T_PlannedOrders[WeekIndex],101)&amp;" ("&amp;TEXT(SUMPRODUCT(MAX((T_PlannedOrders[Part Name]=$A589)*(T_PlannedOrders[WeekIndex]=101)*(T_PlannedOrders[EffectiveQty]&gt;0)*T_PlannedOrders[Order_Month])),"m月")&amp;"発注)")</f>
        <v/>
      </c>
      <c r="DA649">
        <f>IF(SUMIFS(T_PlannedOrders[EffectiveQty],T_PlannedOrders[Part Name],$A589,T_PlannedOrders[WeekIndex],102)=0,"",SUMIFS(T_PlannedOrders[EffectiveQty],T_PlannedOrders[Part Name],$A589,T_PlannedOrders[WeekIndex],102)&amp;" ("&amp;TEXT(SUMPRODUCT(MAX((T_PlannedOrders[Part Name]=$A589)*(T_PlannedOrders[WeekIndex]=102)*(T_PlannedOrders[EffectiveQty]&gt;0)*T_PlannedOrders[Order_Month])),"m月")&amp;"発注)")</f>
        <v/>
      </c>
      <c r="DB649">
        <f>IF(SUMIFS(T_PlannedOrders[EffectiveQty],T_PlannedOrders[Part Name],$A589,T_PlannedOrders[WeekIndex],103)=0,"",SUMIFS(T_PlannedOrders[EffectiveQty],T_PlannedOrders[Part Name],$A589,T_PlannedOrders[WeekIndex],103)&amp;" ("&amp;TEXT(SUMPRODUCT(MAX((T_PlannedOrders[Part Name]=$A589)*(T_PlannedOrders[WeekIndex]=103)*(T_PlannedOrders[EffectiveQty]&gt;0)*T_PlannedOrders[Order_Month])),"m月")&amp;"発注)")</f>
        <v/>
      </c>
      <c r="DC649">
        <f>IF(SUMIFS(T_PlannedOrders[EffectiveQty],T_PlannedOrders[Part Name],$A589,T_PlannedOrders[WeekIndex],104)=0,"",SUMIFS(T_PlannedOrders[EffectiveQty],T_PlannedOrders[Part Name],$A589,T_PlannedOrders[WeekIndex],104)&amp;" ("&amp;TEXT(SUMPRODUCT(MAX((T_PlannedOrders[Part Name]=$A589)*(T_PlannedOrders[WeekIndex]=104)*(T_PlannedOrders[EffectiveQty]&gt;0)*T_PlannedOrders[Order_Month])),"m月")&amp;"発注)")</f>
        <v/>
      </c>
    </row>
    <row r="650">
      <c r="B650" s="9" t="inlineStr">
        <is>
          <t>合計在庫(週末時点,kg)</t>
        </is>
      </c>
      <c r="D650">
        <f>'Grid_Stock'!B22</f>
        <v/>
      </c>
      <c r="E650">
        <f>'Grid_Stock'!C22</f>
        <v/>
      </c>
      <c r="F650">
        <f>'Grid_Stock'!D22</f>
        <v/>
      </c>
      <c r="G650">
        <f>'Grid_Stock'!E22</f>
        <v/>
      </c>
      <c r="H650">
        <f>'Grid_Stock'!F22</f>
        <v/>
      </c>
      <c r="I650">
        <f>'Grid_Stock'!G22</f>
        <v/>
      </c>
      <c r="J650">
        <f>'Grid_Stock'!H22</f>
        <v/>
      </c>
      <c r="K650">
        <f>'Grid_Stock'!I22</f>
        <v/>
      </c>
      <c r="L650">
        <f>'Grid_Stock'!J22</f>
        <v/>
      </c>
      <c r="M650">
        <f>'Grid_Stock'!K22</f>
        <v/>
      </c>
      <c r="N650">
        <f>'Grid_Stock'!L22</f>
        <v/>
      </c>
      <c r="O650">
        <f>'Grid_Stock'!M22</f>
        <v/>
      </c>
      <c r="P650">
        <f>'Grid_Stock'!N22</f>
        <v/>
      </c>
      <c r="Q650">
        <f>'Grid_Stock'!O22</f>
        <v/>
      </c>
      <c r="R650">
        <f>'Grid_Stock'!P22</f>
        <v/>
      </c>
      <c r="S650">
        <f>'Grid_Stock'!Q22</f>
        <v/>
      </c>
      <c r="T650">
        <f>'Grid_Stock'!R22</f>
        <v/>
      </c>
      <c r="U650">
        <f>'Grid_Stock'!S22</f>
        <v/>
      </c>
      <c r="V650">
        <f>'Grid_Stock'!T22</f>
        <v/>
      </c>
      <c r="W650">
        <f>'Grid_Stock'!U22</f>
        <v/>
      </c>
      <c r="X650">
        <f>'Grid_Stock'!V22</f>
        <v/>
      </c>
      <c r="Y650">
        <f>'Grid_Stock'!W22</f>
        <v/>
      </c>
      <c r="Z650">
        <f>'Grid_Stock'!X22</f>
        <v/>
      </c>
      <c r="AA650">
        <f>'Grid_Stock'!Y22</f>
        <v/>
      </c>
      <c r="AB650">
        <f>'Grid_Stock'!Z22</f>
        <v/>
      </c>
      <c r="AC650">
        <f>'Grid_Stock'!AA22</f>
        <v/>
      </c>
      <c r="AD650">
        <f>'Grid_Stock'!AB22</f>
        <v/>
      </c>
      <c r="AE650">
        <f>'Grid_Stock'!AC22</f>
        <v/>
      </c>
      <c r="AF650">
        <f>'Grid_Stock'!AD22</f>
        <v/>
      </c>
      <c r="AG650">
        <f>'Grid_Stock'!AE22</f>
        <v/>
      </c>
      <c r="AH650">
        <f>'Grid_Stock'!AF22</f>
        <v/>
      </c>
      <c r="AI650">
        <f>'Grid_Stock'!AG22</f>
        <v/>
      </c>
      <c r="AJ650">
        <f>'Grid_Stock'!AH22</f>
        <v/>
      </c>
      <c r="AK650">
        <f>'Grid_Stock'!AI22</f>
        <v/>
      </c>
      <c r="AL650">
        <f>'Grid_Stock'!AJ22</f>
        <v/>
      </c>
      <c r="AM650">
        <f>'Grid_Stock'!AK22</f>
        <v/>
      </c>
      <c r="AN650">
        <f>'Grid_Stock'!AL22</f>
        <v/>
      </c>
      <c r="AO650">
        <f>'Grid_Stock'!AM22</f>
        <v/>
      </c>
      <c r="AP650">
        <f>'Grid_Stock'!AN22</f>
        <v/>
      </c>
      <c r="AQ650">
        <f>'Grid_Stock'!AO22</f>
        <v/>
      </c>
      <c r="AR650">
        <f>'Grid_Stock'!AP22</f>
        <v/>
      </c>
      <c r="AS650">
        <f>'Grid_Stock'!AQ22</f>
        <v/>
      </c>
      <c r="AT650">
        <f>'Grid_Stock'!AR22</f>
        <v/>
      </c>
      <c r="AU650">
        <f>'Grid_Stock'!AS22</f>
        <v/>
      </c>
      <c r="AV650">
        <f>'Grid_Stock'!AT22</f>
        <v/>
      </c>
      <c r="AW650">
        <f>'Grid_Stock'!AU22</f>
        <v/>
      </c>
      <c r="AX650">
        <f>'Grid_Stock'!AV22</f>
        <v/>
      </c>
      <c r="AY650">
        <f>'Grid_Stock'!AW22</f>
        <v/>
      </c>
      <c r="AZ650">
        <f>'Grid_Stock'!AX22</f>
        <v/>
      </c>
      <c r="BA650">
        <f>'Grid_Stock'!AY22</f>
        <v/>
      </c>
      <c r="BB650">
        <f>'Grid_Stock'!AZ22</f>
        <v/>
      </c>
      <c r="BC650">
        <f>'Grid_Stock'!BA22</f>
        <v/>
      </c>
      <c r="BD650">
        <f>'Grid_Stock'!BB22</f>
        <v/>
      </c>
      <c r="BE650">
        <f>'Grid_Stock'!BC22</f>
        <v/>
      </c>
      <c r="BF650">
        <f>'Grid_Stock'!BD22</f>
        <v/>
      </c>
      <c r="BG650">
        <f>'Grid_Stock'!BE22</f>
        <v/>
      </c>
      <c r="BH650">
        <f>'Grid_Stock'!BF22</f>
        <v/>
      </c>
      <c r="BI650">
        <f>'Grid_Stock'!BG22</f>
        <v/>
      </c>
      <c r="BJ650">
        <f>'Grid_Stock'!BH22</f>
        <v/>
      </c>
      <c r="BK650">
        <f>'Grid_Stock'!BI22</f>
        <v/>
      </c>
      <c r="BL650">
        <f>'Grid_Stock'!BJ22</f>
        <v/>
      </c>
      <c r="BM650">
        <f>'Grid_Stock'!BK22</f>
        <v/>
      </c>
      <c r="BN650">
        <f>'Grid_Stock'!BL22</f>
        <v/>
      </c>
      <c r="BO650">
        <f>'Grid_Stock'!BM22</f>
        <v/>
      </c>
      <c r="BP650">
        <f>'Grid_Stock'!BN22</f>
        <v/>
      </c>
      <c r="BQ650">
        <f>'Grid_Stock'!BO22</f>
        <v/>
      </c>
      <c r="BR650">
        <f>'Grid_Stock'!BP22</f>
        <v/>
      </c>
      <c r="BS650">
        <f>'Grid_Stock'!BQ22</f>
        <v/>
      </c>
      <c r="BT650">
        <f>'Grid_Stock'!BR22</f>
        <v/>
      </c>
      <c r="BU650">
        <f>'Grid_Stock'!BS22</f>
        <v/>
      </c>
      <c r="BV650">
        <f>'Grid_Stock'!BT22</f>
        <v/>
      </c>
      <c r="BW650">
        <f>'Grid_Stock'!BU22</f>
        <v/>
      </c>
      <c r="BX650">
        <f>'Grid_Stock'!BV22</f>
        <v/>
      </c>
      <c r="BY650">
        <f>'Grid_Stock'!BW22</f>
        <v/>
      </c>
      <c r="BZ650">
        <f>'Grid_Stock'!BX22</f>
        <v/>
      </c>
      <c r="CA650">
        <f>'Grid_Stock'!BY22</f>
        <v/>
      </c>
      <c r="CB650">
        <f>'Grid_Stock'!BZ22</f>
        <v/>
      </c>
      <c r="CC650">
        <f>'Grid_Stock'!CA22</f>
        <v/>
      </c>
      <c r="CD650">
        <f>'Grid_Stock'!CB22</f>
        <v/>
      </c>
      <c r="CE650">
        <f>'Grid_Stock'!CC22</f>
        <v/>
      </c>
      <c r="CF650">
        <f>'Grid_Stock'!CD22</f>
        <v/>
      </c>
      <c r="CG650">
        <f>'Grid_Stock'!CE22</f>
        <v/>
      </c>
      <c r="CH650">
        <f>'Grid_Stock'!CF22</f>
        <v/>
      </c>
      <c r="CI650">
        <f>'Grid_Stock'!CG22</f>
        <v/>
      </c>
      <c r="CJ650">
        <f>'Grid_Stock'!CH22</f>
        <v/>
      </c>
      <c r="CK650">
        <f>'Grid_Stock'!CI22</f>
        <v/>
      </c>
      <c r="CL650">
        <f>'Grid_Stock'!CJ22</f>
        <v/>
      </c>
      <c r="CM650">
        <f>'Grid_Stock'!CK22</f>
        <v/>
      </c>
      <c r="CN650">
        <f>'Grid_Stock'!CL22</f>
        <v/>
      </c>
      <c r="CO650">
        <f>'Grid_Stock'!CM22</f>
        <v/>
      </c>
      <c r="CP650">
        <f>'Grid_Stock'!CN22</f>
        <v/>
      </c>
      <c r="CQ650">
        <f>'Grid_Stock'!CO22</f>
        <v/>
      </c>
      <c r="CR650">
        <f>'Grid_Stock'!CP22</f>
        <v/>
      </c>
      <c r="CS650">
        <f>'Grid_Stock'!CQ22</f>
        <v/>
      </c>
      <c r="CT650">
        <f>'Grid_Stock'!CR22</f>
        <v/>
      </c>
      <c r="CU650">
        <f>'Grid_Stock'!CS22</f>
        <v/>
      </c>
      <c r="CV650">
        <f>'Grid_Stock'!CT22</f>
        <v/>
      </c>
      <c r="CW650">
        <f>'Grid_Stock'!CU22</f>
        <v/>
      </c>
      <c r="CX650">
        <f>'Grid_Stock'!CV22</f>
        <v/>
      </c>
      <c r="CY650">
        <f>'Grid_Stock'!CW22</f>
        <v/>
      </c>
      <c r="CZ650">
        <f>'Grid_Stock'!CX22</f>
        <v/>
      </c>
      <c r="DA650">
        <f>'Grid_Stock'!CY22</f>
        <v/>
      </c>
      <c r="DB650">
        <f>'Grid_Stock'!CZ22</f>
        <v/>
      </c>
      <c r="DC650">
        <f>'Grid_Stock'!DA22</f>
        <v/>
      </c>
    </row>
    <row r="651">
      <c r="B651" s="21" t="inlineStr">
        <is>
          <t>（発注の目安はDashboardの基準在庫[下限/上限]と色分けを参照）</t>
        </is>
      </c>
    </row>
    <row r="653">
      <c r="A653" s="19" t="inlineStr">
        <is>
          <t>CHEM-1660</t>
        </is>
      </c>
      <c r="B653" s="19" t="inlineStr">
        <is>
          <t>GW-3394</t>
        </is>
      </c>
      <c r="C653" s="20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/>
      <c r="Z653" s="19" t="n"/>
      <c r="AA653" s="19" t="n"/>
      <c r="AB653" s="19" t="n"/>
      <c r="AC653" s="19" t="n"/>
      <c r="AD653" s="19" t="n"/>
      <c r="AE653" s="19" t="n"/>
      <c r="AF653" s="19" t="n"/>
      <c r="AG653" s="19" t="n"/>
      <c r="AH653" s="19" t="n"/>
      <c r="AI653" s="19" t="n"/>
      <c r="AJ653" s="19" t="n"/>
      <c r="AK653" s="19" t="n"/>
      <c r="AL653" s="19" t="n"/>
      <c r="AM653" s="19" t="n"/>
      <c r="AN653" s="19" t="n"/>
      <c r="AO653" s="19" t="n"/>
      <c r="AP653" s="19" t="n"/>
      <c r="AQ653" s="19" t="n"/>
      <c r="AR653" s="19" t="n"/>
      <c r="AS653" s="19" t="n"/>
      <c r="AT653" s="19" t="n"/>
      <c r="AU653" s="19" t="n"/>
      <c r="AV653" s="19" t="n"/>
      <c r="AW653" s="19" t="n"/>
      <c r="AX653" s="19" t="n"/>
      <c r="AY653" s="19" t="n"/>
      <c r="AZ653" s="19" t="n"/>
      <c r="BA653" s="19" t="n"/>
      <c r="BB653" s="19" t="n"/>
      <c r="BC653" s="19" t="n"/>
      <c r="BD653" s="19" t="n"/>
      <c r="BE653" s="19" t="n"/>
      <c r="BF653" s="19" t="n"/>
      <c r="BG653" s="19" t="n"/>
      <c r="BH653" s="19" t="n"/>
      <c r="BI653" s="19" t="n"/>
      <c r="BJ653" s="19" t="n"/>
      <c r="BK653" s="19" t="n"/>
      <c r="BL653" s="19" t="n"/>
      <c r="BM653" s="19" t="n"/>
      <c r="BN653" s="19" t="n"/>
      <c r="BO653" s="19" t="n"/>
      <c r="BP653" s="19" t="n"/>
      <c r="BQ653" s="19" t="n"/>
      <c r="BR653" s="19" t="n"/>
      <c r="BS653" s="19" t="n"/>
      <c r="BT653" s="19" t="n"/>
      <c r="BU653" s="19" t="n"/>
      <c r="BV653" s="19" t="n"/>
      <c r="BW653" s="19" t="n"/>
      <c r="BX653" s="19" t="n"/>
      <c r="BY653" s="19" t="n"/>
      <c r="BZ653" s="19" t="n"/>
      <c r="CA653" s="19" t="n"/>
      <c r="CB653" s="19" t="n"/>
      <c r="CC653" s="19" t="n"/>
      <c r="CD653" s="19" t="n"/>
      <c r="CE653" s="19" t="n"/>
      <c r="CF653" s="19" t="n"/>
      <c r="CG653" s="19" t="n"/>
      <c r="CH653" s="19" t="n"/>
      <c r="CI653" s="19" t="n"/>
      <c r="CJ653" s="19" t="n"/>
      <c r="CK653" s="19" t="n"/>
      <c r="CL653" s="19" t="n"/>
      <c r="CM653" s="19" t="n"/>
      <c r="CN653" s="19" t="n"/>
      <c r="CO653" s="19" t="n"/>
      <c r="CP653" s="19" t="n"/>
      <c r="CQ653" s="19" t="n"/>
      <c r="CR653" s="19" t="n"/>
      <c r="CS653" s="19" t="n"/>
      <c r="CT653" s="19" t="n"/>
      <c r="CU653" s="19" t="n"/>
      <c r="CV653" s="19" t="n"/>
      <c r="CW653" s="19" t="n"/>
      <c r="CX653" s="19" t="n"/>
      <c r="CY653" s="19" t="n"/>
      <c r="CZ653" s="19" t="n"/>
      <c r="DA653" s="19" t="n"/>
      <c r="DB653" s="19" t="n"/>
      <c r="DC653" s="19" t="n"/>
    </row>
    <row r="654">
      <c r="B654" t="inlineStr">
        <is>
          <t>TSP-219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Name],$A653)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TSP-655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Name],$A653)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TSP-656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Name],$A653)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VSP-820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Name],$A653)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VSP-822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Name],$A653)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VSP-869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Name],$A653)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VSP-870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Name],$A653)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VSP-910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Name],$A653)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VSP-989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Name],$A653)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VSP-990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Name],$A653)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s="9" t="inlineStr">
        <is>
          <t>合計使用量(kg)/週</t>
        </is>
      </c>
      <c r="D674">
        <f>'Grid_Requirement'!B18</f>
        <v/>
      </c>
      <c r="E674">
        <f>'Grid_Requirement'!C18</f>
        <v/>
      </c>
      <c r="F674">
        <f>'Grid_Requirement'!D18</f>
        <v/>
      </c>
      <c r="G674">
        <f>'Grid_Requirement'!E18</f>
        <v/>
      </c>
      <c r="H674">
        <f>'Grid_Requirement'!F18</f>
        <v/>
      </c>
      <c r="I674">
        <f>'Grid_Requirement'!G18</f>
        <v/>
      </c>
      <c r="J674">
        <f>'Grid_Requirement'!H18</f>
        <v/>
      </c>
      <c r="K674">
        <f>'Grid_Requirement'!I18</f>
        <v/>
      </c>
      <c r="L674">
        <f>'Grid_Requirement'!J18</f>
        <v/>
      </c>
      <c r="M674">
        <f>'Grid_Requirement'!K18</f>
        <v/>
      </c>
      <c r="N674">
        <f>'Grid_Requirement'!L18</f>
        <v/>
      </c>
      <c r="O674">
        <f>'Grid_Requirement'!M18</f>
        <v/>
      </c>
      <c r="P674">
        <f>'Grid_Requirement'!N18</f>
        <v/>
      </c>
      <c r="Q674">
        <f>'Grid_Requirement'!O18</f>
        <v/>
      </c>
      <c r="R674">
        <f>'Grid_Requirement'!P18</f>
        <v/>
      </c>
      <c r="S674">
        <f>'Grid_Requirement'!Q18</f>
        <v/>
      </c>
      <c r="T674">
        <f>'Grid_Requirement'!R18</f>
        <v/>
      </c>
      <c r="U674">
        <f>'Grid_Requirement'!S18</f>
        <v/>
      </c>
      <c r="V674">
        <f>'Grid_Requirement'!T18</f>
        <v/>
      </c>
      <c r="W674">
        <f>'Grid_Requirement'!U18</f>
        <v/>
      </c>
      <c r="X674">
        <f>'Grid_Requirement'!V18</f>
        <v/>
      </c>
      <c r="Y674">
        <f>'Grid_Requirement'!W18</f>
        <v/>
      </c>
      <c r="Z674">
        <f>'Grid_Requirement'!X18</f>
        <v/>
      </c>
      <c r="AA674">
        <f>'Grid_Requirement'!Y18</f>
        <v/>
      </c>
      <c r="AB674">
        <f>'Grid_Requirement'!Z18</f>
        <v/>
      </c>
      <c r="AC674">
        <f>'Grid_Requirement'!AA18</f>
        <v/>
      </c>
      <c r="AD674">
        <f>'Grid_Requirement'!AB18</f>
        <v/>
      </c>
      <c r="AE674">
        <f>'Grid_Requirement'!AC18</f>
        <v/>
      </c>
      <c r="AF674">
        <f>'Grid_Requirement'!AD18</f>
        <v/>
      </c>
      <c r="AG674">
        <f>'Grid_Requirement'!AE18</f>
        <v/>
      </c>
      <c r="AH674">
        <f>'Grid_Requirement'!AF18</f>
        <v/>
      </c>
      <c r="AI674">
        <f>'Grid_Requirement'!AG18</f>
        <v/>
      </c>
      <c r="AJ674">
        <f>'Grid_Requirement'!AH18</f>
        <v/>
      </c>
      <c r="AK674">
        <f>'Grid_Requirement'!AI18</f>
        <v/>
      </c>
      <c r="AL674">
        <f>'Grid_Requirement'!AJ18</f>
        <v/>
      </c>
      <c r="AM674">
        <f>'Grid_Requirement'!AK18</f>
        <v/>
      </c>
      <c r="AN674">
        <f>'Grid_Requirement'!AL18</f>
        <v/>
      </c>
      <c r="AO674">
        <f>'Grid_Requirement'!AM18</f>
        <v/>
      </c>
      <c r="AP674">
        <f>'Grid_Requirement'!AN18</f>
        <v/>
      </c>
      <c r="AQ674">
        <f>'Grid_Requirement'!AO18</f>
        <v/>
      </c>
      <c r="AR674">
        <f>'Grid_Requirement'!AP18</f>
        <v/>
      </c>
      <c r="AS674">
        <f>'Grid_Requirement'!AQ18</f>
        <v/>
      </c>
      <c r="AT674">
        <f>'Grid_Requirement'!AR18</f>
        <v/>
      </c>
      <c r="AU674">
        <f>'Grid_Requirement'!AS18</f>
        <v/>
      </c>
      <c r="AV674">
        <f>'Grid_Requirement'!AT18</f>
        <v/>
      </c>
      <c r="AW674">
        <f>'Grid_Requirement'!AU18</f>
        <v/>
      </c>
      <c r="AX674">
        <f>'Grid_Requirement'!AV18</f>
        <v/>
      </c>
      <c r="AY674">
        <f>'Grid_Requirement'!AW18</f>
        <v/>
      </c>
      <c r="AZ674">
        <f>'Grid_Requirement'!AX18</f>
        <v/>
      </c>
      <c r="BA674">
        <f>'Grid_Requirement'!AY18</f>
        <v/>
      </c>
      <c r="BB674">
        <f>'Grid_Requirement'!AZ18</f>
        <v/>
      </c>
      <c r="BC674">
        <f>'Grid_Requirement'!BA18</f>
        <v/>
      </c>
      <c r="BD674">
        <f>'Grid_Requirement'!BB18</f>
        <v/>
      </c>
      <c r="BE674">
        <f>'Grid_Requirement'!BC18</f>
        <v/>
      </c>
      <c r="BF674">
        <f>'Grid_Requirement'!BD18</f>
        <v/>
      </c>
      <c r="BG674">
        <f>'Grid_Requirement'!BE18</f>
        <v/>
      </c>
      <c r="BH674">
        <f>'Grid_Requirement'!BF18</f>
        <v/>
      </c>
      <c r="BI674">
        <f>'Grid_Requirement'!BG18</f>
        <v/>
      </c>
      <c r="BJ674">
        <f>'Grid_Requirement'!BH18</f>
        <v/>
      </c>
      <c r="BK674">
        <f>'Grid_Requirement'!BI18</f>
        <v/>
      </c>
      <c r="BL674">
        <f>'Grid_Requirement'!BJ18</f>
        <v/>
      </c>
      <c r="BM674">
        <f>'Grid_Requirement'!BK18</f>
        <v/>
      </c>
      <c r="BN674">
        <f>'Grid_Requirement'!BL18</f>
        <v/>
      </c>
      <c r="BO674">
        <f>'Grid_Requirement'!BM18</f>
        <v/>
      </c>
      <c r="BP674">
        <f>'Grid_Requirement'!BN18</f>
        <v/>
      </c>
      <c r="BQ674">
        <f>'Grid_Requirement'!BO18</f>
        <v/>
      </c>
      <c r="BR674">
        <f>'Grid_Requirement'!BP18</f>
        <v/>
      </c>
      <c r="BS674">
        <f>'Grid_Requirement'!BQ18</f>
        <v/>
      </c>
      <c r="BT674">
        <f>'Grid_Requirement'!BR18</f>
        <v/>
      </c>
      <c r="BU674">
        <f>'Grid_Requirement'!BS18</f>
        <v/>
      </c>
      <c r="BV674">
        <f>'Grid_Requirement'!BT18</f>
        <v/>
      </c>
      <c r="BW674">
        <f>'Grid_Requirement'!BU18</f>
        <v/>
      </c>
      <c r="BX674">
        <f>'Grid_Requirement'!BV18</f>
        <v/>
      </c>
      <c r="BY674">
        <f>'Grid_Requirement'!BW18</f>
        <v/>
      </c>
      <c r="BZ674">
        <f>'Grid_Requirement'!BX18</f>
        <v/>
      </c>
      <c r="CA674">
        <f>'Grid_Requirement'!BY18</f>
        <v/>
      </c>
      <c r="CB674">
        <f>'Grid_Requirement'!BZ18</f>
        <v/>
      </c>
      <c r="CC674">
        <f>'Grid_Requirement'!CA18</f>
        <v/>
      </c>
      <c r="CD674">
        <f>'Grid_Requirement'!CB18</f>
        <v/>
      </c>
      <c r="CE674">
        <f>'Grid_Requirement'!CC18</f>
        <v/>
      </c>
      <c r="CF674">
        <f>'Grid_Requirement'!CD18</f>
        <v/>
      </c>
      <c r="CG674">
        <f>'Grid_Requirement'!CE18</f>
        <v/>
      </c>
      <c r="CH674">
        <f>'Grid_Requirement'!CF18</f>
        <v/>
      </c>
      <c r="CI674">
        <f>'Grid_Requirement'!CG18</f>
        <v/>
      </c>
      <c r="CJ674">
        <f>'Grid_Requirement'!CH18</f>
        <v/>
      </c>
      <c r="CK674">
        <f>'Grid_Requirement'!CI18</f>
        <v/>
      </c>
      <c r="CL674">
        <f>'Grid_Requirement'!CJ18</f>
        <v/>
      </c>
      <c r="CM674">
        <f>'Grid_Requirement'!CK18</f>
        <v/>
      </c>
      <c r="CN674">
        <f>'Grid_Requirement'!CL18</f>
        <v/>
      </c>
      <c r="CO674">
        <f>'Grid_Requirement'!CM18</f>
        <v/>
      </c>
      <c r="CP674">
        <f>'Grid_Requirement'!CN18</f>
        <v/>
      </c>
      <c r="CQ674">
        <f>'Grid_Requirement'!CO18</f>
        <v/>
      </c>
      <c r="CR674">
        <f>'Grid_Requirement'!CP18</f>
        <v/>
      </c>
      <c r="CS674">
        <f>'Grid_Requirement'!CQ18</f>
        <v/>
      </c>
      <c r="CT674">
        <f>'Grid_Requirement'!CR18</f>
        <v/>
      </c>
      <c r="CU674">
        <f>'Grid_Requirement'!CS18</f>
        <v/>
      </c>
      <c r="CV674">
        <f>'Grid_Requirement'!CT18</f>
        <v/>
      </c>
      <c r="CW674">
        <f>'Grid_Requirement'!CU18</f>
        <v/>
      </c>
      <c r="CX674">
        <f>'Grid_Requirement'!CV18</f>
        <v/>
      </c>
      <c r="CY674">
        <f>'Grid_Requirement'!CW18</f>
        <v/>
      </c>
      <c r="CZ674">
        <f>'Grid_Requirement'!CX18</f>
        <v/>
      </c>
      <c r="DA674">
        <f>'Grid_Requirement'!CY18</f>
        <v/>
      </c>
      <c r="DB674">
        <f>'Grid_Requirement'!CZ18</f>
        <v/>
      </c>
      <c r="DC674">
        <f>'Grid_Requirement'!DA18</f>
        <v/>
      </c>
    </row>
    <row r="675">
      <c r="B675" t="inlineStr">
        <is>
          <t>TTAF在庫(実績,kg)</t>
        </is>
      </c>
      <c r="D675">
        <f>'T_TTAFStock'!B22</f>
        <v/>
      </c>
      <c r="E675">
        <f>'T_TTAFStock'!C22</f>
        <v/>
      </c>
      <c r="F675">
        <f>'T_TTAFStock'!D22</f>
        <v/>
      </c>
      <c r="G675">
        <f>'T_TTAFStock'!E22</f>
        <v/>
      </c>
      <c r="H675">
        <f>'T_TTAFStock'!F22</f>
        <v/>
      </c>
      <c r="I675">
        <f>'T_TTAFStock'!G22</f>
        <v/>
      </c>
      <c r="J675">
        <f>'T_TTAFStock'!H22</f>
        <v/>
      </c>
      <c r="K675">
        <f>'T_TTAFStock'!I22</f>
        <v/>
      </c>
      <c r="L675">
        <f>'T_TTAFStock'!J22</f>
        <v/>
      </c>
      <c r="M675">
        <f>'T_TTAFStock'!K22</f>
        <v/>
      </c>
      <c r="N675">
        <f>'T_TTAFStock'!L22</f>
        <v/>
      </c>
      <c r="O675">
        <f>'T_TTAFStock'!M22</f>
        <v/>
      </c>
      <c r="P675">
        <f>'T_TTAFStock'!N22</f>
        <v/>
      </c>
      <c r="Q675">
        <f>'T_TTAFStock'!O22</f>
        <v/>
      </c>
      <c r="R675">
        <f>'T_TTAFStock'!P22</f>
        <v/>
      </c>
      <c r="S675">
        <f>'T_TTAFStock'!Q22</f>
        <v/>
      </c>
      <c r="T675">
        <f>'T_TTAFStock'!R22</f>
        <v/>
      </c>
      <c r="U675">
        <f>'T_TTAFStock'!S22</f>
        <v/>
      </c>
      <c r="V675">
        <f>'T_TTAFStock'!T22</f>
        <v/>
      </c>
      <c r="W675">
        <f>'T_TTAFStock'!U22</f>
        <v/>
      </c>
      <c r="X675">
        <f>'T_TTAFStock'!V22</f>
        <v/>
      </c>
      <c r="Y675">
        <f>'T_TTAFStock'!W22</f>
        <v/>
      </c>
      <c r="Z675">
        <f>'T_TTAFStock'!X22</f>
        <v/>
      </c>
      <c r="AA675">
        <f>'T_TTAFStock'!Y22</f>
        <v/>
      </c>
      <c r="AB675">
        <f>'T_TTAFStock'!Z22</f>
        <v/>
      </c>
      <c r="AC675">
        <f>'T_TTAFStock'!AA22</f>
        <v/>
      </c>
      <c r="AD675">
        <f>'T_TTAFStock'!AB22</f>
        <v/>
      </c>
      <c r="AE675">
        <f>'T_TTAFStock'!AC22</f>
        <v/>
      </c>
      <c r="AF675">
        <f>'T_TTAFStock'!AD22</f>
        <v/>
      </c>
      <c r="AG675">
        <f>'T_TTAFStock'!AE22</f>
        <v/>
      </c>
      <c r="AH675">
        <f>'T_TTAFStock'!AF22</f>
        <v/>
      </c>
      <c r="AI675">
        <f>'T_TTAFStock'!AG22</f>
        <v/>
      </c>
      <c r="AJ675">
        <f>'T_TTAFStock'!AH22</f>
        <v/>
      </c>
      <c r="AK675">
        <f>'T_TTAFStock'!AI22</f>
        <v/>
      </c>
      <c r="AL675">
        <f>'T_TTAFStock'!AJ22</f>
        <v/>
      </c>
      <c r="AM675">
        <f>'T_TTAFStock'!AK22</f>
        <v/>
      </c>
      <c r="AN675">
        <f>'T_TTAFStock'!AL22</f>
        <v/>
      </c>
      <c r="AO675">
        <f>'T_TTAFStock'!AM22</f>
        <v/>
      </c>
      <c r="AP675">
        <f>'T_TTAFStock'!AN22</f>
        <v/>
      </c>
      <c r="AQ675">
        <f>'T_TTAFStock'!AO22</f>
        <v/>
      </c>
      <c r="AR675">
        <f>'T_TTAFStock'!AP22</f>
        <v/>
      </c>
      <c r="AS675">
        <f>'T_TTAFStock'!AQ22</f>
        <v/>
      </c>
      <c r="AT675">
        <f>'T_TTAFStock'!AR22</f>
        <v/>
      </c>
      <c r="AU675">
        <f>'T_TTAFStock'!AS22</f>
        <v/>
      </c>
      <c r="AV675">
        <f>'T_TTAFStock'!AT22</f>
        <v/>
      </c>
      <c r="AW675">
        <f>'T_TTAFStock'!AU22</f>
        <v/>
      </c>
      <c r="AX675">
        <f>'T_TTAFStock'!AV22</f>
        <v/>
      </c>
      <c r="AY675">
        <f>'T_TTAFStock'!AW22</f>
        <v/>
      </c>
      <c r="AZ675">
        <f>'T_TTAFStock'!AX22</f>
        <v/>
      </c>
      <c r="BA675">
        <f>'T_TTAFStock'!AY22</f>
        <v/>
      </c>
      <c r="BB675">
        <f>'T_TTAFStock'!AZ22</f>
        <v/>
      </c>
      <c r="BC675">
        <f>'T_TTAFStock'!BA22</f>
        <v/>
      </c>
      <c r="BD675">
        <f>'T_TTAFStock'!BB22</f>
        <v/>
      </c>
      <c r="BE675">
        <f>'T_TTAFStock'!BC22</f>
        <v/>
      </c>
      <c r="BF675">
        <f>'T_TTAFStock'!BD22</f>
        <v/>
      </c>
      <c r="BG675">
        <f>'T_TTAFStock'!BE22</f>
        <v/>
      </c>
      <c r="BH675">
        <f>'T_TTAFStock'!BF22</f>
        <v/>
      </c>
      <c r="BI675">
        <f>'T_TTAFStock'!BG22</f>
        <v/>
      </c>
      <c r="BJ675">
        <f>'T_TTAFStock'!BH22</f>
        <v/>
      </c>
      <c r="BK675">
        <f>'T_TTAFStock'!BI22</f>
        <v/>
      </c>
      <c r="BL675">
        <f>'T_TTAFStock'!BJ22</f>
        <v/>
      </c>
      <c r="BM675">
        <f>'T_TTAFStock'!BK22</f>
        <v/>
      </c>
      <c r="BN675">
        <f>'T_TTAFStock'!BL22</f>
        <v/>
      </c>
      <c r="BO675">
        <f>'T_TTAFStock'!BM22</f>
        <v/>
      </c>
      <c r="BP675">
        <f>'T_TTAFStock'!BN22</f>
        <v/>
      </c>
      <c r="BQ675">
        <f>'T_TTAFStock'!BO22</f>
        <v/>
      </c>
      <c r="BR675">
        <f>'T_TTAFStock'!BP22</f>
        <v/>
      </c>
      <c r="BS675">
        <f>'T_TTAFStock'!BQ22</f>
        <v/>
      </c>
      <c r="BT675">
        <f>'T_TTAFStock'!BR22</f>
        <v/>
      </c>
      <c r="BU675">
        <f>'T_TTAFStock'!BS22</f>
        <v/>
      </c>
      <c r="BV675">
        <f>'T_TTAFStock'!BT22</f>
        <v/>
      </c>
      <c r="BW675">
        <f>'T_TTAFStock'!BU22</f>
        <v/>
      </c>
      <c r="BX675">
        <f>'T_TTAFStock'!BV22</f>
        <v/>
      </c>
      <c r="BY675">
        <f>'T_TTAFStock'!BW22</f>
        <v/>
      </c>
      <c r="BZ675">
        <f>'T_TTAFStock'!BX22</f>
        <v/>
      </c>
      <c r="CA675">
        <f>'T_TTAFStock'!BY22</f>
        <v/>
      </c>
      <c r="CB675">
        <f>'T_TTAFStock'!BZ22</f>
        <v/>
      </c>
      <c r="CC675">
        <f>'T_TTAFStock'!CA22</f>
        <v/>
      </c>
      <c r="CD675">
        <f>'T_TTAFStock'!CB22</f>
        <v/>
      </c>
      <c r="CE675">
        <f>'T_TTAFStock'!CC22</f>
        <v/>
      </c>
      <c r="CF675">
        <f>'T_TTAFStock'!CD22</f>
        <v/>
      </c>
      <c r="CG675">
        <f>'T_TTAFStock'!CE22</f>
        <v/>
      </c>
      <c r="CH675">
        <f>'T_TTAFStock'!CF22</f>
        <v/>
      </c>
      <c r="CI675">
        <f>'T_TTAFStock'!CG22</f>
        <v/>
      </c>
      <c r="CJ675">
        <f>'T_TTAFStock'!CH22</f>
        <v/>
      </c>
      <c r="CK675">
        <f>'T_TTAFStock'!CI22</f>
        <v/>
      </c>
      <c r="CL675">
        <f>'T_TTAFStock'!CJ22</f>
        <v/>
      </c>
      <c r="CM675">
        <f>'T_TTAFStock'!CK22</f>
        <v/>
      </c>
      <c r="CN675">
        <f>'T_TTAFStock'!CL22</f>
        <v/>
      </c>
      <c r="CO675">
        <f>'T_TTAFStock'!CM22</f>
        <v/>
      </c>
      <c r="CP675">
        <f>'T_TTAFStock'!CN22</f>
        <v/>
      </c>
      <c r="CQ675">
        <f>'T_TTAFStock'!CO22</f>
        <v/>
      </c>
      <c r="CR675">
        <f>'T_TTAFStock'!CP22</f>
        <v/>
      </c>
      <c r="CS675">
        <f>'T_TTAFStock'!CQ22</f>
        <v/>
      </c>
      <c r="CT675">
        <f>'T_TTAFStock'!CR22</f>
        <v/>
      </c>
      <c r="CU675">
        <f>'T_TTAFStock'!CS22</f>
        <v/>
      </c>
      <c r="CV675">
        <f>'T_TTAFStock'!CT22</f>
        <v/>
      </c>
      <c r="CW675">
        <f>'T_TTAFStock'!CU22</f>
        <v/>
      </c>
      <c r="CX675">
        <f>'T_TTAFStock'!CV22</f>
        <v/>
      </c>
      <c r="CY675">
        <f>'T_TTAFStock'!CW22</f>
        <v/>
      </c>
      <c r="CZ675">
        <f>'T_TTAFStock'!CX22</f>
        <v/>
      </c>
      <c r="DA675">
        <f>'T_TTAFStock'!CY22</f>
        <v/>
      </c>
      <c r="DB675">
        <f>'T_TTAFStock'!CZ22</f>
        <v/>
      </c>
      <c r="DC675">
        <f>'T_TTAFStock'!DA22</f>
        <v/>
      </c>
    </row>
    <row r="676">
      <c r="B676" t="inlineStr">
        <is>
          <t>自社在庫(実績,kg)</t>
        </is>
      </c>
      <c r="D676">
        <f>'T_SelfStock'!B22</f>
        <v/>
      </c>
      <c r="E676">
        <f>'T_SelfStock'!C22</f>
        <v/>
      </c>
      <c r="F676">
        <f>'T_SelfStock'!D22</f>
        <v/>
      </c>
      <c r="G676">
        <f>'T_SelfStock'!E22</f>
        <v/>
      </c>
      <c r="H676">
        <f>'T_SelfStock'!F22</f>
        <v/>
      </c>
      <c r="I676">
        <f>'T_SelfStock'!G22</f>
        <v/>
      </c>
      <c r="J676">
        <f>'T_SelfStock'!H22</f>
        <v/>
      </c>
      <c r="K676">
        <f>'T_SelfStock'!I22</f>
        <v/>
      </c>
      <c r="L676">
        <f>'T_SelfStock'!J22</f>
        <v/>
      </c>
      <c r="M676">
        <f>'T_SelfStock'!K22</f>
        <v/>
      </c>
      <c r="N676">
        <f>'T_SelfStock'!L22</f>
        <v/>
      </c>
      <c r="O676">
        <f>'T_SelfStock'!M22</f>
        <v/>
      </c>
      <c r="P676">
        <f>'T_SelfStock'!N22</f>
        <v/>
      </c>
      <c r="Q676">
        <f>'T_SelfStock'!O22</f>
        <v/>
      </c>
      <c r="R676">
        <f>'T_SelfStock'!P22</f>
        <v/>
      </c>
      <c r="S676">
        <f>'T_SelfStock'!Q22</f>
        <v/>
      </c>
      <c r="T676">
        <f>'T_SelfStock'!R22</f>
        <v/>
      </c>
      <c r="U676">
        <f>'T_SelfStock'!S22</f>
        <v/>
      </c>
      <c r="V676">
        <f>'T_SelfStock'!T22</f>
        <v/>
      </c>
      <c r="W676">
        <f>'T_SelfStock'!U22</f>
        <v/>
      </c>
      <c r="X676">
        <f>'T_SelfStock'!V22</f>
        <v/>
      </c>
      <c r="Y676">
        <f>'T_SelfStock'!W22</f>
        <v/>
      </c>
      <c r="Z676">
        <f>'T_SelfStock'!X22</f>
        <v/>
      </c>
      <c r="AA676">
        <f>'T_SelfStock'!Y22</f>
        <v/>
      </c>
      <c r="AB676">
        <f>'T_SelfStock'!Z22</f>
        <v/>
      </c>
      <c r="AC676">
        <f>'T_SelfStock'!AA22</f>
        <v/>
      </c>
      <c r="AD676">
        <f>'T_SelfStock'!AB22</f>
        <v/>
      </c>
      <c r="AE676">
        <f>'T_SelfStock'!AC22</f>
        <v/>
      </c>
      <c r="AF676">
        <f>'T_SelfStock'!AD22</f>
        <v/>
      </c>
      <c r="AG676">
        <f>'T_SelfStock'!AE22</f>
        <v/>
      </c>
      <c r="AH676">
        <f>'T_SelfStock'!AF22</f>
        <v/>
      </c>
      <c r="AI676">
        <f>'T_SelfStock'!AG22</f>
        <v/>
      </c>
      <c r="AJ676">
        <f>'T_SelfStock'!AH22</f>
        <v/>
      </c>
      <c r="AK676">
        <f>'T_SelfStock'!AI22</f>
        <v/>
      </c>
      <c r="AL676">
        <f>'T_SelfStock'!AJ22</f>
        <v/>
      </c>
      <c r="AM676">
        <f>'T_SelfStock'!AK22</f>
        <v/>
      </c>
      <c r="AN676">
        <f>'T_SelfStock'!AL22</f>
        <v/>
      </c>
      <c r="AO676">
        <f>'T_SelfStock'!AM22</f>
        <v/>
      </c>
      <c r="AP676">
        <f>'T_SelfStock'!AN22</f>
        <v/>
      </c>
      <c r="AQ676">
        <f>'T_SelfStock'!AO22</f>
        <v/>
      </c>
      <c r="AR676">
        <f>'T_SelfStock'!AP22</f>
        <v/>
      </c>
      <c r="AS676">
        <f>'T_SelfStock'!AQ22</f>
        <v/>
      </c>
      <c r="AT676">
        <f>'T_SelfStock'!AR22</f>
        <v/>
      </c>
      <c r="AU676">
        <f>'T_SelfStock'!AS22</f>
        <v/>
      </c>
      <c r="AV676">
        <f>'T_SelfStock'!AT22</f>
        <v/>
      </c>
      <c r="AW676">
        <f>'T_SelfStock'!AU22</f>
        <v/>
      </c>
      <c r="AX676">
        <f>'T_SelfStock'!AV22</f>
        <v/>
      </c>
      <c r="AY676">
        <f>'T_SelfStock'!AW22</f>
        <v/>
      </c>
      <c r="AZ676">
        <f>'T_SelfStock'!AX22</f>
        <v/>
      </c>
      <c r="BA676">
        <f>'T_SelfStock'!AY22</f>
        <v/>
      </c>
      <c r="BB676">
        <f>'T_SelfStock'!AZ22</f>
        <v/>
      </c>
      <c r="BC676">
        <f>'T_SelfStock'!BA22</f>
        <v/>
      </c>
      <c r="BD676">
        <f>'T_SelfStock'!BB22</f>
        <v/>
      </c>
      <c r="BE676">
        <f>'T_SelfStock'!BC22</f>
        <v/>
      </c>
      <c r="BF676">
        <f>'T_SelfStock'!BD22</f>
        <v/>
      </c>
      <c r="BG676">
        <f>'T_SelfStock'!BE22</f>
        <v/>
      </c>
      <c r="BH676">
        <f>'T_SelfStock'!BF22</f>
        <v/>
      </c>
      <c r="BI676">
        <f>'T_SelfStock'!BG22</f>
        <v/>
      </c>
      <c r="BJ676">
        <f>'T_SelfStock'!BH22</f>
        <v/>
      </c>
      <c r="BK676">
        <f>'T_SelfStock'!BI22</f>
        <v/>
      </c>
      <c r="BL676">
        <f>'T_SelfStock'!BJ22</f>
        <v/>
      </c>
      <c r="BM676">
        <f>'T_SelfStock'!BK22</f>
        <v/>
      </c>
      <c r="BN676">
        <f>'T_SelfStock'!BL22</f>
        <v/>
      </c>
      <c r="BO676">
        <f>'T_SelfStock'!BM22</f>
        <v/>
      </c>
      <c r="BP676">
        <f>'T_SelfStock'!BN22</f>
        <v/>
      </c>
      <c r="BQ676">
        <f>'T_SelfStock'!BO22</f>
        <v/>
      </c>
      <c r="BR676">
        <f>'T_SelfStock'!BP22</f>
        <v/>
      </c>
      <c r="BS676">
        <f>'T_SelfStock'!BQ22</f>
        <v/>
      </c>
      <c r="BT676">
        <f>'T_SelfStock'!BR22</f>
        <v/>
      </c>
      <c r="BU676">
        <f>'T_SelfStock'!BS22</f>
        <v/>
      </c>
      <c r="BV676">
        <f>'T_SelfStock'!BT22</f>
        <v/>
      </c>
      <c r="BW676">
        <f>'T_SelfStock'!BU22</f>
        <v/>
      </c>
      <c r="BX676">
        <f>'T_SelfStock'!BV22</f>
        <v/>
      </c>
      <c r="BY676">
        <f>'T_SelfStock'!BW22</f>
        <v/>
      </c>
      <c r="BZ676">
        <f>'T_SelfStock'!BX22</f>
        <v/>
      </c>
      <c r="CA676">
        <f>'T_SelfStock'!BY22</f>
        <v/>
      </c>
      <c r="CB676">
        <f>'T_SelfStock'!BZ22</f>
        <v/>
      </c>
      <c r="CC676">
        <f>'T_SelfStock'!CA22</f>
        <v/>
      </c>
      <c r="CD676">
        <f>'T_SelfStock'!CB22</f>
        <v/>
      </c>
      <c r="CE676">
        <f>'T_SelfStock'!CC22</f>
        <v/>
      </c>
      <c r="CF676">
        <f>'T_SelfStock'!CD22</f>
        <v/>
      </c>
      <c r="CG676">
        <f>'T_SelfStock'!CE22</f>
        <v/>
      </c>
      <c r="CH676">
        <f>'T_SelfStock'!CF22</f>
        <v/>
      </c>
      <c r="CI676">
        <f>'T_SelfStock'!CG22</f>
        <v/>
      </c>
      <c r="CJ676">
        <f>'T_SelfStock'!CH22</f>
        <v/>
      </c>
      <c r="CK676">
        <f>'T_SelfStock'!CI22</f>
        <v/>
      </c>
      <c r="CL676">
        <f>'T_SelfStock'!CJ22</f>
        <v/>
      </c>
      <c r="CM676">
        <f>'T_SelfStock'!CK22</f>
        <v/>
      </c>
      <c r="CN676">
        <f>'T_SelfStock'!CL22</f>
        <v/>
      </c>
      <c r="CO676">
        <f>'T_SelfStock'!CM22</f>
        <v/>
      </c>
      <c r="CP676">
        <f>'T_SelfStock'!CN22</f>
        <v/>
      </c>
      <c r="CQ676">
        <f>'T_SelfStock'!CO22</f>
        <v/>
      </c>
      <c r="CR676">
        <f>'T_SelfStock'!CP22</f>
        <v/>
      </c>
      <c r="CS676">
        <f>'T_SelfStock'!CQ22</f>
        <v/>
      </c>
      <c r="CT676">
        <f>'T_SelfStock'!CR22</f>
        <v/>
      </c>
      <c r="CU676">
        <f>'T_SelfStock'!CS22</f>
        <v/>
      </c>
      <c r="CV676">
        <f>'T_SelfStock'!CT22</f>
        <v/>
      </c>
      <c r="CW676">
        <f>'T_SelfStock'!CU22</f>
        <v/>
      </c>
      <c r="CX676">
        <f>'T_SelfStock'!CV22</f>
        <v/>
      </c>
      <c r="CY676">
        <f>'T_SelfStock'!CW22</f>
        <v/>
      </c>
      <c r="CZ676">
        <f>'T_SelfStock'!CX22</f>
        <v/>
      </c>
      <c r="DA676">
        <f>'T_SelfStock'!CY22</f>
        <v/>
      </c>
      <c r="DB676">
        <f>'T_SelfStock'!CZ22</f>
        <v/>
      </c>
      <c r="DC676">
        <f>'T_SelfStock'!DA22</f>
        <v/>
      </c>
    </row>
    <row r="677">
      <c r="B677" t="inlineStr">
        <is>
          <t>Order(発注予定,kg)</t>
        </is>
      </c>
      <c r="D677">
        <f>IF(SUMIFS(T_PlannedOrders[EffectiveQty],T_PlannedOrders[Part Name],$A653,T_PlannedOrders[WeekIndex],1)=0,"",SUMIFS(T_PlannedOrders[EffectiveQty],T_PlannedOrders[Part Name],$A653,T_PlannedOrders[WeekIndex],1)&amp;" ("&amp;TEXT(SUMPRODUCT(MAX((T_PlannedOrders[Part Name]=$A653)*(T_PlannedOrders[WeekIndex]=1)*(T_PlannedOrders[EffectiveQty]&gt;0)*T_PlannedOrders[Order_Month])),"m月")&amp;"発注)")</f>
        <v/>
      </c>
      <c r="E677">
        <f>IF(SUMIFS(T_PlannedOrders[EffectiveQty],T_PlannedOrders[Part Name],$A653,T_PlannedOrders[WeekIndex],2)=0,"",SUMIFS(T_PlannedOrders[EffectiveQty],T_PlannedOrders[Part Name],$A653,T_PlannedOrders[WeekIndex],2)&amp;" ("&amp;TEXT(SUMPRODUCT(MAX((T_PlannedOrders[Part Name]=$A653)*(T_PlannedOrders[WeekIndex]=2)*(T_PlannedOrders[EffectiveQty]&gt;0)*T_PlannedOrders[Order_Month])),"m月")&amp;"発注)")</f>
        <v/>
      </c>
      <c r="F677">
        <f>IF(SUMIFS(T_PlannedOrders[EffectiveQty],T_PlannedOrders[Part Name],$A653,T_PlannedOrders[WeekIndex],3)=0,"",SUMIFS(T_PlannedOrders[EffectiveQty],T_PlannedOrders[Part Name],$A653,T_PlannedOrders[WeekIndex],3)&amp;" ("&amp;TEXT(SUMPRODUCT(MAX((T_PlannedOrders[Part Name]=$A653)*(T_PlannedOrders[WeekIndex]=3)*(T_PlannedOrders[EffectiveQty]&gt;0)*T_PlannedOrders[Order_Month])),"m月")&amp;"発注)")</f>
        <v/>
      </c>
      <c r="G677">
        <f>IF(SUMIFS(T_PlannedOrders[EffectiveQty],T_PlannedOrders[Part Name],$A653,T_PlannedOrders[WeekIndex],4)=0,"",SUMIFS(T_PlannedOrders[EffectiveQty],T_PlannedOrders[Part Name],$A653,T_PlannedOrders[WeekIndex],4)&amp;" ("&amp;TEXT(SUMPRODUCT(MAX((T_PlannedOrders[Part Name]=$A653)*(T_PlannedOrders[WeekIndex]=4)*(T_PlannedOrders[EffectiveQty]&gt;0)*T_PlannedOrders[Order_Month])),"m月")&amp;"発注)")</f>
        <v/>
      </c>
      <c r="H677">
        <f>IF(SUMIFS(T_PlannedOrders[EffectiveQty],T_PlannedOrders[Part Name],$A653,T_PlannedOrders[WeekIndex],5)=0,"",SUMIFS(T_PlannedOrders[EffectiveQty],T_PlannedOrders[Part Name],$A653,T_PlannedOrders[WeekIndex],5)&amp;" ("&amp;TEXT(SUMPRODUCT(MAX((T_PlannedOrders[Part Name]=$A653)*(T_PlannedOrders[WeekIndex]=5)*(T_PlannedOrders[EffectiveQty]&gt;0)*T_PlannedOrders[Order_Month])),"m月")&amp;"発注)")</f>
        <v/>
      </c>
      <c r="I677">
        <f>IF(SUMIFS(T_PlannedOrders[EffectiveQty],T_PlannedOrders[Part Name],$A653,T_PlannedOrders[WeekIndex],6)=0,"",SUMIFS(T_PlannedOrders[EffectiveQty],T_PlannedOrders[Part Name],$A653,T_PlannedOrders[WeekIndex],6)&amp;" ("&amp;TEXT(SUMPRODUCT(MAX((T_PlannedOrders[Part Name]=$A653)*(T_PlannedOrders[WeekIndex]=6)*(T_PlannedOrders[EffectiveQty]&gt;0)*T_PlannedOrders[Order_Month])),"m月")&amp;"発注)")</f>
        <v/>
      </c>
      <c r="J677">
        <f>IF(SUMIFS(T_PlannedOrders[EffectiveQty],T_PlannedOrders[Part Name],$A653,T_PlannedOrders[WeekIndex],7)=0,"",SUMIFS(T_PlannedOrders[EffectiveQty],T_PlannedOrders[Part Name],$A653,T_PlannedOrders[WeekIndex],7)&amp;" ("&amp;TEXT(SUMPRODUCT(MAX((T_PlannedOrders[Part Name]=$A653)*(T_PlannedOrders[WeekIndex]=7)*(T_PlannedOrders[EffectiveQty]&gt;0)*T_PlannedOrders[Order_Month])),"m月")&amp;"発注)")</f>
        <v/>
      </c>
      <c r="K677">
        <f>IF(SUMIFS(T_PlannedOrders[EffectiveQty],T_PlannedOrders[Part Name],$A653,T_PlannedOrders[WeekIndex],8)=0,"",SUMIFS(T_PlannedOrders[EffectiveQty],T_PlannedOrders[Part Name],$A653,T_PlannedOrders[WeekIndex],8)&amp;" ("&amp;TEXT(SUMPRODUCT(MAX((T_PlannedOrders[Part Name]=$A653)*(T_PlannedOrders[WeekIndex]=8)*(T_PlannedOrders[EffectiveQty]&gt;0)*T_PlannedOrders[Order_Month])),"m月")&amp;"発注)")</f>
        <v/>
      </c>
      <c r="L677">
        <f>IF(SUMIFS(T_PlannedOrders[EffectiveQty],T_PlannedOrders[Part Name],$A653,T_PlannedOrders[WeekIndex],9)=0,"",SUMIFS(T_PlannedOrders[EffectiveQty],T_PlannedOrders[Part Name],$A653,T_PlannedOrders[WeekIndex],9)&amp;" ("&amp;TEXT(SUMPRODUCT(MAX((T_PlannedOrders[Part Name]=$A653)*(T_PlannedOrders[WeekIndex]=9)*(T_PlannedOrders[EffectiveQty]&gt;0)*T_PlannedOrders[Order_Month])),"m月")&amp;"発注)")</f>
        <v/>
      </c>
      <c r="M677">
        <f>IF(SUMIFS(T_PlannedOrders[EffectiveQty],T_PlannedOrders[Part Name],$A653,T_PlannedOrders[WeekIndex],10)=0,"",SUMIFS(T_PlannedOrders[EffectiveQty],T_PlannedOrders[Part Name],$A653,T_PlannedOrders[WeekIndex],10)&amp;" ("&amp;TEXT(SUMPRODUCT(MAX((T_PlannedOrders[Part Name]=$A653)*(T_PlannedOrders[WeekIndex]=10)*(T_PlannedOrders[EffectiveQty]&gt;0)*T_PlannedOrders[Order_Month])),"m月")&amp;"発注)")</f>
        <v/>
      </c>
      <c r="N677">
        <f>IF(SUMIFS(T_PlannedOrders[EffectiveQty],T_PlannedOrders[Part Name],$A653,T_PlannedOrders[WeekIndex],11)=0,"",SUMIFS(T_PlannedOrders[EffectiveQty],T_PlannedOrders[Part Name],$A653,T_PlannedOrders[WeekIndex],11)&amp;" ("&amp;TEXT(SUMPRODUCT(MAX((T_PlannedOrders[Part Name]=$A653)*(T_PlannedOrders[WeekIndex]=11)*(T_PlannedOrders[EffectiveQty]&gt;0)*T_PlannedOrders[Order_Month])),"m月")&amp;"発注)")</f>
        <v/>
      </c>
      <c r="O677">
        <f>IF(SUMIFS(T_PlannedOrders[EffectiveQty],T_PlannedOrders[Part Name],$A653,T_PlannedOrders[WeekIndex],12)=0,"",SUMIFS(T_PlannedOrders[EffectiveQty],T_PlannedOrders[Part Name],$A653,T_PlannedOrders[WeekIndex],12)&amp;" ("&amp;TEXT(SUMPRODUCT(MAX((T_PlannedOrders[Part Name]=$A653)*(T_PlannedOrders[WeekIndex]=12)*(T_PlannedOrders[EffectiveQty]&gt;0)*T_PlannedOrders[Order_Month])),"m月")&amp;"発注)")</f>
        <v/>
      </c>
      <c r="P677">
        <f>IF(SUMIFS(T_PlannedOrders[EffectiveQty],T_PlannedOrders[Part Name],$A653,T_PlannedOrders[WeekIndex],13)=0,"",SUMIFS(T_PlannedOrders[EffectiveQty],T_PlannedOrders[Part Name],$A653,T_PlannedOrders[WeekIndex],13)&amp;" ("&amp;TEXT(SUMPRODUCT(MAX((T_PlannedOrders[Part Name]=$A653)*(T_PlannedOrders[WeekIndex]=13)*(T_PlannedOrders[EffectiveQty]&gt;0)*T_PlannedOrders[Order_Month])),"m月")&amp;"発注)")</f>
        <v/>
      </c>
      <c r="Q677">
        <f>IF(SUMIFS(T_PlannedOrders[EffectiveQty],T_PlannedOrders[Part Name],$A653,T_PlannedOrders[WeekIndex],14)=0,"",SUMIFS(T_PlannedOrders[EffectiveQty],T_PlannedOrders[Part Name],$A653,T_PlannedOrders[WeekIndex],14)&amp;" ("&amp;TEXT(SUMPRODUCT(MAX((T_PlannedOrders[Part Name]=$A653)*(T_PlannedOrders[WeekIndex]=14)*(T_PlannedOrders[EffectiveQty]&gt;0)*T_PlannedOrders[Order_Month])),"m月")&amp;"発注)")</f>
        <v/>
      </c>
      <c r="R677">
        <f>IF(SUMIFS(T_PlannedOrders[EffectiveQty],T_PlannedOrders[Part Name],$A653,T_PlannedOrders[WeekIndex],15)=0,"",SUMIFS(T_PlannedOrders[EffectiveQty],T_PlannedOrders[Part Name],$A653,T_PlannedOrders[WeekIndex],15)&amp;" ("&amp;TEXT(SUMPRODUCT(MAX((T_PlannedOrders[Part Name]=$A653)*(T_PlannedOrders[WeekIndex]=15)*(T_PlannedOrders[EffectiveQty]&gt;0)*T_PlannedOrders[Order_Month])),"m月")&amp;"発注)")</f>
        <v/>
      </c>
      <c r="S677">
        <f>IF(SUMIFS(T_PlannedOrders[EffectiveQty],T_PlannedOrders[Part Name],$A653,T_PlannedOrders[WeekIndex],16)=0,"",SUMIFS(T_PlannedOrders[EffectiveQty],T_PlannedOrders[Part Name],$A653,T_PlannedOrders[WeekIndex],16)&amp;" ("&amp;TEXT(SUMPRODUCT(MAX((T_PlannedOrders[Part Name]=$A653)*(T_PlannedOrders[WeekIndex]=16)*(T_PlannedOrders[EffectiveQty]&gt;0)*T_PlannedOrders[Order_Month])),"m月")&amp;"発注)")</f>
        <v/>
      </c>
      <c r="T677">
        <f>IF(SUMIFS(T_PlannedOrders[EffectiveQty],T_PlannedOrders[Part Name],$A653,T_PlannedOrders[WeekIndex],17)=0,"",SUMIFS(T_PlannedOrders[EffectiveQty],T_PlannedOrders[Part Name],$A653,T_PlannedOrders[WeekIndex],17)&amp;" ("&amp;TEXT(SUMPRODUCT(MAX((T_PlannedOrders[Part Name]=$A653)*(T_PlannedOrders[WeekIndex]=17)*(T_PlannedOrders[EffectiveQty]&gt;0)*T_PlannedOrders[Order_Month])),"m月")&amp;"発注)")</f>
        <v/>
      </c>
      <c r="U677">
        <f>IF(SUMIFS(T_PlannedOrders[EffectiveQty],T_PlannedOrders[Part Name],$A653,T_PlannedOrders[WeekIndex],18)=0,"",SUMIFS(T_PlannedOrders[EffectiveQty],T_PlannedOrders[Part Name],$A653,T_PlannedOrders[WeekIndex],18)&amp;" ("&amp;TEXT(SUMPRODUCT(MAX((T_PlannedOrders[Part Name]=$A653)*(T_PlannedOrders[WeekIndex]=18)*(T_PlannedOrders[EffectiveQty]&gt;0)*T_PlannedOrders[Order_Month])),"m月")&amp;"発注)")</f>
        <v/>
      </c>
      <c r="V677">
        <f>IF(SUMIFS(T_PlannedOrders[EffectiveQty],T_PlannedOrders[Part Name],$A653,T_PlannedOrders[WeekIndex],19)=0,"",SUMIFS(T_PlannedOrders[EffectiveQty],T_PlannedOrders[Part Name],$A653,T_PlannedOrders[WeekIndex],19)&amp;" ("&amp;TEXT(SUMPRODUCT(MAX((T_PlannedOrders[Part Name]=$A653)*(T_PlannedOrders[WeekIndex]=19)*(T_PlannedOrders[EffectiveQty]&gt;0)*T_PlannedOrders[Order_Month])),"m月")&amp;"発注)")</f>
        <v/>
      </c>
      <c r="W677">
        <f>IF(SUMIFS(T_PlannedOrders[EffectiveQty],T_PlannedOrders[Part Name],$A653,T_PlannedOrders[WeekIndex],20)=0,"",SUMIFS(T_PlannedOrders[EffectiveQty],T_PlannedOrders[Part Name],$A653,T_PlannedOrders[WeekIndex],20)&amp;" ("&amp;TEXT(SUMPRODUCT(MAX((T_PlannedOrders[Part Name]=$A653)*(T_PlannedOrders[WeekIndex]=20)*(T_PlannedOrders[EffectiveQty]&gt;0)*T_PlannedOrders[Order_Month])),"m月")&amp;"発注)")</f>
        <v/>
      </c>
      <c r="X677">
        <f>IF(SUMIFS(T_PlannedOrders[EffectiveQty],T_PlannedOrders[Part Name],$A653,T_PlannedOrders[WeekIndex],21)=0,"",SUMIFS(T_PlannedOrders[EffectiveQty],T_PlannedOrders[Part Name],$A653,T_PlannedOrders[WeekIndex],21)&amp;" ("&amp;TEXT(SUMPRODUCT(MAX((T_PlannedOrders[Part Name]=$A653)*(T_PlannedOrders[WeekIndex]=21)*(T_PlannedOrders[EffectiveQty]&gt;0)*T_PlannedOrders[Order_Month])),"m月")&amp;"発注)")</f>
        <v/>
      </c>
      <c r="Y677">
        <f>IF(SUMIFS(T_PlannedOrders[EffectiveQty],T_PlannedOrders[Part Name],$A653,T_PlannedOrders[WeekIndex],22)=0,"",SUMIFS(T_PlannedOrders[EffectiveQty],T_PlannedOrders[Part Name],$A653,T_PlannedOrders[WeekIndex],22)&amp;" ("&amp;TEXT(SUMPRODUCT(MAX((T_PlannedOrders[Part Name]=$A653)*(T_PlannedOrders[WeekIndex]=22)*(T_PlannedOrders[EffectiveQty]&gt;0)*T_PlannedOrders[Order_Month])),"m月")&amp;"発注)")</f>
        <v/>
      </c>
      <c r="Z677">
        <f>IF(SUMIFS(T_PlannedOrders[EffectiveQty],T_PlannedOrders[Part Name],$A653,T_PlannedOrders[WeekIndex],23)=0,"",SUMIFS(T_PlannedOrders[EffectiveQty],T_PlannedOrders[Part Name],$A653,T_PlannedOrders[WeekIndex],23)&amp;" ("&amp;TEXT(SUMPRODUCT(MAX((T_PlannedOrders[Part Name]=$A653)*(T_PlannedOrders[WeekIndex]=23)*(T_PlannedOrders[EffectiveQty]&gt;0)*T_PlannedOrders[Order_Month])),"m月")&amp;"発注)")</f>
        <v/>
      </c>
      <c r="AA677">
        <f>IF(SUMIFS(T_PlannedOrders[EffectiveQty],T_PlannedOrders[Part Name],$A653,T_PlannedOrders[WeekIndex],24)=0,"",SUMIFS(T_PlannedOrders[EffectiveQty],T_PlannedOrders[Part Name],$A653,T_PlannedOrders[WeekIndex],24)&amp;" ("&amp;TEXT(SUMPRODUCT(MAX((T_PlannedOrders[Part Name]=$A653)*(T_PlannedOrders[WeekIndex]=24)*(T_PlannedOrders[EffectiveQty]&gt;0)*T_PlannedOrders[Order_Month])),"m月")&amp;"発注)")</f>
        <v/>
      </c>
      <c r="AB677">
        <f>IF(SUMIFS(T_PlannedOrders[EffectiveQty],T_PlannedOrders[Part Name],$A653,T_PlannedOrders[WeekIndex],25)=0,"",SUMIFS(T_PlannedOrders[EffectiveQty],T_PlannedOrders[Part Name],$A653,T_PlannedOrders[WeekIndex],25)&amp;" ("&amp;TEXT(SUMPRODUCT(MAX((T_PlannedOrders[Part Name]=$A653)*(T_PlannedOrders[WeekIndex]=25)*(T_PlannedOrders[EffectiveQty]&gt;0)*T_PlannedOrders[Order_Month])),"m月")&amp;"発注)")</f>
        <v/>
      </c>
      <c r="AC677">
        <f>IF(SUMIFS(T_PlannedOrders[EffectiveQty],T_PlannedOrders[Part Name],$A653,T_PlannedOrders[WeekIndex],26)=0,"",SUMIFS(T_PlannedOrders[EffectiveQty],T_PlannedOrders[Part Name],$A653,T_PlannedOrders[WeekIndex],26)&amp;" ("&amp;TEXT(SUMPRODUCT(MAX((T_PlannedOrders[Part Name]=$A653)*(T_PlannedOrders[WeekIndex]=26)*(T_PlannedOrders[EffectiveQty]&gt;0)*T_PlannedOrders[Order_Month])),"m月")&amp;"発注)")</f>
        <v/>
      </c>
      <c r="AD677">
        <f>IF(SUMIFS(T_PlannedOrders[EffectiveQty],T_PlannedOrders[Part Name],$A653,T_PlannedOrders[WeekIndex],27)=0,"",SUMIFS(T_PlannedOrders[EffectiveQty],T_PlannedOrders[Part Name],$A653,T_PlannedOrders[WeekIndex],27)&amp;" ("&amp;TEXT(SUMPRODUCT(MAX((T_PlannedOrders[Part Name]=$A653)*(T_PlannedOrders[WeekIndex]=27)*(T_PlannedOrders[EffectiveQty]&gt;0)*T_PlannedOrders[Order_Month])),"m月")&amp;"発注)")</f>
        <v/>
      </c>
      <c r="AE677">
        <f>IF(SUMIFS(T_PlannedOrders[EffectiveQty],T_PlannedOrders[Part Name],$A653,T_PlannedOrders[WeekIndex],28)=0,"",SUMIFS(T_PlannedOrders[EffectiveQty],T_PlannedOrders[Part Name],$A653,T_PlannedOrders[WeekIndex],28)&amp;" ("&amp;TEXT(SUMPRODUCT(MAX((T_PlannedOrders[Part Name]=$A653)*(T_PlannedOrders[WeekIndex]=28)*(T_PlannedOrders[EffectiveQty]&gt;0)*T_PlannedOrders[Order_Month])),"m月")&amp;"発注)")</f>
        <v/>
      </c>
      <c r="AF677">
        <f>IF(SUMIFS(T_PlannedOrders[EffectiveQty],T_PlannedOrders[Part Name],$A653,T_PlannedOrders[WeekIndex],29)=0,"",SUMIFS(T_PlannedOrders[EffectiveQty],T_PlannedOrders[Part Name],$A653,T_PlannedOrders[WeekIndex],29)&amp;" ("&amp;TEXT(SUMPRODUCT(MAX((T_PlannedOrders[Part Name]=$A653)*(T_PlannedOrders[WeekIndex]=29)*(T_PlannedOrders[EffectiveQty]&gt;0)*T_PlannedOrders[Order_Month])),"m月")&amp;"発注)")</f>
        <v/>
      </c>
      <c r="AG677">
        <f>IF(SUMIFS(T_PlannedOrders[EffectiveQty],T_PlannedOrders[Part Name],$A653,T_PlannedOrders[WeekIndex],30)=0,"",SUMIFS(T_PlannedOrders[EffectiveQty],T_PlannedOrders[Part Name],$A653,T_PlannedOrders[WeekIndex],30)&amp;" ("&amp;TEXT(SUMPRODUCT(MAX((T_PlannedOrders[Part Name]=$A653)*(T_PlannedOrders[WeekIndex]=30)*(T_PlannedOrders[EffectiveQty]&gt;0)*T_PlannedOrders[Order_Month])),"m月")&amp;"発注)")</f>
        <v/>
      </c>
      <c r="AH677">
        <f>IF(SUMIFS(T_PlannedOrders[EffectiveQty],T_PlannedOrders[Part Name],$A653,T_PlannedOrders[WeekIndex],31)=0,"",SUMIFS(T_PlannedOrders[EffectiveQty],T_PlannedOrders[Part Name],$A653,T_PlannedOrders[WeekIndex],31)&amp;" ("&amp;TEXT(SUMPRODUCT(MAX((T_PlannedOrders[Part Name]=$A653)*(T_PlannedOrders[WeekIndex]=31)*(T_PlannedOrders[EffectiveQty]&gt;0)*T_PlannedOrders[Order_Month])),"m月")&amp;"発注)")</f>
        <v/>
      </c>
      <c r="AI677">
        <f>IF(SUMIFS(T_PlannedOrders[EffectiveQty],T_PlannedOrders[Part Name],$A653,T_PlannedOrders[WeekIndex],32)=0,"",SUMIFS(T_PlannedOrders[EffectiveQty],T_PlannedOrders[Part Name],$A653,T_PlannedOrders[WeekIndex],32)&amp;" ("&amp;TEXT(SUMPRODUCT(MAX((T_PlannedOrders[Part Name]=$A653)*(T_PlannedOrders[WeekIndex]=32)*(T_PlannedOrders[EffectiveQty]&gt;0)*T_PlannedOrders[Order_Month])),"m月")&amp;"発注)")</f>
        <v/>
      </c>
      <c r="AJ677">
        <f>IF(SUMIFS(T_PlannedOrders[EffectiveQty],T_PlannedOrders[Part Name],$A653,T_PlannedOrders[WeekIndex],33)=0,"",SUMIFS(T_PlannedOrders[EffectiveQty],T_PlannedOrders[Part Name],$A653,T_PlannedOrders[WeekIndex],33)&amp;" ("&amp;TEXT(SUMPRODUCT(MAX((T_PlannedOrders[Part Name]=$A653)*(T_PlannedOrders[WeekIndex]=33)*(T_PlannedOrders[EffectiveQty]&gt;0)*T_PlannedOrders[Order_Month])),"m月")&amp;"発注)")</f>
        <v/>
      </c>
      <c r="AK677">
        <f>IF(SUMIFS(T_PlannedOrders[EffectiveQty],T_PlannedOrders[Part Name],$A653,T_PlannedOrders[WeekIndex],34)=0,"",SUMIFS(T_PlannedOrders[EffectiveQty],T_PlannedOrders[Part Name],$A653,T_PlannedOrders[WeekIndex],34)&amp;" ("&amp;TEXT(SUMPRODUCT(MAX((T_PlannedOrders[Part Name]=$A653)*(T_PlannedOrders[WeekIndex]=34)*(T_PlannedOrders[EffectiveQty]&gt;0)*T_PlannedOrders[Order_Month])),"m月")&amp;"発注)")</f>
        <v/>
      </c>
      <c r="AL677">
        <f>IF(SUMIFS(T_PlannedOrders[EffectiveQty],T_PlannedOrders[Part Name],$A653,T_PlannedOrders[WeekIndex],35)=0,"",SUMIFS(T_PlannedOrders[EffectiveQty],T_PlannedOrders[Part Name],$A653,T_PlannedOrders[WeekIndex],35)&amp;" ("&amp;TEXT(SUMPRODUCT(MAX((T_PlannedOrders[Part Name]=$A653)*(T_PlannedOrders[WeekIndex]=35)*(T_PlannedOrders[EffectiveQty]&gt;0)*T_PlannedOrders[Order_Month])),"m月")&amp;"発注)")</f>
        <v/>
      </c>
      <c r="AM677">
        <f>IF(SUMIFS(T_PlannedOrders[EffectiveQty],T_PlannedOrders[Part Name],$A653,T_PlannedOrders[WeekIndex],36)=0,"",SUMIFS(T_PlannedOrders[EffectiveQty],T_PlannedOrders[Part Name],$A653,T_PlannedOrders[WeekIndex],36)&amp;" ("&amp;TEXT(SUMPRODUCT(MAX((T_PlannedOrders[Part Name]=$A653)*(T_PlannedOrders[WeekIndex]=36)*(T_PlannedOrders[EffectiveQty]&gt;0)*T_PlannedOrders[Order_Month])),"m月")&amp;"発注)")</f>
        <v/>
      </c>
      <c r="AN677">
        <f>IF(SUMIFS(T_PlannedOrders[EffectiveQty],T_PlannedOrders[Part Name],$A653,T_PlannedOrders[WeekIndex],37)=0,"",SUMIFS(T_PlannedOrders[EffectiveQty],T_PlannedOrders[Part Name],$A653,T_PlannedOrders[WeekIndex],37)&amp;" ("&amp;TEXT(SUMPRODUCT(MAX((T_PlannedOrders[Part Name]=$A653)*(T_PlannedOrders[WeekIndex]=37)*(T_PlannedOrders[EffectiveQty]&gt;0)*T_PlannedOrders[Order_Month])),"m月")&amp;"発注)")</f>
        <v/>
      </c>
      <c r="AO677">
        <f>IF(SUMIFS(T_PlannedOrders[EffectiveQty],T_PlannedOrders[Part Name],$A653,T_PlannedOrders[WeekIndex],38)=0,"",SUMIFS(T_PlannedOrders[EffectiveQty],T_PlannedOrders[Part Name],$A653,T_PlannedOrders[WeekIndex],38)&amp;" ("&amp;TEXT(SUMPRODUCT(MAX((T_PlannedOrders[Part Name]=$A653)*(T_PlannedOrders[WeekIndex]=38)*(T_PlannedOrders[EffectiveQty]&gt;0)*T_PlannedOrders[Order_Month])),"m月")&amp;"発注)")</f>
        <v/>
      </c>
      <c r="AP677">
        <f>IF(SUMIFS(T_PlannedOrders[EffectiveQty],T_PlannedOrders[Part Name],$A653,T_PlannedOrders[WeekIndex],39)=0,"",SUMIFS(T_PlannedOrders[EffectiveQty],T_PlannedOrders[Part Name],$A653,T_PlannedOrders[WeekIndex],39)&amp;" ("&amp;TEXT(SUMPRODUCT(MAX((T_PlannedOrders[Part Name]=$A653)*(T_PlannedOrders[WeekIndex]=39)*(T_PlannedOrders[EffectiveQty]&gt;0)*T_PlannedOrders[Order_Month])),"m月")&amp;"発注)")</f>
        <v/>
      </c>
      <c r="AQ677">
        <f>IF(SUMIFS(T_PlannedOrders[EffectiveQty],T_PlannedOrders[Part Name],$A653,T_PlannedOrders[WeekIndex],40)=0,"",SUMIFS(T_PlannedOrders[EffectiveQty],T_PlannedOrders[Part Name],$A653,T_PlannedOrders[WeekIndex],40)&amp;" ("&amp;TEXT(SUMPRODUCT(MAX((T_PlannedOrders[Part Name]=$A653)*(T_PlannedOrders[WeekIndex]=40)*(T_PlannedOrders[EffectiveQty]&gt;0)*T_PlannedOrders[Order_Month])),"m月")&amp;"発注)")</f>
        <v/>
      </c>
      <c r="AR677">
        <f>IF(SUMIFS(T_PlannedOrders[EffectiveQty],T_PlannedOrders[Part Name],$A653,T_PlannedOrders[WeekIndex],41)=0,"",SUMIFS(T_PlannedOrders[EffectiveQty],T_PlannedOrders[Part Name],$A653,T_PlannedOrders[WeekIndex],41)&amp;" ("&amp;TEXT(SUMPRODUCT(MAX((T_PlannedOrders[Part Name]=$A653)*(T_PlannedOrders[WeekIndex]=41)*(T_PlannedOrders[EffectiveQty]&gt;0)*T_PlannedOrders[Order_Month])),"m月")&amp;"発注)")</f>
        <v/>
      </c>
      <c r="AS677">
        <f>IF(SUMIFS(T_PlannedOrders[EffectiveQty],T_PlannedOrders[Part Name],$A653,T_PlannedOrders[WeekIndex],42)=0,"",SUMIFS(T_PlannedOrders[EffectiveQty],T_PlannedOrders[Part Name],$A653,T_PlannedOrders[WeekIndex],42)&amp;" ("&amp;TEXT(SUMPRODUCT(MAX((T_PlannedOrders[Part Name]=$A653)*(T_PlannedOrders[WeekIndex]=42)*(T_PlannedOrders[EffectiveQty]&gt;0)*T_PlannedOrders[Order_Month])),"m月")&amp;"発注)")</f>
        <v/>
      </c>
      <c r="AT677">
        <f>IF(SUMIFS(T_PlannedOrders[EffectiveQty],T_PlannedOrders[Part Name],$A653,T_PlannedOrders[WeekIndex],43)=0,"",SUMIFS(T_PlannedOrders[EffectiveQty],T_PlannedOrders[Part Name],$A653,T_PlannedOrders[WeekIndex],43)&amp;" ("&amp;TEXT(SUMPRODUCT(MAX((T_PlannedOrders[Part Name]=$A653)*(T_PlannedOrders[WeekIndex]=43)*(T_PlannedOrders[EffectiveQty]&gt;0)*T_PlannedOrders[Order_Month])),"m月")&amp;"発注)")</f>
        <v/>
      </c>
      <c r="AU677">
        <f>IF(SUMIFS(T_PlannedOrders[EffectiveQty],T_PlannedOrders[Part Name],$A653,T_PlannedOrders[WeekIndex],44)=0,"",SUMIFS(T_PlannedOrders[EffectiveQty],T_PlannedOrders[Part Name],$A653,T_PlannedOrders[WeekIndex],44)&amp;" ("&amp;TEXT(SUMPRODUCT(MAX((T_PlannedOrders[Part Name]=$A653)*(T_PlannedOrders[WeekIndex]=44)*(T_PlannedOrders[EffectiveQty]&gt;0)*T_PlannedOrders[Order_Month])),"m月")&amp;"発注)")</f>
        <v/>
      </c>
      <c r="AV677">
        <f>IF(SUMIFS(T_PlannedOrders[EffectiveQty],T_PlannedOrders[Part Name],$A653,T_PlannedOrders[WeekIndex],45)=0,"",SUMIFS(T_PlannedOrders[EffectiveQty],T_PlannedOrders[Part Name],$A653,T_PlannedOrders[WeekIndex],45)&amp;" ("&amp;TEXT(SUMPRODUCT(MAX((T_PlannedOrders[Part Name]=$A653)*(T_PlannedOrders[WeekIndex]=45)*(T_PlannedOrders[EffectiveQty]&gt;0)*T_PlannedOrders[Order_Month])),"m月")&amp;"発注)")</f>
        <v/>
      </c>
      <c r="AW677">
        <f>IF(SUMIFS(T_PlannedOrders[EffectiveQty],T_PlannedOrders[Part Name],$A653,T_PlannedOrders[WeekIndex],46)=0,"",SUMIFS(T_PlannedOrders[EffectiveQty],T_PlannedOrders[Part Name],$A653,T_PlannedOrders[WeekIndex],46)&amp;" ("&amp;TEXT(SUMPRODUCT(MAX((T_PlannedOrders[Part Name]=$A653)*(T_PlannedOrders[WeekIndex]=46)*(T_PlannedOrders[EffectiveQty]&gt;0)*T_PlannedOrders[Order_Month])),"m月")&amp;"発注)")</f>
        <v/>
      </c>
      <c r="AX677">
        <f>IF(SUMIFS(T_PlannedOrders[EffectiveQty],T_PlannedOrders[Part Name],$A653,T_PlannedOrders[WeekIndex],47)=0,"",SUMIFS(T_PlannedOrders[EffectiveQty],T_PlannedOrders[Part Name],$A653,T_PlannedOrders[WeekIndex],47)&amp;" ("&amp;TEXT(SUMPRODUCT(MAX((T_PlannedOrders[Part Name]=$A653)*(T_PlannedOrders[WeekIndex]=47)*(T_PlannedOrders[EffectiveQty]&gt;0)*T_PlannedOrders[Order_Month])),"m月")&amp;"発注)")</f>
        <v/>
      </c>
      <c r="AY677">
        <f>IF(SUMIFS(T_PlannedOrders[EffectiveQty],T_PlannedOrders[Part Name],$A653,T_PlannedOrders[WeekIndex],48)=0,"",SUMIFS(T_PlannedOrders[EffectiveQty],T_PlannedOrders[Part Name],$A653,T_PlannedOrders[WeekIndex],48)&amp;" ("&amp;TEXT(SUMPRODUCT(MAX((T_PlannedOrders[Part Name]=$A653)*(T_PlannedOrders[WeekIndex]=48)*(T_PlannedOrders[EffectiveQty]&gt;0)*T_PlannedOrders[Order_Month])),"m月")&amp;"発注)")</f>
        <v/>
      </c>
      <c r="AZ677">
        <f>IF(SUMIFS(T_PlannedOrders[EffectiveQty],T_PlannedOrders[Part Name],$A653,T_PlannedOrders[WeekIndex],49)=0,"",SUMIFS(T_PlannedOrders[EffectiveQty],T_PlannedOrders[Part Name],$A653,T_PlannedOrders[WeekIndex],49)&amp;" ("&amp;TEXT(SUMPRODUCT(MAX((T_PlannedOrders[Part Name]=$A653)*(T_PlannedOrders[WeekIndex]=49)*(T_PlannedOrders[EffectiveQty]&gt;0)*T_PlannedOrders[Order_Month])),"m月")&amp;"発注)")</f>
        <v/>
      </c>
      <c r="BA677">
        <f>IF(SUMIFS(T_PlannedOrders[EffectiveQty],T_PlannedOrders[Part Name],$A653,T_PlannedOrders[WeekIndex],50)=0,"",SUMIFS(T_PlannedOrders[EffectiveQty],T_PlannedOrders[Part Name],$A653,T_PlannedOrders[WeekIndex],50)&amp;" ("&amp;TEXT(SUMPRODUCT(MAX((T_PlannedOrders[Part Name]=$A653)*(T_PlannedOrders[WeekIndex]=50)*(T_PlannedOrders[EffectiveQty]&gt;0)*T_PlannedOrders[Order_Month])),"m月")&amp;"発注)")</f>
        <v/>
      </c>
      <c r="BB677">
        <f>IF(SUMIFS(T_PlannedOrders[EffectiveQty],T_PlannedOrders[Part Name],$A653,T_PlannedOrders[WeekIndex],51)=0,"",SUMIFS(T_PlannedOrders[EffectiveQty],T_PlannedOrders[Part Name],$A653,T_PlannedOrders[WeekIndex],51)&amp;" ("&amp;TEXT(SUMPRODUCT(MAX((T_PlannedOrders[Part Name]=$A653)*(T_PlannedOrders[WeekIndex]=51)*(T_PlannedOrders[EffectiveQty]&gt;0)*T_PlannedOrders[Order_Month])),"m月")&amp;"発注)")</f>
        <v/>
      </c>
      <c r="BC677">
        <f>IF(SUMIFS(T_PlannedOrders[EffectiveQty],T_PlannedOrders[Part Name],$A653,T_PlannedOrders[WeekIndex],52)=0,"",SUMIFS(T_PlannedOrders[EffectiveQty],T_PlannedOrders[Part Name],$A653,T_PlannedOrders[WeekIndex],52)&amp;" ("&amp;TEXT(SUMPRODUCT(MAX((T_PlannedOrders[Part Name]=$A653)*(T_PlannedOrders[WeekIndex]=52)*(T_PlannedOrders[EffectiveQty]&gt;0)*T_PlannedOrders[Order_Month])),"m月")&amp;"発注)")</f>
        <v/>
      </c>
      <c r="BD677">
        <f>IF(SUMIFS(T_PlannedOrders[EffectiveQty],T_PlannedOrders[Part Name],$A653,T_PlannedOrders[WeekIndex],53)=0,"",SUMIFS(T_PlannedOrders[EffectiveQty],T_PlannedOrders[Part Name],$A653,T_PlannedOrders[WeekIndex],53)&amp;" ("&amp;TEXT(SUMPRODUCT(MAX((T_PlannedOrders[Part Name]=$A653)*(T_PlannedOrders[WeekIndex]=53)*(T_PlannedOrders[EffectiveQty]&gt;0)*T_PlannedOrders[Order_Month])),"m月")&amp;"発注)")</f>
        <v/>
      </c>
      <c r="BE677">
        <f>IF(SUMIFS(T_PlannedOrders[EffectiveQty],T_PlannedOrders[Part Name],$A653,T_PlannedOrders[WeekIndex],54)=0,"",SUMIFS(T_PlannedOrders[EffectiveQty],T_PlannedOrders[Part Name],$A653,T_PlannedOrders[WeekIndex],54)&amp;" ("&amp;TEXT(SUMPRODUCT(MAX((T_PlannedOrders[Part Name]=$A653)*(T_PlannedOrders[WeekIndex]=54)*(T_PlannedOrders[EffectiveQty]&gt;0)*T_PlannedOrders[Order_Month])),"m月")&amp;"発注)")</f>
        <v/>
      </c>
      <c r="BF677">
        <f>IF(SUMIFS(T_PlannedOrders[EffectiveQty],T_PlannedOrders[Part Name],$A653,T_PlannedOrders[WeekIndex],55)=0,"",SUMIFS(T_PlannedOrders[EffectiveQty],T_PlannedOrders[Part Name],$A653,T_PlannedOrders[WeekIndex],55)&amp;" ("&amp;TEXT(SUMPRODUCT(MAX((T_PlannedOrders[Part Name]=$A653)*(T_PlannedOrders[WeekIndex]=55)*(T_PlannedOrders[EffectiveQty]&gt;0)*T_PlannedOrders[Order_Month])),"m月")&amp;"発注)")</f>
        <v/>
      </c>
      <c r="BG677">
        <f>IF(SUMIFS(T_PlannedOrders[EffectiveQty],T_PlannedOrders[Part Name],$A653,T_PlannedOrders[WeekIndex],56)=0,"",SUMIFS(T_PlannedOrders[EffectiveQty],T_PlannedOrders[Part Name],$A653,T_PlannedOrders[WeekIndex],56)&amp;" ("&amp;TEXT(SUMPRODUCT(MAX((T_PlannedOrders[Part Name]=$A653)*(T_PlannedOrders[WeekIndex]=56)*(T_PlannedOrders[EffectiveQty]&gt;0)*T_PlannedOrders[Order_Month])),"m月")&amp;"発注)")</f>
        <v/>
      </c>
      <c r="BH677">
        <f>IF(SUMIFS(T_PlannedOrders[EffectiveQty],T_PlannedOrders[Part Name],$A653,T_PlannedOrders[WeekIndex],57)=0,"",SUMIFS(T_PlannedOrders[EffectiveQty],T_PlannedOrders[Part Name],$A653,T_PlannedOrders[WeekIndex],57)&amp;" ("&amp;TEXT(SUMPRODUCT(MAX((T_PlannedOrders[Part Name]=$A653)*(T_PlannedOrders[WeekIndex]=57)*(T_PlannedOrders[EffectiveQty]&gt;0)*T_PlannedOrders[Order_Month])),"m月")&amp;"発注)")</f>
        <v/>
      </c>
      <c r="BI677">
        <f>IF(SUMIFS(T_PlannedOrders[EffectiveQty],T_PlannedOrders[Part Name],$A653,T_PlannedOrders[WeekIndex],58)=0,"",SUMIFS(T_PlannedOrders[EffectiveQty],T_PlannedOrders[Part Name],$A653,T_PlannedOrders[WeekIndex],58)&amp;" ("&amp;TEXT(SUMPRODUCT(MAX((T_PlannedOrders[Part Name]=$A653)*(T_PlannedOrders[WeekIndex]=58)*(T_PlannedOrders[EffectiveQty]&gt;0)*T_PlannedOrders[Order_Month])),"m月")&amp;"発注)")</f>
        <v/>
      </c>
      <c r="BJ677">
        <f>IF(SUMIFS(T_PlannedOrders[EffectiveQty],T_PlannedOrders[Part Name],$A653,T_PlannedOrders[WeekIndex],59)=0,"",SUMIFS(T_PlannedOrders[EffectiveQty],T_PlannedOrders[Part Name],$A653,T_PlannedOrders[WeekIndex],59)&amp;" ("&amp;TEXT(SUMPRODUCT(MAX((T_PlannedOrders[Part Name]=$A653)*(T_PlannedOrders[WeekIndex]=59)*(T_PlannedOrders[EffectiveQty]&gt;0)*T_PlannedOrders[Order_Month])),"m月")&amp;"発注)")</f>
        <v/>
      </c>
      <c r="BK677">
        <f>IF(SUMIFS(T_PlannedOrders[EffectiveQty],T_PlannedOrders[Part Name],$A653,T_PlannedOrders[WeekIndex],60)=0,"",SUMIFS(T_PlannedOrders[EffectiveQty],T_PlannedOrders[Part Name],$A653,T_PlannedOrders[WeekIndex],60)&amp;" ("&amp;TEXT(SUMPRODUCT(MAX((T_PlannedOrders[Part Name]=$A653)*(T_PlannedOrders[WeekIndex]=60)*(T_PlannedOrders[EffectiveQty]&gt;0)*T_PlannedOrders[Order_Month])),"m月")&amp;"発注)")</f>
        <v/>
      </c>
      <c r="BL677">
        <f>IF(SUMIFS(T_PlannedOrders[EffectiveQty],T_PlannedOrders[Part Name],$A653,T_PlannedOrders[WeekIndex],61)=0,"",SUMIFS(T_PlannedOrders[EffectiveQty],T_PlannedOrders[Part Name],$A653,T_PlannedOrders[WeekIndex],61)&amp;" ("&amp;TEXT(SUMPRODUCT(MAX((T_PlannedOrders[Part Name]=$A653)*(T_PlannedOrders[WeekIndex]=61)*(T_PlannedOrders[EffectiveQty]&gt;0)*T_PlannedOrders[Order_Month])),"m月")&amp;"発注)")</f>
        <v/>
      </c>
      <c r="BM677">
        <f>IF(SUMIFS(T_PlannedOrders[EffectiveQty],T_PlannedOrders[Part Name],$A653,T_PlannedOrders[WeekIndex],62)=0,"",SUMIFS(T_PlannedOrders[EffectiveQty],T_PlannedOrders[Part Name],$A653,T_PlannedOrders[WeekIndex],62)&amp;" ("&amp;TEXT(SUMPRODUCT(MAX((T_PlannedOrders[Part Name]=$A653)*(T_PlannedOrders[WeekIndex]=62)*(T_PlannedOrders[EffectiveQty]&gt;0)*T_PlannedOrders[Order_Month])),"m月")&amp;"発注)")</f>
        <v/>
      </c>
      <c r="BN677">
        <f>IF(SUMIFS(T_PlannedOrders[EffectiveQty],T_PlannedOrders[Part Name],$A653,T_PlannedOrders[WeekIndex],63)=0,"",SUMIFS(T_PlannedOrders[EffectiveQty],T_PlannedOrders[Part Name],$A653,T_PlannedOrders[WeekIndex],63)&amp;" ("&amp;TEXT(SUMPRODUCT(MAX((T_PlannedOrders[Part Name]=$A653)*(T_PlannedOrders[WeekIndex]=63)*(T_PlannedOrders[EffectiveQty]&gt;0)*T_PlannedOrders[Order_Month])),"m月")&amp;"発注)")</f>
        <v/>
      </c>
      <c r="BO677">
        <f>IF(SUMIFS(T_PlannedOrders[EffectiveQty],T_PlannedOrders[Part Name],$A653,T_PlannedOrders[WeekIndex],64)=0,"",SUMIFS(T_PlannedOrders[EffectiveQty],T_PlannedOrders[Part Name],$A653,T_PlannedOrders[WeekIndex],64)&amp;" ("&amp;TEXT(SUMPRODUCT(MAX((T_PlannedOrders[Part Name]=$A653)*(T_PlannedOrders[WeekIndex]=64)*(T_PlannedOrders[EffectiveQty]&gt;0)*T_PlannedOrders[Order_Month])),"m月")&amp;"発注)")</f>
        <v/>
      </c>
      <c r="BP677">
        <f>IF(SUMIFS(T_PlannedOrders[EffectiveQty],T_PlannedOrders[Part Name],$A653,T_PlannedOrders[WeekIndex],65)=0,"",SUMIFS(T_PlannedOrders[EffectiveQty],T_PlannedOrders[Part Name],$A653,T_PlannedOrders[WeekIndex],65)&amp;" ("&amp;TEXT(SUMPRODUCT(MAX((T_PlannedOrders[Part Name]=$A653)*(T_PlannedOrders[WeekIndex]=65)*(T_PlannedOrders[EffectiveQty]&gt;0)*T_PlannedOrders[Order_Month])),"m月")&amp;"発注)")</f>
        <v/>
      </c>
      <c r="BQ677">
        <f>IF(SUMIFS(T_PlannedOrders[EffectiveQty],T_PlannedOrders[Part Name],$A653,T_PlannedOrders[WeekIndex],66)=0,"",SUMIFS(T_PlannedOrders[EffectiveQty],T_PlannedOrders[Part Name],$A653,T_PlannedOrders[WeekIndex],66)&amp;" ("&amp;TEXT(SUMPRODUCT(MAX((T_PlannedOrders[Part Name]=$A653)*(T_PlannedOrders[WeekIndex]=66)*(T_PlannedOrders[EffectiveQty]&gt;0)*T_PlannedOrders[Order_Month])),"m月")&amp;"発注)")</f>
        <v/>
      </c>
      <c r="BR677">
        <f>IF(SUMIFS(T_PlannedOrders[EffectiveQty],T_PlannedOrders[Part Name],$A653,T_PlannedOrders[WeekIndex],67)=0,"",SUMIFS(T_PlannedOrders[EffectiveQty],T_PlannedOrders[Part Name],$A653,T_PlannedOrders[WeekIndex],67)&amp;" ("&amp;TEXT(SUMPRODUCT(MAX((T_PlannedOrders[Part Name]=$A653)*(T_PlannedOrders[WeekIndex]=67)*(T_PlannedOrders[EffectiveQty]&gt;0)*T_PlannedOrders[Order_Month])),"m月")&amp;"発注)")</f>
        <v/>
      </c>
      <c r="BS677">
        <f>IF(SUMIFS(T_PlannedOrders[EffectiveQty],T_PlannedOrders[Part Name],$A653,T_PlannedOrders[WeekIndex],68)=0,"",SUMIFS(T_PlannedOrders[EffectiveQty],T_PlannedOrders[Part Name],$A653,T_PlannedOrders[WeekIndex],68)&amp;" ("&amp;TEXT(SUMPRODUCT(MAX((T_PlannedOrders[Part Name]=$A653)*(T_PlannedOrders[WeekIndex]=68)*(T_PlannedOrders[EffectiveQty]&gt;0)*T_PlannedOrders[Order_Month])),"m月")&amp;"発注)")</f>
        <v/>
      </c>
      <c r="BT677">
        <f>IF(SUMIFS(T_PlannedOrders[EffectiveQty],T_PlannedOrders[Part Name],$A653,T_PlannedOrders[WeekIndex],69)=0,"",SUMIFS(T_PlannedOrders[EffectiveQty],T_PlannedOrders[Part Name],$A653,T_PlannedOrders[WeekIndex],69)&amp;" ("&amp;TEXT(SUMPRODUCT(MAX((T_PlannedOrders[Part Name]=$A653)*(T_PlannedOrders[WeekIndex]=69)*(T_PlannedOrders[EffectiveQty]&gt;0)*T_PlannedOrders[Order_Month])),"m月")&amp;"発注)")</f>
        <v/>
      </c>
      <c r="BU677">
        <f>IF(SUMIFS(T_PlannedOrders[EffectiveQty],T_PlannedOrders[Part Name],$A653,T_PlannedOrders[WeekIndex],70)=0,"",SUMIFS(T_PlannedOrders[EffectiveQty],T_PlannedOrders[Part Name],$A653,T_PlannedOrders[WeekIndex],70)&amp;" ("&amp;TEXT(SUMPRODUCT(MAX((T_PlannedOrders[Part Name]=$A653)*(T_PlannedOrders[WeekIndex]=70)*(T_PlannedOrders[EffectiveQty]&gt;0)*T_PlannedOrders[Order_Month])),"m月")&amp;"発注)")</f>
        <v/>
      </c>
      <c r="BV677">
        <f>IF(SUMIFS(T_PlannedOrders[EffectiveQty],T_PlannedOrders[Part Name],$A653,T_PlannedOrders[WeekIndex],71)=0,"",SUMIFS(T_PlannedOrders[EffectiveQty],T_PlannedOrders[Part Name],$A653,T_PlannedOrders[WeekIndex],71)&amp;" ("&amp;TEXT(SUMPRODUCT(MAX((T_PlannedOrders[Part Name]=$A653)*(T_PlannedOrders[WeekIndex]=71)*(T_PlannedOrders[EffectiveQty]&gt;0)*T_PlannedOrders[Order_Month])),"m月")&amp;"発注)")</f>
        <v/>
      </c>
      <c r="BW677">
        <f>IF(SUMIFS(T_PlannedOrders[EffectiveQty],T_PlannedOrders[Part Name],$A653,T_PlannedOrders[WeekIndex],72)=0,"",SUMIFS(T_PlannedOrders[EffectiveQty],T_PlannedOrders[Part Name],$A653,T_PlannedOrders[WeekIndex],72)&amp;" ("&amp;TEXT(SUMPRODUCT(MAX((T_PlannedOrders[Part Name]=$A653)*(T_PlannedOrders[WeekIndex]=72)*(T_PlannedOrders[EffectiveQty]&gt;0)*T_PlannedOrders[Order_Month])),"m月")&amp;"発注)")</f>
        <v/>
      </c>
      <c r="BX677">
        <f>IF(SUMIFS(T_PlannedOrders[EffectiveQty],T_PlannedOrders[Part Name],$A653,T_PlannedOrders[WeekIndex],73)=0,"",SUMIFS(T_PlannedOrders[EffectiveQty],T_PlannedOrders[Part Name],$A653,T_PlannedOrders[WeekIndex],73)&amp;" ("&amp;TEXT(SUMPRODUCT(MAX((T_PlannedOrders[Part Name]=$A653)*(T_PlannedOrders[WeekIndex]=73)*(T_PlannedOrders[EffectiveQty]&gt;0)*T_PlannedOrders[Order_Month])),"m月")&amp;"発注)")</f>
        <v/>
      </c>
      <c r="BY677">
        <f>IF(SUMIFS(T_PlannedOrders[EffectiveQty],T_PlannedOrders[Part Name],$A653,T_PlannedOrders[WeekIndex],74)=0,"",SUMIFS(T_PlannedOrders[EffectiveQty],T_PlannedOrders[Part Name],$A653,T_PlannedOrders[WeekIndex],74)&amp;" ("&amp;TEXT(SUMPRODUCT(MAX((T_PlannedOrders[Part Name]=$A653)*(T_PlannedOrders[WeekIndex]=74)*(T_PlannedOrders[EffectiveQty]&gt;0)*T_PlannedOrders[Order_Month])),"m月")&amp;"発注)")</f>
        <v/>
      </c>
      <c r="BZ677">
        <f>IF(SUMIFS(T_PlannedOrders[EffectiveQty],T_PlannedOrders[Part Name],$A653,T_PlannedOrders[WeekIndex],75)=0,"",SUMIFS(T_PlannedOrders[EffectiveQty],T_PlannedOrders[Part Name],$A653,T_PlannedOrders[WeekIndex],75)&amp;" ("&amp;TEXT(SUMPRODUCT(MAX((T_PlannedOrders[Part Name]=$A653)*(T_PlannedOrders[WeekIndex]=75)*(T_PlannedOrders[EffectiveQty]&gt;0)*T_PlannedOrders[Order_Month])),"m月")&amp;"発注)")</f>
        <v/>
      </c>
      <c r="CA677">
        <f>IF(SUMIFS(T_PlannedOrders[EffectiveQty],T_PlannedOrders[Part Name],$A653,T_PlannedOrders[WeekIndex],76)=0,"",SUMIFS(T_PlannedOrders[EffectiveQty],T_PlannedOrders[Part Name],$A653,T_PlannedOrders[WeekIndex],76)&amp;" ("&amp;TEXT(SUMPRODUCT(MAX((T_PlannedOrders[Part Name]=$A653)*(T_PlannedOrders[WeekIndex]=76)*(T_PlannedOrders[EffectiveQty]&gt;0)*T_PlannedOrders[Order_Month])),"m月")&amp;"発注)")</f>
        <v/>
      </c>
      <c r="CB677">
        <f>IF(SUMIFS(T_PlannedOrders[EffectiveQty],T_PlannedOrders[Part Name],$A653,T_PlannedOrders[WeekIndex],77)=0,"",SUMIFS(T_PlannedOrders[EffectiveQty],T_PlannedOrders[Part Name],$A653,T_PlannedOrders[WeekIndex],77)&amp;" ("&amp;TEXT(SUMPRODUCT(MAX((T_PlannedOrders[Part Name]=$A653)*(T_PlannedOrders[WeekIndex]=77)*(T_PlannedOrders[EffectiveQty]&gt;0)*T_PlannedOrders[Order_Month])),"m月")&amp;"発注)")</f>
        <v/>
      </c>
      <c r="CC677">
        <f>IF(SUMIFS(T_PlannedOrders[EffectiveQty],T_PlannedOrders[Part Name],$A653,T_PlannedOrders[WeekIndex],78)=0,"",SUMIFS(T_PlannedOrders[EffectiveQty],T_PlannedOrders[Part Name],$A653,T_PlannedOrders[WeekIndex],78)&amp;" ("&amp;TEXT(SUMPRODUCT(MAX((T_PlannedOrders[Part Name]=$A653)*(T_PlannedOrders[WeekIndex]=78)*(T_PlannedOrders[EffectiveQty]&gt;0)*T_PlannedOrders[Order_Month])),"m月")&amp;"発注)")</f>
        <v/>
      </c>
      <c r="CD677">
        <f>IF(SUMIFS(T_PlannedOrders[EffectiveQty],T_PlannedOrders[Part Name],$A653,T_PlannedOrders[WeekIndex],79)=0,"",SUMIFS(T_PlannedOrders[EffectiveQty],T_PlannedOrders[Part Name],$A653,T_PlannedOrders[WeekIndex],79)&amp;" ("&amp;TEXT(SUMPRODUCT(MAX((T_PlannedOrders[Part Name]=$A653)*(T_PlannedOrders[WeekIndex]=79)*(T_PlannedOrders[EffectiveQty]&gt;0)*T_PlannedOrders[Order_Month])),"m月")&amp;"発注)")</f>
        <v/>
      </c>
      <c r="CE677">
        <f>IF(SUMIFS(T_PlannedOrders[EffectiveQty],T_PlannedOrders[Part Name],$A653,T_PlannedOrders[WeekIndex],80)=0,"",SUMIFS(T_PlannedOrders[EffectiveQty],T_PlannedOrders[Part Name],$A653,T_PlannedOrders[WeekIndex],80)&amp;" ("&amp;TEXT(SUMPRODUCT(MAX((T_PlannedOrders[Part Name]=$A653)*(T_PlannedOrders[WeekIndex]=80)*(T_PlannedOrders[EffectiveQty]&gt;0)*T_PlannedOrders[Order_Month])),"m月")&amp;"発注)")</f>
        <v/>
      </c>
      <c r="CF677">
        <f>IF(SUMIFS(T_PlannedOrders[EffectiveQty],T_PlannedOrders[Part Name],$A653,T_PlannedOrders[WeekIndex],81)=0,"",SUMIFS(T_PlannedOrders[EffectiveQty],T_PlannedOrders[Part Name],$A653,T_PlannedOrders[WeekIndex],81)&amp;" ("&amp;TEXT(SUMPRODUCT(MAX((T_PlannedOrders[Part Name]=$A653)*(T_PlannedOrders[WeekIndex]=81)*(T_PlannedOrders[EffectiveQty]&gt;0)*T_PlannedOrders[Order_Month])),"m月")&amp;"発注)")</f>
        <v/>
      </c>
      <c r="CG677">
        <f>IF(SUMIFS(T_PlannedOrders[EffectiveQty],T_PlannedOrders[Part Name],$A653,T_PlannedOrders[WeekIndex],82)=0,"",SUMIFS(T_PlannedOrders[EffectiveQty],T_PlannedOrders[Part Name],$A653,T_PlannedOrders[WeekIndex],82)&amp;" ("&amp;TEXT(SUMPRODUCT(MAX((T_PlannedOrders[Part Name]=$A653)*(T_PlannedOrders[WeekIndex]=82)*(T_PlannedOrders[EffectiveQty]&gt;0)*T_PlannedOrders[Order_Month])),"m月")&amp;"発注)")</f>
        <v/>
      </c>
      <c r="CH677">
        <f>IF(SUMIFS(T_PlannedOrders[EffectiveQty],T_PlannedOrders[Part Name],$A653,T_PlannedOrders[WeekIndex],83)=0,"",SUMIFS(T_PlannedOrders[EffectiveQty],T_PlannedOrders[Part Name],$A653,T_PlannedOrders[WeekIndex],83)&amp;" ("&amp;TEXT(SUMPRODUCT(MAX((T_PlannedOrders[Part Name]=$A653)*(T_PlannedOrders[WeekIndex]=83)*(T_PlannedOrders[EffectiveQty]&gt;0)*T_PlannedOrders[Order_Month])),"m月")&amp;"発注)")</f>
        <v/>
      </c>
      <c r="CI677">
        <f>IF(SUMIFS(T_PlannedOrders[EffectiveQty],T_PlannedOrders[Part Name],$A653,T_PlannedOrders[WeekIndex],84)=0,"",SUMIFS(T_PlannedOrders[EffectiveQty],T_PlannedOrders[Part Name],$A653,T_PlannedOrders[WeekIndex],84)&amp;" ("&amp;TEXT(SUMPRODUCT(MAX((T_PlannedOrders[Part Name]=$A653)*(T_PlannedOrders[WeekIndex]=84)*(T_PlannedOrders[EffectiveQty]&gt;0)*T_PlannedOrders[Order_Month])),"m月")&amp;"発注)")</f>
        <v/>
      </c>
      <c r="CJ677">
        <f>IF(SUMIFS(T_PlannedOrders[EffectiveQty],T_PlannedOrders[Part Name],$A653,T_PlannedOrders[WeekIndex],85)=0,"",SUMIFS(T_PlannedOrders[EffectiveQty],T_PlannedOrders[Part Name],$A653,T_PlannedOrders[WeekIndex],85)&amp;" ("&amp;TEXT(SUMPRODUCT(MAX((T_PlannedOrders[Part Name]=$A653)*(T_PlannedOrders[WeekIndex]=85)*(T_PlannedOrders[EffectiveQty]&gt;0)*T_PlannedOrders[Order_Month])),"m月")&amp;"発注)")</f>
        <v/>
      </c>
      <c r="CK677">
        <f>IF(SUMIFS(T_PlannedOrders[EffectiveQty],T_PlannedOrders[Part Name],$A653,T_PlannedOrders[WeekIndex],86)=0,"",SUMIFS(T_PlannedOrders[EffectiveQty],T_PlannedOrders[Part Name],$A653,T_PlannedOrders[WeekIndex],86)&amp;" ("&amp;TEXT(SUMPRODUCT(MAX((T_PlannedOrders[Part Name]=$A653)*(T_PlannedOrders[WeekIndex]=86)*(T_PlannedOrders[EffectiveQty]&gt;0)*T_PlannedOrders[Order_Month])),"m月")&amp;"発注)")</f>
        <v/>
      </c>
      <c r="CL677">
        <f>IF(SUMIFS(T_PlannedOrders[EffectiveQty],T_PlannedOrders[Part Name],$A653,T_PlannedOrders[WeekIndex],87)=0,"",SUMIFS(T_PlannedOrders[EffectiveQty],T_PlannedOrders[Part Name],$A653,T_PlannedOrders[WeekIndex],87)&amp;" ("&amp;TEXT(SUMPRODUCT(MAX((T_PlannedOrders[Part Name]=$A653)*(T_PlannedOrders[WeekIndex]=87)*(T_PlannedOrders[EffectiveQty]&gt;0)*T_PlannedOrders[Order_Month])),"m月")&amp;"発注)")</f>
        <v/>
      </c>
      <c r="CM677">
        <f>IF(SUMIFS(T_PlannedOrders[EffectiveQty],T_PlannedOrders[Part Name],$A653,T_PlannedOrders[WeekIndex],88)=0,"",SUMIFS(T_PlannedOrders[EffectiveQty],T_PlannedOrders[Part Name],$A653,T_PlannedOrders[WeekIndex],88)&amp;" ("&amp;TEXT(SUMPRODUCT(MAX((T_PlannedOrders[Part Name]=$A653)*(T_PlannedOrders[WeekIndex]=88)*(T_PlannedOrders[EffectiveQty]&gt;0)*T_PlannedOrders[Order_Month])),"m月")&amp;"発注)")</f>
        <v/>
      </c>
      <c r="CN677">
        <f>IF(SUMIFS(T_PlannedOrders[EffectiveQty],T_PlannedOrders[Part Name],$A653,T_PlannedOrders[WeekIndex],89)=0,"",SUMIFS(T_PlannedOrders[EffectiveQty],T_PlannedOrders[Part Name],$A653,T_PlannedOrders[WeekIndex],89)&amp;" ("&amp;TEXT(SUMPRODUCT(MAX((T_PlannedOrders[Part Name]=$A653)*(T_PlannedOrders[WeekIndex]=89)*(T_PlannedOrders[EffectiveQty]&gt;0)*T_PlannedOrders[Order_Month])),"m月")&amp;"発注)")</f>
        <v/>
      </c>
      <c r="CO677">
        <f>IF(SUMIFS(T_PlannedOrders[EffectiveQty],T_PlannedOrders[Part Name],$A653,T_PlannedOrders[WeekIndex],90)=0,"",SUMIFS(T_PlannedOrders[EffectiveQty],T_PlannedOrders[Part Name],$A653,T_PlannedOrders[WeekIndex],90)&amp;" ("&amp;TEXT(SUMPRODUCT(MAX((T_PlannedOrders[Part Name]=$A653)*(T_PlannedOrders[WeekIndex]=90)*(T_PlannedOrders[EffectiveQty]&gt;0)*T_PlannedOrders[Order_Month])),"m月")&amp;"発注)")</f>
        <v/>
      </c>
      <c r="CP677">
        <f>IF(SUMIFS(T_PlannedOrders[EffectiveQty],T_PlannedOrders[Part Name],$A653,T_PlannedOrders[WeekIndex],91)=0,"",SUMIFS(T_PlannedOrders[EffectiveQty],T_PlannedOrders[Part Name],$A653,T_PlannedOrders[WeekIndex],91)&amp;" ("&amp;TEXT(SUMPRODUCT(MAX((T_PlannedOrders[Part Name]=$A653)*(T_PlannedOrders[WeekIndex]=91)*(T_PlannedOrders[EffectiveQty]&gt;0)*T_PlannedOrders[Order_Month])),"m月")&amp;"発注)")</f>
        <v/>
      </c>
      <c r="CQ677">
        <f>IF(SUMIFS(T_PlannedOrders[EffectiveQty],T_PlannedOrders[Part Name],$A653,T_PlannedOrders[WeekIndex],92)=0,"",SUMIFS(T_PlannedOrders[EffectiveQty],T_PlannedOrders[Part Name],$A653,T_PlannedOrders[WeekIndex],92)&amp;" ("&amp;TEXT(SUMPRODUCT(MAX((T_PlannedOrders[Part Name]=$A653)*(T_PlannedOrders[WeekIndex]=92)*(T_PlannedOrders[EffectiveQty]&gt;0)*T_PlannedOrders[Order_Month])),"m月")&amp;"発注)")</f>
        <v/>
      </c>
      <c r="CR677">
        <f>IF(SUMIFS(T_PlannedOrders[EffectiveQty],T_PlannedOrders[Part Name],$A653,T_PlannedOrders[WeekIndex],93)=0,"",SUMIFS(T_PlannedOrders[EffectiveQty],T_PlannedOrders[Part Name],$A653,T_PlannedOrders[WeekIndex],93)&amp;" ("&amp;TEXT(SUMPRODUCT(MAX((T_PlannedOrders[Part Name]=$A653)*(T_PlannedOrders[WeekIndex]=93)*(T_PlannedOrders[EffectiveQty]&gt;0)*T_PlannedOrders[Order_Month])),"m月")&amp;"発注)")</f>
        <v/>
      </c>
      <c r="CS677">
        <f>IF(SUMIFS(T_PlannedOrders[EffectiveQty],T_PlannedOrders[Part Name],$A653,T_PlannedOrders[WeekIndex],94)=0,"",SUMIFS(T_PlannedOrders[EffectiveQty],T_PlannedOrders[Part Name],$A653,T_PlannedOrders[WeekIndex],94)&amp;" ("&amp;TEXT(SUMPRODUCT(MAX((T_PlannedOrders[Part Name]=$A653)*(T_PlannedOrders[WeekIndex]=94)*(T_PlannedOrders[EffectiveQty]&gt;0)*T_PlannedOrders[Order_Month])),"m月")&amp;"発注)")</f>
        <v/>
      </c>
      <c r="CT677">
        <f>IF(SUMIFS(T_PlannedOrders[EffectiveQty],T_PlannedOrders[Part Name],$A653,T_PlannedOrders[WeekIndex],95)=0,"",SUMIFS(T_PlannedOrders[EffectiveQty],T_PlannedOrders[Part Name],$A653,T_PlannedOrders[WeekIndex],95)&amp;" ("&amp;TEXT(SUMPRODUCT(MAX((T_PlannedOrders[Part Name]=$A653)*(T_PlannedOrders[WeekIndex]=95)*(T_PlannedOrders[EffectiveQty]&gt;0)*T_PlannedOrders[Order_Month])),"m月")&amp;"発注)")</f>
        <v/>
      </c>
      <c r="CU677">
        <f>IF(SUMIFS(T_PlannedOrders[EffectiveQty],T_PlannedOrders[Part Name],$A653,T_PlannedOrders[WeekIndex],96)=0,"",SUMIFS(T_PlannedOrders[EffectiveQty],T_PlannedOrders[Part Name],$A653,T_PlannedOrders[WeekIndex],96)&amp;" ("&amp;TEXT(SUMPRODUCT(MAX((T_PlannedOrders[Part Name]=$A653)*(T_PlannedOrders[WeekIndex]=96)*(T_PlannedOrders[EffectiveQty]&gt;0)*T_PlannedOrders[Order_Month])),"m月")&amp;"発注)")</f>
        <v/>
      </c>
      <c r="CV677">
        <f>IF(SUMIFS(T_PlannedOrders[EffectiveQty],T_PlannedOrders[Part Name],$A653,T_PlannedOrders[WeekIndex],97)=0,"",SUMIFS(T_PlannedOrders[EffectiveQty],T_PlannedOrders[Part Name],$A653,T_PlannedOrders[WeekIndex],97)&amp;" ("&amp;TEXT(SUMPRODUCT(MAX((T_PlannedOrders[Part Name]=$A653)*(T_PlannedOrders[WeekIndex]=97)*(T_PlannedOrders[EffectiveQty]&gt;0)*T_PlannedOrders[Order_Month])),"m月")&amp;"発注)")</f>
        <v/>
      </c>
      <c r="CW677">
        <f>IF(SUMIFS(T_PlannedOrders[EffectiveQty],T_PlannedOrders[Part Name],$A653,T_PlannedOrders[WeekIndex],98)=0,"",SUMIFS(T_PlannedOrders[EffectiveQty],T_PlannedOrders[Part Name],$A653,T_PlannedOrders[WeekIndex],98)&amp;" ("&amp;TEXT(SUMPRODUCT(MAX((T_PlannedOrders[Part Name]=$A653)*(T_PlannedOrders[WeekIndex]=98)*(T_PlannedOrders[EffectiveQty]&gt;0)*T_PlannedOrders[Order_Month])),"m月")&amp;"発注)")</f>
        <v/>
      </c>
      <c r="CX677">
        <f>IF(SUMIFS(T_PlannedOrders[EffectiveQty],T_PlannedOrders[Part Name],$A653,T_PlannedOrders[WeekIndex],99)=0,"",SUMIFS(T_PlannedOrders[EffectiveQty],T_PlannedOrders[Part Name],$A653,T_PlannedOrders[WeekIndex],99)&amp;" ("&amp;TEXT(SUMPRODUCT(MAX((T_PlannedOrders[Part Name]=$A653)*(T_PlannedOrders[WeekIndex]=99)*(T_PlannedOrders[EffectiveQty]&gt;0)*T_PlannedOrders[Order_Month])),"m月")&amp;"発注)")</f>
        <v/>
      </c>
      <c r="CY677">
        <f>IF(SUMIFS(T_PlannedOrders[EffectiveQty],T_PlannedOrders[Part Name],$A653,T_PlannedOrders[WeekIndex],100)=0,"",SUMIFS(T_PlannedOrders[EffectiveQty],T_PlannedOrders[Part Name],$A653,T_PlannedOrders[WeekIndex],100)&amp;" ("&amp;TEXT(SUMPRODUCT(MAX((T_PlannedOrders[Part Name]=$A653)*(T_PlannedOrders[WeekIndex]=100)*(T_PlannedOrders[EffectiveQty]&gt;0)*T_PlannedOrders[Order_Month])),"m月")&amp;"発注)")</f>
        <v/>
      </c>
      <c r="CZ677">
        <f>IF(SUMIFS(T_PlannedOrders[EffectiveQty],T_PlannedOrders[Part Name],$A653,T_PlannedOrders[WeekIndex],101)=0,"",SUMIFS(T_PlannedOrders[EffectiveQty],T_PlannedOrders[Part Name],$A653,T_PlannedOrders[WeekIndex],101)&amp;" ("&amp;TEXT(SUMPRODUCT(MAX((T_PlannedOrders[Part Name]=$A653)*(T_PlannedOrders[WeekIndex]=101)*(T_PlannedOrders[EffectiveQty]&gt;0)*T_PlannedOrders[Order_Month])),"m月")&amp;"発注)")</f>
        <v/>
      </c>
      <c r="DA677">
        <f>IF(SUMIFS(T_PlannedOrders[EffectiveQty],T_PlannedOrders[Part Name],$A653,T_PlannedOrders[WeekIndex],102)=0,"",SUMIFS(T_PlannedOrders[EffectiveQty],T_PlannedOrders[Part Name],$A653,T_PlannedOrders[WeekIndex],102)&amp;" ("&amp;TEXT(SUMPRODUCT(MAX((T_PlannedOrders[Part Name]=$A653)*(T_PlannedOrders[WeekIndex]=102)*(T_PlannedOrders[EffectiveQty]&gt;0)*T_PlannedOrders[Order_Month])),"m月")&amp;"発注)")</f>
        <v/>
      </c>
      <c r="DB677">
        <f>IF(SUMIFS(T_PlannedOrders[EffectiveQty],T_PlannedOrders[Part Name],$A653,T_PlannedOrders[WeekIndex],103)=0,"",SUMIFS(T_PlannedOrders[EffectiveQty],T_PlannedOrders[Part Name],$A653,T_PlannedOrders[WeekIndex],103)&amp;" ("&amp;TEXT(SUMPRODUCT(MAX((T_PlannedOrders[Part Name]=$A653)*(T_PlannedOrders[WeekIndex]=103)*(T_PlannedOrders[EffectiveQty]&gt;0)*T_PlannedOrders[Order_Month])),"m月")&amp;"発注)")</f>
        <v/>
      </c>
      <c r="DC677">
        <f>IF(SUMIFS(T_PlannedOrders[EffectiveQty],T_PlannedOrders[Part Name],$A653,T_PlannedOrders[WeekIndex],104)=0,"",SUMIFS(T_PlannedOrders[EffectiveQty],T_PlannedOrders[Part Name],$A653,T_PlannedOrders[WeekIndex],104)&amp;" ("&amp;TEXT(SUMPRODUCT(MAX((T_PlannedOrders[Part Name]=$A653)*(T_PlannedOrders[WeekIndex]=104)*(T_PlannedOrders[EffectiveQty]&gt;0)*T_PlannedOrders[Order_Month])),"m月")&amp;"発注)")</f>
        <v/>
      </c>
    </row>
    <row r="678">
      <c r="B678" s="9" t="inlineStr">
        <is>
          <t>合計在庫(週末時点,kg)</t>
        </is>
      </c>
      <c r="D678">
        <f>'Grid_Stock'!B18</f>
        <v/>
      </c>
      <c r="E678">
        <f>'Grid_Stock'!C18</f>
        <v/>
      </c>
      <c r="F678">
        <f>'Grid_Stock'!D18</f>
        <v/>
      </c>
      <c r="G678">
        <f>'Grid_Stock'!E18</f>
        <v/>
      </c>
      <c r="H678">
        <f>'Grid_Stock'!F18</f>
        <v/>
      </c>
      <c r="I678">
        <f>'Grid_Stock'!G18</f>
        <v/>
      </c>
      <c r="J678">
        <f>'Grid_Stock'!H18</f>
        <v/>
      </c>
      <c r="K678">
        <f>'Grid_Stock'!I18</f>
        <v/>
      </c>
      <c r="L678">
        <f>'Grid_Stock'!J18</f>
        <v/>
      </c>
      <c r="M678">
        <f>'Grid_Stock'!K18</f>
        <v/>
      </c>
      <c r="N678">
        <f>'Grid_Stock'!L18</f>
        <v/>
      </c>
      <c r="O678">
        <f>'Grid_Stock'!M18</f>
        <v/>
      </c>
      <c r="P678">
        <f>'Grid_Stock'!N18</f>
        <v/>
      </c>
      <c r="Q678">
        <f>'Grid_Stock'!O18</f>
        <v/>
      </c>
      <c r="R678">
        <f>'Grid_Stock'!P18</f>
        <v/>
      </c>
      <c r="S678">
        <f>'Grid_Stock'!Q18</f>
        <v/>
      </c>
      <c r="T678">
        <f>'Grid_Stock'!R18</f>
        <v/>
      </c>
      <c r="U678">
        <f>'Grid_Stock'!S18</f>
        <v/>
      </c>
      <c r="V678">
        <f>'Grid_Stock'!T18</f>
        <v/>
      </c>
      <c r="W678">
        <f>'Grid_Stock'!U18</f>
        <v/>
      </c>
      <c r="X678">
        <f>'Grid_Stock'!V18</f>
        <v/>
      </c>
      <c r="Y678">
        <f>'Grid_Stock'!W18</f>
        <v/>
      </c>
      <c r="Z678">
        <f>'Grid_Stock'!X18</f>
        <v/>
      </c>
      <c r="AA678">
        <f>'Grid_Stock'!Y18</f>
        <v/>
      </c>
      <c r="AB678">
        <f>'Grid_Stock'!Z18</f>
        <v/>
      </c>
      <c r="AC678">
        <f>'Grid_Stock'!AA18</f>
        <v/>
      </c>
      <c r="AD678">
        <f>'Grid_Stock'!AB18</f>
        <v/>
      </c>
      <c r="AE678">
        <f>'Grid_Stock'!AC18</f>
        <v/>
      </c>
      <c r="AF678">
        <f>'Grid_Stock'!AD18</f>
        <v/>
      </c>
      <c r="AG678">
        <f>'Grid_Stock'!AE18</f>
        <v/>
      </c>
      <c r="AH678">
        <f>'Grid_Stock'!AF18</f>
        <v/>
      </c>
      <c r="AI678">
        <f>'Grid_Stock'!AG18</f>
        <v/>
      </c>
      <c r="AJ678">
        <f>'Grid_Stock'!AH18</f>
        <v/>
      </c>
      <c r="AK678">
        <f>'Grid_Stock'!AI18</f>
        <v/>
      </c>
      <c r="AL678">
        <f>'Grid_Stock'!AJ18</f>
        <v/>
      </c>
      <c r="AM678">
        <f>'Grid_Stock'!AK18</f>
        <v/>
      </c>
      <c r="AN678">
        <f>'Grid_Stock'!AL18</f>
        <v/>
      </c>
      <c r="AO678">
        <f>'Grid_Stock'!AM18</f>
        <v/>
      </c>
      <c r="AP678">
        <f>'Grid_Stock'!AN18</f>
        <v/>
      </c>
      <c r="AQ678">
        <f>'Grid_Stock'!AO18</f>
        <v/>
      </c>
      <c r="AR678">
        <f>'Grid_Stock'!AP18</f>
        <v/>
      </c>
      <c r="AS678">
        <f>'Grid_Stock'!AQ18</f>
        <v/>
      </c>
      <c r="AT678">
        <f>'Grid_Stock'!AR18</f>
        <v/>
      </c>
      <c r="AU678">
        <f>'Grid_Stock'!AS18</f>
        <v/>
      </c>
      <c r="AV678">
        <f>'Grid_Stock'!AT18</f>
        <v/>
      </c>
      <c r="AW678">
        <f>'Grid_Stock'!AU18</f>
        <v/>
      </c>
      <c r="AX678">
        <f>'Grid_Stock'!AV18</f>
        <v/>
      </c>
      <c r="AY678">
        <f>'Grid_Stock'!AW18</f>
        <v/>
      </c>
      <c r="AZ678">
        <f>'Grid_Stock'!AX18</f>
        <v/>
      </c>
      <c r="BA678">
        <f>'Grid_Stock'!AY18</f>
        <v/>
      </c>
      <c r="BB678">
        <f>'Grid_Stock'!AZ18</f>
        <v/>
      </c>
      <c r="BC678">
        <f>'Grid_Stock'!BA18</f>
        <v/>
      </c>
      <c r="BD678">
        <f>'Grid_Stock'!BB18</f>
        <v/>
      </c>
      <c r="BE678">
        <f>'Grid_Stock'!BC18</f>
        <v/>
      </c>
      <c r="BF678">
        <f>'Grid_Stock'!BD18</f>
        <v/>
      </c>
      <c r="BG678">
        <f>'Grid_Stock'!BE18</f>
        <v/>
      </c>
      <c r="BH678">
        <f>'Grid_Stock'!BF18</f>
        <v/>
      </c>
      <c r="BI678">
        <f>'Grid_Stock'!BG18</f>
        <v/>
      </c>
      <c r="BJ678">
        <f>'Grid_Stock'!BH18</f>
        <v/>
      </c>
      <c r="BK678">
        <f>'Grid_Stock'!BI18</f>
        <v/>
      </c>
      <c r="BL678">
        <f>'Grid_Stock'!BJ18</f>
        <v/>
      </c>
      <c r="BM678">
        <f>'Grid_Stock'!BK18</f>
        <v/>
      </c>
      <c r="BN678">
        <f>'Grid_Stock'!BL18</f>
        <v/>
      </c>
      <c r="BO678">
        <f>'Grid_Stock'!BM18</f>
        <v/>
      </c>
      <c r="BP678">
        <f>'Grid_Stock'!BN18</f>
        <v/>
      </c>
      <c r="BQ678">
        <f>'Grid_Stock'!BO18</f>
        <v/>
      </c>
      <c r="BR678">
        <f>'Grid_Stock'!BP18</f>
        <v/>
      </c>
      <c r="BS678">
        <f>'Grid_Stock'!BQ18</f>
        <v/>
      </c>
      <c r="BT678">
        <f>'Grid_Stock'!BR18</f>
        <v/>
      </c>
      <c r="BU678">
        <f>'Grid_Stock'!BS18</f>
        <v/>
      </c>
      <c r="BV678">
        <f>'Grid_Stock'!BT18</f>
        <v/>
      </c>
      <c r="BW678">
        <f>'Grid_Stock'!BU18</f>
        <v/>
      </c>
      <c r="BX678">
        <f>'Grid_Stock'!BV18</f>
        <v/>
      </c>
      <c r="BY678">
        <f>'Grid_Stock'!BW18</f>
        <v/>
      </c>
      <c r="BZ678">
        <f>'Grid_Stock'!BX18</f>
        <v/>
      </c>
      <c r="CA678">
        <f>'Grid_Stock'!BY18</f>
        <v/>
      </c>
      <c r="CB678">
        <f>'Grid_Stock'!BZ18</f>
        <v/>
      </c>
      <c r="CC678">
        <f>'Grid_Stock'!CA18</f>
        <v/>
      </c>
      <c r="CD678">
        <f>'Grid_Stock'!CB18</f>
        <v/>
      </c>
      <c r="CE678">
        <f>'Grid_Stock'!CC18</f>
        <v/>
      </c>
      <c r="CF678">
        <f>'Grid_Stock'!CD18</f>
        <v/>
      </c>
      <c r="CG678">
        <f>'Grid_Stock'!CE18</f>
        <v/>
      </c>
      <c r="CH678">
        <f>'Grid_Stock'!CF18</f>
        <v/>
      </c>
      <c r="CI678">
        <f>'Grid_Stock'!CG18</f>
        <v/>
      </c>
      <c r="CJ678">
        <f>'Grid_Stock'!CH18</f>
        <v/>
      </c>
      <c r="CK678">
        <f>'Grid_Stock'!CI18</f>
        <v/>
      </c>
      <c r="CL678">
        <f>'Grid_Stock'!CJ18</f>
        <v/>
      </c>
      <c r="CM678">
        <f>'Grid_Stock'!CK18</f>
        <v/>
      </c>
      <c r="CN678">
        <f>'Grid_Stock'!CL18</f>
        <v/>
      </c>
      <c r="CO678">
        <f>'Grid_Stock'!CM18</f>
        <v/>
      </c>
      <c r="CP678">
        <f>'Grid_Stock'!CN18</f>
        <v/>
      </c>
      <c r="CQ678">
        <f>'Grid_Stock'!CO18</f>
        <v/>
      </c>
      <c r="CR678">
        <f>'Grid_Stock'!CP18</f>
        <v/>
      </c>
      <c r="CS678">
        <f>'Grid_Stock'!CQ18</f>
        <v/>
      </c>
      <c r="CT678">
        <f>'Grid_Stock'!CR18</f>
        <v/>
      </c>
      <c r="CU678">
        <f>'Grid_Stock'!CS18</f>
        <v/>
      </c>
      <c r="CV678">
        <f>'Grid_Stock'!CT18</f>
        <v/>
      </c>
      <c r="CW678">
        <f>'Grid_Stock'!CU18</f>
        <v/>
      </c>
      <c r="CX678">
        <f>'Grid_Stock'!CV18</f>
        <v/>
      </c>
      <c r="CY678">
        <f>'Grid_Stock'!CW18</f>
        <v/>
      </c>
      <c r="CZ678">
        <f>'Grid_Stock'!CX18</f>
        <v/>
      </c>
      <c r="DA678">
        <f>'Grid_Stock'!CY18</f>
        <v/>
      </c>
      <c r="DB678">
        <f>'Grid_Stock'!CZ18</f>
        <v/>
      </c>
      <c r="DC678">
        <f>'Grid_Stock'!DA18</f>
        <v/>
      </c>
    </row>
    <row r="679">
      <c r="B679" s="21" t="inlineStr">
        <is>
          <t>（発注の目安はDashboardの基準在庫[下限/上限]と色分けを参照）</t>
        </is>
      </c>
    </row>
    <row r="681">
      <c r="A681" s="19" t="inlineStr">
        <is>
          <t>CHEM-1240</t>
        </is>
      </c>
      <c r="B681" s="19" t="inlineStr">
        <is>
          <t>Alumina SOL(AS200)</t>
        </is>
      </c>
      <c r="C681" s="20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/>
      <c r="Z681" s="19" t="n"/>
      <c r="AA681" s="19" t="n"/>
      <c r="AB681" s="19" t="n"/>
      <c r="AC681" s="19" t="n"/>
      <c r="AD681" s="19" t="n"/>
      <c r="AE681" s="19" t="n"/>
      <c r="AF681" s="19" t="n"/>
      <c r="AG681" s="19" t="n"/>
      <c r="AH681" s="19" t="n"/>
      <c r="AI681" s="19" t="n"/>
      <c r="AJ681" s="19" t="n"/>
      <c r="AK681" s="19" t="n"/>
      <c r="AL681" s="19" t="n"/>
      <c r="AM681" s="19" t="n"/>
      <c r="AN681" s="19" t="n"/>
      <c r="AO681" s="19" t="n"/>
      <c r="AP681" s="19" t="n"/>
      <c r="AQ681" s="19" t="n"/>
      <c r="AR681" s="19" t="n"/>
      <c r="AS681" s="19" t="n"/>
      <c r="AT681" s="19" t="n"/>
      <c r="AU681" s="19" t="n"/>
      <c r="AV681" s="19" t="n"/>
      <c r="AW681" s="19" t="n"/>
      <c r="AX681" s="19" t="n"/>
      <c r="AY681" s="19" t="n"/>
      <c r="AZ681" s="19" t="n"/>
      <c r="BA681" s="19" t="n"/>
      <c r="BB681" s="19" t="n"/>
      <c r="BC681" s="19" t="n"/>
      <c r="BD681" s="19" t="n"/>
      <c r="BE681" s="19" t="n"/>
      <c r="BF681" s="19" t="n"/>
      <c r="BG681" s="19" t="n"/>
      <c r="BH681" s="19" t="n"/>
      <c r="BI681" s="19" t="n"/>
      <c r="BJ681" s="19" t="n"/>
      <c r="BK681" s="19" t="n"/>
      <c r="BL681" s="19" t="n"/>
      <c r="BM681" s="19" t="n"/>
      <c r="BN681" s="19" t="n"/>
      <c r="BO681" s="19" t="n"/>
      <c r="BP681" s="19" t="n"/>
      <c r="BQ681" s="19" t="n"/>
      <c r="BR681" s="19" t="n"/>
      <c r="BS681" s="19" t="n"/>
      <c r="BT681" s="19" t="n"/>
      <c r="BU681" s="19" t="n"/>
      <c r="BV681" s="19" t="n"/>
      <c r="BW681" s="19" t="n"/>
      <c r="BX681" s="19" t="n"/>
      <c r="BY681" s="19" t="n"/>
      <c r="BZ681" s="19" t="n"/>
      <c r="CA681" s="19" t="n"/>
      <c r="CB681" s="19" t="n"/>
      <c r="CC681" s="19" t="n"/>
      <c r="CD681" s="19" t="n"/>
      <c r="CE681" s="19" t="n"/>
      <c r="CF681" s="19" t="n"/>
      <c r="CG681" s="19" t="n"/>
      <c r="CH681" s="19" t="n"/>
      <c r="CI681" s="19" t="n"/>
      <c r="CJ681" s="19" t="n"/>
      <c r="CK681" s="19" t="n"/>
      <c r="CL681" s="19" t="n"/>
      <c r="CM681" s="19" t="n"/>
      <c r="CN681" s="19" t="n"/>
      <c r="CO681" s="19" t="n"/>
      <c r="CP681" s="19" t="n"/>
      <c r="CQ681" s="19" t="n"/>
      <c r="CR681" s="19" t="n"/>
      <c r="CS681" s="19" t="n"/>
      <c r="CT681" s="19" t="n"/>
      <c r="CU681" s="19" t="n"/>
      <c r="CV681" s="19" t="n"/>
      <c r="CW681" s="19" t="n"/>
      <c r="CX681" s="19" t="n"/>
      <c r="CY681" s="19" t="n"/>
      <c r="CZ681" s="19" t="n"/>
      <c r="DA681" s="19" t="n"/>
      <c r="DB681" s="19" t="n"/>
      <c r="DC681" s="19" t="n"/>
    </row>
    <row r="682">
      <c r="B682" t="inlineStr">
        <is>
          <t>TSP-224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Name],$A681)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TSP-390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Name],$A681)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TSP-399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Name],$A681)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TSP-668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Name],$A681)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TSP-669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Name],$A681)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TSP-670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Name],$A681)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TSP-699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Name],$A681)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TSP-1448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Name],$A681)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TSP-1449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Name],$A681)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TSP-1558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Name],$A681)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s="9" t="inlineStr">
        <is>
          <t>合計使用量(kg)/週</t>
        </is>
      </c>
      <c r="D702">
        <f>'Grid_Requirement'!B21</f>
        <v/>
      </c>
      <c r="E702">
        <f>'Grid_Requirement'!C21</f>
        <v/>
      </c>
      <c r="F702">
        <f>'Grid_Requirement'!D21</f>
        <v/>
      </c>
      <c r="G702">
        <f>'Grid_Requirement'!E21</f>
        <v/>
      </c>
      <c r="H702">
        <f>'Grid_Requirement'!F21</f>
        <v/>
      </c>
      <c r="I702">
        <f>'Grid_Requirement'!G21</f>
        <v/>
      </c>
      <c r="J702">
        <f>'Grid_Requirement'!H21</f>
        <v/>
      </c>
      <c r="K702">
        <f>'Grid_Requirement'!I21</f>
        <v/>
      </c>
      <c r="L702">
        <f>'Grid_Requirement'!J21</f>
        <v/>
      </c>
      <c r="M702">
        <f>'Grid_Requirement'!K21</f>
        <v/>
      </c>
      <c r="N702">
        <f>'Grid_Requirement'!L21</f>
        <v/>
      </c>
      <c r="O702">
        <f>'Grid_Requirement'!M21</f>
        <v/>
      </c>
      <c r="P702">
        <f>'Grid_Requirement'!N21</f>
        <v/>
      </c>
      <c r="Q702">
        <f>'Grid_Requirement'!O21</f>
        <v/>
      </c>
      <c r="R702">
        <f>'Grid_Requirement'!P21</f>
        <v/>
      </c>
      <c r="S702">
        <f>'Grid_Requirement'!Q21</f>
        <v/>
      </c>
      <c r="T702">
        <f>'Grid_Requirement'!R21</f>
        <v/>
      </c>
      <c r="U702">
        <f>'Grid_Requirement'!S21</f>
        <v/>
      </c>
      <c r="V702">
        <f>'Grid_Requirement'!T21</f>
        <v/>
      </c>
      <c r="W702">
        <f>'Grid_Requirement'!U21</f>
        <v/>
      </c>
      <c r="X702">
        <f>'Grid_Requirement'!V21</f>
        <v/>
      </c>
      <c r="Y702">
        <f>'Grid_Requirement'!W21</f>
        <v/>
      </c>
      <c r="Z702">
        <f>'Grid_Requirement'!X21</f>
        <v/>
      </c>
      <c r="AA702">
        <f>'Grid_Requirement'!Y21</f>
        <v/>
      </c>
      <c r="AB702">
        <f>'Grid_Requirement'!Z21</f>
        <v/>
      </c>
      <c r="AC702">
        <f>'Grid_Requirement'!AA21</f>
        <v/>
      </c>
      <c r="AD702">
        <f>'Grid_Requirement'!AB21</f>
        <v/>
      </c>
      <c r="AE702">
        <f>'Grid_Requirement'!AC21</f>
        <v/>
      </c>
      <c r="AF702">
        <f>'Grid_Requirement'!AD21</f>
        <v/>
      </c>
      <c r="AG702">
        <f>'Grid_Requirement'!AE21</f>
        <v/>
      </c>
      <c r="AH702">
        <f>'Grid_Requirement'!AF21</f>
        <v/>
      </c>
      <c r="AI702">
        <f>'Grid_Requirement'!AG21</f>
        <v/>
      </c>
      <c r="AJ702">
        <f>'Grid_Requirement'!AH21</f>
        <v/>
      </c>
      <c r="AK702">
        <f>'Grid_Requirement'!AI21</f>
        <v/>
      </c>
      <c r="AL702">
        <f>'Grid_Requirement'!AJ21</f>
        <v/>
      </c>
      <c r="AM702">
        <f>'Grid_Requirement'!AK21</f>
        <v/>
      </c>
      <c r="AN702">
        <f>'Grid_Requirement'!AL21</f>
        <v/>
      </c>
      <c r="AO702">
        <f>'Grid_Requirement'!AM21</f>
        <v/>
      </c>
      <c r="AP702">
        <f>'Grid_Requirement'!AN21</f>
        <v/>
      </c>
      <c r="AQ702">
        <f>'Grid_Requirement'!AO21</f>
        <v/>
      </c>
      <c r="AR702">
        <f>'Grid_Requirement'!AP21</f>
        <v/>
      </c>
      <c r="AS702">
        <f>'Grid_Requirement'!AQ21</f>
        <v/>
      </c>
      <c r="AT702">
        <f>'Grid_Requirement'!AR21</f>
        <v/>
      </c>
      <c r="AU702">
        <f>'Grid_Requirement'!AS21</f>
        <v/>
      </c>
      <c r="AV702">
        <f>'Grid_Requirement'!AT21</f>
        <v/>
      </c>
      <c r="AW702">
        <f>'Grid_Requirement'!AU21</f>
        <v/>
      </c>
      <c r="AX702">
        <f>'Grid_Requirement'!AV21</f>
        <v/>
      </c>
      <c r="AY702">
        <f>'Grid_Requirement'!AW21</f>
        <v/>
      </c>
      <c r="AZ702">
        <f>'Grid_Requirement'!AX21</f>
        <v/>
      </c>
      <c r="BA702">
        <f>'Grid_Requirement'!AY21</f>
        <v/>
      </c>
      <c r="BB702">
        <f>'Grid_Requirement'!AZ21</f>
        <v/>
      </c>
      <c r="BC702">
        <f>'Grid_Requirement'!BA21</f>
        <v/>
      </c>
      <c r="BD702">
        <f>'Grid_Requirement'!BB21</f>
        <v/>
      </c>
      <c r="BE702">
        <f>'Grid_Requirement'!BC21</f>
        <v/>
      </c>
      <c r="BF702">
        <f>'Grid_Requirement'!BD21</f>
        <v/>
      </c>
      <c r="BG702">
        <f>'Grid_Requirement'!BE21</f>
        <v/>
      </c>
      <c r="BH702">
        <f>'Grid_Requirement'!BF21</f>
        <v/>
      </c>
      <c r="BI702">
        <f>'Grid_Requirement'!BG21</f>
        <v/>
      </c>
      <c r="BJ702">
        <f>'Grid_Requirement'!BH21</f>
        <v/>
      </c>
      <c r="BK702">
        <f>'Grid_Requirement'!BI21</f>
        <v/>
      </c>
      <c r="BL702">
        <f>'Grid_Requirement'!BJ21</f>
        <v/>
      </c>
      <c r="BM702">
        <f>'Grid_Requirement'!BK21</f>
        <v/>
      </c>
      <c r="BN702">
        <f>'Grid_Requirement'!BL21</f>
        <v/>
      </c>
      <c r="BO702">
        <f>'Grid_Requirement'!BM21</f>
        <v/>
      </c>
      <c r="BP702">
        <f>'Grid_Requirement'!BN21</f>
        <v/>
      </c>
      <c r="BQ702">
        <f>'Grid_Requirement'!BO21</f>
        <v/>
      </c>
      <c r="BR702">
        <f>'Grid_Requirement'!BP21</f>
        <v/>
      </c>
      <c r="BS702">
        <f>'Grid_Requirement'!BQ21</f>
        <v/>
      </c>
      <c r="BT702">
        <f>'Grid_Requirement'!BR21</f>
        <v/>
      </c>
      <c r="BU702">
        <f>'Grid_Requirement'!BS21</f>
        <v/>
      </c>
      <c r="BV702">
        <f>'Grid_Requirement'!BT21</f>
        <v/>
      </c>
      <c r="BW702">
        <f>'Grid_Requirement'!BU21</f>
        <v/>
      </c>
      <c r="BX702">
        <f>'Grid_Requirement'!BV21</f>
        <v/>
      </c>
      <c r="BY702">
        <f>'Grid_Requirement'!BW21</f>
        <v/>
      </c>
      <c r="BZ702">
        <f>'Grid_Requirement'!BX21</f>
        <v/>
      </c>
      <c r="CA702">
        <f>'Grid_Requirement'!BY21</f>
        <v/>
      </c>
      <c r="CB702">
        <f>'Grid_Requirement'!BZ21</f>
        <v/>
      </c>
      <c r="CC702">
        <f>'Grid_Requirement'!CA21</f>
        <v/>
      </c>
      <c r="CD702">
        <f>'Grid_Requirement'!CB21</f>
        <v/>
      </c>
      <c r="CE702">
        <f>'Grid_Requirement'!CC21</f>
        <v/>
      </c>
      <c r="CF702">
        <f>'Grid_Requirement'!CD21</f>
        <v/>
      </c>
      <c r="CG702">
        <f>'Grid_Requirement'!CE21</f>
        <v/>
      </c>
      <c r="CH702">
        <f>'Grid_Requirement'!CF21</f>
        <v/>
      </c>
      <c r="CI702">
        <f>'Grid_Requirement'!CG21</f>
        <v/>
      </c>
      <c r="CJ702">
        <f>'Grid_Requirement'!CH21</f>
        <v/>
      </c>
      <c r="CK702">
        <f>'Grid_Requirement'!CI21</f>
        <v/>
      </c>
      <c r="CL702">
        <f>'Grid_Requirement'!CJ21</f>
        <v/>
      </c>
      <c r="CM702">
        <f>'Grid_Requirement'!CK21</f>
        <v/>
      </c>
      <c r="CN702">
        <f>'Grid_Requirement'!CL21</f>
        <v/>
      </c>
      <c r="CO702">
        <f>'Grid_Requirement'!CM21</f>
        <v/>
      </c>
      <c r="CP702">
        <f>'Grid_Requirement'!CN21</f>
        <v/>
      </c>
      <c r="CQ702">
        <f>'Grid_Requirement'!CO21</f>
        <v/>
      </c>
      <c r="CR702">
        <f>'Grid_Requirement'!CP21</f>
        <v/>
      </c>
      <c r="CS702">
        <f>'Grid_Requirement'!CQ21</f>
        <v/>
      </c>
      <c r="CT702">
        <f>'Grid_Requirement'!CR21</f>
        <v/>
      </c>
      <c r="CU702">
        <f>'Grid_Requirement'!CS21</f>
        <v/>
      </c>
      <c r="CV702">
        <f>'Grid_Requirement'!CT21</f>
        <v/>
      </c>
      <c r="CW702">
        <f>'Grid_Requirement'!CU21</f>
        <v/>
      </c>
      <c r="CX702">
        <f>'Grid_Requirement'!CV21</f>
        <v/>
      </c>
      <c r="CY702">
        <f>'Grid_Requirement'!CW21</f>
        <v/>
      </c>
      <c r="CZ702">
        <f>'Grid_Requirement'!CX21</f>
        <v/>
      </c>
      <c r="DA702">
        <f>'Grid_Requirement'!CY21</f>
        <v/>
      </c>
      <c r="DB702">
        <f>'Grid_Requirement'!CZ21</f>
        <v/>
      </c>
      <c r="DC702">
        <f>'Grid_Requirement'!DA21</f>
        <v/>
      </c>
    </row>
    <row r="703">
      <c r="B703" t="inlineStr">
        <is>
          <t>TTAF在庫(実績,kg)</t>
        </is>
      </c>
      <c r="D703">
        <f>'T_TTAFStock'!B25</f>
        <v/>
      </c>
      <c r="E703">
        <f>'T_TTAFStock'!C25</f>
        <v/>
      </c>
      <c r="F703">
        <f>'T_TTAFStock'!D25</f>
        <v/>
      </c>
      <c r="G703">
        <f>'T_TTAFStock'!E25</f>
        <v/>
      </c>
      <c r="H703">
        <f>'T_TTAFStock'!F25</f>
        <v/>
      </c>
      <c r="I703">
        <f>'T_TTAFStock'!G25</f>
        <v/>
      </c>
      <c r="J703">
        <f>'T_TTAFStock'!H25</f>
        <v/>
      </c>
      <c r="K703">
        <f>'T_TTAFStock'!I25</f>
        <v/>
      </c>
      <c r="L703">
        <f>'T_TTAFStock'!J25</f>
        <v/>
      </c>
      <c r="M703">
        <f>'T_TTAFStock'!K25</f>
        <v/>
      </c>
      <c r="N703">
        <f>'T_TTAFStock'!L25</f>
        <v/>
      </c>
      <c r="O703">
        <f>'T_TTAFStock'!M25</f>
        <v/>
      </c>
      <c r="P703">
        <f>'T_TTAFStock'!N25</f>
        <v/>
      </c>
      <c r="Q703">
        <f>'T_TTAFStock'!O25</f>
        <v/>
      </c>
      <c r="R703">
        <f>'T_TTAFStock'!P25</f>
        <v/>
      </c>
      <c r="S703">
        <f>'T_TTAFStock'!Q25</f>
        <v/>
      </c>
      <c r="T703">
        <f>'T_TTAFStock'!R25</f>
        <v/>
      </c>
      <c r="U703">
        <f>'T_TTAFStock'!S25</f>
        <v/>
      </c>
      <c r="V703">
        <f>'T_TTAFStock'!T25</f>
        <v/>
      </c>
      <c r="W703">
        <f>'T_TTAFStock'!U25</f>
        <v/>
      </c>
      <c r="X703">
        <f>'T_TTAFStock'!V25</f>
        <v/>
      </c>
      <c r="Y703">
        <f>'T_TTAFStock'!W25</f>
        <v/>
      </c>
      <c r="Z703">
        <f>'T_TTAFStock'!X25</f>
        <v/>
      </c>
      <c r="AA703">
        <f>'T_TTAFStock'!Y25</f>
        <v/>
      </c>
      <c r="AB703">
        <f>'T_TTAFStock'!Z25</f>
        <v/>
      </c>
      <c r="AC703">
        <f>'T_TTAFStock'!AA25</f>
        <v/>
      </c>
      <c r="AD703">
        <f>'T_TTAFStock'!AB25</f>
        <v/>
      </c>
      <c r="AE703">
        <f>'T_TTAFStock'!AC25</f>
        <v/>
      </c>
      <c r="AF703">
        <f>'T_TTAFStock'!AD25</f>
        <v/>
      </c>
      <c r="AG703">
        <f>'T_TTAFStock'!AE25</f>
        <v/>
      </c>
      <c r="AH703">
        <f>'T_TTAFStock'!AF25</f>
        <v/>
      </c>
      <c r="AI703">
        <f>'T_TTAFStock'!AG25</f>
        <v/>
      </c>
      <c r="AJ703">
        <f>'T_TTAFStock'!AH25</f>
        <v/>
      </c>
      <c r="AK703">
        <f>'T_TTAFStock'!AI25</f>
        <v/>
      </c>
      <c r="AL703">
        <f>'T_TTAFStock'!AJ25</f>
        <v/>
      </c>
      <c r="AM703">
        <f>'T_TTAFStock'!AK25</f>
        <v/>
      </c>
      <c r="AN703">
        <f>'T_TTAFStock'!AL25</f>
        <v/>
      </c>
      <c r="AO703">
        <f>'T_TTAFStock'!AM25</f>
        <v/>
      </c>
      <c r="AP703">
        <f>'T_TTAFStock'!AN25</f>
        <v/>
      </c>
      <c r="AQ703">
        <f>'T_TTAFStock'!AO25</f>
        <v/>
      </c>
      <c r="AR703">
        <f>'T_TTAFStock'!AP25</f>
        <v/>
      </c>
      <c r="AS703">
        <f>'T_TTAFStock'!AQ25</f>
        <v/>
      </c>
      <c r="AT703">
        <f>'T_TTAFStock'!AR25</f>
        <v/>
      </c>
      <c r="AU703">
        <f>'T_TTAFStock'!AS25</f>
        <v/>
      </c>
      <c r="AV703">
        <f>'T_TTAFStock'!AT25</f>
        <v/>
      </c>
      <c r="AW703">
        <f>'T_TTAFStock'!AU25</f>
        <v/>
      </c>
      <c r="AX703">
        <f>'T_TTAFStock'!AV25</f>
        <v/>
      </c>
      <c r="AY703">
        <f>'T_TTAFStock'!AW25</f>
        <v/>
      </c>
      <c r="AZ703">
        <f>'T_TTAFStock'!AX25</f>
        <v/>
      </c>
      <c r="BA703">
        <f>'T_TTAFStock'!AY25</f>
        <v/>
      </c>
      <c r="BB703">
        <f>'T_TTAFStock'!AZ25</f>
        <v/>
      </c>
      <c r="BC703">
        <f>'T_TTAFStock'!BA25</f>
        <v/>
      </c>
      <c r="BD703">
        <f>'T_TTAFStock'!BB25</f>
        <v/>
      </c>
      <c r="BE703">
        <f>'T_TTAFStock'!BC25</f>
        <v/>
      </c>
      <c r="BF703">
        <f>'T_TTAFStock'!BD25</f>
        <v/>
      </c>
      <c r="BG703">
        <f>'T_TTAFStock'!BE25</f>
        <v/>
      </c>
      <c r="BH703">
        <f>'T_TTAFStock'!BF25</f>
        <v/>
      </c>
      <c r="BI703">
        <f>'T_TTAFStock'!BG25</f>
        <v/>
      </c>
      <c r="BJ703">
        <f>'T_TTAFStock'!BH25</f>
        <v/>
      </c>
      <c r="BK703">
        <f>'T_TTAFStock'!BI25</f>
        <v/>
      </c>
      <c r="BL703">
        <f>'T_TTAFStock'!BJ25</f>
        <v/>
      </c>
      <c r="BM703">
        <f>'T_TTAFStock'!BK25</f>
        <v/>
      </c>
      <c r="BN703">
        <f>'T_TTAFStock'!BL25</f>
        <v/>
      </c>
      <c r="BO703">
        <f>'T_TTAFStock'!BM25</f>
        <v/>
      </c>
      <c r="BP703">
        <f>'T_TTAFStock'!BN25</f>
        <v/>
      </c>
      <c r="BQ703">
        <f>'T_TTAFStock'!BO25</f>
        <v/>
      </c>
      <c r="BR703">
        <f>'T_TTAFStock'!BP25</f>
        <v/>
      </c>
      <c r="BS703">
        <f>'T_TTAFStock'!BQ25</f>
        <v/>
      </c>
      <c r="BT703">
        <f>'T_TTAFStock'!BR25</f>
        <v/>
      </c>
      <c r="BU703">
        <f>'T_TTAFStock'!BS25</f>
        <v/>
      </c>
      <c r="BV703">
        <f>'T_TTAFStock'!BT25</f>
        <v/>
      </c>
      <c r="BW703">
        <f>'T_TTAFStock'!BU25</f>
        <v/>
      </c>
      <c r="BX703">
        <f>'T_TTAFStock'!BV25</f>
        <v/>
      </c>
      <c r="BY703">
        <f>'T_TTAFStock'!BW25</f>
        <v/>
      </c>
      <c r="BZ703">
        <f>'T_TTAFStock'!BX25</f>
        <v/>
      </c>
      <c r="CA703">
        <f>'T_TTAFStock'!BY25</f>
        <v/>
      </c>
      <c r="CB703">
        <f>'T_TTAFStock'!BZ25</f>
        <v/>
      </c>
      <c r="CC703">
        <f>'T_TTAFStock'!CA25</f>
        <v/>
      </c>
      <c r="CD703">
        <f>'T_TTAFStock'!CB25</f>
        <v/>
      </c>
      <c r="CE703">
        <f>'T_TTAFStock'!CC25</f>
        <v/>
      </c>
      <c r="CF703">
        <f>'T_TTAFStock'!CD25</f>
        <v/>
      </c>
      <c r="CG703">
        <f>'T_TTAFStock'!CE25</f>
        <v/>
      </c>
      <c r="CH703">
        <f>'T_TTAFStock'!CF25</f>
        <v/>
      </c>
      <c r="CI703">
        <f>'T_TTAFStock'!CG25</f>
        <v/>
      </c>
      <c r="CJ703">
        <f>'T_TTAFStock'!CH25</f>
        <v/>
      </c>
      <c r="CK703">
        <f>'T_TTAFStock'!CI25</f>
        <v/>
      </c>
      <c r="CL703">
        <f>'T_TTAFStock'!CJ25</f>
        <v/>
      </c>
      <c r="CM703">
        <f>'T_TTAFStock'!CK25</f>
        <v/>
      </c>
      <c r="CN703">
        <f>'T_TTAFStock'!CL25</f>
        <v/>
      </c>
      <c r="CO703">
        <f>'T_TTAFStock'!CM25</f>
        <v/>
      </c>
      <c r="CP703">
        <f>'T_TTAFStock'!CN25</f>
        <v/>
      </c>
      <c r="CQ703">
        <f>'T_TTAFStock'!CO25</f>
        <v/>
      </c>
      <c r="CR703">
        <f>'T_TTAFStock'!CP25</f>
        <v/>
      </c>
      <c r="CS703">
        <f>'T_TTAFStock'!CQ25</f>
        <v/>
      </c>
      <c r="CT703">
        <f>'T_TTAFStock'!CR25</f>
        <v/>
      </c>
      <c r="CU703">
        <f>'T_TTAFStock'!CS25</f>
        <v/>
      </c>
      <c r="CV703">
        <f>'T_TTAFStock'!CT25</f>
        <v/>
      </c>
      <c r="CW703">
        <f>'T_TTAFStock'!CU25</f>
        <v/>
      </c>
      <c r="CX703">
        <f>'T_TTAFStock'!CV25</f>
        <v/>
      </c>
      <c r="CY703">
        <f>'T_TTAFStock'!CW25</f>
        <v/>
      </c>
      <c r="CZ703">
        <f>'T_TTAFStock'!CX25</f>
        <v/>
      </c>
      <c r="DA703">
        <f>'T_TTAFStock'!CY25</f>
        <v/>
      </c>
      <c r="DB703">
        <f>'T_TTAFStock'!CZ25</f>
        <v/>
      </c>
      <c r="DC703">
        <f>'T_TTAFStock'!DA25</f>
        <v/>
      </c>
    </row>
    <row r="704">
      <c r="B704" t="inlineStr">
        <is>
          <t>自社在庫(実績,kg)</t>
        </is>
      </c>
      <c r="D704">
        <f>'T_SelfStock'!B25</f>
        <v/>
      </c>
      <c r="E704">
        <f>'T_SelfStock'!C25</f>
        <v/>
      </c>
      <c r="F704">
        <f>'T_SelfStock'!D25</f>
        <v/>
      </c>
      <c r="G704">
        <f>'T_SelfStock'!E25</f>
        <v/>
      </c>
      <c r="H704">
        <f>'T_SelfStock'!F25</f>
        <v/>
      </c>
      <c r="I704">
        <f>'T_SelfStock'!G25</f>
        <v/>
      </c>
      <c r="J704">
        <f>'T_SelfStock'!H25</f>
        <v/>
      </c>
      <c r="K704">
        <f>'T_SelfStock'!I25</f>
        <v/>
      </c>
      <c r="L704">
        <f>'T_SelfStock'!J25</f>
        <v/>
      </c>
      <c r="M704">
        <f>'T_SelfStock'!K25</f>
        <v/>
      </c>
      <c r="N704">
        <f>'T_SelfStock'!L25</f>
        <v/>
      </c>
      <c r="O704">
        <f>'T_SelfStock'!M25</f>
        <v/>
      </c>
      <c r="P704">
        <f>'T_SelfStock'!N25</f>
        <v/>
      </c>
      <c r="Q704">
        <f>'T_SelfStock'!O25</f>
        <v/>
      </c>
      <c r="R704">
        <f>'T_SelfStock'!P25</f>
        <v/>
      </c>
      <c r="S704">
        <f>'T_SelfStock'!Q25</f>
        <v/>
      </c>
      <c r="T704">
        <f>'T_SelfStock'!R25</f>
        <v/>
      </c>
      <c r="U704">
        <f>'T_SelfStock'!S25</f>
        <v/>
      </c>
      <c r="V704">
        <f>'T_SelfStock'!T25</f>
        <v/>
      </c>
      <c r="W704">
        <f>'T_SelfStock'!U25</f>
        <v/>
      </c>
      <c r="X704">
        <f>'T_SelfStock'!V25</f>
        <v/>
      </c>
      <c r="Y704">
        <f>'T_SelfStock'!W25</f>
        <v/>
      </c>
      <c r="Z704">
        <f>'T_SelfStock'!X25</f>
        <v/>
      </c>
      <c r="AA704">
        <f>'T_SelfStock'!Y25</f>
        <v/>
      </c>
      <c r="AB704">
        <f>'T_SelfStock'!Z25</f>
        <v/>
      </c>
      <c r="AC704">
        <f>'T_SelfStock'!AA25</f>
        <v/>
      </c>
      <c r="AD704">
        <f>'T_SelfStock'!AB25</f>
        <v/>
      </c>
      <c r="AE704">
        <f>'T_SelfStock'!AC25</f>
        <v/>
      </c>
      <c r="AF704">
        <f>'T_SelfStock'!AD25</f>
        <v/>
      </c>
      <c r="AG704">
        <f>'T_SelfStock'!AE25</f>
        <v/>
      </c>
      <c r="AH704">
        <f>'T_SelfStock'!AF25</f>
        <v/>
      </c>
      <c r="AI704">
        <f>'T_SelfStock'!AG25</f>
        <v/>
      </c>
      <c r="AJ704">
        <f>'T_SelfStock'!AH25</f>
        <v/>
      </c>
      <c r="AK704">
        <f>'T_SelfStock'!AI25</f>
        <v/>
      </c>
      <c r="AL704">
        <f>'T_SelfStock'!AJ25</f>
        <v/>
      </c>
      <c r="AM704">
        <f>'T_SelfStock'!AK25</f>
        <v/>
      </c>
      <c r="AN704">
        <f>'T_SelfStock'!AL25</f>
        <v/>
      </c>
      <c r="AO704">
        <f>'T_SelfStock'!AM25</f>
        <v/>
      </c>
      <c r="AP704">
        <f>'T_SelfStock'!AN25</f>
        <v/>
      </c>
      <c r="AQ704">
        <f>'T_SelfStock'!AO25</f>
        <v/>
      </c>
      <c r="AR704">
        <f>'T_SelfStock'!AP25</f>
        <v/>
      </c>
      <c r="AS704">
        <f>'T_SelfStock'!AQ25</f>
        <v/>
      </c>
      <c r="AT704">
        <f>'T_SelfStock'!AR25</f>
        <v/>
      </c>
      <c r="AU704">
        <f>'T_SelfStock'!AS25</f>
        <v/>
      </c>
      <c r="AV704">
        <f>'T_SelfStock'!AT25</f>
        <v/>
      </c>
      <c r="AW704">
        <f>'T_SelfStock'!AU25</f>
        <v/>
      </c>
      <c r="AX704">
        <f>'T_SelfStock'!AV25</f>
        <v/>
      </c>
      <c r="AY704">
        <f>'T_SelfStock'!AW25</f>
        <v/>
      </c>
      <c r="AZ704">
        <f>'T_SelfStock'!AX25</f>
        <v/>
      </c>
      <c r="BA704">
        <f>'T_SelfStock'!AY25</f>
        <v/>
      </c>
      <c r="BB704">
        <f>'T_SelfStock'!AZ25</f>
        <v/>
      </c>
      <c r="BC704">
        <f>'T_SelfStock'!BA25</f>
        <v/>
      </c>
      <c r="BD704">
        <f>'T_SelfStock'!BB25</f>
        <v/>
      </c>
      <c r="BE704">
        <f>'T_SelfStock'!BC25</f>
        <v/>
      </c>
      <c r="BF704">
        <f>'T_SelfStock'!BD25</f>
        <v/>
      </c>
      <c r="BG704">
        <f>'T_SelfStock'!BE25</f>
        <v/>
      </c>
      <c r="BH704">
        <f>'T_SelfStock'!BF25</f>
        <v/>
      </c>
      <c r="BI704">
        <f>'T_SelfStock'!BG25</f>
        <v/>
      </c>
      <c r="BJ704">
        <f>'T_SelfStock'!BH25</f>
        <v/>
      </c>
      <c r="BK704">
        <f>'T_SelfStock'!BI25</f>
        <v/>
      </c>
      <c r="BL704">
        <f>'T_SelfStock'!BJ25</f>
        <v/>
      </c>
      <c r="BM704">
        <f>'T_SelfStock'!BK25</f>
        <v/>
      </c>
      <c r="BN704">
        <f>'T_SelfStock'!BL25</f>
        <v/>
      </c>
      <c r="BO704">
        <f>'T_SelfStock'!BM25</f>
        <v/>
      </c>
      <c r="BP704">
        <f>'T_SelfStock'!BN25</f>
        <v/>
      </c>
      <c r="BQ704">
        <f>'T_SelfStock'!BO25</f>
        <v/>
      </c>
      <c r="BR704">
        <f>'T_SelfStock'!BP25</f>
        <v/>
      </c>
      <c r="BS704">
        <f>'T_SelfStock'!BQ25</f>
        <v/>
      </c>
      <c r="BT704">
        <f>'T_SelfStock'!BR25</f>
        <v/>
      </c>
      <c r="BU704">
        <f>'T_SelfStock'!BS25</f>
        <v/>
      </c>
      <c r="BV704">
        <f>'T_SelfStock'!BT25</f>
        <v/>
      </c>
      <c r="BW704">
        <f>'T_SelfStock'!BU25</f>
        <v/>
      </c>
      <c r="BX704">
        <f>'T_SelfStock'!BV25</f>
        <v/>
      </c>
      <c r="BY704">
        <f>'T_SelfStock'!BW25</f>
        <v/>
      </c>
      <c r="BZ704">
        <f>'T_SelfStock'!BX25</f>
        <v/>
      </c>
      <c r="CA704">
        <f>'T_SelfStock'!BY25</f>
        <v/>
      </c>
      <c r="CB704">
        <f>'T_SelfStock'!BZ25</f>
        <v/>
      </c>
      <c r="CC704">
        <f>'T_SelfStock'!CA25</f>
        <v/>
      </c>
      <c r="CD704">
        <f>'T_SelfStock'!CB25</f>
        <v/>
      </c>
      <c r="CE704">
        <f>'T_SelfStock'!CC25</f>
        <v/>
      </c>
      <c r="CF704">
        <f>'T_SelfStock'!CD25</f>
        <v/>
      </c>
      <c r="CG704">
        <f>'T_SelfStock'!CE25</f>
        <v/>
      </c>
      <c r="CH704">
        <f>'T_SelfStock'!CF25</f>
        <v/>
      </c>
      <c r="CI704">
        <f>'T_SelfStock'!CG25</f>
        <v/>
      </c>
      <c r="CJ704">
        <f>'T_SelfStock'!CH25</f>
        <v/>
      </c>
      <c r="CK704">
        <f>'T_SelfStock'!CI25</f>
        <v/>
      </c>
      <c r="CL704">
        <f>'T_SelfStock'!CJ25</f>
        <v/>
      </c>
      <c r="CM704">
        <f>'T_SelfStock'!CK25</f>
        <v/>
      </c>
      <c r="CN704">
        <f>'T_SelfStock'!CL25</f>
        <v/>
      </c>
      <c r="CO704">
        <f>'T_SelfStock'!CM25</f>
        <v/>
      </c>
      <c r="CP704">
        <f>'T_SelfStock'!CN25</f>
        <v/>
      </c>
      <c r="CQ704">
        <f>'T_SelfStock'!CO25</f>
        <v/>
      </c>
      <c r="CR704">
        <f>'T_SelfStock'!CP25</f>
        <v/>
      </c>
      <c r="CS704">
        <f>'T_SelfStock'!CQ25</f>
        <v/>
      </c>
      <c r="CT704">
        <f>'T_SelfStock'!CR25</f>
        <v/>
      </c>
      <c r="CU704">
        <f>'T_SelfStock'!CS25</f>
        <v/>
      </c>
      <c r="CV704">
        <f>'T_SelfStock'!CT25</f>
        <v/>
      </c>
      <c r="CW704">
        <f>'T_SelfStock'!CU25</f>
        <v/>
      </c>
      <c r="CX704">
        <f>'T_SelfStock'!CV25</f>
        <v/>
      </c>
      <c r="CY704">
        <f>'T_SelfStock'!CW25</f>
        <v/>
      </c>
      <c r="CZ704">
        <f>'T_SelfStock'!CX25</f>
        <v/>
      </c>
      <c r="DA704">
        <f>'T_SelfStock'!CY25</f>
        <v/>
      </c>
      <c r="DB704">
        <f>'T_SelfStock'!CZ25</f>
        <v/>
      </c>
      <c r="DC704">
        <f>'T_SelfStock'!DA25</f>
        <v/>
      </c>
    </row>
    <row r="705">
      <c r="B705" t="inlineStr">
        <is>
          <t>Order(発注予定,kg)</t>
        </is>
      </c>
      <c r="D705">
        <f>IF(SUMIFS(T_PlannedOrders[EffectiveQty],T_PlannedOrders[Part Name],$A681,T_PlannedOrders[WeekIndex],1)=0,"",SUMIFS(T_PlannedOrders[EffectiveQty],T_PlannedOrders[Part Name],$A681,T_PlannedOrders[WeekIndex],1)&amp;" ("&amp;TEXT(SUMPRODUCT(MAX((T_PlannedOrders[Part Name]=$A681)*(T_PlannedOrders[WeekIndex]=1)*(T_PlannedOrders[EffectiveQty]&gt;0)*T_PlannedOrders[Order_Month])),"m月")&amp;"発注)")</f>
        <v/>
      </c>
      <c r="E705">
        <f>IF(SUMIFS(T_PlannedOrders[EffectiveQty],T_PlannedOrders[Part Name],$A681,T_PlannedOrders[WeekIndex],2)=0,"",SUMIFS(T_PlannedOrders[EffectiveQty],T_PlannedOrders[Part Name],$A681,T_PlannedOrders[WeekIndex],2)&amp;" ("&amp;TEXT(SUMPRODUCT(MAX((T_PlannedOrders[Part Name]=$A681)*(T_PlannedOrders[WeekIndex]=2)*(T_PlannedOrders[EffectiveQty]&gt;0)*T_PlannedOrders[Order_Month])),"m月")&amp;"発注)")</f>
        <v/>
      </c>
      <c r="F705">
        <f>IF(SUMIFS(T_PlannedOrders[EffectiveQty],T_PlannedOrders[Part Name],$A681,T_PlannedOrders[WeekIndex],3)=0,"",SUMIFS(T_PlannedOrders[EffectiveQty],T_PlannedOrders[Part Name],$A681,T_PlannedOrders[WeekIndex],3)&amp;" ("&amp;TEXT(SUMPRODUCT(MAX((T_PlannedOrders[Part Name]=$A681)*(T_PlannedOrders[WeekIndex]=3)*(T_PlannedOrders[EffectiveQty]&gt;0)*T_PlannedOrders[Order_Month])),"m月")&amp;"発注)")</f>
        <v/>
      </c>
      <c r="G705">
        <f>IF(SUMIFS(T_PlannedOrders[EffectiveQty],T_PlannedOrders[Part Name],$A681,T_PlannedOrders[WeekIndex],4)=0,"",SUMIFS(T_PlannedOrders[EffectiveQty],T_PlannedOrders[Part Name],$A681,T_PlannedOrders[WeekIndex],4)&amp;" ("&amp;TEXT(SUMPRODUCT(MAX((T_PlannedOrders[Part Name]=$A681)*(T_PlannedOrders[WeekIndex]=4)*(T_PlannedOrders[EffectiveQty]&gt;0)*T_PlannedOrders[Order_Month])),"m月")&amp;"発注)")</f>
        <v/>
      </c>
      <c r="H705">
        <f>IF(SUMIFS(T_PlannedOrders[EffectiveQty],T_PlannedOrders[Part Name],$A681,T_PlannedOrders[WeekIndex],5)=0,"",SUMIFS(T_PlannedOrders[EffectiveQty],T_PlannedOrders[Part Name],$A681,T_PlannedOrders[WeekIndex],5)&amp;" ("&amp;TEXT(SUMPRODUCT(MAX((T_PlannedOrders[Part Name]=$A681)*(T_PlannedOrders[WeekIndex]=5)*(T_PlannedOrders[EffectiveQty]&gt;0)*T_PlannedOrders[Order_Month])),"m月")&amp;"発注)")</f>
        <v/>
      </c>
      <c r="I705">
        <f>IF(SUMIFS(T_PlannedOrders[EffectiveQty],T_PlannedOrders[Part Name],$A681,T_PlannedOrders[WeekIndex],6)=0,"",SUMIFS(T_PlannedOrders[EffectiveQty],T_PlannedOrders[Part Name],$A681,T_PlannedOrders[WeekIndex],6)&amp;" ("&amp;TEXT(SUMPRODUCT(MAX((T_PlannedOrders[Part Name]=$A681)*(T_PlannedOrders[WeekIndex]=6)*(T_PlannedOrders[EffectiveQty]&gt;0)*T_PlannedOrders[Order_Month])),"m月")&amp;"発注)")</f>
        <v/>
      </c>
      <c r="J705">
        <f>IF(SUMIFS(T_PlannedOrders[EffectiveQty],T_PlannedOrders[Part Name],$A681,T_PlannedOrders[WeekIndex],7)=0,"",SUMIFS(T_PlannedOrders[EffectiveQty],T_PlannedOrders[Part Name],$A681,T_PlannedOrders[WeekIndex],7)&amp;" ("&amp;TEXT(SUMPRODUCT(MAX((T_PlannedOrders[Part Name]=$A681)*(T_PlannedOrders[WeekIndex]=7)*(T_PlannedOrders[EffectiveQty]&gt;0)*T_PlannedOrders[Order_Month])),"m月")&amp;"発注)")</f>
        <v/>
      </c>
      <c r="K705">
        <f>IF(SUMIFS(T_PlannedOrders[EffectiveQty],T_PlannedOrders[Part Name],$A681,T_PlannedOrders[WeekIndex],8)=0,"",SUMIFS(T_PlannedOrders[EffectiveQty],T_PlannedOrders[Part Name],$A681,T_PlannedOrders[WeekIndex],8)&amp;" ("&amp;TEXT(SUMPRODUCT(MAX((T_PlannedOrders[Part Name]=$A681)*(T_PlannedOrders[WeekIndex]=8)*(T_PlannedOrders[EffectiveQty]&gt;0)*T_PlannedOrders[Order_Month])),"m月")&amp;"発注)")</f>
        <v/>
      </c>
      <c r="L705">
        <f>IF(SUMIFS(T_PlannedOrders[EffectiveQty],T_PlannedOrders[Part Name],$A681,T_PlannedOrders[WeekIndex],9)=0,"",SUMIFS(T_PlannedOrders[EffectiveQty],T_PlannedOrders[Part Name],$A681,T_PlannedOrders[WeekIndex],9)&amp;" ("&amp;TEXT(SUMPRODUCT(MAX((T_PlannedOrders[Part Name]=$A681)*(T_PlannedOrders[WeekIndex]=9)*(T_PlannedOrders[EffectiveQty]&gt;0)*T_PlannedOrders[Order_Month])),"m月")&amp;"発注)")</f>
        <v/>
      </c>
      <c r="M705">
        <f>IF(SUMIFS(T_PlannedOrders[EffectiveQty],T_PlannedOrders[Part Name],$A681,T_PlannedOrders[WeekIndex],10)=0,"",SUMIFS(T_PlannedOrders[EffectiveQty],T_PlannedOrders[Part Name],$A681,T_PlannedOrders[WeekIndex],10)&amp;" ("&amp;TEXT(SUMPRODUCT(MAX((T_PlannedOrders[Part Name]=$A681)*(T_PlannedOrders[WeekIndex]=10)*(T_PlannedOrders[EffectiveQty]&gt;0)*T_PlannedOrders[Order_Month])),"m月")&amp;"発注)")</f>
        <v/>
      </c>
      <c r="N705">
        <f>IF(SUMIFS(T_PlannedOrders[EffectiveQty],T_PlannedOrders[Part Name],$A681,T_PlannedOrders[WeekIndex],11)=0,"",SUMIFS(T_PlannedOrders[EffectiveQty],T_PlannedOrders[Part Name],$A681,T_PlannedOrders[WeekIndex],11)&amp;" ("&amp;TEXT(SUMPRODUCT(MAX((T_PlannedOrders[Part Name]=$A681)*(T_PlannedOrders[WeekIndex]=11)*(T_PlannedOrders[EffectiveQty]&gt;0)*T_PlannedOrders[Order_Month])),"m月")&amp;"発注)")</f>
        <v/>
      </c>
      <c r="O705">
        <f>IF(SUMIFS(T_PlannedOrders[EffectiveQty],T_PlannedOrders[Part Name],$A681,T_PlannedOrders[WeekIndex],12)=0,"",SUMIFS(T_PlannedOrders[EffectiveQty],T_PlannedOrders[Part Name],$A681,T_PlannedOrders[WeekIndex],12)&amp;" ("&amp;TEXT(SUMPRODUCT(MAX((T_PlannedOrders[Part Name]=$A681)*(T_PlannedOrders[WeekIndex]=12)*(T_PlannedOrders[EffectiveQty]&gt;0)*T_PlannedOrders[Order_Month])),"m月")&amp;"発注)")</f>
        <v/>
      </c>
      <c r="P705">
        <f>IF(SUMIFS(T_PlannedOrders[EffectiveQty],T_PlannedOrders[Part Name],$A681,T_PlannedOrders[WeekIndex],13)=0,"",SUMIFS(T_PlannedOrders[EffectiveQty],T_PlannedOrders[Part Name],$A681,T_PlannedOrders[WeekIndex],13)&amp;" ("&amp;TEXT(SUMPRODUCT(MAX((T_PlannedOrders[Part Name]=$A681)*(T_PlannedOrders[WeekIndex]=13)*(T_PlannedOrders[EffectiveQty]&gt;0)*T_PlannedOrders[Order_Month])),"m月")&amp;"発注)")</f>
        <v/>
      </c>
      <c r="Q705">
        <f>IF(SUMIFS(T_PlannedOrders[EffectiveQty],T_PlannedOrders[Part Name],$A681,T_PlannedOrders[WeekIndex],14)=0,"",SUMIFS(T_PlannedOrders[EffectiveQty],T_PlannedOrders[Part Name],$A681,T_PlannedOrders[WeekIndex],14)&amp;" ("&amp;TEXT(SUMPRODUCT(MAX((T_PlannedOrders[Part Name]=$A681)*(T_PlannedOrders[WeekIndex]=14)*(T_PlannedOrders[EffectiveQty]&gt;0)*T_PlannedOrders[Order_Month])),"m月")&amp;"発注)")</f>
        <v/>
      </c>
      <c r="R705">
        <f>IF(SUMIFS(T_PlannedOrders[EffectiveQty],T_PlannedOrders[Part Name],$A681,T_PlannedOrders[WeekIndex],15)=0,"",SUMIFS(T_PlannedOrders[EffectiveQty],T_PlannedOrders[Part Name],$A681,T_PlannedOrders[WeekIndex],15)&amp;" ("&amp;TEXT(SUMPRODUCT(MAX((T_PlannedOrders[Part Name]=$A681)*(T_PlannedOrders[WeekIndex]=15)*(T_PlannedOrders[EffectiveQty]&gt;0)*T_PlannedOrders[Order_Month])),"m月")&amp;"発注)")</f>
        <v/>
      </c>
      <c r="S705">
        <f>IF(SUMIFS(T_PlannedOrders[EffectiveQty],T_PlannedOrders[Part Name],$A681,T_PlannedOrders[WeekIndex],16)=0,"",SUMIFS(T_PlannedOrders[EffectiveQty],T_PlannedOrders[Part Name],$A681,T_PlannedOrders[WeekIndex],16)&amp;" ("&amp;TEXT(SUMPRODUCT(MAX((T_PlannedOrders[Part Name]=$A681)*(T_PlannedOrders[WeekIndex]=16)*(T_PlannedOrders[EffectiveQty]&gt;0)*T_PlannedOrders[Order_Month])),"m月")&amp;"発注)")</f>
        <v/>
      </c>
      <c r="T705">
        <f>IF(SUMIFS(T_PlannedOrders[EffectiveQty],T_PlannedOrders[Part Name],$A681,T_PlannedOrders[WeekIndex],17)=0,"",SUMIFS(T_PlannedOrders[EffectiveQty],T_PlannedOrders[Part Name],$A681,T_PlannedOrders[WeekIndex],17)&amp;" ("&amp;TEXT(SUMPRODUCT(MAX((T_PlannedOrders[Part Name]=$A681)*(T_PlannedOrders[WeekIndex]=17)*(T_PlannedOrders[EffectiveQty]&gt;0)*T_PlannedOrders[Order_Month])),"m月")&amp;"発注)")</f>
        <v/>
      </c>
      <c r="U705">
        <f>IF(SUMIFS(T_PlannedOrders[EffectiveQty],T_PlannedOrders[Part Name],$A681,T_PlannedOrders[WeekIndex],18)=0,"",SUMIFS(T_PlannedOrders[EffectiveQty],T_PlannedOrders[Part Name],$A681,T_PlannedOrders[WeekIndex],18)&amp;" ("&amp;TEXT(SUMPRODUCT(MAX((T_PlannedOrders[Part Name]=$A681)*(T_PlannedOrders[WeekIndex]=18)*(T_PlannedOrders[EffectiveQty]&gt;0)*T_PlannedOrders[Order_Month])),"m月")&amp;"発注)")</f>
        <v/>
      </c>
      <c r="V705">
        <f>IF(SUMIFS(T_PlannedOrders[EffectiveQty],T_PlannedOrders[Part Name],$A681,T_PlannedOrders[WeekIndex],19)=0,"",SUMIFS(T_PlannedOrders[EffectiveQty],T_PlannedOrders[Part Name],$A681,T_PlannedOrders[WeekIndex],19)&amp;" ("&amp;TEXT(SUMPRODUCT(MAX((T_PlannedOrders[Part Name]=$A681)*(T_PlannedOrders[WeekIndex]=19)*(T_PlannedOrders[EffectiveQty]&gt;0)*T_PlannedOrders[Order_Month])),"m月")&amp;"発注)")</f>
        <v/>
      </c>
      <c r="W705">
        <f>IF(SUMIFS(T_PlannedOrders[EffectiveQty],T_PlannedOrders[Part Name],$A681,T_PlannedOrders[WeekIndex],20)=0,"",SUMIFS(T_PlannedOrders[EffectiveQty],T_PlannedOrders[Part Name],$A681,T_PlannedOrders[WeekIndex],20)&amp;" ("&amp;TEXT(SUMPRODUCT(MAX((T_PlannedOrders[Part Name]=$A681)*(T_PlannedOrders[WeekIndex]=20)*(T_PlannedOrders[EffectiveQty]&gt;0)*T_PlannedOrders[Order_Month])),"m月")&amp;"発注)")</f>
        <v/>
      </c>
      <c r="X705">
        <f>IF(SUMIFS(T_PlannedOrders[EffectiveQty],T_PlannedOrders[Part Name],$A681,T_PlannedOrders[WeekIndex],21)=0,"",SUMIFS(T_PlannedOrders[EffectiveQty],T_PlannedOrders[Part Name],$A681,T_PlannedOrders[WeekIndex],21)&amp;" ("&amp;TEXT(SUMPRODUCT(MAX((T_PlannedOrders[Part Name]=$A681)*(T_PlannedOrders[WeekIndex]=21)*(T_PlannedOrders[EffectiveQty]&gt;0)*T_PlannedOrders[Order_Month])),"m月")&amp;"発注)")</f>
        <v/>
      </c>
      <c r="Y705">
        <f>IF(SUMIFS(T_PlannedOrders[EffectiveQty],T_PlannedOrders[Part Name],$A681,T_PlannedOrders[WeekIndex],22)=0,"",SUMIFS(T_PlannedOrders[EffectiveQty],T_PlannedOrders[Part Name],$A681,T_PlannedOrders[WeekIndex],22)&amp;" ("&amp;TEXT(SUMPRODUCT(MAX((T_PlannedOrders[Part Name]=$A681)*(T_PlannedOrders[WeekIndex]=22)*(T_PlannedOrders[EffectiveQty]&gt;0)*T_PlannedOrders[Order_Month])),"m月")&amp;"発注)")</f>
        <v/>
      </c>
      <c r="Z705">
        <f>IF(SUMIFS(T_PlannedOrders[EffectiveQty],T_PlannedOrders[Part Name],$A681,T_PlannedOrders[WeekIndex],23)=0,"",SUMIFS(T_PlannedOrders[EffectiveQty],T_PlannedOrders[Part Name],$A681,T_PlannedOrders[WeekIndex],23)&amp;" ("&amp;TEXT(SUMPRODUCT(MAX((T_PlannedOrders[Part Name]=$A681)*(T_PlannedOrders[WeekIndex]=23)*(T_PlannedOrders[EffectiveQty]&gt;0)*T_PlannedOrders[Order_Month])),"m月")&amp;"発注)")</f>
        <v/>
      </c>
      <c r="AA705">
        <f>IF(SUMIFS(T_PlannedOrders[EffectiveQty],T_PlannedOrders[Part Name],$A681,T_PlannedOrders[WeekIndex],24)=0,"",SUMIFS(T_PlannedOrders[EffectiveQty],T_PlannedOrders[Part Name],$A681,T_PlannedOrders[WeekIndex],24)&amp;" ("&amp;TEXT(SUMPRODUCT(MAX((T_PlannedOrders[Part Name]=$A681)*(T_PlannedOrders[WeekIndex]=24)*(T_PlannedOrders[EffectiveQty]&gt;0)*T_PlannedOrders[Order_Month])),"m月")&amp;"発注)")</f>
        <v/>
      </c>
      <c r="AB705">
        <f>IF(SUMIFS(T_PlannedOrders[EffectiveQty],T_PlannedOrders[Part Name],$A681,T_PlannedOrders[WeekIndex],25)=0,"",SUMIFS(T_PlannedOrders[EffectiveQty],T_PlannedOrders[Part Name],$A681,T_PlannedOrders[WeekIndex],25)&amp;" ("&amp;TEXT(SUMPRODUCT(MAX((T_PlannedOrders[Part Name]=$A681)*(T_PlannedOrders[WeekIndex]=25)*(T_PlannedOrders[EffectiveQty]&gt;0)*T_PlannedOrders[Order_Month])),"m月")&amp;"発注)")</f>
        <v/>
      </c>
      <c r="AC705">
        <f>IF(SUMIFS(T_PlannedOrders[EffectiveQty],T_PlannedOrders[Part Name],$A681,T_PlannedOrders[WeekIndex],26)=0,"",SUMIFS(T_PlannedOrders[EffectiveQty],T_PlannedOrders[Part Name],$A681,T_PlannedOrders[WeekIndex],26)&amp;" ("&amp;TEXT(SUMPRODUCT(MAX((T_PlannedOrders[Part Name]=$A681)*(T_PlannedOrders[WeekIndex]=26)*(T_PlannedOrders[EffectiveQty]&gt;0)*T_PlannedOrders[Order_Month])),"m月")&amp;"発注)")</f>
        <v/>
      </c>
      <c r="AD705">
        <f>IF(SUMIFS(T_PlannedOrders[EffectiveQty],T_PlannedOrders[Part Name],$A681,T_PlannedOrders[WeekIndex],27)=0,"",SUMIFS(T_PlannedOrders[EffectiveQty],T_PlannedOrders[Part Name],$A681,T_PlannedOrders[WeekIndex],27)&amp;" ("&amp;TEXT(SUMPRODUCT(MAX((T_PlannedOrders[Part Name]=$A681)*(T_PlannedOrders[WeekIndex]=27)*(T_PlannedOrders[EffectiveQty]&gt;0)*T_PlannedOrders[Order_Month])),"m月")&amp;"発注)")</f>
        <v/>
      </c>
      <c r="AE705">
        <f>IF(SUMIFS(T_PlannedOrders[EffectiveQty],T_PlannedOrders[Part Name],$A681,T_PlannedOrders[WeekIndex],28)=0,"",SUMIFS(T_PlannedOrders[EffectiveQty],T_PlannedOrders[Part Name],$A681,T_PlannedOrders[WeekIndex],28)&amp;" ("&amp;TEXT(SUMPRODUCT(MAX((T_PlannedOrders[Part Name]=$A681)*(T_PlannedOrders[WeekIndex]=28)*(T_PlannedOrders[EffectiveQty]&gt;0)*T_PlannedOrders[Order_Month])),"m月")&amp;"発注)")</f>
        <v/>
      </c>
      <c r="AF705">
        <f>IF(SUMIFS(T_PlannedOrders[EffectiveQty],T_PlannedOrders[Part Name],$A681,T_PlannedOrders[WeekIndex],29)=0,"",SUMIFS(T_PlannedOrders[EffectiveQty],T_PlannedOrders[Part Name],$A681,T_PlannedOrders[WeekIndex],29)&amp;" ("&amp;TEXT(SUMPRODUCT(MAX((T_PlannedOrders[Part Name]=$A681)*(T_PlannedOrders[WeekIndex]=29)*(T_PlannedOrders[EffectiveQty]&gt;0)*T_PlannedOrders[Order_Month])),"m月")&amp;"発注)")</f>
        <v/>
      </c>
      <c r="AG705">
        <f>IF(SUMIFS(T_PlannedOrders[EffectiveQty],T_PlannedOrders[Part Name],$A681,T_PlannedOrders[WeekIndex],30)=0,"",SUMIFS(T_PlannedOrders[EffectiveQty],T_PlannedOrders[Part Name],$A681,T_PlannedOrders[WeekIndex],30)&amp;" ("&amp;TEXT(SUMPRODUCT(MAX((T_PlannedOrders[Part Name]=$A681)*(T_PlannedOrders[WeekIndex]=30)*(T_PlannedOrders[EffectiveQty]&gt;0)*T_PlannedOrders[Order_Month])),"m月")&amp;"発注)")</f>
        <v/>
      </c>
      <c r="AH705">
        <f>IF(SUMIFS(T_PlannedOrders[EffectiveQty],T_PlannedOrders[Part Name],$A681,T_PlannedOrders[WeekIndex],31)=0,"",SUMIFS(T_PlannedOrders[EffectiveQty],T_PlannedOrders[Part Name],$A681,T_PlannedOrders[WeekIndex],31)&amp;" ("&amp;TEXT(SUMPRODUCT(MAX((T_PlannedOrders[Part Name]=$A681)*(T_PlannedOrders[WeekIndex]=31)*(T_PlannedOrders[EffectiveQty]&gt;0)*T_PlannedOrders[Order_Month])),"m月")&amp;"発注)")</f>
        <v/>
      </c>
      <c r="AI705">
        <f>IF(SUMIFS(T_PlannedOrders[EffectiveQty],T_PlannedOrders[Part Name],$A681,T_PlannedOrders[WeekIndex],32)=0,"",SUMIFS(T_PlannedOrders[EffectiveQty],T_PlannedOrders[Part Name],$A681,T_PlannedOrders[WeekIndex],32)&amp;" ("&amp;TEXT(SUMPRODUCT(MAX((T_PlannedOrders[Part Name]=$A681)*(T_PlannedOrders[WeekIndex]=32)*(T_PlannedOrders[EffectiveQty]&gt;0)*T_PlannedOrders[Order_Month])),"m月")&amp;"発注)")</f>
        <v/>
      </c>
      <c r="AJ705">
        <f>IF(SUMIFS(T_PlannedOrders[EffectiveQty],T_PlannedOrders[Part Name],$A681,T_PlannedOrders[WeekIndex],33)=0,"",SUMIFS(T_PlannedOrders[EffectiveQty],T_PlannedOrders[Part Name],$A681,T_PlannedOrders[WeekIndex],33)&amp;" ("&amp;TEXT(SUMPRODUCT(MAX((T_PlannedOrders[Part Name]=$A681)*(T_PlannedOrders[WeekIndex]=33)*(T_PlannedOrders[EffectiveQty]&gt;0)*T_PlannedOrders[Order_Month])),"m月")&amp;"発注)")</f>
        <v/>
      </c>
      <c r="AK705">
        <f>IF(SUMIFS(T_PlannedOrders[EffectiveQty],T_PlannedOrders[Part Name],$A681,T_PlannedOrders[WeekIndex],34)=0,"",SUMIFS(T_PlannedOrders[EffectiveQty],T_PlannedOrders[Part Name],$A681,T_PlannedOrders[WeekIndex],34)&amp;" ("&amp;TEXT(SUMPRODUCT(MAX((T_PlannedOrders[Part Name]=$A681)*(T_PlannedOrders[WeekIndex]=34)*(T_PlannedOrders[EffectiveQty]&gt;0)*T_PlannedOrders[Order_Month])),"m月")&amp;"発注)")</f>
        <v/>
      </c>
      <c r="AL705">
        <f>IF(SUMIFS(T_PlannedOrders[EffectiveQty],T_PlannedOrders[Part Name],$A681,T_PlannedOrders[WeekIndex],35)=0,"",SUMIFS(T_PlannedOrders[EffectiveQty],T_PlannedOrders[Part Name],$A681,T_PlannedOrders[WeekIndex],35)&amp;" ("&amp;TEXT(SUMPRODUCT(MAX((T_PlannedOrders[Part Name]=$A681)*(T_PlannedOrders[WeekIndex]=35)*(T_PlannedOrders[EffectiveQty]&gt;0)*T_PlannedOrders[Order_Month])),"m月")&amp;"発注)")</f>
        <v/>
      </c>
      <c r="AM705">
        <f>IF(SUMIFS(T_PlannedOrders[EffectiveQty],T_PlannedOrders[Part Name],$A681,T_PlannedOrders[WeekIndex],36)=0,"",SUMIFS(T_PlannedOrders[EffectiveQty],T_PlannedOrders[Part Name],$A681,T_PlannedOrders[WeekIndex],36)&amp;" ("&amp;TEXT(SUMPRODUCT(MAX((T_PlannedOrders[Part Name]=$A681)*(T_PlannedOrders[WeekIndex]=36)*(T_PlannedOrders[EffectiveQty]&gt;0)*T_PlannedOrders[Order_Month])),"m月")&amp;"発注)")</f>
        <v/>
      </c>
      <c r="AN705">
        <f>IF(SUMIFS(T_PlannedOrders[EffectiveQty],T_PlannedOrders[Part Name],$A681,T_PlannedOrders[WeekIndex],37)=0,"",SUMIFS(T_PlannedOrders[EffectiveQty],T_PlannedOrders[Part Name],$A681,T_PlannedOrders[WeekIndex],37)&amp;" ("&amp;TEXT(SUMPRODUCT(MAX((T_PlannedOrders[Part Name]=$A681)*(T_PlannedOrders[WeekIndex]=37)*(T_PlannedOrders[EffectiveQty]&gt;0)*T_PlannedOrders[Order_Month])),"m月")&amp;"発注)")</f>
        <v/>
      </c>
      <c r="AO705">
        <f>IF(SUMIFS(T_PlannedOrders[EffectiveQty],T_PlannedOrders[Part Name],$A681,T_PlannedOrders[WeekIndex],38)=0,"",SUMIFS(T_PlannedOrders[EffectiveQty],T_PlannedOrders[Part Name],$A681,T_PlannedOrders[WeekIndex],38)&amp;" ("&amp;TEXT(SUMPRODUCT(MAX((T_PlannedOrders[Part Name]=$A681)*(T_PlannedOrders[WeekIndex]=38)*(T_PlannedOrders[EffectiveQty]&gt;0)*T_PlannedOrders[Order_Month])),"m月")&amp;"発注)")</f>
        <v/>
      </c>
      <c r="AP705">
        <f>IF(SUMIFS(T_PlannedOrders[EffectiveQty],T_PlannedOrders[Part Name],$A681,T_PlannedOrders[WeekIndex],39)=0,"",SUMIFS(T_PlannedOrders[EffectiveQty],T_PlannedOrders[Part Name],$A681,T_PlannedOrders[WeekIndex],39)&amp;" ("&amp;TEXT(SUMPRODUCT(MAX((T_PlannedOrders[Part Name]=$A681)*(T_PlannedOrders[WeekIndex]=39)*(T_PlannedOrders[EffectiveQty]&gt;0)*T_PlannedOrders[Order_Month])),"m月")&amp;"発注)")</f>
        <v/>
      </c>
      <c r="AQ705">
        <f>IF(SUMIFS(T_PlannedOrders[EffectiveQty],T_PlannedOrders[Part Name],$A681,T_PlannedOrders[WeekIndex],40)=0,"",SUMIFS(T_PlannedOrders[EffectiveQty],T_PlannedOrders[Part Name],$A681,T_PlannedOrders[WeekIndex],40)&amp;" ("&amp;TEXT(SUMPRODUCT(MAX((T_PlannedOrders[Part Name]=$A681)*(T_PlannedOrders[WeekIndex]=40)*(T_PlannedOrders[EffectiveQty]&gt;0)*T_PlannedOrders[Order_Month])),"m月")&amp;"発注)")</f>
        <v/>
      </c>
      <c r="AR705">
        <f>IF(SUMIFS(T_PlannedOrders[EffectiveQty],T_PlannedOrders[Part Name],$A681,T_PlannedOrders[WeekIndex],41)=0,"",SUMIFS(T_PlannedOrders[EffectiveQty],T_PlannedOrders[Part Name],$A681,T_PlannedOrders[WeekIndex],41)&amp;" ("&amp;TEXT(SUMPRODUCT(MAX((T_PlannedOrders[Part Name]=$A681)*(T_PlannedOrders[WeekIndex]=41)*(T_PlannedOrders[EffectiveQty]&gt;0)*T_PlannedOrders[Order_Month])),"m月")&amp;"発注)")</f>
        <v/>
      </c>
      <c r="AS705">
        <f>IF(SUMIFS(T_PlannedOrders[EffectiveQty],T_PlannedOrders[Part Name],$A681,T_PlannedOrders[WeekIndex],42)=0,"",SUMIFS(T_PlannedOrders[EffectiveQty],T_PlannedOrders[Part Name],$A681,T_PlannedOrders[WeekIndex],42)&amp;" ("&amp;TEXT(SUMPRODUCT(MAX((T_PlannedOrders[Part Name]=$A681)*(T_PlannedOrders[WeekIndex]=42)*(T_PlannedOrders[EffectiveQty]&gt;0)*T_PlannedOrders[Order_Month])),"m月")&amp;"発注)")</f>
        <v/>
      </c>
      <c r="AT705">
        <f>IF(SUMIFS(T_PlannedOrders[EffectiveQty],T_PlannedOrders[Part Name],$A681,T_PlannedOrders[WeekIndex],43)=0,"",SUMIFS(T_PlannedOrders[EffectiveQty],T_PlannedOrders[Part Name],$A681,T_PlannedOrders[WeekIndex],43)&amp;" ("&amp;TEXT(SUMPRODUCT(MAX((T_PlannedOrders[Part Name]=$A681)*(T_PlannedOrders[WeekIndex]=43)*(T_PlannedOrders[EffectiveQty]&gt;0)*T_PlannedOrders[Order_Month])),"m月")&amp;"発注)")</f>
        <v/>
      </c>
      <c r="AU705">
        <f>IF(SUMIFS(T_PlannedOrders[EffectiveQty],T_PlannedOrders[Part Name],$A681,T_PlannedOrders[WeekIndex],44)=0,"",SUMIFS(T_PlannedOrders[EffectiveQty],T_PlannedOrders[Part Name],$A681,T_PlannedOrders[WeekIndex],44)&amp;" ("&amp;TEXT(SUMPRODUCT(MAX((T_PlannedOrders[Part Name]=$A681)*(T_PlannedOrders[WeekIndex]=44)*(T_PlannedOrders[EffectiveQty]&gt;0)*T_PlannedOrders[Order_Month])),"m月")&amp;"発注)")</f>
        <v/>
      </c>
      <c r="AV705">
        <f>IF(SUMIFS(T_PlannedOrders[EffectiveQty],T_PlannedOrders[Part Name],$A681,T_PlannedOrders[WeekIndex],45)=0,"",SUMIFS(T_PlannedOrders[EffectiveQty],T_PlannedOrders[Part Name],$A681,T_PlannedOrders[WeekIndex],45)&amp;" ("&amp;TEXT(SUMPRODUCT(MAX((T_PlannedOrders[Part Name]=$A681)*(T_PlannedOrders[WeekIndex]=45)*(T_PlannedOrders[EffectiveQty]&gt;0)*T_PlannedOrders[Order_Month])),"m月")&amp;"発注)")</f>
        <v/>
      </c>
      <c r="AW705">
        <f>IF(SUMIFS(T_PlannedOrders[EffectiveQty],T_PlannedOrders[Part Name],$A681,T_PlannedOrders[WeekIndex],46)=0,"",SUMIFS(T_PlannedOrders[EffectiveQty],T_PlannedOrders[Part Name],$A681,T_PlannedOrders[WeekIndex],46)&amp;" ("&amp;TEXT(SUMPRODUCT(MAX((T_PlannedOrders[Part Name]=$A681)*(T_PlannedOrders[WeekIndex]=46)*(T_PlannedOrders[EffectiveQty]&gt;0)*T_PlannedOrders[Order_Month])),"m月")&amp;"発注)")</f>
        <v/>
      </c>
      <c r="AX705">
        <f>IF(SUMIFS(T_PlannedOrders[EffectiveQty],T_PlannedOrders[Part Name],$A681,T_PlannedOrders[WeekIndex],47)=0,"",SUMIFS(T_PlannedOrders[EffectiveQty],T_PlannedOrders[Part Name],$A681,T_PlannedOrders[WeekIndex],47)&amp;" ("&amp;TEXT(SUMPRODUCT(MAX((T_PlannedOrders[Part Name]=$A681)*(T_PlannedOrders[WeekIndex]=47)*(T_PlannedOrders[EffectiveQty]&gt;0)*T_PlannedOrders[Order_Month])),"m月")&amp;"発注)")</f>
        <v/>
      </c>
      <c r="AY705">
        <f>IF(SUMIFS(T_PlannedOrders[EffectiveQty],T_PlannedOrders[Part Name],$A681,T_PlannedOrders[WeekIndex],48)=0,"",SUMIFS(T_PlannedOrders[EffectiveQty],T_PlannedOrders[Part Name],$A681,T_PlannedOrders[WeekIndex],48)&amp;" ("&amp;TEXT(SUMPRODUCT(MAX((T_PlannedOrders[Part Name]=$A681)*(T_PlannedOrders[WeekIndex]=48)*(T_PlannedOrders[EffectiveQty]&gt;0)*T_PlannedOrders[Order_Month])),"m月")&amp;"発注)")</f>
        <v/>
      </c>
      <c r="AZ705">
        <f>IF(SUMIFS(T_PlannedOrders[EffectiveQty],T_PlannedOrders[Part Name],$A681,T_PlannedOrders[WeekIndex],49)=0,"",SUMIFS(T_PlannedOrders[EffectiveQty],T_PlannedOrders[Part Name],$A681,T_PlannedOrders[WeekIndex],49)&amp;" ("&amp;TEXT(SUMPRODUCT(MAX((T_PlannedOrders[Part Name]=$A681)*(T_PlannedOrders[WeekIndex]=49)*(T_PlannedOrders[EffectiveQty]&gt;0)*T_PlannedOrders[Order_Month])),"m月")&amp;"発注)")</f>
        <v/>
      </c>
      <c r="BA705">
        <f>IF(SUMIFS(T_PlannedOrders[EffectiveQty],T_PlannedOrders[Part Name],$A681,T_PlannedOrders[WeekIndex],50)=0,"",SUMIFS(T_PlannedOrders[EffectiveQty],T_PlannedOrders[Part Name],$A681,T_PlannedOrders[WeekIndex],50)&amp;" ("&amp;TEXT(SUMPRODUCT(MAX((T_PlannedOrders[Part Name]=$A681)*(T_PlannedOrders[WeekIndex]=50)*(T_PlannedOrders[EffectiveQty]&gt;0)*T_PlannedOrders[Order_Month])),"m月")&amp;"発注)")</f>
        <v/>
      </c>
      <c r="BB705">
        <f>IF(SUMIFS(T_PlannedOrders[EffectiveQty],T_PlannedOrders[Part Name],$A681,T_PlannedOrders[WeekIndex],51)=0,"",SUMIFS(T_PlannedOrders[EffectiveQty],T_PlannedOrders[Part Name],$A681,T_PlannedOrders[WeekIndex],51)&amp;" ("&amp;TEXT(SUMPRODUCT(MAX((T_PlannedOrders[Part Name]=$A681)*(T_PlannedOrders[WeekIndex]=51)*(T_PlannedOrders[EffectiveQty]&gt;0)*T_PlannedOrders[Order_Month])),"m月")&amp;"発注)")</f>
        <v/>
      </c>
      <c r="BC705">
        <f>IF(SUMIFS(T_PlannedOrders[EffectiveQty],T_PlannedOrders[Part Name],$A681,T_PlannedOrders[WeekIndex],52)=0,"",SUMIFS(T_PlannedOrders[EffectiveQty],T_PlannedOrders[Part Name],$A681,T_PlannedOrders[WeekIndex],52)&amp;" ("&amp;TEXT(SUMPRODUCT(MAX((T_PlannedOrders[Part Name]=$A681)*(T_PlannedOrders[WeekIndex]=52)*(T_PlannedOrders[EffectiveQty]&gt;0)*T_PlannedOrders[Order_Month])),"m月")&amp;"発注)")</f>
        <v/>
      </c>
      <c r="BD705">
        <f>IF(SUMIFS(T_PlannedOrders[EffectiveQty],T_PlannedOrders[Part Name],$A681,T_PlannedOrders[WeekIndex],53)=0,"",SUMIFS(T_PlannedOrders[EffectiveQty],T_PlannedOrders[Part Name],$A681,T_PlannedOrders[WeekIndex],53)&amp;" ("&amp;TEXT(SUMPRODUCT(MAX((T_PlannedOrders[Part Name]=$A681)*(T_PlannedOrders[WeekIndex]=53)*(T_PlannedOrders[EffectiveQty]&gt;0)*T_PlannedOrders[Order_Month])),"m月")&amp;"発注)")</f>
        <v/>
      </c>
      <c r="BE705">
        <f>IF(SUMIFS(T_PlannedOrders[EffectiveQty],T_PlannedOrders[Part Name],$A681,T_PlannedOrders[WeekIndex],54)=0,"",SUMIFS(T_PlannedOrders[EffectiveQty],T_PlannedOrders[Part Name],$A681,T_PlannedOrders[WeekIndex],54)&amp;" ("&amp;TEXT(SUMPRODUCT(MAX((T_PlannedOrders[Part Name]=$A681)*(T_PlannedOrders[WeekIndex]=54)*(T_PlannedOrders[EffectiveQty]&gt;0)*T_PlannedOrders[Order_Month])),"m月")&amp;"発注)")</f>
        <v/>
      </c>
      <c r="BF705">
        <f>IF(SUMIFS(T_PlannedOrders[EffectiveQty],T_PlannedOrders[Part Name],$A681,T_PlannedOrders[WeekIndex],55)=0,"",SUMIFS(T_PlannedOrders[EffectiveQty],T_PlannedOrders[Part Name],$A681,T_PlannedOrders[WeekIndex],55)&amp;" ("&amp;TEXT(SUMPRODUCT(MAX((T_PlannedOrders[Part Name]=$A681)*(T_PlannedOrders[WeekIndex]=55)*(T_PlannedOrders[EffectiveQty]&gt;0)*T_PlannedOrders[Order_Month])),"m月")&amp;"発注)")</f>
        <v/>
      </c>
      <c r="BG705">
        <f>IF(SUMIFS(T_PlannedOrders[EffectiveQty],T_PlannedOrders[Part Name],$A681,T_PlannedOrders[WeekIndex],56)=0,"",SUMIFS(T_PlannedOrders[EffectiveQty],T_PlannedOrders[Part Name],$A681,T_PlannedOrders[WeekIndex],56)&amp;" ("&amp;TEXT(SUMPRODUCT(MAX((T_PlannedOrders[Part Name]=$A681)*(T_PlannedOrders[WeekIndex]=56)*(T_PlannedOrders[EffectiveQty]&gt;0)*T_PlannedOrders[Order_Month])),"m月")&amp;"発注)")</f>
        <v/>
      </c>
      <c r="BH705">
        <f>IF(SUMIFS(T_PlannedOrders[EffectiveQty],T_PlannedOrders[Part Name],$A681,T_PlannedOrders[WeekIndex],57)=0,"",SUMIFS(T_PlannedOrders[EffectiveQty],T_PlannedOrders[Part Name],$A681,T_PlannedOrders[WeekIndex],57)&amp;" ("&amp;TEXT(SUMPRODUCT(MAX((T_PlannedOrders[Part Name]=$A681)*(T_PlannedOrders[WeekIndex]=57)*(T_PlannedOrders[EffectiveQty]&gt;0)*T_PlannedOrders[Order_Month])),"m月")&amp;"発注)")</f>
        <v/>
      </c>
      <c r="BI705">
        <f>IF(SUMIFS(T_PlannedOrders[EffectiveQty],T_PlannedOrders[Part Name],$A681,T_PlannedOrders[WeekIndex],58)=0,"",SUMIFS(T_PlannedOrders[EffectiveQty],T_PlannedOrders[Part Name],$A681,T_PlannedOrders[WeekIndex],58)&amp;" ("&amp;TEXT(SUMPRODUCT(MAX((T_PlannedOrders[Part Name]=$A681)*(T_PlannedOrders[WeekIndex]=58)*(T_PlannedOrders[EffectiveQty]&gt;0)*T_PlannedOrders[Order_Month])),"m月")&amp;"発注)")</f>
        <v/>
      </c>
      <c r="BJ705">
        <f>IF(SUMIFS(T_PlannedOrders[EffectiveQty],T_PlannedOrders[Part Name],$A681,T_PlannedOrders[WeekIndex],59)=0,"",SUMIFS(T_PlannedOrders[EffectiveQty],T_PlannedOrders[Part Name],$A681,T_PlannedOrders[WeekIndex],59)&amp;" ("&amp;TEXT(SUMPRODUCT(MAX((T_PlannedOrders[Part Name]=$A681)*(T_PlannedOrders[WeekIndex]=59)*(T_PlannedOrders[EffectiveQty]&gt;0)*T_PlannedOrders[Order_Month])),"m月")&amp;"発注)")</f>
        <v/>
      </c>
      <c r="BK705">
        <f>IF(SUMIFS(T_PlannedOrders[EffectiveQty],T_PlannedOrders[Part Name],$A681,T_PlannedOrders[WeekIndex],60)=0,"",SUMIFS(T_PlannedOrders[EffectiveQty],T_PlannedOrders[Part Name],$A681,T_PlannedOrders[WeekIndex],60)&amp;" ("&amp;TEXT(SUMPRODUCT(MAX((T_PlannedOrders[Part Name]=$A681)*(T_PlannedOrders[WeekIndex]=60)*(T_PlannedOrders[EffectiveQty]&gt;0)*T_PlannedOrders[Order_Month])),"m月")&amp;"発注)")</f>
        <v/>
      </c>
      <c r="BL705">
        <f>IF(SUMIFS(T_PlannedOrders[EffectiveQty],T_PlannedOrders[Part Name],$A681,T_PlannedOrders[WeekIndex],61)=0,"",SUMIFS(T_PlannedOrders[EffectiveQty],T_PlannedOrders[Part Name],$A681,T_PlannedOrders[WeekIndex],61)&amp;" ("&amp;TEXT(SUMPRODUCT(MAX((T_PlannedOrders[Part Name]=$A681)*(T_PlannedOrders[WeekIndex]=61)*(T_PlannedOrders[EffectiveQty]&gt;0)*T_PlannedOrders[Order_Month])),"m月")&amp;"発注)")</f>
        <v/>
      </c>
      <c r="BM705">
        <f>IF(SUMIFS(T_PlannedOrders[EffectiveQty],T_PlannedOrders[Part Name],$A681,T_PlannedOrders[WeekIndex],62)=0,"",SUMIFS(T_PlannedOrders[EffectiveQty],T_PlannedOrders[Part Name],$A681,T_PlannedOrders[WeekIndex],62)&amp;" ("&amp;TEXT(SUMPRODUCT(MAX((T_PlannedOrders[Part Name]=$A681)*(T_PlannedOrders[WeekIndex]=62)*(T_PlannedOrders[EffectiveQty]&gt;0)*T_PlannedOrders[Order_Month])),"m月")&amp;"発注)")</f>
        <v/>
      </c>
      <c r="BN705">
        <f>IF(SUMIFS(T_PlannedOrders[EffectiveQty],T_PlannedOrders[Part Name],$A681,T_PlannedOrders[WeekIndex],63)=0,"",SUMIFS(T_PlannedOrders[EffectiveQty],T_PlannedOrders[Part Name],$A681,T_PlannedOrders[WeekIndex],63)&amp;" ("&amp;TEXT(SUMPRODUCT(MAX((T_PlannedOrders[Part Name]=$A681)*(T_PlannedOrders[WeekIndex]=63)*(T_PlannedOrders[EffectiveQty]&gt;0)*T_PlannedOrders[Order_Month])),"m月")&amp;"発注)")</f>
        <v/>
      </c>
      <c r="BO705">
        <f>IF(SUMIFS(T_PlannedOrders[EffectiveQty],T_PlannedOrders[Part Name],$A681,T_PlannedOrders[WeekIndex],64)=0,"",SUMIFS(T_PlannedOrders[EffectiveQty],T_PlannedOrders[Part Name],$A681,T_PlannedOrders[WeekIndex],64)&amp;" ("&amp;TEXT(SUMPRODUCT(MAX((T_PlannedOrders[Part Name]=$A681)*(T_PlannedOrders[WeekIndex]=64)*(T_PlannedOrders[EffectiveQty]&gt;0)*T_PlannedOrders[Order_Month])),"m月")&amp;"発注)")</f>
        <v/>
      </c>
      <c r="BP705">
        <f>IF(SUMIFS(T_PlannedOrders[EffectiveQty],T_PlannedOrders[Part Name],$A681,T_PlannedOrders[WeekIndex],65)=0,"",SUMIFS(T_PlannedOrders[EffectiveQty],T_PlannedOrders[Part Name],$A681,T_PlannedOrders[WeekIndex],65)&amp;" ("&amp;TEXT(SUMPRODUCT(MAX((T_PlannedOrders[Part Name]=$A681)*(T_PlannedOrders[WeekIndex]=65)*(T_PlannedOrders[EffectiveQty]&gt;0)*T_PlannedOrders[Order_Month])),"m月")&amp;"発注)")</f>
        <v/>
      </c>
      <c r="BQ705">
        <f>IF(SUMIFS(T_PlannedOrders[EffectiveQty],T_PlannedOrders[Part Name],$A681,T_PlannedOrders[WeekIndex],66)=0,"",SUMIFS(T_PlannedOrders[EffectiveQty],T_PlannedOrders[Part Name],$A681,T_PlannedOrders[WeekIndex],66)&amp;" ("&amp;TEXT(SUMPRODUCT(MAX((T_PlannedOrders[Part Name]=$A681)*(T_PlannedOrders[WeekIndex]=66)*(T_PlannedOrders[EffectiveQty]&gt;0)*T_PlannedOrders[Order_Month])),"m月")&amp;"発注)")</f>
        <v/>
      </c>
      <c r="BR705">
        <f>IF(SUMIFS(T_PlannedOrders[EffectiveQty],T_PlannedOrders[Part Name],$A681,T_PlannedOrders[WeekIndex],67)=0,"",SUMIFS(T_PlannedOrders[EffectiveQty],T_PlannedOrders[Part Name],$A681,T_PlannedOrders[WeekIndex],67)&amp;" ("&amp;TEXT(SUMPRODUCT(MAX((T_PlannedOrders[Part Name]=$A681)*(T_PlannedOrders[WeekIndex]=67)*(T_PlannedOrders[EffectiveQty]&gt;0)*T_PlannedOrders[Order_Month])),"m月")&amp;"発注)")</f>
        <v/>
      </c>
      <c r="BS705">
        <f>IF(SUMIFS(T_PlannedOrders[EffectiveQty],T_PlannedOrders[Part Name],$A681,T_PlannedOrders[WeekIndex],68)=0,"",SUMIFS(T_PlannedOrders[EffectiveQty],T_PlannedOrders[Part Name],$A681,T_PlannedOrders[WeekIndex],68)&amp;" ("&amp;TEXT(SUMPRODUCT(MAX((T_PlannedOrders[Part Name]=$A681)*(T_PlannedOrders[WeekIndex]=68)*(T_PlannedOrders[EffectiveQty]&gt;0)*T_PlannedOrders[Order_Month])),"m月")&amp;"発注)")</f>
        <v/>
      </c>
      <c r="BT705">
        <f>IF(SUMIFS(T_PlannedOrders[EffectiveQty],T_PlannedOrders[Part Name],$A681,T_PlannedOrders[WeekIndex],69)=0,"",SUMIFS(T_PlannedOrders[EffectiveQty],T_PlannedOrders[Part Name],$A681,T_PlannedOrders[WeekIndex],69)&amp;" ("&amp;TEXT(SUMPRODUCT(MAX((T_PlannedOrders[Part Name]=$A681)*(T_PlannedOrders[WeekIndex]=69)*(T_PlannedOrders[EffectiveQty]&gt;0)*T_PlannedOrders[Order_Month])),"m月")&amp;"発注)")</f>
        <v/>
      </c>
      <c r="BU705">
        <f>IF(SUMIFS(T_PlannedOrders[EffectiveQty],T_PlannedOrders[Part Name],$A681,T_PlannedOrders[WeekIndex],70)=0,"",SUMIFS(T_PlannedOrders[EffectiveQty],T_PlannedOrders[Part Name],$A681,T_PlannedOrders[WeekIndex],70)&amp;" ("&amp;TEXT(SUMPRODUCT(MAX((T_PlannedOrders[Part Name]=$A681)*(T_PlannedOrders[WeekIndex]=70)*(T_PlannedOrders[EffectiveQty]&gt;0)*T_PlannedOrders[Order_Month])),"m月")&amp;"発注)")</f>
        <v/>
      </c>
      <c r="BV705">
        <f>IF(SUMIFS(T_PlannedOrders[EffectiveQty],T_PlannedOrders[Part Name],$A681,T_PlannedOrders[WeekIndex],71)=0,"",SUMIFS(T_PlannedOrders[EffectiveQty],T_PlannedOrders[Part Name],$A681,T_PlannedOrders[WeekIndex],71)&amp;" ("&amp;TEXT(SUMPRODUCT(MAX((T_PlannedOrders[Part Name]=$A681)*(T_PlannedOrders[WeekIndex]=71)*(T_PlannedOrders[EffectiveQty]&gt;0)*T_PlannedOrders[Order_Month])),"m月")&amp;"発注)")</f>
        <v/>
      </c>
      <c r="BW705">
        <f>IF(SUMIFS(T_PlannedOrders[EffectiveQty],T_PlannedOrders[Part Name],$A681,T_PlannedOrders[WeekIndex],72)=0,"",SUMIFS(T_PlannedOrders[EffectiveQty],T_PlannedOrders[Part Name],$A681,T_PlannedOrders[WeekIndex],72)&amp;" ("&amp;TEXT(SUMPRODUCT(MAX((T_PlannedOrders[Part Name]=$A681)*(T_PlannedOrders[WeekIndex]=72)*(T_PlannedOrders[EffectiveQty]&gt;0)*T_PlannedOrders[Order_Month])),"m月")&amp;"発注)")</f>
        <v/>
      </c>
      <c r="BX705">
        <f>IF(SUMIFS(T_PlannedOrders[EffectiveQty],T_PlannedOrders[Part Name],$A681,T_PlannedOrders[WeekIndex],73)=0,"",SUMIFS(T_PlannedOrders[EffectiveQty],T_PlannedOrders[Part Name],$A681,T_PlannedOrders[WeekIndex],73)&amp;" ("&amp;TEXT(SUMPRODUCT(MAX((T_PlannedOrders[Part Name]=$A681)*(T_PlannedOrders[WeekIndex]=73)*(T_PlannedOrders[EffectiveQty]&gt;0)*T_PlannedOrders[Order_Month])),"m月")&amp;"発注)")</f>
        <v/>
      </c>
      <c r="BY705">
        <f>IF(SUMIFS(T_PlannedOrders[EffectiveQty],T_PlannedOrders[Part Name],$A681,T_PlannedOrders[WeekIndex],74)=0,"",SUMIFS(T_PlannedOrders[EffectiveQty],T_PlannedOrders[Part Name],$A681,T_PlannedOrders[WeekIndex],74)&amp;" ("&amp;TEXT(SUMPRODUCT(MAX((T_PlannedOrders[Part Name]=$A681)*(T_PlannedOrders[WeekIndex]=74)*(T_PlannedOrders[EffectiveQty]&gt;0)*T_PlannedOrders[Order_Month])),"m月")&amp;"発注)")</f>
        <v/>
      </c>
      <c r="BZ705">
        <f>IF(SUMIFS(T_PlannedOrders[EffectiveQty],T_PlannedOrders[Part Name],$A681,T_PlannedOrders[WeekIndex],75)=0,"",SUMIFS(T_PlannedOrders[EffectiveQty],T_PlannedOrders[Part Name],$A681,T_PlannedOrders[WeekIndex],75)&amp;" ("&amp;TEXT(SUMPRODUCT(MAX((T_PlannedOrders[Part Name]=$A681)*(T_PlannedOrders[WeekIndex]=75)*(T_PlannedOrders[EffectiveQty]&gt;0)*T_PlannedOrders[Order_Month])),"m月")&amp;"発注)")</f>
        <v/>
      </c>
      <c r="CA705">
        <f>IF(SUMIFS(T_PlannedOrders[EffectiveQty],T_PlannedOrders[Part Name],$A681,T_PlannedOrders[WeekIndex],76)=0,"",SUMIFS(T_PlannedOrders[EffectiveQty],T_PlannedOrders[Part Name],$A681,T_PlannedOrders[WeekIndex],76)&amp;" ("&amp;TEXT(SUMPRODUCT(MAX((T_PlannedOrders[Part Name]=$A681)*(T_PlannedOrders[WeekIndex]=76)*(T_PlannedOrders[EffectiveQty]&gt;0)*T_PlannedOrders[Order_Month])),"m月")&amp;"発注)")</f>
        <v/>
      </c>
      <c r="CB705">
        <f>IF(SUMIFS(T_PlannedOrders[EffectiveQty],T_PlannedOrders[Part Name],$A681,T_PlannedOrders[WeekIndex],77)=0,"",SUMIFS(T_PlannedOrders[EffectiveQty],T_PlannedOrders[Part Name],$A681,T_PlannedOrders[WeekIndex],77)&amp;" ("&amp;TEXT(SUMPRODUCT(MAX((T_PlannedOrders[Part Name]=$A681)*(T_PlannedOrders[WeekIndex]=77)*(T_PlannedOrders[EffectiveQty]&gt;0)*T_PlannedOrders[Order_Month])),"m月")&amp;"発注)")</f>
        <v/>
      </c>
      <c r="CC705">
        <f>IF(SUMIFS(T_PlannedOrders[EffectiveQty],T_PlannedOrders[Part Name],$A681,T_PlannedOrders[WeekIndex],78)=0,"",SUMIFS(T_PlannedOrders[EffectiveQty],T_PlannedOrders[Part Name],$A681,T_PlannedOrders[WeekIndex],78)&amp;" ("&amp;TEXT(SUMPRODUCT(MAX((T_PlannedOrders[Part Name]=$A681)*(T_PlannedOrders[WeekIndex]=78)*(T_PlannedOrders[EffectiveQty]&gt;0)*T_PlannedOrders[Order_Month])),"m月")&amp;"発注)")</f>
        <v/>
      </c>
      <c r="CD705">
        <f>IF(SUMIFS(T_PlannedOrders[EffectiveQty],T_PlannedOrders[Part Name],$A681,T_PlannedOrders[WeekIndex],79)=0,"",SUMIFS(T_PlannedOrders[EffectiveQty],T_PlannedOrders[Part Name],$A681,T_PlannedOrders[WeekIndex],79)&amp;" ("&amp;TEXT(SUMPRODUCT(MAX((T_PlannedOrders[Part Name]=$A681)*(T_PlannedOrders[WeekIndex]=79)*(T_PlannedOrders[EffectiveQty]&gt;0)*T_PlannedOrders[Order_Month])),"m月")&amp;"発注)")</f>
        <v/>
      </c>
      <c r="CE705">
        <f>IF(SUMIFS(T_PlannedOrders[EffectiveQty],T_PlannedOrders[Part Name],$A681,T_PlannedOrders[WeekIndex],80)=0,"",SUMIFS(T_PlannedOrders[EffectiveQty],T_PlannedOrders[Part Name],$A681,T_PlannedOrders[WeekIndex],80)&amp;" ("&amp;TEXT(SUMPRODUCT(MAX((T_PlannedOrders[Part Name]=$A681)*(T_PlannedOrders[WeekIndex]=80)*(T_PlannedOrders[EffectiveQty]&gt;0)*T_PlannedOrders[Order_Month])),"m月")&amp;"発注)")</f>
        <v/>
      </c>
      <c r="CF705">
        <f>IF(SUMIFS(T_PlannedOrders[EffectiveQty],T_PlannedOrders[Part Name],$A681,T_PlannedOrders[WeekIndex],81)=0,"",SUMIFS(T_PlannedOrders[EffectiveQty],T_PlannedOrders[Part Name],$A681,T_PlannedOrders[WeekIndex],81)&amp;" ("&amp;TEXT(SUMPRODUCT(MAX((T_PlannedOrders[Part Name]=$A681)*(T_PlannedOrders[WeekIndex]=81)*(T_PlannedOrders[EffectiveQty]&gt;0)*T_PlannedOrders[Order_Month])),"m月")&amp;"発注)")</f>
        <v/>
      </c>
      <c r="CG705">
        <f>IF(SUMIFS(T_PlannedOrders[EffectiveQty],T_PlannedOrders[Part Name],$A681,T_PlannedOrders[WeekIndex],82)=0,"",SUMIFS(T_PlannedOrders[EffectiveQty],T_PlannedOrders[Part Name],$A681,T_PlannedOrders[WeekIndex],82)&amp;" ("&amp;TEXT(SUMPRODUCT(MAX((T_PlannedOrders[Part Name]=$A681)*(T_PlannedOrders[WeekIndex]=82)*(T_PlannedOrders[EffectiveQty]&gt;0)*T_PlannedOrders[Order_Month])),"m月")&amp;"発注)")</f>
        <v/>
      </c>
      <c r="CH705">
        <f>IF(SUMIFS(T_PlannedOrders[EffectiveQty],T_PlannedOrders[Part Name],$A681,T_PlannedOrders[WeekIndex],83)=0,"",SUMIFS(T_PlannedOrders[EffectiveQty],T_PlannedOrders[Part Name],$A681,T_PlannedOrders[WeekIndex],83)&amp;" ("&amp;TEXT(SUMPRODUCT(MAX((T_PlannedOrders[Part Name]=$A681)*(T_PlannedOrders[WeekIndex]=83)*(T_PlannedOrders[EffectiveQty]&gt;0)*T_PlannedOrders[Order_Month])),"m月")&amp;"発注)")</f>
        <v/>
      </c>
      <c r="CI705">
        <f>IF(SUMIFS(T_PlannedOrders[EffectiveQty],T_PlannedOrders[Part Name],$A681,T_PlannedOrders[WeekIndex],84)=0,"",SUMIFS(T_PlannedOrders[EffectiveQty],T_PlannedOrders[Part Name],$A681,T_PlannedOrders[WeekIndex],84)&amp;" ("&amp;TEXT(SUMPRODUCT(MAX((T_PlannedOrders[Part Name]=$A681)*(T_PlannedOrders[WeekIndex]=84)*(T_PlannedOrders[EffectiveQty]&gt;0)*T_PlannedOrders[Order_Month])),"m月")&amp;"発注)")</f>
        <v/>
      </c>
      <c r="CJ705">
        <f>IF(SUMIFS(T_PlannedOrders[EffectiveQty],T_PlannedOrders[Part Name],$A681,T_PlannedOrders[WeekIndex],85)=0,"",SUMIFS(T_PlannedOrders[EffectiveQty],T_PlannedOrders[Part Name],$A681,T_PlannedOrders[WeekIndex],85)&amp;" ("&amp;TEXT(SUMPRODUCT(MAX((T_PlannedOrders[Part Name]=$A681)*(T_PlannedOrders[WeekIndex]=85)*(T_PlannedOrders[EffectiveQty]&gt;0)*T_PlannedOrders[Order_Month])),"m月")&amp;"発注)")</f>
        <v/>
      </c>
      <c r="CK705">
        <f>IF(SUMIFS(T_PlannedOrders[EffectiveQty],T_PlannedOrders[Part Name],$A681,T_PlannedOrders[WeekIndex],86)=0,"",SUMIFS(T_PlannedOrders[EffectiveQty],T_PlannedOrders[Part Name],$A681,T_PlannedOrders[WeekIndex],86)&amp;" ("&amp;TEXT(SUMPRODUCT(MAX((T_PlannedOrders[Part Name]=$A681)*(T_PlannedOrders[WeekIndex]=86)*(T_PlannedOrders[EffectiveQty]&gt;0)*T_PlannedOrders[Order_Month])),"m月")&amp;"発注)")</f>
        <v/>
      </c>
      <c r="CL705">
        <f>IF(SUMIFS(T_PlannedOrders[EffectiveQty],T_PlannedOrders[Part Name],$A681,T_PlannedOrders[WeekIndex],87)=0,"",SUMIFS(T_PlannedOrders[EffectiveQty],T_PlannedOrders[Part Name],$A681,T_PlannedOrders[WeekIndex],87)&amp;" ("&amp;TEXT(SUMPRODUCT(MAX((T_PlannedOrders[Part Name]=$A681)*(T_PlannedOrders[WeekIndex]=87)*(T_PlannedOrders[EffectiveQty]&gt;0)*T_PlannedOrders[Order_Month])),"m月")&amp;"発注)")</f>
        <v/>
      </c>
      <c r="CM705">
        <f>IF(SUMIFS(T_PlannedOrders[EffectiveQty],T_PlannedOrders[Part Name],$A681,T_PlannedOrders[WeekIndex],88)=0,"",SUMIFS(T_PlannedOrders[EffectiveQty],T_PlannedOrders[Part Name],$A681,T_PlannedOrders[WeekIndex],88)&amp;" ("&amp;TEXT(SUMPRODUCT(MAX((T_PlannedOrders[Part Name]=$A681)*(T_PlannedOrders[WeekIndex]=88)*(T_PlannedOrders[EffectiveQty]&gt;0)*T_PlannedOrders[Order_Month])),"m月")&amp;"発注)")</f>
        <v/>
      </c>
      <c r="CN705">
        <f>IF(SUMIFS(T_PlannedOrders[EffectiveQty],T_PlannedOrders[Part Name],$A681,T_PlannedOrders[WeekIndex],89)=0,"",SUMIFS(T_PlannedOrders[EffectiveQty],T_PlannedOrders[Part Name],$A681,T_PlannedOrders[WeekIndex],89)&amp;" ("&amp;TEXT(SUMPRODUCT(MAX((T_PlannedOrders[Part Name]=$A681)*(T_PlannedOrders[WeekIndex]=89)*(T_PlannedOrders[EffectiveQty]&gt;0)*T_PlannedOrders[Order_Month])),"m月")&amp;"発注)")</f>
        <v/>
      </c>
      <c r="CO705">
        <f>IF(SUMIFS(T_PlannedOrders[EffectiveQty],T_PlannedOrders[Part Name],$A681,T_PlannedOrders[WeekIndex],90)=0,"",SUMIFS(T_PlannedOrders[EffectiveQty],T_PlannedOrders[Part Name],$A681,T_PlannedOrders[WeekIndex],90)&amp;" ("&amp;TEXT(SUMPRODUCT(MAX((T_PlannedOrders[Part Name]=$A681)*(T_PlannedOrders[WeekIndex]=90)*(T_PlannedOrders[EffectiveQty]&gt;0)*T_PlannedOrders[Order_Month])),"m月")&amp;"発注)")</f>
        <v/>
      </c>
      <c r="CP705">
        <f>IF(SUMIFS(T_PlannedOrders[EffectiveQty],T_PlannedOrders[Part Name],$A681,T_PlannedOrders[WeekIndex],91)=0,"",SUMIFS(T_PlannedOrders[EffectiveQty],T_PlannedOrders[Part Name],$A681,T_PlannedOrders[WeekIndex],91)&amp;" ("&amp;TEXT(SUMPRODUCT(MAX((T_PlannedOrders[Part Name]=$A681)*(T_PlannedOrders[WeekIndex]=91)*(T_PlannedOrders[EffectiveQty]&gt;0)*T_PlannedOrders[Order_Month])),"m月")&amp;"発注)")</f>
        <v/>
      </c>
      <c r="CQ705">
        <f>IF(SUMIFS(T_PlannedOrders[EffectiveQty],T_PlannedOrders[Part Name],$A681,T_PlannedOrders[WeekIndex],92)=0,"",SUMIFS(T_PlannedOrders[EffectiveQty],T_PlannedOrders[Part Name],$A681,T_PlannedOrders[WeekIndex],92)&amp;" ("&amp;TEXT(SUMPRODUCT(MAX((T_PlannedOrders[Part Name]=$A681)*(T_PlannedOrders[WeekIndex]=92)*(T_PlannedOrders[EffectiveQty]&gt;0)*T_PlannedOrders[Order_Month])),"m月")&amp;"発注)")</f>
        <v/>
      </c>
      <c r="CR705">
        <f>IF(SUMIFS(T_PlannedOrders[EffectiveQty],T_PlannedOrders[Part Name],$A681,T_PlannedOrders[WeekIndex],93)=0,"",SUMIFS(T_PlannedOrders[EffectiveQty],T_PlannedOrders[Part Name],$A681,T_PlannedOrders[WeekIndex],93)&amp;" ("&amp;TEXT(SUMPRODUCT(MAX((T_PlannedOrders[Part Name]=$A681)*(T_PlannedOrders[WeekIndex]=93)*(T_PlannedOrders[EffectiveQty]&gt;0)*T_PlannedOrders[Order_Month])),"m月")&amp;"発注)")</f>
        <v/>
      </c>
      <c r="CS705">
        <f>IF(SUMIFS(T_PlannedOrders[EffectiveQty],T_PlannedOrders[Part Name],$A681,T_PlannedOrders[WeekIndex],94)=0,"",SUMIFS(T_PlannedOrders[EffectiveQty],T_PlannedOrders[Part Name],$A681,T_PlannedOrders[WeekIndex],94)&amp;" ("&amp;TEXT(SUMPRODUCT(MAX((T_PlannedOrders[Part Name]=$A681)*(T_PlannedOrders[WeekIndex]=94)*(T_PlannedOrders[EffectiveQty]&gt;0)*T_PlannedOrders[Order_Month])),"m月")&amp;"発注)")</f>
        <v/>
      </c>
      <c r="CT705">
        <f>IF(SUMIFS(T_PlannedOrders[EffectiveQty],T_PlannedOrders[Part Name],$A681,T_PlannedOrders[WeekIndex],95)=0,"",SUMIFS(T_PlannedOrders[EffectiveQty],T_PlannedOrders[Part Name],$A681,T_PlannedOrders[WeekIndex],95)&amp;" ("&amp;TEXT(SUMPRODUCT(MAX((T_PlannedOrders[Part Name]=$A681)*(T_PlannedOrders[WeekIndex]=95)*(T_PlannedOrders[EffectiveQty]&gt;0)*T_PlannedOrders[Order_Month])),"m月")&amp;"発注)")</f>
        <v/>
      </c>
      <c r="CU705">
        <f>IF(SUMIFS(T_PlannedOrders[EffectiveQty],T_PlannedOrders[Part Name],$A681,T_PlannedOrders[WeekIndex],96)=0,"",SUMIFS(T_PlannedOrders[EffectiveQty],T_PlannedOrders[Part Name],$A681,T_PlannedOrders[WeekIndex],96)&amp;" ("&amp;TEXT(SUMPRODUCT(MAX((T_PlannedOrders[Part Name]=$A681)*(T_PlannedOrders[WeekIndex]=96)*(T_PlannedOrders[EffectiveQty]&gt;0)*T_PlannedOrders[Order_Month])),"m月")&amp;"発注)")</f>
        <v/>
      </c>
      <c r="CV705">
        <f>IF(SUMIFS(T_PlannedOrders[EffectiveQty],T_PlannedOrders[Part Name],$A681,T_PlannedOrders[WeekIndex],97)=0,"",SUMIFS(T_PlannedOrders[EffectiveQty],T_PlannedOrders[Part Name],$A681,T_PlannedOrders[WeekIndex],97)&amp;" ("&amp;TEXT(SUMPRODUCT(MAX((T_PlannedOrders[Part Name]=$A681)*(T_PlannedOrders[WeekIndex]=97)*(T_PlannedOrders[EffectiveQty]&gt;0)*T_PlannedOrders[Order_Month])),"m月")&amp;"発注)")</f>
        <v/>
      </c>
      <c r="CW705">
        <f>IF(SUMIFS(T_PlannedOrders[EffectiveQty],T_PlannedOrders[Part Name],$A681,T_PlannedOrders[WeekIndex],98)=0,"",SUMIFS(T_PlannedOrders[EffectiveQty],T_PlannedOrders[Part Name],$A681,T_PlannedOrders[WeekIndex],98)&amp;" ("&amp;TEXT(SUMPRODUCT(MAX((T_PlannedOrders[Part Name]=$A681)*(T_PlannedOrders[WeekIndex]=98)*(T_PlannedOrders[EffectiveQty]&gt;0)*T_PlannedOrders[Order_Month])),"m月")&amp;"発注)")</f>
        <v/>
      </c>
      <c r="CX705">
        <f>IF(SUMIFS(T_PlannedOrders[EffectiveQty],T_PlannedOrders[Part Name],$A681,T_PlannedOrders[WeekIndex],99)=0,"",SUMIFS(T_PlannedOrders[EffectiveQty],T_PlannedOrders[Part Name],$A681,T_PlannedOrders[WeekIndex],99)&amp;" ("&amp;TEXT(SUMPRODUCT(MAX((T_PlannedOrders[Part Name]=$A681)*(T_PlannedOrders[WeekIndex]=99)*(T_PlannedOrders[EffectiveQty]&gt;0)*T_PlannedOrders[Order_Month])),"m月")&amp;"発注)")</f>
        <v/>
      </c>
      <c r="CY705">
        <f>IF(SUMIFS(T_PlannedOrders[EffectiveQty],T_PlannedOrders[Part Name],$A681,T_PlannedOrders[WeekIndex],100)=0,"",SUMIFS(T_PlannedOrders[EffectiveQty],T_PlannedOrders[Part Name],$A681,T_PlannedOrders[WeekIndex],100)&amp;" ("&amp;TEXT(SUMPRODUCT(MAX((T_PlannedOrders[Part Name]=$A681)*(T_PlannedOrders[WeekIndex]=100)*(T_PlannedOrders[EffectiveQty]&gt;0)*T_PlannedOrders[Order_Month])),"m月")&amp;"発注)")</f>
        <v/>
      </c>
      <c r="CZ705">
        <f>IF(SUMIFS(T_PlannedOrders[EffectiveQty],T_PlannedOrders[Part Name],$A681,T_PlannedOrders[WeekIndex],101)=0,"",SUMIFS(T_PlannedOrders[EffectiveQty],T_PlannedOrders[Part Name],$A681,T_PlannedOrders[WeekIndex],101)&amp;" ("&amp;TEXT(SUMPRODUCT(MAX((T_PlannedOrders[Part Name]=$A681)*(T_PlannedOrders[WeekIndex]=101)*(T_PlannedOrders[EffectiveQty]&gt;0)*T_PlannedOrders[Order_Month])),"m月")&amp;"発注)")</f>
        <v/>
      </c>
      <c r="DA705">
        <f>IF(SUMIFS(T_PlannedOrders[EffectiveQty],T_PlannedOrders[Part Name],$A681,T_PlannedOrders[WeekIndex],102)=0,"",SUMIFS(T_PlannedOrders[EffectiveQty],T_PlannedOrders[Part Name],$A681,T_PlannedOrders[WeekIndex],102)&amp;" ("&amp;TEXT(SUMPRODUCT(MAX((T_PlannedOrders[Part Name]=$A681)*(T_PlannedOrders[WeekIndex]=102)*(T_PlannedOrders[EffectiveQty]&gt;0)*T_PlannedOrders[Order_Month])),"m月")&amp;"発注)")</f>
        <v/>
      </c>
      <c r="DB705">
        <f>IF(SUMIFS(T_PlannedOrders[EffectiveQty],T_PlannedOrders[Part Name],$A681,T_PlannedOrders[WeekIndex],103)=0,"",SUMIFS(T_PlannedOrders[EffectiveQty],T_PlannedOrders[Part Name],$A681,T_PlannedOrders[WeekIndex],103)&amp;" ("&amp;TEXT(SUMPRODUCT(MAX((T_PlannedOrders[Part Name]=$A681)*(T_PlannedOrders[WeekIndex]=103)*(T_PlannedOrders[EffectiveQty]&gt;0)*T_PlannedOrders[Order_Month])),"m月")&amp;"発注)")</f>
        <v/>
      </c>
      <c r="DC705">
        <f>IF(SUMIFS(T_PlannedOrders[EffectiveQty],T_PlannedOrders[Part Name],$A681,T_PlannedOrders[WeekIndex],104)=0,"",SUMIFS(T_PlannedOrders[EffectiveQty],T_PlannedOrders[Part Name],$A681,T_PlannedOrders[WeekIndex],104)&amp;" ("&amp;TEXT(SUMPRODUCT(MAX((T_PlannedOrders[Part Name]=$A681)*(T_PlannedOrders[WeekIndex]=104)*(T_PlannedOrders[EffectiveQty]&gt;0)*T_PlannedOrders[Order_Month])),"m月")&amp;"発注)")</f>
        <v/>
      </c>
    </row>
    <row r="706">
      <c r="B706" s="9" t="inlineStr">
        <is>
          <t>合計在庫(週末時点,kg)</t>
        </is>
      </c>
      <c r="D706">
        <f>'Grid_Stock'!B21</f>
        <v/>
      </c>
      <c r="E706">
        <f>'Grid_Stock'!C21</f>
        <v/>
      </c>
      <c r="F706">
        <f>'Grid_Stock'!D21</f>
        <v/>
      </c>
      <c r="G706">
        <f>'Grid_Stock'!E21</f>
        <v/>
      </c>
      <c r="H706">
        <f>'Grid_Stock'!F21</f>
        <v/>
      </c>
      <c r="I706">
        <f>'Grid_Stock'!G21</f>
        <v/>
      </c>
      <c r="J706">
        <f>'Grid_Stock'!H21</f>
        <v/>
      </c>
      <c r="K706">
        <f>'Grid_Stock'!I21</f>
        <v/>
      </c>
      <c r="L706">
        <f>'Grid_Stock'!J21</f>
        <v/>
      </c>
      <c r="M706">
        <f>'Grid_Stock'!K21</f>
        <v/>
      </c>
      <c r="N706">
        <f>'Grid_Stock'!L21</f>
        <v/>
      </c>
      <c r="O706">
        <f>'Grid_Stock'!M21</f>
        <v/>
      </c>
      <c r="P706">
        <f>'Grid_Stock'!N21</f>
        <v/>
      </c>
      <c r="Q706">
        <f>'Grid_Stock'!O21</f>
        <v/>
      </c>
      <c r="R706">
        <f>'Grid_Stock'!P21</f>
        <v/>
      </c>
      <c r="S706">
        <f>'Grid_Stock'!Q21</f>
        <v/>
      </c>
      <c r="T706">
        <f>'Grid_Stock'!R21</f>
        <v/>
      </c>
      <c r="U706">
        <f>'Grid_Stock'!S21</f>
        <v/>
      </c>
      <c r="V706">
        <f>'Grid_Stock'!T21</f>
        <v/>
      </c>
      <c r="W706">
        <f>'Grid_Stock'!U21</f>
        <v/>
      </c>
      <c r="X706">
        <f>'Grid_Stock'!V21</f>
        <v/>
      </c>
      <c r="Y706">
        <f>'Grid_Stock'!W21</f>
        <v/>
      </c>
      <c r="Z706">
        <f>'Grid_Stock'!X21</f>
        <v/>
      </c>
      <c r="AA706">
        <f>'Grid_Stock'!Y21</f>
        <v/>
      </c>
      <c r="AB706">
        <f>'Grid_Stock'!Z21</f>
        <v/>
      </c>
      <c r="AC706">
        <f>'Grid_Stock'!AA21</f>
        <v/>
      </c>
      <c r="AD706">
        <f>'Grid_Stock'!AB21</f>
        <v/>
      </c>
      <c r="AE706">
        <f>'Grid_Stock'!AC21</f>
        <v/>
      </c>
      <c r="AF706">
        <f>'Grid_Stock'!AD21</f>
        <v/>
      </c>
      <c r="AG706">
        <f>'Grid_Stock'!AE21</f>
        <v/>
      </c>
      <c r="AH706">
        <f>'Grid_Stock'!AF21</f>
        <v/>
      </c>
      <c r="AI706">
        <f>'Grid_Stock'!AG21</f>
        <v/>
      </c>
      <c r="AJ706">
        <f>'Grid_Stock'!AH21</f>
        <v/>
      </c>
      <c r="AK706">
        <f>'Grid_Stock'!AI21</f>
        <v/>
      </c>
      <c r="AL706">
        <f>'Grid_Stock'!AJ21</f>
        <v/>
      </c>
      <c r="AM706">
        <f>'Grid_Stock'!AK21</f>
        <v/>
      </c>
      <c r="AN706">
        <f>'Grid_Stock'!AL21</f>
        <v/>
      </c>
      <c r="AO706">
        <f>'Grid_Stock'!AM21</f>
        <v/>
      </c>
      <c r="AP706">
        <f>'Grid_Stock'!AN21</f>
        <v/>
      </c>
      <c r="AQ706">
        <f>'Grid_Stock'!AO21</f>
        <v/>
      </c>
      <c r="AR706">
        <f>'Grid_Stock'!AP21</f>
        <v/>
      </c>
      <c r="AS706">
        <f>'Grid_Stock'!AQ21</f>
        <v/>
      </c>
      <c r="AT706">
        <f>'Grid_Stock'!AR21</f>
        <v/>
      </c>
      <c r="AU706">
        <f>'Grid_Stock'!AS21</f>
        <v/>
      </c>
      <c r="AV706">
        <f>'Grid_Stock'!AT21</f>
        <v/>
      </c>
      <c r="AW706">
        <f>'Grid_Stock'!AU21</f>
        <v/>
      </c>
      <c r="AX706">
        <f>'Grid_Stock'!AV21</f>
        <v/>
      </c>
      <c r="AY706">
        <f>'Grid_Stock'!AW21</f>
        <v/>
      </c>
      <c r="AZ706">
        <f>'Grid_Stock'!AX21</f>
        <v/>
      </c>
      <c r="BA706">
        <f>'Grid_Stock'!AY21</f>
        <v/>
      </c>
      <c r="BB706">
        <f>'Grid_Stock'!AZ21</f>
        <v/>
      </c>
      <c r="BC706">
        <f>'Grid_Stock'!BA21</f>
        <v/>
      </c>
      <c r="BD706">
        <f>'Grid_Stock'!BB21</f>
        <v/>
      </c>
      <c r="BE706">
        <f>'Grid_Stock'!BC21</f>
        <v/>
      </c>
      <c r="BF706">
        <f>'Grid_Stock'!BD21</f>
        <v/>
      </c>
      <c r="BG706">
        <f>'Grid_Stock'!BE21</f>
        <v/>
      </c>
      <c r="BH706">
        <f>'Grid_Stock'!BF21</f>
        <v/>
      </c>
      <c r="BI706">
        <f>'Grid_Stock'!BG21</f>
        <v/>
      </c>
      <c r="BJ706">
        <f>'Grid_Stock'!BH21</f>
        <v/>
      </c>
      <c r="BK706">
        <f>'Grid_Stock'!BI21</f>
        <v/>
      </c>
      <c r="BL706">
        <f>'Grid_Stock'!BJ21</f>
        <v/>
      </c>
      <c r="BM706">
        <f>'Grid_Stock'!BK21</f>
        <v/>
      </c>
      <c r="BN706">
        <f>'Grid_Stock'!BL21</f>
        <v/>
      </c>
      <c r="BO706">
        <f>'Grid_Stock'!BM21</f>
        <v/>
      </c>
      <c r="BP706">
        <f>'Grid_Stock'!BN21</f>
        <v/>
      </c>
      <c r="BQ706">
        <f>'Grid_Stock'!BO21</f>
        <v/>
      </c>
      <c r="BR706">
        <f>'Grid_Stock'!BP21</f>
        <v/>
      </c>
      <c r="BS706">
        <f>'Grid_Stock'!BQ21</f>
        <v/>
      </c>
      <c r="BT706">
        <f>'Grid_Stock'!BR21</f>
        <v/>
      </c>
      <c r="BU706">
        <f>'Grid_Stock'!BS21</f>
        <v/>
      </c>
      <c r="BV706">
        <f>'Grid_Stock'!BT21</f>
        <v/>
      </c>
      <c r="BW706">
        <f>'Grid_Stock'!BU21</f>
        <v/>
      </c>
      <c r="BX706">
        <f>'Grid_Stock'!BV21</f>
        <v/>
      </c>
      <c r="BY706">
        <f>'Grid_Stock'!BW21</f>
        <v/>
      </c>
      <c r="BZ706">
        <f>'Grid_Stock'!BX21</f>
        <v/>
      </c>
      <c r="CA706">
        <f>'Grid_Stock'!BY21</f>
        <v/>
      </c>
      <c r="CB706">
        <f>'Grid_Stock'!BZ21</f>
        <v/>
      </c>
      <c r="CC706">
        <f>'Grid_Stock'!CA21</f>
        <v/>
      </c>
      <c r="CD706">
        <f>'Grid_Stock'!CB21</f>
        <v/>
      </c>
      <c r="CE706">
        <f>'Grid_Stock'!CC21</f>
        <v/>
      </c>
      <c r="CF706">
        <f>'Grid_Stock'!CD21</f>
        <v/>
      </c>
      <c r="CG706">
        <f>'Grid_Stock'!CE21</f>
        <v/>
      </c>
      <c r="CH706">
        <f>'Grid_Stock'!CF21</f>
        <v/>
      </c>
      <c r="CI706">
        <f>'Grid_Stock'!CG21</f>
        <v/>
      </c>
      <c r="CJ706">
        <f>'Grid_Stock'!CH21</f>
        <v/>
      </c>
      <c r="CK706">
        <f>'Grid_Stock'!CI21</f>
        <v/>
      </c>
      <c r="CL706">
        <f>'Grid_Stock'!CJ21</f>
        <v/>
      </c>
      <c r="CM706">
        <f>'Grid_Stock'!CK21</f>
        <v/>
      </c>
      <c r="CN706">
        <f>'Grid_Stock'!CL21</f>
        <v/>
      </c>
      <c r="CO706">
        <f>'Grid_Stock'!CM21</f>
        <v/>
      </c>
      <c r="CP706">
        <f>'Grid_Stock'!CN21</f>
        <v/>
      </c>
      <c r="CQ706">
        <f>'Grid_Stock'!CO21</f>
        <v/>
      </c>
      <c r="CR706">
        <f>'Grid_Stock'!CP21</f>
        <v/>
      </c>
      <c r="CS706">
        <f>'Grid_Stock'!CQ21</f>
        <v/>
      </c>
      <c r="CT706">
        <f>'Grid_Stock'!CR21</f>
        <v/>
      </c>
      <c r="CU706">
        <f>'Grid_Stock'!CS21</f>
        <v/>
      </c>
      <c r="CV706">
        <f>'Grid_Stock'!CT21</f>
        <v/>
      </c>
      <c r="CW706">
        <f>'Grid_Stock'!CU21</f>
        <v/>
      </c>
      <c r="CX706">
        <f>'Grid_Stock'!CV21</f>
        <v/>
      </c>
      <c r="CY706">
        <f>'Grid_Stock'!CW21</f>
        <v/>
      </c>
      <c r="CZ706">
        <f>'Grid_Stock'!CX21</f>
        <v/>
      </c>
      <c r="DA706">
        <f>'Grid_Stock'!CY21</f>
        <v/>
      </c>
      <c r="DB706">
        <f>'Grid_Stock'!CZ21</f>
        <v/>
      </c>
      <c r="DC706">
        <f>'Grid_Stock'!DA21</f>
        <v/>
      </c>
    </row>
    <row r="707">
      <c r="B707" s="21" t="inlineStr">
        <is>
          <t>（発注の目安はDashboardの基準在庫[下限/上限]と色分けを参照）</t>
        </is>
      </c>
    </row>
    <row r="709">
      <c r="A709" s="19" t="inlineStr">
        <is>
          <t>CHEM-1560</t>
        </is>
      </c>
      <c r="B709" s="19" t="inlineStr">
        <is>
          <t>TPZ-511</t>
        </is>
      </c>
      <c r="C709" s="20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/>
      <c r="Z709" s="19" t="n"/>
      <c r="AA709" s="19" t="n"/>
      <c r="AB709" s="19" t="n"/>
      <c r="AC709" s="19" t="n"/>
      <c r="AD709" s="19" t="n"/>
      <c r="AE709" s="19" t="n"/>
      <c r="AF709" s="19" t="n"/>
      <c r="AG709" s="19" t="n"/>
      <c r="AH709" s="19" t="n"/>
      <c r="AI709" s="19" t="n"/>
      <c r="AJ709" s="19" t="n"/>
      <c r="AK709" s="19" t="n"/>
      <c r="AL709" s="19" t="n"/>
      <c r="AM709" s="19" t="n"/>
      <c r="AN709" s="19" t="n"/>
      <c r="AO709" s="19" t="n"/>
      <c r="AP709" s="19" t="n"/>
      <c r="AQ709" s="19" t="n"/>
      <c r="AR709" s="19" t="n"/>
      <c r="AS709" s="19" t="n"/>
      <c r="AT709" s="19" t="n"/>
      <c r="AU709" s="19" t="n"/>
      <c r="AV709" s="19" t="n"/>
      <c r="AW709" s="19" t="n"/>
      <c r="AX709" s="19" t="n"/>
      <c r="AY709" s="19" t="n"/>
      <c r="AZ709" s="19" t="n"/>
      <c r="BA709" s="19" t="n"/>
      <c r="BB709" s="19" t="n"/>
      <c r="BC709" s="19" t="n"/>
      <c r="BD709" s="19" t="n"/>
      <c r="BE709" s="19" t="n"/>
      <c r="BF709" s="19" t="n"/>
      <c r="BG709" s="19" t="n"/>
      <c r="BH709" s="19" t="n"/>
      <c r="BI709" s="19" t="n"/>
      <c r="BJ709" s="19" t="n"/>
      <c r="BK709" s="19" t="n"/>
      <c r="BL709" s="19" t="n"/>
      <c r="BM709" s="19" t="n"/>
      <c r="BN709" s="19" t="n"/>
      <c r="BO709" s="19" t="n"/>
      <c r="BP709" s="19" t="n"/>
      <c r="BQ709" s="19" t="n"/>
      <c r="BR709" s="19" t="n"/>
      <c r="BS709" s="19" t="n"/>
      <c r="BT709" s="19" t="n"/>
      <c r="BU709" s="19" t="n"/>
      <c r="BV709" s="19" t="n"/>
      <c r="BW709" s="19" t="n"/>
      <c r="BX709" s="19" t="n"/>
      <c r="BY709" s="19" t="n"/>
      <c r="BZ709" s="19" t="n"/>
      <c r="CA709" s="19" t="n"/>
      <c r="CB709" s="19" t="n"/>
      <c r="CC709" s="19" t="n"/>
      <c r="CD709" s="19" t="n"/>
      <c r="CE709" s="19" t="n"/>
      <c r="CF709" s="19" t="n"/>
      <c r="CG709" s="19" t="n"/>
      <c r="CH709" s="19" t="n"/>
      <c r="CI709" s="19" t="n"/>
      <c r="CJ709" s="19" t="n"/>
      <c r="CK709" s="19" t="n"/>
      <c r="CL709" s="19" t="n"/>
      <c r="CM709" s="19" t="n"/>
      <c r="CN709" s="19" t="n"/>
      <c r="CO709" s="19" t="n"/>
      <c r="CP709" s="19" t="n"/>
      <c r="CQ709" s="19" t="n"/>
      <c r="CR709" s="19" t="n"/>
      <c r="CS709" s="19" t="n"/>
      <c r="CT709" s="19" t="n"/>
      <c r="CU709" s="19" t="n"/>
      <c r="CV709" s="19" t="n"/>
      <c r="CW709" s="19" t="n"/>
      <c r="CX709" s="19" t="n"/>
      <c r="CY709" s="19" t="n"/>
      <c r="CZ709" s="19" t="n"/>
      <c r="DA709" s="19" t="n"/>
      <c r="DB709" s="19" t="n"/>
      <c r="DC709" s="19" t="n"/>
    </row>
    <row r="710">
      <c r="B710" t="inlineStr">
        <is>
          <t>TSP-360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Name],$A709)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TSP-544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Name],$A709)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TSP-710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Name],$A709)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s="9" t="inlineStr">
        <is>
          <t>合計使用量(kg)/週</t>
        </is>
      </c>
      <c r="D716">
        <f>'Grid_Requirement'!B34</f>
        <v/>
      </c>
      <c r="E716">
        <f>'Grid_Requirement'!C34</f>
        <v/>
      </c>
      <c r="F716">
        <f>'Grid_Requirement'!D34</f>
        <v/>
      </c>
      <c r="G716">
        <f>'Grid_Requirement'!E34</f>
        <v/>
      </c>
      <c r="H716">
        <f>'Grid_Requirement'!F34</f>
        <v/>
      </c>
      <c r="I716">
        <f>'Grid_Requirement'!G34</f>
        <v/>
      </c>
      <c r="J716">
        <f>'Grid_Requirement'!H34</f>
        <v/>
      </c>
      <c r="K716">
        <f>'Grid_Requirement'!I34</f>
        <v/>
      </c>
      <c r="L716">
        <f>'Grid_Requirement'!J34</f>
        <v/>
      </c>
      <c r="M716">
        <f>'Grid_Requirement'!K34</f>
        <v/>
      </c>
      <c r="N716">
        <f>'Grid_Requirement'!L34</f>
        <v/>
      </c>
      <c r="O716">
        <f>'Grid_Requirement'!M34</f>
        <v/>
      </c>
      <c r="P716">
        <f>'Grid_Requirement'!N34</f>
        <v/>
      </c>
      <c r="Q716">
        <f>'Grid_Requirement'!O34</f>
        <v/>
      </c>
      <c r="R716">
        <f>'Grid_Requirement'!P34</f>
        <v/>
      </c>
      <c r="S716">
        <f>'Grid_Requirement'!Q34</f>
        <v/>
      </c>
      <c r="T716">
        <f>'Grid_Requirement'!R34</f>
        <v/>
      </c>
      <c r="U716">
        <f>'Grid_Requirement'!S34</f>
        <v/>
      </c>
      <c r="V716">
        <f>'Grid_Requirement'!T34</f>
        <v/>
      </c>
      <c r="W716">
        <f>'Grid_Requirement'!U34</f>
        <v/>
      </c>
      <c r="X716">
        <f>'Grid_Requirement'!V34</f>
        <v/>
      </c>
      <c r="Y716">
        <f>'Grid_Requirement'!W34</f>
        <v/>
      </c>
      <c r="Z716">
        <f>'Grid_Requirement'!X34</f>
        <v/>
      </c>
      <c r="AA716">
        <f>'Grid_Requirement'!Y34</f>
        <v/>
      </c>
      <c r="AB716">
        <f>'Grid_Requirement'!Z34</f>
        <v/>
      </c>
      <c r="AC716">
        <f>'Grid_Requirement'!AA34</f>
        <v/>
      </c>
      <c r="AD716">
        <f>'Grid_Requirement'!AB34</f>
        <v/>
      </c>
      <c r="AE716">
        <f>'Grid_Requirement'!AC34</f>
        <v/>
      </c>
      <c r="AF716">
        <f>'Grid_Requirement'!AD34</f>
        <v/>
      </c>
      <c r="AG716">
        <f>'Grid_Requirement'!AE34</f>
        <v/>
      </c>
      <c r="AH716">
        <f>'Grid_Requirement'!AF34</f>
        <v/>
      </c>
      <c r="AI716">
        <f>'Grid_Requirement'!AG34</f>
        <v/>
      </c>
      <c r="AJ716">
        <f>'Grid_Requirement'!AH34</f>
        <v/>
      </c>
      <c r="AK716">
        <f>'Grid_Requirement'!AI34</f>
        <v/>
      </c>
      <c r="AL716">
        <f>'Grid_Requirement'!AJ34</f>
        <v/>
      </c>
      <c r="AM716">
        <f>'Grid_Requirement'!AK34</f>
        <v/>
      </c>
      <c r="AN716">
        <f>'Grid_Requirement'!AL34</f>
        <v/>
      </c>
      <c r="AO716">
        <f>'Grid_Requirement'!AM34</f>
        <v/>
      </c>
      <c r="AP716">
        <f>'Grid_Requirement'!AN34</f>
        <v/>
      </c>
      <c r="AQ716">
        <f>'Grid_Requirement'!AO34</f>
        <v/>
      </c>
      <c r="AR716">
        <f>'Grid_Requirement'!AP34</f>
        <v/>
      </c>
      <c r="AS716">
        <f>'Grid_Requirement'!AQ34</f>
        <v/>
      </c>
      <c r="AT716">
        <f>'Grid_Requirement'!AR34</f>
        <v/>
      </c>
      <c r="AU716">
        <f>'Grid_Requirement'!AS34</f>
        <v/>
      </c>
      <c r="AV716">
        <f>'Grid_Requirement'!AT34</f>
        <v/>
      </c>
      <c r="AW716">
        <f>'Grid_Requirement'!AU34</f>
        <v/>
      </c>
      <c r="AX716">
        <f>'Grid_Requirement'!AV34</f>
        <v/>
      </c>
      <c r="AY716">
        <f>'Grid_Requirement'!AW34</f>
        <v/>
      </c>
      <c r="AZ716">
        <f>'Grid_Requirement'!AX34</f>
        <v/>
      </c>
      <c r="BA716">
        <f>'Grid_Requirement'!AY34</f>
        <v/>
      </c>
      <c r="BB716">
        <f>'Grid_Requirement'!AZ34</f>
        <v/>
      </c>
      <c r="BC716">
        <f>'Grid_Requirement'!BA34</f>
        <v/>
      </c>
      <c r="BD716">
        <f>'Grid_Requirement'!BB34</f>
        <v/>
      </c>
      <c r="BE716">
        <f>'Grid_Requirement'!BC34</f>
        <v/>
      </c>
      <c r="BF716">
        <f>'Grid_Requirement'!BD34</f>
        <v/>
      </c>
      <c r="BG716">
        <f>'Grid_Requirement'!BE34</f>
        <v/>
      </c>
      <c r="BH716">
        <f>'Grid_Requirement'!BF34</f>
        <v/>
      </c>
      <c r="BI716">
        <f>'Grid_Requirement'!BG34</f>
        <v/>
      </c>
      <c r="BJ716">
        <f>'Grid_Requirement'!BH34</f>
        <v/>
      </c>
      <c r="BK716">
        <f>'Grid_Requirement'!BI34</f>
        <v/>
      </c>
      <c r="BL716">
        <f>'Grid_Requirement'!BJ34</f>
        <v/>
      </c>
      <c r="BM716">
        <f>'Grid_Requirement'!BK34</f>
        <v/>
      </c>
      <c r="BN716">
        <f>'Grid_Requirement'!BL34</f>
        <v/>
      </c>
      <c r="BO716">
        <f>'Grid_Requirement'!BM34</f>
        <v/>
      </c>
      <c r="BP716">
        <f>'Grid_Requirement'!BN34</f>
        <v/>
      </c>
      <c r="BQ716">
        <f>'Grid_Requirement'!BO34</f>
        <v/>
      </c>
      <c r="BR716">
        <f>'Grid_Requirement'!BP34</f>
        <v/>
      </c>
      <c r="BS716">
        <f>'Grid_Requirement'!BQ34</f>
        <v/>
      </c>
      <c r="BT716">
        <f>'Grid_Requirement'!BR34</f>
        <v/>
      </c>
      <c r="BU716">
        <f>'Grid_Requirement'!BS34</f>
        <v/>
      </c>
      <c r="BV716">
        <f>'Grid_Requirement'!BT34</f>
        <v/>
      </c>
      <c r="BW716">
        <f>'Grid_Requirement'!BU34</f>
        <v/>
      </c>
      <c r="BX716">
        <f>'Grid_Requirement'!BV34</f>
        <v/>
      </c>
      <c r="BY716">
        <f>'Grid_Requirement'!BW34</f>
        <v/>
      </c>
      <c r="BZ716">
        <f>'Grid_Requirement'!BX34</f>
        <v/>
      </c>
      <c r="CA716">
        <f>'Grid_Requirement'!BY34</f>
        <v/>
      </c>
      <c r="CB716">
        <f>'Grid_Requirement'!BZ34</f>
        <v/>
      </c>
      <c r="CC716">
        <f>'Grid_Requirement'!CA34</f>
        <v/>
      </c>
      <c r="CD716">
        <f>'Grid_Requirement'!CB34</f>
        <v/>
      </c>
      <c r="CE716">
        <f>'Grid_Requirement'!CC34</f>
        <v/>
      </c>
      <c r="CF716">
        <f>'Grid_Requirement'!CD34</f>
        <v/>
      </c>
      <c r="CG716">
        <f>'Grid_Requirement'!CE34</f>
        <v/>
      </c>
      <c r="CH716">
        <f>'Grid_Requirement'!CF34</f>
        <v/>
      </c>
      <c r="CI716">
        <f>'Grid_Requirement'!CG34</f>
        <v/>
      </c>
      <c r="CJ716">
        <f>'Grid_Requirement'!CH34</f>
        <v/>
      </c>
      <c r="CK716">
        <f>'Grid_Requirement'!CI34</f>
        <v/>
      </c>
      <c r="CL716">
        <f>'Grid_Requirement'!CJ34</f>
        <v/>
      </c>
      <c r="CM716">
        <f>'Grid_Requirement'!CK34</f>
        <v/>
      </c>
      <c r="CN716">
        <f>'Grid_Requirement'!CL34</f>
        <v/>
      </c>
      <c r="CO716">
        <f>'Grid_Requirement'!CM34</f>
        <v/>
      </c>
      <c r="CP716">
        <f>'Grid_Requirement'!CN34</f>
        <v/>
      </c>
      <c r="CQ716">
        <f>'Grid_Requirement'!CO34</f>
        <v/>
      </c>
      <c r="CR716">
        <f>'Grid_Requirement'!CP34</f>
        <v/>
      </c>
      <c r="CS716">
        <f>'Grid_Requirement'!CQ34</f>
        <v/>
      </c>
      <c r="CT716">
        <f>'Grid_Requirement'!CR34</f>
        <v/>
      </c>
      <c r="CU716">
        <f>'Grid_Requirement'!CS34</f>
        <v/>
      </c>
      <c r="CV716">
        <f>'Grid_Requirement'!CT34</f>
        <v/>
      </c>
      <c r="CW716">
        <f>'Grid_Requirement'!CU34</f>
        <v/>
      </c>
      <c r="CX716">
        <f>'Grid_Requirement'!CV34</f>
        <v/>
      </c>
      <c r="CY716">
        <f>'Grid_Requirement'!CW34</f>
        <v/>
      </c>
      <c r="CZ716">
        <f>'Grid_Requirement'!CX34</f>
        <v/>
      </c>
      <c r="DA716">
        <f>'Grid_Requirement'!CY34</f>
        <v/>
      </c>
      <c r="DB716">
        <f>'Grid_Requirement'!CZ34</f>
        <v/>
      </c>
      <c r="DC716">
        <f>'Grid_Requirement'!DA34</f>
        <v/>
      </c>
    </row>
    <row r="717">
      <c r="B717" t="inlineStr">
        <is>
          <t>TTAF在庫(実績,kg)</t>
        </is>
      </c>
      <c r="D717">
        <f>'T_TTAFStock'!B38</f>
        <v/>
      </c>
      <c r="E717">
        <f>'T_TTAFStock'!C38</f>
        <v/>
      </c>
      <c r="F717">
        <f>'T_TTAFStock'!D38</f>
        <v/>
      </c>
      <c r="G717">
        <f>'T_TTAFStock'!E38</f>
        <v/>
      </c>
      <c r="H717">
        <f>'T_TTAFStock'!F38</f>
        <v/>
      </c>
      <c r="I717">
        <f>'T_TTAFStock'!G38</f>
        <v/>
      </c>
      <c r="J717">
        <f>'T_TTAFStock'!H38</f>
        <v/>
      </c>
      <c r="K717">
        <f>'T_TTAFStock'!I38</f>
        <v/>
      </c>
      <c r="L717">
        <f>'T_TTAFStock'!J38</f>
        <v/>
      </c>
      <c r="M717">
        <f>'T_TTAFStock'!K38</f>
        <v/>
      </c>
      <c r="N717">
        <f>'T_TTAFStock'!L38</f>
        <v/>
      </c>
      <c r="O717">
        <f>'T_TTAFStock'!M38</f>
        <v/>
      </c>
      <c r="P717">
        <f>'T_TTAFStock'!N38</f>
        <v/>
      </c>
      <c r="Q717">
        <f>'T_TTAFStock'!O38</f>
        <v/>
      </c>
      <c r="R717">
        <f>'T_TTAFStock'!P38</f>
        <v/>
      </c>
      <c r="S717">
        <f>'T_TTAFStock'!Q38</f>
        <v/>
      </c>
      <c r="T717">
        <f>'T_TTAFStock'!R38</f>
        <v/>
      </c>
      <c r="U717">
        <f>'T_TTAFStock'!S38</f>
        <v/>
      </c>
      <c r="V717">
        <f>'T_TTAFStock'!T38</f>
        <v/>
      </c>
      <c r="W717">
        <f>'T_TTAFStock'!U38</f>
        <v/>
      </c>
      <c r="X717">
        <f>'T_TTAFStock'!V38</f>
        <v/>
      </c>
      <c r="Y717">
        <f>'T_TTAFStock'!W38</f>
        <v/>
      </c>
      <c r="Z717">
        <f>'T_TTAFStock'!X38</f>
        <v/>
      </c>
      <c r="AA717">
        <f>'T_TTAFStock'!Y38</f>
        <v/>
      </c>
      <c r="AB717">
        <f>'T_TTAFStock'!Z38</f>
        <v/>
      </c>
      <c r="AC717">
        <f>'T_TTAFStock'!AA38</f>
        <v/>
      </c>
      <c r="AD717">
        <f>'T_TTAFStock'!AB38</f>
        <v/>
      </c>
      <c r="AE717">
        <f>'T_TTAFStock'!AC38</f>
        <v/>
      </c>
      <c r="AF717">
        <f>'T_TTAFStock'!AD38</f>
        <v/>
      </c>
      <c r="AG717">
        <f>'T_TTAFStock'!AE38</f>
        <v/>
      </c>
      <c r="AH717">
        <f>'T_TTAFStock'!AF38</f>
        <v/>
      </c>
      <c r="AI717">
        <f>'T_TTAFStock'!AG38</f>
        <v/>
      </c>
      <c r="AJ717">
        <f>'T_TTAFStock'!AH38</f>
        <v/>
      </c>
      <c r="AK717">
        <f>'T_TTAFStock'!AI38</f>
        <v/>
      </c>
      <c r="AL717">
        <f>'T_TTAFStock'!AJ38</f>
        <v/>
      </c>
      <c r="AM717">
        <f>'T_TTAFStock'!AK38</f>
        <v/>
      </c>
      <c r="AN717">
        <f>'T_TTAFStock'!AL38</f>
        <v/>
      </c>
      <c r="AO717">
        <f>'T_TTAFStock'!AM38</f>
        <v/>
      </c>
      <c r="AP717">
        <f>'T_TTAFStock'!AN38</f>
        <v/>
      </c>
      <c r="AQ717">
        <f>'T_TTAFStock'!AO38</f>
        <v/>
      </c>
      <c r="AR717">
        <f>'T_TTAFStock'!AP38</f>
        <v/>
      </c>
      <c r="AS717">
        <f>'T_TTAFStock'!AQ38</f>
        <v/>
      </c>
      <c r="AT717">
        <f>'T_TTAFStock'!AR38</f>
        <v/>
      </c>
      <c r="AU717">
        <f>'T_TTAFStock'!AS38</f>
        <v/>
      </c>
      <c r="AV717">
        <f>'T_TTAFStock'!AT38</f>
        <v/>
      </c>
      <c r="AW717">
        <f>'T_TTAFStock'!AU38</f>
        <v/>
      </c>
      <c r="AX717">
        <f>'T_TTAFStock'!AV38</f>
        <v/>
      </c>
      <c r="AY717">
        <f>'T_TTAFStock'!AW38</f>
        <v/>
      </c>
      <c r="AZ717">
        <f>'T_TTAFStock'!AX38</f>
        <v/>
      </c>
      <c r="BA717">
        <f>'T_TTAFStock'!AY38</f>
        <v/>
      </c>
      <c r="BB717">
        <f>'T_TTAFStock'!AZ38</f>
        <v/>
      </c>
      <c r="BC717">
        <f>'T_TTAFStock'!BA38</f>
        <v/>
      </c>
      <c r="BD717">
        <f>'T_TTAFStock'!BB38</f>
        <v/>
      </c>
      <c r="BE717">
        <f>'T_TTAFStock'!BC38</f>
        <v/>
      </c>
      <c r="BF717">
        <f>'T_TTAFStock'!BD38</f>
        <v/>
      </c>
      <c r="BG717">
        <f>'T_TTAFStock'!BE38</f>
        <v/>
      </c>
      <c r="BH717">
        <f>'T_TTAFStock'!BF38</f>
        <v/>
      </c>
      <c r="BI717">
        <f>'T_TTAFStock'!BG38</f>
        <v/>
      </c>
      <c r="BJ717">
        <f>'T_TTAFStock'!BH38</f>
        <v/>
      </c>
      <c r="BK717">
        <f>'T_TTAFStock'!BI38</f>
        <v/>
      </c>
      <c r="BL717">
        <f>'T_TTAFStock'!BJ38</f>
        <v/>
      </c>
      <c r="BM717">
        <f>'T_TTAFStock'!BK38</f>
        <v/>
      </c>
      <c r="BN717">
        <f>'T_TTAFStock'!BL38</f>
        <v/>
      </c>
      <c r="BO717">
        <f>'T_TTAFStock'!BM38</f>
        <v/>
      </c>
      <c r="BP717">
        <f>'T_TTAFStock'!BN38</f>
        <v/>
      </c>
      <c r="BQ717">
        <f>'T_TTAFStock'!BO38</f>
        <v/>
      </c>
      <c r="BR717">
        <f>'T_TTAFStock'!BP38</f>
        <v/>
      </c>
      <c r="BS717">
        <f>'T_TTAFStock'!BQ38</f>
        <v/>
      </c>
      <c r="BT717">
        <f>'T_TTAFStock'!BR38</f>
        <v/>
      </c>
      <c r="BU717">
        <f>'T_TTAFStock'!BS38</f>
        <v/>
      </c>
      <c r="BV717">
        <f>'T_TTAFStock'!BT38</f>
        <v/>
      </c>
      <c r="BW717">
        <f>'T_TTAFStock'!BU38</f>
        <v/>
      </c>
      <c r="BX717">
        <f>'T_TTAFStock'!BV38</f>
        <v/>
      </c>
      <c r="BY717">
        <f>'T_TTAFStock'!BW38</f>
        <v/>
      </c>
      <c r="BZ717">
        <f>'T_TTAFStock'!BX38</f>
        <v/>
      </c>
      <c r="CA717">
        <f>'T_TTAFStock'!BY38</f>
        <v/>
      </c>
      <c r="CB717">
        <f>'T_TTAFStock'!BZ38</f>
        <v/>
      </c>
      <c r="CC717">
        <f>'T_TTAFStock'!CA38</f>
        <v/>
      </c>
      <c r="CD717">
        <f>'T_TTAFStock'!CB38</f>
        <v/>
      </c>
      <c r="CE717">
        <f>'T_TTAFStock'!CC38</f>
        <v/>
      </c>
      <c r="CF717">
        <f>'T_TTAFStock'!CD38</f>
        <v/>
      </c>
      <c r="CG717">
        <f>'T_TTAFStock'!CE38</f>
        <v/>
      </c>
      <c r="CH717">
        <f>'T_TTAFStock'!CF38</f>
        <v/>
      </c>
      <c r="CI717">
        <f>'T_TTAFStock'!CG38</f>
        <v/>
      </c>
      <c r="CJ717">
        <f>'T_TTAFStock'!CH38</f>
        <v/>
      </c>
      <c r="CK717">
        <f>'T_TTAFStock'!CI38</f>
        <v/>
      </c>
      <c r="CL717">
        <f>'T_TTAFStock'!CJ38</f>
        <v/>
      </c>
      <c r="CM717">
        <f>'T_TTAFStock'!CK38</f>
        <v/>
      </c>
      <c r="CN717">
        <f>'T_TTAFStock'!CL38</f>
        <v/>
      </c>
      <c r="CO717">
        <f>'T_TTAFStock'!CM38</f>
        <v/>
      </c>
      <c r="CP717">
        <f>'T_TTAFStock'!CN38</f>
        <v/>
      </c>
      <c r="CQ717">
        <f>'T_TTAFStock'!CO38</f>
        <v/>
      </c>
      <c r="CR717">
        <f>'T_TTAFStock'!CP38</f>
        <v/>
      </c>
      <c r="CS717">
        <f>'T_TTAFStock'!CQ38</f>
        <v/>
      </c>
      <c r="CT717">
        <f>'T_TTAFStock'!CR38</f>
        <v/>
      </c>
      <c r="CU717">
        <f>'T_TTAFStock'!CS38</f>
        <v/>
      </c>
      <c r="CV717">
        <f>'T_TTAFStock'!CT38</f>
        <v/>
      </c>
      <c r="CW717">
        <f>'T_TTAFStock'!CU38</f>
        <v/>
      </c>
      <c r="CX717">
        <f>'T_TTAFStock'!CV38</f>
        <v/>
      </c>
      <c r="CY717">
        <f>'T_TTAFStock'!CW38</f>
        <v/>
      </c>
      <c r="CZ717">
        <f>'T_TTAFStock'!CX38</f>
        <v/>
      </c>
      <c r="DA717">
        <f>'T_TTAFStock'!CY38</f>
        <v/>
      </c>
      <c r="DB717">
        <f>'T_TTAFStock'!CZ38</f>
        <v/>
      </c>
      <c r="DC717">
        <f>'T_TTAFStock'!DA38</f>
        <v/>
      </c>
    </row>
    <row r="718">
      <c r="B718" t="inlineStr">
        <is>
          <t>自社在庫(実績,kg)</t>
        </is>
      </c>
      <c r="D718">
        <f>'T_SelfStock'!B38</f>
        <v/>
      </c>
      <c r="E718">
        <f>'T_SelfStock'!C38</f>
        <v/>
      </c>
      <c r="F718">
        <f>'T_SelfStock'!D38</f>
        <v/>
      </c>
      <c r="G718">
        <f>'T_SelfStock'!E38</f>
        <v/>
      </c>
      <c r="H718">
        <f>'T_SelfStock'!F38</f>
        <v/>
      </c>
      <c r="I718">
        <f>'T_SelfStock'!G38</f>
        <v/>
      </c>
      <c r="J718">
        <f>'T_SelfStock'!H38</f>
        <v/>
      </c>
      <c r="K718">
        <f>'T_SelfStock'!I38</f>
        <v/>
      </c>
      <c r="L718">
        <f>'T_SelfStock'!J38</f>
        <v/>
      </c>
      <c r="M718">
        <f>'T_SelfStock'!K38</f>
        <v/>
      </c>
      <c r="N718">
        <f>'T_SelfStock'!L38</f>
        <v/>
      </c>
      <c r="O718">
        <f>'T_SelfStock'!M38</f>
        <v/>
      </c>
      <c r="P718">
        <f>'T_SelfStock'!N38</f>
        <v/>
      </c>
      <c r="Q718">
        <f>'T_SelfStock'!O38</f>
        <v/>
      </c>
      <c r="R718">
        <f>'T_SelfStock'!P38</f>
        <v/>
      </c>
      <c r="S718">
        <f>'T_SelfStock'!Q38</f>
        <v/>
      </c>
      <c r="T718">
        <f>'T_SelfStock'!R38</f>
        <v/>
      </c>
      <c r="U718">
        <f>'T_SelfStock'!S38</f>
        <v/>
      </c>
      <c r="V718">
        <f>'T_SelfStock'!T38</f>
        <v/>
      </c>
      <c r="W718">
        <f>'T_SelfStock'!U38</f>
        <v/>
      </c>
      <c r="X718">
        <f>'T_SelfStock'!V38</f>
        <v/>
      </c>
      <c r="Y718">
        <f>'T_SelfStock'!W38</f>
        <v/>
      </c>
      <c r="Z718">
        <f>'T_SelfStock'!X38</f>
        <v/>
      </c>
      <c r="AA718">
        <f>'T_SelfStock'!Y38</f>
        <v/>
      </c>
      <c r="AB718">
        <f>'T_SelfStock'!Z38</f>
        <v/>
      </c>
      <c r="AC718">
        <f>'T_SelfStock'!AA38</f>
        <v/>
      </c>
      <c r="AD718">
        <f>'T_SelfStock'!AB38</f>
        <v/>
      </c>
      <c r="AE718">
        <f>'T_SelfStock'!AC38</f>
        <v/>
      </c>
      <c r="AF718">
        <f>'T_SelfStock'!AD38</f>
        <v/>
      </c>
      <c r="AG718">
        <f>'T_SelfStock'!AE38</f>
        <v/>
      </c>
      <c r="AH718">
        <f>'T_SelfStock'!AF38</f>
        <v/>
      </c>
      <c r="AI718">
        <f>'T_SelfStock'!AG38</f>
        <v/>
      </c>
      <c r="AJ718">
        <f>'T_SelfStock'!AH38</f>
        <v/>
      </c>
      <c r="AK718">
        <f>'T_SelfStock'!AI38</f>
        <v/>
      </c>
      <c r="AL718">
        <f>'T_SelfStock'!AJ38</f>
        <v/>
      </c>
      <c r="AM718">
        <f>'T_SelfStock'!AK38</f>
        <v/>
      </c>
      <c r="AN718">
        <f>'T_SelfStock'!AL38</f>
        <v/>
      </c>
      <c r="AO718">
        <f>'T_SelfStock'!AM38</f>
        <v/>
      </c>
      <c r="AP718">
        <f>'T_SelfStock'!AN38</f>
        <v/>
      </c>
      <c r="AQ718">
        <f>'T_SelfStock'!AO38</f>
        <v/>
      </c>
      <c r="AR718">
        <f>'T_SelfStock'!AP38</f>
        <v/>
      </c>
      <c r="AS718">
        <f>'T_SelfStock'!AQ38</f>
        <v/>
      </c>
      <c r="AT718">
        <f>'T_SelfStock'!AR38</f>
        <v/>
      </c>
      <c r="AU718">
        <f>'T_SelfStock'!AS38</f>
        <v/>
      </c>
      <c r="AV718">
        <f>'T_SelfStock'!AT38</f>
        <v/>
      </c>
      <c r="AW718">
        <f>'T_SelfStock'!AU38</f>
        <v/>
      </c>
      <c r="AX718">
        <f>'T_SelfStock'!AV38</f>
        <v/>
      </c>
      <c r="AY718">
        <f>'T_SelfStock'!AW38</f>
        <v/>
      </c>
      <c r="AZ718">
        <f>'T_SelfStock'!AX38</f>
        <v/>
      </c>
      <c r="BA718">
        <f>'T_SelfStock'!AY38</f>
        <v/>
      </c>
      <c r="BB718">
        <f>'T_SelfStock'!AZ38</f>
        <v/>
      </c>
      <c r="BC718">
        <f>'T_SelfStock'!BA38</f>
        <v/>
      </c>
      <c r="BD718">
        <f>'T_SelfStock'!BB38</f>
        <v/>
      </c>
      <c r="BE718">
        <f>'T_SelfStock'!BC38</f>
        <v/>
      </c>
      <c r="BF718">
        <f>'T_SelfStock'!BD38</f>
        <v/>
      </c>
      <c r="BG718">
        <f>'T_SelfStock'!BE38</f>
        <v/>
      </c>
      <c r="BH718">
        <f>'T_SelfStock'!BF38</f>
        <v/>
      </c>
      <c r="BI718">
        <f>'T_SelfStock'!BG38</f>
        <v/>
      </c>
      <c r="BJ718">
        <f>'T_SelfStock'!BH38</f>
        <v/>
      </c>
      <c r="BK718">
        <f>'T_SelfStock'!BI38</f>
        <v/>
      </c>
      <c r="BL718">
        <f>'T_SelfStock'!BJ38</f>
        <v/>
      </c>
      <c r="BM718">
        <f>'T_SelfStock'!BK38</f>
        <v/>
      </c>
      <c r="BN718">
        <f>'T_SelfStock'!BL38</f>
        <v/>
      </c>
      <c r="BO718">
        <f>'T_SelfStock'!BM38</f>
        <v/>
      </c>
      <c r="BP718">
        <f>'T_SelfStock'!BN38</f>
        <v/>
      </c>
      <c r="BQ718">
        <f>'T_SelfStock'!BO38</f>
        <v/>
      </c>
      <c r="BR718">
        <f>'T_SelfStock'!BP38</f>
        <v/>
      </c>
      <c r="BS718">
        <f>'T_SelfStock'!BQ38</f>
        <v/>
      </c>
      <c r="BT718">
        <f>'T_SelfStock'!BR38</f>
        <v/>
      </c>
      <c r="BU718">
        <f>'T_SelfStock'!BS38</f>
        <v/>
      </c>
      <c r="BV718">
        <f>'T_SelfStock'!BT38</f>
        <v/>
      </c>
      <c r="BW718">
        <f>'T_SelfStock'!BU38</f>
        <v/>
      </c>
      <c r="BX718">
        <f>'T_SelfStock'!BV38</f>
        <v/>
      </c>
      <c r="BY718">
        <f>'T_SelfStock'!BW38</f>
        <v/>
      </c>
      <c r="BZ718">
        <f>'T_SelfStock'!BX38</f>
        <v/>
      </c>
      <c r="CA718">
        <f>'T_SelfStock'!BY38</f>
        <v/>
      </c>
      <c r="CB718">
        <f>'T_SelfStock'!BZ38</f>
        <v/>
      </c>
      <c r="CC718">
        <f>'T_SelfStock'!CA38</f>
        <v/>
      </c>
      <c r="CD718">
        <f>'T_SelfStock'!CB38</f>
        <v/>
      </c>
      <c r="CE718">
        <f>'T_SelfStock'!CC38</f>
        <v/>
      </c>
      <c r="CF718">
        <f>'T_SelfStock'!CD38</f>
        <v/>
      </c>
      <c r="CG718">
        <f>'T_SelfStock'!CE38</f>
        <v/>
      </c>
      <c r="CH718">
        <f>'T_SelfStock'!CF38</f>
        <v/>
      </c>
      <c r="CI718">
        <f>'T_SelfStock'!CG38</f>
        <v/>
      </c>
      <c r="CJ718">
        <f>'T_SelfStock'!CH38</f>
        <v/>
      </c>
      <c r="CK718">
        <f>'T_SelfStock'!CI38</f>
        <v/>
      </c>
      <c r="CL718">
        <f>'T_SelfStock'!CJ38</f>
        <v/>
      </c>
      <c r="CM718">
        <f>'T_SelfStock'!CK38</f>
        <v/>
      </c>
      <c r="CN718">
        <f>'T_SelfStock'!CL38</f>
        <v/>
      </c>
      <c r="CO718">
        <f>'T_SelfStock'!CM38</f>
        <v/>
      </c>
      <c r="CP718">
        <f>'T_SelfStock'!CN38</f>
        <v/>
      </c>
      <c r="CQ718">
        <f>'T_SelfStock'!CO38</f>
        <v/>
      </c>
      <c r="CR718">
        <f>'T_SelfStock'!CP38</f>
        <v/>
      </c>
      <c r="CS718">
        <f>'T_SelfStock'!CQ38</f>
        <v/>
      </c>
      <c r="CT718">
        <f>'T_SelfStock'!CR38</f>
        <v/>
      </c>
      <c r="CU718">
        <f>'T_SelfStock'!CS38</f>
        <v/>
      </c>
      <c r="CV718">
        <f>'T_SelfStock'!CT38</f>
        <v/>
      </c>
      <c r="CW718">
        <f>'T_SelfStock'!CU38</f>
        <v/>
      </c>
      <c r="CX718">
        <f>'T_SelfStock'!CV38</f>
        <v/>
      </c>
      <c r="CY718">
        <f>'T_SelfStock'!CW38</f>
        <v/>
      </c>
      <c r="CZ718">
        <f>'T_SelfStock'!CX38</f>
        <v/>
      </c>
      <c r="DA718">
        <f>'T_SelfStock'!CY38</f>
        <v/>
      </c>
      <c r="DB718">
        <f>'T_SelfStock'!CZ38</f>
        <v/>
      </c>
      <c r="DC718">
        <f>'T_SelfStock'!DA38</f>
        <v/>
      </c>
    </row>
    <row r="719">
      <c r="B719" t="inlineStr">
        <is>
          <t>Order(発注予定,kg)</t>
        </is>
      </c>
      <c r="D719">
        <f>IF(SUMIFS(T_PlannedOrders[EffectiveQty],T_PlannedOrders[Part Name],$A709,T_PlannedOrders[WeekIndex],1)=0,"",SUMIFS(T_PlannedOrders[EffectiveQty],T_PlannedOrders[Part Name],$A709,T_PlannedOrders[WeekIndex],1)&amp;" ("&amp;TEXT(SUMPRODUCT(MAX((T_PlannedOrders[Part Name]=$A709)*(T_PlannedOrders[WeekIndex]=1)*(T_PlannedOrders[EffectiveQty]&gt;0)*T_PlannedOrders[Order_Month])),"m月")&amp;"発注)")</f>
        <v/>
      </c>
      <c r="E719">
        <f>IF(SUMIFS(T_PlannedOrders[EffectiveQty],T_PlannedOrders[Part Name],$A709,T_PlannedOrders[WeekIndex],2)=0,"",SUMIFS(T_PlannedOrders[EffectiveQty],T_PlannedOrders[Part Name],$A709,T_PlannedOrders[WeekIndex],2)&amp;" ("&amp;TEXT(SUMPRODUCT(MAX((T_PlannedOrders[Part Name]=$A709)*(T_PlannedOrders[WeekIndex]=2)*(T_PlannedOrders[EffectiveQty]&gt;0)*T_PlannedOrders[Order_Month])),"m月")&amp;"発注)")</f>
        <v/>
      </c>
      <c r="F719">
        <f>IF(SUMIFS(T_PlannedOrders[EffectiveQty],T_PlannedOrders[Part Name],$A709,T_PlannedOrders[WeekIndex],3)=0,"",SUMIFS(T_PlannedOrders[EffectiveQty],T_PlannedOrders[Part Name],$A709,T_PlannedOrders[WeekIndex],3)&amp;" ("&amp;TEXT(SUMPRODUCT(MAX((T_PlannedOrders[Part Name]=$A709)*(T_PlannedOrders[WeekIndex]=3)*(T_PlannedOrders[EffectiveQty]&gt;0)*T_PlannedOrders[Order_Month])),"m月")&amp;"発注)")</f>
        <v/>
      </c>
      <c r="G719">
        <f>IF(SUMIFS(T_PlannedOrders[EffectiveQty],T_PlannedOrders[Part Name],$A709,T_PlannedOrders[WeekIndex],4)=0,"",SUMIFS(T_PlannedOrders[EffectiveQty],T_PlannedOrders[Part Name],$A709,T_PlannedOrders[WeekIndex],4)&amp;" ("&amp;TEXT(SUMPRODUCT(MAX((T_PlannedOrders[Part Name]=$A709)*(T_PlannedOrders[WeekIndex]=4)*(T_PlannedOrders[EffectiveQty]&gt;0)*T_PlannedOrders[Order_Month])),"m月")&amp;"発注)")</f>
        <v/>
      </c>
      <c r="H719">
        <f>IF(SUMIFS(T_PlannedOrders[EffectiveQty],T_PlannedOrders[Part Name],$A709,T_PlannedOrders[WeekIndex],5)=0,"",SUMIFS(T_PlannedOrders[EffectiveQty],T_PlannedOrders[Part Name],$A709,T_PlannedOrders[WeekIndex],5)&amp;" ("&amp;TEXT(SUMPRODUCT(MAX((T_PlannedOrders[Part Name]=$A709)*(T_PlannedOrders[WeekIndex]=5)*(T_PlannedOrders[EffectiveQty]&gt;0)*T_PlannedOrders[Order_Month])),"m月")&amp;"発注)")</f>
        <v/>
      </c>
      <c r="I719">
        <f>IF(SUMIFS(T_PlannedOrders[EffectiveQty],T_PlannedOrders[Part Name],$A709,T_PlannedOrders[WeekIndex],6)=0,"",SUMIFS(T_PlannedOrders[EffectiveQty],T_PlannedOrders[Part Name],$A709,T_PlannedOrders[WeekIndex],6)&amp;" ("&amp;TEXT(SUMPRODUCT(MAX((T_PlannedOrders[Part Name]=$A709)*(T_PlannedOrders[WeekIndex]=6)*(T_PlannedOrders[EffectiveQty]&gt;0)*T_PlannedOrders[Order_Month])),"m月")&amp;"発注)")</f>
        <v/>
      </c>
      <c r="J719">
        <f>IF(SUMIFS(T_PlannedOrders[EffectiveQty],T_PlannedOrders[Part Name],$A709,T_PlannedOrders[WeekIndex],7)=0,"",SUMIFS(T_PlannedOrders[EffectiveQty],T_PlannedOrders[Part Name],$A709,T_PlannedOrders[WeekIndex],7)&amp;" ("&amp;TEXT(SUMPRODUCT(MAX((T_PlannedOrders[Part Name]=$A709)*(T_PlannedOrders[WeekIndex]=7)*(T_PlannedOrders[EffectiveQty]&gt;0)*T_PlannedOrders[Order_Month])),"m月")&amp;"発注)")</f>
        <v/>
      </c>
      <c r="K719">
        <f>IF(SUMIFS(T_PlannedOrders[EffectiveQty],T_PlannedOrders[Part Name],$A709,T_PlannedOrders[WeekIndex],8)=0,"",SUMIFS(T_PlannedOrders[EffectiveQty],T_PlannedOrders[Part Name],$A709,T_PlannedOrders[WeekIndex],8)&amp;" ("&amp;TEXT(SUMPRODUCT(MAX((T_PlannedOrders[Part Name]=$A709)*(T_PlannedOrders[WeekIndex]=8)*(T_PlannedOrders[EffectiveQty]&gt;0)*T_PlannedOrders[Order_Month])),"m月")&amp;"発注)")</f>
        <v/>
      </c>
      <c r="L719">
        <f>IF(SUMIFS(T_PlannedOrders[EffectiveQty],T_PlannedOrders[Part Name],$A709,T_PlannedOrders[WeekIndex],9)=0,"",SUMIFS(T_PlannedOrders[EffectiveQty],T_PlannedOrders[Part Name],$A709,T_PlannedOrders[WeekIndex],9)&amp;" ("&amp;TEXT(SUMPRODUCT(MAX((T_PlannedOrders[Part Name]=$A709)*(T_PlannedOrders[WeekIndex]=9)*(T_PlannedOrders[EffectiveQty]&gt;0)*T_PlannedOrders[Order_Month])),"m月")&amp;"発注)")</f>
        <v/>
      </c>
      <c r="M719">
        <f>IF(SUMIFS(T_PlannedOrders[EffectiveQty],T_PlannedOrders[Part Name],$A709,T_PlannedOrders[WeekIndex],10)=0,"",SUMIFS(T_PlannedOrders[EffectiveQty],T_PlannedOrders[Part Name],$A709,T_PlannedOrders[WeekIndex],10)&amp;" ("&amp;TEXT(SUMPRODUCT(MAX((T_PlannedOrders[Part Name]=$A709)*(T_PlannedOrders[WeekIndex]=10)*(T_PlannedOrders[EffectiveQty]&gt;0)*T_PlannedOrders[Order_Month])),"m月")&amp;"発注)")</f>
        <v/>
      </c>
      <c r="N719">
        <f>IF(SUMIFS(T_PlannedOrders[EffectiveQty],T_PlannedOrders[Part Name],$A709,T_PlannedOrders[WeekIndex],11)=0,"",SUMIFS(T_PlannedOrders[EffectiveQty],T_PlannedOrders[Part Name],$A709,T_PlannedOrders[WeekIndex],11)&amp;" ("&amp;TEXT(SUMPRODUCT(MAX((T_PlannedOrders[Part Name]=$A709)*(T_PlannedOrders[WeekIndex]=11)*(T_PlannedOrders[EffectiveQty]&gt;0)*T_PlannedOrders[Order_Month])),"m月")&amp;"発注)")</f>
        <v/>
      </c>
      <c r="O719">
        <f>IF(SUMIFS(T_PlannedOrders[EffectiveQty],T_PlannedOrders[Part Name],$A709,T_PlannedOrders[WeekIndex],12)=0,"",SUMIFS(T_PlannedOrders[EffectiveQty],T_PlannedOrders[Part Name],$A709,T_PlannedOrders[WeekIndex],12)&amp;" ("&amp;TEXT(SUMPRODUCT(MAX((T_PlannedOrders[Part Name]=$A709)*(T_PlannedOrders[WeekIndex]=12)*(T_PlannedOrders[EffectiveQty]&gt;0)*T_PlannedOrders[Order_Month])),"m月")&amp;"発注)")</f>
        <v/>
      </c>
      <c r="P719">
        <f>IF(SUMIFS(T_PlannedOrders[EffectiveQty],T_PlannedOrders[Part Name],$A709,T_PlannedOrders[WeekIndex],13)=0,"",SUMIFS(T_PlannedOrders[EffectiveQty],T_PlannedOrders[Part Name],$A709,T_PlannedOrders[WeekIndex],13)&amp;" ("&amp;TEXT(SUMPRODUCT(MAX((T_PlannedOrders[Part Name]=$A709)*(T_PlannedOrders[WeekIndex]=13)*(T_PlannedOrders[EffectiveQty]&gt;0)*T_PlannedOrders[Order_Month])),"m月")&amp;"発注)")</f>
        <v/>
      </c>
      <c r="Q719">
        <f>IF(SUMIFS(T_PlannedOrders[EffectiveQty],T_PlannedOrders[Part Name],$A709,T_PlannedOrders[WeekIndex],14)=0,"",SUMIFS(T_PlannedOrders[EffectiveQty],T_PlannedOrders[Part Name],$A709,T_PlannedOrders[WeekIndex],14)&amp;" ("&amp;TEXT(SUMPRODUCT(MAX((T_PlannedOrders[Part Name]=$A709)*(T_PlannedOrders[WeekIndex]=14)*(T_PlannedOrders[EffectiveQty]&gt;0)*T_PlannedOrders[Order_Month])),"m月")&amp;"発注)")</f>
        <v/>
      </c>
      <c r="R719">
        <f>IF(SUMIFS(T_PlannedOrders[EffectiveQty],T_PlannedOrders[Part Name],$A709,T_PlannedOrders[WeekIndex],15)=0,"",SUMIFS(T_PlannedOrders[EffectiveQty],T_PlannedOrders[Part Name],$A709,T_PlannedOrders[WeekIndex],15)&amp;" ("&amp;TEXT(SUMPRODUCT(MAX((T_PlannedOrders[Part Name]=$A709)*(T_PlannedOrders[WeekIndex]=15)*(T_PlannedOrders[EffectiveQty]&gt;0)*T_PlannedOrders[Order_Month])),"m月")&amp;"発注)")</f>
        <v/>
      </c>
      <c r="S719">
        <f>IF(SUMIFS(T_PlannedOrders[EffectiveQty],T_PlannedOrders[Part Name],$A709,T_PlannedOrders[WeekIndex],16)=0,"",SUMIFS(T_PlannedOrders[EffectiveQty],T_PlannedOrders[Part Name],$A709,T_PlannedOrders[WeekIndex],16)&amp;" ("&amp;TEXT(SUMPRODUCT(MAX((T_PlannedOrders[Part Name]=$A709)*(T_PlannedOrders[WeekIndex]=16)*(T_PlannedOrders[EffectiveQty]&gt;0)*T_PlannedOrders[Order_Month])),"m月")&amp;"発注)")</f>
        <v/>
      </c>
      <c r="T719">
        <f>IF(SUMIFS(T_PlannedOrders[EffectiveQty],T_PlannedOrders[Part Name],$A709,T_PlannedOrders[WeekIndex],17)=0,"",SUMIFS(T_PlannedOrders[EffectiveQty],T_PlannedOrders[Part Name],$A709,T_PlannedOrders[WeekIndex],17)&amp;" ("&amp;TEXT(SUMPRODUCT(MAX((T_PlannedOrders[Part Name]=$A709)*(T_PlannedOrders[WeekIndex]=17)*(T_PlannedOrders[EffectiveQty]&gt;0)*T_PlannedOrders[Order_Month])),"m月")&amp;"発注)")</f>
        <v/>
      </c>
      <c r="U719">
        <f>IF(SUMIFS(T_PlannedOrders[EffectiveQty],T_PlannedOrders[Part Name],$A709,T_PlannedOrders[WeekIndex],18)=0,"",SUMIFS(T_PlannedOrders[EffectiveQty],T_PlannedOrders[Part Name],$A709,T_PlannedOrders[WeekIndex],18)&amp;" ("&amp;TEXT(SUMPRODUCT(MAX((T_PlannedOrders[Part Name]=$A709)*(T_PlannedOrders[WeekIndex]=18)*(T_PlannedOrders[EffectiveQty]&gt;0)*T_PlannedOrders[Order_Month])),"m月")&amp;"発注)")</f>
        <v/>
      </c>
      <c r="V719">
        <f>IF(SUMIFS(T_PlannedOrders[EffectiveQty],T_PlannedOrders[Part Name],$A709,T_PlannedOrders[WeekIndex],19)=0,"",SUMIFS(T_PlannedOrders[EffectiveQty],T_PlannedOrders[Part Name],$A709,T_PlannedOrders[WeekIndex],19)&amp;" ("&amp;TEXT(SUMPRODUCT(MAX((T_PlannedOrders[Part Name]=$A709)*(T_PlannedOrders[WeekIndex]=19)*(T_PlannedOrders[EffectiveQty]&gt;0)*T_PlannedOrders[Order_Month])),"m月")&amp;"発注)")</f>
        <v/>
      </c>
      <c r="W719">
        <f>IF(SUMIFS(T_PlannedOrders[EffectiveQty],T_PlannedOrders[Part Name],$A709,T_PlannedOrders[WeekIndex],20)=0,"",SUMIFS(T_PlannedOrders[EffectiveQty],T_PlannedOrders[Part Name],$A709,T_PlannedOrders[WeekIndex],20)&amp;" ("&amp;TEXT(SUMPRODUCT(MAX((T_PlannedOrders[Part Name]=$A709)*(T_PlannedOrders[WeekIndex]=20)*(T_PlannedOrders[EffectiveQty]&gt;0)*T_PlannedOrders[Order_Month])),"m月")&amp;"発注)")</f>
        <v/>
      </c>
      <c r="X719">
        <f>IF(SUMIFS(T_PlannedOrders[EffectiveQty],T_PlannedOrders[Part Name],$A709,T_PlannedOrders[WeekIndex],21)=0,"",SUMIFS(T_PlannedOrders[EffectiveQty],T_PlannedOrders[Part Name],$A709,T_PlannedOrders[WeekIndex],21)&amp;" ("&amp;TEXT(SUMPRODUCT(MAX((T_PlannedOrders[Part Name]=$A709)*(T_PlannedOrders[WeekIndex]=21)*(T_PlannedOrders[EffectiveQty]&gt;0)*T_PlannedOrders[Order_Month])),"m月")&amp;"発注)")</f>
        <v/>
      </c>
      <c r="Y719">
        <f>IF(SUMIFS(T_PlannedOrders[EffectiveQty],T_PlannedOrders[Part Name],$A709,T_PlannedOrders[WeekIndex],22)=0,"",SUMIFS(T_PlannedOrders[EffectiveQty],T_PlannedOrders[Part Name],$A709,T_PlannedOrders[WeekIndex],22)&amp;" ("&amp;TEXT(SUMPRODUCT(MAX((T_PlannedOrders[Part Name]=$A709)*(T_PlannedOrders[WeekIndex]=22)*(T_PlannedOrders[EffectiveQty]&gt;0)*T_PlannedOrders[Order_Month])),"m月")&amp;"発注)")</f>
        <v/>
      </c>
      <c r="Z719">
        <f>IF(SUMIFS(T_PlannedOrders[EffectiveQty],T_PlannedOrders[Part Name],$A709,T_PlannedOrders[WeekIndex],23)=0,"",SUMIFS(T_PlannedOrders[EffectiveQty],T_PlannedOrders[Part Name],$A709,T_PlannedOrders[WeekIndex],23)&amp;" ("&amp;TEXT(SUMPRODUCT(MAX((T_PlannedOrders[Part Name]=$A709)*(T_PlannedOrders[WeekIndex]=23)*(T_PlannedOrders[EffectiveQty]&gt;0)*T_PlannedOrders[Order_Month])),"m月")&amp;"発注)")</f>
        <v/>
      </c>
      <c r="AA719">
        <f>IF(SUMIFS(T_PlannedOrders[EffectiveQty],T_PlannedOrders[Part Name],$A709,T_PlannedOrders[WeekIndex],24)=0,"",SUMIFS(T_PlannedOrders[EffectiveQty],T_PlannedOrders[Part Name],$A709,T_PlannedOrders[WeekIndex],24)&amp;" ("&amp;TEXT(SUMPRODUCT(MAX((T_PlannedOrders[Part Name]=$A709)*(T_PlannedOrders[WeekIndex]=24)*(T_PlannedOrders[EffectiveQty]&gt;0)*T_PlannedOrders[Order_Month])),"m月")&amp;"発注)")</f>
        <v/>
      </c>
      <c r="AB719">
        <f>IF(SUMIFS(T_PlannedOrders[EffectiveQty],T_PlannedOrders[Part Name],$A709,T_PlannedOrders[WeekIndex],25)=0,"",SUMIFS(T_PlannedOrders[EffectiveQty],T_PlannedOrders[Part Name],$A709,T_PlannedOrders[WeekIndex],25)&amp;" ("&amp;TEXT(SUMPRODUCT(MAX((T_PlannedOrders[Part Name]=$A709)*(T_PlannedOrders[WeekIndex]=25)*(T_PlannedOrders[EffectiveQty]&gt;0)*T_PlannedOrders[Order_Month])),"m月")&amp;"発注)")</f>
        <v/>
      </c>
      <c r="AC719">
        <f>IF(SUMIFS(T_PlannedOrders[EffectiveQty],T_PlannedOrders[Part Name],$A709,T_PlannedOrders[WeekIndex],26)=0,"",SUMIFS(T_PlannedOrders[EffectiveQty],T_PlannedOrders[Part Name],$A709,T_PlannedOrders[WeekIndex],26)&amp;" ("&amp;TEXT(SUMPRODUCT(MAX((T_PlannedOrders[Part Name]=$A709)*(T_PlannedOrders[WeekIndex]=26)*(T_PlannedOrders[EffectiveQty]&gt;0)*T_PlannedOrders[Order_Month])),"m月")&amp;"発注)")</f>
        <v/>
      </c>
      <c r="AD719">
        <f>IF(SUMIFS(T_PlannedOrders[EffectiveQty],T_PlannedOrders[Part Name],$A709,T_PlannedOrders[WeekIndex],27)=0,"",SUMIFS(T_PlannedOrders[EffectiveQty],T_PlannedOrders[Part Name],$A709,T_PlannedOrders[WeekIndex],27)&amp;" ("&amp;TEXT(SUMPRODUCT(MAX((T_PlannedOrders[Part Name]=$A709)*(T_PlannedOrders[WeekIndex]=27)*(T_PlannedOrders[EffectiveQty]&gt;0)*T_PlannedOrders[Order_Month])),"m月")&amp;"発注)")</f>
        <v/>
      </c>
      <c r="AE719">
        <f>IF(SUMIFS(T_PlannedOrders[EffectiveQty],T_PlannedOrders[Part Name],$A709,T_PlannedOrders[WeekIndex],28)=0,"",SUMIFS(T_PlannedOrders[EffectiveQty],T_PlannedOrders[Part Name],$A709,T_PlannedOrders[WeekIndex],28)&amp;" ("&amp;TEXT(SUMPRODUCT(MAX((T_PlannedOrders[Part Name]=$A709)*(T_PlannedOrders[WeekIndex]=28)*(T_PlannedOrders[EffectiveQty]&gt;0)*T_PlannedOrders[Order_Month])),"m月")&amp;"発注)")</f>
        <v/>
      </c>
      <c r="AF719">
        <f>IF(SUMIFS(T_PlannedOrders[EffectiveQty],T_PlannedOrders[Part Name],$A709,T_PlannedOrders[WeekIndex],29)=0,"",SUMIFS(T_PlannedOrders[EffectiveQty],T_PlannedOrders[Part Name],$A709,T_PlannedOrders[WeekIndex],29)&amp;" ("&amp;TEXT(SUMPRODUCT(MAX((T_PlannedOrders[Part Name]=$A709)*(T_PlannedOrders[WeekIndex]=29)*(T_PlannedOrders[EffectiveQty]&gt;0)*T_PlannedOrders[Order_Month])),"m月")&amp;"発注)")</f>
        <v/>
      </c>
      <c r="AG719">
        <f>IF(SUMIFS(T_PlannedOrders[EffectiveQty],T_PlannedOrders[Part Name],$A709,T_PlannedOrders[WeekIndex],30)=0,"",SUMIFS(T_PlannedOrders[EffectiveQty],T_PlannedOrders[Part Name],$A709,T_PlannedOrders[WeekIndex],30)&amp;" ("&amp;TEXT(SUMPRODUCT(MAX((T_PlannedOrders[Part Name]=$A709)*(T_PlannedOrders[WeekIndex]=30)*(T_PlannedOrders[EffectiveQty]&gt;0)*T_PlannedOrders[Order_Month])),"m月")&amp;"発注)")</f>
        <v/>
      </c>
      <c r="AH719">
        <f>IF(SUMIFS(T_PlannedOrders[EffectiveQty],T_PlannedOrders[Part Name],$A709,T_PlannedOrders[WeekIndex],31)=0,"",SUMIFS(T_PlannedOrders[EffectiveQty],T_PlannedOrders[Part Name],$A709,T_PlannedOrders[WeekIndex],31)&amp;" ("&amp;TEXT(SUMPRODUCT(MAX((T_PlannedOrders[Part Name]=$A709)*(T_PlannedOrders[WeekIndex]=31)*(T_PlannedOrders[EffectiveQty]&gt;0)*T_PlannedOrders[Order_Month])),"m月")&amp;"発注)")</f>
        <v/>
      </c>
      <c r="AI719">
        <f>IF(SUMIFS(T_PlannedOrders[EffectiveQty],T_PlannedOrders[Part Name],$A709,T_PlannedOrders[WeekIndex],32)=0,"",SUMIFS(T_PlannedOrders[EffectiveQty],T_PlannedOrders[Part Name],$A709,T_PlannedOrders[WeekIndex],32)&amp;" ("&amp;TEXT(SUMPRODUCT(MAX((T_PlannedOrders[Part Name]=$A709)*(T_PlannedOrders[WeekIndex]=32)*(T_PlannedOrders[EffectiveQty]&gt;0)*T_PlannedOrders[Order_Month])),"m月")&amp;"発注)")</f>
        <v/>
      </c>
      <c r="AJ719">
        <f>IF(SUMIFS(T_PlannedOrders[EffectiveQty],T_PlannedOrders[Part Name],$A709,T_PlannedOrders[WeekIndex],33)=0,"",SUMIFS(T_PlannedOrders[EffectiveQty],T_PlannedOrders[Part Name],$A709,T_PlannedOrders[WeekIndex],33)&amp;" ("&amp;TEXT(SUMPRODUCT(MAX((T_PlannedOrders[Part Name]=$A709)*(T_PlannedOrders[WeekIndex]=33)*(T_PlannedOrders[EffectiveQty]&gt;0)*T_PlannedOrders[Order_Month])),"m月")&amp;"発注)")</f>
        <v/>
      </c>
      <c r="AK719">
        <f>IF(SUMIFS(T_PlannedOrders[EffectiveQty],T_PlannedOrders[Part Name],$A709,T_PlannedOrders[WeekIndex],34)=0,"",SUMIFS(T_PlannedOrders[EffectiveQty],T_PlannedOrders[Part Name],$A709,T_PlannedOrders[WeekIndex],34)&amp;" ("&amp;TEXT(SUMPRODUCT(MAX((T_PlannedOrders[Part Name]=$A709)*(T_PlannedOrders[WeekIndex]=34)*(T_PlannedOrders[EffectiveQty]&gt;0)*T_PlannedOrders[Order_Month])),"m月")&amp;"発注)")</f>
        <v/>
      </c>
      <c r="AL719">
        <f>IF(SUMIFS(T_PlannedOrders[EffectiveQty],T_PlannedOrders[Part Name],$A709,T_PlannedOrders[WeekIndex],35)=0,"",SUMIFS(T_PlannedOrders[EffectiveQty],T_PlannedOrders[Part Name],$A709,T_PlannedOrders[WeekIndex],35)&amp;" ("&amp;TEXT(SUMPRODUCT(MAX((T_PlannedOrders[Part Name]=$A709)*(T_PlannedOrders[WeekIndex]=35)*(T_PlannedOrders[EffectiveQty]&gt;0)*T_PlannedOrders[Order_Month])),"m月")&amp;"発注)")</f>
        <v/>
      </c>
      <c r="AM719">
        <f>IF(SUMIFS(T_PlannedOrders[EffectiveQty],T_PlannedOrders[Part Name],$A709,T_PlannedOrders[WeekIndex],36)=0,"",SUMIFS(T_PlannedOrders[EffectiveQty],T_PlannedOrders[Part Name],$A709,T_PlannedOrders[WeekIndex],36)&amp;" ("&amp;TEXT(SUMPRODUCT(MAX((T_PlannedOrders[Part Name]=$A709)*(T_PlannedOrders[WeekIndex]=36)*(T_PlannedOrders[EffectiveQty]&gt;0)*T_PlannedOrders[Order_Month])),"m月")&amp;"発注)")</f>
        <v/>
      </c>
      <c r="AN719">
        <f>IF(SUMIFS(T_PlannedOrders[EffectiveQty],T_PlannedOrders[Part Name],$A709,T_PlannedOrders[WeekIndex],37)=0,"",SUMIFS(T_PlannedOrders[EffectiveQty],T_PlannedOrders[Part Name],$A709,T_PlannedOrders[WeekIndex],37)&amp;" ("&amp;TEXT(SUMPRODUCT(MAX((T_PlannedOrders[Part Name]=$A709)*(T_PlannedOrders[WeekIndex]=37)*(T_PlannedOrders[EffectiveQty]&gt;0)*T_PlannedOrders[Order_Month])),"m月")&amp;"発注)")</f>
        <v/>
      </c>
      <c r="AO719">
        <f>IF(SUMIFS(T_PlannedOrders[EffectiveQty],T_PlannedOrders[Part Name],$A709,T_PlannedOrders[WeekIndex],38)=0,"",SUMIFS(T_PlannedOrders[EffectiveQty],T_PlannedOrders[Part Name],$A709,T_PlannedOrders[WeekIndex],38)&amp;" ("&amp;TEXT(SUMPRODUCT(MAX((T_PlannedOrders[Part Name]=$A709)*(T_PlannedOrders[WeekIndex]=38)*(T_PlannedOrders[EffectiveQty]&gt;0)*T_PlannedOrders[Order_Month])),"m月")&amp;"発注)")</f>
        <v/>
      </c>
      <c r="AP719">
        <f>IF(SUMIFS(T_PlannedOrders[EffectiveQty],T_PlannedOrders[Part Name],$A709,T_PlannedOrders[WeekIndex],39)=0,"",SUMIFS(T_PlannedOrders[EffectiveQty],T_PlannedOrders[Part Name],$A709,T_PlannedOrders[WeekIndex],39)&amp;" ("&amp;TEXT(SUMPRODUCT(MAX((T_PlannedOrders[Part Name]=$A709)*(T_PlannedOrders[WeekIndex]=39)*(T_PlannedOrders[EffectiveQty]&gt;0)*T_PlannedOrders[Order_Month])),"m月")&amp;"発注)")</f>
        <v/>
      </c>
      <c r="AQ719">
        <f>IF(SUMIFS(T_PlannedOrders[EffectiveQty],T_PlannedOrders[Part Name],$A709,T_PlannedOrders[WeekIndex],40)=0,"",SUMIFS(T_PlannedOrders[EffectiveQty],T_PlannedOrders[Part Name],$A709,T_PlannedOrders[WeekIndex],40)&amp;" ("&amp;TEXT(SUMPRODUCT(MAX((T_PlannedOrders[Part Name]=$A709)*(T_PlannedOrders[WeekIndex]=40)*(T_PlannedOrders[EffectiveQty]&gt;0)*T_PlannedOrders[Order_Month])),"m月")&amp;"発注)")</f>
        <v/>
      </c>
      <c r="AR719">
        <f>IF(SUMIFS(T_PlannedOrders[EffectiveQty],T_PlannedOrders[Part Name],$A709,T_PlannedOrders[WeekIndex],41)=0,"",SUMIFS(T_PlannedOrders[EffectiveQty],T_PlannedOrders[Part Name],$A709,T_PlannedOrders[WeekIndex],41)&amp;" ("&amp;TEXT(SUMPRODUCT(MAX((T_PlannedOrders[Part Name]=$A709)*(T_PlannedOrders[WeekIndex]=41)*(T_PlannedOrders[EffectiveQty]&gt;0)*T_PlannedOrders[Order_Month])),"m月")&amp;"発注)")</f>
        <v/>
      </c>
      <c r="AS719">
        <f>IF(SUMIFS(T_PlannedOrders[EffectiveQty],T_PlannedOrders[Part Name],$A709,T_PlannedOrders[WeekIndex],42)=0,"",SUMIFS(T_PlannedOrders[EffectiveQty],T_PlannedOrders[Part Name],$A709,T_PlannedOrders[WeekIndex],42)&amp;" ("&amp;TEXT(SUMPRODUCT(MAX((T_PlannedOrders[Part Name]=$A709)*(T_PlannedOrders[WeekIndex]=42)*(T_PlannedOrders[EffectiveQty]&gt;0)*T_PlannedOrders[Order_Month])),"m月")&amp;"発注)")</f>
        <v/>
      </c>
      <c r="AT719">
        <f>IF(SUMIFS(T_PlannedOrders[EffectiveQty],T_PlannedOrders[Part Name],$A709,T_PlannedOrders[WeekIndex],43)=0,"",SUMIFS(T_PlannedOrders[EffectiveQty],T_PlannedOrders[Part Name],$A709,T_PlannedOrders[WeekIndex],43)&amp;" ("&amp;TEXT(SUMPRODUCT(MAX((T_PlannedOrders[Part Name]=$A709)*(T_PlannedOrders[WeekIndex]=43)*(T_PlannedOrders[EffectiveQty]&gt;0)*T_PlannedOrders[Order_Month])),"m月")&amp;"発注)")</f>
        <v/>
      </c>
      <c r="AU719">
        <f>IF(SUMIFS(T_PlannedOrders[EffectiveQty],T_PlannedOrders[Part Name],$A709,T_PlannedOrders[WeekIndex],44)=0,"",SUMIFS(T_PlannedOrders[EffectiveQty],T_PlannedOrders[Part Name],$A709,T_PlannedOrders[WeekIndex],44)&amp;" ("&amp;TEXT(SUMPRODUCT(MAX((T_PlannedOrders[Part Name]=$A709)*(T_PlannedOrders[WeekIndex]=44)*(T_PlannedOrders[EffectiveQty]&gt;0)*T_PlannedOrders[Order_Month])),"m月")&amp;"発注)")</f>
        <v/>
      </c>
      <c r="AV719">
        <f>IF(SUMIFS(T_PlannedOrders[EffectiveQty],T_PlannedOrders[Part Name],$A709,T_PlannedOrders[WeekIndex],45)=0,"",SUMIFS(T_PlannedOrders[EffectiveQty],T_PlannedOrders[Part Name],$A709,T_PlannedOrders[WeekIndex],45)&amp;" ("&amp;TEXT(SUMPRODUCT(MAX((T_PlannedOrders[Part Name]=$A709)*(T_PlannedOrders[WeekIndex]=45)*(T_PlannedOrders[EffectiveQty]&gt;0)*T_PlannedOrders[Order_Month])),"m月")&amp;"発注)")</f>
        <v/>
      </c>
      <c r="AW719">
        <f>IF(SUMIFS(T_PlannedOrders[EffectiveQty],T_PlannedOrders[Part Name],$A709,T_PlannedOrders[WeekIndex],46)=0,"",SUMIFS(T_PlannedOrders[EffectiveQty],T_PlannedOrders[Part Name],$A709,T_PlannedOrders[WeekIndex],46)&amp;" ("&amp;TEXT(SUMPRODUCT(MAX((T_PlannedOrders[Part Name]=$A709)*(T_PlannedOrders[WeekIndex]=46)*(T_PlannedOrders[EffectiveQty]&gt;0)*T_PlannedOrders[Order_Month])),"m月")&amp;"発注)")</f>
        <v/>
      </c>
      <c r="AX719">
        <f>IF(SUMIFS(T_PlannedOrders[EffectiveQty],T_PlannedOrders[Part Name],$A709,T_PlannedOrders[WeekIndex],47)=0,"",SUMIFS(T_PlannedOrders[EffectiveQty],T_PlannedOrders[Part Name],$A709,T_PlannedOrders[WeekIndex],47)&amp;" ("&amp;TEXT(SUMPRODUCT(MAX((T_PlannedOrders[Part Name]=$A709)*(T_PlannedOrders[WeekIndex]=47)*(T_PlannedOrders[EffectiveQty]&gt;0)*T_PlannedOrders[Order_Month])),"m月")&amp;"発注)")</f>
        <v/>
      </c>
      <c r="AY719">
        <f>IF(SUMIFS(T_PlannedOrders[EffectiveQty],T_PlannedOrders[Part Name],$A709,T_PlannedOrders[WeekIndex],48)=0,"",SUMIFS(T_PlannedOrders[EffectiveQty],T_PlannedOrders[Part Name],$A709,T_PlannedOrders[WeekIndex],48)&amp;" ("&amp;TEXT(SUMPRODUCT(MAX((T_PlannedOrders[Part Name]=$A709)*(T_PlannedOrders[WeekIndex]=48)*(T_PlannedOrders[EffectiveQty]&gt;0)*T_PlannedOrders[Order_Month])),"m月")&amp;"発注)")</f>
        <v/>
      </c>
      <c r="AZ719">
        <f>IF(SUMIFS(T_PlannedOrders[EffectiveQty],T_PlannedOrders[Part Name],$A709,T_PlannedOrders[WeekIndex],49)=0,"",SUMIFS(T_PlannedOrders[EffectiveQty],T_PlannedOrders[Part Name],$A709,T_PlannedOrders[WeekIndex],49)&amp;" ("&amp;TEXT(SUMPRODUCT(MAX((T_PlannedOrders[Part Name]=$A709)*(T_PlannedOrders[WeekIndex]=49)*(T_PlannedOrders[EffectiveQty]&gt;0)*T_PlannedOrders[Order_Month])),"m月")&amp;"発注)")</f>
        <v/>
      </c>
      <c r="BA719">
        <f>IF(SUMIFS(T_PlannedOrders[EffectiveQty],T_PlannedOrders[Part Name],$A709,T_PlannedOrders[WeekIndex],50)=0,"",SUMIFS(T_PlannedOrders[EffectiveQty],T_PlannedOrders[Part Name],$A709,T_PlannedOrders[WeekIndex],50)&amp;" ("&amp;TEXT(SUMPRODUCT(MAX((T_PlannedOrders[Part Name]=$A709)*(T_PlannedOrders[WeekIndex]=50)*(T_PlannedOrders[EffectiveQty]&gt;0)*T_PlannedOrders[Order_Month])),"m月")&amp;"発注)")</f>
        <v/>
      </c>
      <c r="BB719">
        <f>IF(SUMIFS(T_PlannedOrders[EffectiveQty],T_PlannedOrders[Part Name],$A709,T_PlannedOrders[WeekIndex],51)=0,"",SUMIFS(T_PlannedOrders[EffectiveQty],T_PlannedOrders[Part Name],$A709,T_PlannedOrders[WeekIndex],51)&amp;" ("&amp;TEXT(SUMPRODUCT(MAX((T_PlannedOrders[Part Name]=$A709)*(T_PlannedOrders[WeekIndex]=51)*(T_PlannedOrders[EffectiveQty]&gt;0)*T_PlannedOrders[Order_Month])),"m月")&amp;"発注)")</f>
        <v/>
      </c>
      <c r="BC719">
        <f>IF(SUMIFS(T_PlannedOrders[EffectiveQty],T_PlannedOrders[Part Name],$A709,T_PlannedOrders[WeekIndex],52)=0,"",SUMIFS(T_PlannedOrders[EffectiveQty],T_PlannedOrders[Part Name],$A709,T_PlannedOrders[WeekIndex],52)&amp;" ("&amp;TEXT(SUMPRODUCT(MAX((T_PlannedOrders[Part Name]=$A709)*(T_PlannedOrders[WeekIndex]=52)*(T_PlannedOrders[EffectiveQty]&gt;0)*T_PlannedOrders[Order_Month])),"m月")&amp;"発注)")</f>
        <v/>
      </c>
      <c r="BD719">
        <f>IF(SUMIFS(T_PlannedOrders[EffectiveQty],T_PlannedOrders[Part Name],$A709,T_PlannedOrders[WeekIndex],53)=0,"",SUMIFS(T_PlannedOrders[EffectiveQty],T_PlannedOrders[Part Name],$A709,T_PlannedOrders[WeekIndex],53)&amp;" ("&amp;TEXT(SUMPRODUCT(MAX((T_PlannedOrders[Part Name]=$A709)*(T_PlannedOrders[WeekIndex]=53)*(T_PlannedOrders[EffectiveQty]&gt;0)*T_PlannedOrders[Order_Month])),"m月")&amp;"発注)")</f>
        <v/>
      </c>
      <c r="BE719">
        <f>IF(SUMIFS(T_PlannedOrders[EffectiveQty],T_PlannedOrders[Part Name],$A709,T_PlannedOrders[WeekIndex],54)=0,"",SUMIFS(T_PlannedOrders[EffectiveQty],T_PlannedOrders[Part Name],$A709,T_PlannedOrders[WeekIndex],54)&amp;" ("&amp;TEXT(SUMPRODUCT(MAX((T_PlannedOrders[Part Name]=$A709)*(T_PlannedOrders[WeekIndex]=54)*(T_PlannedOrders[EffectiveQty]&gt;0)*T_PlannedOrders[Order_Month])),"m月")&amp;"発注)")</f>
        <v/>
      </c>
      <c r="BF719">
        <f>IF(SUMIFS(T_PlannedOrders[EffectiveQty],T_PlannedOrders[Part Name],$A709,T_PlannedOrders[WeekIndex],55)=0,"",SUMIFS(T_PlannedOrders[EffectiveQty],T_PlannedOrders[Part Name],$A709,T_PlannedOrders[WeekIndex],55)&amp;" ("&amp;TEXT(SUMPRODUCT(MAX((T_PlannedOrders[Part Name]=$A709)*(T_PlannedOrders[WeekIndex]=55)*(T_PlannedOrders[EffectiveQty]&gt;0)*T_PlannedOrders[Order_Month])),"m月")&amp;"発注)")</f>
        <v/>
      </c>
      <c r="BG719">
        <f>IF(SUMIFS(T_PlannedOrders[EffectiveQty],T_PlannedOrders[Part Name],$A709,T_PlannedOrders[WeekIndex],56)=0,"",SUMIFS(T_PlannedOrders[EffectiveQty],T_PlannedOrders[Part Name],$A709,T_PlannedOrders[WeekIndex],56)&amp;" ("&amp;TEXT(SUMPRODUCT(MAX((T_PlannedOrders[Part Name]=$A709)*(T_PlannedOrders[WeekIndex]=56)*(T_PlannedOrders[EffectiveQty]&gt;0)*T_PlannedOrders[Order_Month])),"m月")&amp;"発注)")</f>
        <v/>
      </c>
      <c r="BH719">
        <f>IF(SUMIFS(T_PlannedOrders[EffectiveQty],T_PlannedOrders[Part Name],$A709,T_PlannedOrders[WeekIndex],57)=0,"",SUMIFS(T_PlannedOrders[EffectiveQty],T_PlannedOrders[Part Name],$A709,T_PlannedOrders[WeekIndex],57)&amp;" ("&amp;TEXT(SUMPRODUCT(MAX((T_PlannedOrders[Part Name]=$A709)*(T_PlannedOrders[WeekIndex]=57)*(T_PlannedOrders[EffectiveQty]&gt;0)*T_PlannedOrders[Order_Month])),"m月")&amp;"発注)")</f>
        <v/>
      </c>
      <c r="BI719">
        <f>IF(SUMIFS(T_PlannedOrders[EffectiveQty],T_PlannedOrders[Part Name],$A709,T_PlannedOrders[WeekIndex],58)=0,"",SUMIFS(T_PlannedOrders[EffectiveQty],T_PlannedOrders[Part Name],$A709,T_PlannedOrders[WeekIndex],58)&amp;" ("&amp;TEXT(SUMPRODUCT(MAX((T_PlannedOrders[Part Name]=$A709)*(T_PlannedOrders[WeekIndex]=58)*(T_PlannedOrders[EffectiveQty]&gt;0)*T_PlannedOrders[Order_Month])),"m月")&amp;"発注)")</f>
        <v/>
      </c>
      <c r="BJ719">
        <f>IF(SUMIFS(T_PlannedOrders[EffectiveQty],T_PlannedOrders[Part Name],$A709,T_PlannedOrders[WeekIndex],59)=0,"",SUMIFS(T_PlannedOrders[EffectiveQty],T_PlannedOrders[Part Name],$A709,T_PlannedOrders[WeekIndex],59)&amp;" ("&amp;TEXT(SUMPRODUCT(MAX((T_PlannedOrders[Part Name]=$A709)*(T_PlannedOrders[WeekIndex]=59)*(T_PlannedOrders[EffectiveQty]&gt;0)*T_PlannedOrders[Order_Month])),"m月")&amp;"発注)")</f>
        <v/>
      </c>
      <c r="BK719">
        <f>IF(SUMIFS(T_PlannedOrders[EffectiveQty],T_PlannedOrders[Part Name],$A709,T_PlannedOrders[WeekIndex],60)=0,"",SUMIFS(T_PlannedOrders[EffectiveQty],T_PlannedOrders[Part Name],$A709,T_PlannedOrders[WeekIndex],60)&amp;" ("&amp;TEXT(SUMPRODUCT(MAX((T_PlannedOrders[Part Name]=$A709)*(T_PlannedOrders[WeekIndex]=60)*(T_PlannedOrders[EffectiveQty]&gt;0)*T_PlannedOrders[Order_Month])),"m月")&amp;"発注)")</f>
        <v/>
      </c>
      <c r="BL719">
        <f>IF(SUMIFS(T_PlannedOrders[EffectiveQty],T_PlannedOrders[Part Name],$A709,T_PlannedOrders[WeekIndex],61)=0,"",SUMIFS(T_PlannedOrders[EffectiveQty],T_PlannedOrders[Part Name],$A709,T_PlannedOrders[WeekIndex],61)&amp;" ("&amp;TEXT(SUMPRODUCT(MAX((T_PlannedOrders[Part Name]=$A709)*(T_PlannedOrders[WeekIndex]=61)*(T_PlannedOrders[EffectiveQty]&gt;0)*T_PlannedOrders[Order_Month])),"m月")&amp;"発注)")</f>
        <v/>
      </c>
      <c r="BM719">
        <f>IF(SUMIFS(T_PlannedOrders[EffectiveQty],T_PlannedOrders[Part Name],$A709,T_PlannedOrders[WeekIndex],62)=0,"",SUMIFS(T_PlannedOrders[EffectiveQty],T_PlannedOrders[Part Name],$A709,T_PlannedOrders[WeekIndex],62)&amp;" ("&amp;TEXT(SUMPRODUCT(MAX((T_PlannedOrders[Part Name]=$A709)*(T_PlannedOrders[WeekIndex]=62)*(T_PlannedOrders[EffectiveQty]&gt;0)*T_PlannedOrders[Order_Month])),"m月")&amp;"発注)")</f>
        <v/>
      </c>
      <c r="BN719">
        <f>IF(SUMIFS(T_PlannedOrders[EffectiveQty],T_PlannedOrders[Part Name],$A709,T_PlannedOrders[WeekIndex],63)=0,"",SUMIFS(T_PlannedOrders[EffectiveQty],T_PlannedOrders[Part Name],$A709,T_PlannedOrders[WeekIndex],63)&amp;" ("&amp;TEXT(SUMPRODUCT(MAX((T_PlannedOrders[Part Name]=$A709)*(T_PlannedOrders[WeekIndex]=63)*(T_PlannedOrders[EffectiveQty]&gt;0)*T_PlannedOrders[Order_Month])),"m月")&amp;"発注)")</f>
        <v/>
      </c>
      <c r="BO719">
        <f>IF(SUMIFS(T_PlannedOrders[EffectiveQty],T_PlannedOrders[Part Name],$A709,T_PlannedOrders[WeekIndex],64)=0,"",SUMIFS(T_PlannedOrders[EffectiveQty],T_PlannedOrders[Part Name],$A709,T_PlannedOrders[WeekIndex],64)&amp;" ("&amp;TEXT(SUMPRODUCT(MAX((T_PlannedOrders[Part Name]=$A709)*(T_PlannedOrders[WeekIndex]=64)*(T_PlannedOrders[EffectiveQty]&gt;0)*T_PlannedOrders[Order_Month])),"m月")&amp;"発注)")</f>
        <v/>
      </c>
      <c r="BP719">
        <f>IF(SUMIFS(T_PlannedOrders[EffectiveQty],T_PlannedOrders[Part Name],$A709,T_PlannedOrders[WeekIndex],65)=0,"",SUMIFS(T_PlannedOrders[EffectiveQty],T_PlannedOrders[Part Name],$A709,T_PlannedOrders[WeekIndex],65)&amp;" ("&amp;TEXT(SUMPRODUCT(MAX((T_PlannedOrders[Part Name]=$A709)*(T_PlannedOrders[WeekIndex]=65)*(T_PlannedOrders[EffectiveQty]&gt;0)*T_PlannedOrders[Order_Month])),"m月")&amp;"発注)")</f>
        <v/>
      </c>
      <c r="BQ719">
        <f>IF(SUMIFS(T_PlannedOrders[EffectiveQty],T_PlannedOrders[Part Name],$A709,T_PlannedOrders[WeekIndex],66)=0,"",SUMIFS(T_PlannedOrders[EffectiveQty],T_PlannedOrders[Part Name],$A709,T_PlannedOrders[WeekIndex],66)&amp;" ("&amp;TEXT(SUMPRODUCT(MAX((T_PlannedOrders[Part Name]=$A709)*(T_PlannedOrders[WeekIndex]=66)*(T_PlannedOrders[EffectiveQty]&gt;0)*T_PlannedOrders[Order_Month])),"m月")&amp;"発注)")</f>
        <v/>
      </c>
      <c r="BR719">
        <f>IF(SUMIFS(T_PlannedOrders[EffectiveQty],T_PlannedOrders[Part Name],$A709,T_PlannedOrders[WeekIndex],67)=0,"",SUMIFS(T_PlannedOrders[EffectiveQty],T_PlannedOrders[Part Name],$A709,T_PlannedOrders[WeekIndex],67)&amp;" ("&amp;TEXT(SUMPRODUCT(MAX((T_PlannedOrders[Part Name]=$A709)*(T_PlannedOrders[WeekIndex]=67)*(T_PlannedOrders[EffectiveQty]&gt;0)*T_PlannedOrders[Order_Month])),"m月")&amp;"発注)")</f>
        <v/>
      </c>
      <c r="BS719">
        <f>IF(SUMIFS(T_PlannedOrders[EffectiveQty],T_PlannedOrders[Part Name],$A709,T_PlannedOrders[WeekIndex],68)=0,"",SUMIFS(T_PlannedOrders[EffectiveQty],T_PlannedOrders[Part Name],$A709,T_PlannedOrders[WeekIndex],68)&amp;" ("&amp;TEXT(SUMPRODUCT(MAX((T_PlannedOrders[Part Name]=$A709)*(T_PlannedOrders[WeekIndex]=68)*(T_PlannedOrders[EffectiveQty]&gt;0)*T_PlannedOrders[Order_Month])),"m月")&amp;"発注)")</f>
        <v/>
      </c>
      <c r="BT719">
        <f>IF(SUMIFS(T_PlannedOrders[EffectiveQty],T_PlannedOrders[Part Name],$A709,T_PlannedOrders[WeekIndex],69)=0,"",SUMIFS(T_PlannedOrders[EffectiveQty],T_PlannedOrders[Part Name],$A709,T_PlannedOrders[WeekIndex],69)&amp;" ("&amp;TEXT(SUMPRODUCT(MAX((T_PlannedOrders[Part Name]=$A709)*(T_PlannedOrders[WeekIndex]=69)*(T_PlannedOrders[EffectiveQty]&gt;0)*T_PlannedOrders[Order_Month])),"m月")&amp;"発注)")</f>
        <v/>
      </c>
      <c r="BU719">
        <f>IF(SUMIFS(T_PlannedOrders[EffectiveQty],T_PlannedOrders[Part Name],$A709,T_PlannedOrders[WeekIndex],70)=0,"",SUMIFS(T_PlannedOrders[EffectiveQty],T_PlannedOrders[Part Name],$A709,T_PlannedOrders[WeekIndex],70)&amp;" ("&amp;TEXT(SUMPRODUCT(MAX((T_PlannedOrders[Part Name]=$A709)*(T_PlannedOrders[WeekIndex]=70)*(T_PlannedOrders[EffectiveQty]&gt;0)*T_PlannedOrders[Order_Month])),"m月")&amp;"発注)")</f>
        <v/>
      </c>
      <c r="BV719">
        <f>IF(SUMIFS(T_PlannedOrders[EffectiveQty],T_PlannedOrders[Part Name],$A709,T_PlannedOrders[WeekIndex],71)=0,"",SUMIFS(T_PlannedOrders[EffectiveQty],T_PlannedOrders[Part Name],$A709,T_PlannedOrders[WeekIndex],71)&amp;" ("&amp;TEXT(SUMPRODUCT(MAX((T_PlannedOrders[Part Name]=$A709)*(T_PlannedOrders[WeekIndex]=71)*(T_PlannedOrders[EffectiveQty]&gt;0)*T_PlannedOrders[Order_Month])),"m月")&amp;"発注)")</f>
        <v/>
      </c>
      <c r="BW719">
        <f>IF(SUMIFS(T_PlannedOrders[EffectiveQty],T_PlannedOrders[Part Name],$A709,T_PlannedOrders[WeekIndex],72)=0,"",SUMIFS(T_PlannedOrders[EffectiveQty],T_PlannedOrders[Part Name],$A709,T_PlannedOrders[WeekIndex],72)&amp;" ("&amp;TEXT(SUMPRODUCT(MAX((T_PlannedOrders[Part Name]=$A709)*(T_PlannedOrders[WeekIndex]=72)*(T_PlannedOrders[EffectiveQty]&gt;0)*T_PlannedOrders[Order_Month])),"m月")&amp;"発注)")</f>
        <v/>
      </c>
      <c r="BX719">
        <f>IF(SUMIFS(T_PlannedOrders[EffectiveQty],T_PlannedOrders[Part Name],$A709,T_PlannedOrders[WeekIndex],73)=0,"",SUMIFS(T_PlannedOrders[EffectiveQty],T_PlannedOrders[Part Name],$A709,T_PlannedOrders[WeekIndex],73)&amp;" ("&amp;TEXT(SUMPRODUCT(MAX((T_PlannedOrders[Part Name]=$A709)*(T_PlannedOrders[WeekIndex]=73)*(T_PlannedOrders[EffectiveQty]&gt;0)*T_PlannedOrders[Order_Month])),"m月")&amp;"発注)")</f>
        <v/>
      </c>
      <c r="BY719">
        <f>IF(SUMIFS(T_PlannedOrders[EffectiveQty],T_PlannedOrders[Part Name],$A709,T_PlannedOrders[WeekIndex],74)=0,"",SUMIFS(T_PlannedOrders[EffectiveQty],T_PlannedOrders[Part Name],$A709,T_PlannedOrders[WeekIndex],74)&amp;" ("&amp;TEXT(SUMPRODUCT(MAX((T_PlannedOrders[Part Name]=$A709)*(T_PlannedOrders[WeekIndex]=74)*(T_PlannedOrders[EffectiveQty]&gt;0)*T_PlannedOrders[Order_Month])),"m月")&amp;"発注)")</f>
        <v/>
      </c>
      <c r="BZ719">
        <f>IF(SUMIFS(T_PlannedOrders[EffectiveQty],T_PlannedOrders[Part Name],$A709,T_PlannedOrders[WeekIndex],75)=0,"",SUMIFS(T_PlannedOrders[EffectiveQty],T_PlannedOrders[Part Name],$A709,T_PlannedOrders[WeekIndex],75)&amp;" ("&amp;TEXT(SUMPRODUCT(MAX((T_PlannedOrders[Part Name]=$A709)*(T_PlannedOrders[WeekIndex]=75)*(T_PlannedOrders[EffectiveQty]&gt;0)*T_PlannedOrders[Order_Month])),"m月")&amp;"発注)")</f>
        <v/>
      </c>
      <c r="CA719">
        <f>IF(SUMIFS(T_PlannedOrders[EffectiveQty],T_PlannedOrders[Part Name],$A709,T_PlannedOrders[WeekIndex],76)=0,"",SUMIFS(T_PlannedOrders[EffectiveQty],T_PlannedOrders[Part Name],$A709,T_PlannedOrders[WeekIndex],76)&amp;" ("&amp;TEXT(SUMPRODUCT(MAX((T_PlannedOrders[Part Name]=$A709)*(T_PlannedOrders[WeekIndex]=76)*(T_PlannedOrders[EffectiveQty]&gt;0)*T_PlannedOrders[Order_Month])),"m月")&amp;"発注)")</f>
        <v/>
      </c>
      <c r="CB719">
        <f>IF(SUMIFS(T_PlannedOrders[EffectiveQty],T_PlannedOrders[Part Name],$A709,T_PlannedOrders[WeekIndex],77)=0,"",SUMIFS(T_PlannedOrders[EffectiveQty],T_PlannedOrders[Part Name],$A709,T_PlannedOrders[WeekIndex],77)&amp;" ("&amp;TEXT(SUMPRODUCT(MAX((T_PlannedOrders[Part Name]=$A709)*(T_PlannedOrders[WeekIndex]=77)*(T_PlannedOrders[EffectiveQty]&gt;0)*T_PlannedOrders[Order_Month])),"m月")&amp;"発注)")</f>
        <v/>
      </c>
      <c r="CC719">
        <f>IF(SUMIFS(T_PlannedOrders[EffectiveQty],T_PlannedOrders[Part Name],$A709,T_PlannedOrders[WeekIndex],78)=0,"",SUMIFS(T_PlannedOrders[EffectiveQty],T_PlannedOrders[Part Name],$A709,T_PlannedOrders[WeekIndex],78)&amp;" ("&amp;TEXT(SUMPRODUCT(MAX((T_PlannedOrders[Part Name]=$A709)*(T_PlannedOrders[WeekIndex]=78)*(T_PlannedOrders[EffectiveQty]&gt;0)*T_PlannedOrders[Order_Month])),"m月")&amp;"発注)")</f>
        <v/>
      </c>
      <c r="CD719">
        <f>IF(SUMIFS(T_PlannedOrders[EffectiveQty],T_PlannedOrders[Part Name],$A709,T_PlannedOrders[WeekIndex],79)=0,"",SUMIFS(T_PlannedOrders[EffectiveQty],T_PlannedOrders[Part Name],$A709,T_PlannedOrders[WeekIndex],79)&amp;" ("&amp;TEXT(SUMPRODUCT(MAX((T_PlannedOrders[Part Name]=$A709)*(T_PlannedOrders[WeekIndex]=79)*(T_PlannedOrders[EffectiveQty]&gt;0)*T_PlannedOrders[Order_Month])),"m月")&amp;"発注)")</f>
        <v/>
      </c>
      <c r="CE719">
        <f>IF(SUMIFS(T_PlannedOrders[EffectiveQty],T_PlannedOrders[Part Name],$A709,T_PlannedOrders[WeekIndex],80)=0,"",SUMIFS(T_PlannedOrders[EffectiveQty],T_PlannedOrders[Part Name],$A709,T_PlannedOrders[WeekIndex],80)&amp;" ("&amp;TEXT(SUMPRODUCT(MAX((T_PlannedOrders[Part Name]=$A709)*(T_PlannedOrders[WeekIndex]=80)*(T_PlannedOrders[EffectiveQty]&gt;0)*T_PlannedOrders[Order_Month])),"m月")&amp;"発注)")</f>
        <v/>
      </c>
      <c r="CF719">
        <f>IF(SUMIFS(T_PlannedOrders[EffectiveQty],T_PlannedOrders[Part Name],$A709,T_PlannedOrders[WeekIndex],81)=0,"",SUMIFS(T_PlannedOrders[EffectiveQty],T_PlannedOrders[Part Name],$A709,T_PlannedOrders[WeekIndex],81)&amp;" ("&amp;TEXT(SUMPRODUCT(MAX((T_PlannedOrders[Part Name]=$A709)*(T_PlannedOrders[WeekIndex]=81)*(T_PlannedOrders[EffectiveQty]&gt;0)*T_PlannedOrders[Order_Month])),"m月")&amp;"発注)")</f>
        <v/>
      </c>
      <c r="CG719">
        <f>IF(SUMIFS(T_PlannedOrders[EffectiveQty],T_PlannedOrders[Part Name],$A709,T_PlannedOrders[WeekIndex],82)=0,"",SUMIFS(T_PlannedOrders[EffectiveQty],T_PlannedOrders[Part Name],$A709,T_PlannedOrders[WeekIndex],82)&amp;" ("&amp;TEXT(SUMPRODUCT(MAX((T_PlannedOrders[Part Name]=$A709)*(T_PlannedOrders[WeekIndex]=82)*(T_PlannedOrders[EffectiveQty]&gt;0)*T_PlannedOrders[Order_Month])),"m月")&amp;"発注)")</f>
        <v/>
      </c>
      <c r="CH719">
        <f>IF(SUMIFS(T_PlannedOrders[EffectiveQty],T_PlannedOrders[Part Name],$A709,T_PlannedOrders[WeekIndex],83)=0,"",SUMIFS(T_PlannedOrders[EffectiveQty],T_PlannedOrders[Part Name],$A709,T_PlannedOrders[WeekIndex],83)&amp;" ("&amp;TEXT(SUMPRODUCT(MAX((T_PlannedOrders[Part Name]=$A709)*(T_PlannedOrders[WeekIndex]=83)*(T_PlannedOrders[EffectiveQty]&gt;0)*T_PlannedOrders[Order_Month])),"m月")&amp;"発注)")</f>
        <v/>
      </c>
      <c r="CI719">
        <f>IF(SUMIFS(T_PlannedOrders[EffectiveQty],T_PlannedOrders[Part Name],$A709,T_PlannedOrders[WeekIndex],84)=0,"",SUMIFS(T_PlannedOrders[EffectiveQty],T_PlannedOrders[Part Name],$A709,T_PlannedOrders[WeekIndex],84)&amp;" ("&amp;TEXT(SUMPRODUCT(MAX((T_PlannedOrders[Part Name]=$A709)*(T_PlannedOrders[WeekIndex]=84)*(T_PlannedOrders[EffectiveQty]&gt;0)*T_PlannedOrders[Order_Month])),"m月")&amp;"発注)")</f>
        <v/>
      </c>
      <c r="CJ719">
        <f>IF(SUMIFS(T_PlannedOrders[EffectiveQty],T_PlannedOrders[Part Name],$A709,T_PlannedOrders[WeekIndex],85)=0,"",SUMIFS(T_PlannedOrders[EffectiveQty],T_PlannedOrders[Part Name],$A709,T_PlannedOrders[WeekIndex],85)&amp;" ("&amp;TEXT(SUMPRODUCT(MAX((T_PlannedOrders[Part Name]=$A709)*(T_PlannedOrders[WeekIndex]=85)*(T_PlannedOrders[EffectiveQty]&gt;0)*T_PlannedOrders[Order_Month])),"m月")&amp;"発注)")</f>
        <v/>
      </c>
      <c r="CK719">
        <f>IF(SUMIFS(T_PlannedOrders[EffectiveQty],T_PlannedOrders[Part Name],$A709,T_PlannedOrders[WeekIndex],86)=0,"",SUMIFS(T_PlannedOrders[EffectiveQty],T_PlannedOrders[Part Name],$A709,T_PlannedOrders[WeekIndex],86)&amp;" ("&amp;TEXT(SUMPRODUCT(MAX((T_PlannedOrders[Part Name]=$A709)*(T_PlannedOrders[WeekIndex]=86)*(T_PlannedOrders[EffectiveQty]&gt;0)*T_PlannedOrders[Order_Month])),"m月")&amp;"発注)")</f>
        <v/>
      </c>
      <c r="CL719">
        <f>IF(SUMIFS(T_PlannedOrders[EffectiveQty],T_PlannedOrders[Part Name],$A709,T_PlannedOrders[WeekIndex],87)=0,"",SUMIFS(T_PlannedOrders[EffectiveQty],T_PlannedOrders[Part Name],$A709,T_PlannedOrders[WeekIndex],87)&amp;" ("&amp;TEXT(SUMPRODUCT(MAX((T_PlannedOrders[Part Name]=$A709)*(T_PlannedOrders[WeekIndex]=87)*(T_PlannedOrders[EffectiveQty]&gt;0)*T_PlannedOrders[Order_Month])),"m月")&amp;"発注)")</f>
        <v/>
      </c>
      <c r="CM719">
        <f>IF(SUMIFS(T_PlannedOrders[EffectiveQty],T_PlannedOrders[Part Name],$A709,T_PlannedOrders[WeekIndex],88)=0,"",SUMIFS(T_PlannedOrders[EffectiveQty],T_PlannedOrders[Part Name],$A709,T_PlannedOrders[WeekIndex],88)&amp;" ("&amp;TEXT(SUMPRODUCT(MAX((T_PlannedOrders[Part Name]=$A709)*(T_PlannedOrders[WeekIndex]=88)*(T_PlannedOrders[EffectiveQty]&gt;0)*T_PlannedOrders[Order_Month])),"m月")&amp;"発注)")</f>
        <v/>
      </c>
      <c r="CN719">
        <f>IF(SUMIFS(T_PlannedOrders[EffectiveQty],T_PlannedOrders[Part Name],$A709,T_PlannedOrders[WeekIndex],89)=0,"",SUMIFS(T_PlannedOrders[EffectiveQty],T_PlannedOrders[Part Name],$A709,T_PlannedOrders[WeekIndex],89)&amp;" ("&amp;TEXT(SUMPRODUCT(MAX((T_PlannedOrders[Part Name]=$A709)*(T_PlannedOrders[WeekIndex]=89)*(T_PlannedOrders[EffectiveQty]&gt;0)*T_PlannedOrders[Order_Month])),"m月")&amp;"発注)")</f>
        <v/>
      </c>
      <c r="CO719">
        <f>IF(SUMIFS(T_PlannedOrders[EffectiveQty],T_PlannedOrders[Part Name],$A709,T_PlannedOrders[WeekIndex],90)=0,"",SUMIFS(T_PlannedOrders[EffectiveQty],T_PlannedOrders[Part Name],$A709,T_PlannedOrders[WeekIndex],90)&amp;" ("&amp;TEXT(SUMPRODUCT(MAX((T_PlannedOrders[Part Name]=$A709)*(T_PlannedOrders[WeekIndex]=90)*(T_PlannedOrders[EffectiveQty]&gt;0)*T_PlannedOrders[Order_Month])),"m月")&amp;"発注)")</f>
        <v/>
      </c>
      <c r="CP719">
        <f>IF(SUMIFS(T_PlannedOrders[EffectiveQty],T_PlannedOrders[Part Name],$A709,T_PlannedOrders[WeekIndex],91)=0,"",SUMIFS(T_PlannedOrders[EffectiveQty],T_PlannedOrders[Part Name],$A709,T_PlannedOrders[WeekIndex],91)&amp;" ("&amp;TEXT(SUMPRODUCT(MAX((T_PlannedOrders[Part Name]=$A709)*(T_PlannedOrders[WeekIndex]=91)*(T_PlannedOrders[EffectiveQty]&gt;0)*T_PlannedOrders[Order_Month])),"m月")&amp;"発注)")</f>
        <v/>
      </c>
      <c r="CQ719">
        <f>IF(SUMIFS(T_PlannedOrders[EffectiveQty],T_PlannedOrders[Part Name],$A709,T_PlannedOrders[WeekIndex],92)=0,"",SUMIFS(T_PlannedOrders[EffectiveQty],T_PlannedOrders[Part Name],$A709,T_PlannedOrders[WeekIndex],92)&amp;" ("&amp;TEXT(SUMPRODUCT(MAX((T_PlannedOrders[Part Name]=$A709)*(T_PlannedOrders[WeekIndex]=92)*(T_PlannedOrders[EffectiveQty]&gt;0)*T_PlannedOrders[Order_Month])),"m月")&amp;"発注)")</f>
        <v/>
      </c>
      <c r="CR719">
        <f>IF(SUMIFS(T_PlannedOrders[EffectiveQty],T_PlannedOrders[Part Name],$A709,T_PlannedOrders[WeekIndex],93)=0,"",SUMIFS(T_PlannedOrders[EffectiveQty],T_PlannedOrders[Part Name],$A709,T_PlannedOrders[WeekIndex],93)&amp;" ("&amp;TEXT(SUMPRODUCT(MAX((T_PlannedOrders[Part Name]=$A709)*(T_PlannedOrders[WeekIndex]=93)*(T_PlannedOrders[EffectiveQty]&gt;0)*T_PlannedOrders[Order_Month])),"m月")&amp;"発注)")</f>
        <v/>
      </c>
      <c r="CS719">
        <f>IF(SUMIFS(T_PlannedOrders[EffectiveQty],T_PlannedOrders[Part Name],$A709,T_PlannedOrders[WeekIndex],94)=0,"",SUMIFS(T_PlannedOrders[EffectiveQty],T_PlannedOrders[Part Name],$A709,T_PlannedOrders[WeekIndex],94)&amp;" ("&amp;TEXT(SUMPRODUCT(MAX((T_PlannedOrders[Part Name]=$A709)*(T_PlannedOrders[WeekIndex]=94)*(T_PlannedOrders[EffectiveQty]&gt;0)*T_PlannedOrders[Order_Month])),"m月")&amp;"発注)")</f>
        <v/>
      </c>
      <c r="CT719">
        <f>IF(SUMIFS(T_PlannedOrders[EffectiveQty],T_PlannedOrders[Part Name],$A709,T_PlannedOrders[WeekIndex],95)=0,"",SUMIFS(T_PlannedOrders[EffectiveQty],T_PlannedOrders[Part Name],$A709,T_PlannedOrders[WeekIndex],95)&amp;" ("&amp;TEXT(SUMPRODUCT(MAX((T_PlannedOrders[Part Name]=$A709)*(T_PlannedOrders[WeekIndex]=95)*(T_PlannedOrders[EffectiveQty]&gt;0)*T_PlannedOrders[Order_Month])),"m月")&amp;"発注)")</f>
        <v/>
      </c>
      <c r="CU719">
        <f>IF(SUMIFS(T_PlannedOrders[EffectiveQty],T_PlannedOrders[Part Name],$A709,T_PlannedOrders[WeekIndex],96)=0,"",SUMIFS(T_PlannedOrders[EffectiveQty],T_PlannedOrders[Part Name],$A709,T_PlannedOrders[WeekIndex],96)&amp;" ("&amp;TEXT(SUMPRODUCT(MAX((T_PlannedOrders[Part Name]=$A709)*(T_PlannedOrders[WeekIndex]=96)*(T_PlannedOrders[EffectiveQty]&gt;0)*T_PlannedOrders[Order_Month])),"m月")&amp;"発注)")</f>
        <v/>
      </c>
      <c r="CV719">
        <f>IF(SUMIFS(T_PlannedOrders[EffectiveQty],T_PlannedOrders[Part Name],$A709,T_PlannedOrders[WeekIndex],97)=0,"",SUMIFS(T_PlannedOrders[EffectiveQty],T_PlannedOrders[Part Name],$A709,T_PlannedOrders[WeekIndex],97)&amp;" ("&amp;TEXT(SUMPRODUCT(MAX((T_PlannedOrders[Part Name]=$A709)*(T_PlannedOrders[WeekIndex]=97)*(T_PlannedOrders[EffectiveQty]&gt;0)*T_PlannedOrders[Order_Month])),"m月")&amp;"発注)")</f>
        <v/>
      </c>
      <c r="CW719">
        <f>IF(SUMIFS(T_PlannedOrders[EffectiveQty],T_PlannedOrders[Part Name],$A709,T_PlannedOrders[WeekIndex],98)=0,"",SUMIFS(T_PlannedOrders[EffectiveQty],T_PlannedOrders[Part Name],$A709,T_PlannedOrders[WeekIndex],98)&amp;" ("&amp;TEXT(SUMPRODUCT(MAX((T_PlannedOrders[Part Name]=$A709)*(T_PlannedOrders[WeekIndex]=98)*(T_PlannedOrders[EffectiveQty]&gt;0)*T_PlannedOrders[Order_Month])),"m月")&amp;"発注)")</f>
        <v/>
      </c>
      <c r="CX719">
        <f>IF(SUMIFS(T_PlannedOrders[EffectiveQty],T_PlannedOrders[Part Name],$A709,T_PlannedOrders[WeekIndex],99)=0,"",SUMIFS(T_PlannedOrders[EffectiveQty],T_PlannedOrders[Part Name],$A709,T_PlannedOrders[WeekIndex],99)&amp;" ("&amp;TEXT(SUMPRODUCT(MAX((T_PlannedOrders[Part Name]=$A709)*(T_PlannedOrders[WeekIndex]=99)*(T_PlannedOrders[EffectiveQty]&gt;0)*T_PlannedOrders[Order_Month])),"m月")&amp;"発注)")</f>
        <v/>
      </c>
      <c r="CY719">
        <f>IF(SUMIFS(T_PlannedOrders[EffectiveQty],T_PlannedOrders[Part Name],$A709,T_PlannedOrders[WeekIndex],100)=0,"",SUMIFS(T_PlannedOrders[EffectiveQty],T_PlannedOrders[Part Name],$A709,T_PlannedOrders[WeekIndex],100)&amp;" ("&amp;TEXT(SUMPRODUCT(MAX((T_PlannedOrders[Part Name]=$A709)*(T_PlannedOrders[WeekIndex]=100)*(T_PlannedOrders[EffectiveQty]&gt;0)*T_PlannedOrders[Order_Month])),"m月")&amp;"発注)")</f>
        <v/>
      </c>
      <c r="CZ719">
        <f>IF(SUMIFS(T_PlannedOrders[EffectiveQty],T_PlannedOrders[Part Name],$A709,T_PlannedOrders[WeekIndex],101)=0,"",SUMIFS(T_PlannedOrders[EffectiveQty],T_PlannedOrders[Part Name],$A709,T_PlannedOrders[WeekIndex],101)&amp;" ("&amp;TEXT(SUMPRODUCT(MAX((T_PlannedOrders[Part Name]=$A709)*(T_PlannedOrders[WeekIndex]=101)*(T_PlannedOrders[EffectiveQty]&gt;0)*T_PlannedOrders[Order_Month])),"m月")&amp;"発注)")</f>
        <v/>
      </c>
      <c r="DA719">
        <f>IF(SUMIFS(T_PlannedOrders[EffectiveQty],T_PlannedOrders[Part Name],$A709,T_PlannedOrders[WeekIndex],102)=0,"",SUMIFS(T_PlannedOrders[EffectiveQty],T_PlannedOrders[Part Name],$A709,T_PlannedOrders[WeekIndex],102)&amp;" ("&amp;TEXT(SUMPRODUCT(MAX((T_PlannedOrders[Part Name]=$A709)*(T_PlannedOrders[WeekIndex]=102)*(T_PlannedOrders[EffectiveQty]&gt;0)*T_PlannedOrders[Order_Month])),"m月")&amp;"発注)")</f>
        <v/>
      </c>
      <c r="DB719">
        <f>IF(SUMIFS(T_PlannedOrders[EffectiveQty],T_PlannedOrders[Part Name],$A709,T_PlannedOrders[WeekIndex],103)=0,"",SUMIFS(T_PlannedOrders[EffectiveQty],T_PlannedOrders[Part Name],$A709,T_PlannedOrders[WeekIndex],103)&amp;" ("&amp;TEXT(SUMPRODUCT(MAX((T_PlannedOrders[Part Name]=$A709)*(T_PlannedOrders[WeekIndex]=103)*(T_PlannedOrders[EffectiveQty]&gt;0)*T_PlannedOrders[Order_Month])),"m月")&amp;"発注)")</f>
        <v/>
      </c>
      <c r="DC719">
        <f>IF(SUMIFS(T_PlannedOrders[EffectiveQty],T_PlannedOrders[Part Name],$A709,T_PlannedOrders[WeekIndex],104)=0,"",SUMIFS(T_PlannedOrders[EffectiveQty],T_PlannedOrders[Part Name],$A709,T_PlannedOrders[WeekIndex],104)&amp;" ("&amp;TEXT(SUMPRODUCT(MAX((T_PlannedOrders[Part Name]=$A709)*(T_PlannedOrders[WeekIndex]=104)*(T_PlannedOrders[EffectiveQty]&gt;0)*T_PlannedOrders[Order_Month])),"m月")&amp;"発注)")</f>
        <v/>
      </c>
    </row>
    <row r="720">
      <c r="B720" s="9" t="inlineStr">
        <is>
          <t>合計在庫(週末時点,kg)</t>
        </is>
      </c>
      <c r="D720">
        <f>'Grid_Stock'!B34</f>
        <v/>
      </c>
      <c r="E720">
        <f>'Grid_Stock'!C34</f>
        <v/>
      </c>
      <c r="F720">
        <f>'Grid_Stock'!D34</f>
        <v/>
      </c>
      <c r="G720">
        <f>'Grid_Stock'!E34</f>
        <v/>
      </c>
      <c r="H720">
        <f>'Grid_Stock'!F34</f>
        <v/>
      </c>
      <c r="I720">
        <f>'Grid_Stock'!G34</f>
        <v/>
      </c>
      <c r="J720">
        <f>'Grid_Stock'!H34</f>
        <v/>
      </c>
      <c r="K720">
        <f>'Grid_Stock'!I34</f>
        <v/>
      </c>
      <c r="L720">
        <f>'Grid_Stock'!J34</f>
        <v/>
      </c>
      <c r="M720">
        <f>'Grid_Stock'!K34</f>
        <v/>
      </c>
      <c r="N720">
        <f>'Grid_Stock'!L34</f>
        <v/>
      </c>
      <c r="O720">
        <f>'Grid_Stock'!M34</f>
        <v/>
      </c>
      <c r="P720">
        <f>'Grid_Stock'!N34</f>
        <v/>
      </c>
      <c r="Q720">
        <f>'Grid_Stock'!O34</f>
        <v/>
      </c>
      <c r="R720">
        <f>'Grid_Stock'!P34</f>
        <v/>
      </c>
      <c r="S720">
        <f>'Grid_Stock'!Q34</f>
        <v/>
      </c>
      <c r="T720">
        <f>'Grid_Stock'!R34</f>
        <v/>
      </c>
      <c r="U720">
        <f>'Grid_Stock'!S34</f>
        <v/>
      </c>
      <c r="V720">
        <f>'Grid_Stock'!T34</f>
        <v/>
      </c>
      <c r="W720">
        <f>'Grid_Stock'!U34</f>
        <v/>
      </c>
      <c r="X720">
        <f>'Grid_Stock'!V34</f>
        <v/>
      </c>
      <c r="Y720">
        <f>'Grid_Stock'!W34</f>
        <v/>
      </c>
      <c r="Z720">
        <f>'Grid_Stock'!X34</f>
        <v/>
      </c>
      <c r="AA720">
        <f>'Grid_Stock'!Y34</f>
        <v/>
      </c>
      <c r="AB720">
        <f>'Grid_Stock'!Z34</f>
        <v/>
      </c>
      <c r="AC720">
        <f>'Grid_Stock'!AA34</f>
        <v/>
      </c>
      <c r="AD720">
        <f>'Grid_Stock'!AB34</f>
        <v/>
      </c>
      <c r="AE720">
        <f>'Grid_Stock'!AC34</f>
        <v/>
      </c>
      <c r="AF720">
        <f>'Grid_Stock'!AD34</f>
        <v/>
      </c>
      <c r="AG720">
        <f>'Grid_Stock'!AE34</f>
        <v/>
      </c>
      <c r="AH720">
        <f>'Grid_Stock'!AF34</f>
        <v/>
      </c>
      <c r="AI720">
        <f>'Grid_Stock'!AG34</f>
        <v/>
      </c>
      <c r="AJ720">
        <f>'Grid_Stock'!AH34</f>
        <v/>
      </c>
      <c r="AK720">
        <f>'Grid_Stock'!AI34</f>
        <v/>
      </c>
      <c r="AL720">
        <f>'Grid_Stock'!AJ34</f>
        <v/>
      </c>
      <c r="AM720">
        <f>'Grid_Stock'!AK34</f>
        <v/>
      </c>
      <c r="AN720">
        <f>'Grid_Stock'!AL34</f>
        <v/>
      </c>
      <c r="AO720">
        <f>'Grid_Stock'!AM34</f>
        <v/>
      </c>
      <c r="AP720">
        <f>'Grid_Stock'!AN34</f>
        <v/>
      </c>
      <c r="AQ720">
        <f>'Grid_Stock'!AO34</f>
        <v/>
      </c>
      <c r="AR720">
        <f>'Grid_Stock'!AP34</f>
        <v/>
      </c>
      <c r="AS720">
        <f>'Grid_Stock'!AQ34</f>
        <v/>
      </c>
      <c r="AT720">
        <f>'Grid_Stock'!AR34</f>
        <v/>
      </c>
      <c r="AU720">
        <f>'Grid_Stock'!AS34</f>
        <v/>
      </c>
      <c r="AV720">
        <f>'Grid_Stock'!AT34</f>
        <v/>
      </c>
      <c r="AW720">
        <f>'Grid_Stock'!AU34</f>
        <v/>
      </c>
      <c r="AX720">
        <f>'Grid_Stock'!AV34</f>
        <v/>
      </c>
      <c r="AY720">
        <f>'Grid_Stock'!AW34</f>
        <v/>
      </c>
      <c r="AZ720">
        <f>'Grid_Stock'!AX34</f>
        <v/>
      </c>
      <c r="BA720">
        <f>'Grid_Stock'!AY34</f>
        <v/>
      </c>
      <c r="BB720">
        <f>'Grid_Stock'!AZ34</f>
        <v/>
      </c>
      <c r="BC720">
        <f>'Grid_Stock'!BA34</f>
        <v/>
      </c>
      <c r="BD720">
        <f>'Grid_Stock'!BB34</f>
        <v/>
      </c>
      <c r="BE720">
        <f>'Grid_Stock'!BC34</f>
        <v/>
      </c>
      <c r="BF720">
        <f>'Grid_Stock'!BD34</f>
        <v/>
      </c>
      <c r="BG720">
        <f>'Grid_Stock'!BE34</f>
        <v/>
      </c>
      <c r="BH720">
        <f>'Grid_Stock'!BF34</f>
        <v/>
      </c>
      <c r="BI720">
        <f>'Grid_Stock'!BG34</f>
        <v/>
      </c>
      <c r="BJ720">
        <f>'Grid_Stock'!BH34</f>
        <v/>
      </c>
      <c r="BK720">
        <f>'Grid_Stock'!BI34</f>
        <v/>
      </c>
      <c r="BL720">
        <f>'Grid_Stock'!BJ34</f>
        <v/>
      </c>
      <c r="BM720">
        <f>'Grid_Stock'!BK34</f>
        <v/>
      </c>
      <c r="BN720">
        <f>'Grid_Stock'!BL34</f>
        <v/>
      </c>
      <c r="BO720">
        <f>'Grid_Stock'!BM34</f>
        <v/>
      </c>
      <c r="BP720">
        <f>'Grid_Stock'!BN34</f>
        <v/>
      </c>
      <c r="BQ720">
        <f>'Grid_Stock'!BO34</f>
        <v/>
      </c>
      <c r="BR720">
        <f>'Grid_Stock'!BP34</f>
        <v/>
      </c>
      <c r="BS720">
        <f>'Grid_Stock'!BQ34</f>
        <v/>
      </c>
      <c r="BT720">
        <f>'Grid_Stock'!BR34</f>
        <v/>
      </c>
      <c r="BU720">
        <f>'Grid_Stock'!BS34</f>
        <v/>
      </c>
      <c r="BV720">
        <f>'Grid_Stock'!BT34</f>
        <v/>
      </c>
      <c r="BW720">
        <f>'Grid_Stock'!BU34</f>
        <v/>
      </c>
      <c r="BX720">
        <f>'Grid_Stock'!BV34</f>
        <v/>
      </c>
      <c r="BY720">
        <f>'Grid_Stock'!BW34</f>
        <v/>
      </c>
      <c r="BZ720">
        <f>'Grid_Stock'!BX34</f>
        <v/>
      </c>
      <c r="CA720">
        <f>'Grid_Stock'!BY34</f>
        <v/>
      </c>
      <c r="CB720">
        <f>'Grid_Stock'!BZ34</f>
        <v/>
      </c>
      <c r="CC720">
        <f>'Grid_Stock'!CA34</f>
        <v/>
      </c>
      <c r="CD720">
        <f>'Grid_Stock'!CB34</f>
        <v/>
      </c>
      <c r="CE720">
        <f>'Grid_Stock'!CC34</f>
        <v/>
      </c>
      <c r="CF720">
        <f>'Grid_Stock'!CD34</f>
        <v/>
      </c>
      <c r="CG720">
        <f>'Grid_Stock'!CE34</f>
        <v/>
      </c>
      <c r="CH720">
        <f>'Grid_Stock'!CF34</f>
        <v/>
      </c>
      <c r="CI720">
        <f>'Grid_Stock'!CG34</f>
        <v/>
      </c>
      <c r="CJ720">
        <f>'Grid_Stock'!CH34</f>
        <v/>
      </c>
      <c r="CK720">
        <f>'Grid_Stock'!CI34</f>
        <v/>
      </c>
      <c r="CL720">
        <f>'Grid_Stock'!CJ34</f>
        <v/>
      </c>
      <c r="CM720">
        <f>'Grid_Stock'!CK34</f>
        <v/>
      </c>
      <c r="CN720">
        <f>'Grid_Stock'!CL34</f>
        <v/>
      </c>
      <c r="CO720">
        <f>'Grid_Stock'!CM34</f>
        <v/>
      </c>
      <c r="CP720">
        <f>'Grid_Stock'!CN34</f>
        <v/>
      </c>
      <c r="CQ720">
        <f>'Grid_Stock'!CO34</f>
        <v/>
      </c>
      <c r="CR720">
        <f>'Grid_Stock'!CP34</f>
        <v/>
      </c>
      <c r="CS720">
        <f>'Grid_Stock'!CQ34</f>
        <v/>
      </c>
      <c r="CT720">
        <f>'Grid_Stock'!CR34</f>
        <v/>
      </c>
      <c r="CU720">
        <f>'Grid_Stock'!CS34</f>
        <v/>
      </c>
      <c r="CV720">
        <f>'Grid_Stock'!CT34</f>
        <v/>
      </c>
      <c r="CW720">
        <f>'Grid_Stock'!CU34</f>
        <v/>
      </c>
      <c r="CX720">
        <f>'Grid_Stock'!CV34</f>
        <v/>
      </c>
      <c r="CY720">
        <f>'Grid_Stock'!CW34</f>
        <v/>
      </c>
      <c r="CZ720">
        <f>'Grid_Stock'!CX34</f>
        <v/>
      </c>
      <c r="DA720">
        <f>'Grid_Stock'!CY34</f>
        <v/>
      </c>
      <c r="DB720">
        <f>'Grid_Stock'!CZ34</f>
        <v/>
      </c>
      <c r="DC720">
        <f>'Grid_Stock'!DA34</f>
        <v/>
      </c>
    </row>
    <row r="721">
      <c r="B721" s="21" t="inlineStr">
        <is>
          <t>（発注の目安はDashboardの基準在庫[下限/上限]と色分けを参照）</t>
        </is>
      </c>
    </row>
    <row r="723">
      <c r="A723" s="19" t="inlineStr">
        <is>
          <t>CHEM-1530</t>
        </is>
      </c>
      <c r="B723" s="19" t="inlineStr">
        <is>
          <t>JCK-97</t>
        </is>
      </c>
      <c r="C723" s="20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/>
      <c r="Z723" s="19" t="n"/>
      <c r="AA723" s="19" t="n"/>
      <c r="AB723" s="19" t="n"/>
      <c r="AC723" s="19" t="n"/>
      <c r="AD723" s="19" t="n"/>
      <c r="AE723" s="19" t="n"/>
      <c r="AF723" s="19" t="n"/>
      <c r="AG723" s="19" t="n"/>
      <c r="AH723" s="19" t="n"/>
      <c r="AI723" s="19" t="n"/>
      <c r="AJ723" s="19" t="n"/>
      <c r="AK723" s="19" t="n"/>
      <c r="AL723" s="19" t="n"/>
      <c r="AM723" s="19" t="n"/>
      <c r="AN723" s="19" t="n"/>
      <c r="AO723" s="19" t="n"/>
      <c r="AP723" s="19" t="n"/>
      <c r="AQ723" s="19" t="n"/>
      <c r="AR723" s="19" t="n"/>
      <c r="AS723" s="19" t="n"/>
      <c r="AT723" s="19" t="n"/>
      <c r="AU723" s="19" t="n"/>
      <c r="AV723" s="19" t="n"/>
      <c r="AW723" s="19" t="n"/>
      <c r="AX723" s="19" t="n"/>
      <c r="AY723" s="19" t="n"/>
      <c r="AZ723" s="19" t="n"/>
      <c r="BA723" s="19" t="n"/>
      <c r="BB723" s="19" t="n"/>
      <c r="BC723" s="19" t="n"/>
      <c r="BD723" s="19" t="n"/>
      <c r="BE723" s="19" t="n"/>
      <c r="BF723" s="19" t="n"/>
      <c r="BG723" s="19" t="n"/>
      <c r="BH723" s="19" t="n"/>
      <c r="BI723" s="19" t="n"/>
      <c r="BJ723" s="19" t="n"/>
      <c r="BK723" s="19" t="n"/>
      <c r="BL723" s="19" t="n"/>
      <c r="BM723" s="19" t="n"/>
      <c r="BN723" s="19" t="n"/>
      <c r="BO723" s="19" t="n"/>
      <c r="BP723" s="19" t="n"/>
      <c r="BQ723" s="19" t="n"/>
      <c r="BR723" s="19" t="n"/>
      <c r="BS723" s="19" t="n"/>
      <c r="BT723" s="19" t="n"/>
      <c r="BU723" s="19" t="n"/>
      <c r="BV723" s="19" t="n"/>
      <c r="BW723" s="19" t="n"/>
      <c r="BX723" s="19" t="n"/>
      <c r="BY723" s="19" t="n"/>
      <c r="BZ723" s="19" t="n"/>
      <c r="CA723" s="19" t="n"/>
      <c r="CB723" s="19" t="n"/>
      <c r="CC723" s="19" t="n"/>
      <c r="CD723" s="19" t="n"/>
      <c r="CE723" s="19" t="n"/>
      <c r="CF723" s="19" t="n"/>
      <c r="CG723" s="19" t="n"/>
      <c r="CH723" s="19" t="n"/>
      <c r="CI723" s="19" t="n"/>
      <c r="CJ723" s="19" t="n"/>
      <c r="CK723" s="19" t="n"/>
      <c r="CL723" s="19" t="n"/>
      <c r="CM723" s="19" t="n"/>
      <c r="CN723" s="19" t="n"/>
      <c r="CO723" s="19" t="n"/>
      <c r="CP723" s="19" t="n"/>
      <c r="CQ723" s="19" t="n"/>
      <c r="CR723" s="19" t="n"/>
      <c r="CS723" s="19" t="n"/>
      <c r="CT723" s="19" t="n"/>
      <c r="CU723" s="19" t="n"/>
      <c r="CV723" s="19" t="n"/>
      <c r="CW723" s="19" t="n"/>
      <c r="CX723" s="19" t="n"/>
      <c r="CY723" s="19" t="n"/>
      <c r="CZ723" s="19" t="n"/>
      <c r="DA723" s="19" t="n"/>
      <c r="DB723" s="19" t="n"/>
      <c r="DC723" s="19" t="n"/>
    </row>
    <row r="724">
      <c r="B724" t="inlineStr">
        <is>
          <t>TSP-402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Name],$A723)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Name],$A723)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Name],$A723)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TSP-405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Name],$A723)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TSP-655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Name],$A723)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TSP-903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Name],$A723)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TSP-959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Name],$A723)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VSP-567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Name],$A723)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VSP-602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Name],$A723)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VSP-605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Name],$A723)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VSP-607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Name],$A723)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VSP-740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Name],$A723)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VSP-746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Name],$A723)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VSP-822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Name],$A723)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VSP-870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Name],$A723)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VSP-910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Name],$A723)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VSP-990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Name],$A723)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VSZ-745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Name],$A723)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TPP-650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Name],$A723)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No of times used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Name],$A723)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TSP-1499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Name],$A723)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s="9" t="inlineStr">
        <is>
          <t>合計使用量(kg)/週</t>
        </is>
      </c>
      <c r="D766">
        <f>'Grid_Requirement'!B6</f>
        <v/>
      </c>
      <c r="E766">
        <f>'Grid_Requirement'!C6</f>
        <v/>
      </c>
      <c r="F766">
        <f>'Grid_Requirement'!D6</f>
        <v/>
      </c>
      <c r="G766">
        <f>'Grid_Requirement'!E6</f>
        <v/>
      </c>
      <c r="H766">
        <f>'Grid_Requirement'!F6</f>
        <v/>
      </c>
      <c r="I766">
        <f>'Grid_Requirement'!G6</f>
        <v/>
      </c>
      <c r="J766">
        <f>'Grid_Requirement'!H6</f>
        <v/>
      </c>
      <c r="K766">
        <f>'Grid_Requirement'!I6</f>
        <v/>
      </c>
      <c r="L766">
        <f>'Grid_Requirement'!J6</f>
        <v/>
      </c>
      <c r="M766">
        <f>'Grid_Requirement'!K6</f>
        <v/>
      </c>
      <c r="N766">
        <f>'Grid_Requirement'!L6</f>
        <v/>
      </c>
      <c r="O766">
        <f>'Grid_Requirement'!M6</f>
        <v/>
      </c>
      <c r="P766">
        <f>'Grid_Requirement'!N6</f>
        <v/>
      </c>
      <c r="Q766">
        <f>'Grid_Requirement'!O6</f>
        <v/>
      </c>
      <c r="R766">
        <f>'Grid_Requirement'!P6</f>
        <v/>
      </c>
      <c r="S766">
        <f>'Grid_Requirement'!Q6</f>
        <v/>
      </c>
      <c r="T766">
        <f>'Grid_Requirement'!R6</f>
        <v/>
      </c>
      <c r="U766">
        <f>'Grid_Requirement'!S6</f>
        <v/>
      </c>
      <c r="V766">
        <f>'Grid_Requirement'!T6</f>
        <v/>
      </c>
      <c r="W766">
        <f>'Grid_Requirement'!U6</f>
        <v/>
      </c>
      <c r="X766">
        <f>'Grid_Requirement'!V6</f>
        <v/>
      </c>
      <c r="Y766">
        <f>'Grid_Requirement'!W6</f>
        <v/>
      </c>
      <c r="Z766">
        <f>'Grid_Requirement'!X6</f>
        <v/>
      </c>
      <c r="AA766">
        <f>'Grid_Requirement'!Y6</f>
        <v/>
      </c>
      <c r="AB766">
        <f>'Grid_Requirement'!Z6</f>
        <v/>
      </c>
      <c r="AC766">
        <f>'Grid_Requirement'!AA6</f>
        <v/>
      </c>
      <c r="AD766">
        <f>'Grid_Requirement'!AB6</f>
        <v/>
      </c>
      <c r="AE766">
        <f>'Grid_Requirement'!AC6</f>
        <v/>
      </c>
      <c r="AF766">
        <f>'Grid_Requirement'!AD6</f>
        <v/>
      </c>
      <c r="AG766">
        <f>'Grid_Requirement'!AE6</f>
        <v/>
      </c>
      <c r="AH766">
        <f>'Grid_Requirement'!AF6</f>
        <v/>
      </c>
      <c r="AI766">
        <f>'Grid_Requirement'!AG6</f>
        <v/>
      </c>
      <c r="AJ766">
        <f>'Grid_Requirement'!AH6</f>
        <v/>
      </c>
      <c r="AK766">
        <f>'Grid_Requirement'!AI6</f>
        <v/>
      </c>
      <c r="AL766">
        <f>'Grid_Requirement'!AJ6</f>
        <v/>
      </c>
      <c r="AM766">
        <f>'Grid_Requirement'!AK6</f>
        <v/>
      </c>
      <c r="AN766">
        <f>'Grid_Requirement'!AL6</f>
        <v/>
      </c>
      <c r="AO766">
        <f>'Grid_Requirement'!AM6</f>
        <v/>
      </c>
      <c r="AP766">
        <f>'Grid_Requirement'!AN6</f>
        <v/>
      </c>
      <c r="AQ766">
        <f>'Grid_Requirement'!AO6</f>
        <v/>
      </c>
      <c r="AR766">
        <f>'Grid_Requirement'!AP6</f>
        <v/>
      </c>
      <c r="AS766">
        <f>'Grid_Requirement'!AQ6</f>
        <v/>
      </c>
      <c r="AT766">
        <f>'Grid_Requirement'!AR6</f>
        <v/>
      </c>
      <c r="AU766">
        <f>'Grid_Requirement'!AS6</f>
        <v/>
      </c>
      <c r="AV766">
        <f>'Grid_Requirement'!AT6</f>
        <v/>
      </c>
      <c r="AW766">
        <f>'Grid_Requirement'!AU6</f>
        <v/>
      </c>
      <c r="AX766">
        <f>'Grid_Requirement'!AV6</f>
        <v/>
      </c>
      <c r="AY766">
        <f>'Grid_Requirement'!AW6</f>
        <v/>
      </c>
      <c r="AZ766">
        <f>'Grid_Requirement'!AX6</f>
        <v/>
      </c>
      <c r="BA766">
        <f>'Grid_Requirement'!AY6</f>
        <v/>
      </c>
      <c r="BB766">
        <f>'Grid_Requirement'!AZ6</f>
        <v/>
      </c>
      <c r="BC766">
        <f>'Grid_Requirement'!BA6</f>
        <v/>
      </c>
      <c r="BD766">
        <f>'Grid_Requirement'!BB6</f>
        <v/>
      </c>
      <c r="BE766">
        <f>'Grid_Requirement'!BC6</f>
        <v/>
      </c>
      <c r="BF766">
        <f>'Grid_Requirement'!BD6</f>
        <v/>
      </c>
      <c r="BG766">
        <f>'Grid_Requirement'!BE6</f>
        <v/>
      </c>
      <c r="BH766">
        <f>'Grid_Requirement'!BF6</f>
        <v/>
      </c>
      <c r="BI766">
        <f>'Grid_Requirement'!BG6</f>
        <v/>
      </c>
      <c r="BJ766">
        <f>'Grid_Requirement'!BH6</f>
        <v/>
      </c>
      <c r="BK766">
        <f>'Grid_Requirement'!BI6</f>
        <v/>
      </c>
      <c r="BL766">
        <f>'Grid_Requirement'!BJ6</f>
        <v/>
      </c>
      <c r="BM766">
        <f>'Grid_Requirement'!BK6</f>
        <v/>
      </c>
      <c r="BN766">
        <f>'Grid_Requirement'!BL6</f>
        <v/>
      </c>
      <c r="BO766">
        <f>'Grid_Requirement'!BM6</f>
        <v/>
      </c>
      <c r="BP766">
        <f>'Grid_Requirement'!BN6</f>
        <v/>
      </c>
      <c r="BQ766">
        <f>'Grid_Requirement'!BO6</f>
        <v/>
      </c>
      <c r="BR766">
        <f>'Grid_Requirement'!BP6</f>
        <v/>
      </c>
      <c r="BS766">
        <f>'Grid_Requirement'!BQ6</f>
        <v/>
      </c>
      <c r="BT766">
        <f>'Grid_Requirement'!BR6</f>
        <v/>
      </c>
      <c r="BU766">
        <f>'Grid_Requirement'!BS6</f>
        <v/>
      </c>
      <c r="BV766">
        <f>'Grid_Requirement'!BT6</f>
        <v/>
      </c>
      <c r="BW766">
        <f>'Grid_Requirement'!BU6</f>
        <v/>
      </c>
      <c r="BX766">
        <f>'Grid_Requirement'!BV6</f>
        <v/>
      </c>
      <c r="BY766">
        <f>'Grid_Requirement'!BW6</f>
        <v/>
      </c>
      <c r="BZ766">
        <f>'Grid_Requirement'!BX6</f>
        <v/>
      </c>
      <c r="CA766">
        <f>'Grid_Requirement'!BY6</f>
        <v/>
      </c>
      <c r="CB766">
        <f>'Grid_Requirement'!BZ6</f>
        <v/>
      </c>
      <c r="CC766">
        <f>'Grid_Requirement'!CA6</f>
        <v/>
      </c>
      <c r="CD766">
        <f>'Grid_Requirement'!CB6</f>
        <v/>
      </c>
      <c r="CE766">
        <f>'Grid_Requirement'!CC6</f>
        <v/>
      </c>
      <c r="CF766">
        <f>'Grid_Requirement'!CD6</f>
        <v/>
      </c>
      <c r="CG766">
        <f>'Grid_Requirement'!CE6</f>
        <v/>
      </c>
      <c r="CH766">
        <f>'Grid_Requirement'!CF6</f>
        <v/>
      </c>
      <c r="CI766">
        <f>'Grid_Requirement'!CG6</f>
        <v/>
      </c>
      <c r="CJ766">
        <f>'Grid_Requirement'!CH6</f>
        <v/>
      </c>
      <c r="CK766">
        <f>'Grid_Requirement'!CI6</f>
        <v/>
      </c>
      <c r="CL766">
        <f>'Grid_Requirement'!CJ6</f>
        <v/>
      </c>
      <c r="CM766">
        <f>'Grid_Requirement'!CK6</f>
        <v/>
      </c>
      <c r="CN766">
        <f>'Grid_Requirement'!CL6</f>
        <v/>
      </c>
      <c r="CO766">
        <f>'Grid_Requirement'!CM6</f>
        <v/>
      </c>
      <c r="CP766">
        <f>'Grid_Requirement'!CN6</f>
        <v/>
      </c>
      <c r="CQ766">
        <f>'Grid_Requirement'!CO6</f>
        <v/>
      </c>
      <c r="CR766">
        <f>'Grid_Requirement'!CP6</f>
        <v/>
      </c>
      <c r="CS766">
        <f>'Grid_Requirement'!CQ6</f>
        <v/>
      </c>
      <c r="CT766">
        <f>'Grid_Requirement'!CR6</f>
        <v/>
      </c>
      <c r="CU766">
        <f>'Grid_Requirement'!CS6</f>
        <v/>
      </c>
      <c r="CV766">
        <f>'Grid_Requirement'!CT6</f>
        <v/>
      </c>
      <c r="CW766">
        <f>'Grid_Requirement'!CU6</f>
        <v/>
      </c>
      <c r="CX766">
        <f>'Grid_Requirement'!CV6</f>
        <v/>
      </c>
      <c r="CY766">
        <f>'Grid_Requirement'!CW6</f>
        <v/>
      </c>
      <c r="CZ766">
        <f>'Grid_Requirement'!CX6</f>
        <v/>
      </c>
      <c r="DA766">
        <f>'Grid_Requirement'!CY6</f>
        <v/>
      </c>
      <c r="DB766">
        <f>'Grid_Requirement'!CZ6</f>
        <v/>
      </c>
      <c r="DC766">
        <f>'Grid_Requirement'!DA6</f>
        <v/>
      </c>
    </row>
    <row r="767">
      <c r="B767" t="inlineStr">
        <is>
          <t>TTAF在庫(実績,kg)</t>
        </is>
      </c>
      <c r="D767">
        <f>'T_TTAFStock'!B10</f>
        <v/>
      </c>
      <c r="E767">
        <f>'T_TTAFStock'!C10</f>
        <v/>
      </c>
      <c r="F767">
        <f>'T_TTAFStock'!D10</f>
        <v/>
      </c>
      <c r="G767">
        <f>'T_TTAFStock'!E10</f>
        <v/>
      </c>
      <c r="H767">
        <f>'T_TTAFStock'!F10</f>
        <v/>
      </c>
      <c r="I767">
        <f>'T_TTAFStock'!G10</f>
        <v/>
      </c>
      <c r="J767">
        <f>'T_TTAFStock'!H10</f>
        <v/>
      </c>
      <c r="K767">
        <f>'T_TTAFStock'!I10</f>
        <v/>
      </c>
      <c r="L767">
        <f>'T_TTAFStock'!J10</f>
        <v/>
      </c>
      <c r="M767">
        <f>'T_TTAFStock'!K10</f>
        <v/>
      </c>
      <c r="N767">
        <f>'T_TTAFStock'!L10</f>
        <v/>
      </c>
      <c r="O767">
        <f>'T_TTAFStock'!M10</f>
        <v/>
      </c>
      <c r="P767">
        <f>'T_TTAFStock'!N10</f>
        <v/>
      </c>
      <c r="Q767">
        <f>'T_TTAFStock'!O10</f>
        <v/>
      </c>
      <c r="R767">
        <f>'T_TTAFStock'!P10</f>
        <v/>
      </c>
      <c r="S767">
        <f>'T_TTAFStock'!Q10</f>
        <v/>
      </c>
      <c r="T767">
        <f>'T_TTAFStock'!R10</f>
        <v/>
      </c>
      <c r="U767">
        <f>'T_TTAFStock'!S10</f>
        <v/>
      </c>
      <c r="V767">
        <f>'T_TTAFStock'!T10</f>
        <v/>
      </c>
      <c r="W767">
        <f>'T_TTAFStock'!U10</f>
        <v/>
      </c>
      <c r="X767">
        <f>'T_TTAFStock'!V10</f>
        <v/>
      </c>
      <c r="Y767">
        <f>'T_TTAFStock'!W10</f>
        <v/>
      </c>
      <c r="Z767">
        <f>'T_TTAFStock'!X10</f>
        <v/>
      </c>
      <c r="AA767">
        <f>'T_TTAFStock'!Y10</f>
        <v/>
      </c>
      <c r="AB767">
        <f>'T_TTAFStock'!Z10</f>
        <v/>
      </c>
      <c r="AC767">
        <f>'T_TTAFStock'!AA10</f>
        <v/>
      </c>
      <c r="AD767">
        <f>'T_TTAFStock'!AB10</f>
        <v/>
      </c>
      <c r="AE767">
        <f>'T_TTAFStock'!AC10</f>
        <v/>
      </c>
      <c r="AF767">
        <f>'T_TTAFStock'!AD10</f>
        <v/>
      </c>
      <c r="AG767">
        <f>'T_TTAFStock'!AE10</f>
        <v/>
      </c>
      <c r="AH767">
        <f>'T_TTAFStock'!AF10</f>
        <v/>
      </c>
      <c r="AI767">
        <f>'T_TTAFStock'!AG10</f>
        <v/>
      </c>
      <c r="AJ767">
        <f>'T_TTAFStock'!AH10</f>
        <v/>
      </c>
      <c r="AK767">
        <f>'T_TTAFStock'!AI10</f>
        <v/>
      </c>
      <c r="AL767">
        <f>'T_TTAFStock'!AJ10</f>
        <v/>
      </c>
      <c r="AM767">
        <f>'T_TTAFStock'!AK10</f>
        <v/>
      </c>
      <c r="AN767">
        <f>'T_TTAFStock'!AL10</f>
        <v/>
      </c>
      <c r="AO767">
        <f>'T_TTAFStock'!AM10</f>
        <v/>
      </c>
      <c r="AP767">
        <f>'T_TTAFStock'!AN10</f>
        <v/>
      </c>
      <c r="AQ767">
        <f>'T_TTAFStock'!AO10</f>
        <v/>
      </c>
      <c r="AR767">
        <f>'T_TTAFStock'!AP10</f>
        <v/>
      </c>
      <c r="AS767">
        <f>'T_TTAFStock'!AQ10</f>
        <v/>
      </c>
      <c r="AT767">
        <f>'T_TTAFStock'!AR10</f>
        <v/>
      </c>
      <c r="AU767">
        <f>'T_TTAFStock'!AS10</f>
        <v/>
      </c>
      <c r="AV767">
        <f>'T_TTAFStock'!AT10</f>
        <v/>
      </c>
      <c r="AW767">
        <f>'T_TTAFStock'!AU10</f>
        <v/>
      </c>
      <c r="AX767">
        <f>'T_TTAFStock'!AV10</f>
        <v/>
      </c>
      <c r="AY767">
        <f>'T_TTAFStock'!AW10</f>
        <v/>
      </c>
      <c r="AZ767">
        <f>'T_TTAFStock'!AX10</f>
        <v/>
      </c>
      <c r="BA767">
        <f>'T_TTAFStock'!AY10</f>
        <v/>
      </c>
      <c r="BB767">
        <f>'T_TTAFStock'!AZ10</f>
        <v/>
      </c>
      <c r="BC767">
        <f>'T_TTAFStock'!BA10</f>
        <v/>
      </c>
      <c r="BD767">
        <f>'T_TTAFStock'!BB10</f>
        <v/>
      </c>
      <c r="BE767">
        <f>'T_TTAFStock'!BC10</f>
        <v/>
      </c>
      <c r="BF767">
        <f>'T_TTAFStock'!BD10</f>
        <v/>
      </c>
      <c r="BG767">
        <f>'T_TTAFStock'!BE10</f>
        <v/>
      </c>
      <c r="BH767">
        <f>'T_TTAFStock'!BF10</f>
        <v/>
      </c>
      <c r="BI767">
        <f>'T_TTAFStock'!BG10</f>
        <v/>
      </c>
      <c r="BJ767">
        <f>'T_TTAFStock'!BH10</f>
        <v/>
      </c>
      <c r="BK767">
        <f>'T_TTAFStock'!BI10</f>
        <v/>
      </c>
      <c r="BL767">
        <f>'T_TTAFStock'!BJ10</f>
        <v/>
      </c>
      <c r="BM767">
        <f>'T_TTAFStock'!BK10</f>
        <v/>
      </c>
      <c r="BN767">
        <f>'T_TTAFStock'!BL10</f>
        <v/>
      </c>
      <c r="BO767">
        <f>'T_TTAFStock'!BM10</f>
        <v/>
      </c>
      <c r="BP767">
        <f>'T_TTAFStock'!BN10</f>
        <v/>
      </c>
      <c r="BQ767">
        <f>'T_TTAFStock'!BO10</f>
        <v/>
      </c>
      <c r="BR767">
        <f>'T_TTAFStock'!BP10</f>
        <v/>
      </c>
      <c r="BS767">
        <f>'T_TTAFStock'!BQ10</f>
        <v/>
      </c>
      <c r="BT767">
        <f>'T_TTAFStock'!BR10</f>
        <v/>
      </c>
      <c r="BU767">
        <f>'T_TTAFStock'!BS10</f>
        <v/>
      </c>
      <c r="BV767">
        <f>'T_TTAFStock'!BT10</f>
        <v/>
      </c>
      <c r="BW767">
        <f>'T_TTAFStock'!BU10</f>
        <v/>
      </c>
      <c r="BX767">
        <f>'T_TTAFStock'!BV10</f>
        <v/>
      </c>
      <c r="BY767">
        <f>'T_TTAFStock'!BW10</f>
        <v/>
      </c>
      <c r="BZ767">
        <f>'T_TTAFStock'!BX10</f>
        <v/>
      </c>
      <c r="CA767">
        <f>'T_TTAFStock'!BY10</f>
        <v/>
      </c>
      <c r="CB767">
        <f>'T_TTAFStock'!BZ10</f>
        <v/>
      </c>
      <c r="CC767">
        <f>'T_TTAFStock'!CA10</f>
        <v/>
      </c>
      <c r="CD767">
        <f>'T_TTAFStock'!CB10</f>
        <v/>
      </c>
      <c r="CE767">
        <f>'T_TTAFStock'!CC10</f>
        <v/>
      </c>
      <c r="CF767">
        <f>'T_TTAFStock'!CD10</f>
        <v/>
      </c>
      <c r="CG767">
        <f>'T_TTAFStock'!CE10</f>
        <v/>
      </c>
      <c r="CH767">
        <f>'T_TTAFStock'!CF10</f>
        <v/>
      </c>
      <c r="CI767">
        <f>'T_TTAFStock'!CG10</f>
        <v/>
      </c>
      <c r="CJ767">
        <f>'T_TTAFStock'!CH10</f>
        <v/>
      </c>
      <c r="CK767">
        <f>'T_TTAFStock'!CI10</f>
        <v/>
      </c>
      <c r="CL767">
        <f>'T_TTAFStock'!CJ10</f>
        <v/>
      </c>
      <c r="CM767">
        <f>'T_TTAFStock'!CK10</f>
        <v/>
      </c>
      <c r="CN767">
        <f>'T_TTAFStock'!CL10</f>
        <v/>
      </c>
      <c r="CO767">
        <f>'T_TTAFStock'!CM10</f>
        <v/>
      </c>
      <c r="CP767">
        <f>'T_TTAFStock'!CN10</f>
        <v/>
      </c>
      <c r="CQ767">
        <f>'T_TTAFStock'!CO10</f>
        <v/>
      </c>
      <c r="CR767">
        <f>'T_TTAFStock'!CP10</f>
        <v/>
      </c>
      <c r="CS767">
        <f>'T_TTAFStock'!CQ10</f>
        <v/>
      </c>
      <c r="CT767">
        <f>'T_TTAFStock'!CR10</f>
        <v/>
      </c>
      <c r="CU767">
        <f>'T_TTAFStock'!CS10</f>
        <v/>
      </c>
      <c r="CV767">
        <f>'T_TTAFStock'!CT10</f>
        <v/>
      </c>
      <c r="CW767">
        <f>'T_TTAFStock'!CU10</f>
        <v/>
      </c>
      <c r="CX767">
        <f>'T_TTAFStock'!CV10</f>
        <v/>
      </c>
      <c r="CY767">
        <f>'T_TTAFStock'!CW10</f>
        <v/>
      </c>
      <c r="CZ767">
        <f>'T_TTAFStock'!CX10</f>
        <v/>
      </c>
      <c r="DA767">
        <f>'T_TTAFStock'!CY10</f>
        <v/>
      </c>
      <c r="DB767">
        <f>'T_TTAFStock'!CZ10</f>
        <v/>
      </c>
      <c r="DC767">
        <f>'T_TTAFStock'!DA10</f>
        <v/>
      </c>
    </row>
    <row r="768">
      <c r="B768" t="inlineStr">
        <is>
          <t>自社在庫(実績,kg)</t>
        </is>
      </c>
      <c r="D768">
        <f>'T_SelfStock'!B10</f>
        <v/>
      </c>
      <c r="E768">
        <f>'T_SelfStock'!C10</f>
        <v/>
      </c>
      <c r="F768">
        <f>'T_SelfStock'!D10</f>
        <v/>
      </c>
      <c r="G768">
        <f>'T_SelfStock'!E10</f>
        <v/>
      </c>
      <c r="H768">
        <f>'T_SelfStock'!F10</f>
        <v/>
      </c>
      <c r="I768">
        <f>'T_SelfStock'!G10</f>
        <v/>
      </c>
      <c r="J768">
        <f>'T_SelfStock'!H10</f>
        <v/>
      </c>
      <c r="K768">
        <f>'T_SelfStock'!I10</f>
        <v/>
      </c>
      <c r="L768">
        <f>'T_SelfStock'!J10</f>
        <v/>
      </c>
      <c r="M768">
        <f>'T_SelfStock'!K10</f>
        <v/>
      </c>
      <c r="N768">
        <f>'T_SelfStock'!L10</f>
        <v/>
      </c>
      <c r="O768">
        <f>'T_SelfStock'!M10</f>
        <v/>
      </c>
      <c r="P768">
        <f>'T_SelfStock'!N10</f>
        <v/>
      </c>
      <c r="Q768">
        <f>'T_SelfStock'!O10</f>
        <v/>
      </c>
      <c r="R768">
        <f>'T_SelfStock'!P10</f>
        <v/>
      </c>
      <c r="S768">
        <f>'T_SelfStock'!Q10</f>
        <v/>
      </c>
      <c r="T768">
        <f>'T_SelfStock'!R10</f>
        <v/>
      </c>
      <c r="U768">
        <f>'T_SelfStock'!S10</f>
        <v/>
      </c>
      <c r="V768">
        <f>'T_SelfStock'!T10</f>
        <v/>
      </c>
      <c r="W768">
        <f>'T_SelfStock'!U10</f>
        <v/>
      </c>
      <c r="X768">
        <f>'T_SelfStock'!V10</f>
        <v/>
      </c>
      <c r="Y768">
        <f>'T_SelfStock'!W10</f>
        <v/>
      </c>
      <c r="Z768">
        <f>'T_SelfStock'!X10</f>
        <v/>
      </c>
      <c r="AA768">
        <f>'T_SelfStock'!Y10</f>
        <v/>
      </c>
      <c r="AB768">
        <f>'T_SelfStock'!Z10</f>
        <v/>
      </c>
      <c r="AC768">
        <f>'T_SelfStock'!AA10</f>
        <v/>
      </c>
      <c r="AD768">
        <f>'T_SelfStock'!AB10</f>
        <v/>
      </c>
      <c r="AE768">
        <f>'T_SelfStock'!AC10</f>
        <v/>
      </c>
      <c r="AF768">
        <f>'T_SelfStock'!AD10</f>
        <v/>
      </c>
      <c r="AG768">
        <f>'T_SelfStock'!AE10</f>
        <v/>
      </c>
      <c r="AH768">
        <f>'T_SelfStock'!AF10</f>
        <v/>
      </c>
      <c r="AI768">
        <f>'T_SelfStock'!AG10</f>
        <v/>
      </c>
      <c r="AJ768">
        <f>'T_SelfStock'!AH10</f>
        <v/>
      </c>
      <c r="AK768">
        <f>'T_SelfStock'!AI10</f>
        <v/>
      </c>
      <c r="AL768">
        <f>'T_SelfStock'!AJ10</f>
        <v/>
      </c>
      <c r="AM768">
        <f>'T_SelfStock'!AK10</f>
        <v/>
      </c>
      <c r="AN768">
        <f>'T_SelfStock'!AL10</f>
        <v/>
      </c>
      <c r="AO768">
        <f>'T_SelfStock'!AM10</f>
        <v/>
      </c>
      <c r="AP768">
        <f>'T_SelfStock'!AN10</f>
        <v/>
      </c>
      <c r="AQ768">
        <f>'T_SelfStock'!AO10</f>
        <v/>
      </c>
      <c r="AR768">
        <f>'T_SelfStock'!AP10</f>
        <v/>
      </c>
      <c r="AS768">
        <f>'T_SelfStock'!AQ10</f>
        <v/>
      </c>
      <c r="AT768">
        <f>'T_SelfStock'!AR10</f>
        <v/>
      </c>
      <c r="AU768">
        <f>'T_SelfStock'!AS10</f>
        <v/>
      </c>
      <c r="AV768">
        <f>'T_SelfStock'!AT10</f>
        <v/>
      </c>
      <c r="AW768">
        <f>'T_SelfStock'!AU10</f>
        <v/>
      </c>
      <c r="AX768">
        <f>'T_SelfStock'!AV10</f>
        <v/>
      </c>
      <c r="AY768">
        <f>'T_SelfStock'!AW10</f>
        <v/>
      </c>
      <c r="AZ768">
        <f>'T_SelfStock'!AX10</f>
        <v/>
      </c>
      <c r="BA768">
        <f>'T_SelfStock'!AY10</f>
        <v/>
      </c>
      <c r="BB768">
        <f>'T_SelfStock'!AZ10</f>
        <v/>
      </c>
      <c r="BC768">
        <f>'T_SelfStock'!BA10</f>
        <v/>
      </c>
      <c r="BD768">
        <f>'T_SelfStock'!BB10</f>
        <v/>
      </c>
      <c r="BE768">
        <f>'T_SelfStock'!BC10</f>
        <v/>
      </c>
      <c r="BF768">
        <f>'T_SelfStock'!BD10</f>
        <v/>
      </c>
      <c r="BG768">
        <f>'T_SelfStock'!BE10</f>
        <v/>
      </c>
      <c r="BH768">
        <f>'T_SelfStock'!BF10</f>
        <v/>
      </c>
      <c r="BI768">
        <f>'T_SelfStock'!BG10</f>
        <v/>
      </c>
      <c r="BJ768">
        <f>'T_SelfStock'!BH10</f>
        <v/>
      </c>
      <c r="BK768">
        <f>'T_SelfStock'!BI10</f>
        <v/>
      </c>
      <c r="BL768">
        <f>'T_SelfStock'!BJ10</f>
        <v/>
      </c>
      <c r="BM768">
        <f>'T_SelfStock'!BK10</f>
        <v/>
      </c>
      <c r="BN768">
        <f>'T_SelfStock'!BL10</f>
        <v/>
      </c>
      <c r="BO768">
        <f>'T_SelfStock'!BM10</f>
        <v/>
      </c>
      <c r="BP768">
        <f>'T_SelfStock'!BN10</f>
        <v/>
      </c>
      <c r="BQ768">
        <f>'T_SelfStock'!BO10</f>
        <v/>
      </c>
      <c r="BR768">
        <f>'T_SelfStock'!BP10</f>
        <v/>
      </c>
      <c r="BS768">
        <f>'T_SelfStock'!BQ10</f>
        <v/>
      </c>
      <c r="BT768">
        <f>'T_SelfStock'!BR10</f>
        <v/>
      </c>
      <c r="BU768">
        <f>'T_SelfStock'!BS10</f>
        <v/>
      </c>
      <c r="BV768">
        <f>'T_SelfStock'!BT10</f>
        <v/>
      </c>
      <c r="BW768">
        <f>'T_SelfStock'!BU10</f>
        <v/>
      </c>
      <c r="BX768">
        <f>'T_SelfStock'!BV10</f>
        <v/>
      </c>
      <c r="BY768">
        <f>'T_SelfStock'!BW10</f>
        <v/>
      </c>
      <c r="BZ768">
        <f>'T_SelfStock'!BX10</f>
        <v/>
      </c>
      <c r="CA768">
        <f>'T_SelfStock'!BY10</f>
        <v/>
      </c>
      <c r="CB768">
        <f>'T_SelfStock'!BZ10</f>
        <v/>
      </c>
      <c r="CC768">
        <f>'T_SelfStock'!CA10</f>
        <v/>
      </c>
      <c r="CD768">
        <f>'T_SelfStock'!CB10</f>
        <v/>
      </c>
      <c r="CE768">
        <f>'T_SelfStock'!CC10</f>
        <v/>
      </c>
      <c r="CF768">
        <f>'T_SelfStock'!CD10</f>
        <v/>
      </c>
      <c r="CG768">
        <f>'T_SelfStock'!CE10</f>
        <v/>
      </c>
      <c r="CH768">
        <f>'T_SelfStock'!CF10</f>
        <v/>
      </c>
      <c r="CI768">
        <f>'T_SelfStock'!CG10</f>
        <v/>
      </c>
      <c r="CJ768">
        <f>'T_SelfStock'!CH10</f>
        <v/>
      </c>
      <c r="CK768">
        <f>'T_SelfStock'!CI10</f>
        <v/>
      </c>
      <c r="CL768">
        <f>'T_SelfStock'!CJ10</f>
        <v/>
      </c>
      <c r="CM768">
        <f>'T_SelfStock'!CK10</f>
        <v/>
      </c>
      <c r="CN768">
        <f>'T_SelfStock'!CL10</f>
        <v/>
      </c>
      <c r="CO768">
        <f>'T_SelfStock'!CM10</f>
        <v/>
      </c>
      <c r="CP768">
        <f>'T_SelfStock'!CN10</f>
        <v/>
      </c>
      <c r="CQ768">
        <f>'T_SelfStock'!CO10</f>
        <v/>
      </c>
      <c r="CR768">
        <f>'T_SelfStock'!CP10</f>
        <v/>
      </c>
      <c r="CS768">
        <f>'T_SelfStock'!CQ10</f>
        <v/>
      </c>
      <c r="CT768">
        <f>'T_SelfStock'!CR10</f>
        <v/>
      </c>
      <c r="CU768">
        <f>'T_SelfStock'!CS10</f>
        <v/>
      </c>
      <c r="CV768">
        <f>'T_SelfStock'!CT10</f>
        <v/>
      </c>
      <c r="CW768">
        <f>'T_SelfStock'!CU10</f>
        <v/>
      </c>
      <c r="CX768">
        <f>'T_SelfStock'!CV10</f>
        <v/>
      </c>
      <c r="CY768">
        <f>'T_SelfStock'!CW10</f>
        <v/>
      </c>
      <c r="CZ768">
        <f>'T_SelfStock'!CX10</f>
        <v/>
      </c>
      <c r="DA768">
        <f>'T_SelfStock'!CY10</f>
        <v/>
      </c>
      <c r="DB768">
        <f>'T_SelfStock'!CZ10</f>
        <v/>
      </c>
      <c r="DC768">
        <f>'T_SelfStock'!DA10</f>
        <v/>
      </c>
    </row>
    <row r="769">
      <c r="B769" t="inlineStr">
        <is>
          <t>Order(発注予定,kg)</t>
        </is>
      </c>
      <c r="D769">
        <f>IF(SUMIFS(T_PlannedOrders[EffectiveQty],T_PlannedOrders[Part Name],$A723,T_PlannedOrders[WeekIndex],1)=0,"",SUMIFS(T_PlannedOrders[EffectiveQty],T_PlannedOrders[Part Name],$A723,T_PlannedOrders[WeekIndex],1)&amp;" ("&amp;TEXT(SUMPRODUCT(MAX((T_PlannedOrders[Part Name]=$A723)*(T_PlannedOrders[WeekIndex]=1)*(T_PlannedOrders[EffectiveQty]&gt;0)*T_PlannedOrders[Order_Month])),"m月")&amp;"発注)")</f>
        <v/>
      </c>
      <c r="E769">
        <f>IF(SUMIFS(T_PlannedOrders[EffectiveQty],T_PlannedOrders[Part Name],$A723,T_PlannedOrders[WeekIndex],2)=0,"",SUMIFS(T_PlannedOrders[EffectiveQty],T_PlannedOrders[Part Name],$A723,T_PlannedOrders[WeekIndex],2)&amp;" ("&amp;TEXT(SUMPRODUCT(MAX((T_PlannedOrders[Part Name]=$A723)*(T_PlannedOrders[WeekIndex]=2)*(T_PlannedOrders[EffectiveQty]&gt;0)*T_PlannedOrders[Order_Month])),"m月")&amp;"発注)")</f>
        <v/>
      </c>
      <c r="F769">
        <f>IF(SUMIFS(T_PlannedOrders[EffectiveQty],T_PlannedOrders[Part Name],$A723,T_PlannedOrders[WeekIndex],3)=0,"",SUMIFS(T_PlannedOrders[EffectiveQty],T_PlannedOrders[Part Name],$A723,T_PlannedOrders[WeekIndex],3)&amp;" ("&amp;TEXT(SUMPRODUCT(MAX((T_PlannedOrders[Part Name]=$A723)*(T_PlannedOrders[WeekIndex]=3)*(T_PlannedOrders[EffectiveQty]&gt;0)*T_PlannedOrders[Order_Month])),"m月")&amp;"発注)")</f>
        <v/>
      </c>
      <c r="G769">
        <f>IF(SUMIFS(T_PlannedOrders[EffectiveQty],T_PlannedOrders[Part Name],$A723,T_PlannedOrders[WeekIndex],4)=0,"",SUMIFS(T_PlannedOrders[EffectiveQty],T_PlannedOrders[Part Name],$A723,T_PlannedOrders[WeekIndex],4)&amp;" ("&amp;TEXT(SUMPRODUCT(MAX((T_PlannedOrders[Part Name]=$A723)*(T_PlannedOrders[WeekIndex]=4)*(T_PlannedOrders[EffectiveQty]&gt;0)*T_PlannedOrders[Order_Month])),"m月")&amp;"発注)")</f>
        <v/>
      </c>
      <c r="H769">
        <f>IF(SUMIFS(T_PlannedOrders[EffectiveQty],T_PlannedOrders[Part Name],$A723,T_PlannedOrders[WeekIndex],5)=0,"",SUMIFS(T_PlannedOrders[EffectiveQty],T_PlannedOrders[Part Name],$A723,T_PlannedOrders[WeekIndex],5)&amp;" ("&amp;TEXT(SUMPRODUCT(MAX((T_PlannedOrders[Part Name]=$A723)*(T_PlannedOrders[WeekIndex]=5)*(T_PlannedOrders[EffectiveQty]&gt;0)*T_PlannedOrders[Order_Month])),"m月")&amp;"発注)")</f>
        <v/>
      </c>
      <c r="I769">
        <f>IF(SUMIFS(T_PlannedOrders[EffectiveQty],T_PlannedOrders[Part Name],$A723,T_PlannedOrders[WeekIndex],6)=0,"",SUMIFS(T_PlannedOrders[EffectiveQty],T_PlannedOrders[Part Name],$A723,T_PlannedOrders[WeekIndex],6)&amp;" ("&amp;TEXT(SUMPRODUCT(MAX((T_PlannedOrders[Part Name]=$A723)*(T_PlannedOrders[WeekIndex]=6)*(T_PlannedOrders[EffectiveQty]&gt;0)*T_PlannedOrders[Order_Month])),"m月")&amp;"発注)")</f>
        <v/>
      </c>
      <c r="J769">
        <f>IF(SUMIFS(T_PlannedOrders[EffectiveQty],T_PlannedOrders[Part Name],$A723,T_PlannedOrders[WeekIndex],7)=0,"",SUMIFS(T_PlannedOrders[EffectiveQty],T_PlannedOrders[Part Name],$A723,T_PlannedOrders[WeekIndex],7)&amp;" ("&amp;TEXT(SUMPRODUCT(MAX((T_PlannedOrders[Part Name]=$A723)*(T_PlannedOrders[WeekIndex]=7)*(T_PlannedOrders[EffectiveQty]&gt;0)*T_PlannedOrders[Order_Month])),"m月")&amp;"発注)")</f>
        <v/>
      </c>
      <c r="K769">
        <f>IF(SUMIFS(T_PlannedOrders[EffectiveQty],T_PlannedOrders[Part Name],$A723,T_PlannedOrders[WeekIndex],8)=0,"",SUMIFS(T_PlannedOrders[EffectiveQty],T_PlannedOrders[Part Name],$A723,T_PlannedOrders[WeekIndex],8)&amp;" ("&amp;TEXT(SUMPRODUCT(MAX((T_PlannedOrders[Part Name]=$A723)*(T_PlannedOrders[WeekIndex]=8)*(T_PlannedOrders[EffectiveQty]&gt;0)*T_PlannedOrders[Order_Month])),"m月")&amp;"発注)")</f>
        <v/>
      </c>
      <c r="L769">
        <f>IF(SUMIFS(T_PlannedOrders[EffectiveQty],T_PlannedOrders[Part Name],$A723,T_PlannedOrders[WeekIndex],9)=0,"",SUMIFS(T_PlannedOrders[EffectiveQty],T_PlannedOrders[Part Name],$A723,T_PlannedOrders[WeekIndex],9)&amp;" ("&amp;TEXT(SUMPRODUCT(MAX((T_PlannedOrders[Part Name]=$A723)*(T_PlannedOrders[WeekIndex]=9)*(T_PlannedOrders[EffectiveQty]&gt;0)*T_PlannedOrders[Order_Month])),"m月")&amp;"発注)")</f>
        <v/>
      </c>
      <c r="M769">
        <f>IF(SUMIFS(T_PlannedOrders[EffectiveQty],T_PlannedOrders[Part Name],$A723,T_PlannedOrders[WeekIndex],10)=0,"",SUMIFS(T_PlannedOrders[EffectiveQty],T_PlannedOrders[Part Name],$A723,T_PlannedOrders[WeekIndex],10)&amp;" ("&amp;TEXT(SUMPRODUCT(MAX((T_PlannedOrders[Part Name]=$A723)*(T_PlannedOrders[WeekIndex]=10)*(T_PlannedOrders[EffectiveQty]&gt;0)*T_PlannedOrders[Order_Month])),"m月")&amp;"発注)")</f>
        <v/>
      </c>
      <c r="N769">
        <f>IF(SUMIFS(T_PlannedOrders[EffectiveQty],T_PlannedOrders[Part Name],$A723,T_PlannedOrders[WeekIndex],11)=0,"",SUMIFS(T_PlannedOrders[EffectiveQty],T_PlannedOrders[Part Name],$A723,T_PlannedOrders[WeekIndex],11)&amp;" ("&amp;TEXT(SUMPRODUCT(MAX((T_PlannedOrders[Part Name]=$A723)*(T_PlannedOrders[WeekIndex]=11)*(T_PlannedOrders[EffectiveQty]&gt;0)*T_PlannedOrders[Order_Month])),"m月")&amp;"発注)")</f>
        <v/>
      </c>
      <c r="O769">
        <f>IF(SUMIFS(T_PlannedOrders[EffectiveQty],T_PlannedOrders[Part Name],$A723,T_PlannedOrders[WeekIndex],12)=0,"",SUMIFS(T_PlannedOrders[EffectiveQty],T_PlannedOrders[Part Name],$A723,T_PlannedOrders[WeekIndex],12)&amp;" ("&amp;TEXT(SUMPRODUCT(MAX((T_PlannedOrders[Part Name]=$A723)*(T_PlannedOrders[WeekIndex]=12)*(T_PlannedOrders[EffectiveQty]&gt;0)*T_PlannedOrders[Order_Month])),"m月")&amp;"発注)")</f>
        <v/>
      </c>
      <c r="P769">
        <f>IF(SUMIFS(T_PlannedOrders[EffectiveQty],T_PlannedOrders[Part Name],$A723,T_PlannedOrders[WeekIndex],13)=0,"",SUMIFS(T_PlannedOrders[EffectiveQty],T_PlannedOrders[Part Name],$A723,T_PlannedOrders[WeekIndex],13)&amp;" ("&amp;TEXT(SUMPRODUCT(MAX((T_PlannedOrders[Part Name]=$A723)*(T_PlannedOrders[WeekIndex]=13)*(T_PlannedOrders[EffectiveQty]&gt;0)*T_PlannedOrders[Order_Month])),"m月")&amp;"発注)")</f>
        <v/>
      </c>
      <c r="Q769">
        <f>IF(SUMIFS(T_PlannedOrders[EffectiveQty],T_PlannedOrders[Part Name],$A723,T_PlannedOrders[WeekIndex],14)=0,"",SUMIFS(T_PlannedOrders[EffectiveQty],T_PlannedOrders[Part Name],$A723,T_PlannedOrders[WeekIndex],14)&amp;" ("&amp;TEXT(SUMPRODUCT(MAX((T_PlannedOrders[Part Name]=$A723)*(T_PlannedOrders[WeekIndex]=14)*(T_PlannedOrders[EffectiveQty]&gt;0)*T_PlannedOrders[Order_Month])),"m月")&amp;"発注)")</f>
        <v/>
      </c>
      <c r="R769">
        <f>IF(SUMIFS(T_PlannedOrders[EffectiveQty],T_PlannedOrders[Part Name],$A723,T_PlannedOrders[WeekIndex],15)=0,"",SUMIFS(T_PlannedOrders[EffectiveQty],T_PlannedOrders[Part Name],$A723,T_PlannedOrders[WeekIndex],15)&amp;" ("&amp;TEXT(SUMPRODUCT(MAX((T_PlannedOrders[Part Name]=$A723)*(T_PlannedOrders[WeekIndex]=15)*(T_PlannedOrders[EffectiveQty]&gt;0)*T_PlannedOrders[Order_Month])),"m月")&amp;"発注)")</f>
        <v/>
      </c>
      <c r="S769">
        <f>IF(SUMIFS(T_PlannedOrders[EffectiveQty],T_PlannedOrders[Part Name],$A723,T_PlannedOrders[WeekIndex],16)=0,"",SUMIFS(T_PlannedOrders[EffectiveQty],T_PlannedOrders[Part Name],$A723,T_PlannedOrders[WeekIndex],16)&amp;" ("&amp;TEXT(SUMPRODUCT(MAX((T_PlannedOrders[Part Name]=$A723)*(T_PlannedOrders[WeekIndex]=16)*(T_PlannedOrders[EffectiveQty]&gt;0)*T_PlannedOrders[Order_Month])),"m月")&amp;"発注)")</f>
        <v/>
      </c>
      <c r="T769">
        <f>IF(SUMIFS(T_PlannedOrders[EffectiveQty],T_PlannedOrders[Part Name],$A723,T_PlannedOrders[WeekIndex],17)=0,"",SUMIFS(T_PlannedOrders[EffectiveQty],T_PlannedOrders[Part Name],$A723,T_PlannedOrders[WeekIndex],17)&amp;" ("&amp;TEXT(SUMPRODUCT(MAX((T_PlannedOrders[Part Name]=$A723)*(T_PlannedOrders[WeekIndex]=17)*(T_PlannedOrders[EffectiveQty]&gt;0)*T_PlannedOrders[Order_Month])),"m月")&amp;"発注)")</f>
        <v/>
      </c>
      <c r="U769">
        <f>IF(SUMIFS(T_PlannedOrders[EffectiveQty],T_PlannedOrders[Part Name],$A723,T_PlannedOrders[WeekIndex],18)=0,"",SUMIFS(T_PlannedOrders[EffectiveQty],T_PlannedOrders[Part Name],$A723,T_PlannedOrders[WeekIndex],18)&amp;" ("&amp;TEXT(SUMPRODUCT(MAX((T_PlannedOrders[Part Name]=$A723)*(T_PlannedOrders[WeekIndex]=18)*(T_PlannedOrders[EffectiveQty]&gt;0)*T_PlannedOrders[Order_Month])),"m月")&amp;"発注)")</f>
        <v/>
      </c>
      <c r="V769">
        <f>IF(SUMIFS(T_PlannedOrders[EffectiveQty],T_PlannedOrders[Part Name],$A723,T_PlannedOrders[WeekIndex],19)=0,"",SUMIFS(T_PlannedOrders[EffectiveQty],T_PlannedOrders[Part Name],$A723,T_PlannedOrders[WeekIndex],19)&amp;" ("&amp;TEXT(SUMPRODUCT(MAX((T_PlannedOrders[Part Name]=$A723)*(T_PlannedOrders[WeekIndex]=19)*(T_PlannedOrders[EffectiveQty]&gt;0)*T_PlannedOrders[Order_Month])),"m月")&amp;"発注)")</f>
        <v/>
      </c>
      <c r="W769">
        <f>IF(SUMIFS(T_PlannedOrders[EffectiveQty],T_PlannedOrders[Part Name],$A723,T_PlannedOrders[WeekIndex],20)=0,"",SUMIFS(T_PlannedOrders[EffectiveQty],T_PlannedOrders[Part Name],$A723,T_PlannedOrders[WeekIndex],20)&amp;" ("&amp;TEXT(SUMPRODUCT(MAX((T_PlannedOrders[Part Name]=$A723)*(T_PlannedOrders[WeekIndex]=20)*(T_PlannedOrders[EffectiveQty]&gt;0)*T_PlannedOrders[Order_Month])),"m月")&amp;"発注)")</f>
        <v/>
      </c>
      <c r="X769">
        <f>IF(SUMIFS(T_PlannedOrders[EffectiveQty],T_PlannedOrders[Part Name],$A723,T_PlannedOrders[WeekIndex],21)=0,"",SUMIFS(T_PlannedOrders[EffectiveQty],T_PlannedOrders[Part Name],$A723,T_PlannedOrders[WeekIndex],21)&amp;" ("&amp;TEXT(SUMPRODUCT(MAX((T_PlannedOrders[Part Name]=$A723)*(T_PlannedOrders[WeekIndex]=21)*(T_PlannedOrders[EffectiveQty]&gt;0)*T_PlannedOrders[Order_Month])),"m月")&amp;"発注)")</f>
        <v/>
      </c>
      <c r="Y769">
        <f>IF(SUMIFS(T_PlannedOrders[EffectiveQty],T_PlannedOrders[Part Name],$A723,T_PlannedOrders[WeekIndex],22)=0,"",SUMIFS(T_PlannedOrders[EffectiveQty],T_PlannedOrders[Part Name],$A723,T_PlannedOrders[WeekIndex],22)&amp;" ("&amp;TEXT(SUMPRODUCT(MAX((T_PlannedOrders[Part Name]=$A723)*(T_PlannedOrders[WeekIndex]=22)*(T_PlannedOrders[EffectiveQty]&gt;0)*T_PlannedOrders[Order_Month])),"m月")&amp;"発注)")</f>
        <v/>
      </c>
      <c r="Z769">
        <f>IF(SUMIFS(T_PlannedOrders[EffectiveQty],T_PlannedOrders[Part Name],$A723,T_PlannedOrders[WeekIndex],23)=0,"",SUMIFS(T_PlannedOrders[EffectiveQty],T_PlannedOrders[Part Name],$A723,T_PlannedOrders[WeekIndex],23)&amp;" ("&amp;TEXT(SUMPRODUCT(MAX((T_PlannedOrders[Part Name]=$A723)*(T_PlannedOrders[WeekIndex]=23)*(T_PlannedOrders[EffectiveQty]&gt;0)*T_PlannedOrders[Order_Month])),"m月")&amp;"発注)")</f>
        <v/>
      </c>
      <c r="AA769">
        <f>IF(SUMIFS(T_PlannedOrders[EffectiveQty],T_PlannedOrders[Part Name],$A723,T_PlannedOrders[WeekIndex],24)=0,"",SUMIFS(T_PlannedOrders[EffectiveQty],T_PlannedOrders[Part Name],$A723,T_PlannedOrders[WeekIndex],24)&amp;" ("&amp;TEXT(SUMPRODUCT(MAX((T_PlannedOrders[Part Name]=$A723)*(T_PlannedOrders[WeekIndex]=24)*(T_PlannedOrders[EffectiveQty]&gt;0)*T_PlannedOrders[Order_Month])),"m月")&amp;"発注)")</f>
        <v/>
      </c>
      <c r="AB769">
        <f>IF(SUMIFS(T_PlannedOrders[EffectiveQty],T_PlannedOrders[Part Name],$A723,T_PlannedOrders[WeekIndex],25)=0,"",SUMIFS(T_PlannedOrders[EffectiveQty],T_PlannedOrders[Part Name],$A723,T_PlannedOrders[WeekIndex],25)&amp;" ("&amp;TEXT(SUMPRODUCT(MAX((T_PlannedOrders[Part Name]=$A723)*(T_PlannedOrders[WeekIndex]=25)*(T_PlannedOrders[EffectiveQty]&gt;0)*T_PlannedOrders[Order_Month])),"m月")&amp;"発注)")</f>
        <v/>
      </c>
      <c r="AC769">
        <f>IF(SUMIFS(T_PlannedOrders[EffectiveQty],T_PlannedOrders[Part Name],$A723,T_PlannedOrders[WeekIndex],26)=0,"",SUMIFS(T_PlannedOrders[EffectiveQty],T_PlannedOrders[Part Name],$A723,T_PlannedOrders[WeekIndex],26)&amp;" ("&amp;TEXT(SUMPRODUCT(MAX((T_PlannedOrders[Part Name]=$A723)*(T_PlannedOrders[WeekIndex]=26)*(T_PlannedOrders[EffectiveQty]&gt;0)*T_PlannedOrders[Order_Month])),"m月")&amp;"発注)")</f>
        <v/>
      </c>
      <c r="AD769">
        <f>IF(SUMIFS(T_PlannedOrders[EffectiveQty],T_PlannedOrders[Part Name],$A723,T_PlannedOrders[WeekIndex],27)=0,"",SUMIFS(T_PlannedOrders[EffectiveQty],T_PlannedOrders[Part Name],$A723,T_PlannedOrders[WeekIndex],27)&amp;" ("&amp;TEXT(SUMPRODUCT(MAX((T_PlannedOrders[Part Name]=$A723)*(T_PlannedOrders[WeekIndex]=27)*(T_PlannedOrders[EffectiveQty]&gt;0)*T_PlannedOrders[Order_Month])),"m月")&amp;"発注)")</f>
        <v/>
      </c>
      <c r="AE769">
        <f>IF(SUMIFS(T_PlannedOrders[EffectiveQty],T_PlannedOrders[Part Name],$A723,T_PlannedOrders[WeekIndex],28)=0,"",SUMIFS(T_PlannedOrders[EffectiveQty],T_PlannedOrders[Part Name],$A723,T_PlannedOrders[WeekIndex],28)&amp;" ("&amp;TEXT(SUMPRODUCT(MAX((T_PlannedOrders[Part Name]=$A723)*(T_PlannedOrders[WeekIndex]=28)*(T_PlannedOrders[EffectiveQty]&gt;0)*T_PlannedOrders[Order_Month])),"m月")&amp;"発注)")</f>
        <v/>
      </c>
      <c r="AF769">
        <f>IF(SUMIFS(T_PlannedOrders[EffectiveQty],T_PlannedOrders[Part Name],$A723,T_PlannedOrders[WeekIndex],29)=0,"",SUMIFS(T_PlannedOrders[EffectiveQty],T_PlannedOrders[Part Name],$A723,T_PlannedOrders[WeekIndex],29)&amp;" ("&amp;TEXT(SUMPRODUCT(MAX((T_PlannedOrders[Part Name]=$A723)*(T_PlannedOrders[WeekIndex]=29)*(T_PlannedOrders[EffectiveQty]&gt;0)*T_PlannedOrders[Order_Month])),"m月")&amp;"発注)")</f>
        <v/>
      </c>
      <c r="AG769">
        <f>IF(SUMIFS(T_PlannedOrders[EffectiveQty],T_PlannedOrders[Part Name],$A723,T_PlannedOrders[WeekIndex],30)=0,"",SUMIFS(T_PlannedOrders[EffectiveQty],T_PlannedOrders[Part Name],$A723,T_PlannedOrders[WeekIndex],30)&amp;" ("&amp;TEXT(SUMPRODUCT(MAX((T_PlannedOrders[Part Name]=$A723)*(T_PlannedOrders[WeekIndex]=30)*(T_PlannedOrders[EffectiveQty]&gt;0)*T_PlannedOrders[Order_Month])),"m月")&amp;"発注)")</f>
        <v/>
      </c>
      <c r="AH769">
        <f>IF(SUMIFS(T_PlannedOrders[EffectiveQty],T_PlannedOrders[Part Name],$A723,T_PlannedOrders[WeekIndex],31)=0,"",SUMIFS(T_PlannedOrders[EffectiveQty],T_PlannedOrders[Part Name],$A723,T_PlannedOrders[WeekIndex],31)&amp;" ("&amp;TEXT(SUMPRODUCT(MAX((T_PlannedOrders[Part Name]=$A723)*(T_PlannedOrders[WeekIndex]=31)*(T_PlannedOrders[EffectiveQty]&gt;0)*T_PlannedOrders[Order_Month])),"m月")&amp;"発注)")</f>
        <v/>
      </c>
      <c r="AI769">
        <f>IF(SUMIFS(T_PlannedOrders[EffectiveQty],T_PlannedOrders[Part Name],$A723,T_PlannedOrders[WeekIndex],32)=0,"",SUMIFS(T_PlannedOrders[EffectiveQty],T_PlannedOrders[Part Name],$A723,T_PlannedOrders[WeekIndex],32)&amp;" ("&amp;TEXT(SUMPRODUCT(MAX((T_PlannedOrders[Part Name]=$A723)*(T_PlannedOrders[WeekIndex]=32)*(T_PlannedOrders[EffectiveQty]&gt;0)*T_PlannedOrders[Order_Month])),"m月")&amp;"発注)")</f>
        <v/>
      </c>
      <c r="AJ769">
        <f>IF(SUMIFS(T_PlannedOrders[EffectiveQty],T_PlannedOrders[Part Name],$A723,T_PlannedOrders[WeekIndex],33)=0,"",SUMIFS(T_PlannedOrders[EffectiveQty],T_PlannedOrders[Part Name],$A723,T_PlannedOrders[WeekIndex],33)&amp;" ("&amp;TEXT(SUMPRODUCT(MAX((T_PlannedOrders[Part Name]=$A723)*(T_PlannedOrders[WeekIndex]=33)*(T_PlannedOrders[EffectiveQty]&gt;0)*T_PlannedOrders[Order_Month])),"m月")&amp;"発注)")</f>
        <v/>
      </c>
      <c r="AK769">
        <f>IF(SUMIFS(T_PlannedOrders[EffectiveQty],T_PlannedOrders[Part Name],$A723,T_PlannedOrders[WeekIndex],34)=0,"",SUMIFS(T_PlannedOrders[EffectiveQty],T_PlannedOrders[Part Name],$A723,T_PlannedOrders[WeekIndex],34)&amp;" ("&amp;TEXT(SUMPRODUCT(MAX((T_PlannedOrders[Part Name]=$A723)*(T_PlannedOrders[WeekIndex]=34)*(T_PlannedOrders[EffectiveQty]&gt;0)*T_PlannedOrders[Order_Month])),"m月")&amp;"発注)")</f>
        <v/>
      </c>
      <c r="AL769">
        <f>IF(SUMIFS(T_PlannedOrders[EffectiveQty],T_PlannedOrders[Part Name],$A723,T_PlannedOrders[WeekIndex],35)=0,"",SUMIFS(T_PlannedOrders[EffectiveQty],T_PlannedOrders[Part Name],$A723,T_PlannedOrders[WeekIndex],35)&amp;" ("&amp;TEXT(SUMPRODUCT(MAX((T_PlannedOrders[Part Name]=$A723)*(T_PlannedOrders[WeekIndex]=35)*(T_PlannedOrders[EffectiveQty]&gt;0)*T_PlannedOrders[Order_Month])),"m月")&amp;"発注)")</f>
        <v/>
      </c>
      <c r="AM769">
        <f>IF(SUMIFS(T_PlannedOrders[EffectiveQty],T_PlannedOrders[Part Name],$A723,T_PlannedOrders[WeekIndex],36)=0,"",SUMIFS(T_PlannedOrders[EffectiveQty],T_PlannedOrders[Part Name],$A723,T_PlannedOrders[WeekIndex],36)&amp;" ("&amp;TEXT(SUMPRODUCT(MAX((T_PlannedOrders[Part Name]=$A723)*(T_PlannedOrders[WeekIndex]=36)*(T_PlannedOrders[EffectiveQty]&gt;0)*T_PlannedOrders[Order_Month])),"m月")&amp;"発注)")</f>
        <v/>
      </c>
      <c r="AN769">
        <f>IF(SUMIFS(T_PlannedOrders[EffectiveQty],T_PlannedOrders[Part Name],$A723,T_PlannedOrders[WeekIndex],37)=0,"",SUMIFS(T_PlannedOrders[EffectiveQty],T_PlannedOrders[Part Name],$A723,T_PlannedOrders[WeekIndex],37)&amp;" ("&amp;TEXT(SUMPRODUCT(MAX((T_PlannedOrders[Part Name]=$A723)*(T_PlannedOrders[WeekIndex]=37)*(T_PlannedOrders[EffectiveQty]&gt;0)*T_PlannedOrders[Order_Month])),"m月")&amp;"発注)")</f>
        <v/>
      </c>
      <c r="AO769">
        <f>IF(SUMIFS(T_PlannedOrders[EffectiveQty],T_PlannedOrders[Part Name],$A723,T_PlannedOrders[WeekIndex],38)=0,"",SUMIFS(T_PlannedOrders[EffectiveQty],T_PlannedOrders[Part Name],$A723,T_PlannedOrders[WeekIndex],38)&amp;" ("&amp;TEXT(SUMPRODUCT(MAX((T_PlannedOrders[Part Name]=$A723)*(T_PlannedOrders[WeekIndex]=38)*(T_PlannedOrders[EffectiveQty]&gt;0)*T_PlannedOrders[Order_Month])),"m月")&amp;"発注)")</f>
        <v/>
      </c>
      <c r="AP769">
        <f>IF(SUMIFS(T_PlannedOrders[EffectiveQty],T_PlannedOrders[Part Name],$A723,T_PlannedOrders[WeekIndex],39)=0,"",SUMIFS(T_PlannedOrders[EffectiveQty],T_PlannedOrders[Part Name],$A723,T_PlannedOrders[WeekIndex],39)&amp;" ("&amp;TEXT(SUMPRODUCT(MAX((T_PlannedOrders[Part Name]=$A723)*(T_PlannedOrders[WeekIndex]=39)*(T_PlannedOrders[EffectiveQty]&gt;0)*T_PlannedOrders[Order_Month])),"m月")&amp;"発注)")</f>
        <v/>
      </c>
      <c r="AQ769">
        <f>IF(SUMIFS(T_PlannedOrders[EffectiveQty],T_PlannedOrders[Part Name],$A723,T_PlannedOrders[WeekIndex],40)=0,"",SUMIFS(T_PlannedOrders[EffectiveQty],T_PlannedOrders[Part Name],$A723,T_PlannedOrders[WeekIndex],40)&amp;" ("&amp;TEXT(SUMPRODUCT(MAX((T_PlannedOrders[Part Name]=$A723)*(T_PlannedOrders[WeekIndex]=40)*(T_PlannedOrders[EffectiveQty]&gt;0)*T_PlannedOrders[Order_Month])),"m月")&amp;"発注)")</f>
        <v/>
      </c>
      <c r="AR769">
        <f>IF(SUMIFS(T_PlannedOrders[EffectiveQty],T_PlannedOrders[Part Name],$A723,T_PlannedOrders[WeekIndex],41)=0,"",SUMIFS(T_PlannedOrders[EffectiveQty],T_PlannedOrders[Part Name],$A723,T_PlannedOrders[WeekIndex],41)&amp;" ("&amp;TEXT(SUMPRODUCT(MAX((T_PlannedOrders[Part Name]=$A723)*(T_PlannedOrders[WeekIndex]=41)*(T_PlannedOrders[EffectiveQty]&gt;0)*T_PlannedOrders[Order_Month])),"m月")&amp;"発注)")</f>
        <v/>
      </c>
      <c r="AS769">
        <f>IF(SUMIFS(T_PlannedOrders[EffectiveQty],T_PlannedOrders[Part Name],$A723,T_PlannedOrders[WeekIndex],42)=0,"",SUMIFS(T_PlannedOrders[EffectiveQty],T_PlannedOrders[Part Name],$A723,T_PlannedOrders[WeekIndex],42)&amp;" ("&amp;TEXT(SUMPRODUCT(MAX((T_PlannedOrders[Part Name]=$A723)*(T_PlannedOrders[WeekIndex]=42)*(T_PlannedOrders[EffectiveQty]&gt;0)*T_PlannedOrders[Order_Month])),"m月")&amp;"発注)")</f>
        <v/>
      </c>
      <c r="AT769">
        <f>IF(SUMIFS(T_PlannedOrders[EffectiveQty],T_PlannedOrders[Part Name],$A723,T_PlannedOrders[WeekIndex],43)=0,"",SUMIFS(T_PlannedOrders[EffectiveQty],T_PlannedOrders[Part Name],$A723,T_PlannedOrders[WeekIndex],43)&amp;" ("&amp;TEXT(SUMPRODUCT(MAX((T_PlannedOrders[Part Name]=$A723)*(T_PlannedOrders[WeekIndex]=43)*(T_PlannedOrders[EffectiveQty]&gt;0)*T_PlannedOrders[Order_Month])),"m月")&amp;"発注)")</f>
        <v/>
      </c>
      <c r="AU769">
        <f>IF(SUMIFS(T_PlannedOrders[EffectiveQty],T_PlannedOrders[Part Name],$A723,T_PlannedOrders[WeekIndex],44)=0,"",SUMIFS(T_PlannedOrders[EffectiveQty],T_PlannedOrders[Part Name],$A723,T_PlannedOrders[WeekIndex],44)&amp;" ("&amp;TEXT(SUMPRODUCT(MAX((T_PlannedOrders[Part Name]=$A723)*(T_PlannedOrders[WeekIndex]=44)*(T_PlannedOrders[EffectiveQty]&gt;0)*T_PlannedOrders[Order_Month])),"m月")&amp;"発注)")</f>
        <v/>
      </c>
      <c r="AV769">
        <f>IF(SUMIFS(T_PlannedOrders[EffectiveQty],T_PlannedOrders[Part Name],$A723,T_PlannedOrders[WeekIndex],45)=0,"",SUMIFS(T_PlannedOrders[EffectiveQty],T_PlannedOrders[Part Name],$A723,T_PlannedOrders[WeekIndex],45)&amp;" ("&amp;TEXT(SUMPRODUCT(MAX((T_PlannedOrders[Part Name]=$A723)*(T_PlannedOrders[WeekIndex]=45)*(T_PlannedOrders[EffectiveQty]&gt;0)*T_PlannedOrders[Order_Month])),"m月")&amp;"発注)")</f>
        <v/>
      </c>
      <c r="AW769">
        <f>IF(SUMIFS(T_PlannedOrders[EffectiveQty],T_PlannedOrders[Part Name],$A723,T_PlannedOrders[WeekIndex],46)=0,"",SUMIFS(T_PlannedOrders[EffectiveQty],T_PlannedOrders[Part Name],$A723,T_PlannedOrders[WeekIndex],46)&amp;" ("&amp;TEXT(SUMPRODUCT(MAX((T_PlannedOrders[Part Name]=$A723)*(T_PlannedOrders[WeekIndex]=46)*(T_PlannedOrders[EffectiveQty]&gt;0)*T_PlannedOrders[Order_Month])),"m月")&amp;"発注)")</f>
        <v/>
      </c>
      <c r="AX769">
        <f>IF(SUMIFS(T_PlannedOrders[EffectiveQty],T_PlannedOrders[Part Name],$A723,T_PlannedOrders[WeekIndex],47)=0,"",SUMIFS(T_PlannedOrders[EffectiveQty],T_PlannedOrders[Part Name],$A723,T_PlannedOrders[WeekIndex],47)&amp;" ("&amp;TEXT(SUMPRODUCT(MAX((T_PlannedOrders[Part Name]=$A723)*(T_PlannedOrders[WeekIndex]=47)*(T_PlannedOrders[EffectiveQty]&gt;0)*T_PlannedOrders[Order_Month])),"m月")&amp;"発注)")</f>
        <v/>
      </c>
      <c r="AY769">
        <f>IF(SUMIFS(T_PlannedOrders[EffectiveQty],T_PlannedOrders[Part Name],$A723,T_PlannedOrders[WeekIndex],48)=0,"",SUMIFS(T_PlannedOrders[EffectiveQty],T_PlannedOrders[Part Name],$A723,T_PlannedOrders[WeekIndex],48)&amp;" ("&amp;TEXT(SUMPRODUCT(MAX((T_PlannedOrders[Part Name]=$A723)*(T_PlannedOrders[WeekIndex]=48)*(T_PlannedOrders[EffectiveQty]&gt;0)*T_PlannedOrders[Order_Month])),"m月")&amp;"発注)")</f>
        <v/>
      </c>
      <c r="AZ769">
        <f>IF(SUMIFS(T_PlannedOrders[EffectiveQty],T_PlannedOrders[Part Name],$A723,T_PlannedOrders[WeekIndex],49)=0,"",SUMIFS(T_PlannedOrders[EffectiveQty],T_PlannedOrders[Part Name],$A723,T_PlannedOrders[WeekIndex],49)&amp;" ("&amp;TEXT(SUMPRODUCT(MAX((T_PlannedOrders[Part Name]=$A723)*(T_PlannedOrders[WeekIndex]=49)*(T_PlannedOrders[EffectiveQty]&gt;0)*T_PlannedOrders[Order_Month])),"m月")&amp;"発注)")</f>
        <v/>
      </c>
      <c r="BA769">
        <f>IF(SUMIFS(T_PlannedOrders[EffectiveQty],T_PlannedOrders[Part Name],$A723,T_PlannedOrders[WeekIndex],50)=0,"",SUMIFS(T_PlannedOrders[EffectiveQty],T_PlannedOrders[Part Name],$A723,T_PlannedOrders[WeekIndex],50)&amp;" ("&amp;TEXT(SUMPRODUCT(MAX((T_PlannedOrders[Part Name]=$A723)*(T_PlannedOrders[WeekIndex]=50)*(T_PlannedOrders[EffectiveQty]&gt;0)*T_PlannedOrders[Order_Month])),"m月")&amp;"発注)")</f>
        <v/>
      </c>
      <c r="BB769">
        <f>IF(SUMIFS(T_PlannedOrders[EffectiveQty],T_PlannedOrders[Part Name],$A723,T_PlannedOrders[WeekIndex],51)=0,"",SUMIFS(T_PlannedOrders[EffectiveQty],T_PlannedOrders[Part Name],$A723,T_PlannedOrders[WeekIndex],51)&amp;" ("&amp;TEXT(SUMPRODUCT(MAX((T_PlannedOrders[Part Name]=$A723)*(T_PlannedOrders[WeekIndex]=51)*(T_PlannedOrders[EffectiveQty]&gt;0)*T_PlannedOrders[Order_Month])),"m月")&amp;"発注)")</f>
        <v/>
      </c>
      <c r="BC769">
        <f>IF(SUMIFS(T_PlannedOrders[EffectiveQty],T_PlannedOrders[Part Name],$A723,T_PlannedOrders[WeekIndex],52)=0,"",SUMIFS(T_PlannedOrders[EffectiveQty],T_PlannedOrders[Part Name],$A723,T_PlannedOrders[WeekIndex],52)&amp;" ("&amp;TEXT(SUMPRODUCT(MAX((T_PlannedOrders[Part Name]=$A723)*(T_PlannedOrders[WeekIndex]=52)*(T_PlannedOrders[EffectiveQty]&gt;0)*T_PlannedOrders[Order_Month])),"m月")&amp;"発注)")</f>
        <v/>
      </c>
      <c r="BD769">
        <f>IF(SUMIFS(T_PlannedOrders[EffectiveQty],T_PlannedOrders[Part Name],$A723,T_PlannedOrders[WeekIndex],53)=0,"",SUMIFS(T_PlannedOrders[EffectiveQty],T_PlannedOrders[Part Name],$A723,T_PlannedOrders[WeekIndex],53)&amp;" ("&amp;TEXT(SUMPRODUCT(MAX((T_PlannedOrders[Part Name]=$A723)*(T_PlannedOrders[WeekIndex]=53)*(T_PlannedOrders[EffectiveQty]&gt;0)*T_PlannedOrders[Order_Month])),"m月")&amp;"発注)")</f>
        <v/>
      </c>
      <c r="BE769">
        <f>IF(SUMIFS(T_PlannedOrders[EffectiveQty],T_PlannedOrders[Part Name],$A723,T_PlannedOrders[WeekIndex],54)=0,"",SUMIFS(T_PlannedOrders[EffectiveQty],T_PlannedOrders[Part Name],$A723,T_PlannedOrders[WeekIndex],54)&amp;" ("&amp;TEXT(SUMPRODUCT(MAX((T_PlannedOrders[Part Name]=$A723)*(T_PlannedOrders[WeekIndex]=54)*(T_PlannedOrders[EffectiveQty]&gt;0)*T_PlannedOrders[Order_Month])),"m月")&amp;"発注)")</f>
        <v/>
      </c>
      <c r="BF769">
        <f>IF(SUMIFS(T_PlannedOrders[EffectiveQty],T_PlannedOrders[Part Name],$A723,T_PlannedOrders[WeekIndex],55)=0,"",SUMIFS(T_PlannedOrders[EffectiveQty],T_PlannedOrders[Part Name],$A723,T_PlannedOrders[WeekIndex],55)&amp;" ("&amp;TEXT(SUMPRODUCT(MAX((T_PlannedOrders[Part Name]=$A723)*(T_PlannedOrders[WeekIndex]=55)*(T_PlannedOrders[EffectiveQty]&gt;0)*T_PlannedOrders[Order_Month])),"m月")&amp;"発注)")</f>
        <v/>
      </c>
      <c r="BG769">
        <f>IF(SUMIFS(T_PlannedOrders[EffectiveQty],T_PlannedOrders[Part Name],$A723,T_PlannedOrders[WeekIndex],56)=0,"",SUMIFS(T_PlannedOrders[EffectiveQty],T_PlannedOrders[Part Name],$A723,T_PlannedOrders[WeekIndex],56)&amp;" ("&amp;TEXT(SUMPRODUCT(MAX((T_PlannedOrders[Part Name]=$A723)*(T_PlannedOrders[WeekIndex]=56)*(T_PlannedOrders[EffectiveQty]&gt;0)*T_PlannedOrders[Order_Month])),"m月")&amp;"発注)")</f>
        <v/>
      </c>
      <c r="BH769">
        <f>IF(SUMIFS(T_PlannedOrders[EffectiveQty],T_PlannedOrders[Part Name],$A723,T_PlannedOrders[WeekIndex],57)=0,"",SUMIFS(T_PlannedOrders[EffectiveQty],T_PlannedOrders[Part Name],$A723,T_PlannedOrders[WeekIndex],57)&amp;" ("&amp;TEXT(SUMPRODUCT(MAX((T_PlannedOrders[Part Name]=$A723)*(T_PlannedOrders[WeekIndex]=57)*(T_PlannedOrders[EffectiveQty]&gt;0)*T_PlannedOrders[Order_Month])),"m月")&amp;"発注)")</f>
        <v/>
      </c>
      <c r="BI769">
        <f>IF(SUMIFS(T_PlannedOrders[EffectiveQty],T_PlannedOrders[Part Name],$A723,T_PlannedOrders[WeekIndex],58)=0,"",SUMIFS(T_PlannedOrders[EffectiveQty],T_PlannedOrders[Part Name],$A723,T_PlannedOrders[WeekIndex],58)&amp;" ("&amp;TEXT(SUMPRODUCT(MAX((T_PlannedOrders[Part Name]=$A723)*(T_PlannedOrders[WeekIndex]=58)*(T_PlannedOrders[EffectiveQty]&gt;0)*T_PlannedOrders[Order_Month])),"m月")&amp;"発注)")</f>
        <v/>
      </c>
      <c r="BJ769">
        <f>IF(SUMIFS(T_PlannedOrders[EffectiveQty],T_PlannedOrders[Part Name],$A723,T_PlannedOrders[WeekIndex],59)=0,"",SUMIFS(T_PlannedOrders[EffectiveQty],T_PlannedOrders[Part Name],$A723,T_PlannedOrders[WeekIndex],59)&amp;" ("&amp;TEXT(SUMPRODUCT(MAX((T_PlannedOrders[Part Name]=$A723)*(T_PlannedOrders[WeekIndex]=59)*(T_PlannedOrders[EffectiveQty]&gt;0)*T_PlannedOrders[Order_Month])),"m月")&amp;"発注)")</f>
        <v/>
      </c>
      <c r="BK769">
        <f>IF(SUMIFS(T_PlannedOrders[EffectiveQty],T_PlannedOrders[Part Name],$A723,T_PlannedOrders[WeekIndex],60)=0,"",SUMIFS(T_PlannedOrders[EffectiveQty],T_PlannedOrders[Part Name],$A723,T_PlannedOrders[WeekIndex],60)&amp;" ("&amp;TEXT(SUMPRODUCT(MAX((T_PlannedOrders[Part Name]=$A723)*(T_PlannedOrders[WeekIndex]=60)*(T_PlannedOrders[EffectiveQty]&gt;0)*T_PlannedOrders[Order_Month])),"m月")&amp;"発注)")</f>
        <v/>
      </c>
      <c r="BL769">
        <f>IF(SUMIFS(T_PlannedOrders[EffectiveQty],T_PlannedOrders[Part Name],$A723,T_PlannedOrders[WeekIndex],61)=0,"",SUMIFS(T_PlannedOrders[EffectiveQty],T_PlannedOrders[Part Name],$A723,T_PlannedOrders[WeekIndex],61)&amp;" ("&amp;TEXT(SUMPRODUCT(MAX((T_PlannedOrders[Part Name]=$A723)*(T_PlannedOrders[WeekIndex]=61)*(T_PlannedOrders[EffectiveQty]&gt;0)*T_PlannedOrders[Order_Month])),"m月")&amp;"発注)")</f>
        <v/>
      </c>
      <c r="BM769">
        <f>IF(SUMIFS(T_PlannedOrders[EffectiveQty],T_PlannedOrders[Part Name],$A723,T_PlannedOrders[WeekIndex],62)=0,"",SUMIFS(T_PlannedOrders[EffectiveQty],T_PlannedOrders[Part Name],$A723,T_PlannedOrders[WeekIndex],62)&amp;" ("&amp;TEXT(SUMPRODUCT(MAX((T_PlannedOrders[Part Name]=$A723)*(T_PlannedOrders[WeekIndex]=62)*(T_PlannedOrders[EffectiveQty]&gt;0)*T_PlannedOrders[Order_Month])),"m月")&amp;"発注)")</f>
        <v/>
      </c>
      <c r="BN769">
        <f>IF(SUMIFS(T_PlannedOrders[EffectiveQty],T_PlannedOrders[Part Name],$A723,T_PlannedOrders[WeekIndex],63)=0,"",SUMIFS(T_PlannedOrders[EffectiveQty],T_PlannedOrders[Part Name],$A723,T_PlannedOrders[WeekIndex],63)&amp;" ("&amp;TEXT(SUMPRODUCT(MAX((T_PlannedOrders[Part Name]=$A723)*(T_PlannedOrders[WeekIndex]=63)*(T_PlannedOrders[EffectiveQty]&gt;0)*T_PlannedOrders[Order_Month])),"m月")&amp;"発注)")</f>
        <v/>
      </c>
      <c r="BO769">
        <f>IF(SUMIFS(T_PlannedOrders[EffectiveQty],T_PlannedOrders[Part Name],$A723,T_PlannedOrders[WeekIndex],64)=0,"",SUMIFS(T_PlannedOrders[EffectiveQty],T_PlannedOrders[Part Name],$A723,T_PlannedOrders[WeekIndex],64)&amp;" ("&amp;TEXT(SUMPRODUCT(MAX((T_PlannedOrders[Part Name]=$A723)*(T_PlannedOrders[WeekIndex]=64)*(T_PlannedOrders[EffectiveQty]&gt;0)*T_PlannedOrders[Order_Month])),"m月")&amp;"発注)")</f>
        <v/>
      </c>
      <c r="BP769">
        <f>IF(SUMIFS(T_PlannedOrders[EffectiveQty],T_PlannedOrders[Part Name],$A723,T_PlannedOrders[WeekIndex],65)=0,"",SUMIFS(T_PlannedOrders[EffectiveQty],T_PlannedOrders[Part Name],$A723,T_PlannedOrders[WeekIndex],65)&amp;" ("&amp;TEXT(SUMPRODUCT(MAX((T_PlannedOrders[Part Name]=$A723)*(T_PlannedOrders[WeekIndex]=65)*(T_PlannedOrders[EffectiveQty]&gt;0)*T_PlannedOrders[Order_Month])),"m月")&amp;"発注)")</f>
        <v/>
      </c>
      <c r="BQ769">
        <f>IF(SUMIFS(T_PlannedOrders[EffectiveQty],T_PlannedOrders[Part Name],$A723,T_PlannedOrders[WeekIndex],66)=0,"",SUMIFS(T_PlannedOrders[EffectiveQty],T_PlannedOrders[Part Name],$A723,T_PlannedOrders[WeekIndex],66)&amp;" ("&amp;TEXT(SUMPRODUCT(MAX((T_PlannedOrders[Part Name]=$A723)*(T_PlannedOrders[WeekIndex]=66)*(T_PlannedOrders[EffectiveQty]&gt;0)*T_PlannedOrders[Order_Month])),"m月")&amp;"発注)")</f>
        <v/>
      </c>
      <c r="BR769">
        <f>IF(SUMIFS(T_PlannedOrders[EffectiveQty],T_PlannedOrders[Part Name],$A723,T_PlannedOrders[WeekIndex],67)=0,"",SUMIFS(T_PlannedOrders[EffectiveQty],T_PlannedOrders[Part Name],$A723,T_PlannedOrders[WeekIndex],67)&amp;" ("&amp;TEXT(SUMPRODUCT(MAX((T_PlannedOrders[Part Name]=$A723)*(T_PlannedOrders[WeekIndex]=67)*(T_PlannedOrders[EffectiveQty]&gt;0)*T_PlannedOrders[Order_Month])),"m月")&amp;"発注)")</f>
        <v/>
      </c>
      <c r="BS769">
        <f>IF(SUMIFS(T_PlannedOrders[EffectiveQty],T_PlannedOrders[Part Name],$A723,T_PlannedOrders[WeekIndex],68)=0,"",SUMIFS(T_PlannedOrders[EffectiveQty],T_PlannedOrders[Part Name],$A723,T_PlannedOrders[WeekIndex],68)&amp;" ("&amp;TEXT(SUMPRODUCT(MAX((T_PlannedOrders[Part Name]=$A723)*(T_PlannedOrders[WeekIndex]=68)*(T_PlannedOrders[EffectiveQty]&gt;0)*T_PlannedOrders[Order_Month])),"m月")&amp;"発注)")</f>
        <v/>
      </c>
      <c r="BT769">
        <f>IF(SUMIFS(T_PlannedOrders[EffectiveQty],T_PlannedOrders[Part Name],$A723,T_PlannedOrders[WeekIndex],69)=0,"",SUMIFS(T_PlannedOrders[EffectiveQty],T_PlannedOrders[Part Name],$A723,T_PlannedOrders[WeekIndex],69)&amp;" ("&amp;TEXT(SUMPRODUCT(MAX((T_PlannedOrders[Part Name]=$A723)*(T_PlannedOrders[WeekIndex]=69)*(T_PlannedOrders[EffectiveQty]&gt;0)*T_PlannedOrders[Order_Month])),"m月")&amp;"発注)")</f>
        <v/>
      </c>
      <c r="BU769">
        <f>IF(SUMIFS(T_PlannedOrders[EffectiveQty],T_PlannedOrders[Part Name],$A723,T_PlannedOrders[WeekIndex],70)=0,"",SUMIFS(T_PlannedOrders[EffectiveQty],T_PlannedOrders[Part Name],$A723,T_PlannedOrders[WeekIndex],70)&amp;" ("&amp;TEXT(SUMPRODUCT(MAX((T_PlannedOrders[Part Name]=$A723)*(T_PlannedOrders[WeekIndex]=70)*(T_PlannedOrders[EffectiveQty]&gt;0)*T_PlannedOrders[Order_Month])),"m月")&amp;"発注)")</f>
        <v/>
      </c>
      <c r="BV769">
        <f>IF(SUMIFS(T_PlannedOrders[EffectiveQty],T_PlannedOrders[Part Name],$A723,T_PlannedOrders[WeekIndex],71)=0,"",SUMIFS(T_PlannedOrders[EffectiveQty],T_PlannedOrders[Part Name],$A723,T_PlannedOrders[WeekIndex],71)&amp;" ("&amp;TEXT(SUMPRODUCT(MAX((T_PlannedOrders[Part Name]=$A723)*(T_PlannedOrders[WeekIndex]=71)*(T_PlannedOrders[EffectiveQty]&gt;0)*T_PlannedOrders[Order_Month])),"m月")&amp;"発注)")</f>
        <v/>
      </c>
      <c r="BW769">
        <f>IF(SUMIFS(T_PlannedOrders[EffectiveQty],T_PlannedOrders[Part Name],$A723,T_PlannedOrders[WeekIndex],72)=0,"",SUMIFS(T_PlannedOrders[EffectiveQty],T_PlannedOrders[Part Name],$A723,T_PlannedOrders[WeekIndex],72)&amp;" ("&amp;TEXT(SUMPRODUCT(MAX((T_PlannedOrders[Part Name]=$A723)*(T_PlannedOrders[WeekIndex]=72)*(T_PlannedOrders[EffectiveQty]&gt;0)*T_PlannedOrders[Order_Month])),"m月")&amp;"発注)")</f>
        <v/>
      </c>
      <c r="BX769">
        <f>IF(SUMIFS(T_PlannedOrders[EffectiveQty],T_PlannedOrders[Part Name],$A723,T_PlannedOrders[WeekIndex],73)=0,"",SUMIFS(T_PlannedOrders[EffectiveQty],T_PlannedOrders[Part Name],$A723,T_PlannedOrders[WeekIndex],73)&amp;" ("&amp;TEXT(SUMPRODUCT(MAX((T_PlannedOrders[Part Name]=$A723)*(T_PlannedOrders[WeekIndex]=73)*(T_PlannedOrders[EffectiveQty]&gt;0)*T_PlannedOrders[Order_Month])),"m月")&amp;"発注)")</f>
        <v/>
      </c>
      <c r="BY769">
        <f>IF(SUMIFS(T_PlannedOrders[EffectiveQty],T_PlannedOrders[Part Name],$A723,T_PlannedOrders[WeekIndex],74)=0,"",SUMIFS(T_PlannedOrders[EffectiveQty],T_PlannedOrders[Part Name],$A723,T_PlannedOrders[WeekIndex],74)&amp;" ("&amp;TEXT(SUMPRODUCT(MAX((T_PlannedOrders[Part Name]=$A723)*(T_PlannedOrders[WeekIndex]=74)*(T_PlannedOrders[EffectiveQty]&gt;0)*T_PlannedOrders[Order_Month])),"m月")&amp;"発注)")</f>
        <v/>
      </c>
      <c r="BZ769">
        <f>IF(SUMIFS(T_PlannedOrders[EffectiveQty],T_PlannedOrders[Part Name],$A723,T_PlannedOrders[WeekIndex],75)=0,"",SUMIFS(T_PlannedOrders[EffectiveQty],T_PlannedOrders[Part Name],$A723,T_PlannedOrders[WeekIndex],75)&amp;" ("&amp;TEXT(SUMPRODUCT(MAX((T_PlannedOrders[Part Name]=$A723)*(T_PlannedOrders[WeekIndex]=75)*(T_PlannedOrders[EffectiveQty]&gt;0)*T_PlannedOrders[Order_Month])),"m月")&amp;"発注)")</f>
        <v/>
      </c>
      <c r="CA769">
        <f>IF(SUMIFS(T_PlannedOrders[EffectiveQty],T_PlannedOrders[Part Name],$A723,T_PlannedOrders[WeekIndex],76)=0,"",SUMIFS(T_PlannedOrders[EffectiveQty],T_PlannedOrders[Part Name],$A723,T_PlannedOrders[WeekIndex],76)&amp;" ("&amp;TEXT(SUMPRODUCT(MAX((T_PlannedOrders[Part Name]=$A723)*(T_PlannedOrders[WeekIndex]=76)*(T_PlannedOrders[EffectiveQty]&gt;0)*T_PlannedOrders[Order_Month])),"m月")&amp;"発注)")</f>
        <v/>
      </c>
      <c r="CB769">
        <f>IF(SUMIFS(T_PlannedOrders[EffectiveQty],T_PlannedOrders[Part Name],$A723,T_PlannedOrders[WeekIndex],77)=0,"",SUMIFS(T_PlannedOrders[EffectiveQty],T_PlannedOrders[Part Name],$A723,T_PlannedOrders[WeekIndex],77)&amp;" ("&amp;TEXT(SUMPRODUCT(MAX((T_PlannedOrders[Part Name]=$A723)*(T_PlannedOrders[WeekIndex]=77)*(T_PlannedOrders[EffectiveQty]&gt;0)*T_PlannedOrders[Order_Month])),"m月")&amp;"発注)")</f>
        <v/>
      </c>
      <c r="CC769">
        <f>IF(SUMIFS(T_PlannedOrders[EffectiveQty],T_PlannedOrders[Part Name],$A723,T_PlannedOrders[WeekIndex],78)=0,"",SUMIFS(T_PlannedOrders[EffectiveQty],T_PlannedOrders[Part Name],$A723,T_PlannedOrders[WeekIndex],78)&amp;" ("&amp;TEXT(SUMPRODUCT(MAX((T_PlannedOrders[Part Name]=$A723)*(T_PlannedOrders[WeekIndex]=78)*(T_PlannedOrders[EffectiveQty]&gt;0)*T_PlannedOrders[Order_Month])),"m月")&amp;"発注)")</f>
        <v/>
      </c>
      <c r="CD769">
        <f>IF(SUMIFS(T_PlannedOrders[EffectiveQty],T_PlannedOrders[Part Name],$A723,T_PlannedOrders[WeekIndex],79)=0,"",SUMIFS(T_PlannedOrders[EffectiveQty],T_PlannedOrders[Part Name],$A723,T_PlannedOrders[WeekIndex],79)&amp;" ("&amp;TEXT(SUMPRODUCT(MAX((T_PlannedOrders[Part Name]=$A723)*(T_PlannedOrders[WeekIndex]=79)*(T_PlannedOrders[EffectiveQty]&gt;0)*T_PlannedOrders[Order_Month])),"m月")&amp;"発注)")</f>
        <v/>
      </c>
      <c r="CE769">
        <f>IF(SUMIFS(T_PlannedOrders[EffectiveQty],T_PlannedOrders[Part Name],$A723,T_PlannedOrders[WeekIndex],80)=0,"",SUMIFS(T_PlannedOrders[EffectiveQty],T_PlannedOrders[Part Name],$A723,T_PlannedOrders[WeekIndex],80)&amp;" ("&amp;TEXT(SUMPRODUCT(MAX((T_PlannedOrders[Part Name]=$A723)*(T_PlannedOrders[WeekIndex]=80)*(T_PlannedOrders[EffectiveQty]&gt;0)*T_PlannedOrders[Order_Month])),"m月")&amp;"発注)")</f>
        <v/>
      </c>
      <c r="CF769">
        <f>IF(SUMIFS(T_PlannedOrders[EffectiveQty],T_PlannedOrders[Part Name],$A723,T_PlannedOrders[WeekIndex],81)=0,"",SUMIFS(T_PlannedOrders[EffectiveQty],T_PlannedOrders[Part Name],$A723,T_PlannedOrders[WeekIndex],81)&amp;" ("&amp;TEXT(SUMPRODUCT(MAX((T_PlannedOrders[Part Name]=$A723)*(T_PlannedOrders[WeekIndex]=81)*(T_PlannedOrders[EffectiveQty]&gt;0)*T_PlannedOrders[Order_Month])),"m月")&amp;"発注)")</f>
        <v/>
      </c>
      <c r="CG769">
        <f>IF(SUMIFS(T_PlannedOrders[EffectiveQty],T_PlannedOrders[Part Name],$A723,T_PlannedOrders[WeekIndex],82)=0,"",SUMIFS(T_PlannedOrders[EffectiveQty],T_PlannedOrders[Part Name],$A723,T_PlannedOrders[WeekIndex],82)&amp;" ("&amp;TEXT(SUMPRODUCT(MAX((T_PlannedOrders[Part Name]=$A723)*(T_PlannedOrders[WeekIndex]=82)*(T_PlannedOrders[EffectiveQty]&gt;0)*T_PlannedOrders[Order_Month])),"m月")&amp;"発注)")</f>
        <v/>
      </c>
      <c r="CH769">
        <f>IF(SUMIFS(T_PlannedOrders[EffectiveQty],T_PlannedOrders[Part Name],$A723,T_PlannedOrders[WeekIndex],83)=0,"",SUMIFS(T_PlannedOrders[EffectiveQty],T_PlannedOrders[Part Name],$A723,T_PlannedOrders[WeekIndex],83)&amp;" ("&amp;TEXT(SUMPRODUCT(MAX((T_PlannedOrders[Part Name]=$A723)*(T_PlannedOrders[WeekIndex]=83)*(T_PlannedOrders[EffectiveQty]&gt;0)*T_PlannedOrders[Order_Month])),"m月")&amp;"発注)")</f>
        <v/>
      </c>
      <c r="CI769">
        <f>IF(SUMIFS(T_PlannedOrders[EffectiveQty],T_PlannedOrders[Part Name],$A723,T_PlannedOrders[WeekIndex],84)=0,"",SUMIFS(T_PlannedOrders[EffectiveQty],T_PlannedOrders[Part Name],$A723,T_PlannedOrders[WeekIndex],84)&amp;" ("&amp;TEXT(SUMPRODUCT(MAX((T_PlannedOrders[Part Name]=$A723)*(T_PlannedOrders[WeekIndex]=84)*(T_PlannedOrders[EffectiveQty]&gt;0)*T_PlannedOrders[Order_Month])),"m月")&amp;"発注)")</f>
        <v/>
      </c>
      <c r="CJ769">
        <f>IF(SUMIFS(T_PlannedOrders[EffectiveQty],T_PlannedOrders[Part Name],$A723,T_PlannedOrders[WeekIndex],85)=0,"",SUMIFS(T_PlannedOrders[EffectiveQty],T_PlannedOrders[Part Name],$A723,T_PlannedOrders[WeekIndex],85)&amp;" ("&amp;TEXT(SUMPRODUCT(MAX((T_PlannedOrders[Part Name]=$A723)*(T_PlannedOrders[WeekIndex]=85)*(T_PlannedOrders[EffectiveQty]&gt;0)*T_PlannedOrders[Order_Month])),"m月")&amp;"発注)")</f>
        <v/>
      </c>
      <c r="CK769">
        <f>IF(SUMIFS(T_PlannedOrders[EffectiveQty],T_PlannedOrders[Part Name],$A723,T_PlannedOrders[WeekIndex],86)=0,"",SUMIFS(T_PlannedOrders[EffectiveQty],T_PlannedOrders[Part Name],$A723,T_PlannedOrders[WeekIndex],86)&amp;" ("&amp;TEXT(SUMPRODUCT(MAX((T_PlannedOrders[Part Name]=$A723)*(T_PlannedOrders[WeekIndex]=86)*(T_PlannedOrders[EffectiveQty]&gt;0)*T_PlannedOrders[Order_Month])),"m月")&amp;"発注)")</f>
        <v/>
      </c>
      <c r="CL769">
        <f>IF(SUMIFS(T_PlannedOrders[EffectiveQty],T_PlannedOrders[Part Name],$A723,T_PlannedOrders[WeekIndex],87)=0,"",SUMIFS(T_PlannedOrders[EffectiveQty],T_PlannedOrders[Part Name],$A723,T_PlannedOrders[WeekIndex],87)&amp;" ("&amp;TEXT(SUMPRODUCT(MAX((T_PlannedOrders[Part Name]=$A723)*(T_PlannedOrders[WeekIndex]=87)*(T_PlannedOrders[EffectiveQty]&gt;0)*T_PlannedOrders[Order_Month])),"m月")&amp;"発注)")</f>
        <v/>
      </c>
      <c r="CM769">
        <f>IF(SUMIFS(T_PlannedOrders[EffectiveQty],T_PlannedOrders[Part Name],$A723,T_PlannedOrders[WeekIndex],88)=0,"",SUMIFS(T_PlannedOrders[EffectiveQty],T_PlannedOrders[Part Name],$A723,T_PlannedOrders[WeekIndex],88)&amp;" ("&amp;TEXT(SUMPRODUCT(MAX((T_PlannedOrders[Part Name]=$A723)*(T_PlannedOrders[WeekIndex]=88)*(T_PlannedOrders[EffectiveQty]&gt;0)*T_PlannedOrders[Order_Month])),"m月")&amp;"発注)")</f>
        <v/>
      </c>
      <c r="CN769">
        <f>IF(SUMIFS(T_PlannedOrders[EffectiveQty],T_PlannedOrders[Part Name],$A723,T_PlannedOrders[WeekIndex],89)=0,"",SUMIFS(T_PlannedOrders[EffectiveQty],T_PlannedOrders[Part Name],$A723,T_PlannedOrders[WeekIndex],89)&amp;" ("&amp;TEXT(SUMPRODUCT(MAX((T_PlannedOrders[Part Name]=$A723)*(T_PlannedOrders[WeekIndex]=89)*(T_PlannedOrders[EffectiveQty]&gt;0)*T_PlannedOrders[Order_Month])),"m月")&amp;"発注)")</f>
        <v/>
      </c>
      <c r="CO769">
        <f>IF(SUMIFS(T_PlannedOrders[EffectiveQty],T_PlannedOrders[Part Name],$A723,T_PlannedOrders[WeekIndex],90)=0,"",SUMIFS(T_PlannedOrders[EffectiveQty],T_PlannedOrders[Part Name],$A723,T_PlannedOrders[WeekIndex],90)&amp;" ("&amp;TEXT(SUMPRODUCT(MAX((T_PlannedOrders[Part Name]=$A723)*(T_PlannedOrders[WeekIndex]=90)*(T_PlannedOrders[EffectiveQty]&gt;0)*T_PlannedOrders[Order_Month])),"m月")&amp;"発注)")</f>
        <v/>
      </c>
      <c r="CP769">
        <f>IF(SUMIFS(T_PlannedOrders[EffectiveQty],T_PlannedOrders[Part Name],$A723,T_PlannedOrders[WeekIndex],91)=0,"",SUMIFS(T_PlannedOrders[EffectiveQty],T_PlannedOrders[Part Name],$A723,T_PlannedOrders[WeekIndex],91)&amp;" ("&amp;TEXT(SUMPRODUCT(MAX((T_PlannedOrders[Part Name]=$A723)*(T_PlannedOrders[WeekIndex]=91)*(T_PlannedOrders[EffectiveQty]&gt;0)*T_PlannedOrders[Order_Month])),"m月")&amp;"発注)")</f>
        <v/>
      </c>
      <c r="CQ769">
        <f>IF(SUMIFS(T_PlannedOrders[EffectiveQty],T_PlannedOrders[Part Name],$A723,T_PlannedOrders[WeekIndex],92)=0,"",SUMIFS(T_PlannedOrders[EffectiveQty],T_PlannedOrders[Part Name],$A723,T_PlannedOrders[WeekIndex],92)&amp;" ("&amp;TEXT(SUMPRODUCT(MAX((T_PlannedOrders[Part Name]=$A723)*(T_PlannedOrders[WeekIndex]=92)*(T_PlannedOrders[EffectiveQty]&gt;0)*T_PlannedOrders[Order_Month])),"m月")&amp;"発注)")</f>
        <v/>
      </c>
      <c r="CR769">
        <f>IF(SUMIFS(T_PlannedOrders[EffectiveQty],T_PlannedOrders[Part Name],$A723,T_PlannedOrders[WeekIndex],93)=0,"",SUMIFS(T_PlannedOrders[EffectiveQty],T_PlannedOrders[Part Name],$A723,T_PlannedOrders[WeekIndex],93)&amp;" ("&amp;TEXT(SUMPRODUCT(MAX((T_PlannedOrders[Part Name]=$A723)*(T_PlannedOrders[WeekIndex]=93)*(T_PlannedOrders[EffectiveQty]&gt;0)*T_PlannedOrders[Order_Month])),"m月")&amp;"発注)")</f>
        <v/>
      </c>
      <c r="CS769">
        <f>IF(SUMIFS(T_PlannedOrders[EffectiveQty],T_PlannedOrders[Part Name],$A723,T_PlannedOrders[WeekIndex],94)=0,"",SUMIFS(T_PlannedOrders[EffectiveQty],T_PlannedOrders[Part Name],$A723,T_PlannedOrders[WeekIndex],94)&amp;" ("&amp;TEXT(SUMPRODUCT(MAX((T_PlannedOrders[Part Name]=$A723)*(T_PlannedOrders[WeekIndex]=94)*(T_PlannedOrders[EffectiveQty]&gt;0)*T_PlannedOrders[Order_Month])),"m月")&amp;"発注)")</f>
        <v/>
      </c>
      <c r="CT769">
        <f>IF(SUMIFS(T_PlannedOrders[EffectiveQty],T_PlannedOrders[Part Name],$A723,T_PlannedOrders[WeekIndex],95)=0,"",SUMIFS(T_PlannedOrders[EffectiveQty],T_PlannedOrders[Part Name],$A723,T_PlannedOrders[WeekIndex],95)&amp;" ("&amp;TEXT(SUMPRODUCT(MAX((T_PlannedOrders[Part Name]=$A723)*(T_PlannedOrders[WeekIndex]=95)*(T_PlannedOrders[EffectiveQty]&gt;0)*T_PlannedOrders[Order_Month])),"m月")&amp;"発注)")</f>
        <v/>
      </c>
      <c r="CU769">
        <f>IF(SUMIFS(T_PlannedOrders[EffectiveQty],T_PlannedOrders[Part Name],$A723,T_PlannedOrders[WeekIndex],96)=0,"",SUMIFS(T_PlannedOrders[EffectiveQty],T_PlannedOrders[Part Name],$A723,T_PlannedOrders[WeekIndex],96)&amp;" ("&amp;TEXT(SUMPRODUCT(MAX((T_PlannedOrders[Part Name]=$A723)*(T_PlannedOrders[WeekIndex]=96)*(T_PlannedOrders[EffectiveQty]&gt;0)*T_PlannedOrders[Order_Month])),"m月")&amp;"発注)")</f>
        <v/>
      </c>
      <c r="CV769">
        <f>IF(SUMIFS(T_PlannedOrders[EffectiveQty],T_PlannedOrders[Part Name],$A723,T_PlannedOrders[WeekIndex],97)=0,"",SUMIFS(T_PlannedOrders[EffectiveQty],T_PlannedOrders[Part Name],$A723,T_PlannedOrders[WeekIndex],97)&amp;" ("&amp;TEXT(SUMPRODUCT(MAX((T_PlannedOrders[Part Name]=$A723)*(T_PlannedOrders[WeekIndex]=97)*(T_PlannedOrders[EffectiveQty]&gt;0)*T_PlannedOrders[Order_Month])),"m月")&amp;"発注)")</f>
        <v/>
      </c>
      <c r="CW769">
        <f>IF(SUMIFS(T_PlannedOrders[EffectiveQty],T_PlannedOrders[Part Name],$A723,T_PlannedOrders[WeekIndex],98)=0,"",SUMIFS(T_PlannedOrders[EffectiveQty],T_PlannedOrders[Part Name],$A723,T_PlannedOrders[WeekIndex],98)&amp;" ("&amp;TEXT(SUMPRODUCT(MAX((T_PlannedOrders[Part Name]=$A723)*(T_PlannedOrders[WeekIndex]=98)*(T_PlannedOrders[EffectiveQty]&gt;0)*T_PlannedOrders[Order_Month])),"m月")&amp;"発注)")</f>
        <v/>
      </c>
      <c r="CX769">
        <f>IF(SUMIFS(T_PlannedOrders[EffectiveQty],T_PlannedOrders[Part Name],$A723,T_PlannedOrders[WeekIndex],99)=0,"",SUMIFS(T_PlannedOrders[EffectiveQty],T_PlannedOrders[Part Name],$A723,T_PlannedOrders[WeekIndex],99)&amp;" ("&amp;TEXT(SUMPRODUCT(MAX((T_PlannedOrders[Part Name]=$A723)*(T_PlannedOrders[WeekIndex]=99)*(T_PlannedOrders[EffectiveQty]&gt;0)*T_PlannedOrders[Order_Month])),"m月")&amp;"発注)")</f>
        <v/>
      </c>
      <c r="CY769">
        <f>IF(SUMIFS(T_PlannedOrders[EffectiveQty],T_PlannedOrders[Part Name],$A723,T_PlannedOrders[WeekIndex],100)=0,"",SUMIFS(T_PlannedOrders[EffectiveQty],T_PlannedOrders[Part Name],$A723,T_PlannedOrders[WeekIndex],100)&amp;" ("&amp;TEXT(SUMPRODUCT(MAX((T_PlannedOrders[Part Name]=$A723)*(T_PlannedOrders[WeekIndex]=100)*(T_PlannedOrders[EffectiveQty]&gt;0)*T_PlannedOrders[Order_Month])),"m月")&amp;"発注)")</f>
        <v/>
      </c>
      <c r="CZ769">
        <f>IF(SUMIFS(T_PlannedOrders[EffectiveQty],T_PlannedOrders[Part Name],$A723,T_PlannedOrders[WeekIndex],101)=0,"",SUMIFS(T_PlannedOrders[EffectiveQty],T_PlannedOrders[Part Name],$A723,T_PlannedOrders[WeekIndex],101)&amp;" ("&amp;TEXT(SUMPRODUCT(MAX((T_PlannedOrders[Part Name]=$A723)*(T_PlannedOrders[WeekIndex]=101)*(T_PlannedOrders[EffectiveQty]&gt;0)*T_PlannedOrders[Order_Month])),"m月")&amp;"発注)")</f>
        <v/>
      </c>
      <c r="DA769">
        <f>IF(SUMIFS(T_PlannedOrders[EffectiveQty],T_PlannedOrders[Part Name],$A723,T_PlannedOrders[WeekIndex],102)=0,"",SUMIFS(T_PlannedOrders[EffectiveQty],T_PlannedOrders[Part Name],$A723,T_PlannedOrders[WeekIndex],102)&amp;" ("&amp;TEXT(SUMPRODUCT(MAX((T_PlannedOrders[Part Name]=$A723)*(T_PlannedOrders[WeekIndex]=102)*(T_PlannedOrders[EffectiveQty]&gt;0)*T_PlannedOrders[Order_Month])),"m月")&amp;"発注)")</f>
        <v/>
      </c>
      <c r="DB769">
        <f>IF(SUMIFS(T_PlannedOrders[EffectiveQty],T_PlannedOrders[Part Name],$A723,T_PlannedOrders[WeekIndex],103)=0,"",SUMIFS(T_PlannedOrders[EffectiveQty],T_PlannedOrders[Part Name],$A723,T_PlannedOrders[WeekIndex],103)&amp;" ("&amp;TEXT(SUMPRODUCT(MAX((T_PlannedOrders[Part Name]=$A723)*(T_PlannedOrders[WeekIndex]=103)*(T_PlannedOrders[EffectiveQty]&gt;0)*T_PlannedOrders[Order_Month])),"m月")&amp;"発注)")</f>
        <v/>
      </c>
      <c r="DC769">
        <f>IF(SUMIFS(T_PlannedOrders[EffectiveQty],T_PlannedOrders[Part Name],$A723,T_PlannedOrders[WeekIndex],104)=0,"",SUMIFS(T_PlannedOrders[EffectiveQty],T_PlannedOrders[Part Name],$A723,T_PlannedOrders[WeekIndex],104)&amp;" ("&amp;TEXT(SUMPRODUCT(MAX((T_PlannedOrders[Part Name]=$A723)*(T_PlannedOrders[WeekIndex]=104)*(T_PlannedOrders[EffectiveQty]&gt;0)*T_PlannedOrders[Order_Month])),"m月")&amp;"発注)")</f>
        <v/>
      </c>
    </row>
    <row r="770">
      <c r="B770" s="9" t="inlineStr">
        <is>
          <t>合計在庫(週末時点,kg)</t>
        </is>
      </c>
      <c r="D770">
        <f>'Grid_Stock'!B6</f>
        <v/>
      </c>
      <c r="E770">
        <f>'Grid_Stock'!C6</f>
        <v/>
      </c>
      <c r="F770">
        <f>'Grid_Stock'!D6</f>
        <v/>
      </c>
      <c r="G770">
        <f>'Grid_Stock'!E6</f>
        <v/>
      </c>
      <c r="H770">
        <f>'Grid_Stock'!F6</f>
        <v/>
      </c>
      <c r="I770">
        <f>'Grid_Stock'!G6</f>
        <v/>
      </c>
      <c r="J770">
        <f>'Grid_Stock'!H6</f>
        <v/>
      </c>
      <c r="K770">
        <f>'Grid_Stock'!I6</f>
        <v/>
      </c>
      <c r="L770">
        <f>'Grid_Stock'!J6</f>
        <v/>
      </c>
      <c r="M770">
        <f>'Grid_Stock'!K6</f>
        <v/>
      </c>
      <c r="N770">
        <f>'Grid_Stock'!L6</f>
        <v/>
      </c>
      <c r="O770">
        <f>'Grid_Stock'!M6</f>
        <v/>
      </c>
      <c r="P770">
        <f>'Grid_Stock'!N6</f>
        <v/>
      </c>
      <c r="Q770">
        <f>'Grid_Stock'!O6</f>
        <v/>
      </c>
      <c r="R770">
        <f>'Grid_Stock'!P6</f>
        <v/>
      </c>
      <c r="S770">
        <f>'Grid_Stock'!Q6</f>
        <v/>
      </c>
      <c r="T770">
        <f>'Grid_Stock'!R6</f>
        <v/>
      </c>
      <c r="U770">
        <f>'Grid_Stock'!S6</f>
        <v/>
      </c>
      <c r="V770">
        <f>'Grid_Stock'!T6</f>
        <v/>
      </c>
      <c r="W770">
        <f>'Grid_Stock'!U6</f>
        <v/>
      </c>
      <c r="X770">
        <f>'Grid_Stock'!V6</f>
        <v/>
      </c>
      <c r="Y770">
        <f>'Grid_Stock'!W6</f>
        <v/>
      </c>
      <c r="Z770">
        <f>'Grid_Stock'!X6</f>
        <v/>
      </c>
      <c r="AA770">
        <f>'Grid_Stock'!Y6</f>
        <v/>
      </c>
      <c r="AB770">
        <f>'Grid_Stock'!Z6</f>
        <v/>
      </c>
      <c r="AC770">
        <f>'Grid_Stock'!AA6</f>
        <v/>
      </c>
      <c r="AD770">
        <f>'Grid_Stock'!AB6</f>
        <v/>
      </c>
      <c r="AE770">
        <f>'Grid_Stock'!AC6</f>
        <v/>
      </c>
      <c r="AF770">
        <f>'Grid_Stock'!AD6</f>
        <v/>
      </c>
      <c r="AG770">
        <f>'Grid_Stock'!AE6</f>
        <v/>
      </c>
      <c r="AH770">
        <f>'Grid_Stock'!AF6</f>
        <v/>
      </c>
      <c r="AI770">
        <f>'Grid_Stock'!AG6</f>
        <v/>
      </c>
      <c r="AJ770">
        <f>'Grid_Stock'!AH6</f>
        <v/>
      </c>
      <c r="AK770">
        <f>'Grid_Stock'!AI6</f>
        <v/>
      </c>
      <c r="AL770">
        <f>'Grid_Stock'!AJ6</f>
        <v/>
      </c>
      <c r="AM770">
        <f>'Grid_Stock'!AK6</f>
        <v/>
      </c>
      <c r="AN770">
        <f>'Grid_Stock'!AL6</f>
        <v/>
      </c>
      <c r="AO770">
        <f>'Grid_Stock'!AM6</f>
        <v/>
      </c>
      <c r="AP770">
        <f>'Grid_Stock'!AN6</f>
        <v/>
      </c>
      <c r="AQ770">
        <f>'Grid_Stock'!AO6</f>
        <v/>
      </c>
      <c r="AR770">
        <f>'Grid_Stock'!AP6</f>
        <v/>
      </c>
      <c r="AS770">
        <f>'Grid_Stock'!AQ6</f>
        <v/>
      </c>
      <c r="AT770">
        <f>'Grid_Stock'!AR6</f>
        <v/>
      </c>
      <c r="AU770">
        <f>'Grid_Stock'!AS6</f>
        <v/>
      </c>
      <c r="AV770">
        <f>'Grid_Stock'!AT6</f>
        <v/>
      </c>
      <c r="AW770">
        <f>'Grid_Stock'!AU6</f>
        <v/>
      </c>
      <c r="AX770">
        <f>'Grid_Stock'!AV6</f>
        <v/>
      </c>
      <c r="AY770">
        <f>'Grid_Stock'!AW6</f>
        <v/>
      </c>
      <c r="AZ770">
        <f>'Grid_Stock'!AX6</f>
        <v/>
      </c>
      <c r="BA770">
        <f>'Grid_Stock'!AY6</f>
        <v/>
      </c>
      <c r="BB770">
        <f>'Grid_Stock'!AZ6</f>
        <v/>
      </c>
      <c r="BC770">
        <f>'Grid_Stock'!BA6</f>
        <v/>
      </c>
      <c r="BD770">
        <f>'Grid_Stock'!BB6</f>
        <v/>
      </c>
      <c r="BE770">
        <f>'Grid_Stock'!BC6</f>
        <v/>
      </c>
      <c r="BF770">
        <f>'Grid_Stock'!BD6</f>
        <v/>
      </c>
      <c r="BG770">
        <f>'Grid_Stock'!BE6</f>
        <v/>
      </c>
      <c r="BH770">
        <f>'Grid_Stock'!BF6</f>
        <v/>
      </c>
      <c r="BI770">
        <f>'Grid_Stock'!BG6</f>
        <v/>
      </c>
      <c r="BJ770">
        <f>'Grid_Stock'!BH6</f>
        <v/>
      </c>
      <c r="BK770">
        <f>'Grid_Stock'!BI6</f>
        <v/>
      </c>
      <c r="BL770">
        <f>'Grid_Stock'!BJ6</f>
        <v/>
      </c>
      <c r="BM770">
        <f>'Grid_Stock'!BK6</f>
        <v/>
      </c>
      <c r="BN770">
        <f>'Grid_Stock'!BL6</f>
        <v/>
      </c>
      <c r="BO770">
        <f>'Grid_Stock'!BM6</f>
        <v/>
      </c>
      <c r="BP770">
        <f>'Grid_Stock'!BN6</f>
        <v/>
      </c>
      <c r="BQ770">
        <f>'Grid_Stock'!BO6</f>
        <v/>
      </c>
      <c r="BR770">
        <f>'Grid_Stock'!BP6</f>
        <v/>
      </c>
      <c r="BS770">
        <f>'Grid_Stock'!BQ6</f>
        <v/>
      </c>
      <c r="BT770">
        <f>'Grid_Stock'!BR6</f>
        <v/>
      </c>
      <c r="BU770">
        <f>'Grid_Stock'!BS6</f>
        <v/>
      </c>
      <c r="BV770">
        <f>'Grid_Stock'!BT6</f>
        <v/>
      </c>
      <c r="BW770">
        <f>'Grid_Stock'!BU6</f>
        <v/>
      </c>
      <c r="BX770">
        <f>'Grid_Stock'!BV6</f>
        <v/>
      </c>
      <c r="BY770">
        <f>'Grid_Stock'!BW6</f>
        <v/>
      </c>
      <c r="BZ770">
        <f>'Grid_Stock'!BX6</f>
        <v/>
      </c>
      <c r="CA770">
        <f>'Grid_Stock'!BY6</f>
        <v/>
      </c>
      <c r="CB770">
        <f>'Grid_Stock'!BZ6</f>
        <v/>
      </c>
      <c r="CC770">
        <f>'Grid_Stock'!CA6</f>
        <v/>
      </c>
      <c r="CD770">
        <f>'Grid_Stock'!CB6</f>
        <v/>
      </c>
      <c r="CE770">
        <f>'Grid_Stock'!CC6</f>
        <v/>
      </c>
      <c r="CF770">
        <f>'Grid_Stock'!CD6</f>
        <v/>
      </c>
      <c r="CG770">
        <f>'Grid_Stock'!CE6</f>
        <v/>
      </c>
      <c r="CH770">
        <f>'Grid_Stock'!CF6</f>
        <v/>
      </c>
      <c r="CI770">
        <f>'Grid_Stock'!CG6</f>
        <v/>
      </c>
      <c r="CJ770">
        <f>'Grid_Stock'!CH6</f>
        <v/>
      </c>
      <c r="CK770">
        <f>'Grid_Stock'!CI6</f>
        <v/>
      </c>
      <c r="CL770">
        <f>'Grid_Stock'!CJ6</f>
        <v/>
      </c>
      <c r="CM770">
        <f>'Grid_Stock'!CK6</f>
        <v/>
      </c>
      <c r="CN770">
        <f>'Grid_Stock'!CL6</f>
        <v/>
      </c>
      <c r="CO770">
        <f>'Grid_Stock'!CM6</f>
        <v/>
      </c>
      <c r="CP770">
        <f>'Grid_Stock'!CN6</f>
        <v/>
      </c>
      <c r="CQ770">
        <f>'Grid_Stock'!CO6</f>
        <v/>
      </c>
      <c r="CR770">
        <f>'Grid_Stock'!CP6</f>
        <v/>
      </c>
      <c r="CS770">
        <f>'Grid_Stock'!CQ6</f>
        <v/>
      </c>
      <c r="CT770">
        <f>'Grid_Stock'!CR6</f>
        <v/>
      </c>
      <c r="CU770">
        <f>'Grid_Stock'!CS6</f>
        <v/>
      </c>
      <c r="CV770">
        <f>'Grid_Stock'!CT6</f>
        <v/>
      </c>
      <c r="CW770">
        <f>'Grid_Stock'!CU6</f>
        <v/>
      </c>
      <c r="CX770">
        <f>'Grid_Stock'!CV6</f>
        <v/>
      </c>
      <c r="CY770">
        <f>'Grid_Stock'!CW6</f>
        <v/>
      </c>
      <c r="CZ770">
        <f>'Grid_Stock'!CX6</f>
        <v/>
      </c>
      <c r="DA770">
        <f>'Grid_Stock'!CY6</f>
        <v/>
      </c>
      <c r="DB770">
        <f>'Grid_Stock'!CZ6</f>
        <v/>
      </c>
      <c r="DC770">
        <f>'Grid_Stock'!DA6</f>
        <v/>
      </c>
    </row>
    <row r="771">
      <c r="B771" s="21" t="inlineStr">
        <is>
          <t>（発注の目安はDashboardの基準在庫[下限/上限]と色分けを参照）</t>
        </is>
      </c>
    </row>
    <row r="773">
      <c r="A773" s="19" t="inlineStr">
        <is>
          <t>CHEM-1650</t>
        </is>
      </c>
      <c r="B773" s="19" t="inlineStr">
        <is>
          <t>DUASYN ACID BLUE AE-SF 30 LIQUID-SN</t>
        </is>
      </c>
      <c r="C773" s="20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/>
      <c r="Z773" s="19" t="n"/>
      <c r="AA773" s="19" t="n"/>
      <c r="AB773" s="19" t="n"/>
      <c r="AC773" s="19" t="n"/>
      <c r="AD773" s="19" t="n"/>
      <c r="AE773" s="19" t="n"/>
      <c r="AF773" s="19" t="n"/>
      <c r="AG773" s="19" t="n"/>
      <c r="AH773" s="19" t="n"/>
      <c r="AI773" s="19" t="n"/>
      <c r="AJ773" s="19" t="n"/>
      <c r="AK773" s="19" t="n"/>
      <c r="AL773" s="19" t="n"/>
      <c r="AM773" s="19" t="n"/>
      <c r="AN773" s="19" t="n"/>
      <c r="AO773" s="19" t="n"/>
      <c r="AP773" s="19" t="n"/>
      <c r="AQ773" s="19" t="n"/>
      <c r="AR773" s="19" t="n"/>
      <c r="AS773" s="19" t="n"/>
      <c r="AT773" s="19" t="n"/>
      <c r="AU773" s="19" t="n"/>
      <c r="AV773" s="19" t="n"/>
      <c r="AW773" s="19" t="n"/>
      <c r="AX773" s="19" t="n"/>
      <c r="AY773" s="19" t="n"/>
      <c r="AZ773" s="19" t="n"/>
      <c r="BA773" s="19" t="n"/>
      <c r="BB773" s="19" t="n"/>
      <c r="BC773" s="19" t="n"/>
      <c r="BD773" s="19" t="n"/>
      <c r="BE773" s="19" t="n"/>
      <c r="BF773" s="19" t="n"/>
      <c r="BG773" s="19" t="n"/>
      <c r="BH773" s="19" t="n"/>
      <c r="BI773" s="19" t="n"/>
      <c r="BJ773" s="19" t="n"/>
      <c r="BK773" s="19" t="n"/>
      <c r="BL773" s="19" t="n"/>
      <c r="BM773" s="19" t="n"/>
      <c r="BN773" s="19" t="n"/>
      <c r="BO773" s="19" t="n"/>
      <c r="BP773" s="19" t="n"/>
      <c r="BQ773" s="19" t="n"/>
      <c r="BR773" s="19" t="n"/>
      <c r="BS773" s="19" t="n"/>
      <c r="BT773" s="19" t="n"/>
      <c r="BU773" s="19" t="n"/>
      <c r="BV773" s="19" t="n"/>
      <c r="BW773" s="19" t="n"/>
      <c r="BX773" s="19" t="n"/>
      <c r="BY773" s="19" t="n"/>
      <c r="BZ773" s="19" t="n"/>
      <c r="CA773" s="19" t="n"/>
      <c r="CB773" s="19" t="n"/>
      <c r="CC773" s="19" t="n"/>
      <c r="CD773" s="19" t="n"/>
      <c r="CE773" s="19" t="n"/>
      <c r="CF773" s="19" t="n"/>
      <c r="CG773" s="19" t="n"/>
      <c r="CH773" s="19" t="n"/>
      <c r="CI773" s="19" t="n"/>
      <c r="CJ773" s="19" t="n"/>
      <c r="CK773" s="19" t="n"/>
      <c r="CL773" s="19" t="n"/>
      <c r="CM773" s="19" t="n"/>
      <c r="CN773" s="19" t="n"/>
      <c r="CO773" s="19" t="n"/>
      <c r="CP773" s="19" t="n"/>
      <c r="CQ773" s="19" t="n"/>
      <c r="CR773" s="19" t="n"/>
      <c r="CS773" s="19" t="n"/>
      <c r="CT773" s="19" t="n"/>
      <c r="CU773" s="19" t="n"/>
      <c r="CV773" s="19" t="n"/>
      <c r="CW773" s="19" t="n"/>
      <c r="CX773" s="19" t="n"/>
      <c r="CY773" s="19" t="n"/>
      <c r="CZ773" s="19" t="n"/>
      <c r="DA773" s="19" t="n"/>
      <c r="DB773" s="19" t="n"/>
      <c r="DC773" s="19" t="n"/>
    </row>
    <row r="774">
      <c r="B774" t="inlineStr">
        <is>
          <t>TSP-402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Name],$A773)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TSP-403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12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Name],$A773)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TSP-404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12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Name],$A773)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TSP-405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12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Name],$A773)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TSP-620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12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Name],$A773)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TSP-623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Name],$A773)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TSP-655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Name],$A773)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TSP-903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Name],$A773)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TSP-934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Name],$A773)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TSP-935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Name],$A773)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TSP-936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Name],$A773)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TSP-937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Name],$A773)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TSP-959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Name],$A773)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TSP-1388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Name],$A773)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TSP-1448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Name],$A773)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VSP-567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12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Name],$A773)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12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Name],$A773)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VSP-605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12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Name],$A773)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VSP-607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Name],$A773)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VSP-738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Name],$A773)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t="inlineStr">
        <is>
          <t>VSP-740</t>
        </is>
      </c>
      <c r="C814" t="inlineStr">
        <is>
          <t>No. of batches</t>
        </is>
      </c>
      <c r="D814">
        <f>IFERROR(INDEX(PP_Grid[#Data],$DD814,2),0)</f>
        <v/>
      </c>
      <c r="E814">
        <f>IFERROR(INDEX(PP_Grid[#Data],$DD814,3),0)</f>
        <v/>
      </c>
      <c r="F814">
        <f>IFERROR(INDEX(PP_Grid[#Data],$DD814,4),0)</f>
        <v/>
      </c>
      <c r="G814">
        <f>IFERROR(INDEX(PP_Grid[#Data],$DD814,5),0)</f>
        <v/>
      </c>
      <c r="H814">
        <f>IFERROR(INDEX(PP_Grid[#Data],$DD814,6),0)</f>
        <v/>
      </c>
      <c r="I814">
        <f>IFERROR(INDEX(PP_Grid[#Data],$DD814,7),0)</f>
        <v/>
      </c>
      <c r="J814">
        <f>IFERROR(INDEX(PP_Grid[#Data],$DD814,8),0)</f>
        <v/>
      </c>
      <c r="K814">
        <f>IFERROR(INDEX(PP_Grid[#Data],$DD814,9),0)</f>
        <v/>
      </c>
      <c r="L814">
        <f>IFERROR(INDEX(PP_Grid[#Data],$DD814,10),0)</f>
        <v/>
      </c>
      <c r="M814">
        <f>IFERROR(INDEX(PP_Grid[#Data],$DD814,11),0)</f>
        <v/>
      </c>
      <c r="N814">
        <f>IFERROR(INDEX(PP_Grid[#Data],$DD814,12),0)</f>
        <v/>
      </c>
      <c r="O814">
        <f>IFERROR(INDEX(PP_Grid[#Data],$DD814,13),0)</f>
        <v/>
      </c>
      <c r="P814">
        <f>IFERROR(INDEX(PP_Grid[#Data],$DD814,14),0)</f>
        <v/>
      </c>
      <c r="Q814">
        <f>IFERROR(INDEX(PP_Grid[#Data],$DD814,15),0)</f>
        <v/>
      </c>
      <c r="R814">
        <f>IFERROR(INDEX(PP_Grid[#Data],$DD814,16),0)</f>
        <v/>
      </c>
      <c r="S814">
        <f>IFERROR(INDEX(PP_Grid[#Data],$DD814,17),0)</f>
        <v/>
      </c>
      <c r="T814">
        <f>IFERROR(INDEX(PP_Grid[#Data],$DD814,18),0)</f>
        <v/>
      </c>
      <c r="U814">
        <f>IFERROR(INDEX(PP_Grid[#Data],$DD814,19),0)</f>
        <v/>
      </c>
      <c r="V814">
        <f>IFERROR(INDEX(PP_Grid[#Data],$DD814,20),0)</f>
        <v/>
      </c>
      <c r="W814">
        <f>IFERROR(INDEX(PP_Grid[#Data],$DD814,21),0)</f>
        <v/>
      </c>
      <c r="X814">
        <f>IFERROR(INDEX(PP_Grid[#Data],$DD814,22),0)</f>
        <v/>
      </c>
      <c r="Y814">
        <f>IFERROR(INDEX(PP_Grid[#Data],$DD814,23),0)</f>
        <v/>
      </c>
      <c r="Z814">
        <f>IFERROR(INDEX(PP_Grid[#Data],$DD814,24),0)</f>
        <v/>
      </c>
      <c r="AA814">
        <f>IFERROR(INDEX(PP_Grid[#Data],$DD814,25),0)</f>
        <v/>
      </c>
      <c r="AB814">
        <f>IFERROR(INDEX(PP_Grid[#Data],$DD814,26),0)</f>
        <v/>
      </c>
      <c r="AC814">
        <f>IFERROR(INDEX(PP_Grid[#Data],$DD814,27),0)</f>
        <v/>
      </c>
      <c r="AD814">
        <f>IFERROR(INDEX(PP_Grid[#Data],$DD814,28),0)</f>
        <v/>
      </c>
      <c r="AE814">
        <f>IFERROR(INDEX(PP_Grid[#Data],$DD814,29),0)</f>
        <v/>
      </c>
      <c r="AF814">
        <f>IFERROR(INDEX(PP_Grid[#Data],$DD814,30),0)</f>
        <v/>
      </c>
      <c r="AG814">
        <f>IFERROR(INDEX(PP_Grid[#Data],$DD814,31),0)</f>
        <v/>
      </c>
      <c r="AH814">
        <f>IFERROR(INDEX(PP_Grid[#Data],$DD814,32),0)</f>
        <v/>
      </c>
      <c r="AI814">
        <f>IFERROR(INDEX(PP_Grid[#Data],$DD814,33),0)</f>
        <v/>
      </c>
      <c r="AJ814">
        <f>IFERROR(INDEX(PP_Grid[#Data],$DD814,34),0)</f>
        <v/>
      </c>
      <c r="AK814">
        <f>IFERROR(INDEX(PP_Grid[#Data],$DD814,35),0)</f>
        <v/>
      </c>
      <c r="AL814">
        <f>IFERROR(INDEX(PP_Grid[#Data],$DD814,36),0)</f>
        <v/>
      </c>
      <c r="AM814">
        <f>IFERROR(INDEX(PP_Grid[#Data],$DD814,37),0)</f>
        <v/>
      </c>
      <c r="AN814">
        <f>IFERROR(INDEX(PP_Grid[#Data],$DD814,38),0)</f>
        <v/>
      </c>
      <c r="AO814">
        <f>IFERROR(INDEX(PP_Grid[#Data],$DD814,39),0)</f>
        <v/>
      </c>
      <c r="AP814">
        <f>IFERROR(INDEX(PP_Grid[#Data],$DD814,40),0)</f>
        <v/>
      </c>
      <c r="AQ814">
        <f>IFERROR(INDEX(PP_Grid[#Data],$DD814,41),0)</f>
        <v/>
      </c>
      <c r="AR814">
        <f>IFERROR(INDEX(PP_Grid[#Data],$DD814,42),0)</f>
        <v/>
      </c>
      <c r="AS814">
        <f>IFERROR(INDEX(PP_Grid[#Data],$DD814,43),0)</f>
        <v/>
      </c>
      <c r="AT814">
        <f>IFERROR(INDEX(PP_Grid[#Data],$DD814,44),0)</f>
        <v/>
      </c>
      <c r="AU814">
        <f>IFERROR(INDEX(PP_Grid[#Data],$DD814,45),0)</f>
        <v/>
      </c>
      <c r="AV814">
        <f>IFERROR(INDEX(PP_Grid[#Data],$DD814,46),0)</f>
        <v/>
      </c>
      <c r="AW814">
        <f>IFERROR(INDEX(PP_Grid[#Data],$DD814,47),0)</f>
        <v/>
      </c>
      <c r="AX814">
        <f>IFERROR(INDEX(PP_Grid[#Data],$DD814,48),0)</f>
        <v/>
      </c>
      <c r="AY814">
        <f>IFERROR(INDEX(PP_Grid[#Data],$DD814,49),0)</f>
        <v/>
      </c>
      <c r="AZ814">
        <f>IFERROR(INDEX(PP_Grid[#Data],$DD814,50),0)</f>
        <v/>
      </c>
      <c r="BA814">
        <f>IFERROR(INDEX(PP_Grid[#Data],$DD814,51),0)</f>
        <v/>
      </c>
      <c r="BB814">
        <f>IFERROR(INDEX(PP_Grid[#Data],$DD814,52),0)</f>
        <v/>
      </c>
      <c r="BC814">
        <f>IFERROR(INDEX(PP_Grid[#Data],$DD814,53),0)</f>
        <v/>
      </c>
      <c r="BD814">
        <f>IFERROR(INDEX(PP_Grid[#Data],$DD814,54),0)</f>
        <v/>
      </c>
      <c r="BE814">
        <f>IFERROR(INDEX(PP_Grid[#Data],$DD814,55),0)</f>
        <v/>
      </c>
      <c r="BF814">
        <f>IFERROR(INDEX(PP_Grid[#Data],$DD814,56),0)</f>
        <v/>
      </c>
      <c r="BG814">
        <f>IFERROR(INDEX(PP_Grid[#Data],$DD814,57),0)</f>
        <v/>
      </c>
      <c r="BH814">
        <f>IFERROR(INDEX(PP_Grid[#Data],$DD814,58),0)</f>
        <v/>
      </c>
      <c r="BI814">
        <f>IFERROR(INDEX(PP_Grid[#Data],$DD814,59),0)</f>
        <v/>
      </c>
      <c r="BJ814">
        <f>IFERROR(INDEX(PP_Grid[#Data],$DD814,60),0)</f>
        <v/>
      </c>
      <c r="BK814">
        <f>IFERROR(INDEX(PP_Grid[#Data],$DD814,61),0)</f>
        <v/>
      </c>
      <c r="BL814">
        <f>IFERROR(INDEX(PP_Grid[#Data],$DD814,62),0)</f>
        <v/>
      </c>
      <c r="BM814">
        <f>IFERROR(INDEX(PP_Grid[#Data],$DD814,63),0)</f>
        <v/>
      </c>
      <c r="BN814">
        <f>IFERROR(INDEX(PP_Grid[#Data],$DD814,64),0)</f>
        <v/>
      </c>
      <c r="BO814">
        <f>IFERROR(INDEX(PP_Grid[#Data],$DD814,65),0)</f>
        <v/>
      </c>
      <c r="BP814">
        <f>IFERROR(INDEX(PP_Grid[#Data],$DD814,66),0)</f>
        <v/>
      </c>
      <c r="BQ814">
        <f>IFERROR(INDEX(PP_Grid[#Data],$DD814,67),0)</f>
        <v/>
      </c>
      <c r="BR814">
        <f>IFERROR(INDEX(PP_Grid[#Data],$DD814,68),0)</f>
        <v/>
      </c>
      <c r="BS814">
        <f>IFERROR(INDEX(PP_Grid[#Data],$DD814,69),0)</f>
        <v/>
      </c>
      <c r="BT814">
        <f>IFERROR(INDEX(PP_Grid[#Data],$DD814,70),0)</f>
        <v/>
      </c>
      <c r="BU814">
        <f>IFERROR(INDEX(PP_Grid[#Data],$DD814,71),0)</f>
        <v/>
      </c>
      <c r="BV814">
        <f>IFERROR(INDEX(PP_Grid[#Data],$DD814,72),0)</f>
        <v/>
      </c>
      <c r="BW814">
        <f>IFERROR(INDEX(PP_Grid[#Data],$DD814,73),0)</f>
        <v/>
      </c>
      <c r="BX814">
        <f>IFERROR(INDEX(PP_Grid[#Data],$DD814,74),0)</f>
        <v/>
      </c>
      <c r="BY814">
        <f>IFERROR(INDEX(PP_Grid[#Data],$DD814,75),0)</f>
        <v/>
      </c>
      <c r="BZ814">
        <f>IFERROR(INDEX(PP_Grid[#Data],$DD814,76),0)</f>
        <v/>
      </c>
      <c r="CA814">
        <f>IFERROR(INDEX(PP_Grid[#Data],$DD814,77),0)</f>
        <v/>
      </c>
      <c r="CB814">
        <f>IFERROR(INDEX(PP_Grid[#Data],$DD814,78),0)</f>
        <v/>
      </c>
      <c r="CC814">
        <f>IFERROR(INDEX(PP_Grid[#Data],$DD814,79),0)</f>
        <v/>
      </c>
      <c r="CD814">
        <f>IFERROR(INDEX(PP_Grid[#Data],$DD814,80),0)</f>
        <v/>
      </c>
      <c r="CE814">
        <f>IFERROR(INDEX(PP_Grid[#Data],$DD814,81),0)</f>
        <v/>
      </c>
      <c r="CF814">
        <f>IFERROR(INDEX(PP_Grid[#Data],$DD814,82),0)</f>
        <v/>
      </c>
      <c r="CG814">
        <f>IFERROR(INDEX(PP_Grid[#Data],$DD814,83),0)</f>
        <v/>
      </c>
      <c r="CH814">
        <f>IFERROR(INDEX(PP_Grid[#Data],$DD814,84),0)</f>
        <v/>
      </c>
      <c r="CI814">
        <f>IFERROR(INDEX(PP_Grid[#Data],$DD814,85),0)</f>
        <v/>
      </c>
      <c r="CJ814">
        <f>IFERROR(INDEX(PP_Grid[#Data],$DD814,86),0)</f>
        <v/>
      </c>
      <c r="CK814">
        <f>IFERROR(INDEX(PP_Grid[#Data],$DD814,87),0)</f>
        <v/>
      </c>
      <c r="CL814">
        <f>IFERROR(INDEX(PP_Grid[#Data],$DD814,88),0)</f>
        <v/>
      </c>
      <c r="CM814">
        <f>IFERROR(INDEX(PP_Grid[#Data],$DD814,89),0)</f>
        <v/>
      </c>
      <c r="CN814">
        <f>IFERROR(INDEX(PP_Grid[#Data],$DD814,90),0)</f>
        <v/>
      </c>
      <c r="CO814">
        <f>IFERROR(INDEX(PP_Grid[#Data],$DD814,91),0)</f>
        <v/>
      </c>
      <c r="CP814">
        <f>IFERROR(INDEX(PP_Grid[#Data],$DD814,92),0)</f>
        <v/>
      </c>
      <c r="CQ814">
        <f>IFERROR(INDEX(PP_Grid[#Data],$DD814,93),0)</f>
        <v/>
      </c>
      <c r="CR814">
        <f>IFERROR(INDEX(PP_Grid[#Data],$DD814,94),0)</f>
        <v/>
      </c>
      <c r="CS814">
        <f>IFERROR(INDEX(PP_Grid[#Data],$DD814,95),0)</f>
        <v/>
      </c>
      <c r="CT814">
        <f>IFERROR(INDEX(PP_Grid[#Data],$DD814,96),0)</f>
        <v/>
      </c>
      <c r="CU814">
        <f>IFERROR(INDEX(PP_Grid[#Data],$DD814,97),0)</f>
        <v/>
      </c>
      <c r="CV814">
        <f>IFERROR(INDEX(PP_Grid[#Data],$DD814,98),0)</f>
        <v/>
      </c>
      <c r="CW814">
        <f>IFERROR(INDEX(PP_Grid[#Data],$DD814,99),0)</f>
        <v/>
      </c>
      <c r="CX814">
        <f>IFERROR(INDEX(PP_Grid[#Data],$DD814,100),0)</f>
        <v/>
      </c>
      <c r="CY814">
        <f>IFERROR(INDEX(PP_Grid[#Data],$DD814,101),0)</f>
        <v/>
      </c>
      <c r="CZ814">
        <f>IFERROR(INDEX(PP_Grid[#Data],$DD814,102),0)</f>
        <v/>
      </c>
      <c r="DA814">
        <f>IFERROR(INDEX(PP_Grid[#Data],$DD814,103),0)</f>
        <v/>
      </c>
      <c r="DB814">
        <f>IFERROR(INDEX(PP_Grid[#Data],$DD814,104),0)</f>
        <v/>
      </c>
      <c r="DC814">
        <f>IFERROR(INDEX(PP_Grid[#Data],$DD814,105),0)</f>
        <v/>
      </c>
      <c r="DD814" s="12">
        <f>IFERROR(MATCH($B814,PP_Grid[Intermediate],0),99999)</f>
        <v/>
      </c>
    </row>
    <row r="815">
      <c r="B815" t="inlineStr">
        <is>
          <t>使用量(kg)</t>
        </is>
      </c>
      <c r="C815">
        <f>SUMIFS(M_BOM[RM_Qty_Per_Batch],M_BOM[Intermediate],$B814,M_BOM[Part Name],$A773)</f>
        <v/>
      </c>
      <c r="D815">
        <f>$C815*D814</f>
        <v/>
      </c>
      <c r="E815">
        <f>$C815*E814</f>
        <v/>
      </c>
      <c r="F815">
        <f>$C815*F814</f>
        <v/>
      </c>
      <c r="G815">
        <f>$C815*G814</f>
        <v/>
      </c>
      <c r="H815">
        <f>$C815*H814</f>
        <v/>
      </c>
      <c r="I815">
        <f>$C815*I814</f>
        <v/>
      </c>
      <c r="J815">
        <f>$C815*J814</f>
        <v/>
      </c>
      <c r="K815">
        <f>$C815*K814</f>
        <v/>
      </c>
      <c r="L815">
        <f>$C815*L814</f>
        <v/>
      </c>
      <c r="M815">
        <f>$C815*M814</f>
        <v/>
      </c>
      <c r="N815">
        <f>$C815*N814</f>
        <v/>
      </c>
      <c r="O815">
        <f>$C815*O814</f>
        <v/>
      </c>
      <c r="P815">
        <f>$C815*P814</f>
        <v/>
      </c>
      <c r="Q815">
        <f>$C815*Q814</f>
        <v/>
      </c>
      <c r="R815">
        <f>$C815*R814</f>
        <v/>
      </c>
      <c r="S815">
        <f>$C815*S814</f>
        <v/>
      </c>
      <c r="T815">
        <f>$C815*T814</f>
        <v/>
      </c>
      <c r="U815">
        <f>$C815*U814</f>
        <v/>
      </c>
      <c r="V815">
        <f>$C815*V814</f>
        <v/>
      </c>
      <c r="W815">
        <f>$C815*W814</f>
        <v/>
      </c>
      <c r="X815">
        <f>$C815*X814</f>
        <v/>
      </c>
      <c r="Y815">
        <f>$C815*Y814</f>
        <v/>
      </c>
      <c r="Z815">
        <f>$C815*Z814</f>
        <v/>
      </c>
      <c r="AA815">
        <f>$C815*AA814</f>
        <v/>
      </c>
      <c r="AB815">
        <f>$C815*AB814</f>
        <v/>
      </c>
      <c r="AC815">
        <f>$C815*AC814</f>
        <v/>
      </c>
      <c r="AD815">
        <f>$C815*AD814</f>
        <v/>
      </c>
      <c r="AE815">
        <f>$C815*AE814</f>
        <v/>
      </c>
      <c r="AF815">
        <f>$C815*AF814</f>
        <v/>
      </c>
      <c r="AG815">
        <f>$C815*AG814</f>
        <v/>
      </c>
      <c r="AH815">
        <f>$C815*AH814</f>
        <v/>
      </c>
      <c r="AI815">
        <f>$C815*AI814</f>
        <v/>
      </c>
      <c r="AJ815">
        <f>$C815*AJ814</f>
        <v/>
      </c>
      <c r="AK815">
        <f>$C815*AK814</f>
        <v/>
      </c>
      <c r="AL815">
        <f>$C815*AL814</f>
        <v/>
      </c>
      <c r="AM815">
        <f>$C815*AM814</f>
        <v/>
      </c>
      <c r="AN815">
        <f>$C815*AN814</f>
        <v/>
      </c>
      <c r="AO815">
        <f>$C815*AO814</f>
        <v/>
      </c>
      <c r="AP815">
        <f>$C815*AP814</f>
        <v/>
      </c>
      <c r="AQ815">
        <f>$C815*AQ814</f>
        <v/>
      </c>
      <c r="AR815">
        <f>$C815*AR814</f>
        <v/>
      </c>
      <c r="AS815">
        <f>$C815*AS814</f>
        <v/>
      </c>
      <c r="AT815">
        <f>$C815*AT814</f>
        <v/>
      </c>
      <c r="AU815">
        <f>$C815*AU814</f>
        <v/>
      </c>
      <c r="AV815">
        <f>$C815*AV814</f>
        <v/>
      </c>
      <c r="AW815">
        <f>$C815*AW814</f>
        <v/>
      </c>
      <c r="AX815">
        <f>$C815*AX814</f>
        <v/>
      </c>
      <c r="AY815">
        <f>$C815*AY814</f>
        <v/>
      </c>
      <c r="AZ815">
        <f>$C815*AZ814</f>
        <v/>
      </c>
      <c r="BA815">
        <f>$C815*BA814</f>
        <v/>
      </c>
      <c r="BB815">
        <f>$C815*BB814</f>
        <v/>
      </c>
      <c r="BC815">
        <f>$C815*BC814</f>
        <v/>
      </c>
      <c r="BD815">
        <f>$C815*BD814</f>
        <v/>
      </c>
      <c r="BE815">
        <f>$C815*BE814</f>
        <v/>
      </c>
      <c r="BF815">
        <f>$C815*BF814</f>
        <v/>
      </c>
      <c r="BG815">
        <f>$C815*BG814</f>
        <v/>
      </c>
      <c r="BH815">
        <f>$C815*BH814</f>
        <v/>
      </c>
      <c r="BI815">
        <f>$C815*BI814</f>
        <v/>
      </c>
      <c r="BJ815">
        <f>$C815*BJ814</f>
        <v/>
      </c>
      <c r="BK815">
        <f>$C815*BK814</f>
        <v/>
      </c>
      <c r="BL815">
        <f>$C815*BL814</f>
        <v/>
      </c>
      <c r="BM815">
        <f>$C815*BM814</f>
        <v/>
      </c>
      <c r="BN815">
        <f>$C815*BN814</f>
        <v/>
      </c>
      <c r="BO815">
        <f>$C815*BO814</f>
        <v/>
      </c>
      <c r="BP815">
        <f>$C815*BP814</f>
        <v/>
      </c>
      <c r="BQ815">
        <f>$C815*BQ814</f>
        <v/>
      </c>
      <c r="BR815">
        <f>$C815*BR814</f>
        <v/>
      </c>
      <c r="BS815">
        <f>$C815*BS814</f>
        <v/>
      </c>
      <c r="BT815">
        <f>$C815*BT814</f>
        <v/>
      </c>
      <c r="BU815">
        <f>$C815*BU814</f>
        <v/>
      </c>
      <c r="BV815">
        <f>$C815*BV814</f>
        <v/>
      </c>
      <c r="BW815">
        <f>$C815*BW814</f>
        <v/>
      </c>
      <c r="BX815">
        <f>$C815*BX814</f>
        <v/>
      </c>
      <c r="BY815">
        <f>$C815*BY814</f>
        <v/>
      </c>
      <c r="BZ815">
        <f>$C815*BZ814</f>
        <v/>
      </c>
      <c r="CA815">
        <f>$C815*CA814</f>
        <v/>
      </c>
      <c r="CB815">
        <f>$C815*CB814</f>
        <v/>
      </c>
      <c r="CC815">
        <f>$C815*CC814</f>
        <v/>
      </c>
      <c r="CD815">
        <f>$C815*CD814</f>
        <v/>
      </c>
      <c r="CE815">
        <f>$C815*CE814</f>
        <v/>
      </c>
      <c r="CF815">
        <f>$C815*CF814</f>
        <v/>
      </c>
      <c r="CG815">
        <f>$C815*CG814</f>
        <v/>
      </c>
      <c r="CH815">
        <f>$C815*CH814</f>
        <v/>
      </c>
      <c r="CI815">
        <f>$C815*CI814</f>
        <v/>
      </c>
      <c r="CJ815">
        <f>$C815*CJ814</f>
        <v/>
      </c>
      <c r="CK815">
        <f>$C815*CK814</f>
        <v/>
      </c>
      <c r="CL815">
        <f>$C815*CL814</f>
        <v/>
      </c>
      <c r="CM815">
        <f>$C815*CM814</f>
        <v/>
      </c>
      <c r="CN815">
        <f>$C815*CN814</f>
        <v/>
      </c>
      <c r="CO815">
        <f>$C815*CO814</f>
        <v/>
      </c>
      <c r="CP815">
        <f>$C815*CP814</f>
        <v/>
      </c>
      <c r="CQ815">
        <f>$C815*CQ814</f>
        <v/>
      </c>
      <c r="CR815">
        <f>$C815*CR814</f>
        <v/>
      </c>
      <c r="CS815">
        <f>$C815*CS814</f>
        <v/>
      </c>
      <c r="CT815">
        <f>$C815*CT814</f>
        <v/>
      </c>
      <c r="CU815">
        <f>$C815*CU814</f>
        <v/>
      </c>
      <c r="CV815">
        <f>$C815*CV814</f>
        <v/>
      </c>
      <c r="CW815">
        <f>$C815*CW814</f>
        <v/>
      </c>
      <c r="CX815">
        <f>$C815*CX814</f>
        <v/>
      </c>
      <c r="CY815">
        <f>$C815*CY814</f>
        <v/>
      </c>
      <c r="CZ815">
        <f>$C815*CZ814</f>
        <v/>
      </c>
      <c r="DA815">
        <f>$C815*DA814</f>
        <v/>
      </c>
      <c r="DB815">
        <f>$C815*DB814</f>
        <v/>
      </c>
      <c r="DC815">
        <f>$C815*DC814</f>
        <v/>
      </c>
    </row>
    <row r="816">
      <c r="B816" t="inlineStr">
        <is>
          <t>VSP-746</t>
        </is>
      </c>
      <c r="C816" t="inlineStr">
        <is>
          <t>No. of batches</t>
        </is>
      </c>
      <c r="D816">
        <f>IFERROR(INDEX(PP_Grid[#Data],$DD816,2),0)</f>
        <v/>
      </c>
      <c r="E816">
        <f>IFERROR(INDEX(PP_Grid[#Data],$DD816,3),0)</f>
        <v/>
      </c>
      <c r="F816">
        <f>IFERROR(INDEX(PP_Grid[#Data],$DD816,4),0)</f>
        <v/>
      </c>
      <c r="G816">
        <f>IFERROR(INDEX(PP_Grid[#Data],$DD816,5),0)</f>
        <v/>
      </c>
      <c r="H816">
        <f>IFERROR(INDEX(PP_Grid[#Data],$DD816,6),0)</f>
        <v/>
      </c>
      <c r="I816">
        <f>IFERROR(INDEX(PP_Grid[#Data],$DD816,7),0)</f>
        <v/>
      </c>
      <c r="J816">
        <f>IFERROR(INDEX(PP_Grid[#Data],$DD816,8),0)</f>
        <v/>
      </c>
      <c r="K816">
        <f>IFERROR(INDEX(PP_Grid[#Data],$DD816,9),0)</f>
        <v/>
      </c>
      <c r="L816">
        <f>IFERROR(INDEX(PP_Grid[#Data],$DD816,10),0)</f>
        <v/>
      </c>
      <c r="M816">
        <f>IFERROR(INDEX(PP_Grid[#Data],$DD816,11),0)</f>
        <v/>
      </c>
      <c r="N816">
        <f>IFERROR(INDEX(PP_Grid[#Data],$DD816,12),0)</f>
        <v/>
      </c>
      <c r="O816">
        <f>IFERROR(INDEX(PP_Grid[#Data],$DD816,13),0)</f>
        <v/>
      </c>
      <c r="P816">
        <f>IFERROR(INDEX(PP_Grid[#Data],$DD816,14),0)</f>
        <v/>
      </c>
      <c r="Q816">
        <f>IFERROR(INDEX(PP_Grid[#Data],$DD816,15),0)</f>
        <v/>
      </c>
      <c r="R816">
        <f>IFERROR(INDEX(PP_Grid[#Data],$DD816,16),0)</f>
        <v/>
      </c>
      <c r="S816">
        <f>IFERROR(INDEX(PP_Grid[#Data],$DD816,17),0)</f>
        <v/>
      </c>
      <c r="T816">
        <f>IFERROR(INDEX(PP_Grid[#Data],$DD816,18),0)</f>
        <v/>
      </c>
      <c r="U816">
        <f>IFERROR(INDEX(PP_Grid[#Data],$DD816,19),0)</f>
        <v/>
      </c>
      <c r="V816">
        <f>IFERROR(INDEX(PP_Grid[#Data],$DD816,20),0)</f>
        <v/>
      </c>
      <c r="W816">
        <f>IFERROR(INDEX(PP_Grid[#Data],$DD816,21),0)</f>
        <v/>
      </c>
      <c r="X816">
        <f>IFERROR(INDEX(PP_Grid[#Data],$DD816,22),0)</f>
        <v/>
      </c>
      <c r="Y816">
        <f>IFERROR(INDEX(PP_Grid[#Data],$DD816,23),0)</f>
        <v/>
      </c>
      <c r="Z816">
        <f>IFERROR(INDEX(PP_Grid[#Data],$DD816,24),0)</f>
        <v/>
      </c>
      <c r="AA816">
        <f>IFERROR(INDEX(PP_Grid[#Data],$DD816,25),0)</f>
        <v/>
      </c>
      <c r="AB816">
        <f>IFERROR(INDEX(PP_Grid[#Data],$DD816,26),0)</f>
        <v/>
      </c>
      <c r="AC816">
        <f>IFERROR(INDEX(PP_Grid[#Data],$DD816,27),0)</f>
        <v/>
      </c>
      <c r="AD816">
        <f>IFERROR(INDEX(PP_Grid[#Data],$DD816,28),0)</f>
        <v/>
      </c>
      <c r="AE816">
        <f>IFERROR(INDEX(PP_Grid[#Data],$DD816,29),0)</f>
        <v/>
      </c>
      <c r="AF816">
        <f>IFERROR(INDEX(PP_Grid[#Data],$DD816,30),0)</f>
        <v/>
      </c>
      <c r="AG816">
        <f>IFERROR(INDEX(PP_Grid[#Data],$DD816,31),0)</f>
        <v/>
      </c>
      <c r="AH816">
        <f>IFERROR(INDEX(PP_Grid[#Data],$DD816,32),0)</f>
        <v/>
      </c>
      <c r="AI816">
        <f>IFERROR(INDEX(PP_Grid[#Data],$DD816,33),0)</f>
        <v/>
      </c>
      <c r="AJ816">
        <f>IFERROR(INDEX(PP_Grid[#Data],$DD816,34),0)</f>
        <v/>
      </c>
      <c r="AK816">
        <f>IFERROR(INDEX(PP_Grid[#Data],$DD816,35),0)</f>
        <v/>
      </c>
      <c r="AL816">
        <f>IFERROR(INDEX(PP_Grid[#Data],$DD816,36),0)</f>
        <v/>
      </c>
      <c r="AM816">
        <f>IFERROR(INDEX(PP_Grid[#Data],$DD816,37),0)</f>
        <v/>
      </c>
      <c r="AN816">
        <f>IFERROR(INDEX(PP_Grid[#Data],$DD816,38),0)</f>
        <v/>
      </c>
      <c r="AO816">
        <f>IFERROR(INDEX(PP_Grid[#Data],$DD816,39),0)</f>
        <v/>
      </c>
      <c r="AP816">
        <f>IFERROR(INDEX(PP_Grid[#Data],$DD816,40),0)</f>
        <v/>
      </c>
      <c r="AQ816">
        <f>IFERROR(INDEX(PP_Grid[#Data],$DD816,41),0)</f>
        <v/>
      </c>
      <c r="AR816">
        <f>IFERROR(INDEX(PP_Grid[#Data],$DD816,42),0)</f>
        <v/>
      </c>
      <c r="AS816">
        <f>IFERROR(INDEX(PP_Grid[#Data],$DD816,43),0)</f>
        <v/>
      </c>
      <c r="AT816">
        <f>IFERROR(INDEX(PP_Grid[#Data],$DD816,44),0)</f>
        <v/>
      </c>
      <c r="AU816">
        <f>IFERROR(INDEX(PP_Grid[#Data],$DD816,45),0)</f>
        <v/>
      </c>
      <c r="AV816">
        <f>IFERROR(INDEX(PP_Grid[#Data],$DD816,46),0)</f>
        <v/>
      </c>
      <c r="AW816">
        <f>IFERROR(INDEX(PP_Grid[#Data],$DD816,47),0)</f>
        <v/>
      </c>
      <c r="AX816">
        <f>IFERROR(INDEX(PP_Grid[#Data],$DD816,48),0)</f>
        <v/>
      </c>
      <c r="AY816">
        <f>IFERROR(INDEX(PP_Grid[#Data],$DD816,49),0)</f>
        <v/>
      </c>
      <c r="AZ816">
        <f>IFERROR(INDEX(PP_Grid[#Data],$DD816,50),0)</f>
        <v/>
      </c>
      <c r="BA816">
        <f>IFERROR(INDEX(PP_Grid[#Data],$DD816,51),0)</f>
        <v/>
      </c>
      <c r="BB816">
        <f>IFERROR(INDEX(PP_Grid[#Data],$DD816,52),0)</f>
        <v/>
      </c>
      <c r="BC816">
        <f>IFERROR(INDEX(PP_Grid[#Data],$DD816,53),0)</f>
        <v/>
      </c>
      <c r="BD816">
        <f>IFERROR(INDEX(PP_Grid[#Data],$DD816,54),0)</f>
        <v/>
      </c>
      <c r="BE816">
        <f>IFERROR(INDEX(PP_Grid[#Data],$DD816,55),0)</f>
        <v/>
      </c>
      <c r="BF816">
        <f>IFERROR(INDEX(PP_Grid[#Data],$DD816,56),0)</f>
        <v/>
      </c>
      <c r="BG816">
        <f>IFERROR(INDEX(PP_Grid[#Data],$DD816,57),0)</f>
        <v/>
      </c>
      <c r="BH816">
        <f>IFERROR(INDEX(PP_Grid[#Data],$DD816,58),0)</f>
        <v/>
      </c>
      <c r="BI816">
        <f>IFERROR(INDEX(PP_Grid[#Data],$DD816,59),0)</f>
        <v/>
      </c>
      <c r="BJ816">
        <f>IFERROR(INDEX(PP_Grid[#Data],$DD816,60),0)</f>
        <v/>
      </c>
      <c r="BK816">
        <f>IFERROR(INDEX(PP_Grid[#Data],$DD816,61),0)</f>
        <v/>
      </c>
      <c r="BL816">
        <f>IFERROR(INDEX(PP_Grid[#Data],$DD816,62),0)</f>
        <v/>
      </c>
      <c r="BM816">
        <f>IFERROR(INDEX(PP_Grid[#Data],$DD816,63),0)</f>
        <v/>
      </c>
      <c r="BN816">
        <f>IFERROR(INDEX(PP_Grid[#Data],$DD816,64),0)</f>
        <v/>
      </c>
      <c r="BO816">
        <f>IFERROR(INDEX(PP_Grid[#Data],$DD816,65),0)</f>
        <v/>
      </c>
      <c r="BP816">
        <f>IFERROR(INDEX(PP_Grid[#Data],$DD816,66),0)</f>
        <v/>
      </c>
      <c r="BQ816">
        <f>IFERROR(INDEX(PP_Grid[#Data],$DD816,67),0)</f>
        <v/>
      </c>
      <c r="BR816">
        <f>IFERROR(INDEX(PP_Grid[#Data],$DD816,68),0)</f>
        <v/>
      </c>
      <c r="BS816">
        <f>IFERROR(INDEX(PP_Grid[#Data],$DD816,69),0)</f>
        <v/>
      </c>
      <c r="BT816">
        <f>IFERROR(INDEX(PP_Grid[#Data],$DD816,70),0)</f>
        <v/>
      </c>
      <c r="BU816">
        <f>IFERROR(INDEX(PP_Grid[#Data],$DD816,71),0)</f>
        <v/>
      </c>
      <c r="BV816">
        <f>IFERROR(INDEX(PP_Grid[#Data],$DD816,72),0)</f>
        <v/>
      </c>
      <c r="BW816">
        <f>IFERROR(INDEX(PP_Grid[#Data],$DD816,73),0)</f>
        <v/>
      </c>
      <c r="BX816">
        <f>IFERROR(INDEX(PP_Grid[#Data],$DD816,74),0)</f>
        <v/>
      </c>
      <c r="BY816">
        <f>IFERROR(INDEX(PP_Grid[#Data],$DD816,75),0)</f>
        <v/>
      </c>
      <c r="BZ816">
        <f>IFERROR(INDEX(PP_Grid[#Data],$DD816,76),0)</f>
        <v/>
      </c>
      <c r="CA816">
        <f>IFERROR(INDEX(PP_Grid[#Data],$DD816,77),0)</f>
        <v/>
      </c>
      <c r="CB816">
        <f>IFERROR(INDEX(PP_Grid[#Data],$DD816,78),0)</f>
        <v/>
      </c>
      <c r="CC816">
        <f>IFERROR(INDEX(PP_Grid[#Data],$DD816,79),0)</f>
        <v/>
      </c>
      <c r="CD816">
        <f>IFERROR(INDEX(PP_Grid[#Data],$DD816,80),0)</f>
        <v/>
      </c>
      <c r="CE816">
        <f>IFERROR(INDEX(PP_Grid[#Data],$DD816,81),0)</f>
        <v/>
      </c>
      <c r="CF816">
        <f>IFERROR(INDEX(PP_Grid[#Data],$DD816,82),0)</f>
        <v/>
      </c>
      <c r="CG816">
        <f>IFERROR(INDEX(PP_Grid[#Data],$DD816,83),0)</f>
        <v/>
      </c>
      <c r="CH816">
        <f>IFERROR(INDEX(PP_Grid[#Data],$DD816,84),0)</f>
        <v/>
      </c>
      <c r="CI816">
        <f>IFERROR(INDEX(PP_Grid[#Data],$DD816,85),0)</f>
        <v/>
      </c>
      <c r="CJ816">
        <f>IFERROR(INDEX(PP_Grid[#Data],$DD816,86),0)</f>
        <v/>
      </c>
      <c r="CK816">
        <f>IFERROR(INDEX(PP_Grid[#Data],$DD816,87),0)</f>
        <v/>
      </c>
      <c r="CL816">
        <f>IFERROR(INDEX(PP_Grid[#Data],$DD816,88),0)</f>
        <v/>
      </c>
      <c r="CM816">
        <f>IFERROR(INDEX(PP_Grid[#Data],$DD816,89),0)</f>
        <v/>
      </c>
      <c r="CN816">
        <f>IFERROR(INDEX(PP_Grid[#Data],$DD816,90),0)</f>
        <v/>
      </c>
      <c r="CO816">
        <f>IFERROR(INDEX(PP_Grid[#Data],$DD816,91),0)</f>
        <v/>
      </c>
      <c r="CP816">
        <f>IFERROR(INDEX(PP_Grid[#Data],$DD816,92),0)</f>
        <v/>
      </c>
      <c r="CQ816">
        <f>IFERROR(INDEX(PP_Grid[#Data],$DD816,93),0)</f>
        <v/>
      </c>
      <c r="CR816">
        <f>IFERROR(INDEX(PP_Grid[#Data],$DD816,94),0)</f>
        <v/>
      </c>
      <c r="CS816">
        <f>IFERROR(INDEX(PP_Grid[#Data],$DD816,95),0)</f>
        <v/>
      </c>
      <c r="CT816">
        <f>IFERROR(INDEX(PP_Grid[#Data],$DD816,96),0)</f>
        <v/>
      </c>
      <c r="CU816">
        <f>IFERROR(INDEX(PP_Grid[#Data],$DD816,97),0)</f>
        <v/>
      </c>
      <c r="CV816">
        <f>IFERROR(INDEX(PP_Grid[#Data],$DD816,98),0)</f>
        <v/>
      </c>
      <c r="CW816">
        <f>IFERROR(INDEX(PP_Grid[#Data],$DD816,99),0)</f>
        <v/>
      </c>
      <c r="CX816">
        <f>IFERROR(INDEX(PP_Grid[#Data],$DD816,100),0)</f>
        <v/>
      </c>
      <c r="CY816">
        <f>IFERROR(INDEX(PP_Grid[#Data],$DD816,101),0)</f>
        <v/>
      </c>
      <c r="CZ816">
        <f>IFERROR(INDEX(PP_Grid[#Data],$DD816,102),0)</f>
        <v/>
      </c>
      <c r="DA816">
        <f>IFERROR(INDEX(PP_Grid[#Data],$DD816,103),0)</f>
        <v/>
      </c>
      <c r="DB816">
        <f>IFERROR(INDEX(PP_Grid[#Data],$DD816,104),0)</f>
        <v/>
      </c>
      <c r="DC816">
        <f>IFERROR(INDEX(PP_Grid[#Data],$DD816,105),0)</f>
        <v/>
      </c>
      <c r="DD816" s="12">
        <f>IFERROR(MATCH($B816,PP_Grid[Intermediate],0),99999)</f>
        <v/>
      </c>
    </row>
    <row r="817">
      <c r="B817" t="inlineStr">
        <is>
          <t>使用量(kg)</t>
        </is>
      </c>
      <c r="C817">
        <f>SUMIFS(M_BOM[RM_Qty_Per_Batch],M_BOM[Intermediate],$B816,M_BOM[Part Name],$A773)</f>
        <v/>
      </c>
      <c r="D817">
        <f>$C817*D816</f>
        <v/>
      </c>
      <c r="E817">
        <f>$C817*E816</f>
        <v/>
      </c>
      <c r="F817">
        <f>$C817*F816</f>
        <v/>
      </c>
      <c r="G817">
        <f>$C817*G816</f>
        <v/>
      </c>
      <c r="H817">
        <f>$C817*H816</f>
        <v/>
      </c>
      <c r="I817">
        <f>$C817*I816</f>
        <v/>
      </c>
      <c r="J817">
        <f>$C817*J816</f>
        <v/>
      </c>
      <c r="K817">
        <f>$C817*K816</f>
        <v/>
      </c>
      <c r="L817">
        <f>$C817*L816</f>
        <v/>
      </c>
      <c r="M817">
        <f>$C817*M816</f>
        <v/>
      </c>
      <c r="N817">
        <f>$C817*N816</f>
        <v/>
      </c>
      <c r="O817">
        <f>$C817*O816</f>
        <v/>
      </c>
      <c r="P817">
        <f>$C817*P816</f>
        <v/>
      </c>
      <c r="Q817">
        <f>$C817*Q816</f>
        <v/>
      </c>
      <c r="R817">
        <f>$C817*R816</f>
        <v/>
      </c>
      <c r="S817">
        <f>$C817*S816</f>
        <v/>
      </c>
      <c r="T817">
        <f>$C817*T816</f>
        <v/>
      </c>
      <c r="U817">
        <f>$C817*U816</f>
        <v/>
      </c>
      <c r="V817">
        <f>$C817*V816</f>
        <v/>
      </c>
      <c r="W817">
        <f>$C817*W816</f>
        <v/>
      </c>
      <c r="X817">
        <f>$C817*X816</f>
        <v/>
      </c>
      <c r="Y817">
        <f>$C817*Y816</f>
        <v/>
      </c>
      <c r="Z817">
        <f>$C817*Z816</f>
        <v/>
      </c>
      <c r="AA817">
        <f>$C817*AA816</f>
        <v/>
      </c>
      <c r="AB817">
        <f>$C817*AB816</f>
        <v/>
      </c>
      <c r="AC817">
        <f>$C817*AC816</f>
        <v/>
      </c>
      <c r="AD817">
        <f>$C817*AD816</f>
        <v/>
      </c>
      <c r="AE817">
        <f>$C817*AE816</f>
        <v/>
      </c>
      <c r="AF817">
        <f>$C817*AF816</f>
        <v/>
      </c>
      <c r="AG817">
        <f>$C817*AG816</f>
        <v/>
      </c>
      <c r="AH817">
        <f>$C817*AH816</f>
        <v/>
      </c>
      <c r="AI817">
        <f>$C817*AI816</f>
        <v/>
      </c>
      <c r="AJ817">
        <f>$C817*AJ816</f>
        <v/>
      </c>
      <c r="AK817">
        <f>$C817*AK816</f>
        <v/>
      </c>
      <c r="AL817">
        <f>$C817*AL816</f>
        <v/>
      </c>
      <c r="AM817">
        <f>$C817*AM816</f>
        <v/>
      </c>
      <c r="AN817">
        <f>$C817*AN816</f>
        <v/>
      </c>
      <c r="AO817">
        <f>$C817*AO816</f>
        <v/>
      </c>
      <c r="AP817">
        <f>$C817*AP816</f>
        <v/>
      </c>
      <c r="AQ817">
        <f>$C817*AQ816</f>
        <v/>
      </c>
      <c r="AR817">
        <f>$C817*AR816</f>
        <v/>
      </c>
      <c r="AS817">
        <f>$C817*AS816</f>
        <v/>
      </c>
      <c r="AT817">
        <f>$C817*AT816</f>
        <v/>
      </c>
      <c r="AU817">
        <f>$C817*AU816</f>
        <v/>
      </c>
      <c r="AV817">
        <f>$C817*AV816</f>
        <v/>
      </c>
      <c r="AW817">
        <f>$C817*AW816</f>
        <v/>
      </c>
      <c r="AX817">
        <f>$C817*AX816</f>
        <v/>
      </c>
      <c r="AY817">
        <f>$C817*AY816</f>
        <v/>
      </c>
      <c r="AZ817">
        <f>$C817*AZ816</f>
        <v/>
      </c>
      <c r="BA817">
        <f>$C817*BA816</f>
        <v/>
      </c>
      <c r="BB817">
        <f>$C817*BB816</f>
        <v/>
      </c>
      <c r="BC817">
        <f>$C817*BC816</f>
        <v/>
      </c>
      <c r="BD817">
        <f>$C817*BD816</f>
        <v/>
      </c>
      <c r="BE817">
        <f>$C817*BE816</f>
        <v/>
      </c>
      <c r="BF817">
        <f>$C817*BF816</f>
        <v/>
      </c>
      <c r="BG817">
        <f>$C817*BG816</f>
        <v/>
      </c>
      <c r="BH817">
        <f>$C817*BH816</f>
        <v/>
      </c>
      <c r="BI817">
        <f>$C817*BI816</f>
        <v/>
      </c>
      <c r="BJ817">
        <f>$C817*BJ816</f>
        <v/>
      </c>
      <c r="BK817">
        <f>$C817*BK816</f>
        <v/>
      </c>
      <c r="BL817">
        <f>$C817*BL816</f>
        <v/>
      </c>
      <c r="BM817">
        <f>$C817*BM816</f>
        <v/>
      </c>
      <c r="BN817">
        <f>$C817*BN816</f>
        <v/>
      </c>
      <c r="BO817">
        <f>$C817*BO816</f>
        <v/>
      </c>
      <c r="BP817">
        <f>$C817*BP816</f>
        <v/>
      </c>
      <c r="BQ817">
        <f>$C817*BQ816</f>
        <v/>
      </c>
      <c r="BR817">
        <f>$C817*BR816</f>
        <v/>
      </c>
      <c r="BS817">
        <f>$C817*BS816</f>
        <v/>
      </c>
      <c r="BT817">
        <f>$C817*BT816</f>
        <v/>
      </c>
      <c r="BU817">
        <f>$C817*BU816</f>
        <v/>
      </c>
      <c r="BV817">
        <f>$C817*BV816</f>
        <v/>
      </c>
      <c r="BW817">
        <f>$C817*BW816</f>
        <v/>
      </c>
      <c r="BX817">
        <f>$C817*BX816</f>
        <v/>
      </c>
      <c r="BY817">
        <f>$C817*BY816</f>
        <v/>
      </c>
      <c r="BZ817">
        <f>$C817*BZ816</f>
        <v/>
      </c>
      <c r="CA817">
        <f>$C817*CA816</f>
        <v/>
      </c>
      <c r="CB817">
        <f>$C817*CB816</f>
        <v/>
      </c>
      <c r="CC817">
        <f>$C817*CC816</f>
        <v/>
      </c>
      <c r="CD817">
        <f>$C817*CD816</f>
        <v/>
      </c>
      <c r="CE817">
        <f>$C817*CE816</f>
        <v/>
      </c>
      <c r="CF817">
        <f>$C817*CF816</f>
        <v/>
      </c>
      <c r="CG817">
        <f>$C817*CG816</f>
        <v/>
      </c>
      <c r="CH817">
        <f>$C817*CH816</f>
        <v/>
      </c>
      <c r="CI817">
        <f>$C817*CI816</f>
        <v/>
      </c>
      <c r="CJ817">
        <f>$C817*CJ816</f>
        <v/>
      </c>
      <c r="CK817">
        <f>$C817*CK816</f>
        <v/>
      </c>
      <c r="CL817">
        <f>$C817*CL816</f>
        <v/>
      </c>
      <c r="CM817">
        <f>$C817*CM816</f>
        <v/>
      </c>
      <c r="CN817">
        <f>$C817*CN816</f>
        <v/>
      </c>
      <c r="CO817">
        <f>$C817*CO816</f>
        <v/>
      </c>
      <c r="CP817">
        <f>$C817*CP816</f>
        <v/>
      </c>
      <c r="CQ817">
        <f>$C817*CQ816</f>
        <v/>
      </c>
      <c r="CR817">
        <f>$C817*CR816</f>
        <v/>
      </c>
      <c r="CS817">
        <f>$C817*CS816</f>
        <v/>
      </c>
      <c r="CT817">
        <f>$C817*CT816</f>
        <v/>
      </c>
      <c r="CU817">
        <f>$C817*CU816</f>
        <v/>
      </c>
      <c r="CV817">
        <f>$C817*CV816</f>
        <v/>
      </c>
      <c r="CW817">
        <f>$C817*CW816</f>
        <v/>
      </c>
      <c r="CX817">
        <f>$C817*CX816</f>
        <v/>
      </c>
      <c r="CY817">
        <f>$C817*CY816</f>
        <v/>
      </c>
      <c r="CZ817">
        <f>$C817*CZ816</f>
        <v/>
      </c>
      <c r="DA817">
        <f>$C817*DA816</f>
        <v/>
      </c>
      <c r="DB817">
        <f>$C817*DB816</f>
        <v/>
      </c>
      <c r="DC817">
        <f>$C817*DC816</f>
        <v/>
      </c>
    </row>
    <row r="818">
      <c r="B818" t="inlineStr">
        <is>
          <t>VSP-822</t>
        </is>
      </c>
      <c r="C818" t="inlineStr">
        <is>
          <t>No. of batches</t>
        </is>
      </c>
      <c r="D818">
        <f>IFERROR(INDEX(PP_Grid[#Data],$DD818,2),0)</f>
        <v/>
      </c>
      <c r="E818">
        <f>IFERROR(INDEX(PP_Grid[#Data],$DD818,3),0)</f>
        <v/>
      </c>
      <c r="F818">
        <f>IFERROR(INDEX(PP_Grid[#Data],$DD818,4),0)</f>
        <v/>
      </c>
      <c r="G818">
        <f>IFERROR(INDEX(PP_Grid[#Data],$DD818,5),0)</f>
        <v/>
      </c>
      <c r="H818">
        <f>IFERROR(INDEX(PP_Grid[#Data],$DD818,6),0)</f>
        <v/>
      </c>
      <c r="I818">
        <f>IFERROR(INDEX(PP_Grid[#Data],$DD818,7),0)</f>
        <v/>
      </c>
      <c r="J818">
        <f>IFERROR(INDEX(PP_Grid[#Data],$DD818,8),0)</f>
        <v/>
      </c>
      <c r="K818">
        <f>IFERROR(INDEX(PP_Grid[#Data],$DD818,9),0)</f>
        <v/>
      </c>
      <c r="L818">
        <f>IFERROR(INDEX(PP_Grid[#Data],$DD818,10),0)</f>
        <v/>
      </c>
      <c r="M818">
        <f>IFERROR(INDEX(PP_Grid[#Data],$DD818,11),0)</f>
        <v/>
      </c>
      <c r="N818">
        <f>IFERROR(INDEX(PP_Grid[#Data],$DD818,12),0)</f>
        <v/>
      </c>
      <c r="O818">
        <f>IFERROR(INDEX(PP_Grid[#Data],$DD818,13),0)</f>
        <v/>
      </c>
      <c r="P818">
        <f>IFERROR(INDEX(PP_Grid[#Data],$DD818,14),0)</f>
        <v/>
      </c>
      <c r="Q818">
        <f>IFERROR(INDEX(PP_Grid[#Data],$DD818,15),0)</f>
        <v/>
      </c>
      <c r="R818">
        <f>IFERROR(INDEX(PP_Grid[#Data],$DD818,16),0)</f>
        <v/>
      </c>
      <c r="S818">
        <f>IFERROR(INDEX(PP_Grid[#Data],$DD818,17),0)</f>
        <v/>
      </c>
      <c r="T818">
        <f>IFERROR(INDEX(PP_Grid[#Data],$DD818,18),0)</f>
        <v/>
      </c>
      <c r="U818">
        <f>IFERROR(INDEX(PP_Grid[#Data],$DD818,19),0)</f>
        <v/>
      </c>
      <c r="V818">
        <f>IFERROR(INDEX(PP_Grid[#Data],$DD818,20),0)</f>
        <v/>
      </c>
      <c r="W818">
        <f>IFERROR(INDEX(PP_Grid[#Data],$DD818,21),0)</f>
        <v/>
      </c>
      <c r="X818">
        <f>IFERROR(INDEX(PP_Grid[#Data],$DD818,22),0)</f>
        <v/>
      </c>
      <c r="Y818">
        <f>IFERROR(INDEX(PP_Grid[#Data],$DD818,23),0)</f>
        <v/>
      </c>
      <c r="Z818">
        <f>IFERROR(INDEX(PP_Grid[#Data],$DD818,24),0)</f>
        <v/>
      </c>
      <c r="AA818">
        <f>IFERROR(INDEX(PP_Grid[#Data],$DD818,25),0)</f>
        <v/>
      </c>
      <c r="AB818">
        <f>IFERROR(INDEX(PP_Grid[#Data],$DD818,26),0)</f>
        <v/>
      </c>
      <c r="AC818">
        <f>IFERROR(INDEX(PP_Grid[#Data],$DD818,27),0)</f>
        <v/>
      </c>
      <c r="AD818">
        <f>IFERROR(INDEX(PP_Grid[#Data],$DD818,28),0)</f>
        <v/>
      </c>
      <c r="AE818">
        <f>IFERROR(INDEX(PP_Grid[#Data],$DD818,29),0)</f>
        <v/>
      </c>
      <c r="AF818">
        <f>IFERROR(INDEX(PP_Grid[#Data],$DD818,30),0)</f>
        <v/>
      </c>
      <c r="AG818">
        <f>IFERROR(INDEX(PP_Grid[#Data],$DD818,31),0)</f>
        <v/>
      </c>
      <c r="AH818">
        <f>IFERROR(INDEX(PP_Grid[#Data],$DD818,32),0)</f>
        <v/>
      </c>
      <c r="AI818">
        <f>IFERROR(INDEX(PP_Grid[#Data],$DD818,33),0)</f>
        <v/>
      </c>
      <c r="AJ818">
        <f>IFERROR(INDEX(PP_Grid[#Data],$DD818,34),0)</f>
        <v/>
      </c>
      <c r="AK818">
        <f>IFERROR(INDEX(PP_Grid[#Data],$DD818,35),0)</f>
        <v/>
      </c>
      <c r="AL818">
        <f>IFERROR(INDEX(PP_Grid[#Data],$DD818,36),0)</f>
        <v/>
      </c>
      <c r="AM818">
        <f>IFERROR(INDEX(PP_Grid[#Data],$DD818,37),0)</f>
        <v/>
      </c>
      <c r="AN818">
        <f>IFERROR(INDEX(PP_Grid[#Data],$DD818,38),0)</f>
        <v/>
      </c>
      <c r="AO818">
        <f>IFERROR(INDEX(PP_Grid[#Data],$DD818,39),0)</f>
        <v/>
      </c>
      <c r="AP818">
        <f>IFERROR(INDEX(PP_Grid[#Data],$DD818,40),0)</f>
        <v/>
      </c>
      <c r="AQ818">
        <f>IFERROR(INDEX(PP_Grid[#Data],$DD818,41),0)</f>
        <v/>
      </c>
      <c r="AR818">
        <f>IFERROR(INDEX(PP_Grid[#Data],$DD818,42),0)</f>
        <v/>
      </c>
      <c r="AS818">
        <f>IFERROR(INDEX(PP_Grid[#Data],$DD818,43),0)</f>
        <v/>
      </c>
      <c r="AT818">
        <f>IFERROR(INDEX(PP_Grid[#Data],$DD818,44),0)</f>
        <v/>
      </c>
      <c r="AU818">
        <f>IFERROR(INDEX(PP_Grid[#Data],$DD818,45),0)</f>
        <v/>
      </c>
      <c r="AV818">
        <f>IFERROR(INDEX(PP_Grid[#Data],$DD818,46),0)</f>
        <v/>
      </c>
      <c r="AW818">
        <f>IFERROR(INDEX(PP_Grid[#Data],$DD818,47),0)</f>
        <v/>
      </c>
      <c r="AX818">
        <f>IFERROR(INDEX(PP_Grid[#Data],$DD818,48),0)</f>
        <v/>
      </c>
      <c r="AY818">
        <f>IFERROR(INDEX(PP_Grid[#Data],$DD818,49),0)</f>
        <v/>
      </c>
      <c r="AZ818">
        <f>IFERROR(INDEX(PP_Grid[#Data],$DD818,50),0)</f>
        <v/>
      </c>
      <c r="BA818">
        <f>IFERROR(INDEX(PP_Grid[#Data],$DD818,51),0)</f>
        <v/>
      </c>
      <c r="BB818">
        <f>IFERROR(INDEX(PP_Grid[#Data],$DD818,52),0)</f>
        <v/>
      </c>
      <c r="BC818">
        <f>IFERROR(INDEX(PP_Grid[#Data],$DD818,53),0)</f>
        <v/>
      </c>
      <c r="BD818">
        <f>IFERROR(INDEX(PP_Grid[#Data],$DD818,54),0)</f>
        <v/>
      </c>
      <c r="BE818">
        <f>IFERROR(INDEX(PP_Grid[#Data],$DD818,55),0)</f>
        <v/>
      </c>
      <c r="BF818">
        <f>IFERROR(INDEX(PP_Grid[#Data],$DD818,56),0)</f>
        <v/>
      </c>
      <c r="BG818">
        <f>IFERROR(INDEX(PP_Grid[#Data],$DD818,57),0)</f>
        <v/>
      </c>
      <c r="BH818">
        <f>IFERROR(INDEX(PP_Grid[#Data],$DD818,58),0)</f>
        <v/>
      </c>
      <c r="BI818">
        <f>IFERROR(INDEX(PP_Grid[#Data],$DD818,59),0)</f>
        <v/>
      </c>
      <c r="BJ818">
        <f>IFERROR(INDEX(PP_Grid[#Data],$DD818,60),0)</f>
        <v/>
      </c>
      <c r="BK818">
        <f>IFERROR(INDEX(PP_Grid[#Data],$DD818,61),0)</f>
        <v/>
      </c>
      <c r="BL818">
        <f>IFERROR(INDEX(PP_Grid[#Data],$DD818,62),0)</f>
        <v/>
      </c>
      <c r="BM818">
        <f>IFERROR(INDEX(PP_Grid[#Data],$DD818,63),0)</f>
        <v/>
      </c>
      <c r="BN818">
        <f>IFERROR(INDEX(PP_Grid[#Data],$DD818,64),0)</f>
        <v/>
      </c>
      <c r="BO818">
        <f>IFERROR(INDEX(PP_Grid[#Data],$DD818,65),0)</f>
        <v/>
      </c>
      <c r="BP818">
        <f>IFERROR(INDEX(PP_Grid[#Data],$DD818,66),0)</f>
        <v/>
      </c>
      <c r="BQ818">
        <f>IFERROR(INDEX(PP_Grid[#Data],$DD818,67),0)</f>
        <v/>
      </c>
      <c r="BR818">
        <f>IFERROR(INDEX(PP_Grid[#Data],$DD818,68),0)</f>
        <v/>
      </c>
      <c r="BS818">
        <f>IFERROR(INDEX(PP_Grid[#Data],$DD818,69),0)</f>
        <v/>
      </c>
      <c r="BT818">
        <f>IFERROR(INDEX(PP_Grid[#Data],$DD818,70),0)</f>
        <v/>
      </c>
      <c r="BU818">
        <f>IFERROR(INDEX(PP_Grid[#Data],$DD818,71),0)</f>
        <v/>
      </c>
      <c r="BV818">
        <f>IFERROR(INDEX(PP_Grid[#Data],$DD818,72),0)</f>
        <v/>
      </c>
      <c r="BW818">
        <f>IFERROR(INDEX(PP_Grid[#Data],$DD818,73),0)</f>
        <v/>
      </c>
      <c r="BX818">
        <f>IFERROR(INDEX(PP_Grid[#Data],$DD818,74),0)</f>
        <v/>
      </c>
      <c r="BY818">
        <f>IFERROR(INDEX(PP_Grid[#Data],$DD818,75),0)</f>
        <v/>
      </c>
      <c r="BZ818">
        <f>IFERROR(INDEX(PP_Grid[#Data],$DD818,76),0)</f>
        <v/>
      </c>
      <c r="CA818">
        <f>IFERROR(INDEX(PP_Grid[#Data],$DD818,77),0)</f>
        <v/>
      </c>
      <c r="CB818">
        <f>IFERROR(INDEX(PP_Grid[#Data],$DD818,78),0)</f>
        <v/>
      </c>
      <c r="CC818">
        <f>IFERROR(INDEX(PP_Grid[#Data],$DD818,79),0)</f>
        <v/>
      </c>
      <c r="CD818">
        <f>IFERROR(INDEX(PP_Grid[#Data],$DD818,80),0)</f>
        <v/>
      </c>
      <c r="CE818">
        <f>IFERROR(INDEX(PP_Grid[#Data],$DD818,81),0)</f>
        <v/>
      </c>
      <c r="CF818">
        <f>IFERROR(INDEX(PP_Grid[#Data],$DD818,82),0)</f>
        <v/>
      </c>
      <c r="CG818">
        <f>IFERROR(INDEX(PP_Grid[#Data],$DD818,83),0)</f>
        <v/>
      </c>
      <c r="CH818">
        <f>IFERROR(INDEX(PP_Grid[#Data],$DD818,84),0)</f>
        <v/>
      </c>
      <c r="CI818">
        <f>IFERROR(INDEX(PP_Grid[#Data],$DD818,85),0)</f>
        <v/>
      </c>
      <c r="CJ818">
        <f>IFERROR(INDEX(PP_Grid[#Data],$DD818,86),0)</f>
        <v/>
      </c>
      <c r="CK818">
        <f>IFERROR(INDEX(PP_Grid[#Data],$DD818,87),0)</f>
        <v/>
      </c>
      <c r="CL818">
        <f>IFERROR(INDEX(PP_Grid[#Data],$DD818,88),0)</f>
        <v/>
      </c>
      <c r="CM818">
        <f>IFERROR(INDEX(PP_Grid[#Data],$DD818,89),0)</f>
        <v/>
      </c>
      <c r="CN818">
        <f>IFERROR(INDEX(PP_Grid[#Data],$DD818,90),0)</f>
        <v/>
      </c>
      <c r="CO818">
        <f>IFERROR(INDEX(PP_Grid[#Data],$DD818,91),0)</f>
        <v/>
      </c>
      <c r="CP818">
        <f>IFERROR(INDEX(PP_Grid[#Data],$DD818,92),0)</f>
        <v/>
      </c>
      <c r="CQ818">
        <f>IFERROR(INDEX(PP_Grid[#Data],$DD818,93),0)</f>
        <v/>
      </c>
      <c r="CR818">
        <f>IFERROR(INDEX(PP_Grid[#Data],$DD818,94),0)</f>
        <v/>
      </c>
      <c r="CS818">
        <f>IFERROR(INDEX(PP_Grid[#Data],$DD818,95),0)</f>
        <v/>
      </c>
      <c r="CT818">
        <f>IFERROR(INDEX(PP_Grid[#Data],$DD818,96),0)</f>
        <v/>
      </c>
      <c r="CU818">
        <f>IFERROR(INDEX(PP_Grid[#Data],$DD818,97),0)</f>
        <v/>
      </c>
      <c r="CV818">
        <f>IFERROR(INDEX(PP_Grid[#Data],$DD818,98),0)</f>
        <v/>
      </c>
      <c r="CW818">
        <f>IFERROR(INDEX(PP_Grid[#Data],$DD818,99),0)</f>
        <v/>
      </c>
      <c r="CX818">
        <f>IFERROR(INDEX(PP_Grid[#Data],$DD818,100),0)</f>
        <v/>
      </c>
      <c r="CY818">
        <f>IFERROR(INDEX(PP_Grid[#Data],$DD818,101),0)</f>
        <v/>
      </c>
      <c r="CZ818">
        <f>IFERROR(INDEX(PP_Grid[#Data],$DD818,102),0)</f>
        <v/>
      </c>
      <c r="DA818">
        <f>IFERROR(INDEX(PP_Grid[#Data],$DD818,103),0)</f>
        <v/>
      </c>
      <c r="DB818">
        <f>IFERROR(INDEX(PP_Grid[#Data],$DD818,104),0)</f>
        <v/>
      </c>
      <c r="DC818">
        <f>IFERROR(INDEX(PP_Grid[#Data],$DD818,105),0)</f>
        <v/>
      </c>
      <c r="DD818" s="12">
        <f>IFERROR(MATCH($B818,PP_Grid[Intermediate],0),99999)</f>
        <v/>
      </c>
    </row>
    <row r="819">
      <c r="B819" t="inlineStr">
        <is>
          <t>使用量(kg)</t>
        </is>
      </c>
      <c r="C819">
        <f>SUMIFS(M_BOM[RM_Qty_Per_Batch],M_BOM[Intermediate],$B818,M_BOM[Part Name],$A773)</f>
        <v/>
      </c>
      <c r="D819">
        <f>$C819*D818</f>
        <v/>
      </c>
      <c r="E819">
        <f>$C819*E818</f>
        <v/>
      </c>
      <c r="F819">
        <f>$C819*F818</f>
        <v/>
      </c>
      <c r="G819">
        <f>$C819*G818</f>
        <v/>
      </c>
      <c r="H819">
        <f>$C819*H818</f>
        <v/>
      </c>
      <c r="I819">
        <f>$C819*I818</f>
        <v/>
      </c>
      <c r="J819">
        <f>$C819*J818</f>
        <v/>
      </c>
      <c r="K819">
        <f>$C819*K818</f>
        <v/>
      </c>
      <c r="L819">
        <f>$C819*L818</f>
        <v/>
      </c>
      <c r="M819">
        <f>$C819*M818</f>
        <v/>
      </c>
      <c r="N819">
        <f>$C819*N818</f>
        <v/>
      </c>
      <c r="O819">
        <f>$C819*O818</f>
        <v/>
      </c>
      <c r="P819">
        <f>$C819*P818</f>
        <v/>
      </c>
      <c r="Q819">
        <f>$C819*Q818</f>
        <v/>
      </c>
      <c r="R819">
        <f>$C819*R818</f>
        <v/>
      </c>
      <c r="S819">
        <f>$C819*S818</f>
        <v/>
      </c>
      <c r="T819">
        <f>$C819*T818</f>
        <v/>
      </c>
      <c r="U819">
        <f>$C819*U818</f>
        <v/>
      </c>
      <c r="V819">
        <f>$C819*V818</f>
        <v/>
      </c>
      <c r="W819">
        <f>$C819*W818</f>
        <v/>
      </c>
      <c r="X819">
        <f>$C819*X818</f>
        <v/>
      </c>
      <c r="Y819">
        <f>$C819*Y818</f>
        <v/>
      </c>
      <c r="Z819">
        <f>$C819*Z818</f>
        <v/>
      </c>
      <c r="AA819">
        <f>$C819*AA818</f>
        <v/>
      </c>
      <c r="AB819">
        <f>$C819*AB818</f>
        <v/>
      </c>
      <c r="AC819">
        <f>$C819*AC818</f>
        <v/>
      </c>
      <c r="AD819">
        <f>$C819*AD818</f>
        <v/>
      </c>
      <c r="AE819">
        <f>$C819*AE818</f>
        <v/>
      </c>
      <c r="AF819">
        <f>$C819*AF818</f>
        <v/>
      </c>
      <c r="AG819">
        <f>$C819*AG818</f>
        <v/>
      </c>
      <c r="AH819">
        <f>$C819*AH818</f>
        <v/>
      </c>
      <c r="AI819">
        <f>$C819*AI818</f>
        <v/>
      </c>
      <c r="AJ819">
        <f>$C819*AJ818</f>
        <v/>
      </c>
      <c r="AK819">
        <f>$C819*AK818</f>
        <v/>
      </c>
      <c r="AL819">
        <f>$C819*AL818</f>
        <v/>
      </c>
      <c r="AM819">
        <f>$C819*AM818</f>
        <v/>
      </c>
      <c r="AN819">
        <f>$C819*AN818</f>
        <v/>
      </c>
      <c r="AO819">
        <f>$C819*AO818</f>
        <v/>
      </c>
      <c r="AP819">
        <f>$C819*AP818</f>
        <v/>
      </c>
      <c r="AQ819">
        <f>$C819*AQ818</f>
        <v/>
      </c>
      <c r="AR819">
        <f>$C819*AR818</f>
        <v/>
      </c>
      <c r="AS819">
        <f>$C819*AS818</f>
        <v/>
      </c>
      <c r="AT819">
        <f>$C819*AT818</f>
        <v/>
      </c>
      <c r="AU819">
        <f>$C819*AU818</f>
        <v/>
      </c>
      <c r="AV819">
        <f>$C819*AV818</f>
        <v/>
      </c>
      <c r="AW819">
        <f>$C819*AW818</f>
        <v/>
      </c>
      <c r="AX819">
        <f>$C819*AX818</f>
        <v/>
      </c>
      <c r="AY819">
        <f>$C819*AY818</f>
        <v/>
      </c>
      <c r="AZ819">
        <f>$C819*AZ818</f>
        <v/>
      </c>
      <c r="BA819">
        <f>$C819*BA818</f>
        <v/>
      </c>
      <c r="BB819">
        <f>$C819*BB818</f>
        <v/>
      </c>
      <c r="BC819">
        <f>$C819*BC818</f>
        <v/>
      </c>
      <c r="BD819">
        <f>$C819*BD818</f>
        <v/>
      </c>
      <c r="BE819">
        <f>$C819*BE818</f>
        <v/>
      </c>
      <c r="BF819">
        <f>$C819*BF818</f>
        <v/>
      </c>
      <c r="BG819">
        <f>$C819*BG818</f>
        <v/>
      </c>
      <c r="BH819">
        <f>$C819*BH818</f>
        <v/>
      </c>
      <c r="BI819">
        <f>$C819*BI818</f>
        <v/>
      </c>
      <c r="BJ819">
        <f>$C819*BJ818</f>
        <v/>
      </c>
      <c r="BK819">
        <f>$C819*BK818</f>
        <v/>
      </c>
      <c r="BL819">
        <f>$C819*BL818</f>
        <v/>
      </c>
      <c r="BM819">
        <f>$C819*BM818</f>
        <v/>
      </c>
      <c r="BN819">
        <f>$C819*BN818</f>
        <v/>
      </c>
      <c r="BO819">
        <f>$C819*BO818</f>
        <v/>
      </c>
      <c r="BP819">
        <f>$C819*BP818</f>
        <v/>
      </c>
      <c r="BQ819">
        <f>$C819*BQ818</f>
        <v/>
      </c>
      <c r="BR819">
        <f>$C819*BR818</f>
        <v/>
      </c>
      <c r="BS819">
        <f>$C819*BS818</f>
        <v/>
      </c>
      <c r="BT819">
        <f>$C819*BT818</f>
        <v/>
      </c>
      <c r="BU819">
        <f>$C819*BU818</f>
        <v/>
      </c>
      <c r="BV819">
        <f>$C819*BV818</f>
        <v/>
      </c>
      <c r="BW819">
        <f>$C819*BW818</f>
        <v/>
      </c>
      <c r="BX819">
        <f>$C819*BX818</f>
        <v/>
      </c>
      <c r="BY819">
        <f>$C819*BY818</f>
        <v/>
      </c>
      <c r="BZ819">
        <f>$C819*BZ818</f>
        <v/>
      </c>
      <c r="CA819">
        <f>$C819*CA818</f>
        <v/>
      </c>
      <c r="CB819">
        <f>$C819*CB818</f>
        <v/>
      </c>
      <c r="CC819">
        <f>$C819*CC818</f>
        <v/>
      </c>
      <c r="CD819">
        <f>$C819*CD818</f>
        <v/>
      </c>
      <c r="CE819">
        <f>$C819*CE818</f>
        <v/>
      </c>
      <c r="CF819">
        <f>$C819*CF818</f>
        <v/>
      </c>
      <c r="CG819">
        <f>$C819*CG818</f>
        <v/>
      </c>
      <c r="CH819">
        <f>$C819*CH818</f>
        <v/>
      </c>
      <c r="CI819">
        <f>$C819*CI818</f>
        <v/>
      </c>
      <c r="CJ819">
        <f>$C819*CJ818</f>
        <v/>
      </c>
      <c r="CK819">
        <f>$C819*CK818</f>
        <v/>
      </c>
      <c r="CL819">
        <f>$C819*CL818</f>
        <v/>
      </c>
      <c r="CM819">
        <f>$C819*CM818</f>
        <v/>
      </c>
      <c r="CN819">
        <f>$C819*CN818</f>
        <v/>
      </c>
      <c r="CO819">
        <f>$C819*CO818</f>
        <v/>
      </c>
      <c r="CP819">
        <f>$C819*CP818</f>
        <v/>
      </c>
      <c r="CQ819">
        <f>$C819*CQ818</f>
        <v/>
      </c>
      <c r="CR819">
        <f>$C819*CR818</f>
        <v/>
      </c>
      <c r="CS819">
        <f>$C819*CS818</f>
        <v/>
      </c>
      <c r="CT819">
        <f>$C819*CT818</f>
        <v/>
      </c>
      <c r="CU819">
        <f>$C819*CU818</f>
        <v/>
      </c>
      <c r="CV819">
        <f>$C819*CV818</f>
        <v/>
      </c>
      <c r="CW819">
        <f>$C819*CW818</f>
        <v/>
      </c>
      <c r="CX819">
        <f>$C819*CX818</f>
        <v/>
      </c>
      <c r="CY819">
        <f>$C819*CY818</f>
        <v/>
      </c>
      <c r="CZ819">
        <f>$C819*CZ818</f>
        <v/>
      </c>
      <c r="DA819">
        <f>$C819*DA818</f>
        <v/>
      </c>
      <c r="DB819">
        <f>$C819*DB818</f>
        <v/>
      </c>
      <c r="DC819">
        <f>$C819*DC818</f>
        <v/>
      </c>
    </row>
    <row r="820">
      <c r="B820" t="inlineStr">
        <is>
          <t>VSP-870</t>
        </is>
      </c>
      <c r="C820" t="inlineStr">
        <is>
          <t>No. of batches</t>
        </is>
      </c>
      <c r="D820">
        <f>IFERROR(INDEX(PP_Grid[#Data],$DD820,2),0)</f>
        <v/>
      </c>
      <c r="E820">
        <f>IFERROR(INDEX(PP_Grid[#Data],$DD820,3),0)</f>
        <v/>
      </c>
      <c r="F820">
        <f>IFERROR(INDEX(PP_Grid[#Data],$DD820,4),0)</f>
        <v/>
      </c>
      <c r="G820">
        <f>IFERROR(INDEX(PP_Grid[#Data],$DD820,5),0)</f>
        <v/>
      </c>
      <c r="H820">
        <f>IFERROR(INDEX(PP_Grid[#Data],$DD820,6),0)</f>
        <v/>
      </c>
      <c r="I820">
        <f>IFERROR(INDEX(PP_Grid[#Data],$DD820,7),0)</f>
        <v/>
      </c>
      <c r="J820">
        <f>IFERROR(INDEX(PP_Grid[#Data],$DD820,8),0)</f>
        <v/>
      </c>
      <c r="K820">
        <f>IFERROR(INDEX(PP_Grid[#Data],$DD820,9),0)</f>
        <v/>
      </c>
      <c r="L820">
        <f>IFERROR(INDEX(PP_Grid[#Data],$DD820,10),0)</f>
        <v/>
      </c>
      <c r="M820">
        <f>IFERROR(INDEX(PP_Grid[#Data],$DD820,11),0)</f>
        <v/>
      </c>
      <c r="N820">
        <f>IFERROR(INDEX(PP_Grid[#Data],$DD820,12),0)</f>
        <v/>
      </c>
      <c r="O820">
        <f>IFERROR(INDEX(PP_Grid[#Data],$DD820,13),0)</f>
        <v/>
      </c>
      <c r="P820">
        <f>IFERROR(INDEX(PP_Grid[#Data],$DD820,14),0)</f>
        <v/>
      </c>
      <c r="Q820">
        <f>IFERROR(INDEX(PP_Grid[#Data],$DD820,15),0)</f>
        <v/>
      </c>
      <c r="R820">
        <f>IFERROR(INDEX(PP_Grid[#Data],$DD820,16),0)</f>
        <v/>
      </c>
      <c r="S820">
        <f>IFERROR(INDEX(PP_Grid[#Data],$DD820,17),0)</f>
        <v/>
      </c>
      <c r="T820">
        <f>IFERROR(INDEX(PP_Grid[#Data],$DD820,18),0)</f>
        <v/>
      </c>
      <c r="U820">
        <f>IFERROR(INDEX(PP_Grid[#Data],$DD820,19),0)</f>
        <v/>
      </c>
      <c r="V820">
        <f>IFERROR(INDEX(PP_Grid[#Data],$DD820,20),0)</f>
        <v/>
      </c>
      <c r="W820">
        <f>IFERROR(INDEX(PP_Grid[#Data],$DD820,21),0)</f>
        <v/>
      </c>
      <c r="X820">
        <f>IFERROR(INDEX(PP_Grid[#Data],$DD820,22),0)</f>
        <v/>
      </c>
      <c r="Y820">
        <f>IFERROR(INDEX(PP_Grid[#Data],$DD820,23),0)</f>
        <v/>
      </c>
      <c r="Z820">
        <f>IFERROR(INDEX(PP_Grid[#Data],$DD820,24),0)</f>
        <v/>
      </c>
      <c r="AA820">
        <f>IFERROR(INDEX(PP_Grid[#Data],$DD820,25),0)</f>
        <v/>
      </c>
      <c r="AB820">
        <f>IFERROR(INDEX(PP_Grid[#Data],$DD820,26),0)</f>
        <v/>
      </c>
      <c r="AC820">
        <f>IFERROR(INDEX(PP_Grid[#Data],$DD820,27),0)</f>
        <v/>
      </c>
      <c r="AD820">
        <f>IFERROR(INDEX(PP_Grid[#Data],$DD820,28),0)</f>
        <v/>
      </c>
      <c r="AE820">
        <f>IFERROR(INDEX(PP_Grid[#Data],$DD820,29),0)</f>
        <v/>
      </c>
      <c r="AF820">
        <f>IFERROR(INDEX(PP_Grid[#Data],$DD820,30),0)</f>
        <v/>
      </c>
      <c r="AG820">
        <f>IFERROR(INDEX(PP_Grid[#Data],$DD820,31),0)</f>
        <v/>
      </c>
      <c r="AH820">
        <f>IFERROR(INDEX(PP_Grid[#Data],$DD820,32),0)</f>
        <v/>
      </c>
      <c r="AI820">
        <f>IFERROR(INDEX(PP_Grid[#Data],$DD820,33),0)</f>
        <v/>
      </c>
      <c r="AJ820">
        <f>IFERROR(INDEX(PP_Grid[#Data],$DD820,34),0)</f>
        <v/>
      </c>
      <c r="AK820">
        <f>IFERROR(INDEX(PP_Grid[#Data],$DD820,35),0)</f>
        <v/>
      </c>
      <c r="AL820">
        <f>IFERROR(INDEX(PP_Grid[#Data],$DD820,36),0)</f>
        <v/>
      </c>
      <c r="AM820">
        <f>IFERROR(INDEX(PP_Grid[#Data],$DD820,37),0)</f>
        <v/>
      </c>
      <c r="AN820">
        <f>IFERROR(INDEX(PP_Grid[#Data],$DD820,38),0)</f>
        <v/>
      </c>
      <c r="AO820">
        <f>IFERROR(INDEX(PP_Grid[#Data],$DD820,39),0)</f>
        <v/>
      </c>
      <c r="AP820">
        <f>IFERROR(INDEX(PP_Grid[#Data],$DD820,40),0)</f>
        <v/>
      </c>
      <c r="AQ820">
        <f>IFERROR(INDEX(PP_Grid[#Data],$DD820,41),0)</f>
        <v/>
      </c>
      <c r="AR820">
        <f>IFERROR(INDEX(PP_Grid[#Data],$DD820,42),0)</f>
        <v/>
      </c>
      <c r="AS820">
        <f>IFERROR(INDEX(PP_Grid[#Data],$DD820,43),0)</f>
        <v/>
      </c>
      <c r="AT820">
        <f>IFERROR(INDEX(PP_Grid[#Data],$DD820,44),0)</f>
        <v/>
      </c>
      <c r="AU820">
        <f>IFERROR(INDEX(PP_Grid[#Data],$DD820,45),0)</f>
        <v/>
      </c>
      <c r="AV820">
        <f>IFERROR(INDEX(PP_Grid[#Data],$DD820,46),0)</f>
        <v/>
      </c>
      <c r="AW820">
        <f>IFERROR(INDEX(PP_Grid[#Data],$DD820,47),0)</f>
        <v/>
      </c>
      <c r="AX820">
        <f>IFERROR(INDEX(PP_Grid[#Data],$DD820,48),0)</f>
        <v/>
      </c>
      <c r="AY820">
        <f>IFERROR(INDEX(PP_Grid[#Data],$DD820,49),0)</f>
        <v/>
      </c>
      <c r="AZ820">
        <f>IFERROR(INDEX(PP_Grid[#Data],$DD820,50),0)</f>
        <v/>
      </c>
      <c r="BA820">
        <f>IFERROR(INDEX(PP_Grid[#Data],$DD820,51),0)</f>
        <v/>
      </c>
      <c r="BB820">
        <f>IFERROR(INDEX(PP_Grid[#Data],$DD820,52),0)</f>
        <v/>
      </c>
      <c r="BC820">
        <f>IFERROR(INDEX(PP_Grid[#Data],$DD820,53),0)</f>
        <v/>
      </c>
      <c r="BD820">
        <f>IFERROR(INDEX(PP_Grid[#Data],$DD820,54),0)</f>
        <v/>
      </c>
      <c r="BE820">
        <f>IFERROR(INDEX(PP_Grid[#Data],$DD820,55),0)</f>
        <v/>
      </c>
      <c r="BF820">
        <f>IFERROR(INDEX(PP_Grid[#Data],$DD820,56),0)</f>
        <v/>
      </c>
      <c r="BG820">
        <f>IFERROR(INDEX(PP_Grid[#Data],$DD820,57),0)</f>
        <v/>
      </c>
      <c r="BH820">
        <f>IFERROR(INDEX(PP_Grid[#Data],$DD820,58),0)</f>
        <v/>
      </c>
      <c r="BI820">
        <f>IFERROR(INDEX(PP_Grid[#Data],$DD820,59),0)</f>
        <v/>
      </c>
      <c r="BJ820">
        <f>IFERROR(INDEX(PP_Grid[#Data],$DD820,60),0)</f>
        <v/>
      </c>
      <c r="BK820">
        <f>IFERROR(INDEX(PP_Grid[#Data],$DD820,61),0)</f>
        <v/>
      </c>
      <c r="BL820">
        <f>IFERROR(INDEX(PP_Grid[#Data],$DD820,62),0)</f>
        <v/>
      </c>
      <c r="BM820">
        <f>IFERROR(INDEX(PP_Grid[#Data],$DD820,63),0)</f>
        <v/>
      </c>
      <c r="BN820">
        <f>IFERROR(INDEX(PP_Grid[#Data],$DD820,64),0)</f>
        <v/>
      </c>
      <c r="BO820">
        <f>IFERROR(INDEX(PP_Grid[#Data],$DD820,65),0)</f>
        <v/>
      </c>
      <c r="BP820">
        <f>IFERROR(INDEX(PP_Grid[#Data],$DD820,66),0)</f>
        <v/>
      </c>
      <c r="BQ820">
        <f>IFERROR(INDEX(PP_Grid[#Data],$DD820,67),0)</f>
        <v/>
      </c>
      <c r="BR820">
        <f>IFERROR(INDEX(PP_Grid[#Data],$DD820,68),0)</f>
        <v/>
      </c>
      <c r="BS820">
        <f>IFERROR(INDEX(PP_Grid[#Data],$DD820,69),0)</f>
        <v/>
      </c>
      <c r="BT820">
        <f>IFERROR(INDEX(PP_Grid[#Data],$DD820,70),0)</f>
        <v/>
      </c>
      <c r="BU820">
        <f>IFERROR(INDEX(PP_Grid[#Data],$DD820,71),0)</f>
        <v/>
      </c>
      <c r="BV820">
        <f>IFERROR(INDEX(PP_Grid[#Data],$DD820,72),0)</f>
        <v/>
      </c>
      <c r="BW820">
        <f>IFERROR(INDEX(PP_Grid[#Data],$DD820,73),0)</f>
        <v/>
      </c>
      <c r="BX820">
        <f>IFERROR(INDEX(PP_Grid[#Data],$DD820,74),0)</f>
        <v/>
      </c>
      <c r="BY820">
        <f>IFERROR(INDEX(PP_Grid[#Data],$DD820,75),0)</f>
        <v/>
      </c>
      <c r="BZ820">
        <f>IFERROR(INDEX(PP_Grid[#Data],$DD820,76),0)</f>
        <v/>
      </c>
      <c r="CA820">
        <f>IFERROR(INDEX(PP_Grid[#Data],$DD820,77),0)</f>
        <v/>
      </c>
      <c r="CB820">
        <f>IFERROR(INDEX(PP_Grid[#Data],$DD820,78),0)</f>
        <v/>
      </c>
      <c r="CC820">
        <f>IFERROR(INDEX(PP_Grid[#Data],$DD820,79),0)</f>
        <v/>
      </c>
      <c r="CD820">
        <f>IFERROR(INDEX(PP_Grid[#Data],$DD820,80),0)</f>
        <v/>
      </c>
      <c r="CE820">
        <f>IFERROR(INDEX(PP_Grid[#Data],$DD820,81),0)</f>
        <v/>
      </c>
      <c r="CF820">
        <f>IFERROR(INDEX(PP_Grid[#Data],$DD820,82),0)</f>
        <v/>
      </c>
      <c r="CG820">
        <f>IFERROR(INDEX(PP_Grid[#Data],$DD820,83),0)</f>
        <v/>
      </c>
      <c r="CH820">
        <f>IFERROR(INDEX(PP_Grid[#Data],$DD820,84),0)</f>
        <v/>
      </c>
      <c r="CI820">
        <f>IFERROR(INDEX(PP_Grid[#Data],$DD820,85),0)</f>
        <v/>
      </c>
      <c r="CJ820">
        <f>IFERROR(INDEX(PP_Grid[#Data],$DD820,86),0)</f>
        <v/>
      </c>
      <c r="CK820">
        <f>IFERROR(INDEX(PP_Grid[#Data],$DD820,87),0)</f>
        <v/>
      </c>
      <c r="CL820">
        <f>IFERROR(INDEX(PP_Grid[#Data],$DD820,88),0)</f>
        <v/>
      </c>
      <c r="CM820">
        <f>IFERROR(INDEX(PP_Grid[#Data],$DD820,89),0)</f>
        <v/>
      </c>
      <c r="CN820">
        <f>IFERROR(INDEX(PP_Grid[#Data],$DD820,90),0)</f>
        <v/>
      </c>
      <c r="CO820">
        <f>IFERROR(INDEX(PP_Grid[#Data],$DD820,91),0)</f>
        <v/>
      </c>
      <c r="CP820">
        <f>IFERROR(INDEX(PP_Grid[#Data],$DD820,92),0)</f>
        <v/>
      </c>
      <c r="CQ820">
        <f>IFERROR(INDEX(PP_Grid[#Data],$DD820,93),0)</f>
        <v/>
      </c>
      <c r="CR820">
        <f>IFERROR(INDEX(PP_Grid[#Data],$DD820,94),0)</f>
        <v/>
      </c>
      <c r="CS820">
        <f>IFERROR(INDEX(PP_Grid[#Data],$DD820,95),0)</f>
        <v/>
      </c>
      <c r="CT820">
        <f>IFERROR(INDEX(PP_Grid[#Data],$DD820,96),0)</f>
        <v/>
      </c>
      <c r="CU820">
        <f>IFERROR(INDEX(PP_Grid[#Data],$DD820,97),0)</f>
        <v/>
      </c>
      <c r="CV820">
        <f>IFERROR(INDEX(PP_Grid[#Data],$DD820,98),0)</f>
        <v/>
      </c>
      <c r="CW820">
        <f>IFERROR(INDEX(PP_Grid[#Data],$DD820,99),0)</f>
        <v/>
      </c>
      <c r="CX820">
        <f>IFERROR(INDEX(PP_Grid[#Data],$DD820,100),0)</f>
        <v/>
      </c>
      <c r="CY820">
        <f>IFERROR(INDEX(PP_Grid[#Data],$DD820,101),0)</f>
        <v/>
      </c>
      <c r="CZ820">
        <f>IFERROR(INDEX(PP_Grid[#Data],$DD820,102),0)</f>
        <v/>
      </c>
      <c r="DA820">
        <f>IFERROR(INDEX(PP_Grid[#Data],$DD820,103),0)</f>
        <v/>
      </c>
      <c r="DB820">
        <f>IFERROR(INDEX(PP_Grid[#Data],$DD820,104),0)</f>
        <v/>
      </c>
      <c r="DC820">
        <f>IFERROR(INDEX(PP_Grid[#Data],$DD820,105),0)</f>
        <v/>
      </c>
      <c r="DD820" s="12">
        <f>IFERROR(MATCH($B820,PP_Grid[Intermediate],0),99999)</f>
        <v/>
      </c>
    </row>
    <row r="821">
      <c r="B821" t="inlineStr">
        <is>
          <t>使用量(kg)</t>
        </is>
      </c>
      <c r="C821">
        <f>SUMIFS(M_BOM[RM_Qty_Per_Batch],M_BOM[Intermediate],$B820,M_BOM[Part Name],$A773)</f>
        <v/>
      </c>
      <c r="D821">
        <f>$C821*D820</f>
        <v/>
      </c>
      <c r="E821">
        <f>$C821*E820</f>
        <v/>
      </c>
      <c r="F821">
        <f>$C821*F820</f>
        <v/>
      </c>
      <c r="G821">
        <f>$C821*G820</f>
        <v/>
      </c>
      <c r="H821">
        <f>$C821*H820</f>
        <v/>
      </c>
      <c r="I821">
        <f>$C821*I820</f>
        <v/>
      </c>
      <c r="J821">
        <f>$C821*J820</f>
        <v/>
      </c>
      <c r="K821">
        <f>$C821*K820</f>
        <v/>
      </c>
      <c r="L821">
        <f>$C821*L820</f>
        <v/>
      </c>
      <c r="M821">
        <f>$C821*M820</f>
        <v/>
      </c>
      <c r="N821">
        <f>$C821*N820</f>
        <v/>
      </c>
      <c r="O821">
        <f>$C821*O820</f>
        <v/>
      </c>
      <c r="P821">
        <f>$C821*P820</f>
        <v/>
      </c>
      <c r="Q821">
        <f>$C821*Q820</f>
        <v/>
      </c>
      <c r="R821">
        <f>$C821*R820</f>
        <v/>
      </c>
      <c r="S821">
        <f>$C821*S820</f>
        <v/>
      </c>
      <c r="T821">
        <f>$C821*T820</f>
        <v/>
      </c>
      <c r="U821">
        <f>$C821*U820</f>
        <v/>
      </c>
      <c r="V821">
        <f>$C821*V820</f>
        <v/>
      </c>
      <c r="W821">
        <f>$C821*W820</f>
        <v/>
      </c>
      <c r="X821">
        <f>$C821*X820</f>
        <v/>
      </c>
      <c r="Y821">
        <f>$C821*Y820</f>
        <v/>
      </c>
      <c r="Z821">
        <f>$C821*Z820</f>
        <v/>
      </c>
      <c r="AA821">
        <f>$C821*AA820</f>
        <v/>
      </c>
      <c r="AB821">
        <f>$C821*AB820</f>
        <v/>
      </c>
      <c r="AC821">
        <f>$C821*AC820</f>
        <v/>
      </c>
      <c r="AD821">
        <f>$C821*AD820</f>
        <v/>
      </c>
      <c r="AE821">
        <f>$C821*AE820</f>
        <v/>
      </c>
      <c r="AF821">
        <f>$C821*AF820</f>
        <v/>
      </c>
      <c r="AG821">
        <f>$C821*AG820</f>
        <v/>
      </c>
      <c r="AH821">
        <f>$C821*AH820</f>
        <v/>
      </c>
      <c r="AI821">
        <f>$C821*AI820</f>
        <v/>
      </c>
      <c r="AJ821">
        <f>$C821*AJ820</f>
        <v/>
      </c>
      <c r="AK821">
        <f>$C821*AK820</f>
        <v/>
      </c>
      <c r="AL821">
        <f>$C821*AL820</f>
        <v/>
      </c>
      <c r="AM821">
        <f>$C821*AM820</f>
        <v/>
      </c>
      <c r="AN821">
        <f>$C821*AN820</f>
        <v/>
      </c>
      <c r="AO821">
        <f>$C821*AO820</f>
        <v/>
      </c>
      <c r="AP821">
        <f>$C821*AP820</f>
        <v/>
      </c>
      <c r="AQ821">
        <f>$C821*AQ820</f>
        <v/>
      </c>
      <c r="AR821">
        <f>$C821*AR820</f>
        <v/>
      </c>
      <c r="AS821">
        <f>$C821*AS820</f>
        <v/>
      </c>
      <c r="AT821">
        <f>$C821*AT820</f>
        <v/>
      </c>
      <c r="AU821">
        <f>$C821*AU820</f>
        <v/>
      </c>
      <c r="AV821">
        <f>$C821*AV820</f>
        <v/>
      </c>
      <c r="AW821">
        <f>$C821*AW820</f>
        <v/>
      </c>
      <c r="AX821">
        <f>$C821*AX820</f>
        <v/>
      </c>
      <c r="AY821">
        <f>$C821*AY820</f>
        <v/>
      </c>
      <c r="AZ821">
        <f>$C821*AZ820</f>
        <v/>
      </c>
      <c r="BA821">
        <f>$C821*BA820</f>
        <v/>
      </c>
      <c r="BB821">
        <f>$C821*BB820</f>
        <v/>
      </c>
      <c r="BC821">
        <f>$C821*BC820</f>
        <v/>
      </c>
      <c r="BD821">
        <f>$C821*BD820</f>
        <v/>
      </c>
      <c r="BE821">
        <f>$C821*BE820</f>
        <v/>
      </c>
      <c r="BF821">
        <f>$C821*BF820</f>
        <v/>
      </c>
      <c r="BG821">
        <f>$C821*BG820</f>
        <v/>
      </c>
      <c r="BH821">
        <f>$C821*BH820</f>
        <v/>
      </c>
      <c r="BI821">
        <f>$C821*BI820</f>
        <v/>
      </c>
      <c r="BJ821">
        <f>$C821*BJ820</f>
        <v/>
      </c>
      <c r="BK821">
        <f>$C821*BK820</f>
        <v/>
      </c>
      <c r="BL821">
        <f>$C821*BL820</f>
        <v/>
      </c>
      <c r="BM821">
        <f>$C821*BM820</f>
        <v/>
      </c>
      <c r="BN821">
        <f>$C821*BN820</f>
        <v/>
      </c>
      <c r="BO821">
        <f>$C821*BO820</f>
        <v/>
      </c>
      <c r="BP821">
        <f>$C821*BP820</f>
        <v/>
      </c>
      <c r="BQ821">
        <f>$C821*BQ820</f>
        <v/>
      </c>
      <c r="BR821">
        <f>$C821*BR820</f>
        <v/>
      </c>
      <c r="BS821">
        <f>$C821*BS820</f>
        <v/>
      </c>
      <c r="BT821">
        <f>$C821*BT820</f>
        <v/>
      </c>
      <c r="BU821">
        <f>$C821*BU820</f>
        <v/>
      </c>
      <c r="BV821">
        <f>$C821*BV820</f>
        <v/>
      </c>
      <c r="BW821">
        <f>$C821*BW820</f>
        <v/>
      </c>
      <c r="BX821">
        <f>$C821*BX820</f>
        <v/>
      </c>
      <c r="BY821">
        <f>$C821*BY820</f>
        <v/>
      </c>
      <c r="BZ821">
        <f>$C821*BZ820</f>
        <v/>
      </c>
      <c r="CA821">
        <f>$C821*CA820</f>
        <v/>
      </c>
      <c r="CB821">
        <f>$C821*CB820</f>
        <v/>
      </c>
      <c r="CC821">
        <f>$C821*CC820</f>
        <v/>
      </c>
      <c r="CD821">
        <f>$C821*CD820</f>
        <v/>
      </c>
      <c r="CE821">
        <f>$C821*CE820</f>
        <v/>
      </c>
      <c r="CF821">
        <f>$C821*CF820</f>
        <v/>
      </c>
      <c r="CG821">
        <f>$C821*CG820</f>
        <v/>
      </c>
      <c r="CH821">
        <f>$C821*CH820</f>
        <v/>
      </c>
      <c r="CI821">
        <f>$C821*CI820</f>
        <v/>
      </c>
      <c r="CJ821">
        <f>$C821*CJ820</f>
        <v/>
      </c>
      <c r="CK821">
        <f>$C821*CK820</f>
        <v/>
      </c>
      <c r="CL821">
        <f>$C821*CL820</f>
        <v/>
      </c>
      <c r="CM821">
        <f>$C821*CM820</f>
        <v/>
      </c>
      <c r="CN821">
        <f>$C821*CN820</f>
        <v/>
      </c>
      <c r="CO821">
        <f>$C821*CO820</f>
        <v/>
      </c>
      <c r="CP821">
        <f>$C821*CP820</f>
        <v/>
      </c>
      <c r="CQ821">
        <f>$C821*CQ820</f>
        <v/>
      </c>
      <c r="CR821">
        <f>$C821*CR820</f>
        <v/>
      </c>
      <c r="CS821">
        <f>$C821*CS820</f>
        <v/>
      </c>
      <c r="CT821">
        <f>$C821*CT820</f>
        <v/>
      </c>
      <c r="CU821">
        <f>$C821*CU820</f>
        <v/>
      </c>
      <c r="CV821">
        <f>$C821*CV820</f>
        <v/>
      </c>
      <c r="CW821">
        <f>$C821*CW820</f>
        <v/>
      </c>
      <c r="CX821">
        <f>$C821*CX820</f>
        <v/>
      </c>
      <c r="CY821">
        <f>$C821*CY820</f>
        <v/>
      </c>
      <c r="CZ821">
        <f>$C821*CZ820</f>
        <v/>
      </c>
      <c r="DA821">
        <f>$C821*DA820</f>
        <v/>
      </c>
      <c r="DB821">
        <f>$C821*DB820</f>
        <v/>
      </c>
      <c r="DC821">
        <f>$C821*DC820</f>
        <v/>
      </c>
    </row>
    <row r="822">
      <c r="B822" t="inlineStr">
        <is>
          <t>VSP-990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Name],$A773)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t="inlineStr">
        <is>
          <t>VSZ-745</t>
        </is>
      </c>
      <c r="C824" t="inlineStr">
        <is>
          <t>No. of batches</t>
        </is>
      </c>
      <c r="D824">
        <f>IFERROR(INDEX(PP_Grid[#Data],$DD824,2),0)</f>
        <v/>
      </c>
      <c r="E824">
        <f>IFERROR(INDEX(PP_Grid[#Data],$DD824,3),0)</f>
        <v/>
      </c>
      <c r="F824">
        <f>IFERROR(INDEX(PP_Grid[#Data],$DD824,4),0)</f>
        <v/>
      </c>
      <c r="G824">
        <f>IFERROR(INDEX(PP_Grid[#Data],$DD824,5),0)</f>
        <v/>
      </c>
      <c r="H824">
        <f>IFERROR(INDEX(PP_Grid[#Data],$DD824,6),0)</f>
        <v/>
      </c>
      <c r="I824">
        <f>IFERROR(INDEX(PP_Grid[#Data],$DD824,7),0)</f>
        <v/>
      </c>
      <c r="J824">
        <f>IFERROR(INDEX(PP_Grid[#Data],$DD824,8),0)</f>
        <v/>
      </c>
      <c r="K824">
        <f>IFERROR(INDEX(PP_Grid[#Data],$DD824,9),0)</f>
        <v/>
      </c>
      <c r="L824">
        <f>IFERROR(INDEX(PP_Grid[#Data],$DD824,10),0)</f>
        <v/>
      </c>
      <c r="M824">
        <f>IFERROR(INDEX(PP_Grid[#Data],$DD824,11),0)</f>
        <v/>
      </c>
      <c r="N824">
        <f>IFERROR(INDEX(PP_Grid[#Data],$DD824,12),0)</f>
        <v/>
      </c>
      <c r="O824">
        <f>IFERROR(INDEX(PP_Grid[#Data],$DD824,13),0)</f>
        <v/>
      </c>
      <c r="P824">
        <f>IFERROR(INDEX(PP_Grid[#Data],$DD824,14),0)</f>
        <v/>
      </c>
      <c r="Q824">
        <f>IFERROR(INDEX(PP_Grid[#Data],$DD824,15),0)</f>
        <v/>
      </c>
      <c r="R824">
        <f>IFERROR(INDEX(PP_Grid[#Data],$DD824,16),0)</f>
        <v/>
      </c>
      <c r="S824">
        <f>IFERROR(INDEX(PP_Grid[#Data],$DD824,17),0)</f>
        <v/>
      </c>
      <c r="T824">
        <f>IFERROR(INDEX(PP_Grid[#Data],$DD824,18),0)</f>
        <v/>
      </c>
      <c r="U824">
        <f>IFERROR(INDEX(PP_Grid[#Data],$DD824,19),0)</f>
        <v/>
      </c>
      <c r="V824">
        <f>IFERROR(INDEX(PP_Grid[#Data],$DD824,20),0)</f>
        <v/>
      </c>
      <c r="W824">
        <f>IFERROR(INDEX(PP_Grid[#Data],$DD824,21),0)</f>
        <v/>
      </c>
      <c r="X824">
        <f>IFERROR(INDEX(PP_Grid[#Data],$DD824,22),0)</f>
        <v/>
      </c>
      <c r="Y824">
        <f>IFERROR(INDEX(PP_Grid[#Data],$DD824,23),0)</f>
        <v/>
      </c>
      <c r="Z824">
        <f>IFERROR(INDEX(PP_Grid[#Data],$DD824,24),0)</f>
        <v/>
      </c>
      <c r="AA824">
        <f>IFERROR(INDEX(PP_Grid[#Data],$DD824,25),0)</f>
        <v/>
      </c>
      <c r="AB824">
        <f>IFERROR(INDEX(PP_Grid[#Data],$DD824,26),0)</f>
        <v/>
      </c>
      <c r="AC824">
        <f>IFERROR(INDEX(PP_Grid[#Data],$DD824,27),0)</f>
        <v/>
      </c>
      <c r="AD824">
        <f>IFERROR(INDEX(PP_Grid[#Data],$DD824,28),0)</f>
        <v/>
      </c>
      <c r="AE824">
        <f>IFERROR(INDEX(PP_Grid[#Data],$DD824,29),0)</f>
        <v/>
      </c>
      <c r="AF824">
        <f>IFERROR(INDEX(PP_Grid[#Data],$DD824,30),0)</f>
        <v/>
      </c>
      <c r="AG824">
        <f>IFERROR(INDEX(PP_Grid[#Data],$DD824,31),0)</f>
        <v/>
      </c>
      <c r="AH824">
        <f>IFERROR(INDEX(PP_Grid[#Data],$DD824,32),0)</f>
        <v/>
      </c>
      <c r="AI824">
        <f>IFERROR(INDEX(PP_Grid[#Data],$DD824,33),0)</f>
        <v/>
      </c>
      <c r="AJ824">
        <f>IFERROR(INDEX(PP_Grid[#Data],$DD824,34),0)</f>
        <v/>
      </c>
      <c r="AK824">
        <f>IFERROR(INDEX(PP_Grid[#Data],$DD824,35),0)</f>
        <v/>
      </c>
      <c r="AL824">
        <f>IFERROR(INDEX(PP_Grid[#Data],$DD824,36),0)</f>
        <v/>
      </c>
      <c r="AM824">
        <f>IFERROR(INDEX(PP_Grid[#Data],$DD824,37),0)</f>
        <v/>
      </c>
      <c r="AN824">
        <f>IFERROR(INDEX(PP_Grid[#Data],$DD824,38),0)</f>
        <v/>
      </c>
      <c r="AO824">
        <f>IFERROR(INDEX(PP_Grid[#Data],$DD824,39),0)</f>
        <v/>
      </c>
      <c r="AP824">
        <f>IFERROR(INDEX(PP_Grid[#Data],$DD824,40),0)</f>
        <v/>
      </c>
      <c r="AQ824">
        <f>IFERROR(INDEX(PP_Grid[#Data],$DD824,41),0)</f>
        <v/>
      </c>
      <c r="AR824">
        <f>IFERROR(INDEX(PP_Grid[#Data],$DD824,42),0)</f>
        <v/>
      </c>
      <c r="AS824">
        <f>IFERROR(INDEX(PP_Grid[#Data],$DD824,43),0)</f>
        <v/>
      </c>
      <c r="AT824">
        <f>IFERROR(INDEX(PP_Grid[#Data],$DD824,44),0)</f>
        <v/>
      </c>
      <c r="AU824">
        <f>IFERROR(INDEX(PP_Grid[#Data],$DD824,45),0)</f>
        <v/>
      </c>
      <c r="AV824">
        <f>IFERROR(INDEX(PP_Grid[#Data],$DD824,46),0)</f>
        <v/>
      </c>
      <c r="AW824">
        <f>IFERROR(INDEX(PP_Grid[#Data],$DD824,47),0)</f>
        <v/>
      </c>
      <c r="AX824">
        <f>IFERROR(INDEX(PP_Grid[#Data],$DD824,48),0)</f>
        <v/>
      </c>
      <c r="AY824">
        <f>IFERROR(INDEX(PP_Grid[#Data],$DD824,49),0)</f>
        <v/>
      </c>
      <c r="AZ824">
        <f>IFERROR(INDEX(PP_Grid[#Data],$DD824,50),0)</f>
        <v/>
      </c>
      <c r="BA824">
        <f>IFERROR(INDEX(PP_Grid[#Data],$DD824,51),0)</f>
        <v/>
      </c>
      <c r="BB824">
        <f>IFERROR(INDEX(PP_Grid[#Data],$DD824,52),0)</f>
        <v/>
      </c>
      <c r="BC824">
        <f>IFERROR(INDEX(PP_Grid[#Data],$DD824,53),0)</f>
        <v/>
      </c>
      <c r="BD824">
        <f>IFERROR(INDEX(PP_Grid[#Data],$DD824,54),0)</f>
        <v/>
      </c>
      <c r="BE824">
        <f>IFERROR(INDEX(PP_Grid[#Data],$DD824,55),0)</f>
        <v/>
      </c>
      <c r="BF824">
        <f>IFERROR(INDEX(PP_Grid[#Data],$DD824,56),0)</f>
        <v/>
      </c>
      <c r="BG824">
        <f>IFERROR(INDEX(PP_Grid[#Data],$DD824,57),0)</f>
        <v/>
      </c>
      <c r="BH824">
        <f>IFERROR(INDEX(PP_Grid[#Data],$DD824,58),0)</f>
        <v/>
      </c>
      <c r="BI824">
        <f>IFERROR(INDEX(PP_Grid[#Data],$DD824,59),0)</f>
        <v/>
      </c>
      <c r="BJ824">
        <f>IFERROR(INDEX(PP_Grid[#Data],$DD824,60),0)</f>
        <v/>
      </c>
      <c r="BK824">
        <f>IFERROR(INDEX(PP_Grid[#Data],$DD824,61),0)</f>
        <v/>
      </c>
      <c r="BL824">
        <f>IFERROR(INDEX(PP_Grid[#Data],$DD824,62),0)</f>
        <v/>
      </c>
      <c r="BM824">
        <f>IFERROR(INDEX(PP_Grid[#Data],$DD824,63),0)</f>
        <v/>
      </c>
      <c r="BN824">
        <f>IFERROR(INDEX(PP_Grid[#Data],$DD824,64),0)</f>
        <v/>
      </c>
      <c r="BO824">
        <f>IFERROR(INDEX(PP_Grid[#Data],$DD824,65),0)</f>
        <v/>
      </c>
      <c r="BP824">
        <f>IFERROR(INDEX(PP_Grid[#Data],$DD824,66),0)</f>
        <v/>
      </c>
      <c r="BQ824">
        <f>IFERROR(INDEX(PP_Grid[#Data],$DD824,67),0)</f>
        <v/>
      </c>
      <c r="BR824">
        <f>IFERROR(INDEX(PP_Grid[#Data],$DD824,68),0)</f>
        <v/>
      </c>
      <c r="BS824">
        <f>IFERROR(INDEX(PP_Grid[#Data],$DD824,69),0)</f>
        <v/>
      </c>
      <c r="BT824">
        <f>IFERROR(INDEX(PP_Grid[#Data],$DD824,70),0)</f>
        <v/>
      </c>
      <c r="BU824">
        <f>IFERROR(INDEX(PP_Grid[#Data],$DD824,71),0)</f>
        <v/>
      </c>
      <c r="BV824">
        <f>IFERROR(INDEX(PP_Grid[#Data],$DD824,72),0)</f>
        <v/>
      </c>
      <c r="BW824">
        <f>IFERROR(INDEX(PP_Grid[#Data],$DD824,73),0)</f>
        <v/>
      </c>
      <c r="BX824">
        <f>IFERROR(INDEX(PP_Grid[#Data],$DD824,74),0)</f>
        <v/>
      </c>
      <c r="BY824">
        <f>IFERROR(INDEX(PP_Grid[#Data],$DD824,75),0)</f>
        <v/>
      </c>
      <c r="BZ824">
        <f>IFERROR(INDEX(PP_Grid[#Data],$DD824,76),0)</f>
        <v/>
      </c>
      <c r="CA824">
        <f>IFERROR(INDEX(PP_Grid[#Data],$DD824,77),0)</f>
        <v/>
      </c>
      <c r="CB824">
        <f>IFERROR(INDEX(PP_Grid[#Data],$DD824,78),0)</f>
        <v/>
      </c>
      <c r="CC824">
        <f>IFERROR(INDEX(PP_Grid[#Data],$DD824,79),0)</f>
        <v/>
      </c>
      <c r="CD824">
        <f>IFERROR(INDEX(PP_Grid[#Data],$DD824,80),0)</f>
        <v/>
      </c>
      <c r="CE824">
        <f>IFERROR(INDEX(PP_Grid[#Data],$DD824,81),0)</f>
        <v/>
      </c>
      <c r="CF824">
        <f>IFERROR(INDEX(PP_Grid[#Data],$DD824,82),0)</f>
        <v/>
      </c>
      <c r="CG824">
        <f>IFERROR(INDEX(PP_Grid[#Data],$DD824,83),0)</f>
        <v/>
      </c>
      <c r="CH824">
        <f>IFERROR(INDEX(PP_Grid[#Data],$DD824,84),0)</f>
        <v/>
      </c>
      <c r="CI824">
        <f>IFERROR(INDEX(PP_Grid[#Data],$DD824,85),0)</f>
        <v/>
      </c>
      <c r="CJ824">
        <f>IFERROR(INDEX(PP_Grid[#Data],$DD824,86),0)</f>
        <v/>
      </c>
      <c r="CK824">
        <f>IFERROR(INDEX(PP_Grid[#Data],$DD824,87),0)</f>
        <v/>
      </c>
      <c r="CL824">
        <f>IFERROR(INDEX(PP_Grid[#Data],$DD824,88),0)</f>
        <v/>
      </c>
      <c r="CM824">
        <f>IFERROR(INDEX(PP_Grid[#Data],$DD824,89),0)</f>
        <v/>
      </c>
      <c r="CN824">
        <f>IFERROR(INDEX(PP_Grid[#Data],$DD824,90),0)</f>
        <v/>
      </c>
      <c r="CO824">
        <f>IFERROR(INDEX(PP_Grid[#Data],$DD824,91),0)</f>
        <v/>
      </c>
      <c r="CP824">
        <f>IFERROR(INDEX(PP_Grid[#Data],$DD824,92),0)</f>
        <v/>
      </c>
      <c r="CQ824">
        <f>IFERROR(INDEX(PP_Grid[#Data],$DD824,93),0)</f>
        <v/>
      </c>
      <c r="CR824">
        <f>IFERROR(INDEX(PP_Grid[#Data],$DD824,94),0)</f>
        <v/>
      </c>
      <c r="CS824">
        <f>IFERROR(INDEX(PP_Grid[#Data],$DD824,95),0)</f>
        <v/>
      </c>
      <c r="CT824">
        <f>IFERROR(INDEX(PP_Grid[#Data],$DD824,96),0)</f>
        <v/>
      </c>
      <c r="CU824">
        <f>IFERROR(INDEX(PP_Grid[#Data],$DD824,97),0)</f>
        <v/>
      </c>
      <c r="CV824">
        <f>IFERROR(INDEX(PP_Grid[#Data],$DD824,98),0)</f>
        <v/>
      </c>
      <c r="CW824">
        <f>IFERROR(INDEX(PP_Grid[#Data],$DD824,99),0)</f>
        <v/>
      </c>
      <c r="CX824">
        <f>IFERROR(INDEX(PP_Grid[#Data],$DD824,100),0)</f>
        <v/>
      </c>
      <c r="CY824">
        <f>IFERROR(INDEX(PP_Grid[#Data],$DD824,101),0)</f>
        <v/>
      </c>
      <c r="CZ824">
        <f>IFERROR(INDEX(PP_Grid[#Data],$DD824,102),0)</f>
        <v/>
      </c>
      <c r="DA824">
        <f>IFERROR(INDEX(PP_Grid[#Data],$DD824,103),0)</f>
        <v/>
      </c>
      <c r="DB824">
        <f>IFERROR(INDEX(PP_Grid[#Data],$DD824,104),0)</f>
        <v/>
      </c>
      <c r="DC824">
        <f>IFERROR(INDEX(PP_Grid[#Data],$DD824,105),0)</f>
        <v/>
      </c>
      <c r="DD824" s="12">
        <f>IFERROR(MATCH($B824,PP_Grid[Intermediate],0),99999)</f>
        <v/>
      </c>
    </row>
    <row r="825">
      <c r="B825" t="inlineStr">
        <is>
          <t>使用量(kg)</t>
        </is>
      </c>
      <c r="C825">
        <f>SUMIFS(M_BOM[RM_Qty_Per_Batch],M_BOM[Intermediate],$B824,M_BOM[Part Name],$A773)</f>
        <v/>
      </c>
      <c r="D825">
        <f>$C825*D824</f>
        <v/>
      </c>
      <c r="E825">
        <f>$C825*E824</f>
        <v/>
      </c>
      <c r="F825">
        <f>$C825*F824</f>
        <v/>
      </c>
      <c r="G825">
        <f>$C825*G824</f>
        <v/>
      </c>
      <c r="H825">
        <f>$C825*H824</f>
        <v/>
      </c>
      <c r="I825">
        <f>$C825*I824</f>
        <v/>
      </c>
      <c r="J825">
        <f>$C825*J824</f>
        <v/>
      </c>
      <c r="K825">
        <f>$C825*K824</f>
        <v/>
      </c>
      <c r="L825">
        <f>$C825*L824</f>
        <v/>
      </c>
      <c r="M825">
        <f>$C825*M824</f>
        <v/>
      </c>
      <c r="N825">
        <f>$C825*N824</f>
        <v/>
      </c>
      <c r="O825">
        <f>$C825*O824</f>
        <v/>
      </c>
      <c r="P825">
        <f>$C825*P824</f>
        <v/>
      </c>
      <c r="Q825">
        <f>$C825*Q824</f>
        <v/>
      </c>
      <c r="R825">
        <f>$C825*R824</f>
        <v/>
      </c>
      <c r="S825">
        <f>$C825*S824</f>
        <v/>
      </c>
      <c r="T825">
        <f>$C825*T824</f>
        <v/>
      </c>
      <c r="U825">
        <f>$C825*U824</f>
        <v/>
      </c>
      <c r="V825">
        <f>$C825*V824</f>
        <v/>
      </c>
      <c r="W825">
        <f>$C825*W824</f>
        <v/>
      </c>
      <c r="X825">
        <f>$C825*X824</f>
        <v/>
      </c>
      <c r="Y825">
        <f>$C825*Y824</f>
        <v/>
      </c>
      <c r="Z825">
        <f>$C825*Z824</f>
        <v/>
      </c>
      <c r="AA825">
        <f>$C825*AA824</f>
        <v/>
      </c>
      <c r="AB825">
        <f>$C825*AB824</f>
        <v/>
      </c>
      <c r="AC825">
        <f>$C825*AC824</f>
        <v/>
      </c>
      <c r="AD825">
        <f>$C825*AD824</f>
        <v/>
      </c>
      <c r="AE825">
        <f>$C825*AE824</f>
        <v/>
      </c>
      <c r="AF825">
        <f>$C825*AF824</f>
        <v/>
      </c>
      <c r="AG825">
        <f>$C825*AG824</f>
        <v/>
      </c>
      <c r="AH825">
        <f>$C825*AH824</f>
        <v/>
      </c>
      <c r="AI825">
        <f>$C825*AI824</f>
        <v/>
      </c>
      <c r="AJ825">
        <f>$C825*AJ824</f>
        <v/>
      </c>
      <c r="AK825">
        <f>$C825*AK824</f>
        <v/>
      </c>
      <c r="AL825">
        <f>$C825*AL824</f>
        <v/>
      </c>
      <c r="AM825">
        <f>$C825*AM824</f>
        <v/>
      </c>
      <c r="AN825">
        <f>$C825*AN824</f>
        <v/>
      </c>
      <c r="AO825">
        <f>$C825*AO824</f>
        <v/>
      </c>
      <c r="AP825">
        <f>$C825*AP824</f>
        <v/>
      </c>
      <c r="AQ825">
        <f>$C825*AQ824</f>
        <v/>
      </c>
      <c r="AR825">
        <f>$C825*AR824</f>
        <v/>
      </c>
      <c r="AS825">
        <f>$C825*AS824</f>
        <v/>
      </c>
      <c r="AT825">
        <f>$C825*AT824</f>
        <v/>
      </c>
      <c r="AU825">
        <f>$C825*AU824</f>
        <v/>
      </c>
      <c r="AV825">
        <f>$C825*AV824</f>
        <v/>
      </c>
      <c r="AW825">
        <f>$C825*AW824</f>
        <v/>
      </c>
      <c r="AX825">
        <f>$C825*AX824</f>
        <v/>
      </c>
      <c r="AY825">
        <f>$C825*AY824</f>
        <v/>
      </c>
      <c r="AZ825">
        <f>$C825*AZ824</f>
        <v/>
      </c>
      <c r="BA825">
        <f>$C825*BA824</f>
        <v/>
      </c>
      <c r="BB825">
        <f>$C825*BB824</f>
        <v/>
      </c>
      <c r="BC825">
        <f>$C825*BC824</f>
        <v/>
      </c>
      <c r="BD825">
        <f>$C825*BD824</f>
        <v/>
      </c>
      <c r="BE825">
        <f>$C825*BE824</f>
        <v/>
      </c>
      <c r="BF825">
        <f>$C825*BF824</f>
        <v/>
      </c>
      <c r="BG825">
        <f>$C825*BG824</f>
        <v/>
      </c>
      <c r="BH825">
        <f>$C825*BH824</f>
        <v/>
      </c>
      <c r="BI825">
        <f>$C825*BI824</f>
        <v/>
      </c>
      <c r="BJ825">
        <f>$C825*BJ824</f>
        <v/>
      </c>
      <c r="BK825">
        <f>$C825*BK824</f>
        <v/>
      </c>
      <c r="BL825">
        <f>$C825*BL824</f>
        <v/>
      </c>
      <c r="BM825">
        <f>$C825*BM824</f>
        <v/>
      </c>
      <c r="BN825">
        <f>$C825*BN824</f>
        <v/>
      </c>
      <c r="BO825">
        <f>$C825*BO824</f>
        <v/>
      </c>
      <c r="BP825">
        <f>$C825*BP824</f>
        <v/>
      </c>
      <c r="BQ825">
        <f>$C825*BQ824</f>
        <v/>
      </c>
      <c r="BR825">
        <f>$C825*BR824</f>
        <v/>
      </c>
      <c r="BS825">
        <f>$C825*BS824</f>
        <v/>
      </c>
      <c r="BT825">
        <f>$C825*BT824</f>
        <v/>
      </c>
      <c r="BU825">
        <f>$C825*BU824</f>
        <v/>
      </c>
      <c r="BV825">
        <f>$C825*BV824</f>
        <v/>
      </c>
      <c r="BW825">
        <f>$C825*BW824</f>
        <v/>
      </c>
      <c r="BX825">
        <f>$C825*BX824</f>
        <v/>
      </c>
      <c r="BY825">
        <f>$C825*BY824</f>
        <v/>
      </c>
      <c r="BZ825">
        <f>$C825*BZ824</f>
        <v/>
      </c>
      <c r="CA825">
        <f>$C825*CA824</f>
        <v/>
      </c>
      <c r="CB825">
        <f>$C825*CB824</f>
        <v/>
      </c>
      <c r="CC825">
        <f>$C825*CC824</f>
        <v/>
      </c>
      <c r="CD825">
        <f>$C825*CD824</f>
        <v/>
      </c>
      <c r="CE825">
        <f>$C825*CE824</f>
        <v/>
      </c>
      <c r="CF825">
        <f>$C825*CF824</f>
        <v/>
      </c>
      <c r="CG825">
        <f>$C825*CG824</f>
        <v/>
      </c>
      <c r="CH825">
        <f>$C825*CH824</f>
        <v/>
      </c>
      <c r="CI825">
        <f>$C825*CI824</f>
        <v/>
      </c>
      <c r="CJ825">
        <f>$C825*CJ824</f>
        <v/>
      </c>
      <c r="CK825">
        <f>$C825*CK824</f>
        <v/>
      </c>
      <c r="CL825">
        <f>$C825*CL824</f>
        <v/>
      </c>
      <c r="CM825">
        <f>$C825*CM824</f>
        <v/>
      </c>
      <c r="CN825">
        <f>$C825*CN824</f>
        <v/>
      </c>
      <c r="CO825">
        <f>$C825*CO824</f>
        <v/>
      </c>
      <c r="CP825">
        <f>$C825*CP824</f>
        <v/>
      </c>
      <c r="CQ825">
        <f>$C825*CQ824</f>
        <v/>
      </c>
      <c r="CR825">
        <f>$C825*CR824</f>
        <v/>
      </c>
      <c r="CS825">
        <f>$C825*CS824</f>
        <v/>
      </c>
      <c r="CT825">
        <f>$C825*CT824</f>
        <v/>
      </c>
      <c r="CU825">
        <f>$C825*CU824</f>
        <v/>
      </c>
      <c r="CV825">
        <f>$C825*CV824</f>
        <v/>
      </c>
      <c r="CW825">
        <f>$C825*CW824</f>
        <v/>
      </c>
      <c r="CX825">
        <f>$C825*CX824</f>
        <v/>
      </c>
      <c r="CY825">
        <f>$C825*CY824</f>
        <v/>
      </c>
      <c r="CZ825">
        <f>$C825*CZ824</f>
        <v/>
      </c>
      <c r="DA825">
        <f>$C825*DA824</f>
        <v/>
      </c>
      <c r="DB825">
        <f>$C825*DB824</f>
        <v/>
      </c>
      <c r="DC825">
        <f>$C825*DC824</f>
        <v/>
      </c>
    </row>
    <row r="826">
      <c r="B826" t="inlineStr">
        <is>
          <t>VSP-600</t>
        </is>
      </c>
      <c r="C826" t="inlineStr">
        <is>
          <t>No. of batches</t>
        </is>
      </c>
      <c r="D826">
        <f>IFERROR(INDEX(PP_Grid[#Data],$DD826,2),0)</f>
        <v/>
      </c>
      <c r="E826">
        <f>IFERROR(INDEX(PP_Grid[#Data],$DD826,3),0)</f>
        <v/>
      </c>
      <c r="F826">
        <f>IFERROR(INDEX(PP_Grid[#Data],$DD826,4),0)</f>
        <v/>
      </c>
      <c r="G826">
        <f>IFERROR(INDEX(PP_Grid[#Data],$DD826,5),0)</f>
        <v/>
      </c>
      <c r="H826">
        <f>IFERROR(INDEX(PP_Grid[#Data],$DD826,6),0)</f>
        <v/>
      </c>
      <c r="I826">
        <f>IFERROR(INDEX(PP_Grid[#Data],$DD826,7),0)</f>
        <v/>
      </c>
      <c r="J826">
        <f>IFERROR(INDEX(PP_Grid[#Data],$DD826,8),0)</f>
        <v/>
      </c>
      <c r="K826">
        <f>IFERROR(INDEX(PP_Grid[#Data],$DD826,9),0)</f>
        <v/>
      </c>
      <c r="L826">
        <f>IFERROR(INDEX(PP_Grid[#Data],$DD826,10),0)</f>
        <v/>
      </c>
      <c r="M826">
        <f>IFERROR(INDEX(PP_Grid[#Data],$DD826,11),0)</f>
        <v/>
      </c>
      <c r="N826">
        <f>IFERROR(INDEX(PP_Grid[#Data],$DD826,12),0)</f>
        <v/>
      </c>
      <c r="O826">
        <f>IFERROR(INDEX(PP_Grid[#Data],$DD826,13),0)</f>
        <v/>
      </c>
      <c r="P826">
        <f>IFERROR(INDEX(PP_Grid[#Data],$DD826,14),0)</f>
        <v/>
      </c>
      <c r="Q826">
        <f>IFERROR(INDEX(PP_Grid[#Data],$DD826,15),0)</f>
        <v/>
      </c>
      <c r="R826">
        <f>IFERROR(INDEX(PP_Grid[#Data],$DD826,16),0)</f>
        <v/>
      </c>
      <c r="S826">
        <f>IFERROR(INDEX(PP_Grid[#Data],$DD826,17),0)</f>
        <v/>
      </c>
      <c r="T826">
        <f>IFERROR(INDEX(PP_Grid[#Data],$DD826,18),0)</f>
        <v/>
      </c>
      <c r="U826">
        <f>IFERROR(INDEX(PP_Grid[#Data],$DD826,19),0)</f>
        <v/>
      </c>
      <c r="V826">
        <f>IFERROR(INDEX(PP_Grid[#Data],$DD826,20),0)</f>
        <v/>
      </c>
      <c r="W826">
        <f>IFERROR(INDEX(PP_Grid[#Data],$DD826,21),0)</f>
        <v/>
      </c>
      <c r="X826">
        <f>IFERROR(INDEX(PP_Grid[#Data],$DD826,22),0)</f>
        <v/>
      </c>
      <c r="Y826">
        <f>IFERROR(INDEX(PP_Grid[#Data],$DD826,23),0)</f>
        <v/>
      </c>
      <c r="Z826">
        <f>IFERROR(INDEX(PP_Grid[#Data],$DD826,24),0)</f>
        <v/>
      </c>
      <c r="AA826">
        <f>IFERROR(INDEX(PP_Grid[#Data],$DD826,25),0)</f>
        <v/>
      </c>
      <c r="AB826">
        <f>IFERROR(INDEX(PP_Grid[#Data],$DD826,26),0)</f>
        <v/>
      </c>
      <c r="AC826">
        <f>IFERROR(INDEX(PP_Grid[#Data],$DD826,27),0)</f>
        <v/>
      </c>
      <c r="AD826">
        <f>IFERROR(INDEX(PP_Grid[#Data],$DD826,28),0)</f>
        <v/>
      </c>
      <c r="AE826">
        <f>IFERROR(INDEX(PP_Grid[#Data],$DD826,29),0)</f>
        <v/>
      </c>
      <c r="AF826">
        <f>IFERROR(INDEX(PP_Grid[#Data],$DD826,30),0)</f>
        <v/>
      </c>
      <c r="AG826">
        <f>IFERROR(INDEX(PP_Grid[#Data],$DD826,31),0)</f>
        <v/>
      </c>
      <c r="AH826">
        <f>IFERROR(INDEX(PP_Grid[#Data],$DD826,32),0)</f>
        <v/>
      </c>
      <c r="AI826">
        <f>IFERROR(INDEX(PP_Grid[#Data],$DD826,33),0)</f>
        <v/>
      </c>
      <c r="AJ826">
        <f>IFERROR(INDEX(PP_Grid[#Data],$DD826,34),0)</f>
        <v/>
      </c>
      <c r="AK826">
        <f>IFERROR(INDEX(PP_Grid[#Data],$DD826,35),0)</f>
        <v/>
      </c>
      <c r="AL826">
        <f>IFERROR(INDEX(PP_Grid[#Data],$DD826,36),0)</f>
        <v/>
      </c>
      <c r="AM826">
        <f>IFERROR(INDEX(PP_Grid[#Data],$DD826,37),0)</f>
        <v/>
      </c>
      <c r="AN826">
        <f>IFERROR(INDEX(PP_Grid[#Data],$DD826,38),0)</f>
        <v/>
      </c>
      <c r="AO826">
        <f>IFERROR(INDEX(PP_Grid[#Data],$DD826,39),0)</f>
        <v/>
      </c>
      <c r="AP826">
        <f>IFERROR(INDEX(PP_Grid[#Data],$DD826,40),0)</f>
        <v/>
      </c>
      <c r="AQ826">
        <f>IFERROR(INDEX(PP_Grid[#Data],$DD826,41),0)</f>
        <v/>
      </c>
      <c r="AR826">
        <f>IFERROR(INDEX(PP_Grid[#Data],$DD826,42),0)</f>
        <v/>
      </c>
      <c r="AS826">
        <f>IFERROR(INDEX(PP_Grid[#Data],$DD826,43),0)</f>
        <v/>
      </c>
      <c r="AT826">
        <f>IFERROR(INDEX(PP_Grid[#Data],$DD826,44),0)</f>
        <v/>
      </c>
      <c r="AU826">
        <f>IFERROR(INDEX(PP_Grid[#Data],$DD826,45),0)</f>
        <v/>
      </c>
      <c r="AV826">
        <f>IFERROR(INDEX(PP_Grid[#Data],$DD826,46),0)</f>
        <v/>
      </c>
      <c r="AW826">
        <f>IFERROR(INDEX(PP_Grid[#Data],$DD826,47),0)</f>
        <v/>
      </c>
      <c r="AX826">
        <f>IFERROR(INDEX(PP_Grid[#Data],$DD826,48),0)</f>
        <v/>
      </c>
      <c r="AY826">
        <f>IFERROR(INDEX(PP_Grid[#Data],$DD826,49),0)</f>
        <v/>
      </c>
      <c r="AZ826">
        <f>IFERROR(INDEX(PP_Grid[#Data],$DD826,50),0)</f>
        <v/>
      </c>
      <c r="BA826">
        <f>IFERROR(INDEX(PP_Grid[#Data],$DD826,51),0)</f>
        <v/>
      </c>
      <c r="BB826">
        <f>IFERROR(INDEX(PP_Grid[#Data],$DD826,52),0)</f>
        <v/>
      </c>
      <c r="BC826">
        <f>IFERROR(INDEX(PP_Grid[#Data],$DD826,53),0)</f>
        <v/>
      </c>
      <c r="BD826">
        <f>IFERROR(INDEX(PP_Grid[#Data],$DD826,54),0)</f>
        <v/>
      </c>
      <c r="BE826">
        <f>IFERROR(INDEX(PP_Grid[#Data],$DD826,55),0)</f>
        <v/>
      </c>
      <c r="BF826">
        <f>IFERROR(INDEX(PP_Grid[#Data],$DD826,56),0)</f>
        <v/>
      </c>
      <c r="BG826">
        <f>IFERROR(INDEX(PP_Grid[#Data],$DD826,57),0)</f>
        <v/>
      </c>
      <c r="BH826">
        <f>IFERROR(INDEX(PP_Grid[#Data],$DD826,58),0)</f>
        <v/>
      </c>
      <c r="BI826">
        <f>IFERROR(INDEX(PP_Grid[#Data],$DD826,59),0)</f>
        <v/>
      </c>
      <c r="BJ826">
        <f>IFERROR(INDEX(PP_Grid[#Data],$DD826,60),0)</f>
        <v/>
      </c>
      <c r="BK826">
        <f>IFERROR(INDEX(PP_Grid[#Data],$DD826,61),0)</f>
        <v/>
      </c>
      <c r="BL826">
        <f>IFERROR(INDEX(PP_Grid[#Data],$DD826,62),0)</f>
        <v/>
      </c>
      <c r="BM826">
        <f>IFERROR(INDEX(PP_Grid[#Data],$DD826,63),0)</f>
        <v/>
      </c>
      <c r="BN826">
        <f>IFERROR(INDEX(PP_Grid[#Data],$DD826,64),0)</f>
        <v/>
      </c>
      <c r="BO826">
        <f>IFERROR(INDEX(PP_Grid[#Data],$DD826,65),0)</f>
        <v/>
      </c>
      <c r="BP826">
        <f>IFERROR(INDEX(PP_Grid[#Data],$DD826,66),0)</f>
        <v/>
      </c>
      <c r="BQ826">
        <f>IFERROR(INDEX(PP_Grid[#Data],$DD826,67),0)</f>
        <v/>
      </c>
      <c r="BR826">
        <f>IFERROR(INDEX(PP_Grid[#Data],$DD826,68),0)</f>
        <v/>
      </c>
      <c r="BS826">
        <f>IFERROR(INDEX(PP_Grid[#Data],$DD826,69),0)</f>
        <v/>
      </c>
      <c r="BT826">
        <f>IFERROR(INDEX(PP_Grid[#Data],$DD826,70),0)</f>
        <v/>
      </c>
      <c r="BU826">
        <f>IFERROR(INDEX(PP_Grid[#Data],$DD826,71),0)</f>
        <v/>
      </c>
      <c r="BV826">
        <f>IFERROR(INDEX(PP_Grid[#Data],$DD826,72),0)</f>
        <v/>
      </c>
      <c r="BW826">
        <f>IFERROR(INDEX(PP_Grid[#Data],$DD826,73),0)</f>
        <v/>
      </c>
      <c r="BX826">
        <f>IFERROR(INDEX(PP_Grid[#Data],$DD826,74),0)</f>
        <v/>
      </c>
      <c r="BY826">
        <f>IFERROR(INDEX(PP_Grid[#Data],$DD826,75),0)</f>
        <v/>
      </c>
      <c r="BZ826">
        <f>IFERROR(INDEX(PP_Grid[#Data],$DD826,76),0)</f>
        <v/>
      </c>
      <c r="CA826">
        <f>IFERROR(INDEX(PP_Grid[#Data],$DD826,77),0)</f>
        <v/>
      </c>
      <c r="CB826">
        <f>IFERROR(INDEX(PP_Grid[#Data],$DD826,78),0)</f>
        <v/>
      </c>
      <c r="CC826">
        <f>IFERROR(INDEX(PP_Grid[#Data],$DD826,79),0)</f>
        <v/>
      </c>
      <c r="CD826">
        <f>IFERROR(INDEX(PP_Grid[#Data],$DD826,80),0)</f>
        <v/>
      </c>
      <c r="CE826">
        <f>IFERROR(INDEX(PP_Grid[#Data],$DD826,81),0)</f>
        <v/>
      </c>
      <c r="CF826">
        <f>IFERROR(INDEX(PP_Grid[#Data],$DD826,82),0)</f>
        <v/>
      </c>
      <c r="CG826">
        <f>IFERROR(INDEX(PP_Grid[#Data],$DD826,83),0)</f>
        <v/>
      </c>
      <c r="CH826">
        <f>IFERROR(INDEX(PP_Grid[#Data],$DD826,84),0)</f>
        <v/>
      </c>
      <c r="CI826">
        <f>IFERROR(INDEX(PP_Grid[#Data],$DD826,85),0)</f>
        <v/>
      </c>
      <c r="CJ826">
        <f>IFERROR(INDEX(PP_Grid[#Data],$DD826,86),0)</f>
        <v/>
      </c>
      <c r="CK826">
        <f>IFERROR(INDEX(PP_Grid[#Data],$DD826,87),0)</f>
        <v/>
      </c>
      <c r="CL826">
        <f>IFERROR(INDEX(PP_Grid[#Data],$DD826,88),0)</f>
        <v/>
      </c>
      <c r="CM826">
        <f>IFERROR(INDEX(PP_Grid[#Data],$DD826,89),0)</f>
        <v/>
      </c>
      <c r="CN826">
        <f>IFERROR(INDEX(PP_Grid[#Data],$DD826,90),0)</f>
        <v/>
      </c>
      <c r="CO826">
        <f>IFERROR(INDEX(PP_Grid[#Data],$DD826,91),0)</f>
        <v/>
      </c>
      <c r="CP826">
        <f>IFERROR(INDEX(PP_Grid[#Data],$DD826,92),0)</f>
        <v/>
      </c>
      <c r="CQ826">
        <f>IFERROR(INDEX(PP_Grid[#Data],$DD826,93),0)</f>
        <v/>
      </c>
      <c r="CR826">
        <f>IFERROR(INDEX(PP_Grid[#Data],$DD826,94),0)</f>
        <v/>
      </c>
      <c r="CS826">
        <f>IFERROR(INDEX(PP_Grid[#Data],$DD826,95),0)</f>
        <v/>
      </c>
      <c r="CT826">
        <f>IFERROR(INDEX(PP_Grid[#Data],$DD826,96),0)</f>
        <v/>
      </c>
      <c r="CU826">
        <f>IFERROR(INDEX(PP_Grid[#Data],$DD826,97),0)</f>
        <v/>
      </c>
      <c r="CV826">
        <f>IFERROR(INDEX(PP_Grid[#Data],$DD826,98),0)</f>
        <v/>
      </c>
      <c r="CW826">
        <f>IFERROR(INDEX(PP_Grid[#Data],$DD826,99),0)</f>
        <v/>
      </c>
      <c r="CX826">
        <f>IFERROR(INDEX(PP_Grid[#Data],$DD826,100),0)</f>
        <v/>
      </c>
      <c r="CY826">
        <f>IFERROR(INDEX(PP_Grid[#Data],$DD826,101),0)</f>
        <v/>
      </c>
      <c r="CZ826">
        <f>IFERROR(INDEX(PP_Grid[#Data],$DD826,102),0)</f>
        <v/>
      </c>
      <c r="DA826">
        <f>IFERROR(INDEX(PP_Grid[#Data],$DD826,103),0)</f>
        <v/>
      </c>
      <c r="DB826">
        <f>IFERROR(INDEX(PP_Grid[#Data],$DD826,104),0)</f>
        <v/>
      </c>
      <c r="DC826">
        <f>IFERROR(INDEX(PP_Grid[#Data],$DD826,105),0)</f>
        <v/>
      </c>
      <c r="DD826" s="12">
        <f>IFERROR(MATCH($B826,PP_Grid[Intermediate],0),99999)</f>
        <v/>
      </c>
    </row>
    <row r="827">
      <c r="B827" t="inlineStr">
        <is>
          <t>使用量(kg)</t>
        </is>
      </c>
      <c r="C827">
        <f>SUMIFS(M_BOM[RM_Qty_Per_Batch],M_BOM[Intermediate],$B826,M_BOM[Part Name],$A773)</f>
        <v/>
      </c>
      <c r="D827">
        <f>$C827*D826</f>
        <v/>
      </c>
      <c r="E827">
        <f>$C827*E826</f>
        <v/>
      </c>
      <c r="F827">
        <f>$C827*F826</f>
        <v/>
      </c>
      <c r="G827">
        <f>$C827*G826</f>
        <v/>
      </c>
      <c r="H827">
        <f>$C827*H826</f>
        <v/>
      </c>
      <c r="I827">
        <f>$C827*I826</f>
        <v/>
      </c>
      <c r="J827">
        <f>$C827*J826</f>
        <v/>
      </c>
      <c r="K827">
        <f>$C827*K826</f>
        <v/>
      </c>
      <c r="L827">
        <f>$C827*L826</f>
        <v/>
      </c>
      <c r="M827">
        <f>$C827*M826</f>
        <v/>
      </c>
      <c r="N827">
        <f>$C827*N826</f>
        <v/>
      </c>
      <c r="O827">
        <f>$C827*O826</f>
        <v/>
      </c>
      <c r="P827">
        <f>$C827*P826</f>
        <v/>
      </c>
      <c r="Q827">
        <f>$C827*Q826</f>
        <v/>
      </c>
      <c r="R827">
        <f>$C827*R826</f>
        <v/>
      </c>
      <c r="S827">
        <f>$C827*S826</f>
        <v/>
      </c>
      <c r="T827">
        <f>$C827*T826</f>
        <v/>
      </c>
      <c r="U827">
        <f>$C827*U826</f>
        <v/>
      </c>
      <c r="V827">
        <f>$C827*V826</f>
        <v/>
      </c>
      <c r="W827">
        <f>$C827*W826</f>
        <v/>
      </c>
      <c r="X827">
        <f>$C827*X826</f>
        <v/>
      </c>
      <c r="Y827">
        <f>$C827*Y826</f>
        <v/>
      </c>
      <c r="Z827">
        <f>$C827*Z826</f>
        <v/>
      </c>
      <c r="AA827">
        <f>$C827*AA826</f>
        <v/>
      </c>
      <c r="AB827">
        <f>$C827*AB826</f>
        <v/>
      </c>
      <c r="AC827">
        <f>$C827*AC826</f>
        <v/>
      </c>
      <c r="AD827">
        <f>$C827*AD826</f>
        <v/>
      </c>
      <c r="AE827">
        <f>$C827*AE826</f>
        <v/>
      </c>
      <c r="AF827">
        <f>$C827*AF826</f>
        <v/>
      </c>
      <c r="AG827">
        <f>$C827*AG826</f>
        <v/>
      </c>
      <c r="AH827">
        <f>$C827*AH826</f>
        <v/>
      </c>
      <c r="AI827">
        <f>$C827*AI826</f>
        <v/>
      </c>
      <c r="AJ827">
        <f>$C827*AJ826</f>
        <v/>
      </c>
      <c r="AK827">
        <f>$C827*AK826</f>
        <v/>
      </c>
      <c r="AL827">
        <f>$C827*AL826</f>
        <v/>
      </c>
      <c r="AM827">
        <f>$C827*AM826</f>
        <v/>
      </c>
      <c r="AN827">
        <f>$C827*AN826</f>
        <v/>
      </c>
      <c r="AO827">
        <f>$C827*AO826</f>
        <v/>
      </c>
      <c r="AP827">
        <f>$C827*AP826</f>
        <v/>
      </c>
      <c r="AQ827">
        <f>$C827*AQ826</f>
        <v/>
      </c>
      <c r="AR827">
        <f>$C827*AR826</f>
        <v/>
      </c>
      <c r="AS827">
        <f>$C827*AS826</f>
        <v/>
      </c>
      <c r="AT827">
        <f>$C827*AT826</f>
        <v/>
      </c>
      <c r="AU827">
        <f>$C827*AU826</f>
        <v/>
      </c>
      <c r="AV827">
        <f>$C827*AV826</f>
        <v/>
      </c>
      <c r="AW827">
        <f>$C827*AW826</f>
        <v/>
      </c>
      <c r="AX827">
        <f>$C827*AX826</f>
        <v/>
      </c>
      <c r="AY827">
        <f>$C827*AY826</f>
        <v/>
      </c>
      <c r="AZ827">
        <f>$C827*AZ826</f>
        <v/>
      </c>
      <c r="BA827">
        <f>$C827*BA826</f>
        <v/>
      </c>
      <c r="BB827">
        <f>$C827*BB826</f>
        <v/>
      </c>
      <c r="BC827">
        <f>$C827*BC826</f>
        <v/>
      </c>
      <c r="BD827">
        <f>$C827*BD826</f>
        <v/>
      </c>
      <c r="BE827">
        <f>$C827*BE826</f>
        <v/>
      </c>
      <c r="BF827">
        <f>$C827*BF826</f>
        <v/>
      </c>
      <c r="BG827">
        <f>$C827*BG826</f>
        <v/>
      </c>
      <c r="BH827">
        <f>$C827*BH826</f>
        <v/>
      </c>
      <c r="BI827">
        <f>$C827*BI826</f>
        <v/>
      </c>
      <c r="BJ827">
        <f>$C827*BJ826</f>
        <v/>
      </c>
      <c r="BK827">
        <f>$C827*BK826</f>
        <v/>
      </c>
      <c r="BL827">
        <f>$C827*BL826</f>
        <v/>
      </c>
      <c r="BM827">
        <f>$C827*BM826</f>
        <v/>
      </c>
      <c r="BN827">
        <f>$C827*BN826</f>
        <v/>
      </c>
      <c r="BO827">
        <f>$C827*BO826</f>
        <v/>
      </c>
      <c r="BP827">
        <f>$C827*BP826</f>
        <v/>
      </c>
      <c r="BQ827">
        <f>$C827*BQ826</f>
        <v/>
      </c>
      <c r="BR827">
        <f>$C827*BR826</f>
        <v/>
      </c>
      <c r="BS827">
        <f>$C827*BS826</f>
        <v/>
      </c>
      <c r="BT827">
        <f>$C827*BT826</f>
        <v/>
      </c>
      <c r="BU827">
        <f>$C827*BU826</f>
        <v/>
      </c>
      <c r="BV827">
        <f>$C827*BV826</f>
        <v/>
      </c>
      <c r="BW827">
        <f>$C827*BW826</f>
        <v/>
      </c>
      <c r="BX827">
        <f>$C827*BX826</f>
        <v/>
      </c>
      <c r="BY827">
        <f>$C827*BY826</f>
        <v/>
      </c>
      <c r="BZ827">
        <f>$C827*BZ826</f>
        <v/>
      </c>
      <c r="CA827">
        <f>$C827*CA826</f>
        <v/>
      </c>
      <c r="CB827">
        <f>$C827*CB826</f>
        <v/>
      </c>
      <c r="CC827">
        <f>$C827*CC826</f>
        <v/>
      </c>
      <c r="CD827">
        <f>$C827*CD826</f>
        <v/>
      </c>
      <c r="CE827">
        <f>$C827*CE826</f>
        <v/>
      </c>
      <c r="CF827">
        <f>$C827*CF826</f>
        <v/>
      </c>
      <c r="CG827">
        <f>$C827*CG826</f>
        <v/>
      </c>
      <c r="CH827">
        <f>$C827*CH826</f>
        <v/>
      </c>
      <c r="CI827">
        <f>$C827*CI826</f>
        <v/>
      </c>
      <c r="CJ827">
        <f>$C827*CJ826</f>
        <v/>
      </c>
      <c r="CK827">
        <f>$C827*CK826</f>
        <v/>
      </c>
      <c r="CL827">
        <f>$C827*CL826</f>
        <v/>
      </c>
      <c r="CM827">
        <f>$C827*CM826</f>
        <v/>
      </c>
      <c r="CN827">
        <f>$C827*CN826</f>
        <v/>
      </c>
      <c r="CO827">
        <f>$C827*CO826</f>
        <v/>
      </c>
      <c r="CP827">
        <f>$C827*CP826</f>
        <v/>
      </c>
      <c r="CQ827">
        <f>$C827*CQ826</f>
        <v/>
      </c>
      <c r="CR827">
        <f>$C827*CR826</f>
        <v/>
      </c>
      <c r="CS827">
        <f>$C827*CS826</f>
        <v/>
      </c>
      <c r="CT827">
        <f>$C827*CT826</f>
        <v/>
      </c>
      <c r="CU827">
        <f>$C827*CU826</f>
        <v/>
      </c>
      <c r="CV827">
        <f>$C827*CV826</f>
        <v/>
      </c>
      <c r="CW827">
        <f>$C827*CW826</f>
        <v/>
      </c>
      <c r="CX827">
        <f>$C827*CX826</f>
        <v/>
      </c>
      <c r="CY827">
        <f>$C827*CY826</f>
        <v/>
      </c>
      <c r="CZ827">
        <f>$C827*CZ826</f>
        <v/>
      </c>
      <c r="DA827">
        <f>$C827*DA826</f>
        <v/>
      </c>
      <c r="DB827">
        <f>$C827*DB826</f>
        <v/>
      </c>
      <c r="DC827">
        <f>$C827*DC826</f>
        <v/>
      </c>
    </row>
    <row r="828">
      <c r="B828" s="9" t="inlineStr">
        <is>
          <t>合計使用量(kg)/週</t>
        </is>
      </c>
      <c r="D828">
        <f>'Grid_Requirement'!B17</f>
        <v/>
      </c>
      <c r="E828">
        <f>'Grid_Requirement'!C17</f>
        <v/>
      </c>
      <c r="F828">
        <f>'Grid_Requirement'!D17</f>
        <v/>
      </c>
      <c r="G828">
        <f>'Grid_Requirement'!E17</f>
        <v/>
      </c>
      <c r="H828">
        <f>'Grid_Requirement'!F17</f>
        <v/>
      </c>
      <c r="I828">
        <f>'Grid_Requirement'!G17</f>
        <v/>
      </c>
      <c r="J828">
        <f>'Grid_Requirement'!H17</f>
        <v/>
      </c>
      <c r="K828">
        <f>'Grid_Requirement'!I17</f>
        <v/>
      </c>
      <c r="L828">
        <f>'Grid_Requirement'!J17</f>
        <v/>
      </c>
      <c r="M828">
        <f>'Grid_Requirement'!K17</f>
        <v/>
      </c>
      <c r="N828">
        <f>'Grid_Requirement'!L17</f>
        <v/>
      </c>
      <c r="O828">
        <f>'Grid_Requirement'!M17</f>
        <v/>
      </c>
      <c r="P828">
        <f>'Grid_Requirement'!N17</f>
        <v/>
      </c>
      <c r="Q828">
        <f>'Grid_Requirement'!O17</f>
        <v/>
      </c>
      <c r="R828">
        <f>'Grid_Requirement'!P17</f>
        <v/>
      </c>
      <c r="S828">
        <f>'Grid_Requirement'!Q17</f>
        <v/>
      </c>
      <c r="T828">
        <f>'Grid_Requirement'!R17</f>
        <v/>
      </c>
      <c r="U828">
        <f>'Grid_Requirement'!S17</f>
        <v/>
      </c>
      <c r="V828">
        <f>'Grid_Requirement'!T17</f>
        <v/>
      </c>
      <c r="W828">
        <f>'Grid_Requirement'!U17</f>
        <v/>
      </c>
      <c r="X828">
        <f>'Grid_Requirement'!V17</f>
        <v/>
      </c>
      <c r="Y828">
        <f>'Grid_Requirement'!W17</f>
        <v/>
      </c>
      <c r="Z828">
        <f>'Grid_Requirement'!X17</f>
        <v/>
      </c>
      <c r="AA828">
        <f>'Grid_Requirement'!Y17</f>
        <v/>
      </c>
      <c r="AB828">
        <f>'Grid_Requirement'!Z17</f>
        <v/>
      </c>
      <c r="AC828">
        <f>'Grid_Requirement'!AA17</f>
        <v/>
      </c>
      <c r="AD828">
        <f>'Grid_Requirement'!AB17</f>
        <v/>
      </c>
      <c r="AE828">
        <f>'Grid_Requirement'!AC17</f>
        <v/>
      </c>
      <c r="AF828">
        <f>'Grid_Requirement'!AD17</f>
        <v/>
      </c>
      <c r="AG828">
        <f>'Grid_Requirement'!AE17</f>
        <v/>
      </c>
      <c r="AH828">
        <f>'Grid_Requirement'!AF17</f>
        <v/>
      </c>
      <c r="AI828">
        <f>'Grid_Requirement'!AG17</f>
        <v/>
      </c>
      <c r="AJ828">
        <f>'Grid_Requirement'!AH17</f>
        <v/>
      </c>
      <c r="AK828">
        <f>'Grid_Requirement'!AI17</f>
        <v/>
      </c>
      <c r="AL828">
        <f>'Grid_Requirement'!AJ17</f>
        <v/>
      </c>
      <c r="AM828">
        <f>'Grid_Requirement'!AK17</f>
        <v/>
      </c>
      <c r="AN828">
        <f>'Grid_Requirement'!AL17</f>
        <v/>
      </c>
      <c r="AO828">
        <f>'Grid_Requirement'!AM17</f>
        <v/>
      </c>
      <c r="AP828">
        <f>'Grid_Requirement'!AN17</f>
        <v/>
      </c>
      <c r="AQ828">
        <f>'Grid_Requirement'!AO17</f>
        <v/>
      </c>
      <c r="AR828">
        <f>'Grid_Requirement'!AP17</f>
        <v/>
      </c>
      <c r="AS828">
        <f>'Grid_Requirement'!AQ17</f>
        <v/>
      </c>
      <c r="AT828">
        <f>'Grid_Requirement'!AR17</f>
        <v/>
      </c>
      <c r="AU828">
        <f>'Grid_Requirement'!AS17</f>
        <v/>
      </c>
      <c r="AV828">
        <f>'Grid_Requirement'!AT17</f>
        <v/>
      </c>
      <c r="AW828">
        <f>'Grid_Requirement'!AU17</f>
        <v/>
      </c>
      <c r="AX828">
        <f>'Grid_Requirement'!AV17</f>
        <v/>
      </c>
      <c r="AY828">
        <f>'Grid_Requirement'!AW17</f>
        <v/>
      </c>
      <c r="AZ828">
        <f>'Grid_Requirement'!AX17</f>
        <v/>
      </c>
      <c r="BA828">
        <f>'Grid_Requirement'!AY17</f>
        <v/>
      </c>
      <c r="BB828">
        <f>'Grid_Requirement'!AZ17</f>
        <v/>
      </c>
      <c r="BC828">
        <f>'Grid_Requirement'!BA17</f>
        <v/>
      </c>
      <c r="BD828">
        <f>'Grid_Requirement'!BB17</f>
        <v/>
      </c>
      <c r="BE828">
        <f>'Grid_Requirement'!BC17</f>
        <v/>
      </c>
      <c r="BF828">
        <f>'Grid_Requirement'!BD17</f>
        <v/>
      </c>
      <c r="BG828">
        <f>'Grid_Requirement'!BE17</f>
        <v/>
      </c>
      <c r="BH828">
        <f>'Grid_Requirement'!BF17</f>
        <v/>
      </c>
      <c r="BI828">
        <f>'Grid_Requirement'!BG17</f>
        <v/>
      </c>
      <c r="BJ828">
        <f>'Grid_Requirement'!BH17</f>
        <v/>
      </c>
      <c r="BK828">
        <f>'Grid_Requirement'!BI17</f>
        <v/>
      </c>
      <c r="BL828">
        <f>'Grid_Requirement'!BJ17</f>
        <v/>
      </c>
      <c r="BM828">
        <f>'Grid_Requirement'!BK17</f>
        <v/>
      </c>
      <c r="BN828">
        <f>'Grid_Requirement'!BL17</f>
        <v/>
      </c>
      <c r="BO828">
        <f>'Grid_Requirement'!BM17</f>
        <v/>
      </c>
      <c r="BP828">
        <f>'Grid_Requirement'!BN17</f>
        <v/>
      </c>
      <c r="BQ828">
        <f>'Grid_Requirement'!BO17</f>
        <v/>
      </c>
      <c r="BR828">
        <f>'Grid_Requirement'!BP17</f>
        <v/>
      </c>
      <c r="BS828">
        <f>'Grid_Requirement'!BQ17</f>
        <v/>
      </c>
      <c r="BT828">
        <f>'Grid_Requirement'!BR17</f>
        <v/>
      </c>
      <c r="BU828">
        <f>'Grid_Requirement'!BS17</f>
        <v/>
      </c>
      <c r="BV828">
        <f>'Grid_Requirement'!BT17</f>
        <v/>
      </c>
      <c r="BW828">
        <f>'Grid_Requirement'!BU17</f>
        <v/>
      </c>
      <c r="BX828">
        <f>'Grid_Requirement'!BV17</f>
        <v/>
      </c>
      <c r="BY828">
        <f>'Grid_Requirement'!BW17</f>
        <v/>
      </c>
      <c r="BZ828">
        <f>'Grid_Requirement'!BX17</f>
        <v/>
      </c>
      <c r="CA828">
        <f>'Grid_Requirement'!BY17</f>
        <v/>
      </c>
      <c r="CB828">
        <f>'Grid_Requirement'!BZ17</f>
        <v/>
      </c>
      <c r="CC828">
        <f>'Grid_Requirement'!CA17</f>
        <v/>
      </c>
      <c r="CD828">
        <f>'Grid_Requirement'!CB17</f>
        <v/>
      </c>
      <c r="CE828">
        <f>'Grid_Requirement'!CC17</f>
        <v/>
      </c>
      <c r="CF828">
        <f>'Grid_Requirement'!CD17</f>
        <v/>
      </c>
      <c r="CG828">
        <f>'Grid_Requirement'!CE17</f>
        <v/>
      </c>
      <c r="CH828">
        <f>'Grid_Requirement'!CF17</f>
        <v/>
      </c>
      <c r="CI828">
        <f>'Grid_Requirement'!CG17</f>
        <v/>
      </c>
      <c r="CJ828">
        <f>'Grid_Requirement'!CH17</f>
        <v/>
      </c>
      <c r="CK828">
        <f>'Grid_Requirement'!CI17</f>
        <v/>
      </c>
      <c r="CL828">
        <f>'Grid_Requirement'!CJ17</f>
        <v/>
      </c>
      <c r="CM828">
        <f>'Grid_Requirement'!CK17</f>
        <v/>
      </c>
      <c r="CN828">
        <f>'Grid_Requirement'!CL17</f>
        <v/>
      </c>
      <c r="CO828">
        <f>'Grid_Requirement'!CM17</f>
        <v/>
      </c>
      <c r="CP828">
        <f>'Grid_Requirement'!CN17</f>
        <v/>
      </c>
      <c r="CQ828">
        <f>'Grid_Requirement'!CO17</f>
        <v/>
      </c>
      <c r="CR828">
        <f>'Grid_Requirement'!CP17</f>
        <v/>
      </c>
      <c r="CS828">
        <f>'Grid_Requirement'!CQ17</f>
        <v/>
      </c>
      <c r="CT828">
        <f>'Grid_Requirement'!CR17</f>
        <v/>
      </c>
      <c r="CU828">
        <f>'Grid_Requirement'!CS17</f>
        <v/>
      </c>
      <c r="CV828">
        <f>'Grid_Requirement'!CT17</f>
        <v/>
      </c>
      <c r="CW828">
        <f>'Grid_Requirement'!CU17</f>
        <v/>
      </c>
      <c r="CX828">
        <f>'Grid_Requirement'!CV17</f>
        <v/>
      </c>
      <c r="CY828">
        <f>'Grid_Requirement'!CW17</f>
        <v/>
      </c>
      <c r="CZ828">
        <f>'Grid_Requirement'!CX17</f>
        <v/>
      </c>
      <c r="DA828">
        <f>'Grid_Requirement'!CY17</f>
        <v/>
      </c>
      <c r="DB828">
        <f>'Grid_Requirement'!CZ17</f>
        <v/>
      </c>
      <c r="DC828">
        <f>'Grid_Requirement'!DA17</f>
        <v/>
      </c>
    </row>
    <row r="829">
      <c r="B829" t="inlineStr">
        <is>
          <t>TTAF在庫(実績,kg)</t>
        </is>
      </c>
      <c r="D829">
        <f>'T_TTAFStock'!B21</f>
        <v/>
      </c>
      <c r="E829">
        <f>'T_TTAFStock'!C21</f>
        <v/>
      </c>
      <c r="F829">
        <f>'T_TTAFStock'!D21</f>
        <v/>
      </c>
      <c r="G829">
        <f>'T_TTAFStock'!E21</f>
        <v/>
      </c>
      <c r="H829">
        <f>'T_TTAFStock'!F21</f>
        <v/>
      </c>
      <c r="I829">
        <f>'T_TTAFStock'!G21</f>
        <v/>
      </c>
      <c r="J829">
        <f>'T_TTAFStock'!H21</f>
        <v/>
      </c>
      <c r="K829">
        <f>'T_TTAFStock'!I21</f>
        <v/>
      </c>
      <c r="L829">
        <f>'T_TTAFStock'!J21</f>
        <v/>
      </c>
      <c r="M829">
        <f>'T_TTAFStock'!K21</f>
        <v/>
      </c>
      <c r="N829">
        <f>'T_TTAFStock'!L21</f>
        <v/>
      </c>
      <c r="O829">
        <f>'T_TTAFStock'!M21</f>
        <v/>
      </c>
      <c r="P829">
        <f>'T_TTAFStock'!N21</f>
        <v/>
      </c>
      <c r="Q829">
        <f>'T_TTAFStock'!O21</f>
        <v/>
      </c>
      <c r="R829">
        <f>'T_TTAFStock'!P21</f>
        <v/>
      </c>
      <c r="S829">
        <f>'T_TTAFStock'!Q21</f>
        <v/>
      </c>
      <c r="T829">
        <f>'T_TTAFStock'!R21</f>
        <v/>
      </c>
      <c r="U829">
        <f>'T_TTAFStock'!S21</f>
        <v/>
      </c>
      <c r="V829">
        <f>'T_TTAFStock'!T21</f>
        <v/>
      </c>
      <c r="W829">
        <f>'T_TTAFStock'!U21</f>
        <v/>
      </c>
      <c r="X829">
        <f>'T_TTAFStock'!V21</f>
        <v/>
      </c>
      <c r="Y829">
        <f>'T_TTAFStock'!W21</f>
        <v/>
      </c>
      <c r="Z829">
        <f>'T_TTAFStock'!X21</f>
        <v/>
      </c>
      <c r="AA829">
        <f>'T_TTAFStock'!Y21</f>
        <v/>
      </c>
      <c r="AB829">
        <f>'T_TTAFStock'!Z21</f>
        <v/>
      </c>
      <c r="AC829">
        <f>'T_TTAFStock'!AA21</f>
        <v/>
      </c>
      <c r="AD829">
        <f>'T_TTAFStock'!AB21</f>
        <v/>
      </c>
      <c r="AE829">
        <f>'T_TTAFStock'!AC21</f>
        <v/>
      </c>
      <c r="AF829">
        <f>'T_TTAFStock'!AD21</f>
        <v/>
      </c>
      <c r="AG829">
        <f>'T_TTAFStock'!AE21</f>
        <v/>
      </c>
      <c r="AH829">
        <f>'T_TTAFStock'!AF21</f>
        <v/>
      </c>
      <c r="AI829">
        <f>'T_TTAFStock'!AG21</f>
        <v/>
      </c>
      <c r="AJ829">
        <f>'T_TTAFStock'!AH21</f>
        <v/>
      </c>
      <c r="AK829">
        <f>'T_TTAFStock'!AI21</f>
        <v/>
      </c>
      <c r="AL829">
        <f>'T_TTAFStock'!AJ21</f>
        <v/>
      </c>
      <c r="AM829">
        <f>'T_TTAFStock'!AK21</f>
        <v/>
      </c>
      <c r="AN829">
        <f>'T_TTAFStock'!AL21</f>
        <v/>
      </c>
      <c r="AO829">
        <f>'T_TTAFStock'!AM21</f>
        <v/>
      </c>
      <c r="AP829">
        <f>'T_TTAFStock'!AN21</f>
        <v/>
      </c>
      <c r="AQ829">
        <f>'T_TTAFStock'!AO21</f>
        <v/>
      </c>
      <c r="AR829">
        <f>'T_TTAFStock'!AP21</f>
        <v/>
      </c>
      <c r="AS829">
        <f>'T_TTAFStock'!AQ21</f>
        <v/>
      </c>
      <c r="AT829">
        <f>'T_TTAFStock'!AR21</f>
        <v/>
      </c>
      <c r="AU829">
        <f>'T_TTAFStock'!AS21</f>
        <v/>
      </c>
      <c r="AV829">
        <f>'T_TTAFStock'!AT21</f>
        <v/>
      </c>
      <c r="AW829">
        <f>'T_TTAFStock'!AU21</f>
        <v/>
      </c>
      <c r="AX829">
        <f>'T_TTAFStock'!AV21</f>
        <v/>
      </c>
      <c r="AY829">
        <f>'T_TTAFStock'!AW21</f>
        <v/>
      </c>
      <c r="AZ829">
        <f>'T_TTAFStock'!AX21</f>
        <v/>
      </c>
      <c r="BA829">
        <f>'T_TTAFStock'!AY21</f>
        <v/>
      </c>
      <c r="BB829">
        <f>'T_TTAFStock'!AZ21</f>
        <v/>
      </c>
      <c r="BC829">
        <f>'T_TTAFStock'!BA21</f>
        <v/>
      </c>
      <c r="BD829">
        <f>'T_TTAFStock'!BB21</f>
        <v/>
      </c>
      <c r="BE829">
        <f>'T_TTAFStock'!BC21</f>
        <v/>
      </c>
      <c r="BF829">
        <f>'T_TTAFStock'!BD21</f>
        <v/>
      </c>
      <c r="BG829">
        <f>'T_TTAFStock'!BE21</f>
        <v/>
      </c>
      <c r="BH829">
        <f>'T_TTAFStock'!BF21</f>
        <v/>
      </c>
      <c r="BI829">
        <f>'T_TTAFStock'!BG21</f>
        <v/>
      </c>
      <c r="BJ829">
        <f>'T_TTAFStock'!BH21</f>
        <v/>
      </c>
      <c r="BK829">
        <f>'T_TTAFStock'!BI21</f>
        <v/>
      </c>
      <c r="BL829">
        <f>'T_TTAFStock'!BJ21</f>
        <v/>
      </c>
      <c r="BM829">
        <f>'T_TTAFStock'!BK21</f>
        <v/>
      </c>
      <c r="BN829">
        <f>'T_TTAFStock'!BL21</f>
        <v/>
      </c>
      <c r="BO829">
        <f>'T_TTAFStock'!BM21</f>
        <v/>
      </c>
      <c r="BP829">
        <f>'T_TTAFStock'!BN21</f>
        <v/>
      </c>
      <c r="BQ829">
        <f>'T_TTAFStock'!BO21</f>
        <v/>
      </c>
      <c r="BR829">
        <f>'T_TTAFStock'!BP21</f>
        <v/>
      </c>
      <c r="BS829">
        <f>'T_TTAFStock'!BQ21</f>
        <v/>
      </c>
      <c r="BT829">
        <f>'T_TTAFStock'!BR21</f>
        <v/>
      </c>
      <c r="BU829">
        <f>'T_TTAFStock'!BS21</f>
        <v/>
      </c>
      <c r="BV829">
        <f>'T_TTAFStock'!BT21</f>
        <v/>
      </c>
      <c r="BW829">
        <f>'T_TTAFStock'!BU21</f>
        <v/>
      </c>
      <c r="BX829">
        <f>'T_TTAFStock'!BV21</f>
        <v/>
      </c>
      <c r="BY829">
        <f>'T_TTAFStock'!BW21</f>
        <v/>
      </c>
      <c r="BZ829">
        <f>'T_TTAFStock'!BX21</f>
        <v/>
      </c>
      <c r="CA829">
        <f>'T_TTAFStock'!BY21</f>
        <v/>
      </c>
      <c r="CB829">
        <f>'T_TTAFStock'!BZ21</f>
        <v/>
      </c>
      <c r="CC829">
        <f>'T_TTAFStock'!CA21</f>
        <v/>
      </c>
      <c r="CD829">
        <f>'T_TTAFStock'!CB21</f>
        <v/>
      </c>
      <c r="CE829">
        <f>'T_TTAFStock'!CC21</f>
        <v/>
      </c>
      <c r="CF829">
        <f>'T_TTAFStock'!CD21</f>
        <v/>
      </c>
      <c r="CG829">
        <f>'T_TTAFStock'!CE21</f>
        <v/>
      </c>
      <c r="CH829">
        <f>'T_TTAFStock'!CF21</f>
        <v/>
      </c>
      <c r="CI829">
        <f>'T_TTAFStock'!CG21</f>
        <v/>
      </c>
      <c r="CJ829">
        <f>'T_TTAFStock'!CH21</f>
        <v/>
      </c>
      <c r="CK829">
        <f>'T_TTAFStock'!CI21</f>
        <v/>
      </c>
      <c r="CL829">
        <f>'T_TTAFStock'!CJ21</f>
        <v/>
      </c>
      <c r="CM829">
        <f>'T_TTAFStock'!CK21</f>
        <v/>
      </c>
      <c r="CN829">
        <f>'T_TTAFStock'!CL21</f>
        <v/>
      </c>
      <c r="CO829">
        <f>'T_TTAFStock'!CM21</f>
        <v/>
      </c>
      <c r="CP829">
        <f>'T_TTAFStock'!CN21</f>
        <v/>
      </c>
      <c r="CQ829">
        <f>'T_TTAFStock'!CO21</f>
        <v/>
      </c>
      <c r="CR829">
        <f>'T_TTAFStock'!CP21</f>
        <v/>
      </c>
      <c r="CS829">
        <f>'T_TTAFStock'!CQ21</f>
        <v/>
      </c>
      <c r="CT829">
        <f>'T_TTAFStock'!CR21</f>
        <v/>
      </c>
      <c r="CU829">
        <f>'T_TTAFStock'!CS21</f>
        <v/>
      </c>
      <c r="CV829">
        <f>'T_TTAFStock'!CT21</f>
        <v/>
      </c>
      <c r="CW829">
        <f>'T_TTAFStock'!CU21</f>
        <v/>
      </c>
      <c r="CX829">
        <f>'T_TTAFStock'!CV21</f>
        <v/>
      </c>
      <c r="CY829">
        <f>'T_TTAFStock'!CW21</f>
        <v/>
      </c>
      <c r="CZ829">
        <f>'T_TTAFStock'!CX21</f>
        <v/>
      </c>
      <c r="DA829">
        <f>'T_TTAFStock'!CY21</f>
        <v/>
      </c>
      <c r="DB829">
        <f>'T_TTAFStock'!CZ21</f>
        <v/>
      </c>
      <c r="DC829">
        <f>'T_TTAFStock'!DA21</f>
        <v/>
      </c>
    </row>
    <row r="830">
      <c r="B830" t="inlineStr">
        <is>
          <t>自社在庫(実績,kg)</t>
        </is>
      </c>
      <c r="D830">
        <f>'T_SelfStock'!B21</f>
        <v/>
      </c>
      <c r="E830">
        <f>'T_SelfStock'!C21</f>
        <v/>
      </c>
      <c r="F830">
        <f>'T_SelfStock'!D21</f>
        <v/>
      </c>
      <c r="G830">
        <f>'T_SelfStock'!E21</f>
        <v/>
      </c>
      <c r="H830">
        <f>'T_SelfStock'!F21</f>
        <v/>
      </c>
      <c r="I830">
        <f>'T_SelfStock'!G21</f>
        <v/>
      </c>
      <c r="J830">
        <f>'T_SelfStock'!H21</f>
        <v/>
      </c>
      <c r="K830">
        <f>'T_SelfStock'!I21</f>
        <v/>
      </c>
      <c r="L830">
        <f>'T_SelfStock'!J21</f>
        <v/>
      </c>
      <c r="M830">
        <f>'T_SelfStock'!K21</f>
        <v/>
      </c>
      <c r="N830">
        <f>'T_SelfStock'!L21</f>
        <v/>
      </c>
      <c r="O830">
        <f>'T_SelfStock'!M21</f>
        <v/>
      </c>
      <c r="P830">
        <f>'T_SelfStock'!N21</f>
        <v/>
      </c>
      <c r="Q830">
        <f>'T_SelfStock'!O21</f>
        <v/>
      </c>
      <c r="R830">
        <f>'T_SelfStock'!P21</f>
        <v/>
      </c>
      <c r="S830">
        <f>'T_SelfStock'!Q21</f>
        <v/>
      </c>
      <c r="T830">
        <f>'T_SelfStock'!R21</f>
        <v/>
      </c>
      <c r="U830">
        <f>'T_SelfStock'!S21</f>
        <v/>
      </c>
      <c r="V830">
        <f>'T_SelfStock'!T21</f>
        <v/>
      </c>
      <c r="W830">
        <f>'T_SelfStock'!U21</f>
        <v/>
      </c>
      <c r="X830">
        <f>'T_SelfStock'!V21</f>
        <v/>
      </c>
      <c r="Y830">
        <f>'T_SelfStock'!W21</f>
        <v/>
      </c>
      <c r="Z830">
        <f>'T_SelfStock'!X21</f>
        <v/>
      </c>
      <c r="AA830">
        <f>'T_SelfStock'!Y21</f>
        <v/>
      </c>
      <c r="AB830">
        <f>'T_SelfStock'!Z21</f>
        <v/>
      </c>
      <c r="AC830">
        <f>'T_SelfStock'!AA21</f>
        <v/>
      </c>
      <c r="AD830">
        <f>'T_SelfStock'!AB21</f>
        <v/>
      </c>
      <c r="AE830">
        <f>'T_SelfStock'!AC21</f>
        <v/>
      </c>
      <c r="AF830">
        <f>'T_SelfStock'!AD21</f>
        <v/>
      </c>
      <c r="AG830">
        <f>'T_SelfStock'!AE21</f>
        <v/>
      </c>
      <c r="AH830">
        <f>'T_SelfStock'!AF21</f>
        <v/>
      </c>
      <c r="AI830">
        <f>'T_SelfStock'!AG21</f>
        <v/>
      </c>
      <c r="AJ830">
        <f>'T_SelfStock'!AH21</f>
        <v/>
      </c>
      <c r="AK830">
        <f>'T_SelfStock'!AI21</f>
        <v/>
      </c>
      <c r="AL830">
        <f>'T_SelfStock'!AJ21</f>
        <v/>
      </c>
      <c r="AM830">
        <f>'T_SelfStock'!AK21</f>
        <v/>
      </c>
      <c r="AN830">
        <f>'T_SelfStock'!AL21</f>
        <v/>
      </c>
      <c r="AO830">
        <f>'T_SelfStock'!AM21</f>
        <v/>
      </c>
      <c r="AP830">
        <f>'T_SelfStock'!AN21</f>
        <v/>
      </c>
      <c r="AQ830">
        <f>'T_SelfStock'!AO21</f>
        <v/>
      </c>
      <c r="AR830">
        <f>'T_SelfStock'!AP21</f>
        <v/>
      </c>
      <c r="AS830">
        <f>'T_SelfStock'!AQ21</f>
        <v/>
      </c>
      <c r="AT830">
        <f>'T_SelfStock'!AR21</f>
        <v/>
      </c>
      <c r="AU830">
        <f>'T_SelfStock'!AS21</f>
        <v/>
      </c>
      <c r="AV830">
        <f>'T_SelfStock'!AT21</f>
        <v/>
      </c>
      <c r="AW830">
        <f>'T_SelfStock'!AU21</f>
        <v/>
      </c>
      <c r="AX830">
        <f>'T_SelfStock'!AV21</f>
        <v/>
      </c>
      <c r="AY830">
        <f>'T_SelfStock'!AW21</f>
        <v/>
      </c>
      <c r="AZ830">
        <f>'T_SelfStock'!AX21</f>
        <v/>
      </c>
      <c r="BA830">
        <f>'T_SelfStock'!AY21</f>
        <v/>
      </c>
      <c r="BB830">
        <f>'T_SelfStock'!AZ21</f>
        <v/>
      </c>
      <c r="BC830">
        <f>'T_SelfStock'!BA21</f>
        <v/>
      </c>
      <c r="BD830">
        <f>'T_SelfStock'!BB21</f>
        <v/>
      </c>
      <c r="BE830">
        <f>'T_SelfStock'!BC21</f>
        <v/>
      </c>
      <c r="BF830">
        <f>'T_SelfStock'!BD21</f>
        <v/>
      </c>
      <c r="BG830">
        <f>'T_SelfStock'!BE21</f>
        <v/>
      </c>
      <c r="BH830">
        <f>'T_SelfStock'!BF21</f>
        <v/>
      </c>
      <c r="BI830">
        <f>'T_SelfStock'!BG21</f>
        <v/>
      </c>
      <c r="BJ830">
        <f>'T_SelfStock'!BH21</f>
        <v/>
      </c>
      <c r="BK830">
        <f>'T_SelfStock'!BI21</f>
        <v/>
      </c>
      <c r="BL830">
        <f>'T_SelfStock'!BJ21</f>
        <v/>
      </c>
      <c r="BM830">
        <f>'T_SelfStock'!BK21</f>
        <v/>
      </c>
      <c r="BN830">
        <f>'T_SelfStock'!BL21</f>
        <v/>
      </c>
      <c r="BO830">
        <f>'T_SelfStock'!BM21</f>
        <v/>
      </c>
      <c r="BP830">
        <f>'T_SelfStock'!BN21</f>
        <v/>
      </c>
      <c r="BQ830">
        <f>'T_SelfStock'!BO21</f>
        <v/>
      </c>
      <c r="BR830">
        <f>'T_SelfStock'!BP21</f>
        <v/>
      </c>
      <c r="BS830">
        <f>'T_SelfStock'!BQ21</f>
        <v/>
      </c>
      <c r="BT830">
        <f>'T_SelfStock'!BR21</f>
        <v/>
      </c>
      <c r="BU830">
        <f>'T_SelfStock'!BS21</f>
        <v/>
      </c>
      <c r="BV830">
        <f>'T_SelfStock'!BT21</f>
        <v/>
      </c>
      <c r="BW830">
        <f>'T_SelfStock'!BU21</f>
        <v/>
      </c>
      <c r="BX830">
        <f>'T_SelfStock'!BV21</f>
        <v/>
      </c>
      <c r="BY830">
        <f>'T_SelfStock'!BW21</f>
        <v/>
      </c>
      <c r="BZ830">
        <f>'T_SelfStock'!BX21</f>
        <v/>
      </c>
      <c r="CA830">
        <f>'T_SelfStock'!BY21</f>
        <v/>
      </c>
      <c r="CB830">
        <f>'T_SelfStock'!BZ21</f>
        <v/>
      </c>
      <c r="CC830">
        <f>'T_SelfStock'!CA21</f>
        <v/>
      </c>
      <c r="CD830">
        <f>'T_SelfStock'!CB21</f>
        <v/>
      </c>
      <c r="CE830">
        <f>'T_SelfStock'!CC21</f>
        <v/>
      </c>
      <c r="CF830">
        <f>'T_SelfStock'!CD21</f>
        <v/>
      </c>
      <c r="CG830">
        <f>'T_SelfStock'!CE21</f>
        <v/>
      </c>
      <c r="CH830">
        <f>'T_SelfStock'!CF21</f>
        <v/>
      </c>
      <c r="CI830">
        <f>'T_SelfStock'!CG21</f>
        <v/>
      </c>
      <c r="CJ830">
        <f>'T_SelfStock'!CH21</f>
        <v/>
      </c>
      <c r="CK830">
        <f>'T_SelfStock'!CI21</f>
        <v/>
      </c>
      <c r="CL830">
        <f>'T_SelfStock'!CJ21</f>
        <v/>
      </c>
      <c r="CM830">
        <f>'T_SelfStock'!CK21</f>
        <v/>
      </c>
      <c r="CN830">
        <f>'T_SelfStock'!CL21</f>
        <v/>
      </c>
      <c r="CO830">
        <f>'T_SelfStock'!CM21</f>
        <v/>
      </c>
      <c r="CP830">
        <f>'T_SelfStock'!CN21</f>
        <v/>
      </c>
      <c r="CQ830">
        <f>'T_SelfStock'!CO21</f>
        <v/>
      </c>
      <c r="CR830">
        <f>'T_SelfStock'!CP21</f>
        <v/>
      </c>
      <c r="CS830">
        <f>'T_SelfStock'!CQ21</f>
        <v/>
      </c>
      <c r="CT830">
        <f>'T_SelfStock'!CR21</f>
        <v/>
      </c>
      <c r="CU830">
        <f>'T_SelfStock'!CS21</f>
        <v/>
      </c>
      <c r="CV830">
        <f>'T_SelfStock'!CT21</f>
        <v/>
      </c>
      <c r="CW830">
        <f>'T_SelfStock'!CU21</f>
        <v/>
      </c>
      <c r="CX830">
        <f>'T_SelfStock'!CV21</f>
        <v/>
      </c>
      <c r="CY830">
        <f>'T_SelfStock'!CW21</f>
        <v/>
      </c>
      <c r="CZ830">
        <f>'T_SelfStock'!CX21</f>
        <v/>
      </c>
      <c r="DA830">
        <f>'T_SelfStock'!CY21</f>
        <v/>
      </c>
      <c r="DB830">
        <f>'T_SelfStock'!CZ21</f>
        <v/>
      </c>
      <c r="DC830">
        <f>'T_SelfStock'!DA21</f>
        <v/>
      </c>
    </row>
    <row r="831">
      <c r="B831" t="inlineStr">
        <is>
          <t>Order(発注予定,kg)</t>
        </is>
      </c>
      <c r="D831">
        <f>IF(SUMIFS(T_PlannedOrders[EffectiveQty],T_PlannedOrders[Part Name],$A773,T_PlannedOrders[WeekIndex],1)=0,"",SUMIFS(T_PlannedOrders[EffectiveQty],T_PlannedOrders[Part Name],$A773,T_PlannedOrders[WeekIndex],1)&amp;" ("&amp;TEXT(SUMPRODUCT(MAX((T_PlannedOrders[Part Name]=$A773)*(T_PlannedOrders[WeekIndex]=1)*(T_PlannedOrders[EffectiveQty]&gt;0)*T_PlannedOrders[Order_Month])),"m月")&amp;"発注)")</f>
        <v/>
      </c>
      <c r="E831">
        <f>IF(SUMIFS(T_PlannedOrders[EffectiveQty],T_PlannedOrders[Part Name],$A773,T_PlannedOrders[WeekIndex],2)=0,"",SUMIFS(T_PlannedOrders[EffectiveQty],T_PlannedOrders[Part Name],$A773,T_PlannedOrders[WeekIndex],2)&amp;" ("&amp;TEXT(SUMPRODUCT(MAX((T_PlannedOrders[Part Name]=$A773)*(T_PlannedOrders[WeekIndex]=2)*(T_PlannedOrders[EffectiveQty]&gt;0)*T_PlannedOrders[Order_Month])),"m月")&amp;"発注)")</f>
        <v/>
      </c>
      <c r="F831">
        <f>IF(SUMIFS(T_PlannedOrders[EffectiveQty],T_PlannedOrders[Part Name],$A773,T_PlannedOrders[WeekIndex],3)=0,"",SUMIFS(T_PlannedOrders[EffectiveQty],T_PlannedOrders[Part Name],$A773,T_PlannedOrders[WeekIndex],3)&amp;" ("&amp;TEXT(SUMPRODUCT(MAX((T_PlannedOrders[Part Name]=$A773)*(T_PlannedOrders[WeekIndex]=3)*(T_PlannedOrders[EffectiveQty]&gt;0)*T_PlannedOrders[Order_Month])),"m月")&amp;"発注)")</f>
        <v/>
      </c>
      <c r="G831">
        <f>IF(SUMIFS(T_PlannedOrders[EffectiveQty],T_PlannedOrders[Part Name],$A773,T_PlannedOrders[WeekIndex],4)=0,"",SUMIFS(T_PlannedOrders[EffectiveQty],T_PlannedOrders[Part Name],$A773,T_PlannedOrders[WeekIndex],4)&amp;" ("&amp;TEXT(SUMPRODUCT(MAX((T_PlannedOrders[Part Name]=$A773)*(T_PlannedOrders[WeekIndex]=4)*(T_PlannedOrders[EffectiveQty]&gt;0)*T_PlannedOrders[Order_Month])),"m月")&amp;"発注)")</f>
        <v/>
      </c>
      <c r="H831">
        <f>IF(SUMIFS(T_PlannedOrders[EffectiveQty],T_PlannedOrders[Part Name],$A773,T_PlannedOrders[WeekIndex],5)=0,"",SUMIFS(T_PlannedOrders[EffectiveQty],T_PlannedOrders[Part Name],$A773,T_PlannedOrders[WeekIndex],5)&amp;" ("&amp;TEXT(SUMPRODUCT(MAX((T_PlannedOrders[Part Name]=$A773)*(T_PlannedOrders[WeekIndex]=5)*(T_PlannedOrders[EffectiveQty]&gt;0)*T_PlannedOrders[Order_Month])),"m月")&amp;"発注)")</f>
        <v/>
      </c>
      <c r="I831">
        <f>IF(SUMIFS(T_PlannedOrders[EffectiveQty],T_PlannedOrders[Part Name],$A773,T_PlannedOrders[WeekIndex],6)=0,"",SUMIFS(T_PlannedOrders[EffectiveQty],T_PlannedOrders[Part Name],$A773,T_PlannedOrders[WeekIndex],6)&amp;" ("&amp;TEXT(SUMPRODUCT(MAX((T_PlannedOrders[Part Name]=$A773)*(T_PlannedOrders[WeekIndex]=6)*(T_PlannedOrders[EffectiveQty]&gt;0)*T_PlannedOrders[Order_Month])),"m月")&amp;"発注)")</f>
        <v/>
      </c>
      <c r="J831">
        <f>IF(SUMIFS(T_PlannedOrders[EffectiveQty],T_PlannedOrders[Part Name],$A773,T_PlannedOrders[WeekIndex],7)=0,"",SUMIFS(T_PlannedOrders[EffectiveQty],T_PlannedOrders[Part Name],$A773,T_PlannedOrders[WeekIndex],7)&amp;" ("&amp;TEXT(SUMPRODUCT(MAX((T_PlannedOrders[Part Name]=$A773)*(T_PlannedOrders[WeekIndex]=7)*(T_PlannedOrders[EffectiveQty]&gt;0)*T_PlannedOrders[Order_Month])),"m月")&amp;"発注)")</f>
        <v/>
      </c>
      <c r="K831">
        <f>IF(SUMIFS(T_PlannedOrders[EffectiveQty],T_PlannedOrders[Part Name],$A773,T_PlannedOrders[WeekIndex],8)=0,"",SUMIFS(T_PlannedOrders[EffectiveQty],T_PlannedOrders[Part Name],$A773,T_PlannedOrders[WeekIndex],8)&amp;" ("&amp;TEXT(SUMPRODUCT(MAX((T_PlannedOrders[Part Name]=$A773)*(T_PlannedOrders[WeekIndex]=8)*(T_PlannedOrders[EffectiveQty]&gt;0)*T_PlannedOrders[Order_Month])),"m月")&amp;"発注)")</f>
        <v/>
      </c>
      <c r="L831">
        <f>IF(SUMIFS(T_PlannedOrders[EffectiveQty],T_PlannedOrders[Part Name],$A773,T_PlannedOrders[WeekIndex],9)=0,"",SUMIFS(T_PlannedOrders[EffectiveQty],T_PlannedOrders[Part Name],$A773,T_PlannedOrders[WeekIndex],9)&amp;" ("&amp;TEXT(SUMPRODUCT(MAX((T_PlannedOrders[Part Name]=$A773)*(T_PlannedOrders[WeekIndex]=9)*(T_PlannedOrders[EffectiveQty]&gt;0)*T_PlannedOrders[Order_Month])),"m月")&amp;"発注)")</f>
        <v/>
      </c>
      <c r="M831">
        <f>IF(SUMIFS(T_PlannedOrders[EffectiveQty],T_PlannedOrders[Part Name],$A773,T_PlannedOrders[WeekIndex],10)=0,"",SUMIFS(T_PlannedOrders[EffectiveQty],T_PlannedOrders[Part Name],$A773,T_PlannedOrders[WeekIndex],10)&amp;" ("&amp;TEXT(SUMPRODUCT(MAX((T_PlannedOrders[Part Name]=$A773)*(T_PlannedOrders[WeekIndex]=10)*(T_PlannedOrders[EffectiveQty]&gt;0)*T_PlannedOrders[Order_Month])),"m月")&amp;"発注)")</f>
        <v/>
      </c>
      <c r="N831">
        <f>IF(SUMIFS(T_PlannedOrders[EffectiveQty],T_PlannedOrders[Part Name],$A773,T_PlannedOrders[WeekIndex],11)=0,"",SUMIFS(T_PlannedOrders[EffectiveQty],T_PlannedOrders[Part Name],$A773,T_PlannedOrders[WeekIndex],11)&amp;" ("&amp;TEXT(SUMPRODUCT(MAX((T_PlannedOrders[Part Name]=$A773)*(T_PlannedOrders[WeekIndex]=11)*(T_PlannedOrders[EffectiveQty]&gt;0)*T_PlannedOrders[Order_Month])),"m月")&amp;"発注)")</f>
        <v/>
      </c>
      <c r="O831">
        <f>IF(SUMIFS(T_PlannedOrders[EffectiveQty],T_PlannedOrders[Part Name],$A773,T_PlannedOrders[WeekIndex],12)=0,"",SUMIFS(T_PlannedOrders[EffectiveQty],T_PlannedOrders[Part Name],$A773,T_PlannedOrders[WeekIndex],12)&amp;" ("&amp;TEXT(SUMPRODUCT(MAX((T_PlannedOrders[Part Name]=$A773)*(T_PlannedOrders[WeekIndex]=12)*(T_PlannedOrders[EffectiveQty]&gt;0)*T_PlannedOrders[Order_Month])),"m月")&amp;"発注)")</f>
        <v/>
      </c>
      <c r="P831">
        <f>IF(SUMIFS(T_PlannedOrders[EffectiveQty],T_PlannedOrders[Part Name],$A773,T_PlannedOrders[WeekIndex],13)=0,"",SUMIFS(T_PlannedOrders[EffectiveQty],T_PlannedOrders[Part Name],$A773,T_PlannedOrders[WeekIndex],13)&amp;" ("&amp;TEXT(SUMPRODUCT(MAX((T_PlannedOrders[Part Name]=$A773)*(T_PlannedOrders[WeekIndex]=13)*(T_PlannedOrders[EffectiveQty]&gt;0)*T_PlannedOrders[Order_Month])),"m月")&amp;"発注)")</f>
        <v/>
      </c>
      <c r="Q831">
        <f>IF(SUMIFS(T_PlannedOrders[EffectiveQty],T_PlannedOrders[Part Name],$A773,T_PlannedOrders[WeekIndex],14)=0,"",SUMIFS(T_PlannedOrders[EffectiveQty],T_PlannedOrders[Part Name],$A773,T_PlannedOrders[WeekIndex],14)&amp;" ("&amp;TEXT(SUMPRODUCT(MAX((T_PlannedOrders[Part Name]=$A773)*(T_PlannedOrders[WeekIndex]=14)*(T_PlannedOrders[EffectiveQty]&gt;0)*T_PlannedOrders[Order_Month])),"m月")&amp;"発注)")</f>
        <v/>
      </c>
      <c r="R831">
        <f>IF(SUMIFS(T_PlannedOrders[EffectiveQty],T_PlannedOrders[Part Name],$A773,T_PlannedOrders[WeekIndex],15)=0,"",SUMIFS(T_PlannedOrders[EffectiveQty],T_PlannedOrders[Part Name],$A773,T_PlannedOrders[WeekIndex],15)&amp;" ("&amp;TEXT(SUMPRODUCT(MAX((T_PlannedOrders[Part Name]=$A773)*(T_PlannedOrders[WeekIndex]=15)*(T_PlannedOrders[EffectiveQty]&gt;0)*T_PlannedOrders[Order_Month])),"m月")&amp;"発注)")</f>
        <v/>
      </c>
      <c r="S831">
        <f>IF(SUMIFS(T_PlannedOrders[EffectiveQty],T_PlannedOrders[Part Name],$A773,T_PlannedOrders[WeekIndex],16)=0,"",SUMIFS(T_PlannedOrders[EffectiveQty],T_PlannedOrders[Part Name],$A773,T_PlannedOrders[WeekIndex],16)&amp;" ("&amp;TEXT(SUMPRODUCT(MAX((T_PlannedOrders[Part Name]=$A773)*(T_PlannedOrders[WeekIndex]=16)*(T_PlannedOrders[EffectiveQty]&gt;0)*T_PlannedOrders[Order_Month])),"m月")&amp;"発注)")</f>
        <v/>
      </c>
      <c r="T831">
        <f>IF(SUMIFS(T_PlannedOrders[EffectiveQty],T_PlannedOrders[Part Name],$A773,T_PlannedOrders[WeekIndex],17)=0,"",SUMIFS(T_PlannedOrders[EffectiveQty],T_PlannedOrders[Part Name],$A773,T_PlannedOrders[WeekIndex],17)&amp;" ("&amp;TEXT(SUMPRODUCT(MAX((T_PlannedOrders[Part Name]=$A773)*(T_PlannedOrders[WeekIndex]=17)*(T_PlannedOrders[EffectiveQty]&gt;0)*T_PlannedOrders[Order_Month])),"m月")&amp;"発注)")</f>
        <v/>
      </c>
      <c r="U831">
        <f>IF(SUMIFS(T_PlannedOrders[EffectiveQty],T_PlannedOrders[Part Name],$A773,T_PlannedOrders[WeekIndex],18)=0,"",SUMIFS(T_PlannedOrders[EffectiveQty],T_PlannedOrders[Part Name],$A773,T_PlannedOrders[WeekIndex],18)&amp;" ("&amp;TEXT(SUMPRODUCT(MAX((T_PlannedOrders[Part Name]=$A773)*(T_PlannedOrders[WeekIndex]=18)*(T_PlannedOrders[EffectiveQty]&gt;0)*T_PlannedOrders[Order_Month])),"m月")&amp;"発注)")</f>
        <v/>
      </c>
      <c r="V831">
        <f>IF(SUMIFS(T_PlannedOrders[EffectiveQty],T_PlannedOrders[Part Name],$A773,T_PlannedOrders[WeekIndex],19)=0,"",SUMIFS(T_PlannedOrders[EffectiveQty],T_PlannedOrders[Part Name],$A773,T_PlannedOrders[WeekIndex],19)&amp;" ("&amp;TEXT(SUMPRODUCT(MAX((T_PlannedOrders[Part Name]=$A773)*(T_PlannedOrders[WeekIndex]=19)*(T_PlannedOrders[EffectiveQty]&gt;0)*T_PlannedOrders[Order_Month])),"m月")&amp;"発注)")</f>
        <v/>
      </c>
      <c r="W831">
        <f>IF(SUMIFS(T_PlannedOrders[EffectiveQty],T_PlannedOrders[Part Name],$A773,T_PlannedOrders[WeekIndex],20)=0,"",SUMIFS(T_PlannedOrders[EffectiveQty],T_PlannedOrders[Part Name],$A773,T_PlannedOrders[WeekIndex],20)&amp;" ("&amp;TEXT(SUMPRODUCT(MAX((T_PlannedOrders[Part Name]=$A773)*(T_PlannedOrders[WeekIndex]=20)*(T_PlannedOrders[EffectiveQty]&gt;0)*T_PlannedOrders[Order_Month])),"m月")&amp;"発注)")</f>
        <v/>
      </c>
      <c r="X831">
        <f>IF(SUMIFS(T_PlannedOrders[EffectiveQty],T_PlannedOrders[Part Name],$A773,T_PlannedOrders[WeekIndex],21)=0,"",SUMIFS(T_PlannedOrders[EffectiveQty],T_PlannedOrders[Part Name],$A773,T_PlannedOrders[WeekIndex],21)&amp;" ("&amp;TEXT(SUMPRODUCT(MAX((T_PlannedOrders[Part Name]=$A773)*(T_PlannedOrders[WeekIndex]=21)*(T_PlannedOrders[EffectiveQty]&gt;0)*T_PlannedOrders[Order_Month])),"m月")&amp;"発注)")</f>
        <v/>
      </c>
      <c r="Y831">
        <f>IF(SUMIFS(T_PlannedOrders[EffectiveQty],T_PlannedOrders[Part Name],$A773,T_PlannedOrders[WeekIndex],22)=0,"",SUMIFS(T_PlannedOrders[EffectiveQty],T_PlannedOrders[Part Name],$A773,T_PlannedOrders[WeekIndex],22)&amp;" ("&amp;TEXT(SUMPRODUCT(MAX((T_PlannedOrders[Part Name]=$A773)*(T_PlannedOrders[WeekIndex]=22)*(T_PlannedOrders[EffectiveQty]&gt;0)*T_PlannedOrders[Order_Month])),"m月")&amp;"発注)")</f>
        <v/>
      </c>
      <c r="Z831">
        <f>IF(SUMIFS(T_PlannedOrders[EffectiveQty],T_PlannedOrders[Part Name],$A773,T_PlannedOrders[WeekIndex],23)=0,"",SUMIFS(T_PlannedOrders[EffectiveQty],T_PlannedOrders[Part Name],$A773,T_PlannedOrders[WeekIndex],23)&amp;" ("&amp;TEXT(SUMPRODUCT(MAX((T_PlannedOrders[Part Name]=$A773)*(T_PlannedOrders[WeekIndex]=23)*(T_PlannedOrders[EffectiveQty]&gt;0)*T_PlannedOrders[Order_Month])),"m月")&amp;"発注)")</f>
        <v/>
      </c>
      <c r="AA831">
        <f>IF(SUMIFS(T_PlannedOrders[EffectiveQty],T_PlannedOrders[Part Name],$A773,T_PlannedOrders[WeekIndex],24)=0,"",SUMIFS(T_PlannedOrders[EffectiveQty],T_PlannedOrders[Part Name],$A773,T_PlannedOrders[WeekIndex],24)&amp;" ("&amp;TEXT(SUMPRODUCT(MAX((T_PlannedOrders[Part Name]=$A773)*(T_PlannedOrders[WeekIndex]=24)*(T_PlannedOrders[EffectiveQty]&gt;0)*T_PlannedOrders[Order_Month])),"m月")&amp;"発注)")</f>
        <v/>
      </c>
      <c r="AB831">
        <f>IF(SUMIFS(T_PlannedOrders[EffectiveQty],T_PlannedOrders[Part Name],$A773,T_PlannedOrders[WeekIndex],25)=0,"",SUMIFS(T_PlannedOrders[EffectiveQty],T_PlannedOrders[Part Name],$A773,T_PlannedOrders[WeekIndex],25)&amp;" ("&amp;TEXT(SUMPRODUCT(MAX((T_PlannedOrders[Part Name]=$A773)*(T_PlannedOrders[WeekIndex]=25)*(T_PlannedOrders[EffectiveQty]&gt;0)*T_PlannedOrders[Order_Month])),"m月")&amp;"発注)")</f>
        <v/>
      </c>
      <c r="AC831">
        <f>IF(SUMIFS(T_PlannedOrders[EffectiveQty],T_PlannedOrders[Part Name],$A773,T_PlannedOrders[WeekIndex],26)=0,"",SUMIFS(T_PlannedOrders[EffectiveQty],T_PlannedOrders[Part Name],$A773,T_PlannedOrders[WeekIndex],26)&amp;" ("&amp;TEXT(SUMPRODUCT(MAX((T_PlannedOrders[Part Name]=$A773)*(T_PlannedOrders[WeekIndex]=26)*(T_PlannedOrders[EffectiveQty]&gt;0)*T_PlannedOrders[Order_Month])),"m月")&amp;"発注)")</f>
        <v/>
      </c>
      <c r="AD831">
        <f>IF(SUMIFS(T_PlannedOrders[EffectiveQty],T_PlannedOrders[Part Name],$A773,T_PlannedOrders[WeekIndex],27)=0,"",SUMIFS(T_PlannedOrders[EffectiveQty],T_PlannedOrders[Part Name],$A773,T_PlannedOrders[WeekIndex],27)&amp;" ("&amp;TEXT(SUMPRODUCT(MAX((T_PlannedOrders[Part Name]=$A773)*(T_PlannedOrders[WeekIndex]=27)*(T_PlannedOrders[EffectiveQty]&gt;0)*T_PlannedOrders[Order_Month])),"m月")&amp;"発注)")</f>
        <v/>
      </c>
      <c r="AE831">
        <f>IF(SUMIFS(T_PlannedOrders[EffectiveQty],T_PlannedOrders[Part Name],$A773,T_PlannedOrders[WeekIndex],28)=0,"",SUMIFS(T_PlannedOrders[EffectiveQty],T_PlannedOrders[Part Name],$A773,T_PlannedOrders[WeekIndex],28)&amp;" ("&amp;TEXT(SUMPRODUCT(MAX((T_PlannedOrders[Part Name]=$A773)*(T_PlannedOrders[WeekIndex]=28)*(T_PlannedOrders[EffectiveQty]&gt;0)*T_PlannedOrders[Order_Month])),"m月")&amp;"発注)")</f>
        <v/>
      </c>
      <c r="AF831">
        <f>IF(SUMIFS(T_PlannedOrders[EffectiveQty],T_PlannedOrders[Part Name],$A773,T_PlannedOrders[WeekIndex],29)=0,"",SUMIFS(T_PlannedOrders[EffectiveQty],T_PlannedOrders[Part Name],$A773,T_PlannedOrders[WeekIndex],29)&amp;" ("&amp;TEXT(SUMPRODUCT(MAX((T_PlannedOrders[Part Name]=$A773)*(T_PlannedOrders[WeekIndex]=29)*(T_PlannedOrders[EffectiveQty]&gt;0)*T_PlannedOrders[Order_Month])),"m月")&amp;"発注)")</f>
        <v/>
      </c>
      <c r="AG831">
        <f>IF(SUMIFS(T_PlannedOrders[EffectiveQty],T_PlannedOrders[Part Name],$A773,T_PlannedOrders[WeekIndex],30)=0,"",SUMIFS(T_PlannedOrders[EffectiveQty],T_PlannedOrders[Part Name],$A773,T_PlannedOrders[WeekIndex],30)&amp;" ("&amp;TEXT(SUMPRODUCT(MAX((T_PlannedOrders[Part Name]=$A773)*(T_PlannedOrders[WeekIndex]=30)*(T_PlannedOrders[EffectiveQty]&gt;0)*T_PlannedOrders[Order_Month])),"m月")&amp;"発注)")</f>
        <v/>
      </c>
      <c r="AH831">
        <f>IF(SUMIFS(T_PlannedOrders[EffectiveQty],T_PlannedOrders[Part Name],$A773,T_PlannedOrders[WeekIndex],31)=0,"",SUMIFS(T_PlannedOrders[EffectiveQty],T_PlannedOrders[Part Name],$A773,T_PlannedOrders[WeekIndex],31)&amp;" ("&amp;TEXT(SUMPRODUCT(MAX((T_PlannedOrders[Part Name]=$A773)*(T_PlannedOrders[WeekIndex]=31)*(T_PlannedOrders[EffectiveQty]&gt;0)*T_PlannedOrders[Order_Month])),"m月")&amp;"発注)")</f>
        <v/>
      </c>
      <c r="AI831">
        <f>IF(SUMIFS(T_PlannedOrders[EffectiveQty],T_PlannedOrders[Part Name],$A773,T_PlannedOrders[WeekIndex],32)=0,"",SUMIFS(T_PlannedOrders[EffectiveQty],T_PlannedOrders[Part Name],$A773,T_PlannedOrders[WeekIndex],32)&amp;" ("&amp;TEXT(SUMPRODUCT(MAX((T_PlannedOrders[Part Name]=$A773)*(T_PlannedOrders[WeekIndex]=32)*(T_PlannedOrders[EffectiveQty]&gt;0)*T_PlannedOrders[Order_Month])),"m月")&amp;"発注)")</f>
        <v/>
      </c>
      <c r="AJ831">
        <f>IF(SUMIFS(T_PlannedOrders[EffectiveQty],T_PlannedOrders[Part Name],$A773,T_PlannedOrders[WeekIndex],33)=0,"",SUMIFS(T_PlannedOrders[EffectiveQty],T_PlannedOrders[Part Name],$A773,T_PlannedOrders[WeekIndex],33)&amp;" ("&amp;TEXT(SUMPRODUCT(MAX((T_PlannedOrders[Part Name]=$A773)*(T_PlannedOrders[WeekIndex]=33)*(T_PlannedOrders[EffectiveQty]&gt;0)*T_PlannedOrders[Order_Month])),"m月")&amp;"発注)")</f>
        <v/>
      </c>
      <c r="AK831">
        <f>IF(SUMIFS(T_PlannedOrders[EffectiveQty],T_PlannedOrders[Part Name],$A773,T_PlannedOrders[WeekIndex],34)=0,"",SUMIFS(T_PlannedOrders[EffectiveQty],T_PlannedOrders[Part Name],$A773,T_PlannedOrders[WeekIndex],34)&amp;" ("&amp;TEXT(SUMPRODUCT(MAX((T_PlannedOrders[Part Name]=$A773)*(T_PlannedOrders[WeekIndex]=34)*(T_PlannedOrders[EffectiveQty]&gt;0)*T_PlannedOrders[Order_Month])),"m月")&amp;"発注)")</f>
        <v/>
      </c>
      <c r="AL831">
        <f>IF(SUMIFS(T_PlannedOrders[EffectiveQty],T_PlannedOrders[Part Name],$A773,T_PlannedOrders[WeekIndex],35)=0,"",SUMIFS(T_PlannedOrders[EffectiveQty],T_PlannedOrders[Part Name],$A773,T_PlannedOrders[WeekIndex],35)&amp;" ("&amp;TEXT(SUMPRODUCT(MAX((T_PlannedOrders[Part Name]=$A773)*(T_PlannedOrders[WeekIndex]=35)*(T_PlannedOrders[EffectiveQty]&gt;0)*T_PlannedOrders[Order_Month])),"m月")&amp;"発注)")</f>
        <v/>
      </c>
      <c r="AM831">
        <f>IF(SUMIFS(T_PlannedOrders[EffectiveQty],T_PlannedOrders[Part Name],$A773,T_PlannedOrders[WeekIndex],36)=0,"",SUMIFS(T_PlannedOrders[EffectiveQty],T_PlannedOrders[Part Name],$A773,T_PlannedOrders[WeekIndex],36)&amp;" ("&amp;TEXT(SUMPRODUCT(MAX((T_PlannedOrders[Part Name]=$A773)*(T_PlannedOrders[WeekIndex]=36)*(T_PlannedOrders[EffectiveQty]&gt;0)*T_PlannedOrders[Order_Month])),"m月")&amp;"発注)")</f>
        <v/>
      </c>
      <c r="AN831">
        <f>IF(SUMIFS(T_PlannedOrders[EffectiveQty],T_PlannedOrders[Part Name],$A773,T_PlannedOrders[WeekIndex],37)=0,"",SUMIFS(T_PlannedOrders[EffectiveQty],T_PlannedOrders[Part Name],$A773,T_PlannedOrders[WeekIndex],37)&amp;" ("&amp;TEXT(SUMPRODUCT(MAX((T_PlannedOrders[Part Name]=$A773)*(T_PlannedOrders[WeekIndex]=37)*(T_PlannedOrders[EffectiveQty]&gt;0)*T_PlannedOrders[Order_Month])),"m月")&amp;"発注)")</f>
        <v/>
      </c>
      <c r="AO831">
        <f>IF(SUMIFS(T_PlannedOrders[EffectiveQty],T_PlannedOrders[Part Name],$A773,T_PlannedOrders[WeekIndex],38)=0,"",SUMIFS(T_PlannedOrders[EffectiveQty],T_PlannedOrders[Part Name],$A773,T_PlannedOrders[WeekIndex],38)&amp;" ("&amp;TEXT(SUMPRODUCT(MAX((T_PlannedOrders[Part Name]=$A773)*(T_PlannedOrders[WeekIndex]=38)*(T_PlannedOrders[EffectiveQty]&gt;0)*T_PlannedOrders[Order_Month])),"m月")&amp;"発注)")</f>
        <v/>
      </c>
      <c r="AP831">
        <f>IF(SUMIFS(T_PlannedOrders[EffectiveQty],T_PlannedOrders[Part Name],$A773,T_PlannedOrders[WeekIndex],39)=0,"",SUMIFS(T_PlannedOrders[EffectiveQty],T_PlannedOrders[Part Name],$A773,T_PlannedOrders[WeekIndex],39)&amp;" ("&amp;TEXT(SUMPRODUCT(MAX((T_PlannedOrders[Part Name]=$A773)*(T_PlannedOrders[WeekIndex]=39)*(T_PlannedOrders[EffectiveQty]&gt;0)*T_PlannedOrders[Order_Month])),"m月")&amp;"発注)")</f>
        <v/>
      </c>
      <c r="AQ831">
        <f>IF(SUMIFS(T_PlannedOrders[EffectiveQty],T_PlannedOrders[Part Name],$A773,T_PlannedOrders[WeekIndex],40)=0,"",SUMIFS(T_PlannedOrders[EffectiveQty],T_PlannedOrders[Part Name],$A773,T_PlannedOrders[WeekIndex],40)&amp;" ("&amp;TEXT(SUMPRODUCT(MAX((T_PlannedOrders[Part Name]=$A773)*(T_PlannedOrders[WeekIndex]=40)*(T_PlannedOrders[EffectiveQty]&gt;0)*T_PlannedOrders[Order_Month])),"m月")&amp;"発注)")</f>
        <v/>
      </c>
      <c r="AR831">
        <f>IF(SUMIFS(T_PlannedOrders[EffectiveQty],T_PlannedOrders[Part Name],$A773,T_PlannedOrders[WeekIndex],41)=0,"",SUMIFS(T_PlannedOrders[EffectiveQty],T_PlannedOrders[Part Name],$A773,T_PlannedOrders[WeekIndex],41)&amp;" ("&amp;TEXT(SUMPRODUCT(MAX((T_PlannedOrders[Part Name]=$A773)*(T_PlannedOrders[WeekIndex]=41)*(T_PlannedOrders[EffectiveQty]&gt;0)*T_PlannedOrders[Order_Month])),"m月")&amp;"発注)")</f>
        <v/>
      </c>
      <c r="AS831">
        <f>IF(SUMIFS(T_PlannedOrders[EffectiveQty],T_PlannedOrders[Part Name],$A773,T_PlannedOrders[WeekIndex],42)=0,"",SUMIFS(T_PlannedOrders[EffectiveQty],T_PlannedOrders[Part Name],$A773,T_PlannedOrders[WeekIndex],42)&amp;" ("&amp;TEXT(SUMPRODUCT(MAX((T_PlannedOrders[Part Name]=$A773)*(T_PlannedOrders[WeekIndex]=42)*(T_PlannedOrders[EffectiveQty]&gt;0)*T_PlannedOrders[Order_Month])),"m月")&amp;"発注)")</f>
        <v/>
      </c>
      <c r="AT831">
        <f>IF(SUMIFS(T_PlannedOrders[EffectiveQty],T_PlannedOrders[Part Name],$A773,T_PlannedOrders[WeekIndex],43)=0,"",SUMIFS(T_PlannedOrders[EffectiveQty],T_PlannedOrders[Part Name],$A773,T_PlannedOrders[WeekIndex],43)&amp;" ("&amp;TEXT(SUMPRODUCT(MAX((T_PlannedOrders[Part Name]=$A773)*(T_PlannedOrders[WeekIndex]=43)*(T_PlannedOrders[EffectiveQty]&gt;0)*T_PlannedOrders[Order_Month])),"m月")&amp;"発注)")</f>
        <v/>
      </c>
      <c r="AU831">
        <f>IF(SUMIFS(T_PlannedOrders[EffectiveQty],T_PlannedOrders[Part Name],$A773,T_PlannedOrders[WeekIndex],44)=0,"",SUMIFS(T_PlannedOrders[EffectiveQty],T_PlannedOrders[Part Name],$A773,T_PlannedOrders[WeekIndex],44)&amp;" ("&amp;TEXT(SUMPRODUCT(MAX((T_PlannedOrders[Part Name]=$A773)*(T_PlannedOrders[WeekIndex]=44)*(T_PlannedOrders[EffectiveQty]&gt;0)*T_PlannedOrders[Order_Month])),"m月")&amp;"発注)")</f>
        <v/>
      </c>
      <c r="AV831">
        <f>IF(SUMIFS(T_PlannedOrders[EffectiveQty],T_PlannedOrders[Part Name],$A773,T_PlannedOrders[WeekIndex],45)=0,"",SUMIFS(T_PlannedOrders[EffectiveQty],T_PlannedOrders[Part Name],$A773,T_PlannedOrders[WeekIndex],45)&amp;" ("&amp;TEXT(SUMPRODUCT(MAX((T_PlannedOrders[Part Name]=$A773)*(T_PlannedOrders[WeekIndex]=45)*(T_PlannedOrders[EffectiveQty]&gt;0)*T_PlannedOrders[Order_Month])),"m月")&amp;"発注)")</f>
        <v/>
      </c>
      <c r="AW831">
        <f>IF(SUMIFS(T_PlannedOrders[EffectiveQty],T_PlannedOrders[Part Name],$A773,T_PlannedOrders[WeekIndex],46)=0,"",SUMIFS(T_PlannedOrders[EffectiveQty],T_PlannedOrders[Part Name],$A773,T_PlannedOrders[WeekIndex],46)&amp;" ("&amp;TEXT(SUMPRODUCT(MAX((T_PlannedOrders[Part Name]=$A773)*(T_PlannedOrders[WeekIndex]=46)*(T_PlannedOrders[EffectiveQty]&gt;0)*T_PlannedOrders[Order_Month])),"m月")&amp;"発注)")</f>
        <v/>
      </c>
      <c r="AX831">
        <f>IF(SUMIFS(T_PlannedOrders[EffectiveQty],T_PlannedOrders[Part Name],$A773,T_PlannedOrders[WeekIndex],47)=0,"",SUMIFS(T_PlannedOrders[EffectiveQty],T_PlannedOrders[Part Name],$A773,T_PlannedOrders[WeekIndex],47)&amp;" ("&amp;TEXT(SUMPRODUCT(MAX((T_PlannedOrders[Part Name]=$A773)*(T_PlannedOrders[WeekIndex]=47)*(T_PlannedOrders[EffectiveQty]&gt;0)*T_PlannedOrders[Order_Month])),"m月")&amp;"発注)")</f>
        <v/>
      </c>
      <c r="AY831">
        <f>IF(SUMIFS(T_PlannedOrders[EffectiveQty],T_PlannedOrders[Part Name],$A773,T_PlannedOrders[WeekIndex],48)=0,"",SUMIFS(T_PlannedOrders[EffectiveQty],T_PlannedOrders[Part Name],$A773,T_PlannedOrders[WeekIndex],48)&amp;" ("&amp;TEXT(SUMPRODUCT(MAX((T_PlannedOrders[Part Name]=$A773)*(T_PlannedOrders[WeekIndex]=48)*(T_PlannedOrders[EffectiveQty]&gt;0)*T_PlannedOrders[Order_Month])),"m月")&amp;"発注)")</f>
        <v/>
      </c>
      <c r="AZ831">
        <f>IF(SUMIFS(T_PlannedOrders[EffectiveQty],T_PlannedOrders[Part Name],$A773,T_PlannedOrders[WeekIndex],49)=0,"",SUMIFS(T_PlannedOrders[EffectiveQty],T_PlannedOrders[Part Name],$A773,T_PlannedOrders[WeekIndex],49)&amp;" ("&amp;TEXT(SUMPRODUCT(MAX((T_PlannedOrders[Part Name]=$A773)*(T_PlannedOrders[WeekIndex]=49)*(T_PlannedOrders[EffectiveQty]&gt;0)*T_PlannedOrders[Order_Month])),"m月")&amp;"発注)")</f>
        <v/>
      </c>
      <c r="BA831">
        <f>IF(SUMIFS(T_PlannedOrders[EffectiveQty],T_PlannedOrders[Part Name],$A773,T_PlannedOrders[WeekIndex],50)=0,"",SUMIFS(T_PlannedOrders[EffectiveQty],T_PlannedOrders[Part Name],$A773,T_PlannedOrders[WeekIndex],50)&amp;" ("&amp;TEXT(SUMPRODUCT(MAX((T_PlannedOrders[Part Name]=$A773)*(T_PlannedOrders[WeekIndex]=50)*(T_PlannedOrders[EffectiveQty]&gt;0)*T_PlannedOrders[Order_Month])),"m月")&amp;"発注)")</f>
        <v/>
      </c>
      <c r="BB831">
        <f>IF(SUMIFS(T_PlannedOrders[EffectiveQty],T_PlannedOrders[Part Name],$A773,T_PlannedOrders[WeekIndex],51)=0,"",SUMIFS(T_PlannedOrders[EffectiveQty],T_PlannedOrders[Part Name],$A773,T_PlannedOrders[WeekIndex],51)&amp;" ("&amp;TEXT(SUMPRODUCT(MAX((T_PlannedOrders[Part Name]=$A773)*(T_PlannedOrders[WeekIndex]=51)*(T_PlannedOrders[EffectiveQty]&gt;0)*T_PlannedOrders[Order_Month])),"m月")&amp;"発注)")</f>
        <v/>
      </c>
      <c r="BC831">
        <f>IF(SUMIFS(T_PlannedOrders[EffectiveQty],T_PlannedOrders[Part Name],$A773,T_PlannedOrders[WeekIndex],52)=0,"",SUMIFS(T_PlannedOrders[EffectiveQty],T_PlannedOrders[Part Name],$A773,T_PlannedOrders[WeekIndex],52)&amp;" ("&amp;TEXT(SUMPRODUCT(MAX((T_PlannedOrders[Part Name]=$A773)*(T_PlannedOrders[WeekIndex]=52)*(T_PlannedOrders[EffectiveQty]&gt;0)*T_PlannedOrders[Order_Month])),"m月")&amp;"発注)")</f>
        <v/>
      </c>
      <c r="BD831">
        <f>IF(SUMIFS(T_PlannedOrders[EffectiveQty],T_PlannedOrders[Part Name],$A773,T_PlannedOrders[WeekIndex],53)=0,"",SUMIFS(T_PlannedOrders[EffectiveQty],T_PlannedOrders[Part Name],$A773,T_PlannedOrders[WeekIndex],53)&amp;" ("&amp;TEXT(SUMPRODUCT(MAX((T_PlannedOrders[Part Name]=$A773)*(T_PlannedOrders[WeekIndex]=53)*(T_PlannedOrders[EffectiveQty]&gt;0)*T_PlannedOrders[Order_Month])),"m月")&amp;"発注)")</f>
        <v/>
      </c>
      <c r="BE831">
        <f>IF(SUMIFS(T_PlannedOrders[EffectiveQty],T_PlannedOrders[Part Name],$A773,T_PlannedOrders[WeekIndex],54)=0,"",SUMIFS(T_PlannedOrders[EffectiveQty],T_PlannedOrders[Part Name],$A773,T_PlannedOrders[WeekIndex],54)&amp;" ("&amp;TEXT(SUMPRODUCT(MAX((T_PlannedOrders[Part Name]=$A773)*(T_PlannedOrders[WeekIndex]=54)*(T_PlannedOrders[EffectiveQty]&gt;0)*T_PlannedOrders[Order_Month])),"m月")&amp;"発注)")</f>
        <v/>
      </c>
      <c r="BF831">
        <f>IF(SUMIFS(T_PlannedOrders[EffectiveQty],T_PlannedOrders[Part Name],$A773,T_PlannedOrders[WeekIndex],55)=0,"",SUMIFS(T_PlannedOrders[EffectiveQty],T_PlannedOrders[Part Name],$A773,T_PlannedOrders[WeekIndex],55)&amp;" ("&amp;TEXT(SUMPRODUCT(MAX((T_PlannedOrders[Part Name]=$A773)*(T_PlannedOrders[WeekIndex]=55)*(T_PlannedOrders[EffectiveQty]&gt;0)*T_PlannedOrders[Order_Month])),"m月")&amp;"発注)")</f>
        <v/>
      </c>
      <c r="BG831">
        <f>IF(SUMIFS(T_PlannedOrders[EffectiveQty],T_PlannedOrders[Part Name],$A773,T_PlannedOrders[WeekIndex],56)=0,"",SUMIFS(T_PlannedOrders[EffectiveQty],T_PlannedOrders[Part Name],$A773,T_PlannedOrders[WeekIndex],56)&amp;" ("&amp;TEXT(SUMPRODUCT(MAX((T_PlannedOrders[Part Name]=$A773)*(T_PlannedOrders[WeekIndex]=56)*(T_PlannedOrders[EffectiveQty]&gt;0)*T_PlannedOrders[Order_Month])),"m月")&amp;"発注)")</f>
        <v/>
      </c>
      <c r="BH831">
        <f>IF(SUMIFS(T_PlannedOrders[EffectiveQty],T_PlannedOrders[Part Name],$A773,T_PlannedOrders[WeekIndex],57)=0,"",SUMIFS(T_PlannedOrders[EffectiveQty],T_PlannedOrders[Part Name],$A773,T_PlannedOrders[WeekIndex],57)&amp;" ("&amp;TEXT(SUMPRODUCT(MAX((T_PlannedOrders[Part Name]=$A773)*(T_PlannedOrders[WeekIndex]=57)*(T_PlannedOrders[EffectiveQty]&gt;0)*T_PlannedOrders[Order_Month])),"m月")&amp;"発注)")</f>
        <v/>
      </c>
      <c r="BI831">
        <f>IF(SUMIFS(T_PlannedOrders[EffectiveQty],T_PlannedOrders[Part Name],$A773,T_PlannedOrders[WeekIndex],58)=0,"",SUMIFS(T_PlannedOrders[EffectiveQty],T_PlannedOrders[Part Name],$A773,T_PlannedOrders[WeekIndex],58)&amp;" ("&amp;TEXT(SUMPRODUCT(MAX((T_PlannedOrders[Part Name]=$A773)*(T_PlannedOrders[WeekIndex]=58)*(T_PlannedOrders[EffectiveQty]&gt;0)*T_PlannedOrders[Order_Month])),"m月")&amp;"発注)")</f>
        <v/>
      </c>
      <c r="BJ831">
        <f>IF(SUMIFS(T_PlannedOrders[EffectiveQty],T_PlannedOrders[Part Name],$A773,T_PlannedOrders[WeekIndex],59)=0,"",SUMIFS(T_PlannedOrders[EffectiveQty],T_PlannedOrders[Part Name],$A773,T_PlannedOrders[WeekIndex],59)&amp;" ("&amp;TEXT(SUMPRODUCT(MAX((T_PlannedOrders[Part Name]=$A773)*(T_PlannedOrders[WeekIndex]=59)*(T_PlannedOrders[EffectiveQty]&gt;0)*T_PlannedOrders[Order_Month])),"m月")&amp;"発注)")</f>
        <v/>
      </c>
      <c r="BK831">
        <f>IF(SUMIFS(T_PlannedOrders[EffectiveQty],T_PlannedOrders[Part Name],$A773,T_PlannedOrders[WeekIndex],60)=0,"",SUMIFS(T_PlannedOrders[EffectiveQty],T_PlannedOrders[Part Name],$A773,T_PlannedOrders[WeekIndex],60)&amp;" ("&amp;TEXT(SUMPRODUCT(MAX((T_PlannedOrders[Part Name]=$A773)*(T_PlannedOrders[WeekIndex]=60)*(T_PlannedOrders[EffectiveQty]&gt;0)*T_PlannedOrders[Order_Month])),"m月")&amp;"発注)")</f>
        <v/>
      </c>
      <c r="BL831">
        <f>IF(SUMIFS(T_PlannedOrders[EffectiveQty],T_PlannedOrders[Part Name],$A773,T_PlannedOrders[WeekIndex],61)=0,"",SUMIFS(T_PlannedOrders[EffectiveQty],T_PlannedOrders[Part Name],$A773,T_PlannedOrders[WeekIndex],61)&amp;" ("&amp;TEXT(SUMPRODUCT(MAX((T_PlannedOrders[Part Name]=$A773)*(T_PlannedOrders[WeekIndex]=61)*(T_PlannedOrders[EffectiveQty]&gt;0)*T_PlannedOrders[Order_Month])),"m月")&amp;"発注)")</f>
        <v/>
      </c>
      <c r="BM831">
        <f>IF(SUMIFS(T_PlannedOrders[EffectiveQty],T_PlannedOrders[Part Name],$A773,T_PlannedOrders[WeekIndex],62)=0,"",SUMIFS(T_PlannedOrders[EffectiveQty],T_PlannedOrders[Part Name],$A773,T_PlannedOrders[WeekIndex],62)&amp;" ("&amp;TEXT(SUMPRODUCT(MAX((T_PlannedOrders[Part Name]=$A773)*(T_PlannedOrders[WeekIndex]=62)*(T_PlannedOrders[EffectiveQty]&gt;0)*T_PlannedOrders[Order_Month])),"m月")&amp;"発注)")</f>
        <v/>
      </c>
      <c r="BN831">
        <f>IF(SUMIFS(T_PlannedOrders[EffectiveQty],T_PlannedOrders[Part Name],$A773,T_PlannedOrders[WeekIndex],63)=0,"",SUMIFS(T_PlannedOrders[EffectiveQty],T_PlannedOrders[Part Name],$A773,T_PlannedOrders[WeekIndex],63)&amp;" ("&amp;TEXT(SUMPRODUCT(MAX((T_PlannedOrders[Part Name]=$A773)*(T_PlannedOrders[WeekIndex]=63)*(T_PlannedOrders[EffectiveQty]&gt;0)*T_PlannedOrders[Order_Month])),"m月")&amp;"発注)")</f>
        <v/>
      </c>
      <c r="BO831">
        <f>IF(SUMIFS(T_PlannedOrders[EffectiveQty],T_PlannedOrders[Part Name],$A773,T_PlannedOrders[WeekIndex],64)=0,"",SUMIFS(T_PlannedOrders[EffectiveQty],T_PlannedOrders[Part Name],$A773,T_PlannedOrders[WeekIndex],64)&amp;" ("&amp;TEXT(SUMPRODUCT(MAX((T_PlannedOrders[Part Name]=$A773)*(T_PlannedOrders[WeekIndex]=64)*(T_PlannedOrders[EffectiveQty]&gt;0)*T_PlannedOrders[Order_Month])),"m月")&amp;"発注)")</f>
        <v/>
      </c>
      <c r="BP831">
        <f>IF(SUMIFS(T_PlannedOrders[EffectiveQty],T_PlannedOrders[Part Name],$A773,T_PlannedOrders[WeekIndex],65)=0,"",SUMIFS(T_PlannedOrders[EffectiveQty],T_PlannedOrders[Part Name],$A773,T_PlannedOrders[WeekIndex],65)&amp;" ("&amp;TEXT(SUMPRODUCT(MAX((T_PlannedOrders[Part Name]=$A773)*(T_PlannedOrders[WeekIndex]=65)*(T_PlannedOrders[EffectiveQty]&gt;0)*T_PlannedOrders[Order_Month])),"m月")&amp;"発注)")</f>
        <v/>
      </c>
      <c r="BQ831">
        <f>IF(SUMIFS(T_PlannedOrders[EffectiveQty],T_PlannedOrders[Part Name],$A773,T_PlannedOrders[WeekIndex],66)=0,"",SUMIFS(T_PlannedOrders[EffectiveQty],T_PlannedOrders[Part Name],$A773,T_PlannedOrders[WeekIndex],66)&amp;" ("&amp;TEXT(SUMPRODUCT(MAX((T_PlannedOrders[Part Name]=$A773)*(T_PlannedOrders[WeekIndex]=66)*(T_PlannedOrders[EffectiveQty]&gt;0)*T_PlannedOrders[Order_Month])),"m月")&amp;"発注)")</f>
        <v/>
      </c>
      <c r="BR831">
        <f>IF(SUMIFS(T_PlannedOrders[EffectiveQty],T_PlannedOrders[Part Name],$A773,T_PlannedOrders[WeekIndex],67)=0,"",SUMIFS(T_PlannedOrders[EffectiveQty],T_PlannedOrders[Part Name],$A773,T_PlannedOrders[WeekIndex],67)&amp;" ("&amp;TEXT(SUMPRODUCT(MAX((T_PlannedOrders[Part Name]=$A773)*(T_PlannedOrders[WeekIndex]=67)*(T_PlannedOrders[EffectiveQty]&gt;0)*T_PlannedOrders[Order_Month])),"m月")&amp;"発注)")</f>
        <v/>
      </c>
      <c r="BS831">
        <f>IF(SUMIFS(T_PlannedOrders[EffectiveQty],T_PlannedOrders[Part Name],$A773,T_PlannedOrders[WeekIndex],68)=0,"",SUMIFS(T_PlannedOrders[EffectiveQty],T_PlannedOrders[Part Name],$A773,T_PlannedOrders[WeekIndex],68)&amp;" ("&amp;TEXT(SUMPRODUCT(MAX((T_PlannedOrders[Part Name]=$A773)*(T_PlannedOrders[WeekIndex]=68)*(T_PlannedOrders[EffectiveQty]&gt;0)*T_PlannedOrders[Order_Month])),"m月")&amp;"発注)")</f>
        <v/>
      </c>
      <c r="BT831">
        <f>IF(SUMIFS(T_PlannedOrders[EffectiveQty],T_PlannedOrders[Part Name],$A773,T_PlannedOrders[WeekIndex],69)=0,"",SUMIFS(T_PlannedOrders[EffectiveQty],T_PlannedOrders[Part Name],$A773,T_PlannedOrders[WeekIndex],69)&amp;" ("&amp;TEXT(SUMPRODUCT(MAX((T_PlannedOrders[Part Name]=$A773)*(T_PlannedOrders[WeekIndex]=69)*(T_PlannedOrders[EffectiveQty]&gt;0)*T_PlannedOrders[Order_Month])),"m月")&amp;"発注)")</f>
        <v/>
      </c>
      <c r="BU831">
        <f>IF(SUMIFS(T_PlannedOrders[EffectiveQty],T_PlannedOrders[Part Name],$A773,T_PlannedOrders[WeekIndex],70)=0,"",SUMIFS(T_PlannedOrders[EffectiveQty],T_PlannedOrders[Part Name],$A773,T_PlannedOrders[WeekIndex],70)&amp;" ("&amp;TEXT(SUMPRODUCT(MAX((T_PlannedOrders[Part Name]=$A773)*(T_PlannedOrders[WeekIndex]=70)*(T_PlannedOrders[EffectiveQty]&gt;0)*T_PlannedOrders[Order_Month])),"m月")&amp;"発注)")</f>
        <v/>
      </c>
      <c r="BV831">
        <f>IF(SUMIFS(T_PlannedOrders[EffectiveQty],T_PlannedOrders[Part Name],$A773,T_PlannedOrders[WeekIndex],71)=0,"",SUMIFS(T_PlannedOrders[EffectiveQty],T_PlannedOrders[Part Name],$A773,T_PlannedOrders[WeekIndex],71)&amp;" ("&amp;TEXT(SUMPRODUCT(MAX((T_PlannedOrders[Part Name]=$A773)*(T_PlannedOrders[WeekIndex]=71)*(T_PlannedOrders[EffectiveQty]&gt;0)*T_PlannedOrders[Order_Month])),"m月")&amp;"発注)")</f>
        <v/>
      </c>
      <c r="BW831">
        <f>IF(SUMIFS(T_PlannedOrders[EffectiveQty],T_PlannedOrders[Part Name],$A773,T_PlannedOrders[WeekIndex],72)=0,"",SUMIFS(T_PlannedOrders[EffectiveQty],T_PlannedOrders[Part Name],$A773,T_PlannedOrders[WeekIndex],72)&amp;" ("&amp;TEXT(SUMPRODUCT(MAX((T_PlannedOrders[Part Name]=$A773)*(T_PlannedOrders[WeekIndex]=72)*(T_PlannedOrders[EffectiveQty]&gt;0)*T_PlannedOrders[Order_Month])),"m月")&amp;"発注)")</f>
        <v/>
      </c>
      <c r="BX831">
        <f>IF(SUMIFS(T_PlannedOrders[EffectiveQty],T_PlannedOrders[Part Name],$A773,T_PlannedOrders[WeekIndex],73)=0,"",SUMIFS(T_PlannedOrders[EffectiveQty],T_PlannedOrders[Part Name],$A773,T_PlannedOrders[WeekIndex],73)&amp;" ("&amp;TEXT(SUMPRODUCT(MAX((T_PlannedOrders[Part Name]=$A773)*(T_PlannedOrders[WeekIndex]=73)*(T_PlannedOrders[EffectiveQty]&gt;0)*T_PlannedOrders[Order_Month])),"m月")&amp;"発注)")</f>
        <v/>
      </c>
      <c r="BY831">
        <f>IF(SUMIFS(T_PlannedOrders[EffectiveQty],T_PlannedOrders[Part Name],$A773,T_PlannedOrders[WeekIndex],74)=0,"",SUMIFS(T_PlannedOrders[EffectiveQty],T_PlannedOrders[Part Name],$A773,T_PlannedOrders[WeekIndex],74)&amp;" ("&amp;TEXT(SUMPRODUCT(MAX((T_PlannedOrders[Part Name]=$A773)*(T_PlannedOrders[WeekIndex]=74)*(T_PlannedOrders[EffectiveQty]&gt;0)*T_PlannedOrders[Order_Month])),"m月")&amp;"発注)")</f>
        <v/>
      </c>
      <c r="BZ831">
        <f>IF(SUMIFS(T_PlannedOrders[EffectiveQty],T_PlannedOrders[Part Name],$A773,T_PlannedOrders[WeekIndex],75)=0,"",SUMIFS(T_PlannedOrders[EffectiveQty],T_PlannedOrders[Part Name],$A773,T_PlannedOrders[WeekIndex],75)&amp;" ("&amp;TEXT(SUMPRODUCT(MAX((T_PlannedOrders[Part Name]=$A773)*(T_PlannedOrders[WeekIndex]=75)*(T_PlannedOrders[EffectiveQty]&gt;0)*T_PlannedOrders[Order_Month])),"m月")&amp;"発注)")</f>
        <v/>
      </c>
      <c r="CA831">
        <f>IF(SUMIFS(T_PlannedOrders[EffectiveQty],T_PlannedOrders[Part Name],$A773,T_PlannedOrders[WeekIndex],76)=0,"",SUMIFS(T_PlannedOrders[EffectiveQty],T_PlannedOrders[Part Name],$A773,T_PlannedOrders[WeekIndex],76)&amp;" ("&amp;TEXT(SUMPRODUCT(MAX((T_PlannedOrders[Part Name]=$A773)*(T_PlannedOrders[WeekIndex]=76)*(T_PlannedOrders[EffectiveQty]&gt;0)*T_PlannedOrders[Order_Month])),"m月")&amp;"発注)")</f>
        <v/>
      </c>
      <c r="CB831">
        <f>IF(SUMIFS(T_PlannedOrders[EffectiveQty],T_PlannedOrders[Part Name],$A773,T_PlannedOrders[WeekIndex],77)=0,"",SUMIFS(T_PlannedOrders[EffectiveQty],T_PlannedOrders[Part Name],$A773,T_PlannedOrders[WeekIndex],77)&amp;" ("&amp;TEXT(SUMPRODUCT(MAX((T_PlannedOrders[Part Name]=$A773)*(T_PlannedOrders[WeekIndex]=77)*(T_PlannedOrders[EffectiveQty]&gt;0)*T_PlannedOrders[Order_Month])),"m月")&amp;"発注)")</f>
        <v/>
      </c>
      <c r="CC831">
        <f>IF(SUMIFS(T_PlannedOrders[EffectiveQty],T_PlannedOrders[Part Name],$A773,T_PlannedOrders[WeekIndex],78)=0,"",SUMIFS(T_PlannedOrders[EffectiveQty],T_PlannedOrders[Part Name],$A773,T_PlannedOrders[WeekIndex],78)&amp;" ("&amp;TEXT(SUMPRODUCT(MAX((T_PlannedOrders[Part Name]=$A773)*(T_PlannedOrders[WeekIndex]=78)*(T_PlannedOrders[EffectiveQty]&gt;0)*T_PlannedOrders[Order_Month])),"m月")&amp;"発注)")</f>
        <v/>
      </c>
      <c r="CD831">
        <f>IF(SUMIFS(T_PlannedOrders[EffectiveQty],T_PlannedOrders[Part Name],$A773,T_PlannedOrders[WeekIndex],79)=0,"",SUMIFS(T_PlannedOrders[EffectiveQty],T_PlannedOrders[Part Name],$A773,T_PlannedOrders[WeekIndex],79)&amp;" ("&amp;TEXT(SUMPRODUCT(MAX((T_PlannedOrders[Part Name]=$A773)*(T_PlannedOrders[WeekIndex]=79)*(T_PlannedOrders[EffectiveQty]&gt;0)*T_PlannedOrders[Order_Month])),"m月")&amp;"発注)")</f>
        <v/>
      </c>
      <c r="CE831">
        <f>IF(SUMIFS(T_PlannedOrders[EffectiveQty],T_PlannedOrders[Part Name],$A773,T_PlannedOrders[WeekIndex],80)=0,"",SUMIFS(T_PlannedOrders[EffectiveQty],T_PlannedOrders[Part Name],$A773,T_PlannedOrders[WeekIndex],80)&amp;" ("&amp;TEXT(SUMPRODUCT(MAX((T_PlannedOrders[Part Name]=$A773)*(T_PlannedOrders[WeekIndex]=80)*(T_PlannedOrders[EffectiveQty]&gt;0)*T_PlannedOrders[Order_Month])),"m月")&amp;"発注)")</f>
        <v/>
      </c>
      <c r="CF831">
        <f>IF(SUMIFS(T_PlannedOrders[EffectiveQty],T_PlannedOrders[Part Name],$A773,T_PlannedOrders[WeekIndex],81)=0,"",SUMIFS(T_PlannedOrders[EffectiveQty],T_PlannedOrders[Part Name],$A773,T_PlannedOrders[WeekIndex],81)&amp;" ("&amp;TEXT(SUMPRODUCT(MAX((T_PlannedOrders[Part Name]=$A773)*(T_PlannedOrders[WeekIndex]=81)*(T_PlannedOrders[EffectiveQty]&gt;0)*T_PlannedOrders[Order_Month])),"m月")&amp;"発注)")</f>
        <v/>
      </c>
      <c r="CG831">
        <f>IF(SUMIFS(T_PlannedOrders[EffectiveQty],T_PlannedOrders[Part Name],$A773,T_PlannedOrders[WeekIndex],82)=0,"",SUMIFS(T_PlannedOrders[EffectiveQty],T_PlannedOrders[Part Name],$A773,T_PlannedOrders[WeekIndex],82)&amp;" ("&amp;TEXT(SUMPRODUCT(MAX((T_PlannedOrders[Part Name]=$A773)*(T_PlannedOrders[WeekIndex]=82)*(T_PlannedOrders[EffectiveQty]&gt;0)*T_PlannedOrders[Order_Month])),"m月")&amp;"発注)")</f>
        <v/>
      </c>
      <c r="CH831">
        <f>IF(SUMIFS(T_PlannedOrders[EffectiveQty],T_PlannedOrders[Part Name],$A773,T_PlannedOrders[WeekIndex],83)=0,"",SUMIFS(T_PlannedOrders[EffectiveQty],T_PlannedOrders[Part Name],$A773,T_PlannedOrders[WeekIndex],83)&amp;" ("&amp;TEXT(SUMPRODUCT(MAX((T_PlannedOrders[Part Name]=$A773)*(T_PlannedOrders[WeekIndex]=83)*(T_PlannedOrders[EffectiveQty]&gt;0)*T_PlannedOrders[Order_Month])),"m月")&amp;"発注)")</f>
        <v/>
      </c>
      <c r="CI831">
        <f>IF(SUMIFS(T_PlannedOrders[EffectiveQty],T_PlannedOrders[Part Name],$A773,T_PlannedOrders[WeekIndex],84)=0,"",SUMIFS(T_PlannedOrders[EffectiveQty],T_PlannedOrders[Part Name],$A773,T_PlannedOrders[WeekIndex],84)&amp;" ("&amp;TEXT(SUMPRODUCT(MAX((T_PlannedOrders[Part Name]=$A773)*(T_PlannedOrders[WeekIndex]=84)*(T_PlannedOrders[EffectiveQty]&gt;0)*T_PlannedOrders[Order_Month])),"m月")&amp;"発注)")</f>
        <v/>
      </c>
      <c r="CJ831">
        <f>IF(SUMIFS(T_PlannedOrders[EffectiveQty],T_PlannedOrders[Part Name],$A773,T_PlannedOrders[WeekIndex],85)=0,"",SUMIFS(T_PlannedOrders[EffectiveQty],T_PlannedOrders[Part Name],$A773,T_PlannedOrders[WeekIndex],85)&amp;" ("&amp;TEXT(SUMPRODUCT(MAX((T_PlannedOrders[Part Name]=$A773)*(T_PlannedOrders[WeekIndex]=85)*(T_PlannedOrders[EffectiveQty]&gt;0)*T_PlannedOrders[Order_Month])),"m月")&amp;"発注)")</f>
        <v/>
      </c>
      <c r="CK831">
        <f>IF(SUMIFS(T_PlannedOrders[EffectiveQty],T_PlannedOrders[Part Name],$A773,T_PlannedOrders[WeekIndex],86)=0,"",SUMIFS(T_PlannedOrders[EffectiveQty],T_PlannedOrders[Part Name],$A773,T_PlannedOrders[WeekIndex],86)&amp;" ("&amp;TEXT(SUMPRODUCT(MAX((T_PlannedOrders[Part Name]=$A773)*(T_PlannedOrders[WeekIndex]=86)*(T_PlannedOrders[EffectiveQty]&gt;0)*T_PlannedOrders[Order_Month])),"m月")&amp;"発注)")</f>
        <v/>
      </c>
      <c r="CL831">
        <f>IF(SUMIFS(T_PlannedOrders[EffectiveQty],T_PlannedOrders[Part Name],$A773,T_PlannedOrders[WeekIndex],87)=0,"",SUMIFS(T_PlannedOrders[EffectiveQty],T_PlannedOrders[Part Name],$A773,T_PlannedOrders[WeekIndex],87)&amp;" ("&amp;TEXT(SUMPRODUCT(MAX((T_PlannedOrders[Part Name]=$A773)*(T_PlannedOrders[WeekIndex]=87)*(T_PlannedOrders[EffectiveQty]&gt;0)*T_PlannedOrders[Order_Month])),"m月")&amp;"発注)")</f>
        <v/>
      </c>
      <c r="CM831">
        <f>IF(SUMIFS(T_PlannedOrders[EffectiveQty],T_PlannedOrders[Part Name],$A773,T_PlannedOrders[WeekIndex],88)=0,"",SUMIFS(T_PlannedOrders[EffectiveQty],T_PlannedOrders[Part Name],$A773,T_PlannedOrders[WeekIndex],88)&amp;" ("&amp;TEXT(SUMPRODUCT(MAX((T_PlannedOrders[Part Name]=$A773)*(T_PlannedOrders[WeekIndex]=88)*(T_PlannedOrders[EffectiveQty]&gt;0)*T_PlannedOrders[Order_Month])),"m月")&amp;"発注)")</f>
        <v/>
      </c>
      <c r="CN831">
        <f>IF(SUMIFS(T_PlannedOrders[EffectiveQty],T_PlannedOrders[Part Name],$A773,T_PlannedOrders[WeekIndex],89)=0,"",SUMIFS(T_PlannedOrders[EffectiveQty],T_PlannedOrders[Part Name],$A773,T_PlannedOrders[WeekIndex],89)&amp;" ("&amp;TEXT(SUMPRODUCT(MAX((T_PlannedOrders[Part Name]=$A773)*(T_PlannedOrders[WeekIndex]=89)*(T_PlannedOrders[EffectiveQty]&gt;0)*T_PlannedOrders[Order_Month])),"m月")&amp;"発注)")</f>
        <v/>
      </c>
      <c r="CO831">
        <f>IF(SUMIFS(T_PlannedOrders[EffectiveQty],T_PlannedOrders[Part Name],$A773,T_PlannedOrders[WeekIndex],90)=0,"",SUMIFS(T_PlannedOrders[EffectiveQty],T_PlannedOrders[Part Name],$A773,T_PlannedOrders[WeekIndex],90)&amp;" ("&amp;TEXT(SUMPRODUCT(MAX((T_PlannedOrders[Part Name]=$A773)*(T_PlannedOrders[WeekIndex]=90)*(T_PlannedOrders[EffectiveQty]&gt;0)*T_PlannedOrders[Order_Month])),"m月")&amp;"発注)")</f>
        <v/>
      </c>
      <c r="CP831">
        <f>IF(SUMIFS(T_PlannedOrders[EffectiveQty],T_PlannedOrders[Part Name],$A773,T_PlannedOrders[WeekIndex],91)=0,"",SUMIFS(T_PlannedOrders[EffectiveQty],T_PlannedOrders[Part Name],$A773,T_PlannedOrders[WeekIndex],91)&amp;" ("&amp;TEXT(SUMPRODUCT(MAX((T_PlannedOrders[Part Name]=$A773)*(T_PlannedOrders[WeekIndex]=91)*(T_PlannedOrders[EffectiveQty]&gt;0)*T_PlannedOrders[Order_Month])),"m月")&amp;"発注)")</f>
        <v/>
      </c>
      <c r="CQ831">
        <f>IF(SUMIFS(T_PlannedOrders[EffectiveQty],T_PlannedOrders[Part Name],$A773,T_PlannedOrders[WeekIndex],92)=0,"",SUMIFS(T_PlannedOrders[EffectiveQty],T_PlannedOrders[Part Name],$A773,T_PlannedOrders[WeekIndex],92)&amp;" ("&amp;TEXT(SUMPRODUCT(MAX((T_PlannedOrders[Part Name]=$A773)*(T_PlannedOrders[WeekIndex]=92)*(T_PlannedOrders[EffectiveQty]&gt;0)*T_PlannedOrders[Order_Month])),"m月")&amp;"発注)")</f>
        <v/>
      </c>
      <c r="CR831">
        <f>IF(SUMIFS(T_PlannedOrders[EffectiveQty],T_PlannedOrders[Part Name],$A773,T_PlannedOrders[WeekIndex],93)=0,"",SUMIFS(T_PlannedOrders[EffectiveQty],T_PlannedOrders[Part Name],$A773,T_PlannedOrders[WeekIndex],93)&amp;" ("&amp;TEXT(SUMPRODUCT(MAX((T_PlannedOrders[Part Name]=$A773)*(T_PlannedOrders[WeekIndex]=93)*(T_PlannedOrders[EffectiveQty]&gt;0)*T_PlannedOrders[Order_Month])),"m月")&amp;"発注)")</f>
        <v/>
      </c>
      <c r="CS831">
        <f>IF(SUMIFS(T_PlannedOrders[EffectiveQty],T_PlannedOrders[Part Name],$A773,T_PlannedOrders[WeekIndex],94)=0,"",SUMIFS(T_PlannedOrders[EffectiveQty],T_PlannedOrders[Part Name],$A773,T_PlannedOrders[WeekIndex],94)&amp;" ("&amp;TEXT(SUMPRODUCT(MAX((T_PlannedOrders[Part Name]=$A773)*(T_PlannedOrders[WeekIndex]=94)*(T_PlannedOrders[EffectiveQty]&gt;0)*T_PlannedOrders[Order_Month])),"m月")&amp;"発注)")</f>
        <v/>
      </c>
      <c r="CT831">
        <f>IF(SUMIFS(T_PlannedOrders[EffectiveQty],T_PlannedOrders[Part Name],$A773,T_PlannedOrders[WeekIndex],95)=0,"",SUMIFS(T_PlannedOrders[EffectiveQty],T_PlannedOrders[Part Name],$A773,T_PlannedOrders[WeekIndex],95)&amp;" ("&amp;TEXT(SUMPRODUCT(MAX((T_PlannedOrders[Part Name]=$A773)*(T_PlannedOrders[WeekIndex]=95)*(T_PlannedOrders[EffectiveQty]&gt;0)*T_PlannedOrders[Order_Month])),"m月")&amp;"発注)")</f>
        <v/>
      </c>
      <c r="CU831">
        <f>IF(SUMIFS(T_PlannedOrders[EffectiveQty],T_PlannedOrders[Part Name],$A773,T_PlannedOrders[WeekIndex],96)=0,"",SUMIFS(T_PlannedOrders[EffectiveQty],T_PlannedOrders[Part Name],$A773,T_PlannedOrders[WeekIndex],96)&amp;" ("&amp;TEXT(SUMPRODUCT(MAX((T_PlannedOrders[Part Name]=$A773)*(T_PlannedOrders[WeekIndex]=96)*(T_PlannedOrders[EffectiveQty]&gt;0)*T_PlannedOrders[Order_Month])),"m月")&amp;"発注)")</f>
        <v/>
      </c>
      <c r="CV831">
        <f>IF(SUMIFS(T_PlannedOrders[EffectiveQty],T_PlannedOrders[Part Name],$A773,T_PlannedOrders[WeekIndex],97)=0,"",SUMIFS(T_PlannedOrders[EffectiveQty],T_PlannedOrders[Part Name],$A773,T_PlannedOrders[WeekIndex],97)&amp;" ("&amp;TEXT(SUMPRODUCT(MAX((T_PlannedOrders[Part Name]=$A773)*(T_PlannedOrders[WeekIndex]=97)*(T_PlannedOrders[EffectiveQty]&gt;0)*T_PlannedOrders[Order_Month])),"m月")&amp;"発注)")</f>
        <v/>
      </c>
      <c r="CW831">
        <f>IF(SUMIFS(T_PlannedOrders[EffectiveQty],T_PlannedOrders[Part Name],$A773,T_PlannedOrders[WeekIndex],98)=0,"",SUMIFS(T_PlannedOrders[EffectiveQty],T_PlannedOrders[Part Name],$A773,T_PlannedOrders[WeekIndex],98)&amp;" ("&amp;TEXT(SUMPRODUCT(MAX((T_PlannedOrders[Part Name]=$A773)*(T_PlannedOrders[WeekIndex]=98)*(T_PlannedOrders[EffectiveQty]&gt;0)*T_PlannedOrders[Order_Month])),"m月")&amp;"発注)")</f>
        <v/>
      </c>
      <c r="CX831">
        <f>IF(SUMIFS(T_PlannedOrders[EffectiveQty],T_PlannedOrders[Part Name],$A773,T_PlannedOrders[WeekIndex],99)=0,"",SUMIFS(T_PlannedOrders[EffectiveQty],T_PlannedOrders[Part Name],$A773,T_PlannedOrders[WeekIndex],99)&amp;" ("&amp;TEXT(SUMPRODUCT(MAX((T_PlannedOrders[Part Name]=$A773)*(T_PlannedOrders[WeekIndex]=99)*(T_PlannedOrders[EffectiveQty]&gt;0)*T_PlannedOrders[Order_Month])),"m月")&amp;"発注)")</f>
        <v/>
      </c>
      <c r="CY831">
        <f>IF(SUMIFS(T_PlannedOrders[EffectiveQty],T_PlannedOrders[Part Name],$A773,T_PlannedOrders[WeekIndex],100)=0,"",SUMIFS(T_PlannedOrders[EffectiveQty],T_PlannedOrders[Part Name],$A773,T_PlannedOrders[WeekIndex],100)&amp;" ("&amp;TEXT(SUMPRODUCT(MAX((T_PlannedOrders[Part Name]=$A773)*(T_PlannedOrders[WeekIndex]=100)*(T_PlannedOrders[EffectiveQty]&gt;0)*T_PlannedOrders[Order_Month])),"m月")&amp;"発注)")</f>
        <v/>
      </c>
      <c r="CZ831">
        <f>IF(SUMIFS(T_PlannedOrders[EffectiveQty],T_PlannedOrders[Part Name],$A773,T_PlannedOrders[WeekIndex],101)=0,"",SUMIFS(T_PlannedOrders[EffectiveQty],T_PlannedOrders[Part Name],$A773,T_PlannedOrders[WeekIndex],101)&amp;" ("&amp;TEXT(SUMPRODUCT(MAX((T_PlannedOrders[Part Name]=$A773)*(T_PlannedOrders[WeekIndex]=101)*(T_PlannedOrders[EffectiveQty]&gt;0)*T_PlannedOrders[Order_Month])),"m月")&amp;"発注)")</f>
        <v/>
      </c>
      <c r="DA831">
        <f>IF(SUMIFS(T_PlannedOrders[EffectiveQty],T_PlannedOrders[Part Name],$A773,T_PlannedOrders[WeekIndex],102)=0,"",SUMIFS(T_PlannedOrders[EffectiveQty],T_PlannedOrders[Part Name],$A773,T_PlannedOrders[WeekIndex],102)&amp;" ("&amp;TEXT(SUMPRODUCT(MAX((T_PlannedOrders[Part Name]=$A773)*(T_PlannedOrders[WeekIndex]=102)*(T_PlannedOrders[EffectiveQty]&gt;0)*T_PlannedOrders[Order_Month])),"m月")&amp;"発注)")</f>
        <v/>
      </c>
      <c r="DB831">
        <f>IF(SUMIFS(T_PlannedOrders[EffectiveQty],T_PlannedOrders[Part Name],$A773,T_PlannedOrders[WeekIndex],103)=0,"",SUMIFS(T_PlannedOrders[EffectiveQty],T_PlannedOrders[Part Name],$A773,T_PlannedOrders[WeekIndex],103)&amp;" ("&amp;TEXT(SUMPRODUCT(MAX((T_PlannedOrders[Part Name]=$A773)*(T_PlannedOrders[WeekIndex]=103)*(T_PlannedOrders[EffectiveQty]&gt;0)*T_PlannedOrders[Order_Month])),"m月")&amp;"発注)")</f>
        <v/>
      </c>
      <c r="DC831">
        <f>IF(SUMIFS(T_PlannedOrders[EffectiveQty],T_PlannedOrders[Part Name],$A773,T_PlannedOrders[WeekIndex],104)=0,"",SUMIFS(T_PlannedOrders[EffectiveQty],T_PlannedOrders[Part Name],$A773,T_PlannedOrders[WeekIndex],104)&amp;" ("&amp;TEXT(SUMPRODUCT(MAX((T_PlannedOrders[Part Name]=$A773)*(T_PlannedOrders[WeekIndex]=104)*(T_PlannedOrders[EffectiveQty]&gt;0)*T_PlannedOrders[Order_Month])),"m月")&amp;"発注)")</f>
        <v/>
      </c>
    </row>
    <row r="832">
      <c r="B832" s="9" t="inlineStr">
        <is>
          <t>合計在庫(週末時点,kg)</t>
        </is>
      </c>
      <c r="D832">
        <f>'Grid_Stock'!B17</f>
        <v/>
      </c>
      <c r="E832">
        <f>'Grid_Stock'!C17</f>
        <v/>
      </c>
      <c r="F832">
        <f>'Grid_Stock'!D17</f>
        <v/>
      </c>
      <c r="G832">
        <f>'Grid_Stock'!E17</f>
        <v/>
      </c>
      <c r="H832">
        <f>'Grid_Stock'!F17</f>
        <v/>
      </c>
      <c r="I832">
        <f>'Grid_Stock'!G17</f>
        <v/>
      </c>
      <c r="J832">
        <f>'Grid_Stock'!H17</f>
        <v/>
      </c>
      <c r="K832">
        <f>'Grid_Stock'!I17</f>
        <v/>
      </c>
      <c r="L832">
        <f>'Grid_Stock'!J17</f>
        <v/>
      </c>
      <c r="M832">
        <f>'Grid_Stock'!K17</f>
        <v/>
      </c>
      <c r="N832">
        <f>'Grid_Stock'!L17</f>
        <v/>
      </c>
      <c r="O832">
        <f>'Grid_Stock'!M17</f>
        <v/>
      </c>
      <c r="P832">
        <f>'Grid_Stock'!N17</f>
        <v/>
      </c>
      <c r="Q832">
        <f>'Grid_Stock'!O17</f>
        <v/>
      </c>
      <c r="R832">
        <f>'Grid_Stock'!P17</f>
        <v/>
      </c>
      <c r="S832">
        <f>'Grid_Stock'!Q17</f>
        <v/>
      </c>
      <c r="T832">
        <f>'Grid_Stock'!R17</f>
        <v/>
      </c>
      <c r="U832">
        <f>'Grid_Stock'!S17</f>
        <v/>
      </c>
      <c r="V832">
        <f>'Grid_Stock'!T17</f>
        <v/>
      </c>
      <c r="W832">
        <f>'Grid_Stock'!U17</f>
        <v/>
      </c>
      <c r="X832">
        <f>'Grid_Stock'!V17</f>
        <v/>
      </c>
      <c r="Y832">
        <f>'Grid_Stock'!W17</f>
        <v/>
      </c>
      <c r="Z832">
        <f>'Grid_Stock'!X17</f>
        <v/>
      </c>
      <c r="AA832">
        <f>'Grid_Stock'!Y17</f>
        <v/>
      </c>
      <c r="AB832">
        <f>'Grid_Stock'!Z17</f>
        <v/>
      </c>
      <c r="AC832">
        <f>'Grid_Stock'!AA17</f>
        <v/>
      </c>
      <c r="AD832">
        <f>'Grid_Stock'!AB17</f>
        <v/>
      </c>
      <c r="AE832">
        <f>'Grid_Stock'!AC17</f>
        <v/>
      </c>
      <c r="AF832">
        <f>'Grid_Stock'!AD17</f>
        <v/>
      </c>
      <c r="AG832">
        <f>'Grid_Stock'!AE17</f>
        <v/>
      </c>
      <c r="AH832">
        <f>'Grid_Stock'!AF17</f>
        <v/>
      </c>
      <c r="AI832">
        <f>'Grid_Stock'!AG17</f>
        <v/>
      </c>
      <c r="AJ832">
        <f>'Grid_Stock'!AH17</f>
        <v/>
      </c>
      <c r="AK832">
        <f>'Grid_Stock'!AI17</f>
        <v/>
      </c>
      <c r="AL832">
        <f>'Grid_Stock'!AJ17</f>
        <v/>
      </c>
      <c r="AM832">
        <f>'Grid_Stock'!AK17</f>
        <v/>
      </c>
      <c r="AN832">
        <f>'Grid_Stock'!AL17</f>
        <v/>
      </c>
      <c r="AO832">
        <f>'Grid_Stock'!AM17</f>
        <v/>
      </c>
      <c r="AP832">
        <f>'Grid_Stock'!AN17</f>
        <v/>
      </c>
      <c r="AQ832">
        <f>'Grid_Stock'!AO17</f>
        <v/>
      </c>
      <c r="AR832">
        <f>'Grid_Stock'!AP17</f>
        <v/>
      </c>
      <c r="AS832">
        <f>'Grid_Stock'!AQ17</f>
        <v/>
      </c>
      <c r="AT832">
        <f>'Grid_Stock'!AR17</f>
        <v/>
      </c>
      <c r="AU832">
        <f>'Grid_Stock'!AS17</f>
        <v/>
      </c>
      <c r="AV832">
        <f>'Grid_Stock'!AT17</f>
        <v/>
      </c>
      <c r="AW832">
        <f>'Grid_Stock'!AU17</f>
        <v/>
      </c>
      <c r="AX832">
        <f>'Grid_Stock'!AV17</f>
        <v/>
      </c>
      <c r="AY832">
        <f>'Grid_Stock'!AW17</f>
        <v/>
      </c>
      <c r="AZ832">
        <f>'Grid_Stock'!AX17</f>
        <v/>
      </c>
      <c r="BA832">
        <f>'Grid_Stock'!AY17</f>
        <v/>
      </c>
      <c r="BB832">
        <f>'Grid_Stock'!AZ17</f>
        <v/>
      </c>
      <c r="BC832">
        <f>'Grid_Stock'!BA17</f>
        <v/>
      </c>
      <c r="BD832">
        <f>'Grid_Stock'!BB17</f>
        <v/>
      </c>
      <c r="BE832">
        <f>'Grid_Stock'!BC17</f>
        <v/>
      </c>
      <c r="BF832">
        <f>'Grid_Stock'!BD17</f>
        <v/>
      </c>
      <c r="BG832">
        <f>'Grid_Stock'!BE17</f>
        <v/>
      </c>
      <c r="BH832">
        <f>'Grid_Stock'!BF17</f>
        <v/>
      </c>
      <c r="BI832">
        <f>'Grid_Stock'!BG17</f>
        <v/>
      </c>
      <c r="BJ832">
        <f>'Grid_Stock'!BH17</f>
        <v/>
      </c>
      <c r="BK832">
        <f>'Grid_Stock'!BI17</f>
        <v/>
      </c>
      <c r="BL832">
        <f>'Grid_Stock'!BJ17</f>
        <v/>
      </c>
      <c r="BM832">
        <f>'Grid_Stock'!BK17</f>
        <v/>
      </c>
      <c r="BN832">
        <f>'Grid_Stock'!BL17</f>
        <v/>
      </c>
      <c r="BO832">
        <f>'Grid_Stock'!BM17</f>
        <v/>
      </c>
      <c r="BP832">
        <f>'Grid_Stock'!BN17</f>
        <v/>
      </c>
      <c r="BQ832">
        <f>'Grid_Stock'!BO17</f>
        <v/>
      </c>
      <c r="BR832">
        <f>'Grid_Stock'!BP17</f>
        <v/>
      </c>
      <c r="BS832">
        <f>'Grid_Stock'!BQ17</f>
        <v/>
      </c>
      <c r="BT832">
        <f>'Grid_Stock'!BR17</f>
        <v/>
      </c>
      <c r="BU832">
        <f>'Grid_Stock'!BS17</f>
        <v/>
      </c>
      <c r="BV832">
        <f>'Grid_Stock'!BT17</f>
        <v/>
      </c>
      <c r="BW832">
        <f>'Grid_Stock'!BU17</f>
        <v/>
      </c>
      <c r="BX832">
        <f>'Grid_Stock'!BV17</f>
        <v/>
      </c>
      <c r="BY832">
        <f>'Grid_Stock'!BW17</f>
        <v/>
      </c>
      <c r="BZ832">
        <f>'Grid_Stock'!BX17</f>
        <v/>
      </c>
      <c r="CA832">
        <f>'Grid_Stock'!BY17</f>
        <v/>
      </c>
      <c r="CB832">
        <f>'Grid_Stock'!BZ17</f>
        <v/>
      </c>
      <c r="CC832">
        <f>'Grid_Stock'!CA17</f>
        <v/>
      </c>
      <c r="CD832">
        <f>'Grid_Stock'!CB17</f>
        <v/>
      </c>
      <c r="CE832">
        <f>'Grid_Stock'!CC17</f>
        <v/>
      </c>
      <c r="CF832">
        <f>'Grid_Stock'!CD17</f>
        <v/>
      </c>
      <c r="CG832">
        <f>'Grid_Stock'!CE17</f>
        <v/>
      </c>
      <c r="CH832">
        <f>'Grid_Stock'!CF17</f>
        <v/>
      </c>
      <c r="CI832">
        <f>'Grid_Stock'!CG17</f>
        <v/>
      </c>
      <c r="CJ832">
        <f>'Grid_Stock'!CH17</f>
        <v/>
      </c>
      <c r="CK832">
        <f>'Grid_Stock'!CI17</f>
        <v/>
      </c>
      <c r="CL832">
        <f>'Grid_Stock'!CJ17</f>
        <v/>
      </c>
      <c r="CM832">
        <f>'Grid_Stock'!CK17</f>
        <v/>
      </c>
      <c r="CN832">
        <f>'Grid_Stock'!CL17</f>
        <v/>
      </c>
      <c r="CO832">
        <f>'Grid_Stock'!CM17</f>
        <v/>
      </c>
      <c r="CP832">
        <f>'Grid_Stock'!CN17</f>
        <v/>
      </c>
      <c r="CQ832">
        <f>'Grid_Stock'!CO17</f>
        <v/>
      </c>
      <c r="CR832">
        <f>'Grid_Stock'!CP17</f>
        <v/>
      </c>
      <c r="CS832">
        <f>'Grid_Stock'!CQ17</f>
        <v/>
      </c>
      <c r="CT832">
        <f>'Grid_Stock'!CR17</f>
        <v/>
      </c>
      <c r="CU832">
        <f>'Grid_Stock'!CS17</f>
        <v/>
      </c>
      <c r="CV832">
        <f>'Grid_Stock'!CT17</f>
        <v/>
      </c>
      <c r="CW832">
        <f>'Grid_Stock'!CU17</f>
        <v/>
      </c>
      <c r="CX832">
        <f>'Grid_Stock'!CV17</f>
        <v/>
      </c>
      <c r="CY832">
        <f>'Grid_Stock'!CW17</f>
        <v/>
      </c>
      <c r="CZ832">
        <f>'Grid_Stock'!CX17</f>
        <v/>
      </c>
      <c r="DA832">
        <f>'Grid_Stock'!CY17</f>
        <v/>
      </c>
      <c r="DB832">
        <f>'Grid_Stock'!CZ17</f>
        <v/>
      </c>
      <c r="DC832">
        <f>'Grid_Stock'!DA17</f>
        <v/>
      </c>
    </row>
    <row r="833">
      <c r="B833" s="21" t="inlineStr">
        <is>
          <t>（発注の目安はDashboardの基準在庫[下限/上限]と色分けを参照）</t>
        </is>
      </c>
    </row>
    <row r="835">
      <c r="A835" s="19" t="inlineStr">
        <is>
          <t>CHEM-1690</t>
        </is>
      </c>
      <c r="B835" s="19" t="inlineStr">
        <is>
          <t>TPZ-560</t>
        </is>
      </c>
      <c r="C835" s="20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/>
      <c r="Z835" s="19" t="n"/>
      <c r="AA835" s="19" t="n"/>
      <c r="AB835" s="19" t="n"/>
      <c r="AC835" s="19" t="n"/>
      <c r="AD835" s="19" t="n"/>
      <c r="AE835" s="19" t="n"/>
      <c r="AF835" s="19" t="n"/>
      <c r="AG835" s="19" t="n"/>
      <c r="AH835" s="19" t="n"/>
      <c r="AI835" s="19" t="n"/>
      <c r="AJ835" s="19" t="n"/>
      <c r="AK835" s="19" t="n"/>
      <c r="AL835" s="19" t="n"/>
      <c r="AM835" s="19" t="n"/>
      <c r="AN835" s="19" t="n"/>
      <c r="AO835" s="19" t="n"/>
      <c r="AP835" s="19" t="n"/>
      <c r="AQ835" s="19" t="n"/>
      <c r="AR835" s="19" t="n"/>
      <c r="AS835" s="19" t="n"/>
      <c r="AT835" s="19" t="n"/>
      <c r="AU835" s="19" t="n"/>
      <c r="AV835" s="19" t="n"/>
      <c r="AW835" s="19" t="n"/>
      <c r="AX835" s="19" t="n"/>
      <c r="AY835" s="19" t="n"/>
      <c r="AZ835" s="19" t="n"/>
      <c r="BA835" s="19" t="n"/>
      <c r="BB835" s="19" t="n"/>
      <c r="BC835" s="19" t="n"/>
      <c r="BD835" s="19" t="n"/>
      <c r="BE835" s="19" t="n"/>
      <c r="BF835" s="19" t="n"/>
      <c r="BG835" s="19" t="n"/>
      <c r="BH835" s="19" t="n"/>
      <c r="BI835" s="19" t="n"/>
      <c r="BJ835" s="19" t="n"/>
      <c r="BK835" s="19" t="n"/>
      <c r="BL835" s="19" t="n"/>
      <c r="BM835" s="19" t="n"/>
      <c r="BN835" s="19" t="n"/>
      <c r="BO835" s="19" t="n"/>
      <c r="BP835" s="19" t="n"/>
      <c r="BQ835" s="19" t="n"/>
      <c r="BR835" s="19" t="n"/>
      <c r="BS835" s="19" t="n"/>
      <c r="BT835" s="19" t="n"/>
      <c r="BU835" s="19" t="n"/>
      <c r="BV835" s="19" t="n"/>
      <c r="BW835" s="19" t="n"/>
      <c r="BX835" s="19" t="n"/>
      <c r="BY835" s="19" t="n"/>
      <c r="BZ835" s="19" t="n"/>
      <c r="CA835" s="19" t="n"/>
      <c r="CB835" s="19" t="n"/>
      <c r="CC835" s="19" t="n"/>
      <c r="CD835" s="19" t="n"/>
      <c r="CE835" s="19" t="n"/>
      <c r="CF835" s="19" t="n"/>
      <c r="CG835" s="19" t="n"/>
      <c r="CH835" s="19" t="n"/>
      <c r="CI835" s="19" t="n"/>
      <c r="CJ835" s="19" t="n"/>
      <c r="CK835" s="19" t="n"/>
      <c r="CL835" s="19" t="n"/>
      <c r="CM835" s="19" t="n"/>
      <c r="CN835" s="19" t="n"/>
      <c r="CO835" s="19" t="n"/>
      <c r="CP835" s="19" t="n"/>
      <c r="CQ835" s="19" t="n"/>
      <c r="CR835" s="19" t="n"/>
      <c r="CS835" s="19" t="n"/>
      <c r="CT835" s="19" t="n"/>
      <c r="CU835" s="19" t="n"/>
      <c r="CV835" s="19" t="n"/>
      <c r="CW835" s="19" t="n"/>
      <c r="CX835" s="19" t="n"/>
      <c r="CY835" s="19" t="n"/>
      <c r="CZ835" s="19" t="n"/>
      <c r="DA835" s="19" t="n"/>
      <c r="DB835" s="19" t="n"/>
      <c r="DC835" s="19" t="n"/>
    </row>
    <row r="836">
      <c r="B836" t="inlineStr">
        <is>
          <t>TSP-618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Name],$A835)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TSP-903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Name],$A835)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TSP-966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Name],$A835)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s="9" t="inlineStr">
        <is>
          <t>合計使用量(kg)/週</t>
        </is>
      </c>
      <c r="D842">
        <f>'Grid_Requirement'!B8</f>
        <v/>
      </c>
      <c r="E842">
        <f>'Grid_Requirement'!C8</f>
        <v/>
      </c>
      <c r="F842">
        <f>'Grid_Requirement'!D8</f>
        <v/>
      </c>
      <c r="G842">
        <f>'Grid_Requirement'!E8</f>
        <v/>
      </c>
      <c r="H842">
        <f>'Grid_Requirement'!F8</f>
        <v/>
      </c>
      <c r="I842">
        <f>'Grid_Requirement'!G8</f>
        <v/>
      </c>
      <c r="J842">
        <f>'Grid_Requirement'!H8</f>
        <v/>
      </c>
      <c r="K842">
        <f>'Grid_Requirement'!I8</f>
        <v/>
      </c>
      <c r="L842">
        <f>'Grid_Requirement'!J8</f>
        <v/>
      </c>
      <c r="M842">
        <f>'Grid_Requirement'!K8</f>
        <v/>
      </c>
      <c r="N842">
        <f>'Grid_Requirement'!L8</f>
        <v/>
      </c>
      <c r="O842">
        <f>'Grid_Requirement'!M8</f>
        <v/>
      </c>
      <c r="P842">
        <f>'Grid_Requirement'!N8</f>
        <v/>
      </c>
      <c r="Q842">
        <f>'Grid_Requirement'!O8</f>
        <v/>
      </c>
      <c r="R842">
        <f>'Grid_Requirement'!P8</f>
        <v/>
      </c>
      <c r="S842">
        <f>'Grid_Requirement'!Q8</f>
        <v/>
      </c>
      <c r="T842">
        <f>'Grid_Requirement'!R8</f>
        <v/>
      </c>
      <c r="U842">
        <f>'Grid_Requirement'!S8</f>
        <v/>
      </c>
      <c r="V842">
        <f>'Grid_Requirement'!T8</f>
        <v/>
      </c>
      <c r="W842">
        <f>'Grid_Requirement'!U8</f>
        <v/>
      </c>
      <c r="X842">
        <f>'Grid_Requirement'!V8</f>
        <v/>
      </c>
      <c r="Y842">
        <f>'Grid_Requirement'!W8</f>
        <v/>
      </c>
      <c r="Z842">
        <f>'Grid_Requirement'!X8</f>
        <v/>
      </c>
      <c r="AA842">
        <f>'Grid_Requirement'!Y8</f>
        <v/>
      </c>
      <c r="AB842">
        <f>'Grid_Requirement'!Z8</f>
        <v/>
      </c>
      <c r="AC842">
        <f>'Grid_Requirement'!AA8</f>
        <v/>
      </c>
      <c r="AD842">
        <f>'Grid_Requirement'!AB8</f>
        <v/>
      </c>
      <c r="AE842">
        <f>'Grid_Requirement'!AC8</f>
        <v/>
      </c>
      <c r="AF842">
        <f>'Grid_Requirement'!AD8</f>
        <v/>
      </c>
      <c r="AG842">
        <f>'Grid_Requirement'!AE8</f>
        <v/>
      </c>
      <c r="AH842">
        <f>'Grid_Requirement'!AF8</f>
        <v/>
      </c>
      <c r="AI842">
        <f>'Grid_Requirement'!AG8</f>
        <v/>
      </c>
      <c r="AJ842">
        <f>'Grid_Requirement'!AH8</f>
        <v/>
      </c>
      <c r="AK842">
        <f>'Grid_Requirement'!AI8</f>
        <v/>
      </c>
      <c r="AL842">
        <f>'Grid_Requirement'!AJ8</f>
        <v/>
      </c>
      <c r="AM842">
        <f>'Grid_Requirement'!AK8</f>
        <v/>
      </c>
      <c r="AN842">
        <f>'Grid_Requirement'!AL8</f>
        <v/>
      </c>
      <c r="AO842">
        <f>'Grid_Requirement'!AM8</f>
        <v/>
      </c>
      <c r="AP842">
        <f>'Grid_Requirement'!AN8</f>
        <v/>
      </c>
      <c r="AQ842">
        <f>'Grid_Requirement'!AO8</f>
        <v/>
      </c>
      <c r="AR842">
        <f>'Grid_Requirement'!AP8</f>
        <v/>
      </c>
      <c r="AS842">
        <f>'Grid_Requirement'!AQ8</f>
        <v/>
      </c>
      <c r="AT842">
        <f>'Grid_Requirement'!AR8</f>
        <v/>
      </c>
      <c r="AU842">
        <f>'Grid_Requirement'!AS8</f>
        <v/>
      </c>
      <c r="AV842">
        <f>'Grid_Requirement'!AT8</f>
        <v/>
      </c>
      <c r="AW842">
        <f>'Grid_Requirement'!AU8</f>
        <v/>
      </c>
      <c r="AX842">
        <f>'Grid_Requirement'!AV8</f>
        <v/>
      </c>
      <c r="AY842">
        <f>'Grid_Requirement'!AW8</f>
        <v/>
      </c>
      <c r="AZ842">
        <f>'Grid_Requirement'!AX8</f>
        <v/>
      </c>
      <c r="BA842">
        <f>'Grid_Requirement'!AY8</f>
        <v/>
      </c>
      <c r="BB842">
        <f>'Grid_Requirement'!AZ8</f>
        <v/>
      </c>
      <c r="BC842">
        <f>'Grid_Requirement'!BA8</f>
        <v/>
      </c>
      <c r="BD842">
        <f>'Grid_Requirement'!BB8</f>
        <v/>
      </c>
      <c r="BE842">
        <f>'Grid_Requirement'!BC8</f>
        <v/>
      </c>
      <c r="BF842">
        <f>'Grid_Requirement'!BD8</f>
        <v/>
      </c>
      <c r="BG842">
        <f>'Grid_Requirement'!BE8</f>
        <v/>
      </c>
      <c r="BH842">
        <f>'Grid_Requirement'!BF8</f>
        <v/>
      </c>
      <c r="BI842">
        <f>'Grid_Requirement'!BG8</f>
        <v/>
      </c>
      <c r="BJ842">
        <f>'Grid_Requirement'!BH8</f>
        <v/>
      </c>
      <c r="BK842">
        <f>'Grid_Requirement'!BI8</f>
        <v/>
      </c>
      <c r="BL842">
        <f>'Grid_Requirement'!BJ8</f>
        <v/>
      </c>
      <c r="BM842">
        <f>'Grid_Requirement'!BK8</f>
        <v/>
      </c>
      <c r="BN842">
        <f>'Grid_Requirement'!BL8</f>
        <v/>
      </c>
      <c r="BO842">
        <f>'Grid_Requirement'!BM8</f>
        <v/>
      </c>
      <c r="BP842">
        <f>'Grid_Requirement'!BN8</f>
        <v/>
      </c>
      <c r="BQ842">
        <f>'Grid_Requirement'!BO8</f>
        <v/>
      </c>
      <c r="BR842">
        <f>'Grid_Requirement'!BP8</f>
        <v/>
      </c>
      <c r="BS842">
        <f>'Grid_Requirement'!BQ8</f>
        <v/>
      </c>
      <c r="BT842">
        <f>'Grid_Requirement'!BR8</f>
        <v/>
      </c>
      <c r="BU842">
        <f>'Grid_Requirement'!BS8</f>
        <v/>
      </c>
      <c r="BV842">
        <f>'Grid_Requirement'!BT8</f>
        <v/>
      </c>
      <c r="BW842">
        <f>'Grid_Requirement'!BU8</f>
        <v/>
      </c>
      <c r="BX842">
        <f>'Grid_Requirement'!BV8</f>
        <v/>
      </c>
      <c r="BY842">
        <f>'Grid_Requirement'!BW8</f>
        <v/>
      </c>
      <c r="BZ842">
        <f>'Grid_Requirement'!BX8</f>
        <v/>
      </c>
      <c r="CA842">
        <f>'Grid_Requirement'!BY8</f>
        <v/>
      </c>
      <c r="CB842">
        <f>'Grid_Requirement'!BZ8</f>
        <v/>
      </c>
      <c r="CC842">
        <f>'Grid_Requirement'!CA8</f>
        <v/>
      </c>
      <c r="CD842">
        <f>'Grid_Requirement'!CB8</f>
        <v/>
      </c>
      <c r="CE842">
        <f>'Grid_Requirement'!CC8</f>
        <v/>
      </c>
      <c r="CF842">
        <f>'Grid_Requirement'!CD8</f>
        <v/>
      </c>
      <c r="CG842">
        <f>'Grid_Requirement'!CE8</f>
        <v/>
      </c>
      <c r="CH842">
        <f>'Grid_Requirement'!CF8</f>
        <v/>
      </c>
      <c r="CI842">
        <f>'Grid_Requirement'!CG8</f>
        <v/>
      </c>
      <c r="CJ842">
        <f>'Grid_Requirement'!CH8</f>
        <v/>
      </c>
      <c r="CK842">
        <f>'Grid_Requirement'!CI8</f>
        <v/>
      </c>
      <c r="CL842">
        <f>'Grid_Requirement'!CJ8</f>
        <v/>
      </c>
      <c r="CM842">
        <f>'Grid_Requirement'!CK8</f>
        <v/>
      </c>
      <c r="CN842">
        <f>'Grid_Requirement'!CL8</f>
        <v/>
      </c>
      <c r="CO842">
        <f>'Grid_Requirement'!CM8</f>
        <v/>
      </c>
      <c r="CP842">
        <f>'Grid_Requirement'!CN8</f>
        <v/>
      </c>
      <c r="CQ842">
        <f>'Grid_Requirement'!CO8</f>
        <v/>
      </c>
      <c r="CR842">
        <f>'Grid_Requirement'!CP8</f>
        <v/>
      </c>
      <c r="CS842">
        <f>'Grid_Requirement'!CQ8</f>
        <v/>
      </c>
      <c r="CT842">
        <f>'Grid_Requirement'!CR8</f>
        <v/>
      </c>
      <c r="CU842">
        <f>'Grid_Requirement'!CS8</f>
        <v/>
      </c>
      <c r="CV842">
        <f>'Grid_Requirement'!CT8</f>
        <v/>
      </c>
      <c r="CW842">
        <f>'Grid_Requirement'!CU8</f>
        <v/>
      </c>
      <c r="CX842">
        <f>'Grid_Requirement'!CV8</f>
        <v/>
      </c>
      <c r="CY842">
        <f>'Grid_Requirement'!CW8</f>
        <v/>
      </c>
      <c r="CZ842">
        <f>'Grid_Requirement'!CX8</f>
        <v/>
      </c>
      <c r="DA842">
        <f>'Grid_Requirement'!CY8</f>
        <v/>
      </c>
      <c r="DB842">
        <f>'Grid_Requirement'!CZ8</f>
        <v/>
      </c>
      <c r="DC842">
        <f>'Grid_Requirement'!DA8</f>
        <v/>
      </c>
    </row>
    <row r="843">
      <c r="B843" t="inlineStr">
        <is>
          <t>TTAF在庫(実績,kg)</t>
        </is>
      </c>
      <c r="D843">
        <f>'T_TTAFStock'!B12</f>
        <v/>
      </c>
      <c r="E843">
        <f>'T_TTAFStock'!C12</f>
        <v/>
      </c>
      <c r="F843">
        <f>'T_TTAFStock'!D12</f>
        <v/>
      </c>
      <c r="G843">
        <f>'T_TTAFStock'!E12</f>
        <v/>
      </c>
      <c r="H843">
        <f>'T_TTAFStock'!F12</f>
        <v/>
      </c>
      <c r="I843">
        <f>'T_TTAFStock'!G12</f>
        <v/>
      </c>
      <c r="J843">
        <f>'T_TTAFStock'!H12</f>
        <v/>
      </c>
      <c r="K843">
        <f>'T_TTAFStock'!I12</f>
        <v/>
      </c>
      <c r="L843">
        <f>'T_TTAFStock'!J12</f>
        <v/>
      </c>
      <c r="M843">
        <f>'T_TTAFStock'!K12</f>
        <v/>
      </c>
      <c r="N843">
        <f>'T_TTAFStock'!L12</f>
        <v/>
      </c>
      <c r="O843">
        <f>'T_TTAFStock'!M12</f>
        <v/>
      </c>
      <c r="P843">
        <f>'T_TTAFStock'!N12</f>
        <v/>
      </c>
      <c r="Q843">
        <f>'T_TTAFStock'!O12</f>
        <v/>
      </c>
      <c r="R843">
        <f>'T_TTAFStock'!P12</f>
        <v/>
      </c>
      <c r="S843">
        <f>'T_TTAFStock'!Q12</f>
        <v/>
      </c>
      <c r="T843">
        <f>'T_TTAFStock'!R12</f>
        <v/>
      </c>
      <c r="U843">
        <f>'T_TTAFStock'!S12</f>
        <v/>
      </c>
      <c r="V843">
        <f>'T_TTAFStock'!T12</f>
        <v/>
      </c>
      <c r="W843">
        <f>'T_TTAFStock'!U12</f>
        <v/>
      </c>
      <c r="X843">
        <f>'T_TTAFStock'!V12</f>
        <v/>
      </c>
      <c r="Y843">
        <f>'T_TTAFStock'!W12</f>
        <v/>
      </c>
      <c r="Z843">
        <f>'T_TTAFStock'!X12</f>
        <v/>
      </c>
      <c r="AA843">
        <f>'T_TTAFStock'!Y12</f>
        <v/>
      </c>
      <c r="AB843">
        <f>'T_TTAFStock'!Z12</f>
        <v/>
      </c>
      <c r="AC843">
        <f>'T_TTAFStock'!AA12</f>
        <v/>
      </c>
      <c r="AD843">
        <f>'T_TTAFStock'!AB12</f>
        <v/>
      </c>
      <c r="AE843">
        <f>'T_TTAFStock'!AC12</f>
        <v/>
      </c>
      <c r="AF843">
        <f>'T_TTAFStock'!AD12</f>
        <v/>
      </c>
      <c r="AG843">
        <f>'T_TTAFStock'!AE12</f>
        <v/>
      </c>
      <c r="AH843">
        <f>'T_TTAFStock'!AF12</f>
        <v/>
      </c>
      <c r="AI843">
        <f>'T_TTAFStock'!AG12</f>
        <v/>
      </c>
      <c r="AJ843">
        <f>'T_TTAFStock'!AH12</f>
        <v/>
      </c>
      <c r="AK843">
        <f>'T_TTAFStock'!AI12</f>
        <v/>
      </c>
      <c r="AL843">
        <f>'T_TTAFStock'!AJ12</f>
        <v/>
      </c>
      <c r="AM843">
        <f>'T_TTAFStock'!AK12</f>
        <v/>
      </c>
      <c r="AN843">
        <f>'T_TTAFStock'!AL12</f>
        <v/>
      </c>
      <c r="AO843">
        <f>'T_TTAFStock'!AM12</f>
        <v/>
      </c>
      <c r="AP843">
        <f>'T_TTAFStock'!AN12</f>
        <v/>
      </c>
      <c r="AQ843">
        <f>'T_TTAFStock'!AO12</f>
        <v/>
      </c>
      <c r="AR843">
        <f>'T_TTAFStock'!AP12</f>
        <v/>
      </c>
      <c r="AS843">
        <f>'T_TTAFStock'!AQ12</f>
        <v/>
      </c>
      <c r="AT843">
        <f>'T_TTAFStock'!AR12</f>
        <v/>
      </c>
      <c r="AU843">
        <f>'T_TTAFStock'!AS12</f>
        <v/>
      </c>
      <c r="AV843">
        <f>'T_TTAFStock'!AT12</f>
        <v/>
      </c>
      <c r="AW843">
        <f>'T_TTAFStock'!AU12</f>
        <v/>
      </c>
      <c r="AX843">
        <f>'T_TTAFStock'!AV12</f>
        <v/>
      </c>
      <c r="AY843">
        <f>'T_TTAFStock'!AW12</f>
        <v/>
      </c>
      <c r="AZ843">
        <f>'T_TTAFStock'!AX12</f>
        <v/>
      </c>
      <c r="BA843">
        <f>'T_TTAFStock'!AY12</f>
        <v/>
      </c>
      <c r="BB843">
        <f>'T_TTAFStock'!AZ12</f>
        <v/>
      </c>
      <c r="BC843">
        <f>'T_TTAFStock'!BA12</f>
        <v/>
      </c>
      <c r="BD843">
        <f>'T_TTAFStock'!BB12</f>
        <v/>
      </c>
      <c r="BE843">
        <f>'T_TTAFStock'!BC12</f>
        <v/>
      </c>
      <c r="BF843">
        <f>'T_TTAFStock'!BD12</f>
        <v/>
      </c>
      <c r="BG843">
        <f>'T_TTAFStock'!BE12</f>
        <v/>
      </c>
      <c r="BH843">
        <f>'T_TTAFStock'!BF12</f>
        <v/>
      </c>
      <c r="BI843">
        <f>'T_TTAFStock'!BG12</f>
        <v/>
      </c>
      <c r="BJ843">
        <f>'T_TTAFStock'!BH12</f>
        <v/>
      </c>
      <c r="BK843">
        <f>'T_TTAFStock'!BI12</f>
        <v/>
      </c>
      <c r="BL843">
        <f>'T_TTAFStock'!BJ12</f>
        <v/>
      </c>
      <c r="BM843">
        <f>'T_TTAFStock'!BK12</f>
        <v/>
      </c>
      <c r="BN843">
        <f>'T_TTAFStock'!BL12</f>
        <v/>
      </c>
      <c r="BO843">
        <f>'T_TTAFStock'!BM12</f>
        <v/>
      </c>
      <c r="BP843">
        <f>'T_TTAFStock'!BN12</f>
        <v/>
      </c>
      <c r="BQ843">
        <f>'T_TTAFStock'!BO12</f>
        <v/>
      </c>
      <c r="BR843">
        <f>'T_TTAFStock'!BP12</f>
        <v/>
      </c>
      <c r="BS843">
        <f>'T_TTAFStock'!BQ12</f>
        <v/>
      </c>
      <c r="BT843">
        <f>'T_TTAFStock'!BR12</f>
        <v/>
      </c>
      <c r="BU843">
        <f>'T_TTAFStock'!BS12</f>
        <v/>
      </c>
      <c r="BV843">
        <f>'T_TTAFStock'!BT12</f>
        <v/>
      </c>
      <c r="BW843">
        <f>'T_TTAFStock'!BU12</f>
        <v/>
      </c>
      <c r="BX843">
        <f>'T_TTAFStock'!BV12</f>
        <v/>
      </c>
      <c r="BY843">
        <f>'T_TTAFStock'!BW12</f>
        <v/>
      </c>
      <c r="BZ843">
        <f>'T_TTAFStock'!BX12</f>
        <v/>
      </c>
      <c r="CA843">
        <f>'T_TTAFStock'!BY12</f>
        <v/>
      </c>
      <c r="CB843">
        <f>'T_TTAFStock'!BZ12</f>
        <v/>
      </c>
      <c r="CC843">
        <f>'T_TTAFStock'!CA12</f>
        <v/>
      </c>
      <c r="CD843">
        <f>'T_TTAFStock'!CB12</f>
        <v/>
      </c>
      <c r="CE843">
        <f>'T_TTAFStock'!CC12</f>
        <v/>
      </c>
      <c r="CF843">
        <f>'T_TTAFStock'!CD12</f>
        <v/>
      </c>
      <c r="CG843">
        <f>'T_TTAFStock'!CE12</f>
        <v/>
      </c>
      <c r="CH843">
        <f>'T_TTAFStock'!CF12</f>
        <v/>
      </c>
      <c r="CI843">
        <f>'T_TTAFStock'!CG12</f>
        <v/>
      </c>
      <c r="CJ843">
        <f>'T_TTAFStock'!CH12</f>
        <v/>
      </c>
      <c r="CK843">
        <f>'T_TTAFStock'!CI12</f>
        <v/>
      </c>
      <c r="CL843">
        <f>'T_TTAFStock'!CJ12</f>
        <v/>
      </c>
      <c r="CM843">
        <f>'T_TTAFStock'!CK12</f>
        <v/>
      </c>
      <c r="CN843">
        <f>'T_TTAFStock'!CL12</f>
        <v/>
      </c>
      <c r="CO843">
        <f>'T_TTAFStock'!CM12</f>
        <v/>
      </c>
      <c r="CP843">
        <f>'T_TTAFStock'!CN12</f>
        <v/>
      </c>
      <c r="CQ843">
        <f>'T_TTAFStock'!CO12</f>
        <v/>
      </c>
      <c r="CR843">
        <f>'T_TTAFStock'!CP12</f>
        <v/>
      </c>
      <c r="CS843">
        <f>'T_TTAFStock'!CQ12</f>
        <v/>
      </c>
      <c r="CT843">
        <f>'T_TTAFStock'!CR12</f>
        <v/>
      </c>
      <c r="CU843">
        <f>'T_TTAFStock'!CS12</f>
        <v/>
      </c>
      <c r="CV843">
        <f>'T_TTAFStock'!CT12</f>
        <v/>
      </c>
      <c r="CW843">
        <f>'T_TTAFStock'!CU12</f>
        <v/>
      </c>
      <c r="CX843">
        <f>'T_TTAFStock'!CV12</f>
        <v/>
      </c>
      <c r="CY843">
        <f>'T_TTAFStock'!CW12</f>
        <v/>
      </c>
      <c r="CZ843">
        <f>'T_TTAFStock'!CX12</f>
        <v/>
      </c>
      <c r="DA843">
        <f>'T_TTAFStock'!CY12</f>
        <v/>
      </c>
      <c r="DB843">
        <f>'T_TTAFStock'!CZ12</f>
        <v/>
      </c>
      <c r="DC843">
        <f>'T_TTAFStock'!DA12</f>
        <v/>
      </c>
    </row>
    <row r="844">
      <c r="B844" t="inlineStr">
        <is>
          <t>自社在庫(実績,kg)</t>
        </is>
      </c>
      <c r="D844">
        <f>'T_SelfStock'!B12</f>
        <v/>
      </c>
      <c r="E844">
        <f>'T_SelfStock'!C12</f>
        <v/>
      </c>
      <c r="F844">
        <f>'T_SelfStock'!D12</f>
        <v/>
      </c>
      <c r="G844">
        <f>'T_SelfStock'!E12</f>
        <v/>
      </c>
      <c r="H844">
        <f>'T_SelfStock'!F12</f>
        <v/>
      </c>
      <c r="I844">
        <f>'T_SelfStock'!G12</f>
        <v/>
      </c>
      <c r="J844">
        <f>'T_SelfStock'!H12</f>
        <v/>
      </c>
      <c r="K844">
        <f>'T_SelfStock'!I12</f>
        <v/>
      </c>
      <c r="L844">
        <f>'T_SelfStock'!J12</f>
        <v/>
      </c>
      <c r="M844">
        <f>'T_SelfStock'!K12</f>
        <v/>
      </c>
      <c r="N844">
        <f>'T_SelfStock'!L12</f>
        <v/>
      </c>
      <c r="O844">
        <f>'T_SelfStock'!M12</f>
        <v/>
      </c>
      <c r="P844">
        <f>'T_SelfStock'!N12</f>
        <v/>
      </c>
      <c r="Q844">
        <f>'T_SelfStock'!O12</f>
        <v/>
      </c>
      <c r="R844">
        <f>'T_SelfStock'!P12</f>
        <v/>
      </c>
      <c r="S844">
        <f>'T_SelfStock'!Q12</f>
        <v/>
      </c>
      <c r="T844">
        <f>'T_SelfStock'!R12</f>
        <v/>
      </c>
      <c r="U844">
        <f>'T_SelfStock'!S12</f>
        <v/>
      </c>
      <c r="V844">
        <f>'T_SelfStock'!T12</f>
        <v/>
      </c>
      <c r="W844">
        <f>'T_SelfStock'!U12</f>
        <v/>
      </c>
      <c r="X844">
        <f>'T_SelfStock'!V12</f>
        <v/>
      </c>
      <c r="Y844">
        <f>'T_SelfStock'!W12</f>
        <v/>
      </c>
      <c r="Z844">
        <f>'T_SelfStock'!X12</f>
        <v/>
      </c>
      <c r="AA844">
        <f>'T_SelfStock'!Y12</f>
        <v/>
      </c>
      <c r="AB844">
        <f>'T_SelfStock'!Z12</f>
        <v/>
      </c>
      <c r="AC844">
        <f>'T_SelfStock'!AA12</f>
        <v/>
      </c>
      <c r="AD844">
        <f>'T_SelfStock'!AB12</f>
        <v/>
      </c>
      <c r="AE844">
        <f>'T_SelfStock'!AC12</f>
        <v/>
      </c>
      <c r="AF844">
        <f>'T_SelfStock'!AD12</f>
        <v/>
      </c>
      <c r="AG844">
        <f>'T_SelfStock'!AE12</f>
        <v/>
      </c>
      <c r="AH844">
        <f>'T_SelfStock'!AF12</f>
        <v/>
      </c>
      <c r="AI844">
        <f>'T_SelfStock'!AG12</f>
        <v/>
      </c>
      <c r="AJ844">
        <f>'T_SelfStock'!AH12</f>
        <v/>
      </c>
      <c r="AK844">
        <f>'T_SelfStock'!AI12</f>
        <v/>
      </c>
      <c r="AL844">
        <f>'T_SelfStock'!AJ12</f>
        <v/>
      </c>
      <c r="AM844">
        <f>'T_SelfStock'!AK12</f>
        <v/>
      </c>
      <c r="AN844">
        <f>'T_SelfStock'!AL12</f>
        <v/>
      </c>
      <c r="AO844">
        <f>'T_SelfStock'!AM12</f>
        <v/>
      </c>
      <c r="AP844">
        <f>'T_SelfStock'!AN12</f>
        <v/>
      </c>
      <c r="AQ844">
        <f>'T_SelfStock'!AO12</f>
        <v/>
      </c>
      <c r="AR844">
        <f>'T_SelfStock'!AP12</f>
        <v/>
      </c>
      <c r="AS844">
        <f>'T_SelfStock'!AQ12</f>
        <v/>
      </c>
      <c r="AT844">
        <f>'T_SelfStock'!AR12</f>
        <v/>
      </c>
      <c r="AU844">
        <f>'T_SelfStock'!AS12</f>
        <v/>
      </c>
      <c r="AV844">
        <f>'T_SelfStock'!AT12</f>
        <v/>
      </c>
      <c r="AW844">
        <f>'T_SelfStock'!AU12</f>
        <v/>
      </c>
      <c r="AX844">
        <f>'T_SelfStock'!AV12</f>
        <v/>
      </c>
      <c r="AY844">
        <f>'T_SelfStock'!AW12</f>
        <v/>
      </c>
      <c r="AZ844">
        <f>'T_SelfStock'!AX12</f>
        <v/>
      </c>
      <c r="BA844">
        <f>'T_SelfStock'!AY12</f>
        <v/>
      </c>
      <c r="BB844">
        <f>'T_SelfStock'!AZ12</f>
        <v/>
      </c>
      <c r="BC844">
        <f>'T_SelfStock'!BA12</f>
        <v/>
      </c>
      <c r="BD844">
        <f>'T_SelfStock'!BB12</f>
        <v/>
      </c>
      <c r="BE844">
        <f>'T_SelfStock'!BC12</f>
        <v/>
      </c>
      <c r="BF844">
        <f>'T_SelfStock'!BD12</f>
        <v/>
      </c>
      <c r="BG844">
        <f>'T_SelfStock'!BE12</f>
        <v/>
      </c>
      <c r="BH844">
        <f>'T_SelfStock'!BF12</f>
        <v/>
      </c>
      <c r="BI844">
        <f>'T_SelfStock'!BG12</f>
        <v/>
      </c>
      <c r="BJ844">
        <f>'T_SelfStock'!BH12</f>
        <v/>
      </c>
      <c r="BK844">
        <f>'T_SelfStock'!BI12</f>
        <v/>
      </c>
      <c r="BL844">
        <f>'T_SelfStock'!BJ12</f>
        <v/>
      </c>
      <c r="BM844">
        <f>'T_SelfStock'!BK12</f>
        <v/>
      </c>
      <c r="BN844">
        <f>'T_SelfStock'!BL12</f>
        <v/>
      </c>
      <c r="BO844">
        <f>'T_SelfStock'!BM12</f>
        <v/>
      </c>
      <c r="BP844">
        <f>'T_SelfStock'!BN12</f>
        <v/>
      </c>
      <c r="BQ844">
        <f>'T_SelfStock'!BO12</f>
        <v/>
      </c>
      <c r="BR844">
        <f>'T_SelfStock'!BP12</f>
        <v/>
      </c>
      <c r="BS844">
        <f>'T_SelfStock'!BQ12</f>
        <v/>
      </c>
      <c r="BT844">
        <f>'T_SelfStock'!BR12</f>
        <v/>
      </c>
      <c r="BU844">
        <f>'T_SelfStock'!BS12</f>
        <v/>
      </c>
      <c r="BV844">
        <f>'T_SelfStock'!BT12</f>
        <v/>
      </c>
      <c r="BW844">
        <f>'T_SelfStock'!BU12</f>
        <v/>
      </c>
      <c r="BX844">
        <f>'T_SelfStock'!BV12</f>
        <v/>
      </c>
      <c r="BY844">
        <f>'T_SelfStock'!BW12</f>
        <v/>
      </c>
      <c r="BZ844">
        <f>'T_SelfStock'!BX12</f>
        <v/>
      </c>
      <c r="CA844">
        <f>'T_SelfStock'!BY12</f>
        <v/>
      </c>
      <c r="CB844">
        <f>'T_SelfStock'!BZ12</f>
        <v/>
      </c>
      <c r="CC844">
        <f>'T_SelfStock'!CA12</f>
        <v/>
      </c>
      <c r="CD844">
        <f>'T_SelfStock'!CB12</f>
        <v/>
      </c>
      <c r="CE844">
        <f>'T_SelfStock'!CC12</f>
        <v/>
      </c>
      <c r="CF844">
        <f>'T_SelfStock'!CD12</f>
        <v/>
      </c>
      <c r="CG844">
        <f>'T_SelfStock'!CE12</f>
        <v/>
      </c>
      <c r="CH844">
        <f>'T_SelfStock'!CF12</f>
        <v/>
      </c>
      <c r="CI844">
        <f>'T_SelfStock'!CG12</f>
        <v/>
      </c>
      <c r="CJ844">
        <f>'T_SelfStock'!CH12</f>
        <v/>
      </c>
      <c r="CK844">
        <f>'T_SelfStock'!CI12</f>
        <v/>
      </c>
      <c r="CL844">
        <f>'T_SelfStock'!CJ12</f>
        <v/>
      </c>
      <c r="CM844">
        <f>'T_SelfStock'!CK12</f>
        <v/>
      </c>
      <c r="CN844">
        <f>'T_SelfStock'!CL12</f>
        <v/>
      </c>
      <c r="CO844">
        <f>'T_SelfStock'!CM12</f>
        <v/>
      </c>
      <c r="CP844">
        <f>'T_SelfStock'!CN12</f>
        <v/>
      </c>
      <c r="CQ844">
        <f>'T_SelfStock'!CO12</f>
        <v/>
      </c>
      <c r="CR844">
        <f>'T_SelfStock'!CP12</f>
        <v/>
      </c>
      <c r="CS844">
        <f>'T_SelfStock'!CQ12</f>
        <v/>
      </c>
      <c r="CT844">
        <f>'T_SelfStock'!CR12</f>
        <v/>
      </c>
      <c r="CU844">
        <f>'T_SelfStock'!CS12</f>
        <v/>
      </c>
      <c r="CV844">
        <f>'T_SelfStock'!CT12</f>
        <v/>
      </c>
      <c r="CW844">
        <f>'T_SelfStock'!CU12</f>
        <v/>
      </c>
      <c r="CX844">
        <f>'T_SelfStock'!CV12</f>
        <v/>
      </c>
      <c r="CY844">
        <f>'T_SelfStock'!CW12</f>
        <v/>
      </c>
      <c r="CZ844">
        <f>'T_SelfStock'!CX12</f>
        <v/>
      </c>
      <c r="DA844">
        <f>'T_SelfStock'!CY12</f>
        <v/>
      </c>
      <c r="DB844">
        <f>'T_SelfStock'!CZ12</f>
        <v/>
      </c>
      <c r="DC844">
        <f>'T_SelfStock'!DA12</f>
        <v/>
      </c>
    </row>
    <row r="845">
      <c r="B845" t="inlineStr">
        <is>
          <t>Order(発注予定,kg)</t>
        </is>
      </c>
      <c r="D845">
        <f>IF(SUMIFS(T_PlannedOrders[EffectiveQty],T_PlannedOrders[Part Name],$A835,T_PlannedOrders[WeekIndex],1)=0,"",SUMIFS(T_PlannedOrders[EffectiveQty],T_PlannedOrders[Part Name],$A835,T_PlannedOrders[WeekIndex],1)&amp;" ("&amp;TEXT(SUMPRODUCT(MAX((T_PlannedOrders[Part Name]=$A835)*(T_PlannedOrders[WeekIndex]=1)*(T_PlannedOrders[EffectiveQty]&gt;0)*T_PlannedOrders[Order_Month])),"m月")&amp;"発注)")</f>
        <v/>
      </c>
      <c r="E845">
        <f>IF(SUMIFS(T_PlannedOrders[EffectiveQty],T_PlannedOrders[Part Name],$A835,T_PlannedOrders[WeekIndex],2)=0,"",SUMIFS(T_PlannedOrders[EffectiveQty],T_PlannedOrders[Part Name],$A835,T_PlannedOrders[WeekIndex],2)&amp;" ("&amp;TEXT(SUMPRODUCT(MAX((T_PlannedOrders[Part Name]=$A835)*(T_PlannedOrders[WeekIndex]=2)*(T_PlannedOrders[EffectiveQty]&gt;0)*T_PlannedOrders[Order_Month])),"m月")&amp;"発注)")</f>
        <v/>
      </c>
      <c r="F845">
        <f>IF(SUMIFS(T_PlannedOrders[EffectiveQty],T_PlannedOrders[Part Name],$A835,T_PlannedOrders[WeekIndex],3)=0,"",SUMIFS(T_PlannedOrders[EffectiveQty],T_PlannedOrders[Part Name],$A835,T_PlannedOrders[WeekIndex],3)&amp;" ("&amp;TEXT(SUMPRODUCT(MAX((T_PlannedOrders[Part Name]=$A835)*(T_PlannedOrders[WeekIndex]=3)*(T_PlannedOrders[EffectiveQty]&gt;0)*T_PlannedOrders[Order_Month])),"m月")&amp;"発注)")</f>
        <v/>
      </c>
      <c r="G845">
        <f>IF(SUMIFS(T_PlannedOrders[EffectiveQty],T_PlannedOrders[Part Name],$A835,T_PlannedOrders[WeekIndex],4)=0,"",SUMIFS(T_PlannedOrders[EffectiveQty],T_PlannedOrders[Part Name],$A835,T_PlannedOrders[WeekIndex],4)&amp;" ("&amp;TEXT(SUMPRODUCT(MAX((T_PlannedOrders[Part Name]=$A835)*(T_PlannedOrders[WeekIndex]=4)*(T_PlannedOrders[EffectiveQty]&gt;0)*T_PlannedOrders[Order_Month])),"m月")&amp;"発注)")</f>
        <v/>
      </c>
      <c r="H845">
        <f>IF(SUMIFS(T_PlannedOrders[EffectiveQty],T_PlannedOrders[Part Name],$A835,T_PlannedOrders[WeekIndex],5)=0,"",SUMIFS(T_PlannedOrders[EffectiveQty],T_PlannedOrders[Part Name],$A835,T_PlannedOrders[WeekIndex],5)&amp;" ("&amp;TEXT(SUMPRODUCT(MAX((T_PlannedOrders[Part Name]=$A835)*(T_PlannedOrders[WeekIndex]=5)*(T_PlannedOrders[EffectiveQty]&gt;0)*T_PlannedOrders[Order_Month])),"m月")&amp;"発注)")</f>
        <v/>
      </c>
      <c r="I845">
        <f>IF(SUMIFS(T_PlannedOrders[EffectiveQty],T_PlannedOrders[Part Name],$A835,T_PlannedOrders[WeekIndex],6)=0,"",SUMIFS(T_PlannedOrders[EffectiveQty],T_PlannedOrders[Part Name],$A835,T_PlannedOrders[WeekIndex],6)&amp;" ("&amp;TEXT(SUMPRODUCT(MAX((T_PlannedOrders[Part Name]=$A835)*(T_PlannedOrders[WeekIndex]=6)*(T_PlannedOrders[EffectiveQty]&gt;0)*T_PlannedOrders[Order_Month])),"m月")&amp;"発注)")</f>
        <v/>
      </c>
      <c r="J845">
        <f>IF(SUMIFS(T_PlannedOrders[EffectiveQty],T_PlannedOrders[Part Name],$A835,T_PlannedOrders[WeekIndex],7)=0,"",SUMIFS(T_PlannedOrders[EffectiveQty],T_PlannedOrders[Part Name],$A835,T_PlannedOrders[WeekIndex],7)&amp;" ("&amp;TEXT(SUMPRODUCT(MAX((T_PlannedOrders[Part Name]=$A835)*(T_PlannedOrders[WeekIndex]=7)*(T_PlannedOrders[EffectiveQty]&gt;0)*T_PlannedOrders[Order_Month])),"m月")&amp;"発注)")</f>
        <v/>
      </c>
      <c r="K845">
        <f>IF(SUMIFS(T_PlannedOrders[EffectiveQty],T_PlannedOrders[Part Name],$A835,T_PlannedOrders[WeekIndex],8)=0,"",SUMIFS(T_PlannedOrders[EffectiveQty],T_PlannedOrders[Part Name],$A835,T_PlannedOrders[WeekIndex],8)&amp;" ("&amp;TEXT(SUMPRODUCT(MAX((T_PlannedOrders[Part Name]=$A835)*(T_PlannedOrders[WeekIndex]=8)*(T_PlannedOrders[EffectiveQty]&gt;0)*T_PlannedOrders[Order_Month])),"m月")&amp;"発注)")</f>
        <v/>
      </c>
      <c r="L845">
        <f>IF(SUMIFS(T_PlannedOrders[EffectiveQty],T_PlannedOrders[Part Name],$A835,T_PlannedOrders[WeekIndex],9)=0,"",SUMIFS(T_PlannedOrders[EffectiveQty],T_PlannedOrders[Part Name],$A835,T_PlannedOrders[WeekIndex],9)&amp;" ("&amp;TEXT(SUMPRODUCT(MAX((T_PlannedOrders[Part Name]=$A835)*(T_PlannedOrders[WeekIndex]=9)*(T_PlannedOrders[EffectiveQty]&gt;0)*T_PlannedOrders[Order_Month])),"m月")&amp;"発注)")</f>
        <v/>
      </c>
      <c r="M845">
        <f>IF(SUMIFS(T_PlannedOrders[EffectiveQty],T_PlannedOrders[Part Name],$A835,T_PlannedOrders[WeekIndex],10)=0,"",SUMIFS(T_PlannedOrders[EffectiveQty],T_PlannedOrders[Part Name],$A835,T_PlannedOrders[WeekIndex],10)&amp;" ("&amp;TEXT(SUMPRODUCT(MAX((T_PlannedOrders[Part Name]=$A835)*(T_PlannedOrders[WeekIndex]=10)*(T_PlannedOrders[EffectiveQty]&gt;0)*T_PlannedOrders[Order_Month])),"m月")&amp;"発注)")</f>
        <v/>
      </c>
      <c r="N845">
        <f>IF(SUMIFS(T_PlannedOrders[EffectiveQty],T_PlannedOrders[Part Name],$A835,T_PlannedOrders[WeekIndex],11)=0,"",SUMIFS(T_PlannedOrders[EffectiveQty],T_PlannedOrders[Part Name],$A835,T_PlannedOrders[WeekIndex],11)&amp;" ("&amp;TEXT(SUMPRODUCT(MAX((T_PlannedOrders[Part Name]=$A835)*(T_PlannedOrders[WeekIndex]=11)*(T_PlannedOrders[EffectiveQty]&gt;0)*T_PlannedOrders[Order_Month])),"m月")&amp;"発注)")</f>
        <v/>
      </c>
      <c r="O845">
        <f>IF(SUMIFS(T_PlannedOrders[EffectiveQty],T_PlannedOrders[Part Name],$A835,T_PlannedOrders[WeekIndex],12)=0,"",SUMIFS(T_PlannedOrders[EffectiveQty],T_PlannedOrders[Part Name],$A835,T_PlannedOrders[WeekIndex],12)&amp;" ("&amp;TEXT(SUMPRODUCT(MAX((T_PlannedOrders[Part Name]=$A835)*(T_PlannedOrders[WeekIndex]=12)*(T_PlannedOrders[EffectiveQty]&gt;0)*T_PlannedOrders[Order_Month])),"m月")&amp;"発注)")</f>
        <v/>
      </c>
      <c r="P845">
        <f>IF(SUMIFS(T_PlannedOrders[EffectiveQty],T_PlannedOrders[Part Name],$A835,T_PlannedOrders[WeekIndex],13)=0,"",SUMIFS(T_PlannedOrders[EffectiveQty],T_PlannedOrders[Part Name],$A835,T_PlannedOrders[WeekIndex],13)&amp;" ("&amp;TEXT(SUMPRODUCT(MAX((T_PlannedOrders[Part Name]=$A835)*(T_PlannedOrders[WeekIndex]=13)*(T_PlannedOrders[EffectiveQty]&gt;0)*T_PlannedOrders[Order_Month])),"m月")&amp;"発注)")</f>
        <v/>
      </c>
      <c r="Q845">
        <f>IF(SUMIFS(T_PlannedOrders[EffectiveQty],T_PlannedOrders[Part Name],$A835,T_PlannedOrders[WeekIndex],14)=0,"",SUMIFS(T_PlannedOrders[EffectiveQty],T_PlannedOrders[Part Name],$A835,T_PlannedOrders[WeekIndex],14)&amp;" ("&amp;TEXT(SUMPRODUCT(MAX((T_PlannedOrders[Part Name]=$A835)*(T_PlannedOrders[WeekIndex]=14)*(T_PlannedOrders[EffectiveQty]&gt;0)*T_PlannedOrders[Order_Month])),"m月")&amp;"発注)")</f>
        <v/>
      </c>
      <c r="R845">
        <f>IF(SUMIFS(T_PlannedOrders[EffectiveQty],T_PlannedOrders[Part Name],$A835,T_PlannedOrders[WeekIndex],15)=0,"",SUMIFS(T_PlannedOrders[EffectiveQty],T_PlannedOrders[Part Name],$A835,T_PlannedOrders[WeekIndex],15)&amp;" ("&amp;TEXT(SUMPRODUCT(MAX((T_PlannedOrders[Part Name]=$A835)*(T_PlannedOrders[WeekIndex]=15)*(T_PlannedOrders[EffectiveQty]&gt;0)*T_PlannedOrders[Order_Month])),"m月")&amp;"発注)")</f>
        <v/>
      </c>
      <c r="S845">
        <f>IF(SUMIFS(T_PlannedOrders[EffectiveQty],T_PlannedOrders[Part Name],$A835,T_PlannedOrders[WeekIndex],16)=0,"",SUMIFS(T_PlannedOrders[EffectiveQty],T_PlannedOrders[Part Name],$A835,T_PlannedOrders[WeekIndex],16)&amp;" ("&amp;TEXT(SUMPRODUCT(MAX((T_PlannedOrders[Part Name]=$A835)*(T_PlannedOrders[WeekIndex]=16)*(T_PlannedOrders[EffectiveQty]&gt;0)*T_PlannedOrders[Order_Month])),"m月")&amp;"発注)")</f>
        <v/>
      </c>
      <c r="T845">
        <f>IF(SUMIFS(T_PlannedOrders[EffectiveQty],T_PlannedOrders[Part Name],$A835,T_PlannedOrders[WeekIndex],17)=0,"",SUMIFS(T_PlannedOrders[EffectiveQty],T_PlannedOrders[Part Name],$A835,T_PlannedOrders[WeekIndex],17)&amp;" ("&amp;TEXT(SUMPRODUCT(MAX((T_PlannedOrders[Part Name]=$A835)*(T_PlannedOrders[WeekIndex]=17)*(T_PlannedOrders[EffectiveQty]&gt;0)*T_PlannedOrders[Order_Month])),"m月")&amp;"発注)")</f>
        <v/>
      </c>
      <c r="U845">
        <f>IF(SUMIFS(T_PlannedOrders[EffectiveQty],T_PlannedOrders[Part Name],$A835,T_PlannedOrders[WeekIndex],18)=0,"",SUMIFS(T_PlannedOrders[EffectiveQty],T_PlannedOrders[Part Name],$A835,T_PlannedOrders[WeekIndex],18)&amp;" ("&amp;TEXT(SUMPRODUCT(MAX((T_PlannedOrders[Part Name]=$A835)*(T_PlannedOrders[WeekIndex]=18)*(T_PlannedOrders[EffectiveQty]&gt;0)*T_PlannedOrders[Order_Month])),"m月")&amp;"発注)")</f>
        <v/>
      </c>
      <c r="V845">
        <f>IF(SUMIFS(T_PlannedOrders[EffectiveQty],T_PlannedOrders[Part Name],$A835,T_PlannedOrders[WeekIndex],19)=0,"",SUMIFS(T_PlannedOrders[EffectiveQty],T_PlannedOrders[Part Name],$A835,T_PlannedOrders[WeekIndex],19)&amp;" ("&amp;TEXT(SUMPRODUCT(MAX((T_PlannedOrders[Part Name]=$A835)*(T_PlannedOrders[WeekIndex]=19)*(T_PlannedOrders[EffectiveQty]&gt;0)*T_PlannedOrders[Order_Month])),"m月")&amp;"発注)")</f>
        <v/>
      </c>
      <c r="W845">
        <f>IF(SUMIFS(T_PlannedOrders[EffectiveQty],T_PlannedOrders[Part Name],$A835,T_PlannedOrders[WeekIndex],20)=0,"",SUMIFS(T_PlannedOrders[EffectiveQty],T_PlannedOrders[Part Name],$A835,T_PlannedOrders[WeekIndex],20)&amp;" ("&amp;TEXT(SUMPRODUCT(MAX((T_PlannedOrders[Part Name]=$A835)*(T_PlannedOrders[WeekIndex]=20)*(T_PlannedOrders[EffectiveQty]&gt;0)*T_PlannedOrders[Order_Month])),"m月")&amp;"発注)")</f>
        <v/>
      </c>
      <c r="X845">
        <f>IF(SUMIFS(T_PlannedOrders[EffectiveQty],T_PlannedOrders[Part Name],$A835,T_PlannedOrders[WeekIndex],21)=0,"",SUMIFS(T_PlannedOrders[EffectiveQty],T_PlannedOrders[Part Name],$A835,T_PlannedOrders[WeekIndex],21)&amp;" ("&amp;TEXT(SUMPRODUCT(MAX((T_PlannedOrders[Part Name]=$A835)*(T_PlannedOrders[WeekIndex]=21)*(T_PlannedOrders[EffectiveQty]&gt;0)*T_PlannedOrders[Order_Month])),"m月")&amp;"発注)")</f>
        <v/>
      </c>
      <c r="Y845">
        <f>IF(SUMIFS(T_PlannedOrders[EffectiveQty],T_PlannedOrders[Part Name],$A835,T_PlannedOrders[WeekIndex],22)=0,"",SUMIFS(T_PlannedOrders[EffectiveQty],T_PlannedOrders[Part Name],$A835,T_PlannedOrders[WeekIndex],22)&amp;" ("&amp;TEXT(SUMPRODUCT(MAX((T_PlannedOrders[Part Name]=$A835)*(T_PlannedOrders[WeekIndex]=22)*(T_PlannedOrders[EffectiveQty]&gt;0)*T_PlannedOrders[Order_Month])),"m月")&amp;"発注)")</f>
        <v/>
      </c>
      <c r="Z845">
        <f>IF(SUMIFS(T_PlannedOrders[EffectiveQty],T_PlannedOrders[Part Name],$A835,T_PlannedOrders[WeekIndex],23)=0,"",SUMIFS(T_PlannedOrders[EffectiveQty],T_PlannedOrders[Part Name],$A835,T_PlannedOrders[WeekIndex],23)&amp;" ("&amp;TEXT(SUMPRODUCT(MAX((T_PlannedOrders[Part Name]=$A835)*(T_PlannedOrders[WeekIndex]=23)*(T_PlannedOrders[EffectiveQty]&gt;0)*T_PlannedOrders[Order_Month])),"m月")&amp;"発注)")</f>
        <v/>
      </c>
      <c r="AA845">
        <f>IF(SUMIFS(T_PlannedOrders[EffectiveQty],T_PlannedOrders[Part Name],$A835,T_PlannedOrders[WeekIndex],24)=0,"",SUMIFS(T_PlannedOrders[EffectiveQty],T_PlannedOrders[Part Name],$A835,T_PlannedOrders[WeekIndex],24)&amp;" ("&amp;TEXT(SUMPRODUCT(MAX((T_PlannedOrders[Part Name]=$A835)*(T_PlannedOrders[WeekIndex]=24)*(T_PlannedOrders[EffectiveQty]&gt;0)*T_PlannedOrders[Order_Month])),"m月")&amp;"発注)")</f>
        <v/>
      </c>
      <c r="AB845">
        <f>IF(SUMIFS(T_PlannedOrders[EffectiveQty],T_PlannedOrders[Part Name],$A835,T_PlannedOrders[WeekIndex],25)=0,"",SUMIFS(T_PlannedOrders[EffectiveQty],T_PlannedOrders[Part Name],$A835,T_PlannedOrders[WeekIndex],25)&amp;" ("&amp;TEXT(SUMPRODUCT(MAX((T_PlannedOrders[Part Name]=$A835)*(T_PlannedOrders[WeekIndex]=25)*(T_PlannedOrders[EffectiveQty]&gt;0)*T_PlannedOrders[Order_Month])),"m月")&amp;"発注)")</f>
        <v/>
      </c>
      <c r="AC845">
        <f>IF(SUMIFS(T_PlannedOrders[EffectiveQty],T_PlannedOrders[Part Name],$A835,T_PlannedOrders[WeekIndex],26)=0,"",SUMIFS(T_PlannedOrders[EffectiveQty],T_PlannedOrders[Part Name],$A835,T_PlannedOrders[WeekIndex],26)&amp;" ("&amp;TEXT(SUMPRODUCT(MAX((T_PlannedOrders[Part Name]=$A835)*(T_PlannedOrders[WeekIndex]=26)*(T_PlannedOrders[EffectiveQty]&gt;0)*T_PlannedOrders[Order_Month])),"m月")&amp;"発注)")</f>
        <v/>
      </c>
      <c r="AD845">
        <f>IF(SUMIFS(T_PlannedOrders[EffectiveQty],T_PlannedOrders[Part Name],$A835,T_PlannedOrders[WeekIndex],27)=0,"",SUMIFS(T_PlannedOrders[EffectiveQty],T_PlannedOrders[Part Name],$A835,T_PlannedOrders[WeekIndex],27)&amp;" ("&amp;TEXT(SUMPRODUCT(MAX((T_PlannedOrders[Part Name]=$A835)*(T_PlannedOrders[WeekIndex]=27)*(T_PlannedOrders[EffectiveQty]&gt;0)*T_PlannedOrders[Order_Month])),"m月")&amp;"発注)")</f>
        <v/>
      </c>
      <c r="AE845">
        <f>IF(SUMIFS(T_PlannedOrders[EffectiveQty],T_PlannedOrders[Part Name],$A835,T_PlannedOrders[WeekIndex],28)=0,"",SUMIFS(T_PlannedOrders[EffectiveQty],T_PlannedOrders[Part Name],$A835,T_PlannedOrders[WeekIndex],28)&amp;" ("&amp;TEXT(SUMPRODUCT(MAX((T_PlannedOrders[Part Name]=$A835)*(T_PlannedOrders[WeekIndex]=28)*(T_PlannedOrders[EffectiveQty]&gt;0)*T_PlannedOrders[Order_Month])),"m月")&amp;"発注)")</f>
        <v/>
      </c>
      <c r="AF845">
        <f>IF(SUMIFS(T_PlannedOrders[EffectiveQty],T_PlannedOrders[Part Name],$A835,T_PlannedOrders[WeekIndex],29)=0,"",SUMIFS(T_PlannedOrders[EffectiveQty],T_PlannedOrders[Part Name],$A835,T_PlannedOrders[WeekIndex],29)&amp;" ("&amp;TEXT(SUMPRODUCT(MAX((T_PlannedOrders[Part Name]=$A835)*(T_PlannedOrders[WeekIndex]=29)*(T_PlannedOrders[EffectiveQty]&gt;0)*T_PlannedOrders[Order_Month])),"m月")&amp;"発注)")</f>
        <v/>
      </c>
      <c r="AG845">
        <f>IF(SUMIFS(T_PlannedOrders[EffectiveQty],T_PlannedOrders[Part Name],$A835,T_PlannedOrders[WeekIndex],30)=0,"",SUMIFS(T_PlannedOrders[EffectiveQty],T_PlannedOrders[Part Name],$A835,T_PlannedOrders[WeekIndex],30)&amp;" ("&amp;TEXT(SUMPRODUCT(MAX((T_PlannedOrders[Part Name]=$A835)*(T_PlannedOrders[WeekIndex]=30)*(T_PlannedOrders[EffectiveQty]&gt;0)*T_PlannedOrders[Order_Month])),"m月")&amp;"発注)")</f>
        <v/>
      </c>
      <c r="AH845">
        <f>IF(SUMIFS(T_PlannedOrders[EffectiveQty],T_PlannedOrders[Part Name],$A835,T_PlannedOrders[WeekIndex],31)=0,"",SUMIFS(T_PlannedOrders[EffectiveQty],T_PlannedOrders[Part Name],$A835,T_PlannedOrders[WeekIndex],31)&amp;" ("&amp;TEXT(SUMPRODUCT(MAX((T_PlannedOrders[Part Name]=$A835)*(T_PlannedOrders[WeekIndex]=31)*(T_PlannedOrders[EffectiveQty]&gt;0)*T_PlannedOrders[Order_Month])),"m月")&amp;"発注)")</f>
        <v/>
      </c>
      <c r="AI845">
        <f>IF(SUMIFS(T_PlannedOrders[EffectiveQty],T_PlannedOrders[Part Name],$A835,T_PlannedOrders[WeekIndex],32)=0,"",SUMIFS(T_PlannedOrders[EffectiveQty],T_PlannedOrders[Part Name],$A835,T_PlannedOrders[WeekIndex],32)&amp;" ("&amp;TEXT(SUMPRODUCT(MAX((T_PlannedOrders[Part Name]=$A835)*(T_PlannedOrders[WeekIndex]=32)*(T_PlannedOrders[EffectiveQty]&gt;0)*T_PlannedOrders[Order_Month])),"m月")&amp;"発注)")</f>
        <v/>
      </c>
      <c r="AJ845">
        <f>IF(SUMIFS(T_PlannedOrders[EffectiveQty],T_PlannedOrders[Part Name],$A835,T_PlannedOrders[WeekIndex],33)=0,"",SUMIFS(T_PlannedOrders[EffectiveQty],T_PlannedOrders[Part Name],$A835,T_PlannedOrders[WeekIndex],33)&amp;" ("&amp;TEXT(SUMPRODUCT(MAX((T_PlannedOrders[Part Name]=$A835)*(T_PlannedOrders[WeekIndex]=33)*(T_PlannedOrders[EffectiveQty]&gt;0)*T_PlannedOrders[Order_Month])),"m月")&amp;"発注)")</f>
        <v/>
      </c>
      <c r="AK845">
        <f>IF(SUMIFS(T_PlannedOrders[EffectiveQty],T_PlannedOrders[Part Name],$A835,T_PlannedOrders[WeekIndex],34)=0,"",SUMIFS(T_PlannedOrders[EffectiveQty],T_PlannedOrders[Part Name],$A835,T_PlannedOrders[WeekIndex],34)&amp;" ("&amp;TEXT(SUMPRODUCT(MAX((T_PlannedOrders[Part Name]=$A835)*(T_PlannedOrders[WeekIndex]=34)*(T_PlannedOrders[EffectiveQty]&gt;0)*T_PlannedOrders[Order_Month])),"m月")&amp;"発注)")</f>
        <v/>
      </c>
      <c r="AL845">
        <f>IF(SUMIFS(T_PlannedOrders[EffectiveQty],T_PlannedOrders[Part Name],$A835,T_PlannedOrders[WeekIndex],35)=0,"",SUMIFS(T_PlannedOrders[EffectiveQty],T_PlannedOrders[Part Name],$A835,T_PlannedOrders[WeekIndex],35)&amp;" ("&amp;TEXT(SUMPRODUCT(MAX((T_PlannedOrders[Part Name]=$A835)*(T_PlannedOrders[WeekIndex]=35)*(T_PlannedOrders[EffectiveQty]&gt;0)*T_PlannedOrders[Order_Month])),"m月")&amp;"発注)")</f>
        <v/>
      </c>
      <c r="AM845">
        <f>IF(SUMIFS(T_PlannedOrders[EffectiveQty],T_PlannedOrders[Part Name],$A835,T_PlannedOrders[WeekIndex],36)=0,"",SUMIFS(T_PlannedOrders[EffectiveQty],T_PlannedOrders[Part Name],$A835,T_PlannedOrders[WeekIndex],36)&amp;" ("&amp;TEXT(SUMPRODUCT(MAX((T_PlannedOrders[Part Name]=$A835)*(T_PlannedOrders[WeekIndex]=36)*(T_PlannedOrders[EffectiveQty]&gt;0)*T_PlannedOrders[Order_Month])),"m月")&amp;"発注)")</f>
        <v/>
      </c>
      <c r="AN845">
        <f>IF(SUMIFS(T_PlannedOrders[EffectiveQty],T_PlannedOrders[Part Name],$A835,T_PlannedOrders[WeekIndex],37)=0,"",SUMIFS(T_PlannedOrders[EffectiveQty],T_PlannedOrders[Part Name],$A835,T_PlannedOrders[WeekIndex],37)&amp;" ("&amp;TEXT(SUMPRODUCT(MAX((T_PlannedOrders[Part Name]=$A835)*(T_PlannedOrders[WeekIndex]=37)*(T_PlannedOrders[EffectiveQty]&gt;0)*T_PlannedOrders[Order_Month])),"m月")&amp;"発注)")</f>
        <v/>
      </c>
      <c r="AO845">
        <f>IF(SUMIFS(T_PlannedOrders[EffectiveQty],T_PlannedOrders[Part Name],$A835,T_PlannedOrders[WeekIndex],38)=0,"",SUMIFS(T_PlannedOrders[EffectiveQty],T_PlannedOrders[Part Name],$A835,T_PlannedOrders[WeekIndex],38)&amp;" ("&amp;TEXT(SUMPRODUCT(MAX((T_PlannedOrders[Part Name]=$A835)*(T_PlannedOrders[WeekIndex]=38)*(T_PlannedOrders[EffectiveQty]&gt;0)*T_PlannedOrders[Order_Month])),"m月")&amp;"発注)")</f>
        <v/>
      </c>
      <c r="AP845">
        <f>IF(SUMIFS(T_PlannedOrders[EffectiveQty],T_PlannedOrders[Part Name],$A835,T_PlannedOrders[WeekIndex],39)=0,"",SUMIFS(T_PlannedOrders[EffectiveQty],T_PlannedOrders[Part Name],$A835,T_PlannedOrders[WeekIndex],39)&amp;" ("&amp;TEXT(SUMPRODUCT(MAX((T_PlannedOrders[Part Name]=$A835)*(T_PlannedOrders[WeekIndex]=39)*(T_PlannedOrders[EffectiveQty]&gt;0)*T_PlannedOrders[Order_Month])),"m月")&amp;"発注)")</f>
        <v/>
      </c>
      <c r="AQ845">
        <f>IF(SUMIFS(T_PlannedOrders[EffectiveQty],T_PlannedOrders[Part Name],$A835,T_PlannedOrders[WeekIndex],40)=0,"",SUMIFS(T_PlannedOrders[EffectiveQty],T_PlannedOrders[Part Name],$A835,T_PlannedOrders[WeekIndex],40)&amp;" ("&amp;TEXT(SUMPRODUCT(MAX((T_PlannedOrders[Part Name]=$A835)*(T_PlannedOrders[WeekIndex]=40)*(T_PlannedOrders[EffectiveQty]&gt;0)*T_PlannedOrders[Order_Month])),"m月")&amp;"発注)")</f>
        <v/>
      </c>
      <c r="AR845">
        <f>IF(SUMIFS(T_PlannedOrders[EffectiveQty],T_PlannedOrders[Part Name],$A835,T_PlannedOrders[WeekIndex],41)=0,"",SUMIFS(T_PlannedOrders[EffectiveQty],T_PlannedOrders[Part Name],$A835,T_PlannedOrders[WeekIndex],41)&amp;" ("&amp;TEXT(SUMPRODUCT(MAX((T_PlannedOrders[Part Name]=$A835)*(T_PlannedOrders[WeekIndex]=41)*(T_PlannedOrders[EffectiveQty]&gt;0)*T_PlannedOrders[Order_Month])),"m月")&amp;"発注)")</f>
        <v/>
      </c>
      <c r="AS845">
        <f>IF(SUMIFS(T_PlannedOrders[EffectiveQty],T_PlannedOrders[Part Name],$A835,T_PlannedOrders[WeekIndex],42)=0,"",SUMIFS(T_PlannedOrders[EffectiveQty],T_PlannedOrders[Part Name],$A835,T_PlannedOrders[WeekIndex],42)&amp;" ("&amp;TEXT(SUMPRODUCT(MAX((T_PlannedOrders[Part Name]=$A835)*(T_PlannedOrders[WeekIndex]=42)*(T_PlannedOrders[EffectiveQty]&gt;0)*T_PlannedOrders[Order_Month])),"m月")&amp;"発注)")</f>
        <v/>
      </c>
      <c r="AT845">
        <f>IF(SUMIFS(T_PlannedOrders[EffectiveQty],T_PlannedOrders[Part Name],$A835,T_PlannedOrders[WeekIndex],43)=0,"",SUMIFS(T_PlannedOrders[EffectiveQty],T_PlannedOrders[Part Name],$A835,T_PlannedOrders[WeekIndex],43)&amp;" ("&amp;TEXT(SUMPRODUCT(MAX((T_PlannedOrders[Part Name]=$A835)*(T_PlannedOrders[WeekIndex]=43)*(T_PlannedOrders[EffectiveQty]&gt;0)*T_PlannedOrders[Order_Month])),"m月")&amp;"発注)")</f>
        <v/>
      </c>
      <c r="AU845">
        <f>IF(SUMIFS(T_PlannedOrders[EffectiveQty],T_PlannedOrders[Part Name],$A835,T_PlannedOrders[WeekIndex],44)=0,"",SUMIFS(T_PlannedOrders[EffectiveQty],T_PlannedOrders[Part Name],$A835,T_PlannedOrders[WeekIndex],44)&amp;" ("&amp;TEXT(SUMPRODUCT(MAX((T_PlannedOrders[Part Name]=$A835)*(T_PlannedOrders[WeekIndex]=44)*(T_PlannedOrders[EffectiveQty]&gt;0)*T_PlannedOrders[Order_Month])),"m月")&amp;"発注)")</f>
        <v/>
      </c>
      <c r="AV845">
        <f>IF(SUMIFS(T_PlannedOrders[EffectiveQty],T_PlannedOrders[Part Name],$A835,T_PlannedOrders[WeekIndex],45)=0,"",SUMIFS(T_PlannedOrders[EffectiveQty],T_PlannedOrders[Part Name],$A835,T_PlannedOrders[WeekIndex],45)&amp;" ("&amp;TEXT(SUMPRODUCT(MAX((T_PlannedOrders[Part Name]=$A835)*(T_PlannedOrders[WeekIndex]=45)*(T_PlannedOrders[EffectiveQty]&gt;0)*T_PlannedOrders[Order_Month])),"m月")&amp;"発注)")</f>
        <v/>
      </c>
      <c r="AW845">
        <f>IF(SUMIFS(T_PlannedOrders[EffectiveQty],T_PlannedOrders[Part Name],$A835,T_PlannedOrders[WeekIndex],46)=0,"",SUMIFS(T_PlannedOrders[EffectiveQty],T_PlannedOrders[Part Name],$A835,T_PlannedOrders[WeekIndex],46)&amp;" ("&amp;TEXT(SUMPRODUCT(MAX((T_PlannedOrders[Part Name]=$A835)*(T_PlannedOrders[WeekIndex]=46)*(T_PlannedOrders[EffectiveQty]&gt;0)*T_PlannedOrders[Order_Month])),"m月")&amp;"発注)")</f>
        <v/>
      </c>
      <c r="AX845">
        <f>IF(SUMIFS(T_PlannedOrders[EffectiveQty],T_PlannedOrders[Part Name],$A835,T_PlannedOrders[WeekIndex],47)=0,"",SUMIFS(T_PlannedOrders[EffectiveQty],T_PlannedOrders[Part Name],$A835,T_PlannedOrders[WeekIndex],47)&amp;" ("&amp;TEXT(SUMPRODUCT(MAX((T_PlannedOrders[Part Name]=$A835)*(T_PlannedOrders[WeekIndex]=47)*(T_PlannedOrders[EffectiveQty]&gt;0)*T_PlannedOrders[Order_Month])),"m月")&amp;"発注)")</f>
        <v/>
      </c>
      <c r="AY845">
        <f>IF(SUMIFS(T_PlannedOrders[EffectiveQty],T_PlannedOrders[Part Name],$A835,T_PlannedOrders[WeekIndex],48)=0,"",SUMIFS(T_PlannedOrders[EffectiveQty],T_PlannedOrders[Part Name],$A835,T_PlannedOrders[WeekIndex],48)&amp;" ("&amp;TEXT(SUMPRODUCT(MAX((T_PlannedOrders[Part Name]=$A835)*(T_PlannedOrders[WeekIndex]=48)*(T_PlannedOrders[EffectiveQty]&gt;0)*T_PlannedOrders[Order_Month])),"m月")&amp;"発注)")</f>
        <v/>
      </c>
      <c r="AZ845">
        <f>IF(SUMIFS(T_PlannedOrders[EffectiveQty],T_PlannedOrders[Part Name],$A835,T_PlannedOrders[WeekIndex],49)=0,"",SUMIFS(T_PlannedOrders[EffectiveQty],T_PlannedOrders[Part Name],$A835,T_PlannedOrders[WeekIndex],49)&amp;" ("&amp;TEXT(SUMPRODUCT(MAX((T_PlannedOrders[Part Name]=$A835)*(T_PlannedOrders[WeekIndex]=49)*(T_PlannedOrders[EffectiveQty]&gt;0)*T_PlannedOrders[Order_Month])),"m月")&amp;"発注)")</f>
        <v/>
      </c>
      <c r="BA845">
        <f>IF(SUMIFS(T_PlannedOrders[EffectiveQty],T_PlannedOrders[Part Name],$A835,T_PlannedOrders[WeekIndex],50)=0,"",SUMIFS(T_PlannedOrders[EffectiveQty],T_PlannedOrders[Part Name],$A835,T_PlannedOrders[WeekIndex],50)&amp;" ("&amp;TEXT(SUMPRODUCT(MAX((T_PlannedOrders[Part Name]=$A835)*(T_PlannedOrders[WeekIndex]=50)*(T_PlannedOrders[EffectiveQty]&gt;0)*T_PlannedOrders[Order_Month])),"m月")&amp;"発注)")</f>
        <v/>
      </c>
      <c r="BB845">
        <f>IF(SUMIFS(T_PlannedOrders[EffectiveQty],T_PlannedOrders[Part Name],$A835,T_PlannedOrders[WeekIndex],51)=0,"",SUMIFS(T_PlannedOrders[EffectiveQty],T_PlannedOrders[Part Name],$A835,T_PlannedOrders[WeekIndex],51)&amp;" ("&amp;TEXT(SUMPRODUCT(MAX((T_PlannedOrders[Part Name]=$A835)*(T_PlannedOrders[WeekIndex]=51)*(T_PlannedOrders[EffectiveQty]&gt;0)*T_PlannedOrders[Order_Month])),"m月")&amp;"発注)")</f>
        <v/>
      </c>
      <c r="BC845">
        <f>IF(SUMIFS(T_PlannedOrders[EffectiveQty],T_PlannedOrders[Part Name],$A835,T_PlannedOrders[WeekIndex],52)=0,"",SUMIFS(T_PlannedOrders[EffectiveQty],T_PlannedOrders[Part Name],$A835,T_PlannedOrders[WeekIndex],52)&amp;" ("&amp;TEXT(SUMPRODUCT(MAX((T_PlannedOrders[Part Name]=$A835)*(T_PlannedOrders[WeekIndex]=52)*(T_PlannedOrders[EffectiveQty]&gt;0)*T_PlannedOrders[Order_Month])),"m月")&amp;"発注)")</f>
        <v/>
      </c>
      <c r="BD845">
        <f>IF(SUMIFS(T_PlannedOrders[EffectiveQty],T_PlannedOrders[Part Name],$A835,T_PlannedOrders[WeekIndex],53)=0,"",SUMIFS(T_PlannedOrders[EffectiveQty],T_PlannedOrders[Part Name],$A835,T_PlannedOrders[WeekIndex],53)&amp;" ("&amp;TEXT(SUMPRODUCT(MAX((T_PlannedOrders[Part Name]=$A835)*(T_PlannedOrders[WeekIndex]=53)*(T_PlannedOrders[EffectiveQty]&gt;0)*T_PlannedOrders[Order_Month])),"m月")&amp;"発注)")</f>
        <v/>
      </c>
      <c r="BE845">
        <f>IF(SUMIFS(T_PlannedOrders[EffectiveQty],T_PlannedOrders[Part Name],$A835,T_PlannedOrders[WeekIndex],54)=0,"",SUMIFS(T_PlannedOrders[EffectiveQty],T_PlannedOrders[Part Name],$A835,T_PlannedOrders[WeekIndex],54)&amp;" ("&amp;TEXT(SUMPRODUCT(MAX((T_PlannedOrders[Part Name]=$A835)*(T_PlannedOrders[WeekIndex]=54)*(T_PlannedOrders[EffectiveQty]&gt;0)*T_PlannedOrders[Order_Month])),"m月")&amp;"発注)")</f>
        <v/>
      </c>
      <c r="BF845">
        <f>IF(SUMIFS(T_PlannedOrders[EffectiveQty],T_PlannedOrders[Part Name],$A835,T_PlannedOrders[WeekIndex],55)=0,"",SUMIFS(T_PlannedOrders[EffectiveQty],T_PlannedOrders[Part Name],$A835,T_PlannedOrders[WeekIndex],55)&amp;" ("&amp;TEXT(SUMPRODUCT(MAX((T_PlannedOrders[Part Name]=$A835)*(T_PlannedOrders[WeekIndex]=55)*(T_PlannedOrders[EffectiveQty]&gt;0)*T_PlannedOrders[Order_Month])),"m月")&amp;"発注)")</f>
        <v/>
      </c>
      <c r="BG845">
        <f>IF(SUMIFS(T_PlannedOrders[EffectiveQty],T_PlannedOrders[Part Name],$A835,T_PlannedOrders[WeekIndex],56)=0,"",SUMIFS(T_PlannedOrders[EffectiveQty],T_PlannedOrders[Part Name],$A835,T_PlannedOrders[WeekIndex],56)&amp;" ("&amp;TEXT(SUMPRODUCT(MAX((T_PlannedOrders[Part Name]=$A835)*(T_PlannedOrders[WeekIndex]=56)*(T_PlannedOrders[EffectiveQty]&gt;0)*T_PlannedOrders[Order_Month])),"m月")&amp;"発注)")</f>
        <v/>
      </c>
      <c r="BH845">
        <f>IF(SUMIFS(T_PlannedOrders[EffectiveQty],T_PlannedOrders[Part Name],$A835,T_PlannedOrders[WeekIndex],57)=0,"",SUMIFS(T_PlannedOrders[EffectiveQty],T_PlannedOrders[Part Name],$A835,T_PlannedOrders[WeekIndex],57)&amp;" ("&amp;TEXT(SUMPRODUCT(MAX((T_PlannedOrders[Part Name]=$A835)*(T_PlannedOrders[WeekIndex]=57)*(T_PlannedOrders[EffectiveQty]&gt;0)*T_PlannedOrders[Order_Month])),"m月")&amp;"発注)")</f>
        <v/>
      </c>
      <c r="BI845">
        <f>IF(SUMIFS(T_PlannedOrders[EffectiveQty],T_PlannedOrders[Part Name],$A835,T_PlannedOrders[WeekIndex],58)=0,"",SUMIFS(T_PlannedOrders[EffectiveQty],T_PlannedOrders[Part Name],$A835,T_PlannedOrders[WeekIndex],58)&amp;" ("&amp;TEXT(SUMPRODUCT(MAX((T_PlannedOrders[Part Name]=$A835)*(T_PlannedOrders[WeekIndex]=58)*(T_PlannedOrders[EffectiveQty]&gt;0)*T_PlannedOrders[Order_Month])),"m月")&amp;"発注)")</f>
        <v/>
      </c>
      <c r="BJ845">
        <f>IF(SUMIFS(T_PlannedOrders[EffectiveQty],T_PlannedOrders[Part Name],$A835,T_PlannedOrders[WeekIndex],59)=0,"",SUMIFS(T_PlannedOrders[EffectiveQty],T_PlannedOrders[Part Name],$A835,T_PlannedOrders[WeekIndex],59)&amp;" ("&amp;TEXT(SUMPRODUCT(MAX((T_PlannedOrders[Part Name]=$A835)*(T_PlannedOrders[WeekIndex]=59)*(T_PlannedOrders[EffectiveQty]&gt;0)*T_PlannedOrders[Order_Month])),"m月")&amp;"発注)")</f>
        <v/>
      </c>
      <c r="BK845">
        <f>IF(SUMIFS(T_PlannedOrders[EffectiveQty],T_PlannedOrders[Part Name],$A835,T_PlannedOrders[WeekIndex],60)=0,"",SUMIFS(T_PlannedOrders[EffectiveQty],T_PlannedOrders[Part Name],$A835,T_PlannedOrders[WeekIndex],60)&amp;" ("&amp;TEXT(SUMPRODUCT(MAX((T_PlannedOrders[Part Name]=$A835)*(T_PlannedOrders[WeekIndex]=60)*(T_PlannedOrders[EffectiveQty]&gt;0)*T_PlannedOrders[Order_Month])),"m月")&amp;"発注)")</f>
        <v/>
      </c>
      <c r="BL845">
        <f>IF(SUMIFS(T_PlannedOrders[EffectiveQty],T_PlannedOrders[Part Name],$A835,T_PlannedOrders[WeekIndex],61)=0,"",SUMIFS(T_PlannedOrders[EffectiveQty],T_PlannedOrders[Part Name],$A835,T_PlannedOrders[WeekIndex],61)&amp;" ("&amp;TEXT(SUMPRODUCT(MAX((T_PlannedOrders[Part Name]=$A835)*(T_PlannedOrders[WeekIndex]=61)*(T_PlannedOrders[EffectiveQty]&gt;0)*T_PlannedOrders[Order_Month])),"m月")&amp;"発注)")</f>
        <v/>
      </c>
      <c r="BM845">
        <f>IF(SUMIFS(T_PlannedOrders[EffectiveQty],T_PlannedOrders[Part Name],$A835,T_PlannedOrders[WeekIndex],62)=0,"",SUMIFS(T_PlannedOrders[EffectiveQty],T_PlannedOrders[Part Name],$A835,T_PlannedOrders[WeekIndex],62)&amp;" ("&amp;TEXT(SUMPRODUCT(MAX((T_PlannedOrders[Part Name]=$A835)*(T_PlannedOrders[WeekIndex]=62)*(T_PlannedOrders[EffectiveQty]&gt;0)*T_PlannedOrders[Order_Month])),"m月")&amp;"発注)")</f>
        <v/>
      </c>
      <c r="BN845">
        <f>IF(SUMIFS(T_PlannedOrders[EffectiveQty],T_PlannedOrders[Part Name],$A835,T_PlannedOrders[WeekIndex],63)=0,"",SUMIFS(T_PlannedOrders[EffectiveQty],T_PlannedOrders[Part Name],$A835,T_PlannedOrders[WeekIndex],63)&amp;" ("&amp;TEXT(SUMPRODUCT(MAX((T_PlannedOrders[Part Name]=$A835)*(T_PlannedOrders[WeekIndex]=63)*(T_PlannedOrders[EffectiveQty]&gt;0)*T_PlannedOrders[Order_Month])),"m月")&amp;"発注)")</f>
        <v/>
      </c>
      <c r="BO845">
        <f>IF(SUMIFS(T_PlannedOrders[EffectiveQty],T_PlannedOrders[Part Name],$A835,T_PlannedOrders[WeekIndex],64)=0,"",SUMIFS(T_PlannedOrders[EffectiveQty],T_PlannedOrders[Part Name],$A835,T_PlannedOrders[WeekIndex],64)&amp;" ("&amp;TEXT(SUMPRODUCT(MAX((T_PlannedOrders[Part Name]=$A835)*(T_PlannedOrders[WeekIndex]=64)*(T_PlannedOrders[EffectiveQty]&gt;0)*T_PlannedOrders[Order_Month])),"m月")&amp;"発注)")</f>
        <v/>
      </c>
      <c r="BP845">
        <f>IF(SUMIFS(T_PlannedOrders[EffectiveQty],T_PlannedOrders[Part Name],$A835,T_PlannedOrders[WeekIndex],65)=0,"",SUMIFS(T_PlannedOrders[EffectiveQty],T_PlannedOrders[Part Name],$A835,T_PlannedOrders[WeekIndex],65)&amp;" ("&amp;TEXT(SUMPRODUCT(MAX((T_PlannedOrders[Part Name]=$A835)*(T_PlannedOrders[WeekIndex]=65)*(T_PlannedOrders[EffectiveQty]&gt;0)*T_PlannedOrders[Order_Month])),"m月")&amp;"発注)")</f>
        <v/>
      </c>
      <c r="BQ845">
        <f>IF(SUMIFS(T_PlannedOrders[EffectiveQty],T_PlannedOrders[Part Name],$A835,T_PlannedOrders[WeekIndex],66)=0,"",SUMIFS(T_PlannedOrders[EffectiveQty],T_PlannedOrders[Part Name],$A835,T_PlannedOrders[WeekIndex],66)&amp;" ("&amp;TEXT(SUMPRODUCT(MAX((T_PlannedOrders[Part Name]=$A835)*(T_PlannedOrders[WeekIndex]=66)*(T_PlannedOrders[EffectiveQty]&gt;0)*T_PlannedOrders[Order_Month])),"m月")&amp;"発注)")</f>
        <v/>
      </c>
      <c r="BR845">
        <f>IF(SUMIFS(T_PlannedOrders[EffectiveQty],T_PlannedOrders[Part Name],$A835,T_PlannedOrders[WeekIndex],67)=0,"",SUMIFS(T_PlannedOrders[EffectiveQty],T_PlannedOrders[Part Name],$A835,T_PlannedOrders[WeekIndex],67)&amp;" ("&amp;TEXT(SUMPRODUCT(MAX((T_PlannedOrders[Part Name]=$A835)*(T_PlannedOrders[WeekIndex]=67)*(T_PlannedOrders[EffectiveQty]&gt;0)*T_PlannedOrders[Order_Month])),"m月")&amp;"発注)")</f>
        <v/>
      </c>
      <c r="BS845">
        <f>IF(SUMIFS(T_PlannedOrders[EffectiveQty],T_PlannedOrders[Part Name],$A835,T_PlannedOrders[WeekIndex],68)=0,"",SUMIFS(T_PlannedOrders[EffectiveQty],T_PlannedOrders[Part Name],$A835,T_PlannedOrders[WeekIndex],68)&amp;" ("&amp;TEXT(SUMPRODUCT(MAX((T_PlannedOrders[Part Name]=$A835)*(T_PlannedOrders[WeekIndex]=68)*(T_PlannedOrders[EffectiveQty]&gt;0)*T_PlannedOrders[Order_Month])),"m月")&amp;"発注)")</f>
        <v/>
      </c>
      <c r="BT845">
        <f>IF(SUMIFS(T_PlannedOrders[EffectiveQty],T_PlannedOrders[Part Name],$A835,T_PlannedOrders[WeekIndex],69)=0,"",SUMIFS(T_PlannedOrders[EffectiveQty],T_PlannedOrders[Part Name],$A835,T_PlannedOrders[WeekIndex],69)&amp;" ("&amp;TEXT(SUMPRODUCT(MAX((T_PlannedOrders[Part Name]=$A835)*(T_PlannedOrders[WeekIndex]=69)*(T_PlannedOrders[EffectiveQty]&gt;0)*T_PlannedOrders[Order_Month])),"m月")&amp;"発注)")</f>
        <v/>
      </c>
      <c r="BU845">
        <f>IF(SUMIFS(T_PlannedOrders[EffectiveQty],T_PlannedOrders[Part Name],$A835,T_PlannedOrders[WeekIndex],70)=0,"",SUMIFS(T_PlannedOrders[EffectiveQty],T_PlannedOrders[Part Name],$A835,T_PlannedOrders[WeekIndex],70)&amp;" ("&amp;TEXT(SUMPRODUCT(MAX((T_PlannedOrders[Part Name]=$A835)*(T_PlannedOrders[WeekIndex]=70)*(T_PlannedOrders[EffectiveQty]&gt;0)*T_PlannedOrders[Order_Month])),"m月")&amp;"発注)")</f>
        <v/>
      </c>
      <c r="BV845">
        <f>IF(SUMIFS(T_PlannedOrders[EffectiveQty],T_PlannedOrders[Part Name],$A835,T_PlannedOrders[WeekIndex],71)=0,"",SUMIFS(T_PlannedOrders[EffectiveQty],T_PlannedOrders[Part Name],$A835,T_PlannedOrders[WeekIndex],71)&amp;" ("&amp;TEXT(SUMPRODUCT(MAX((T_PlannedOrders[Part Name]=$A835)*(T_PlannedOrders[WeekIndex]=71)*(T_PlannedOrders[EffectiveQty]&gt;0)*T_PlannedOrders[Order_Month])),"m月")&amp;"発注)")</f>
        <v/>
      </c>
      <c r="BW845">
        <f>IF(SUMIFS(T_PlannedOrders[EffectiveQty],T_PlannedOrders[Part Name],$A835,T_PlannedOrders[WeekIndex],72)=0,"",SUMIFS(T_PlannedOrders[EffectiveQty],T_PlannedOrders[Part Name],$A835,T_PlannedOrders[WeekIndex],72)&amp;" ("&amp;TEXT(SUMPRODUCT(MAX((T_PlannedOrders[Part Name]=$A835)*(T_PlannedOrders[WeekIndex]=72)*(T_PlannedOrders[EffectiveQty]&gt;0)*T_PlannedOrders[Order_Month])),"m月")&amp;"発注)")</f>
        <v/>
      </c>
      <c r="BX845">
        <f>IF(SUMIFS(T_PlannedOrders[EffectiveQty],T_PlannedOrders[Part Name],$A835,T_PlannedOrders[WeekIndex],73)=0,"",SUMIFS(T_PlannedOrders[EffectiveQty],T_PlannedOrders[Part Name],$A835,T_PlannedOrders[WeekIndex],73)&amp;" ("&amp;TEXT(SUMPRODUCT(MAX((T_PlannedOrders[Part Name]=$A835)*(T_PlannedOrders[WeekIndex]=73)*(T_PlannedOrders[EffectiveQty]&gt;0)*T_PlannedOrders[Order_Month])),"m月")&amp;"発注)")</f>
        <v/>
      </c>
      <c r="BY845">
        <f>IF(SUMIFS(T_PlannedOrders[EffectiveQty],T_PlannedOrders[Part Name],$A835,T_PlannedOrders[WeekIndex],74)=0,"",SUMIFS(T_PlannedOrders[EffectiveQty],T_PlannedOrders[Part Name],$A835,T_PlannedOrders[WeekIndex],74)&amp;" ("&amp;TEXT(SUMPRODUCT(MAX((T_PlannedOrders[Part Name]=$A835)*(T_PlannedOrders[WeekIndex]=74)*(T_PlannedOrders[EffectiveQty]&gt;0)*T_PlannedOrders[Order_Month])),"m月")&amp;"発注)")</f>
        <v/>
      </c>
      <c r="BZ845">
        <f>IF(SUMIFS(T_PlannedOrders[EffectiveQty],T_PlannedOrders[Part Name],$A835,T_PlannedOrders[WeekIndex],75)=0,"",SUMIFS(T_PlannedOrders[EffectiveQty],T_PlannedOrders[Part Name],$A835,T_PlannedOrders[WeekIndex],75)&amp;" ("&amp;TEXT(SUMPRODUCT(MAX((T_PlannedOrders[Part Name]=$A835)*(T_PlannedOrders[WeekIndex]=75)*(T_PlannedOrders[EffectiveQty]&gt;0)*T_PlannedOrders[Order_Month])),"m月")&amp;"発注)")</f>
        <v/>
      </c>
      <c r="CA845">
        <f>IF(SUMIFS(T_PlannedOrders[EffectiveQty],T_PlannedOrders[Part Name],$A835,T_PlannedOrders[WeekIndex],76)=0,"",SUMIFS(T_PlannedOrders[EffectiveQty],T_PlannedOrders[Part Name],$A835,T_PlannedOrders[WeekIndex],76)&amp;" ("&amp;TEXT(SUMPRODUCT(MAX((T_PlannedOrders[Part Name]=$A835)*(T_PlannedOrders[WeekIndex]=76)*(T_PlannedOrders[EffectiveQty]&gt;0)*T_PlannedOrders[Order_Month])),"m月")&amp;"発注)")</f>
        <v/>
      </c>
      <c r="CB845">
        <f>IF(SUMIFS(T_PlannedOrders[EffectiveQty],T_PlannedOrders[Part Name],$A835,T_PlannedOrders[WeekIndex],77)=0,"",SUMIFS(T_PlannedOrders[EffectiveQty],T_PlannedOrders[Part Name],$A835,T_PlannedOrders[WeekIndex],77)&amp;" ("&amp;TEXT(SUMPRODUCT(MAX((T_PlannedOrders[Part Name]=$A835)*(T_PlannedOrders[WeekIndex]=77)*(T_PlannedOrders[EffectiveQty]&gt;0)*T_PlannedOrders[Order_Month])),"m月")&amp;"発注)")</f>
        <v/>
      </c>
      <c r="CC845">
        <f>IF(SUMIFS(T_PlannedOrders[EffectiveQty],T_PlannedOrders[Part Name],$A835,T_PlannedOrders[WeekIndex],78)=0,"",SUMIFS(T_PlannedOrders[EffectiveQty],T_PlannedOrders[Part Name],$A835,T_PlannedOrders[WeekIndex],78)&amp;" ("&amp;TEXT(SUMPRODUCT(MAX((T_PlannedOrders[Part Name]=$A835)*(T_PlannedOrders[WeekIndex]=78)*(T_PlannedOrders[EffectiveQty]&gt;0)*T_PlannedOrders[Order_Month])),"m月")&amp;"発注)")</f>
        <v/>
      </c>
      <c r="CD845">
        <f>IF(SUMIFS(T_PlannedOrders[EffectiveQty],T_PlannedOrders[Part Name],$A835,T_PlannedOrders[WeekIndex],79)=0,"",SUMIFS(T_PlannedOrders[EffectiveQty],T_PlannedOrders[Part Name],$A835,T_PlannedOrders[WeekIndex],79)&amp;" ("&amp;TEXT(SUMPRODUCT(MAX((T_PlannedOrders[Part Name]=$A835)*(T_PlannedOrders[WeekIndex]=79)*(T_PlannedOrders[EffectiveQty]&gt;0)*T_PlannedOrders[Order_Month])),"m月")&amp;"発注)")</f>
        <v/>
      </c>
      <c r="CE845">
        <f>IF(SUMIFS(T_PlannedOrders[EffectiveQty],T_PlannedOrders[Part Name],$A835,T_PlannedOrders[WeekIndex],80)=0,"",SUMIFS(T_PlannedOrders[EffectiveQty],T_PlannedOrders[Part Name],$A835,T_PlannedOrders[WeekIndex],80)&amp;" ("&amp;TEXT(SUMPRODUCT(MAX((T_PlannedOrders[Part Name]=$A835)*(T_PlannedOrders[WeekIndex]=80)*(T_PlannedOrders[EffectiveQty]&gt;0)*T_PlannedOrders[Order_Month])),"m月")&amp;"発注)")</f>
        <v/>
      </c>
      <c r="CF845">
        <f>IF(SUMIFS(T_PlannedOrders[EffectiveQty],T_PlannedOrders[Part Name],$A835,T_PlannedOrders[WeekIndex],81)=0,"",SUMIFS(T_PlannedOrders[EffectiveQty],T_PlannedOrders[Part Name],$A835,T_PlannedOrders[WeekIndex],81)&amp;" ("&amp;TEXT(SUMPRODUCT(MAX((T_PlannedOrders[Part Name]=$A835)*(T_PlannedOrders[WeekIndex]=81)*(T_PlannedOrders[EffectiveQty]&gt;0)*T_PlannedOrders[Order_Month])),"m月")&amp;"発注)")</f>
        <v/>
      </c>
      <c r="CG845">
        <f>IF(SUMIFS(T_PlannedOrders[EffectiveQty],T_PlannedOrders[Part Name],$A835,T_PlannedOrders[WeekIndex],82)=0,"",SUMIFS(T_PlannedOrders[EffectiveQty],T_PlannedOrders[Part Name],$A835,T_PlannedOrders[WeekIndex],82)&amp;" ("&amp;TEXT(SUMPRODUCT(MAX((T_PlannedOrders[Part Name]=$A835)*(T_PlannedOrders[WeekIndex]=82)*(T_PlannedOrders[EffectiveQty]&gt;0)*T_PlannedOrders[Order_Month])),"m月")&amp;"発注)")</f>
        <v/>
      </c>
      <c r="CH845">
        <f>IF(SUMIFS(T_PlannedOrders[EffectiveQty],T_PlannedOrders[Part Name],$A835,T_PlannedOrders[WeekIndex],83)=0,"",SUMIFS(T_PlannedOrders[EffectiveQty],T_PlannedOrders[Part Name],$A835,T_PlannedOrders[WeekIndex],83)&amp;" ("&amp;TEXT(SUMPRODUCT(MAX((T_PlannedOrders[Part Name]=$A835)*(T_PlannedOrders[WeekIndex]=83)*(T_PlannedOrders[EffectiveQty]&gt;0)*T_PlannedOrders[Order_Month])),"m月")&amp;"発注)")</f>
        <v/>
      </c>
      <c r="CI845">
        <f>IF(SUMIFS(T_PlannedOrders[EffectiveQty],T_PlannedOrders[Part Name],$A835,T_PlannedOrders[WeekIndex],84)=0,"",SUMIFS(T_PlannedOrders[EffectiveQty],T_PlannedOrders[Part Name],$A835,T_PlannedOrders[WeekIndex],84)&amp;" ("&amp;TEXT(SUMPRODUCT(MAX((T_PlannedOrders[Part Name]=$A835)*(T_PlannedOrders[WeekIndex]=84)*(T_PlannedOrders[EffectiveQty]&gt;0)*T_PlannedOrders[Order_Month])),"m月")&amp;"発注)")</f>
        <v/>
      </c>
      <c r="CJ845">
        <f>IF(SUMIFS(T_PlannedOrders[EffectiveQty],T_PlannedOrders[Part Name],$A835,T_PlannedOrders[WeekIndex],85)=0,"",SUMIFS(T_PlannedOrders[EffectiveQty],T_PlannedOrders[Part Name],$A835,T_PlannedOrders[WeekIndex],85)&amp;" ("&amp;TEXT(SUMPRODUCT(MAX((T_PlannedOrders[Part Name]=$A835)*(T_PlannedOrders[WeekIndex]=85)*(T_PlannedOrders[EffectiveQty]&gt;0)*T_PlannedOrders[Order_Month])),"m月")&amp;"発注)")</f>
        <v/>
      </c>
      <c r="CK845">
        <f>IF(SUMIFS(T_PlannedOrders[EffectiveQty],T_PlannedOrders[Part Name],$A835,T_PlannedOrders[WeekIndex],86)=0,"",SUMIFS(T_PlannedOrders[EffectiveQty],T_PlannedOrders[Part Name],$A835,T_PlannedOrders[WeekIndex],86)&amp;" ("&amp;TEXT(SUMPRODUCT(MAX((T_PlannedOrders[Part Name]=$A835)*(T_PlannedOrders[WeekIndex]=86)*(T_PlannedOrders[EffectiveQty]&gt;0)*T_PlannedOrders[Order_Month])),"m月")&amp;"発注)")</f>
        <v/>
      </c>
      <c r="CL845">
        <f>IF(SUMIFS(T_PlannedOrders[EffectiveQty],T_PlannedOrders[Part Name],$A835,T_PlannedOrders[WeekIndex],87)=0,"",SUMIFS(T_PlannedOrders[EffectiveQty],T_PlannedOrders[Part Name],$A835,T_PlannedOrders[WeekIndex],87)&amp;" ("&amp;TEXT(SUMPRODUCT(MAX((T_PlannedOrders[Part Name]=$A835)*(T_PlannedOrders[WeekIndex]=87)*(T_PlannedOrders[EffectiveQty]&gt;0)*T_PlannedOrders[Order_Month])),"m月")&amp;"発注)")</f>
        <v/>
      </c>
      <c r="CM845">
        <f>IF(SUMIFS(T_PlannedOrders[EffectiveQty],T_PlannedOrders[Part Name],$A835,T_PlannedOrders[WeekIndex],88)=0,"",SUMIFS(T_PlannedOrders[EffectiveQty],T_PlannedOrders[Part Name],$A835,T_PlannedOrders[WeekIndex],88)&amp;" ("&amp;TEXT(SUMPRODUCT(MAX((T_PlannedOrders[Part Name]=$A835)*(T_PlannedOrders[WeekIndex]=88)*(T_PlannedOrders[EffectiveQty]&gt;0)*T_PlannedOrders[Order_Month])),"m月")&amp;"発注)")</f>
        <v/>
      </c>
      <c r="CN845">
        <f>IF(SUMIFS(T_PlannedOrders[EffectiveQty],T_PlannedOrders[Part Name],$A835,T_PlannedOrders[WeekIndex],89)=0,"",SUMIFS(T_PlannedOrders[EffectiveQty],T_PlannedOrders[Part Name],$A835,T_PlannedOrders[WeekIndex],89)&amp;" ("&amp;TEXT(SUMPRODUCT(MAX((T_PlannedOrders[Part Name]=$A835)*(T_PlannedOrders[WeekIndex]=89)*(T_PlannedOrders[EffectiveQty]&gt;0)*T_PlannedOrders[Order_Month])),"m月")&amp;"発注)")</f>
        <v/>
      </c>
      <c r="CO845">
        <f>IF(SUMIFS(T_PlannedOrders[EffectiveQty],T_PlannedOrders[Part Name],$A835,T_PlannedOrders[WeekIndex],90)=0,"",SUMIFS(T_PlannedOrders[EffectiveQty],T_PlannedOrders[Part Name],$A835,T_PlannedOrders[WeekIndex],90)&amp;" ("&amp;TEXT(SUMPRODUCT(MAX((T_PlannedOrders[Part Name]=$A835)*(T_PlannedOrders[WeekIndex]=90)*(T_PlannedOrders[EffectiveQty]&gt;0)*T_PlannedOrders[Order_Month])),"m月")&amp;"発注)")</f>
        <v/>
      </c>
      <c r="CP845">
        <f>IF(SUMIFS(T_PlannedOrders[EffectiveQty],T_PlannedOrders[Part Name],$A835,T_PlannedOrders[WeekIndex],91)=0,"",SUMIFS(T_PlannedOrders[EffectiveQty],T_PlannedOrders[Part Name],$A835,T_PlannedOrders[WeekIndex],91)&amp;" ("&amp;TEXT(SUMPRODUCT(MAX((T_PlannedOrders[Part Name]=$A835)*(T_PlannedOrders[WeekIndex]=91)*(T_PlannedOrders[EffectiveQty]&gt;0)*T_PlannedOrders[Order_Month])),"m月")&amp;"発注)")</f>
        <v/>
      </c>
      <c r="CQ845">
        <f>IF(SUMIFS(T_PlannedOrders[EffectiveQty],T_PlannedOrders[Part Name],$A835,T_PlannedOrders[WeekIndex],92)=0,"",SUMIFS(T_PlannedOrders[EffectiveQty],T_PlannedOrders[Part Name],$A835,T_PlannedOrders[WeekIndex],92)&amp;" ("&amp;TEXT(SUMPRODUCT(MAX((T_PlannedOrders[Part Name]=$A835)*(T_PlannedOrders[WeekIndex]=92)*(T_PlannedOrders[EffectiveQty]&gt;0)*T_PlannedOrders[Order_Month])),"m月")&amp;"発注)")</f>
        <v/>
      </c>
      <c r="CR845">
        <f>IF(SUMIFS(T_PlannedOrders[EffectiveQty],T_PlannedOrders[Part Name],$A835,T_PlannedOrders[WeekIndex],93)=0,"",SUMIFS(T_PlannedOrders[EffectiveQty],T_PlannedOrders[Part Name],$A835,T_PlannedOrders[WeekIndex],93)&amp;" ("&amp;TEXT(SUMPRODUCT(MAX((T_PlannedOrders[Part Name]=$A835)*(T_PlannedOrders[WeekIndex]=93)*(T_PlannedOrders[EffectiveQty]&gt;0)*T_PlannedOrders[Order_Month])),"m月")&amp;"発注)")</f>
        <v/>
      </c>
      <c r="CS845">
        <f>IF(SUMIFS(T_PlannedOrders[EffectiveQty],T_PlannedOrders[Part Name],$A835,T_PlannedOrders[WeekIndex],94)=0,"",SUMIFS(T_PlannedOrders[EffectiveQty],T_PlannedOrders[Part Name],$A835,T_PlannedOrders[WeekIndex],94)&amp;" ("&amp;TEXT(SUMPRODUCT(MAX((T_PlannedOrders[Part Name]=$A835)*(T_PlannedOrders[WeekIndex]=94)*(T_PlannedOrders[EffectiveQty]&gt;0)*T_PlannedOrders[Order_Month])),"m月")&amp;"発注)")</f>
        <v/>
      </c>
      <c r="CT845">
        <f>IF(SUMIFS(T_PlannedOrders[EffectiveQty],T_PlannedOrders[Part Name],$A835,T_PlannedOrders[WeekIndex],95)=0,"",SUMIFS(T_PlannedOrders[EffectiveQty],T_PlannedOrders[Part Name],$A835,T_PlannedOrders[WeekIndex],95)&amp;" ("&amp;TEXT(SUMPRODUCT(MAX((T_PlannedOrders[Part Name]=$A835)*(T_PlannedOrders[WeekIndex]=95)*(T_PlannedOrders[EffectiveQty]&gt;0)*T_PlannedOrders[Order_Month])),"m月")&amp;"発注)")</f>
        <v/>
      </c>
      <c r="CU845">
        <f>IF(SUMIFS(T_PlannedOrders[EffectiveQty],T_PlannedOrders[Part Name],$A835,T_PlannedOrders[WeekIndex],96)=0,"",SUMIFS(T_PlannedOrders[EffectiveQty],T_PlannedOrders[Part Name],$A835,T_PlannedOrders[WeekIndex],96)&amp;" ("&amp;TEXT(SUMPRODUCT(MAX((T_PlannedOrders[Part Name]=$A835)*(T_PlannedOrders[WeekIndex]=96)*(T_PlannedOrders[EffectiveQty]&gt;0)*T_PlannedOrders[Order_Month])),"m月")&amp;"発注)")</f>
        <v/>
      </c>
      <c r="CV845">
        <f>IF(SUMIFS(T_PlannedOrders[EffectiveQty],T_PlannedOrders[Part Name],$A835,T_PlannedOrders[WeekIndex],97)=0,"",SUMIFS(T_PlannedOrders[EffectiveQty],T_PlannedOrders[Part Name],$A835,T_PlannedOrders[WeekIndex],97)&amp;" ("&amp;TEXT(SUMPRODUCT(MAX((T_PlannedOrders[Part Name]=$A835)*(T_PlannedOrders[WeekIndex]=97)*(T_PlannedOrders[EffectiveQty]&gt;0)*T_PlannedOrders[Order_Month])),"m月")&amp;"発注)")</f>
        <v/>
      </c>
      <c r="CW845">
        <f>IF(SUMIFS(T_PlannedOrders[EffectiveQty],T_PlannedOrders[Part Name],$A835,T_PlannedOrders[WeekIndex],98)=0,"",SUMIFS(T_PlannedOrders[EffectiveQty],T_PlannedOrders[Part Name],$A835,T_PlannedOrders[WeekIndex],98)&amp;" ("&amp;TEXT(SUMPRODUCT(MAX((T_PlannedOrders[Part Name]=$A835)*(T_PlannedOrders[WeekIndex]=98)*(T_PlannedOrders[EffectiveQty]&gt;0)*T_PlannedOrders[Order_Month])),"m月")&amp;"発注)")</f>
        <v/>
      </c>
      <c r="CX845">
        <f>IF(SUMIFS(T_PlannedOrders[EffectiveQty],T_PlannedOrders[Part Name],$A835,T_PlannedOrders[WeekIndex],99)=0,"",SUMIFS(T_PlannedOrders[EffectiveQty],T_PlannedOrders[Part Name],$A835,T_PlannedOrders[WeekIndex],99)&amp;" ("&amp;TEXT(SUMPRODUCT(MAX((T_PlannedOrders[Part Name]=$A835)*(T_PlannedOrders[WeekIndex]=99)*(T_PlannedOrders[EffectiveQty]&gt;0)*T_PlannedOrders[Order_Month])),"m月")&amp;"発注)")</f>
        <v/>
      </c>
      <c r="CY845">
        <f>IF(SUMIFS(T_PlannedOrders[EffectiveQty],T_PlannedOrders[Part Name],$A835,T_PlannedOrders[WeekIndex],100)=0,"",SUMIFS(T_PlannedOrders[EffectiveQty],T_PlannedOrders[Part Name],$A835,T_PlannedOrders[WeekIndex],100)&amp;" ("&amp;TEXT(SUMPRODUCT(MAX((T_PlannedOrders[Part Name]=$A835)*(T_PlannedOrders[WeekIndex]=100)*(T_PlannedOrders[EffectiveQty]&gt;0)*T_PlannedOrders[Order_Month])),"m月")&amp;"発注)")</f>
        <v/>
      </c>
      <c r="CZ845">
        <f>IF(SUMIFS(T_PlannedOrders[EffectiveQty],T_PlannedOrders[Part Name],$A835,T_PlannedOrders[WeekIndex],101)=0,"",SUMIFS(T_PlannedOrders[EffectiveQty],T_PlannedOrders[Part Name],$A835,T_PlannedOrders[WeekIndex],101)&amp;" ("&amp;TEXT(SUMPRODUCT(MAX((T_PlannedOrders[Part Name]=$A835)*(T_PlannedOrders[WeekIndex]=101)*(T_PlannedOrders[EffectiveQty]&gt;0)*T_PlannedOrders[Order_Month])),"m月")&amp;"発注)")</f>
        <v/>
      </c>
      <c r="DA845">
        <f>IF(SUMIFS(T_PlannedOrders[EffectiveQty],T_PlannedOrders[Part Name],$A835,T_PlannedOrders[WeekIndex],102)=0,"",SUMIFS(T_PlannedOrders[EffectiveQty],T_PlannedOrders[Part Name],$A835,T_PlannedOrders[WeekIndex],102)&amp;" ("&amp;TEXT(SUMPRODUCT(MAX((T_PlannedOrders[Part Name]=$A835)*(T_PlannedOrders[WeekIndex]=102)*(T_PlannedOrders[EffectiveQty]&gt;0)*T_PlannedOrders[Order_Month])),"m月")&amp;"発注)")</f>
        <v/>
      </c>
      <c r="DB845">
        <f>IF(SUMIFS(T_PlannedOrders[EffectiveQty],T_PlannedOrders[Part Name],$A835,T_PlannedOrders[WeekIndex],103)=0,"",SUMIFS(T_PlannedOrders[EffectiveQty],T_PlannedOrders[Part Name],$A835,T_PlannedOrders[WeekIndex],103)&amp;" ("&amp;TEXT(SUMPRODUCT(MAX((T_PlannedOrders[Part Name]=$A835)*(T_PlannedOrders[WeekIndex]=103)*(T_PlannedOrders[EffectiveQty]&gt;0)*T_PlannedOrders[Order_Month])),"m月")&amp;"発注)")</f>
        <v/>
      </c>
      <c r="DC845">
        <f>IF(SUMIFS(T_PlannedOrders[EffectiveQty],T_PlannedOrders[Part Name],$A835,T_PlannedOrders[WeekIndex],104)=0,"",SUMIFS(T_PlannedOrders[EffectiveQty],T_PlannedOrders[Part Name],$A835,T_PlannedOrders[WeekIndex],104)&amp;" ("&amp;TEXT(SUMPRODUCT(MAX((T_PlannedOrders[Part Name]=$A835)*(T_PlannedOrders[WeekIndex]=104)*(T_PlannedOrders[EffectiveQty]&gt;0)*T_PlannedOrders[Order_Month])),"m月")&amp;"発注)")</f>
        <v/>
      </c>
    </row>
    <row r="846">
      <c r="B846" s="9" t="inlineStr">
        <is>
          <t>合計在庫(週末時点,kg)</t>
        </is>
      </c>
      <c r="D846">
        <f>'Grid_Stock'!B8</f>
        <v/>
      </c>
      <c r="E846">
        <f>'Grid_Stock'!C8</f>
        <v/>
      </c>
      <c r="F846">
        <f>'Grid_Stock'!D8</f>
        <v/>
      </c>
      <c r="G846">
        <f>'Grid_Stock'!E8</f>
        <v/>
      </c>
      <c r="H846">
        <f>'Grid_Stock'!F8</f>
        <v/>
      </c>
      <c r="I846">
        <f>'Grid_Stock'!G8</f>
        <v/>
      </c>
      <c r="J846">
        <f>'Grid_Stock'!H8</f>
        <v/>
      </c>
      <c r="K846">
        <f>'Grid_Stock'!I8</f>
        <v/>
      </c>
      <c r="L846">
        <f>'Grid_Stock'!J8</f>
        <v/>
      </c>
      <c r="M846">
        <f>'Grid_Stock'!K8</f>
        <v/>
      </c>
      <c r="N846">
        <f>'Grid_Stock'!L8</f>
        <v/>
      </c>
      <c r="O846">
        <f>'Grid_Stock'!M8</f>
        <v/>
      </c>
      <c r="P846">
        <f>'Grid_Stock'!N8</f>
        <v/>
      </c>
      <c r="Q846">
        <f>'Grid_Stock'!O8</f>
        <v/>
      </c>
      <c r="R846">
        <f>'Grid_Stock'!P8</f>
        <v/>
      </c>
      <c r="S846">
        <f>'Grid_Stock'!Q8</f>
        <v/>
      </c>
      <c r="T846">
        <f>'Grid_Stock'!R8</f>
        <v/>
      </c>
      <c r="U846">
        <f>'Grid_Stock'!S8</f>
        <v/>
      </c>
      <c r="V846">
        <f>'Grid_Stock'!T8</f>
        <v/>
      </c>
      <c r="W846">
        <f>'Grid_Stock'!U8</f>
        <v/>
      </c>
      <c r="X846">
        <f>'Grid_Stock'!V8</f>
        <v/>
      </c>
      <c r="Y846">
        <f>'Grid_Stock'!W8</f>
        <v/>
      </c>
      <c r="Z846">
        <f>'Grid_Stock'!X8</f>
        <v/>
      </c>
      <c r="AA846">
        <f>'Grid_Stock'!Y8</f>
        <v/>
      </c>
      <c r="AB846">
        <f>'Grid_Stock'!Z8</f>
        <v/>
      </c>
      <c r="AC846">
        <f>'Grid_Stock'!AA8</f>
        <v/>
      </c>
      <c r="AD846">
        <f>'Grid_Stock'!AB8</f>
        <v/>
      </c>
      <c r="AE846">
        <f>'Grid_Stock'!AC8</f>
        <v/>
      </c>
      <c r="AF846">
        <f>'Grid_Stock'!AD8</f>
        <v/>
      </c>
      <c r="AG846">
        <f>'Grid_Stock'!AE8</f>
        <v/>
      </c>
      <c r="AH846">
        <f>'Grid_Stock'!AF8</f>
        <v/>
      </c>
      <c r="AI846">
        <f>'Grid_Stock'!AG8</f>
        <v/>
      </c>
      <c r="AJ846">
        <f>'Grid_Stock'!AH8</f>
        <v/>
      </c>
      <c r="AK846">
        <f>'Grid_Stock'!AI8</f>
        <v/>
      </c>
      <c r="AL846">
        <f>'Grid_Stock'!AJ8</f>
        <v/>
      </c>
      <c r="AM846">
        <f>'Grid_Stock'!AK8</f>
        <v/>
      </c>
      <c r="AN846">
        <f>'Grid_Stock'!AL8</f>
        <v/>
      </c>
      <c r="AO846">
        <f>'Grid_Stock'!AM8</f>
        <v/>
      </c>
      <c r="AP846">
        <f>'Grid_Stock'!AN8</f>
        <v/>
      </c>
      <c r="AQ846">
        <f>'Grid_Stock'!AO8</f>
        <v/>
      </c>
      <c r="AR846">
        <f>'Grid_Stock'!AP8</f>
        <v/>
      </c>
      <c r="AS846">
        <f>'Grid_Stock'!AQ8</f>
        <v/>
      </c>
      <c r="AT846">
        <f>'Grid_Stock'!AR8</f>
        <v/>
      </c>
      <c r="AU846">
        <f>'Grid_Stock'!AS8</f>
        <v/>
      </c>
      <c r="AV846">
        <f>'Grid_Stock'!AT8</f>
        <v/>
      </c>
      <c r="AW846">
        <f>'Grid_Stock'!AU8</f>
        <v/>
      </c>
      <c r="AX846">
        <f>'Grid_Stock'!AV8</f>
        <v/>
      </c>
      <c r="AY846">
        <f>'Grid_Stock'!AW8</f>
        <v/>
      </c>
      <c r="AZ846">
        <f>'Grid_Stock'!AX8</f>
        <v/>
      </c>
      <c r="BA846">
        <f>'Grid_Stock'!AY8</f>
        <v/>
      </c>
      <c r="BB846">
        <f>'Grid_Stock'!AZ8</f>
        <v/>
      </c>
      <c r="BC846">
        <f>'Grid_Stock'!BA8</f>
        <v/>
      </c>
      <c r="BD846">
        <f>'Grid_Stock'!BB8</f>
        <v/>
      </c>
      <c r="BE846">
        <f>'Grid_Stock'!BC8</f>
        <v/>
      </c>
      <c r="BF846">
        <f>'Grid_Stock'!BD8</f>
        <v/>
      </c>
      <c r="BG846">
        <f>'Grid_Stock'!BE8</f>
        <v/>
      </c>
      <c r="BH846">
        <f>'Grid_Stock'!BF8</f>
        <v/>
      </c>
      <c r="BI846">
        <f>'Grid_Stock'!BG8</f>
        <v/>
      </c>
      <c r="BJ846">
        <f>'Grid_Stock'!BH8</f>
        <v/>
      </c>
      <c r="BK846">
        <f>'Grid_Stock'!BI8</f>
        <v/>
      </c>
      <c r="BL846">
        <f>'Grid_Stock'!BJ8</f>
        <v/>
      </c>
      <c r="BM846">
        <f>'Grid_Stock'!BK8</f>
        <v/>
      </c>
      <c r="BN846">
        <f>'Grid_Stock'!BL8</f>
        <v/>
      </c>
      <c r="BO846">
        <f>'Grid_Stock'!BM8</f>
        <v/>
      </c>
      <c r="BP846">
        <f>'Grid_Stock'!BN8</f>
        <v/>
      </c>
      <c r="BQ846">
        <f>'Grid_Stock'!BO8</f>
        <v/>
      </c>
      <c r="BR846">
        <f>'Grid_Stock'!BP8</f>
        <v/>
      </c>
      <c r="BS846">
        <f>'Grid_Stock'!BQ8</f>
        <v/>
      </c>
      <c r="BT846">
        <f>'Grid_Stock'!BR8</f>
        <v/>
      </c>
      <c r="BU846">
        <f>'Grid_Stock'!BS8</f>
        <v/>
      </c>
      <c r="BV846">
        <f>'Grid_Stock'!BT8</f>
        <v/>
      </c>
      <c r="BW846">
        <f>'Grid_Stock'!BU8</f>
        <v/>
      </c>
      <c r="BX846">
        <f>'Grid_Stock'!BV8</f>
        <v/>
      </c>
      <c r="BY846">
        <f>'Grid_Stock'!BW8</f>
        <v/>
      </c>
      <c r="BZ846">
        <f>'Grid_Stock'!BX8</f>
        <v/>
      </c>
      <c r="CA846">
        <f>'Grid_Stock'!BY8</f>
        <v/>
      </c>
      <c r="CB846">
        <f>'Grid_Stock'!BZ8</f>
        <v/>
      </c>
      <c r="CC846">
        <f>'Grid_Stock'!CA8</f>
        <v/>
      </c>
      <c r="CD846">
        <f>'Grid_Stock'!CB8</f>
        <v/>
      </c>
      <c r="CE846">
        <f>'Grid_Stock'!CC8</f>
        <v/>
      </c>
      <c r="CF846">
        <f>'Grid_Stock'!CD8</f>
        <v/>
      </c>
      <c r="CG846">
        <f>'Grid_Stock'!CE8</f>
        <v/>
      </c>
      <c r="CH846">
        <f>'Grid_Stock'!CF8</f>
        <v/>
      </c>
      <c r="CI846">
        <f>'Grid_Stock'!CG8</f>
        <v/>
      </c>
      <c r="CJ846">
        <f>'Grid_Stock'!CH8</f>
        <v/>
      </c>
      <c r="CK846">
        <f>'Grid_Stock'!CI8</f>
        <v/>
      </c>
      <c r="CL846">
        <f>'Grid_Stock'!CJ8</f>
        <v/>
      </c>
      <c r="CM846">
        <f>'Grid_Stock'!CK8</f>
        <v/>
      </c>
      <c r="CN846">
        <f>'Grid_Stock'!CL8</f>
        <v/>
      </c>
      <c r="CO846">
        <f>'Grid_Stock'!CM8</f>
        <v/>
      </c>
      <c r="CP846">
        <f>'Grid_Stock'!CN8</f>
        <v/>
      </c>
      <c r="CQ846">
        <f>'Grid_Stock'!CO8</f>
        <v/>
      </c>
      <c r="CR846">
        <f>'Grid_Stock'!CP8</f>
        <v/>
      </c>
      <c r="CS846">
        <f>'Grid_Stock'!CQ8</f>
        <v/>
      </c>
      <c r="CT846">
        <f>'Grid_Stock'!CR8</f>
        <v/>
      </c>
      <c r="CU846">
        <f>'Grid_Stock'!CS8</f>
        <v/>
      </c>
      <c r="CV846">
        <f>'Grid_Stock'!CT8</f>
        <v/>
      </c>
      <c r="CW846">
        <f>'Grid_Stock'!CU8</f>
        <v/>
      </c>
      <c r="CX846">
        <f>'Grid_Stock'!CV8</f>
        <v/>
      </c>
      <c r="CY846">
        <f>'Grid_Stock'!CW8</f>
        <v/>
      </c>
      <c r="CZ846">
        <f>'Grid_Stock'!CX8</f>
        <v/>
      </c>
      <c r="DA846">
        <f>'Grid_Stock'!CY8</f>
        <v/>
      </c>
      <c r="DB846">
        <f>'Grid_Stock'!CZ8</f>
        <v/>
      </c>
      <c r="DC846">
        <f>'Grid_Stock'!DA8</f>
        <v/>
      </c>
    </row>
    <row r="847">
      <c r="B847" s="21" t="inlineStr">
        <is>
          <t>（発注の目安はDashboardの基準在庫[下限/上限]と色分けを参照）</t>
        </is>
      </c>
    </row>
    <row r="849">
      <c r="A849" s="19" t="inlineStr">
        <is>
          <t>CHEM-1540</t>
        </is>
      </c>
      <c r="B849" s="19" t="inlineStr">
        <is>
          <t>NAT35</t>
        </is>
      </c>
      <c r="C849" s="20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/>
      <c r="Z849" s="19" t="n"/>
      <c r="AA849" s="19" t="n"/>
      <c r="AB849" s="19" t="n"/>
      <c r="AC849" s="19" t="n"/>
      <c r="AD849" s="19" t="n"/>
      <c r="AE849" s="19" t="n"/>
      <c r="AF849" s="19" t="n"/>
      <c r="AG849" s="19" t="n"/>
      <c r="AH849" s="19" t="n"/>
      <c r="AI849" s="19" t="n"/>
      <c r="AJ849" s="19" t="n"/>
      <c r="AK849" s="19" t="n"/>
      <c r="AL849" s="19" t="n"/>
      <c r="AM849" s="19" t="n"/>
      <c r="AN849" s="19" t="n"/>
      <c r="AO849" s="19" t="n"/>
      <c r="AP849" s="19" t="n"/>
      <c r="AQ849" s="19" t="n"/>
      <c r="AR849" s="19" t="n"/>
      <c r="AS849" s="19" t="n"/>
      <c r="AT849" s="19" t="n"/>
      <c r="AU849" s="19" t="n"/>
      <c r="AV849" s="19" t="n"/>
      <c r="AW849" s="19" t="n"/>
      <c r="AX849" s="19" t="n"/>
      <c r="AY849" s="19" t="n"/>
      <c r="AZ849" s="19" t="n"/>
      <c r="BA849" s="19" t="n"/>
      <c r="BB849" s="19" t="n"/>
      <c r="BC849" s="19" t="n"/>
      <c r="BD849" s="19" t="n"/>
      <c r="BE849" s="19" t="n"/>
      <c r="BF849" s="19" t="n"/>
      <c r="BG849" s="19" t="n"/>
      <c r="BH849" s="19" t="n"/>
      <c r="BI849" s="19" t="n"/>
      <c r="BJ849" s="19" t="n"/>
      <c r="BK849" s="19" t="n"/>
      <c r="BL849" s="19" t="n"/>
      <c r="BM849" s="19" t="n"/>
      <c r="BN849" s="19" t="n"/>
      <c r="BO849" s="19" t="n"/>
      <c r="BP849" s="19" t="n"/>
      <c r="BQ849" s="19" t="n"/>
      <c r="BR849" s="19" t="n"/>
      <c r="BS849" s="19" t="n"/>
      <c r="BT849" s="19" t="n"/>
      <c r="BU849" s="19" t="n"/>
      <c r="BV849" s="19" t="n"/>
      <c r="BW849" s="19" t="n"/>
      <c r="BX849" s="19" t="n"/>
      <c r="BY849" s="19" t="n"/>
      <c r="BZ849" s="19" t="n"/>
      <c r="CA849" s="19" t="n"/>
      <c r="CB849" s="19" t="n"/>
      <c r="CC849" s="19" t="n"/>
      <c r="CD849" s="19" t="n"/>
      <c r="CE849" s="19" t="n"/>
      <c r="CF849" s="19" t="n"/>
      <c r="CG849" s="19" t="n"/>
      <c r="CH849" s="19" t="n"/>
      <c r="CI849" s="19" t="n"/>
      <c r="CJ849" s="19" t="n"/>
      <c r="CK849" s="19" t="n"/>
      <c r="CL849" s="19" t="n"/>
      <c r="CM849" s="19" t="n"/>
      <c r="CN849" s="19" t="n"/>
      <c r="CO849" s="19" t="n"/>
      <c r="CP849" s="19" t="n"/>
      <c r="CQ849" s="19" t="n"/>
      <c r="CR849" s="19" t="n"/>
      <c r="CS849" s="19" t="n"/>
      <c r="CT849" s="19" t="n"/>
      <c r="CU849" s="19" t="n"/>
      <c r="CV849" s="19" t="n"/>
      <c r="CW849" s="19" t="n"/>
      <c r="CX849" s="19" t="n"/>
      <c r="CY849" s="19" t="n"/>
      <c r="CZ849" s="19" t="n"/>
      <c r="DA849" s="19" t="n"/>
      <c r="DB849" s="19" t="n"/>
      <c r="DC849" s="19" t="n"/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Name],$A849)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Name],$A849)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Name],$A849)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Name],$A849)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Name],$A849)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Name],$A849)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12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Name],$A849)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12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Name],$A849)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12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Name],$A849)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12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Name],$A849)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t="inlineStr">
        <is>
          <t>TSP-1444</t>
        </is>
      </c>
      <c r="C870" t="inlineStr">
        <is>
          <t>No. of batches</t>
        </is>
      </c>
      <c r="D870">
        <f>IFERROR(INDEX(PP_Grid[#Data],$DD870,2),0)</f>
        <v/>
      </c>
      <c r="E870">
        <f>IFERROR(INDEX(PP_Grid[#Data],$DD870,3),0)</f>
        <v/>
      </c>
      <c r="F870">
        <f>IFERROR(INDEX(PP_Grid[#Data],$DD870,4),0)</f>
        <v/>
      </c>
      <c r="G870">
        <f>IFERROR(INDEX(PP_Grid[#Data],$DD870,5),0)</f>
        <v/>
      </c>
      <c r="H870">
        <f>IFERROR(INDEX(PP_Grid[#Data],$DD870,6),0)</f>
        <v/>
      </c>
      <c r="I870">
        <f>IFERROR(INDEX(PP_Grid[#Data],$DD870,7),0)</f>
        <v/>
      </c>
      <c r="J870">
        <f>IFERROR(INDEX(PP_Grid[#Data],$DD870,8),0)</f>
        <v/>
      </c>
      <c r="K870">
        <f>IFERROR(INDEX(PP_Grid[#Data],$DD870,9),0)</f>
        <v/>
      </c>
      <c r="L870">
        <f>IFERROR(INDEX(PP_Grid[#Data],$DD870,10),0)</f>
        <v/>
      </c>
      <c r="M870">
        <f>IFERROR(INDEX(PP_Grid[#Data],$DD870,11),0)</f>
        <v/>
      </c>
      <c r="N870">
        <f>IFERROR(INDEX(PP_Grid[#Data],$DD870,12),0)</f>
        <v/>
      </c>
      <c r="O870">
        <f>IFERROR(INDEX(PP_Grid[#Data],$DD870,13),0)</f>
        <v/>
      </c>
      <c r="P870">
        <f>IFERROR(INDEX(PP_Grid[#Data],$DD870,14),0)</f>
        <v/>
      </c>
      <c r="Q870">
        <f>IFERROR(INDEX(PP_Grid[#Data],$DD870,15),0)</f>
        <v/>
      </c>
      <c r="R870">
        <f>IFERROR(INDEX(PP_Grid[#Data],$DD870,16),0)</f>
        <v/>
      </c>
      <c r="S870">
        <f>IFERROR(INDEX(PP_Grid[#Data],$DD870,17),0)</f>
        <v/>
      </c>
      <c r="T870">
        <f>IFERROR(INDEX(PP_Grid[#Data],$DD870,18),0)</f>
        <v/>
      </c>
      <c r="U870">
        <f>IFERROR(INDEX(PP_Grid[#Data],$DD870,19),0)</f>
        <v/>
      </c>
      <c r="V870">
        <f>IFERROR(INDEX(PP_Grid[#Data],$DD870,20),0)</f>
        <v/>
      </c>
      <c r="W870">
        <f>IFERROR(INDEX(PP_Grid[#Data],$DD870,21),0)</f>
        <v/>
      </c>
      <c r="X870">
        <f>IFERROR(INDEX(PP_Grid[#Data],$DD870,22),0)</f>
        <v/>
      </c>
      <c r="Y870">
        <f>IFERROR(INDEX(PP_Grid[#Data],$DD870,23),0)</f>
        <v/>
      </c>
      <c r="Z870">
        <f>IFERROR(INDEX(PP_Grid[#Data],$DD870,24),0)</f>
        <v/>
      </c>
      <c r="AA870">
        <f>IFERROR(INDEX(PP_Grid[#Data],$DD870,25),0)</f>
        <v/>
      </c>
      <c r="AB870">
        <f>IFERROR(INDEX(PP_Grid[#Data],$DD870,26),0)</f>
        <v/>
      </c>
      <c r="AC870">
        <f>IFERROR(INDEX(PP_Grid[#Data],$DD870,27),0)</f>
        <v/>
      </c>
      <c r="AD870">
        <f>IFERROR(INDEX(PP_Grid[#Data],$DD870,28),0)</f>
        <v/>
      </c>
      <c r="AE870">
        <f>IFERROR(INDEX(PP_Grid[#Data],$DD870,29),0)</f>
        <v/>
      </c>
      <c r="AF870">
        <f>IFERROR(INDEX(PP_Grid[#Data],$DD870,30),0)</f>
        <v/>
      </c>
      <c r="AG870">
        <f>IFERROR(INDEX(PP_Grid[#Data],$DD870,31),0)</f>
        <v/>
      </c>
      <c r="AH870">
        <f>IFERROR(INDEX(PP_Grid[#Data],$DD870,32),0)</f>
        <v/>
      </c>
      <c r="AI870">
        <f>IFERROR(INDEX(PP_Grid[#Data],$DD870,33),0)</f>
        <v/>
      </c>
      <c r="AJ870">
        <f>IFERROR(INDEX(PP_Grid[#Data],$DD870,34),0)</f>
        <v/>
      </c>
      <c r="AK870">
        <f>IFERROR(INDEX(PP_Grid[#Data],$DD870,35),0)</f>
        <v/>
      </c>
      <c r="AL870">
        <f>IFERROR(INDEX(PP_Grid[#Data],$DD870,36),0)</f>
        <v/>
      </c>
      <c r="AM870">
        <f>IFERROR(INDEX(PP_Grid[#Data],$DD870,37),0)</f>
        <v/>
      </c>
      <c r="AN870">
        <f>IFERROR(INDEX(PP_Grid[#Data],$DD870,38),0)</f>
        <v/>
      </c>
      <c r="AO870">
        <f>IFERROR(INDEX(PP_Grid[#Data],$DD870,39),0)</f>
        <v/>
      </c>
      <c r="AP870">
        <f>IFERROR(INDEX(PP_Grid[#Data],$DD870,40),0)</f>
        <v/>
      </c>
      <c r="AQ870">
        <f>IFERROR(INDEX(PP_Grid[#Data],$DD870,41),0)</f>
        <v/>
      </c>
      <c r="AR870">
        <f>IFERROR(INDEX(PP_Grid[#Data],$DD870,42),0)</f>
        <v/>
      </c>
      <c r="AS870">
        <f>IFERROR(INDEX(PP_Grid[#Data],$DD870,43),0)</f>
        <v/>
      </c>
      <c r="AT870">
        <f>IFERROR(INDEX(PP_Grid[#Data],$DD870,44),0)</f>
        <v/>
      </c>
      <c r="AU870">
        <f>IFERROR(INDEX(PP_Grid[#Data],$DD870,45),0)</f>
        <v/>
      </c>
      <c r="AV870">
        <f>IFERROR(INDEX(PP_Grid[#Data],$DD870,46),0)</f>
        <v/>
      </c>
      <c r="AW870">
        <f>IFERROR(INDEX(PP_Grid[#Data],$DD870,47),0)</f>
        <v/>
      </c>
      <c r="AX870">
        <f>IFERROR(INDEX(PP_Grid[#Data],$DD870,48),0)</f>
        <v/>
      </c>
      <c r="AY870">
        <f>IFERROR(INDEX(PP_Grid[#Data],$DD870,49),0)</f>
        <v/>
      </c>
      <c r="AZ870">
        <f>IFERROR(INDEX(PP_Grid[#Data],$DD870,50),0)</f>
        <v/>
      </c>
      <c r="BA870">
        <f>IFERROR(INDEX(PP_Grid[#Data],$DD870,51),0)</f>
        <v/>
      </c>
      <c r="BB870">
        <f>IFERROR(INDEX(PP_Grid[#Data],$DD870,52),0)</f>
        <v/>
      </c>
      <c r="BC870">
        <f>IFERROR(INDEX(PP_Grid[#Data],$DD870,53),0)</f>
        <v/>
      </c>
      <c r="BD870">
        <f>IFERROR(INDEX(PP_Grid[#Data],$DD870,54),0)</f>
        <v/>
      </c>
      <c r="BE870">
        <f>IFERROR(INDEX(PP_Grid[#Data],$DD870,55),0)</f>
        <v/>
      </c>
      <c r="BF870">
        <f>IFERROR(INDEX(PP_Grid[#Data],$DD870,56),0)</f>
        <v/>
      </c>
      <c r="BG870">
        <f>IFERROR(INDEX(PP_Grid[#Data],$DD870,57),0)</f>
        <v/>
      </c>
      <c r="BH870">
        <f>IFERROR(INDEX(PP_Grid[#Data],$DD870,58),0)</f>
        <v/>
      </c>
      <c r="BI870">
        <f>IFERROR(INDEX(PP_Grid[#Data],$DD870,59),0)</f>
        <v/>
      </c>
      <c r="BJ870">
        <f>IFERROR(INDEX(PP_Grid[#Data],$DD870,60),0)</f>
        <v/>
      </c>
      <c r="BK870">
        <f>IFERROR(INDEX(PP_Grid[#Data],$DD870,61),0)</f>
        <v/>
      </c>
      <c r="BL870">
        <f>IFERROR(INDEX(PP_Grid[#Data],$DD870,62),0)</f>
        <v/>
      </c>
      <c r="BM870">
        <f>IFERROR(INDEX(PP_Grid[#Data],$DD870,63),0)</f>
        <v/>
      </c>
      <c r="BN870">
        <f>IFERROR(INDEX(PP_Grid[#Data],$DD870,64),0)</f>
        <v/>
      </c>
      <c r="BO870">
        <f>IFERROR(INDEX(PP_Grid[#Data],$DD870,65),0)</f>
        <v/>
      </c>
      <c r="BP870">
        <f>IFERROR(INDEX(PP_Grid[#Data],$DD870,66),0)</f>
        <v/>
      </c>
      <c r="BQ870">
        <f>IFERROR(INDEX(PP_Grid[#Data],$DD870,67),0)</f>
        <v/>
      </c>
      <c r="BR870">
        <f>IFERROR(INDEX(PP_Grid[#Data],$DD870,68),0)</f>
        <v/>
      </c>
      <c r="BS870">
        <f>IFERROR(INDEX(PP_Grid[#Data],$DD870,69),0)</f>
        <v/>
      </c>
      <c r="BT870">
        <f>IFERROR(INDEX(PP_Grid[#Data],$DD870,70),0)</f>
        <v/>
      </c>
      <c r="BU870">
        <f>IFERROR(INDEX(PP_Grid[#Data],$DD870,71),0)</f>
        <v/>
      </c>
      <c r="BV870">
        <f>IFERROR(INDEX(PP_Grid[#Data],$DD870,72),0)</f>
        <v/>
      </c>
      <c r="BW870">
        <f>IFERROR(INDEX(PP_Grid[#Data],$DD870,73),0)</f>
        <v/>
      </c>
      <c r="BX870">
        <f>IFERROR(INDEX(PP_Grid[#Data],$DD870,74),0)</f>
        <v/>
      </c>
      <c r="BY870">
        <f>IFERROR(INDEX(PP_Grid[#Data],$DD870,75),0)</f>
        <v/>
      </c>
      <c r="BZ870">
        <f>IFERROR(INDEX(PP_Grid[#Data],$DD870,76),0)</f>
        <v/>
      </c>
      <c r="CA870">
        <f>IFERROR(INDEX(PP_Grid[#Data],$DD870,77),0)</f>
        <v/>
      </c>
      <c r="CB870">
        <f>IFERROR(INDEX(PP_Grid[#Data],$DD870,78),0)</f>
        <v/>
      </c>
      <c r="CC870">
        <f>IFERROR(INDEX(PP_Grid[#Data],$DD870,79),0)</f>
        <v/>
      </c>
      <c r="CD870">
        <f>IFERROR(INDEX(PP_Grid[#Data],$DD870,80),0)</f>
        <v/>
      </c>
      <c r="CE870">
        <f>IFERROR(INDEX(PP_Grid[#Data],$DD870,81),0)</f>
        <v/>
      </c>
      <c r="CF870">
        <f>IFERROR(INDEX(PP_Grid[#Data],$DD870,82),0)</f>
        <v/>
      </c>
      <c r="CG870">
        <f>IFERROR(INDEX(PP_Grid[#Data],$DD870,83),0)</f>
        <v/>
      </c>
      <c r="CH870">
        <f>IFERROR(INDEX(PP_Grid[#Data],$DD870,84),0)</f>
        <v/>
      </c>
      <c r="CI870">
        <f>IFERROR(INDEX(PP_Grid[#Data],$DD870,85),0)</f>
        <v/>
      </c>
      <c r="CJ870">
        <f>IFERROR(INDEX(PP_Grid[#Data],$DD870,86),0)</f>
        <v/>
      </c>
      <c r="CK870">
        <f>IFERROR(INDEX(PP_Grid[#Data],$DD870,87),0)</f>
        <v/>
      </c>
      <c r="CL870">
        <f>IFERROR(INDEX(PP_Grid[#Data],$DD870,88),0)</f>
        <v/>
      </c>
      <c r="CM870">
        <f>IFERROR(INDEX(PP_Grid[#Data],$DD870,89),0)</f>
        <v/>
      </c>
      <c r="CN870">
        <f>IFERROR(INDEX(PP_Grid[#Data],$DD870,90),0)</f>
        <v/>
      </c>
      <c r="CO870">
        <f>IFERROR(INDEX(PP_Grid[#Data],$DD870,91),0)</f>
        <v/>
      </c>
      <c r="CP870">
        <f>IFERROR(INDEX(PP_Grid[#Data],$DD870,92),0)</f>
        <v/>
      </c>
      <c r="CQ870">
        <f>IFERROR(INDEX(PP_Grid[#Data],$DD870,93),0)</f>
        <v/>
      </c>
      <c r="CR870">
        <f>IFERROR(INDEX(PP_Grid[#Data],$DD870,94),0)</f>
        <v/>
      </c>
      <c r="CS870">
        <f>IFERROR(INDEX(PP_Grid[#Data],$DD870,95),0)</f>
        <v/>
      </c>
      <c r="CT870">
        <f>IFERROR(INDEX(PP_Grid[#Data],$DD870,96),0)</f>
        <v/>
      </c>
      <c r="CU870">
        <f>IFERROR(INDEX(PP_Grid[#Data],$DD870,97),0)</f>
        <v/>
      </c>
      <c r="CV870">
        <f>IFERROR(INDEX(PP_Grid[#Data],$DD870,98),0)</f>
        <v/>
      </c>
      <c r="CW870">
        <f>IFERROR(INDEX(PP_Grid[#Data],$DD870,99),0)</f>
        <v/>
      </c>
      <c r="CX870">
        <f>IFERROR(INDEX(PP_Grid[#Data],$DD870,100),0)</f>
        <v/>
      </c>
      <c r="CY870">
        <f>IFERROR(INDEX(PP_Grid[#Data],$DD870,101),0)</f>
        <v/>
      </c>
      <c r="CZ870">
        <f>IFERROR(INDEX(PP_Grid[#Data],$DD870,102),0)</f>
        <v/>
      </c>
      <c r="DA870">
        <f>IFERROR(INDEX(PP_Grid[#Data],$DD870,103),0)</f>
        <v/>
      </c>
      <c r="DB870">
        <f>IFERROR(INDEX(PP_Grid[#Data],$DD870,104),0)</f>
        <v/>
      </c>
      <c r="DC870">
        <f>IFERROR(INDEX(PP_Grid[#Data],$DD870,105),0)</f>
        <v/>
      </c>
      <c r="DD870" s="12">
        <f>IFERROR(MATCH($B870,PP_Grid[Intermediate],0),99999)</f>
        <v/>
      </c>
    </row>
    <row r="871">
      <c r="B871" t="inlineStr">
        <is>
          <t>使用量(kg)</t>
        </is>
      </c>
      <c r="C871">
        <f>SUMIFS(M_BOM[RM_Qty_Per_Batch],M_BOM[Intermediate],$B870,M_BOM[Part Name],$A849)</f>
        <v/>
      </c>
      <c r="D871">
        <f>$C871*D870</f>
        <v/>
      </c>
      <c r="E871">
        <f>$C871*E870</f>
        <v/>
      </c>
      <c r="F871">
        <f>$C871*F870</f>
        <v/>
      </c>
      <c r="G871">
        <f>$C871*G870</f>
        <v/>
      </c>
      <c r="H871">
        <f>$C871*H870</f>
        <v/>
      </c>
      <c r="I871">
        <f>$C871*I870</f>
        <v/>
      </c>
      <c r="J871">
        <f>$C871*J870</f>
        <v/>
      </c>
      <c r="K871">
        <f>$C871*K870</f>
        <v/>
      </c>
      <c r="L871">
        <f>$C871*L870</f>
        <v/>
      </c>
      <c r="M871">
        <f>$C871*M870</f>
        <v/>
      </c>
      <c r="N871">
        <f>$C871*N870</f>
        <v/>
      </c>
      <c r="O871">
        <f>$C871*O870</f>
        <v/>
      </c>
      <c r="P871">
        <f>$C871*P870</f>
        <v/>
      </c>
      <c r="Q871">
        <f>$C871*Q870</f>
        <v/>
      </c>
      <c r="R871">
        <f>$C871*R870</f>
        <v/>
      </c>
      <c r="S871">
        <f>$C871*S870</f>
        <v/>
      </c>
      <c r="T871">
        <f>$C871*T870</f>
        <v/>
      </c>
      <c r="U871">
        <f>$C871*U870</f>
        <v/>
      </c>
      <c r="V871">
        <f>$C871*V870</f>
        <v/>
      </c>
      <c r="W871">
        <f>$C871*W870</f>
        <v/>
      </c>
      <c r="X871">
        <f>$C871*X870</f>
        <v/>
      </c>
      <c r="Y871">
        <f>$C871*Y870</f>
        <v/>
      </c>
      <c r="Z871">
        <f>$C871*Z870</f>
        <v/>
      </c>
      <c r="AA871">
        <f>$C871*AA870</f>
        <v/>
      </c>
      <c r="AB871">
        <f>$C871*AB870</f>
        <v/>
      </c>
      <c r="AC871">
        <f>$C871*AC870</f>
        <v/>
      </c>
      <c r="AD871">
        <f>$C871*AD870</f>
        <v/>
      </c>
      <c r="AE871">
        <f>$C871*AE870</f>
        <v/>
      </c>
      <c r="AF871">
        <f>$C871*AF870</f>
        <v/>
      </c>
      <c r="AG871">
        <f>$C871*AG870</f>
        <v/>
      </c>
      <c r="AH871">
        <f>$C871*AH870</f>
        <v/>
      </c>
      <c r="AI871">
        <f>$C871*AI870</f>
        <v/>
      </c>
      <c r="AJ871">
        <f>$C871*AJ870</f>
        <v/>
      </c>
      <c r="AK871">
        <f>$C871*AK870</f>
        <v/>
      </c>
      <c r="AL871">
        <f>$C871*AL870</f>
        <v/>
      </c>
      <c r="AM871">
        <f>$C871*AM870</f>
        <v/>
      </c>
      <c r="AN871">
        <f>$C871*AN870</f>
        <v/>
      </c>
      <c r="AO871">
        <f>$C871*AO870</f>
        <v/>
      </c>
      <c r="AP871">
        <f>$C871*AP870</f>
        <v/>
      </c>
      <c r="AQ871">
        <f>$C871*AQ870</f>
        <v/>
      </c>
      <c r="AR871">
        <f>$C871*AR870</f>
        <v/>
      </c>
      <c r="AS871">
        <f>$C871*AS870</f>
        <v/>
      </c>
      <c r="AT871">
        <f>$C871*AT870</f>
        <v/>
      </c>
      <c r="AU871">
        <f>$C871*AU870</f>
        <v/>
      </c>
      <c r="AV871">
        <f>$C871*AV870</f>
        <v/>
      </c>
      <c r="AW871">
        <f>$C871*AW870</f>
        <v/>
      </c>
      <c r="AX871">
        <f>$C871*AX870</f>
        <v/>
      </c>
      <c r="AY871">
        <f>$C871*AY870</f>
        <v/>
      </c>
      <c r="AZ871">
        <f>$C871*AZ870</f>
        <v/>
      </c>
      <c r="BA871">
        <f>$C871*BA870</f>
        <v/>
      </c>
      <c r="BB871">
        <f>$C871*BB870</f>
        <v/>
      </c>
      <c r="BC871">
        <f>$C871*BC870</f>
        <v/>
      </c>
      <c r="BD871">
        <f>$C871*BD870</f>
        <v/>
      </c>
      <c r="BE871">
        <f>$C871*BE870</f>
        <v/>
      </c>
      <c r="BF871">
        <f>$C871*BF870</f>
        <v/>
      </c>
      <c r="BG871">
        <f>$C871*BG870</f>
        <v/>
      </c>
      <c r="BH871">
        <f>$C871*BH870</f>
        <v/>
      </c>
      <c r="BI871">
        <f>$C871*BI870</f>
        <v/>
      </c>
      <c r="BJ871">
        <f>$C871*BJ870</f>
        <v/>
      </c>
      <c r="BK871">
        <f>$C871*BK870</f>
        <v/>
      </c>
      <c r="BL871">
        <f>$C871*BL870</f>
        <v/>
      </c>
      <c r="BM871">
        <f>$C871*BM870</f>
        <v/>
      </c>
      <c r="BN871">
        <f>$C871*BN870</f>
        <v/>
      </c>
      <c r="BO871">
        <f>$C871*BO870</f>
        <v/>
      </c>
      <c r="BP871">
        <f>$C871*BP870</f>
        <v/>
      </c>
      <c r="BQ871">
        <f>$C871*BQ870</f>
        <v/>
      </c>
      <c r="BR871">
        <f>$C871*BR870</f>
        <v/>
      </c>
      <c r="BS871">
        <f>$C871*BS870</f>
        <v/>
      </c>
      <c r="BT871">
        <f>$C871*BT870</f>
        <v/>
      </c>
      <c r="BU871">
        <f>$C871*BU870</f>
        <v/>
      </c>
      <c r="BV871">
        <f>$C871*BV870</f>
        <v/>
      </c>
      <c r="BW871">
        <f>$C871*BW870</f>
        <v/>
      </c>
      <c r="BX871">
        <f>$C871*BX870</f>
        <v/>
      </c>
      <c r="BY871">
        <f>$C871*BY870</f>
        <v/>
      </c>
      <c r="BZ871">
        <f>$C871*BZ870</f>
        <v/>
      </c>
      <c r="CA871">
        <f>$C871*CA870</f>
        <v/>
      </c>
      <c r="CB871">
        <f>$C871*CB870</f>
        <v/>
      </c>
      <c r="CC871">
        <f>$C871*CC870</f>
        <v/>
      </c>
      <c r="CD871">
        <f>$C871*CD870</f>
        <v/>
      </c>
      <c r="CE871">
        <f>$C871*CE870</f>
        <v/>
      </c>
      <c r="CF871">
        <f>$C871*CF870</f>
        <v/>
      </c>
      <c r="CG871">
        <f>$C871*CG870</f>
        <v/>
      </c>
      <c r="CH871">
        <f>$C871*CH870</f>
        <v/>
      </c>
      <c r="CI871">
        <f>$C871*CI870</f>
        <v/>
      </c>
      <c r="CJ871">
        <f>$C871*CJ870</f>
        <v/>
      </c>
      <c r="CK871">
        <f>$C871*CK870</f>
        <v/>
      </c>
      <c r="CL871">
        <f>$C871*CL870</f>
        <v/>
      </c>
      <c r="CM871">
        <f>$C871*CM870</f>
        <v/>
      </c>
      <c r="CN871">
        <f>$C871*CN870</f>
        <v/>
      </c>
      <c r="CO871">
        <f>$C871*CO870</f>
        <v/>
      </c>
      <c r="CP871">
        <f>$C871*CP870</f>
        <v/>
      </c>
      <c r="CQ871">
        <f>$C871*CQ870</f>
        <v/>
      </c>
      <c r="CR871">
        <f>$C871*CR870</f>
        <v/>
      </c>
      <c r="CS871">
        <f>$C871*CS870</f>
        <v/>
      </c>
      <c r="CT871">
        <f>$C871*CT870</f>
        <v/>
      </c>
      <c r="CU871">
        <f>$C871*CU870</f>
        <v/>
      </c>
      <c r="CV871">
        <f>$C871*CV870</f>
        <v/>
      </c>
      <c r="CW871">
        <f>$C871*CW870</f>
        <v/>
      </c>
      <c r="CX871">
        <f>$C871*CX870</f>
        <v/>
      </c>
      <c r="CY871">
        <f>$C871*CY870</f>
        <v/>
      </c>
      <c r="CZ871">
        <f>$C871*CZ870</f>
        <v/>
      </c>
      <c r="DA871">
        <f>$C871*DA870</f>
        <v/>
      </c>
      <c r="DB871">
        <f>$C871*DB870</f>
        <v/>
      </c>
      <c r="DC871">
        <f>$C871*DC870</f>
        <v/>
      </c>
    </row>
    <row r="872">
      <c r="B872" t="inlineStr">
        <is>
          <t>TSP-1448</t>
        </is>
      </c>
      <c r="C872" t="inlineStr">
        <is>
          <t>No. of batches</t>
        </is>
      </c>
      <c r="D872">
        <f>IFERROR(INDEX(PP_Grid[#Data],$DD872,2),0)</f>
        <v/>
      </c>
      <c r="E872">
        <f>IFERROR(INDEX(PP_Grid[#Data],$DD872,3),0)</f>
        <v/>
      </c>
      <c r="F872">
        <f>IFERROR(INDEX(PP_Grid[#Data],$DD872,4),0)</f>
        <v/>
      </c>
      <c r="G872">
        <f>IFERROR(INDEX(PP_Grid[#Data],$DD872,5),0)</f>
        <v/>
      </c>
      <c r="H872">
        <f>IFERROR(INDEX(PP_Grid[#Data],$DD872,6),0)</f>
        <v/>
      </c>
      <c r="I872">
        <f>IFERROR(INDEX(PP_Grid[#Data],$DD872,7),0)</f>
        <v/>
      </c>
      <c r="J872">
        <f>IFERROR(INDEX(PP_Grid[#Data],$DD872,8),0)</f>
        <v/>
      </c>
      <c r="K872">
        <f>IFERROR(INDEX(PP_Grid[#Data],$DD872,9),0)</f>
        <v/>
      </c>
      <c r="L872">
        <f>IFERROR(INDEX(PP_Grid[#Data],$DD872,10),0)</f>
        <v/>
      </c>
      <c r="M872">
        <f>IFERROR(INDEX(PP_Grid[#Data],$DD872,11),0)</f>
        <v/>
      </c>
      <c r="N872">
        <f>IFERROR(INDEX(PP_Grid[#Data],$DD872,12),0)</f>
        <v/>
      </c>
      <c r="O872">
        <f>IFERROR(INDEX(PP_Grid[#Data],$DD872,13),0)</f>
        <v/>
      </c>
      <c r="P872">
        <f>IFERROR(INDEX(PP_Grid[#Data],$DD872,14),0)</f>
        <v/>
      </c>
      <c r="Q872">
        <f>IFERROR(INDEX(PP_Grid[#Data],$DD872,15),0)</f>
        <v/>
      </c>
      <c r="R872">
        <f>IFERROR(INDEX(PP_Grid[#Data],$DD872,16),0)</f>
        <v/>
      </c>
      <c r="S872">
        <f>IFERROR(INDEX(PP_Grid[#Data],$DD872,17),0)</f>
        <v/>
      </c>
      <c r="T872">
        <f>IFERROR(INDEX(PP_Grid[#Data],$DD872,18),0)</f>
        <v/>
      </c>
      <c r="U872">
        <f>IFERROR(INDEX(PP_Grid[#Data],$DD872,19),0)</f>
        <v/>
      </c>
      <c r="V872">
        <f>IFERROR(INDEX(PP_Grid[#Data],$DD872,20),0)</f>
        <v/>
      </c>
      <c r="W872">
        <f>IFERROR(INDEX(PP_Grid[#Data],$DD872,21),0)</f>
        <v/>
      </c>
      <c r="X872">
        <f>IFERROR(INDEX(PP_Grid[#Data],$DD872,22),0)</f>
        <v/>
      </c>
      <c r="Y872">
        <f>IFERROR(INDEX(PP_Grid[#Data],$DD872,23),0)</f>
        <v/>
      </c>
      <c r="Z872">
        <f>IFERROR(INDEX(PP_Grid[#Data],$DD872,24),0)</f>
        <v/>
      </c>
      <c r="AA872">
        <f>IFERROR(INDEX(PP_Grid[#Data],$DD872,25),0)</f>
        <v/>
      </c>
      <c r="AB872">
        <f>IFERROR(INDEX(PP_Grid[#Data],$DD872,26),0)</f>
        <v/>
      </c>
      <c r="AC872">
        <f>IFERROR(INDEX(PP_Grid[#Data],$DD872,27),0)</f>
        <v/>
      </c>
      <c r="AD872">
        <f>IFERROR(INDEX(PP_Grid[#Data],$DD872,28),0)</f>
        <v/>
      </c>
      <c r="AE872">
        <f>IFERROR(INDEX(PP_Grid[#Data],$DD872,29),0)</f>
        <v/>
      </c>
      <c r="AF872">
        <f>IFERROR(INDEX(PP_Grid[#Data],$DD872,30),0)</f>
        <v/>
      </c>
      <c r="AG872">
        <f>IFERROR(INDEX(PP_Grid[#Data],$DD872,31),0)</f>
        <v/>
      </c>
      <c r="AH872">
        <f>IFERROR(INDEX(PP_Grid[#Data],$DD872,32),0)</f>
        <v/>
      </c>
      <c r="AI872">
        <f>IFERROR(INDEX(PP_Grid[#Data],$DD872,33),0)</f>
        <v/>
      </c>
      <c r="AJ872">
        <f>IFERROR(INDEX(PP_Grid[#Data],$DD872,34),0)</f>
        <v/>
      </c>
      <c r="AK872">
        <f>IFERROR(INDEX(PP_Grid[#Data],$DD872,35),0)</f>
        <v/>
      </c>
      <c r="AL872">
        <f>IFERROR(INDEX(PP_Grid[#Data],$DD872,36),0)</f>
        <v/>
      </c>
      <c r="AM872">
        <f>IFERROR(INDEX(PP_Grid[#Data],$DD872,37),0)</f>
        <v/>
      </c>
      <c r="AN872">
        <f>IFERROR(INDEX(PP_Grid[#Data],$DD872,38),0)</f>
        <v/>
      </c>
      <c r="AO872">
        <f>IFERROR(INDEX(PP_Grid[#Data],$DD872,39),0)</f>
        <v/>
      </c>
      <c r="AP872">
        <f>IFERROR(INDEX(PP_Grid[#Data],$DD872,40),0)</f>
        <v/>
      </c>
      <c r="AQ872">
        <f>IFERROR(INDEX(PP_Grid[#Data],$DD872,41),0)</f>
        <v/>
      </c>
      <c r="AR872">
        <f>IFERROR(INDEX(PP_Grid[#Data],$DD872,42),0)</f>
        <v/>
      </c>
      <c r="AS872">
        <f>IFERROR(INDEX(PP_Grid[#Data],$DD872,43),0)</f>
        <v/>
      </c>
      <c r="AT872">
        <f>IFERROR(INDEX(PP_Grid[#Data],$DD872,44),0)</f>
        <v/>
      </c>
      <c r="AU872">
        <f>IFERROR(INDEX(PP_Grid[#Data],$DD872,45),0)</f>
        <v/>
      </c>
      <c r="AV872">
        <f>IFERROR(INDEX(PP_Grid[#Data],$DD872,46),0)</f>
        <v/>
      </c>
      <c r="AW872">
        <f>IFERROR(INDEX(PP_Grid[#Data],$DD872,47),0)</f>
        <v/>
      </c>
      <c r="AX872">
        <f>IFERROR(INDEX(PP_Grid[#Data],$DD872,48),0)</f>
        <v/>
      </c>
      <c r="AY872">
        <f>IFERROR(INDEX(PP_Grid[#Data],$DD872,49),0)</f>
        <v/>
      </c>
      <c r="AZ872">
        <f>IFERROR(INDEX(PP_Grid[#Data],$DD872,50),0)</f>
        <v/>
      </c>
      <c r="BA872">
        <f>IFERROR(INDEX(PP_Grid[#Data],$DD872,51),0)</f>
        <v/>
      </c>
      <c r="BB872">
        <f>IFERROR(INDEX(PP_Grid[#Data],$DD872,52),0)</f>
        <v/>
      </c>
      <c r="BC872">
        <f>IFERROR(INDEX(PP_Grid[#Data],$DD872,53),0)</f>
        <v/>
      </c>
      <c r="BD872">
        <f>IFERROR(INDEX(PP_Grid[#Data],$DD872,54),0)</f>
        <v/>
      </c>
      <c r="BE872">
        <f>IFERROR(INDEX(PP_Grid[#Data],$DD872,55),0)</f>
        <v/>
      </c>
      <c r="BF872">
        <f>IFERROR(INDEX(PP_Grid[#Data],$DD872,56),0)</f>
        <v/>
      </c>
      <c r="BG872">
        <f>IFERROR(INDEX(PP_Grid[#Data],$DD872,57),0)</f>
        <v/>
      </c>
      <c r="BH872">
        <f>IFERROR(INDEX(PP_Grid[#Data],$DD872,58),0)</f>
        <v/>
      </c>
      <c r="BI872">
        <f>IFERROR(INDEX(PP_Grid[#Data],$DD872,59),0)</f>
        <v/>
      </c>
      <c r="BJ872">
        <f>IFERROR(INDEX(PP_Grid[#Data],$DD872,60),0)</f>
        <v/>
      </c>
      <c r="BK872">
        <f>IFERROR(INDEX(PP_Grid[#Data],$DD872,61),0)</f>
        <v/>
      </c>
      <c r="BL872">
        <f>IFERROR(INDEX(PP_Grid[#Data],$DD872,62),0)</f>
        <v/>
      </c>
      <c r="BM872">
        <f>IFERROR(INDEX(PP_Grid[#Data],$DD872,63),0)</f>
        <v/>
      </c>
      <c r="BN872">
        <f>IFERROR(INDEX(PP_Grid[#Data],$DD872,64),0)</f>
        <v/>
      </c>
      <c r="BO872">
        <f>IFERROR(INDEX(PP_Grid[#Data],$DD872,65),0)</f>
        <v/>
      </c>
      <c r="BP872">
        <f>IFERROR(INDEX(PP_Grid[#Data],$DD872,66),0)</f>
        <v/>
      </c>
      <c r="BQ872">
        <f>IFERROR(INDEX(PP_Grid[#Data],$DD872,67),0)</f>
        <v/>
      </c>
      <c r="BR872">
        <f>IFERROR(INDEX(PP_Grid[#Data],$DD872,68),0)</f>
        <v/>
      </c>
      <c r="BS872">
        <f>IFERROR(INDEX(PP_Grid[#Data],$DD872,69),0)</f>
        <v/>
      </c>
      <c r="BT872">
        <f>IFERROR(INDEX(PP_Grid[#Data],$DD872,70),0)</f>
        <v/>
      </c>
      <c r="BU872">
        <f>IFERROR(INDEX(PP_Grid[#Data],$DD872,71),0)</f>
        <v/>
      </c>
      <c r="BV872">
        <f>IFERROR(INDEX(PP_Grid[#Data],$DD872,72),0)</f>
        <v/>
      </c>
      <c r="BW872">
        <f>IFERROR(INDEX(PP_Grid[#Data],$DD872,73),0)</f>
        <v/>
      </c>
      <c r="BX872">
        <f>IFERROR(INDEX(PP_Grid[#Data],$DD872,74),0)</f>
        <v/>
      </c>
      <c r="BY872">
        <f>IFERROR(INDEX(PP_Grid[#Data],$DD872,75),0)</f>
        <v/>
      </c>
      <c r="BZ872">
        <f>IFERROR(INDEX(PP_Grid[#Data],$DD872,76),0)</f>
        <v/>
      </c>
      <c r="CA872">
        <f>IFERROR(INDEX(PP_Grid[#Data],$DD872,77),0)</f>
        <v/>
      </c>
      <c r="CB872">
        <f>IFERROR(INDEX(PP_Grid[#Data],$DD872,78),0)</f>
        <v/>
      </c>
      <c r="CC872">
        <f>IFERROR(INDEX(PP_Grid[#Data],$DD872,79),0)</f>
        <v/>
      </c>
      <c r="CD872">
        <f>IFERROR(INDEX(PP_Grid[#Data],$DD872,80),0)</f>
        <v/>
      </c>
      <c r="CE872">
        <f>IFERROR(INDEX(PP_Grid[#Data],$DD872,81),0)</f>
        <v/>
      </c>
      <c r="CF872">
        <f>IFERROR(INDEX(PP_Grid[#Data],$DD872,82),0)</f>
        <v/>
      </c>
      <c r="CG872">
        <f>IFERROR(INDEX(PP_Grid[#Data],$DD872,83),0)</f>
        <v/>
      </c>
      <c r="CH872">
        <f>IFERROR(INDEX(PP_Grid[#Data],$DD872,84),0)</f>
        <v/>
      </c>
      <c r="CI872">
        <f>IFERROR(INDEX(PP_Grid[#Data],$DD872,85),0)</f>
        <v/>
      </c>
      <c r="CJ872">
        <f>IFERROR(INDEX(PP_Grid[#Data],$DD872,86),0)</f>
        <v/>
      </c>
      <c r="CK872">
        <f>IFERROR(INDEX(PP_Grid[#Data],$DD872,87),0)</f>
        <v/>
      </c>
      <c r="CL872">
        <f>IFERROR(INDEX(PP_Grid[#Data],$DD872,88),0)</f>
        <v/>
      </c>
      <c r="CM872">
        <f>IFERROR(INDEX(PP_Grid[#Data],$DD872,89),0)</f>
        <v/>
      </c>
      <c r="CN872">
        <f>IFERROR(INDEX(PP_Grid[#Data],$DD872,90),0)</f>
        <v/>
      </c>
      <c r="CO872">
        <f>IFERROR(INDEX(PP_Grid[#Data],$DD872,91),0)</f>
        <v/>
      </c>
      <c r="CP872">
        <f>IFERROR(INDEX(PP_Grid[#Data],$DD872,92),0)</f>
        <v/>
      </c>
      <c r="CQ872">
        <f>IFERROR(INDEX(PP_Grid[#Data],$DD872,93),0)</f>
        <v/>
      </c>
      <c r="CR872">
        <f>IFERROR(INDEX(PP_Grid[#Data],$DD872,94),0)</f>
        <v/>
      </c>
      <c r="CS872">
        <f>IFERROR(INDEX(PP_Grid[#Data],$DD872,95),0)</f>
        <v/>
      </c>
      <c r="CT872">
        <f>IFERROR(INDEX(PP_Grid[#Data],$DD872,96),0)</f>
        <v/>
      </c>
      <c r="CU872">
        <f>IFERROR(INDEX(PP_Grid[#Data],$DD872,97),0)</f>
        <v/>
      </c>
      <c r="CV872">
        <f>IFERROR(INDEX(PP_Grid[#Data],$DD872,98),0)</f>
        <v/>
      </c>
      <c r="CW872">
        <f>IFERROR(INDEX(PP_Grid[#Data],$DD872,99),0)</f>
        <v/>
      </c>
      <c r="CX872">
        <f>IFERROR(INDEX(PP_Grid[#Data],$DD872,100),0)</f>
        <v/>
      </c>
      <c r="CY872">
        <f>IFERROR(INDEX(PP_Grid[#Data],$DD872,101),0)</f>
        <v/>
      </c>
      <c r="CZ872">
        <f>IFERROR(INDEX(PP_Grid[#Data],$DD872,102),0)</f>
        <v/>
      </c>
      <c r="DA872">
        <f>IFERROR(INDEX(PP_Grid[#Data],$DD872,103),0)</f>
        <v/>
      </c>
      <c r="DB872">
        <f>IFERROR(INDEX(PP_Grid[#Data],$DD872,104),0)</f>
        <v/>
      </c>
      <c r="DC872">
        <f>IFERROR(INDEX(PP_Grid[#Data],$DD872,105),0)</f>
        <v/>
      </c>
      <c r="DD872" s="12">
        <f>IFERROR(MATCH($B872,PP_Grid[Intermediate],0),99999)</f>
        <v/>
      </c>
    </row>
    <row r="873">
      <c r="B873" t="inlineStr">
        <is>
          <t>使用量(kg)</t>
        </is>
      </c>
      <c r="C873">
        <f>SUMIFS(M_BOM[RM_Qty_Per_Batch],M_BOM[Intermediate],$B872,M_BOM[Part Name],$A849)</f>
        <v/>
      </c>
      <c r="D873">
        <f>$C873*D872</f>
        <v/>
      </c>
      <c r="E873">
        <f>$C873*E872</f>
        <v/>
      </c>
      <c r="F873">
        <f>$C873*F872</f>
        <v/>
      </c>
      <c r="G873">
        <f>$C873*G872</f>
        <v/>
      </c>
      <c r="H873">
        <f>$C873*H872</f>
        <v/>
      </c>
      <c r="I873">
        <f>$C873*I872</f>
        <v/>
      </c>
      <c r="J873">
        <f>$C873*J872</f>
        <v/>
      </c>
      <c r="K873">
        <f>$C873*K872</f>
        <v/>
      </c>
      <c r="L873">
        <f>$C873*L872</f>
        <v/>
      </c>
      <c r="M873">
        <f>$C873*M872</f>
        <v/>
      </c>
      <c r="N873">
        <f>$C873*N872</f>
        <v/>
      </c>
      <c r="O873">
        <f>$C873*O872</f>
        <v/>
      </c>
      <c r="P873">
        <f>$C873*P872</f>
        <v/>
      </c>
      <c r="Q873">
        <f>$C873*Q872</f>
        <v/>
      </c>
      <c r="R873">
        <f>$C873*R872</f>
        <v/>
      </c>
      <c r="S873">
        <f>$C873*S872</f>
        <v/>
      </c>
      <c r="T873">
        <f>$C873*T872</f>
        <v/>
      </c>
      <c r="U873">
        <f>$C873*U872</f>
        <v/>
      </c>
      <c r="V873">
        <f>$C873*V872</f>
        <v/>
      </c>
      <c r="W873">
        <f>$C873*W872</f>
        <v/>
      </c>
      <c r="X873">
        <f>$C873*X872</f>
        <v/>
      </c>
      <c r="Y873">
        <f>$C873*Y872</f>
        <v/>
      </c>
      <c r="Z873">
        <f>$C873*Z872</f>
        <v/>
      </c>
      <c r="AA873">
        <f>$C873*AA872</f>
        <v/>
      </c>
      <c r="AB873">
        <f>$C873*AB872</f>
        <v/>
      </c>
      <c r="AC873">
        <f>$C873*AC872</f>
        <v/>
      </c>
      <c r="AD873">
        <f>$C873*AD872</f>
        <v/>
      </c>
      <c r="AE873">
        <f>$C873*AE872</f>
        <v/>
      </c>
      <c r="AF873">
        <f>$C873*AF872</f>
        <v/>
      </c>
      <c r="AG873">
        <f>$C873*AG872</f>
        <v/>
      </c>
      <c r="AH873">
        <f>$C873*AH872</f>
        <v/>
      </c>
      <c r="AI873">
        <f>$C873*AI872</f>
        <v/>
      </c>
      <c r="AJ873">
        <f>$C873*AJ872</f>
        <v/>
      </c>
      <c r="AK873">
        <f>$C873*AK872</f>
        <v/>
      </c>
      <c r="AL873">
        <f>$C873*AL872</f>
        <v/>
      </c>
      <c r="AM873">
        <f>$C873*AM872</f>
        <v/>
      </c>
      <c r="AN873">
        <f>$C873*AN872</f>
        <v/>
      </c>
      <c r="AO873">
        <f>$C873*AO872</f>
        <v/>
      </c>
      <c r="AP873">
        <f>$C873*AP872</f>
        <v/>
      </c>
      <c r="AQ873">
        <f>$C873*AQ872</f>
        <v/>
      </c>
      <c r="AR873">
        <f>$C873*AR872</f>
        <v/>
      </c>
      <c r="AS873">
        <f>$C873*AS872</f>
        <v/>
      </c>
      <c r="AT873">
        <f>$C873*AT872</f>
        <v/>
      </c>
      <c r="AU873">
        <f>$C873*AU872</f>
        <v/>
      </c>
      <c r="AV873">
        <f>$C873*AV872</f>
        <v/>
      </c>
      <c r="AW873">
        <f>$C873*AW872</f>
        <v/>
      </c>
      <c r="AX873">
        <f>$C873*AX872</f>
        <v/>
      </c>
      <c r="AY873">
        <f>$C873*AY872</f>
        <v/>
      </c>
      <c r="AZ873">
        <f>$C873*AZ872</f>
        <v/>
      </c>
      <c r="BA873">
        <f>$C873*BA872</f>
        <v/>
      </c>
      <c r="BB873">
        <f>$C873*BB872</f>
        <v/>
      </c>
      <c r="BC873">
        <f>$C873*BC872</f>
        <v/>
      </c>
      <c r="BD873">
        <f>$C873*BD872</f>
        <v/>
      </c>
      <c r="BE873">
        <f>$C873*BE872</f>
        <v/>
      </c>
      <c r="BF873">
        <f>$C873*BF872</f>
        <v/>
      </c>
      <c r="BG873">
        <f>$C873*BG872</f>
        <v/>
      </c>
      <c r="BH873">
        <f>$C873*BH872</f>
        <v/>
      </c>
      <c r="BI873">
        <f>$C873*BI872</f>
        <v/>
      </c>
      <c r="BJ873">
        <f>$C873*BJ872</f>
        <v/>
      </c>
      <c r="BK873">
        <f>$C873*BK872</f>
        <v/>
      </c>
      <c r="BL873">
        <f>$C873*BL872</f>
        <v/>
      </c>
      <c r="BM873">
        <f>$C873*BM872</f>
        <v/>
      </c>
      <c r="BN873">
        <f>$C873*BN872</f>
        <v/>
      </c>
      <c r="BO873">
        <f>$C873*BO872</f>
        <v/>
      </c>
      <c r="BP873">
        <f>$C873*BP872</f>
        <v/>
      </c>
      <c r="BQ873">
        <f>$C873*BQ872</f>
        <v/>
      </c>
      <c r="BR873">
        <f>$C873*BR872</f>
        <v/>
      </c>
      <c r="BS873">
        <f>$C873*BS872</f>
        <v/>
      </c>
      <c r="BT873">
        <f>$C873*BT872</f>
        <v/>
      </c>
      <c r="BU873">
        <f>$C873*BU872</f>
        <v/>
      </c>
      <c r="BV873">
        <f>$C873*BV872</f>
        <v/>
      </c>
      <c r="BW873">
        <f>$C873*BW872</f>
        <v/>
      </c>
      <c r="BX873">
        <f>$C873*BX872</f>
        <v/>
      </c>
      <c r="BY873">
        <f>$C873*BY872</f>
        <v/>
      </c>
      <c r="BZ873">
        <f>$C873*BZ872</f>
        <v/>
      </c>
      <c r="CA873">
        <f>$C873*CA872</f>
        <v/>
      </c>
      <c r="CB873">
        <f>$C873*CB872</f>
        <v/>
      </c>
      <c r="CC873">
        <f>$C873*CC872</f>
        <v/>
      </c>
      <c r="CD873">
        <f>$C873*CD872</f>
        <v/>
      </c>
      <c r="CE873">
        <f>$C873*CE872</f>
        <v/>
      </c>
      <c r="CF873">
        <f>$C873*CF872</f>
        <v/>
      </c>
      <c r="CG873">
        <f>$C873*CG872</f>
        <v/>
      </c>
      <c r="CH873">
        <f>$C873*CH872</f>
        <v/>
      </c>
      <c r="CI873">
        <f>$C873*CI872</f>
        <v/>
      </c>
      <c r="CJ873">
        <f>$C873*CJ872</f>
        <v/>
      </c>
      <c r="CK873">
        <f>$C873*CK872</f>
        <v/>
      </c>
      <c r="CL873">
        <f>$C873*CL872</f>
        <v/>
      </c>
      <c r="CM873">
        <f>$C873*CM872</f>
        <v/>
      </c>
      <c r="CN873">
        <f>$C873*CN872</f>
        <v/>
      </c>
      <c r="CO873">
        <f>$C873*CO872</f>
        <v/>
      </c>
      <c r="CP873">
        <f>$C873*CP872</f>
        <v/>
      </c>
      <c r="CQ873">
        <f>$C873*CQ872</f>
        <v/>
      </c>
      <c r="CR873">
        <f>$C873*CR872</f>
        <v/>
      </c>
      <c r="CS873">
        <f>$C873*CS872</f>
        <v/>
      </c>
      <c r="CT873">
        <f>$C873*CT872</f>
        <v/>
      </c>
      <c r="CU873">
        <f>$C873*CU872</f>
        <v/>
      </c>
      <c r="CV873">
        <f>$C873*CV872</f>
        <v/>
      </c>
      <c r="CW873">
        <f>$C873*CW872</f>
        <v/>
      </c>
      <c r="CX873">
        <f>$C873*CX872</f>
        <v/>
      </c>
      <c r="CY873">
        <f>$C873*CY872</f>
        <v/>
      </c>
      <c r="CZ873">
        <f>$C873*CZ872</f>
        <v/>
      </c>
      <c r="DA873">
        <f>$C873*DA872</f>
        <v/>
      </c>
      <c r="DB873">
        <f>$C873*DB872</f>
        <v/>
      </c>
      <c r="DC873">
        <f>$C873*DC872</f>
        <v/>
      </c>
    </row>
    <row r="874">
      <c r="B874" t="inlineStr">
        <is>
          <t>TSP-1445</t>
        </is>
      </c>
      <c r="C874" t="inlineStr">
        <is>
          <t>No. of batches</t>
        </is>
      </c>
      <c r="D874">
        <f>IFERROR(INDEX(PP_Grid[#Data],$DD874,2),0)</f>
        <v/>
      </c>
      <c r="E874">
        <f>IFERROR(INDEX(PP_Grid[#Data],$DD874,3),0)</f>
        <v/>
      </c>
      <c r="F874">
        <f>IFERROR(INDEX(PP_Grid[#Data],$DD874,4),0)</f>
        <v/>
      </c>
      <c r="G874">
        <f>IFERROR(INDEX(PP_Grid[#Data],$DD874,5),0)</f>
        <v/>
      </c>
      <c r="H874">
        <f>IFERROR(INDEX(PP_Grid[#Data],$DD874,6),0)</f>
        <v/>
      </c>
      <c r="I874">
        <f>IFERROR(INDEX(PP_Grid[#Data],$DD874,7),0)</f>
        <v/>
      </c>
      <c r="J874">
        <f>IFERROR(INDEX(PP_Grid[#Data],$DD874,8),0)</f>
        <v/>
      </c>
      <c r="K874">
        <f>IFERROR(INDEX(PP_Grid[#Data],$DD874,9),0)</f>
        <v/>
      </c>
      <c r="L874">
        <f>IFERROR(INDEX(PP_Grid[#Data],$DD874,10),0)</f>
        <v/>
      </c>
      <c r="M874">
        <f>IFERROR(INDEX(PP_Grid[#Data],$DD874,11),0)</f>
        <v/>
      </c>
      <c r="N874">
        <f>IFERROR(INDEX(PP_Grid[#Data],$DD874,12),0)</f>
        <v/>
      </c>
      <c r="O874">
        <f>IFERROR(INDEX(PP_Grid[#Data],$DD874,13),0)</f>
        <v/>
      </c>
      <c r="P874">
        <f>IFERROR(INDEX(PP_Grid[#Data],$DD874,14),0)</f>
        <v/>
      </c>
      <c r="Q874">
        <f>IFERROR(INDEX(PP_Grid[#Data],$DD874,15),0)</f>
        <v/>
      </c>
      <c r="R874">
        <f>IFERROR(INDEX(PP_Grid[#Data],$DD874,16),0)</f>
        <v/>
      </c>
      <c r="S874">
        <f>IFERROR(INDEX(PP_Grid[#Data],$DD874,17),0)</f>
        <v/>
      </c>
      <c r="T874">
        <f>IFERROR(INDEX(PP_Grid[#Data],$DD874,18),0)</f>
        <v/>
      </c>
      <c r="U874">
        <f>IFERROR(INDEX(PP_Grid[#Data],$DD874,19),0)</f>
        <v/>
      </c>
      <c r="V874">
        <f>IFERROR(INDEX(PP_Grid[#Data],$DD874,20),0)</f>
        <v/>
      </c>
      <c r="W874">
        <f>IFERROR(INDEX(PP_Grid[#Data],$DD874,21),0)</f>
        <v/>
      </c>
      <c r="X874">
        <f>IFERROR(INDEX(PP_Grid[#Data],$DD874,22),0)</f>
        <v/>
      </c>
      <c r="Y874">
        <f>IFERROR(INDEX(PP_Grid[#Data],$DD874,23),0)</f>
        <v/>
      </c>
      <c r="Z874">
        <f>IFERROR(INDEX(PP_Grid[#Data],$DD874,24),0)</f>
        <v/>
      </c>
      <c r="AA874">
        <f>IFERROR(INDEX(PP_Grid[#Data],$DD874,25),0)</f>
        <v/>
      </c>
      <c r="AB874">
        <f>IFERROR(INDEX(PP_Grid[#Data],$DD874,26),0)</f>
        <v/>
      </c>
      <c r="AC874">
        <f>IFERROR(INDEX(PP_Grid[#Data],$DD874,27),0)</f>
        <v/>
      </c>
      <c r="AD874">
        <f>IFERROR(INDEX(PP_Grid[#Data],$DD874,28),0)</f>
        <v/>
      </c>
      <c r="AE874">
        <f>IFERROR(INDEX(PP_Grid[#Data],$DD874,29),0)</f>
        <v/>
      </c>
      <c r="AF874">
        <f>IFERROR(INDEX(PP_Grid[#Data],$DD874,30),0)</f>
        <v/>
      </c>
      <c r="AG874">
        <f>IFERROR(INDEX(PP_Grid[#Data],$DD874,31),0)</f>
        <v/>
      </c>
      <c r="AH874">
        <f>IFERROR(INDEX(PP_Grid[#Data],$DD874,32),0)</f>
        <v/>
      </c>
      <c r="AI874">
        <f>IFERROR(INDEX(PP_Grid[#Data],$DD874,33),0)</f>
        <v/>
      </c>
      <c r="AJ874">
        <f>IFERROR(INDEX(PP_Grid[#Data],$DD874,34),0)</f>
        <v/>
      </c>
      <c r="AK874">
        <f>IFERROR(INDEX(PP_Grid[#Data],$DD874,35),0)</f>
        <v/>
      </c>
      <c r="AL874">
        <f>IFERROR(INDEX(PP_Grid[#Data],$DD874,36),0)</f>
        <v/>
      </c>
      <c r="AM874">
        <f>IFERROR(INDEX(PP_Grid[#Data],$DD874,37),0)</f>
        <v/>
      </c>
      <c r="AN874">
        <f>IFERROR(INDEX(PP_Grid[#Data],$DD874,38),0)</f>
        <v/>
      </c>
      <c r="AO874">
        <f>IFERROR(INDEX(PP_Grid[#Data],$DD874,39),0)</f>
        <v/>
      </c>
      <c r="AP874">
        <f>IFERROR(INDEX(PP_Grid[#Data],$DD874,40),0)</f>
        <v/>
      </c>
      <c r="AQ874">
        <f>IFERROR(INDEX(PP_Grid[#Data],$DD874,41),0)</f>
        <v/>
      </c>
      <c r="AR874">
        <f>IFERROR(INDEX(PP_Grid[#Data],$DD874,42),0)</f>
        <v/>
      </c>
      <c r="AS874">
        <f>IFERROR(INDEX(PP_Grid[#Data],$DD874,43),0)</f>
        <v/>
      </c>
      <c r="AT874">
        <f>IFERROR(INDEX(PP_Grid[#Data],$DD874,44),0)</f>
        <v/>
      </c>
      <c r="AU874">
        <f>IFERROR(INDEX(PP_Grid[#Data],$DD874,45),0)</f>
        <v/>
      </c>
      <c r="AV874">
        <f>IFERROR(INDEX(PP_Grid[#Data],$DD874,46),0)</f>
        <v/>
      </c>
      <c r="AW874">
        <f>IFERROR(INDEX(PP_Grid[#Data],$DD874,47),0)</f>
        <v/>
      </c>
      <c r="AX874">
        <f>IFERROR(INDEX(PP_Grid[#Data],$DD874,48),0)</f>
        <v/>
      </c>
      <c r="AY874">
        <f>IFERROR(INDEX(PP_Grid[#Data],$DD874,49),0)</f>
        <v/>
      </c>
      <c r="AZ874">
        <f>IFERROR(INDEX(PP_Grid[#Data],$DD874,50),0)</f>
        <v/>
      </c>
      <c r="BA874">
        <f>IFERROR(INDEX(PP_Grid[#Data],$DD874,51),0)</f>
        <v/>
      </c>
      <c r="BB874">
        <f>IFERROR(INDEX(PP_Grid[#Data],$DD874,52),0)</f>
        <v/>
      </c>
      <c r="BC874">
        <f>IFERROR(INDEX(PP_Grid[#Data],$DD874,53),0)</f>
        <v/>
      </c>
      <c r="BD874">
        <f>IFERROR(INDEX(PP_Grid[#Data],$DD874,54),0)</f>
        <v/>
      </c>
      <c r="BE874">
        <f>IFERROR(INDEX(PP_Grid[#Data],$DD874,55),0)</f>
        <v/>
      </c>
      <c r="BF874">
        <f>IFERROR(INDEX(PP_Grid[#Data],$DD874,56),0)</f>
        <v/>
      </c>
      <c r="BG874">
        <f>IFERROR(INDEX(PP_Grid[#Data],$DD874,57),0)</f>
        <v/>
      </c>
      <c r="BH874">
        <f>IFERROR(INDEX(PP_Grid[#Data],$DD874,58),0)</f>
        <v/>
      </c>
      <c r="BI874">
        <f>IFERROR(INDEX(PP_Grid[#Data],$DD874,59),0)</f>
        <v/>
      </c>
      <c r="BJ874">
        <f>IFERROR(INDEX(PP_Grid[#Data],$DD874,60),0)</f>
        <v/>
      </c>
      <c r="BK874">
        <f>IFERROR(INDEX(PP_Grid[#Data],$DD874,61),0)</f>
        <v/>
      </c>
      <c r="BL874">
        <f>IFERROR(INDEX(PP_Grid[#Data],$DD874,62),0)</f>
        <v/>
      </c>
      <c r="BM874">
        <f>IFERROR(INDEX(PP_Grid[#Data],$DD874,63),0)</f>
        <v/>
      </c>
      <c r="BN874">
        <f>IFERROR(INDEX(PP_Grid[#Data],$DD874,64),0)</f>
        <v/>
      </c>
      <c r="BO874">
        <f>IFERROR(INDEX(PP_Grid[#Data],$DD874,65),0)</f>
        <v/>
      </c>
      <c r="BP874">
        <f>IFERROR(INDEX(PP_Grid[#Data],$DD874,66),0)</f>
        <v/>
      </c>
      <c r="BQ874">
        <f>IFERROR(INDEX(PP_Grid[#Data],$DD874,67),0)</f>
        <v/>
      </c>
      <c r="BR874">
        <f>IFERROR(INDEX(PP_Grid[#Data],$DD874,68),0)</f>
        <v/>
      </c>
      <c r="BS874">
        <f>IFERROR(INDEX(PP_Grid[#Data],$DD874,69),0)</f>
        <v/>
      </c>
      <c r="BT874">
        <f>IFERROR(INDEX(PP_Grid[#Data],$DD874,70),0)</f>
        <v/>
      </c>
      <c r="BU874">
        <f>IFERROR(INDEX(PP_Grid[#Data],$DD874,71),0)</f>
        <v/>
      </c>
      <c r="BV874">
        <f>IFERROR(INDEX(PP_Grid[#Data],$DD874,72),0)</f>
        <v/>
      </c>
      <c r="BW874">
        <f>IFERROR(INDEX(PP_Grid[#Data],$DD874,73),0)</f>
        <v/>
      </c>
      <c r="BX874">
        <f>IFERROR(INDEX(PP_Grid[#Data],$DD874,74),0)</f>
        <v/>
      </c>
      <c r="BY874">
        <f>IFERROR(INDEX(PP_Grid[#Data],$DD874,75),0)</f>
        <v/>
      </c>
      <c r="BZ874">
        <f>IFERROR(INDEX(PP_Grid[#Data],$DD874,76),0)</f>
        <v/>
      </c>
      <c r="CA874">
        <f>IFERROR(INDEX(PP_Grid[#Data],$DD874,77),0)</f>
        <v/>
      </c>
      <c r="CB874">
        <f>IFERROR(INDEX(PP_Grid[#Data],$DD874,78),0)</f>
        <v/>
      </c>
      <c r="CC874">
        <f>IFERROR(INDEX(PP_Grid[#Data],$DD874,79),0)</f>
        <v/>
      </c>
      <c r="CD874">
        <f>IFERROR(INDEX(PP_Grid[#Data],$DD874,80),0)</f>
        <v/>
      </c>
      <c r="CE874">
        <f>IFERROR(INDEX(PP_Grid[#Data],$DD874,81),0)</f>
        <v/>
      </c>
      <c r="CF874">
        <f>IFERROR(INDEX(PP_Grid[#Data],$DD874,82),0)</f>
        <v/>
      </c>
      <c r="CG874">
        <f>IFERROR(INDEX(PP_Grid[#Data],$DD874,83),0)</f>
        <v/>
      </c>
      <c r="CH874">
        <f>IFERROR(INDEX(PP_Grid[#Data],$DD874,84),0)</f>
        <v/>
      </c>
      <c r="CI874">
        <f>IFERROR(INDEX(PP_Grid[#Data],$DD874,85),0)</f>
        <v/>
      </c>
      <c r="CJ874">
        <f>IFERROR(INDEX(PP_Grid[#Data],$DD874,86),0)</f>
        <v/>
      </c>
      <c r="CK874">
        <f>IFERROR(INDEX(PP_Grid[#Data],$DD874,87),0)</f>
        <v/>
      </c>
      <c r="CL874">
        <f>IFERROR(INDEX(PP_Grid[#Data],$DD874,88),0)</f>
        <v/>
      </c>
      <c r="CM874">
        <f>IFERROR(INDEX(PP_Grid[#Data],$DD874,89),0)</f>
        <v/>
      </c>
      <c r="CN874">
        <f>IFERROR(INDEX(PP_Grid[#Data],$DD874,90),0)</f>
        <v/>
      </c>
      <c r="CO874">
        <f>IFERROR(INDEX(PP_Grid[#Data],$DD874,91),0)</f>
        <v/>
      </c>
      <c r="CP874">
        <f>IFERROR(INDEX(PP_Grid[#Data],$DD874,92),0)</f>
        <v/>
      </c>
      <c r="CQ874">
        <f>IFERROR(INDEX(PP_Grid[#Data],$DD874,93),0)</f>
        <v/>
      </c>
      <c r="CR874">
        <f>IFERROR(INDEX(PP_Grid[#Data],$DD874,94),0)</f>
        <v/>
      </c>
      <c r="CS874">
        <f>IFERROR(INDEX(PP_Grid[#Data],$DD874,95),0)</f>
        <v/>
      </c>
      <c r="CT874">
        <f>IFERROR(INDEX(PP_Grid[#Data],$DD874,96),0)</f>
        <v/>
      </c>
      <c r="CU874">
        <f>IFERROR(INDEX(PP_Grid[#Data],$DD874,97),0)</f>
        <v/>
      </c>
      <c r="CV874">
        <f>IFERROR(INDEX(PP_Grid[#Data],$DD874,98),0)</f>
        <v/>
      </c>
      <c r="CW874">
        <f>IFERROR(INDEX(PP_Grid[#Data],$DD874,99),0)</f>
        <v/>
      </c>
      <c r="CX874">
        <f>IFERROR(INDEX(PP_Grid[#Data],$DD874,100),0)</f>
        <v/>
      </c>
      <c r="CY874">
        <f>IFERROR(INDEX(PP_Grid[#Data],$DD874,101),0)</f>
        <v/>
      </c>
      <c r="CZ874">
        <f>IFERROR(INDEX(PP_Grid[#Data],$DD874,102),0)</f>
        <v/>
      </c>
      <c r="DA874">
        <f>IFERROR(INDEX(PP_Grid[#Data],$DD874,103),0)</f>
        <v/>
      </c>
      <c r="DB874">
        <f>IFERROR(INDEX(PP_Grid[#Data],$DD874,104),0)</f>
        <v/>
      </c>
      <c r="DC874">
        <f>IFERROR(INDEX(PP_Grid[#Data],$DD874,105),0)</f>
        <v/>
      </c>
      <c r="DD874" s="12">
        <f>IFERROR(MATCH($B874,PP_Grid[Intermediate],0),99999)</f>
        <v/>
      </c>
    </row>
    <row r="875">
      <c r="B875" t="inlineStr">
        <is>
          <t>使用量(kg)</t>
        </is>
      </c>
      <c r="C875">
        <f>SUMIFS(M_BOM[RM_Qty_Per_Batch],M_BOM[Intermediate],$B874,M_BOM[Part Name],$A849)</f>
        <v/>
      </c>
      <c r="D875">
        <f>$C875*D874</f>
        <v/>
      </c>
      <c r="E875">
        <f>$C875*E874</f>
        <v/>
      </c>
      <c r="F875">
        <f>$C875*F874</f>
        <v/>
      </c>
      <c r="G875">
        <f>$C875*G874</f>
        <v/>
      </c>
      <c r="H875">
        <f>$C875*H874</f>
        <v/>
      </c>
      <c r="I875">
        <f>$C875*I874</f>
        <v/>
      </c>
      <c r="J875">
        <f>$C875*J874</f>
        <v/>
      </c>
      <c r="K875">
        <f>$C875*K874</f>
        <v/>
      </c>
      <c r="L875">
        <f>$C875*L874</f>
        <v/>
      </c>
      <c r="M875">
        <f>$C875*M874</f>
        <v/>
      </c>
      <c r="N875">
        <f>$C875*N874</f>
        <v/>
      </c>
      <c r="O875">
        <f>$C875*O874</f>
        <v/>
      </c>
      <c r="P875">
        <f>$C875*P874</f>
        <v/>
      </c>
      <c r="Q875">
        <f>$C875*Q874</f>
        <v/>
      </c>
      <c r="R875">
        <f>$C875*R874</f>
        <v/>
      </c>
      <c r="S875">
        <f>$C875*S874</f>
        <v/>
      </c>
      <c r="T875">
        <f>$C875*T874</f>
        <v/>
      </c>
      <c r="U875">
        <f>$C875*U874</f>
        <v/>
      </c>
      <c r="V875">
        <f>$C875*V874</f>
        <v/>
      </c>
      <c r="W875">
        <f>$C875*W874</f>
        <v/>
      </c>
      <c r="X875">
        <f>$C875*X874</f>
        <v/>
      </c>
      <c r="Y875">
        <f>$C875*Y874</f>
        <v/>
      </c>
      <c r="Z875">
        <f>$C875*Z874</f>
        <v/>
      </c>
      <c r="AA875">
        <f>$C875*AA874</f>
        <v/>
      </c>
      <c r="AB875">
        <f>$C875*AB874</f>
        <v/>
      </c>
      <c r="AC875">
        <f>$C875*AC874</f>
        <v/>
      </c>
      <c r="AD875">
        <f>$C875*AD874</f>
        <v/>
      </c>
      <c r="AE875">
        <f>$C875*AE874</f>
        <v/>
      </c>
      <c r="AF875">
        <f>$C875*AF874</f>
        <v/>
      </c>
      <c r="AG875">
        <f>$C875*AG874</f>
        <v/>
      </c>
      <c r="AH875">
        <f>$C875*AH874</f>
        <v/>
      </c>
      <c r="AI875">
        <f>$C875*AI874</f>
        <v/>
      </c>
      <c r="AJ875">
        <f>$C875*AJ874</f>
        <v/>
      </c>
      <c r="AK875">
        <f>$C875*AK874</f>
        <v/>
      </c>
      <c r="AL875">
        <f>$C875*AL874</f>
        <v/>
      </c>
      <c r="AM875">
        <f>$C875*AM874</f>
        <v/>
      </c>
      <c r="AN875">
        <f>$C875*AN874</f>
        <v/>
      </c>
      <c r="AO875">
        <f>$C875*AO874</f>
        <v/>
      </c>
      <c r="AP875">
        <f>$C875*AP874</f>
        <v/>
      </c>
      <c r="AQ875">
        <f>$C875*AQ874</f>
        <v/>
      </c>
      <c r="AR875">
        <f>$C875*AR874</f>
        <v/>
      </c>
      <c r="AS875">
        <f>$C875*AS874</f>
        <v/>
      </c>
      <c r="AT875">
        <f>$C875*AT874</f>
        <v/>
      </c>
      <c r="AU875">
        <f>$C875*AU874</f>
        <v/>
      </c>
      <c r="AV875">
        <f>$C875*AV874</f>
        <v/>
      </c>
      <c r="AW875">
        <f>$C875*AW874</f>
        <v/>
      </c>
      <c r="AX875">
        <f>$C875*AX874</f>
        <v/>
      </c>
      <c r="AY875">
        <f>$C875*AY874</f>
        <v/>
      </c>
      <c r="AZ875">
        <f>$C875*AZ874</f>
        <v/>
      </c>
      <c r="BA875">
        <f>$C875*BA874</f>
        <v/>
      </c>
      <c r="BB875">
        <f>$C875*BB874</f>
        <v/>
      </c>
      <c r="BC875">
        <f>$C875*BC874</f>
        <v/>
      </c>
      <c r="BD875">
        <f>$C875*BD874</f>
        <v/>
      </c>
      <c r="BE875">
        <f>$C875*BE874</f>
        <v/>
      </c>
      <c r="BF875">
        <f>$C875*BF874</f>
        <v/>
      </c>
      <c r="BG875">
        <f>$C875*BG874</f>
        <v/>
      </c>
      <c r="BH875">
        <f>$C875*BH874</f>
        <v/>
      </c>
      <c r="BI875">
        <f>$C875*BI874</f>
        <v/>
      </c>
      <c r="BJ875">
        <f>$C875*BJ874</f>
        <v/>
      </c>
      <c r="BK875">
        <f>$C875*BK874</f>
        <v/>
      </c>
      <c r="BL875">
        <f>$C875*BL874</f>
        <v/>
      </c>
      <c r="BM875">
        <f>$C875*BM874</f>
        <v/>
      </c>
      <c r="BN875">
        <f>$C875*BN874</f>
        <v/>
      </c>
      <c r="BO875">
        <f>$C875*BO874</f>
        <v/>
      </c>
      <c r="BP875">
        <f>$C875*BP874</f>
        <v/>
      </c>
      <c r="BQ875">
        <f>$C875*BQ874</f>
        <v/>
      </c>
      <c r="BR875">
        <f>$C875*BR874</f>
        <v/>
      </c>
      <c r="BS875">
        <f>$C875*BS874</f>
        <v/>
      </c>
      <c r="BT875">
        <f>$C875*BT874</f>
        <v/>
      </c>
      <c r="BU875">
        <f>$C875*BU874</f>
        <v/>
      </c>
      <c r="BV875">
        <f>$C875*BV874</f>
        <v/>
      </c>
      <c r="BW875">
        <f>$C875*BW874</f>
        <v/>
      </c>
      <c r="BX875">
        <f>$C875*BX874</f>
        <v/>
      </c>
      <c r="BY875">
        <f>$C875*BY874</f>
        <v/>
      </c>
      <c r="BZ875">
        <f>$C875*BZ874</f>
        <v/>
      </c>
      <c r="CA875">
        <f>$C875*CA874</f>
        <v/>
      </c>
      <c r="CB875">
        <f>$C875*CB874</f>
        <v/>
      </c>
      <c r="CC875">
        <f>$C875*CC874</f>
        <v/>
      </c>
      <c r="CD875">
        <f>$C875*CD874</f>
        <v/>
      </c>
      <c r="CE875">
        <f>$C875*CE874</f>
        <v/>
      </c>
      <c r="CF875">
        <f>$C875*CF874</f>
        <v/>
      </c>
      <c r="CG875">
        <f>$C875*CG874</f>
        <v/>
      </c>
      <c r="CH875">
        <f>$C875*CH874</f>
        <v/>
      </c>
      <c r="CI875">
        <f>$C875*CI874</f>
        <v/>
      </c>
      <c r="CJ875">
        <f>$C875*CJ874</f>
        <v/>
      </c>
      <c r="CK875">
        <f>$C875*CK874</f>
        <v/>
      </c>
      <c r="CL875">
        <f>$C875*CL874</f>
        <v/>
      </c>
      <c r="CM875">
        <f>$C875*CM874</f>
        <v/>
      </c>
      <c r="CN875">
        <f>$C875*CN874</f>
        <v/>
      </c>
      <c r="CO875">
        <f>$C875*CO874</f>
        <v/>
      </c>
      <c r="CP875">
        <f>$C875*CP874</f>
        <v/>
      </c>
      <c r="CQ875">
        <f>$C875*CQ874</f>
        <v/>
      </c>
      <c r="CR875">
        <f>$C875*CR874</f>
        <v/>
      </c>
      <c r="CS875">
        <f>$C875*CS874</f>
        <v/>
      </c>
      <c r="CT875">
        <f>$C875*CT874</f>
        <v/>
      </c>
      <c r="CU875">
        <f>$C875*CU874</f>
        <v/>
      </c>
      <c r="CV875">
        <f>$C875*CV874</f>
        <v/>
      </c>
      <c r="CW875">
        <f>$C875*CW874</f>
        <v/>
      </c>
      <c r="CX875">
        <f>$C875*CX874</f>
        <v/>
      </c>
      <c r="CY875">
        <f>$C875*CY874</f>
        <v/>
      </c>
      <c r="CZ875">
        <f>$C875*CZ874</f>
        <v/>
      </c>
      <c r="DA875">
        <f>$C875*DA874</f>
        <v/>
      </c>
      <c r="DB875">
        <f>$C875*DB874</f>
        <v/>
      </c>
      <c r="DC875">
        <f>$C875*DC874</f>
        <v/>
      </c>
    </row>
    <row r="876">
      <c r="B876" t="inlineStr">
        <is>
          <t>TSP-1446</t>
        </is>
      </c>
      <c r="C876" t="inlineStr">
        <is>
          <t>No. of batches</t>
        </is>
      </c>
      <c r="D876">
        <f>IFERROR(INDEX(PP_Grid[#Data],$DD876,2),0)</f>
        <v/>
      </c>
      <c r="E876">
        <f>IFERROR(INDEX(PP_Grid[#Data],$DD876,3),0)</f>
        <v/>
      </c>
      <c r="F876">
        <f>IFERROR(INDEX(PP_Grid[#Data],$DD876,4),0)</f>
        <v/>
      </c>
      <c r="G876">
        <f>IFERROR(INDEX(PP_Grid[#Data],$DD876,5),0)</f>
        <v/>
      </c>
      <c r="H876">
        <f>IFERROR(INDEX(PP_Grid[#Data],$DD876,6),0)</f>
        <v/>
      </c>
      <c r="I876">
        <f>IFERROR(INDEX(PP_Grid[#Data],$DD876,7),0)</f>
        <v/>
      </c>
      <c r="J876">
        <f>IFERROR(INDEX(PP_Grid[#Data],$DD876,8),0)</f>
        <v/>
      </c>
      <c r="K876">
        <f>IFERROR(INDEX(PP_Grid[#Data],$DD876,9),0)</f>
        <v/>
      </c>
      <c r="L876">
        <f>IFERROR(INDEX(PP_Grid[#Data],$DD876,10),0)</f>
        <v/>
      </c>
      <c r="M876">
        <f>IFERROR(INDEX(PP_Grid[#Data],$DD876,11),0)</f>
        <v/>
      </c>
      <c r="N876">
        <f>IFERROR(INDEX(PP_Grid[#Data],$DD876,12),0)</f>
        <v/>
      </c>
      <c r="O876">
        <f>IFERROR(INDEX(PP_Grid[#Data],$DD876,13),0)</f>
        <v/>
      </c>
      <c r="P876">
        <f>IFERROR(INDEX(PP_Grid[#Data],$DD876,14),0)</f>
        <v/>
      </c>
      <c r="Q876">
        <f>IFERROR(INDEX(PP_Grid[#Data],$DD876,15),0)</f>
        <v/>
      </c>
      <c r="R876">
        <f>IFERROR(INDEX(PP_Grid[#Data],$DD876,16),0)</f>
        <v/>
      </c>
      <c r="S876">
        <f>IFERROR(INDEX(PP_Grid[#Data],$DD876,17),0)</f>
        <v/>
      </c>
      <c r="T876">
        <f>IFERROR(INDEX(PP_Grid[#Data],$DD876,18),0)</f>
        <v/>
      </c>
      <c r="U876">
        <f>IFERROR(INDEX(PP_Grid[#Data],$DD876,19),0)</f>
        <v/>
      </c>
      <c r="V876">
        <f>IFERROR(INDEX(PP_Grid[#Data],$DD876,20),0)</f>
        <v/>
      </c>
      <c r="W876">
        <f>IFERROR(INDEX(PP_Grid[#Data],$DD876,21),0)</f>
        <v/>
      </c>
      <c r="X876">
        <f>IFERROR(INDEX(PP_Grid[#Data],$DD876,22),0)</f>
        <v/>
      </c>
      <c r="Y876">
        <f>IFERROR(INDEX(PP_Grid[#Data],$DD876,23),0)</f>
        <v/>
      </c>
      <c r="Z876">
        <f>IFERROR(INDEX(PP_Grid[#Data],$DD876,24),0)</f>
        <v/>
      </c>
      <c r="AA876">
        <f>IFERROR(INDEX(PP_Grid[#Data],$DD876,25),0)</f>
        <v/>
      </c>
      <c r="AB876">
        <f>IFERROR(INDEX(PP_Grid[#Data],$DD876,26),0)</f>
        <v/>
      </c>
      <c r="AC876">
        <f>IFERROR(INDEX(PP_Grid[#Data],$DD876,27),0)</f>
        <v/>
      </c>
      <c r="AD876">
        <f>IFERROR(INDEX(PP_Grid[#Data],$DD876,28),0)</f>
        <v/>
      </c>
      <c r="AE876">
        <f>IFERROR(INDEX(PP_Grid[#Data],$DD876,29),0)</f>
        <v/>
      </c>
      <c r="AF876">
        <f>IFERROR(INDEX(PP_Grid[#Data],$DD876,30),0)</f>
        <v/>
      </c>
      <c r="AG876">
        <f>IFERROR(INDEX(PP_Grid[#Data],$DD876,31),0)</f>
        <v/>
      </c>
      <c r="AH876">
        <f>IFERROR(INDEX(PP_Grid[#Data],$DD876,32),0)</f>
        <v/>
      </c>
      <c r="AI876">
        <f>IFERROR(INDEX(PP_Grid[#Data],$DD876,33),0)</f>
        <v/>
      </c>
      <c r="AJ876">
        <f>IFERROR(INDEX(PP_Grid[#Data],$DD876,34),0)</f>
        <v/>
      </c>
      <c r="AK876">
        <f>IFERROR(INDEX(PP_Grid[#Data],$DD876,35),0)</f>
        <v/>
      </c>
      <c r="AL876">
        <f>IFERROR(INDEX(PP_Grid[#Data],$DD876,36),0)</f>
        <v/>
      </c>
      <c r="AM876">
        <f>IFERROR(INDEX(PP_Grid[#Data],$DD876,37),0)</f>
        <v/>
      </c>
      <c r="AN876">
        <f>IFERROR(INDEX(PP_Grid[#Data],$DD876,38),0)</f>
        <v/>
      </c>
      <c r="AO876">
        <f>IFERROR(INDEX(PP_Grid[#Data],$DD876,39),0)</f>
        <v/>
      </c>
      <c r="AP876">
        <f>IFERROR(INDEX(PP_Grid[#Data],$DD876,40),0)</f>
        <v/>
      </c>
      <c r="AQ876">
        <f>IFERROR(INDEX(PP_Grid[#Data],$DD876,41),0)</f>
        <v/>
      </c>
      <c r="AR876">
        <f>IFERROR(INDEX(PP_Grid[#Data],$DD876,42),0)</f>
        <v/>
      </c>
      <c r="AS876">
        <f>IFERROR(INDEX(PP_Grid[#Data],$DD876,43),0)</f>
        <v/>
      </c>
      <c r="AT876">
        <f>IFERROR(INDEX(PP_Grid[#Data],$DD876,44),0)</f>
        <v/>
      </c>
      <c r="AU876">
        <f>IFERROR(INDEX(PP_Grid[#Data],$DD876,45),0)</f>
        <v/>
      </c>
      <c r="AV876">
        <f>IFERROR(INDEX(PP_Grid[#Data],$DD876,46),0)</f>
        <v/>
      </c>
      <c r="AW876">
        <f>IFERROR(INDEX(PP_Grid[#Data],$DD876,47),0)</f>
        <v/>
      </c>
      <c r="AX876">
        <f>IFERROR(INDEX(PP_Grid[#Data],$DD876,48),0)</f>
        <v/>
      </c>
      <c r="AY876">
        <f>IFERROR(INDEX(PP_Grid[#Data],$DD876,49),0)</f>
        <v/>
      </c>
      <c r="AZ876">
        <f>IFERROR(INDEX(PP_Grid[#Data],$DD876,50),0)</f>
        <v/>
      </c>
      <c r="BA876">
        <f>IFERROR(INDEX(PP_Grid[#Data],$DD876,51),0)</f>
        <v/>
      </c>
      <c r="BB876">
        <f>IFERROR(INDEX(PP_Grid[#Data],$DD876,52),0)</f>
        <v/>
      </c>
      <c r="BC876">
        <f>IFERROR(INDEX(PP_Grid[#Data],$DD876,53),0)</f>
        <v/>
      </c>
      <c r="BD876">
        <f>IFERROR(INDEX(PP_Grid[#Data],$DD876,54),0)</f>
        <v/>
      </c>
      <c r="BE876">
        <f>IFERROR(INDEX(PP_Grid[#Data],$DD876,55),0)</f>
        <v/>
      </c>
      <c r="BF876">
        <f>IFERROR(INDEX(PP_Grid[#Data],$DD876,56),0)</f>
        <v/>
      </c>
      <c r="BG876">
        <f>IFERROR(INDEX(PP_Grid[#Data],$DD876,57),0)</f>
        <v/>
      </c>
      <c r="BH876">
        <f>IFERROR(INDEX(PP_Grid[#Data],$DD876,58),0)</f>
        <v/>
      </c>
      <c r="BI876">
        <f>IFERROR(INDEX(PP_Grid[#Data],$DD876,59),0)</f>
        <v/>
      </c>
      <c r="BJ876">
        <f>IFERROR(INDEX(PP_Grid[#Data],$DD876,60),0)</f>
        <v/>
      </c>
      <c r="BK876">
        <f>IFERROR(INDEX(PP_Grid[#Data],$DD876,61),0)</f>
        <v/>
      </c>
      <c r="BL876">
        <f>IFERROR(INDEX(PP_Grid[#Data],$DD876,62),0)</f>
        <v/>
      </c>
      <c r="BM876">
        <f>IFERROR(INDEX(PP_Grid[#Data],$DD876,63),0)</f>
        <v/>
      </c>
      <c r="BN876">
        <f>IFERROR(INDEX(PP_Grid[#Data],$DD876,64),0)</f>
        <v/>
      </c>
      <c r="BO876">
        <f>IFERROR(INDEX(PP_Grid[#Data],$DD876,65),0)</f>
        <v/>
      </c>
      <c r="BP876">
        <f>IFERROR(INDEX(PP_Grid[#Data],$DD876,66),0)</f>
        <v/>
      </c>
      <c r="BQ876">
        <f>IFERROR(INDEX(PP_Grid[#Data],$DD876,67),0)</f>
        <v/>
      </c>
      <c r="BR876">
        <f>IFERROR(INDEX(PP_Grid[#Data],$DD876,68),0)</f>
        <v/>
      </c>
      <c r="BS876">
        <f>IFERROR(INDEX(PP_Grid[#Data],$DD876,69),0)</f>
        <v/>
      </c>
      <c r="BT876">
        <f>IFERROR(INDEX(PP_Grid[#Data],$DD876,70),0)</f>
        <v/>
      </c>
      <c r="BU876">
        <f>IFERROR(INDEX(PP_Grid[#Data],$DD876,71),0)</f>
        <v/>
      </c>
      <c r="BV876">
        <f>IFERROR(INDEX(PP_Grid[#Data],$DD876,72),0)</f>
        <v/>
      </c>
      <c r="BW876">
        <f>IFERROR(INDEX(PP_Grid[#Data],$DD876,73),0)</f>
        <v/>
      </c>
      <c r="BX876">
        <f>IFERROR(INDEX(PP_Grid[#Data],$DD876,74),0)</f>
        <v/>
      </c>
      <c r="BY876">
        <f>IFERROR(INDEX(PP_Grid[#Data],$DD876,75),0)</f>
        <v/>
      </c>
      <c r="BZ876">
        <f>IFERROR(INDEX(PP_Grid[#Data],$DD876,76),0)</f>
        <v/>
      </c>
      <c r="CA876">
        <f>IFERROR(INDEX(PP_Grid[#Data],$DD876,77),0)</f>
        <v/>
      </c>
      <c r="CB876">
        <f>IFERROR(INDEX(PP_Grid[#Data],$DD876,78),0)</f>
        <v/>
      </c>
      <c r="CC876">
        <f>IFERROR(INDEX(PP_Grid[#Data],$DD876,79),0)</f>
        <v/>
      </c>
      <c r="CD876">
        <f>IFERROR(INDEX(PP_Grid[#Data],$DD876,80),0)</f>
        <v/>
      </c>
      <c r="CE876">
        <f>IFERROR(INDEX(PP_Grid[#Data],$DD876,81),0)</f>
        <v/>
      </c>
      <c r="CF876">
        <f>IFERROR(INDEX(PP_Grid[#Data],$DD876,82),0)</f>
        <v/>
      </c>
      <c r="CG876">
        <f>IFERROR(INDEX(PP_Grid[#Data],$DD876,83),0)</f>
        <v/>
      </c>
      <c r="CH876">
        <f>IFERROR(INDEX(PP_Grid[#Data],$DD876,84),0)</f>
        <v/>
      </c>
      <c r="CI876">
        <f>IFERROR(INDEX(PP_Grid[#Data],$DD876,85),0)</f>
        <v/>
      </c>
      <c r="CJ876">
        <f>IFERROR(INDEX(PP_Grid[#Data],$DD876,86),0)</f>
        <v/>
      </c>
      <c r="CK876">
        <f>IFERROR(INDEX(PP_Grid[#Data],$DD876,87),0)</f>
        <v/>
      </c>
      <c r="CL876">
        <f>IFERROR(INDEX(PP_Grid[#Data],$DD876,88),0)</f>
        <v/>
      </c>
      <c r="CM876">
        <f>IFERROR(INDEX(PP_Grid[#Data],$DD876,89),0)</f>
        <v/>
      </c>
      <c r="CN876">
        <f>IFERROR(INDEX(PP_Grid[#Data],$DD876,90),0)</f>
        <v/>
      </c>
      <c r="CO876">
        <f>IFERROR(INDEX(PP_Grid[#Data],$DD876,91),0)</f>
        <v/>
      </c>
      <c r="CP876">
        <f>IFERROR(INDEX(PP_Grid[#Data],$DD876,92),0)</f>
        <v/>
      </c>
      <c r="CQ876">
        <f>IFERROR(INDEX(PP_Grid[#Data],$DD876,93),0)</f>
        <v/>
      </c>
      <c r="CR876">
        <f>IFERROR(INDEX(PP_Grid[#Data],$DD876,94),0)</f>
        <v/>
      </c>
      <c r="CS876">
        <f>IFERROR(INDEX(PP_Grid[#Data],$DD876,95),0)</f>
        <v/>
      </c>
      <c r="CT876">
        <f>IFERROR(INDEX(PP_Grid[#Data],$DD876,96),0)</f>
        <v/>
      </c>
      <c r="CU876">
        <f>IFERROR(INDEX(PP_Grid[#Data],$DD876,97),0)</f>
        <v/>
      </c>
      <c r="CV876">
        <f>IFERROR(INDEX(PP_Grid[#Data],$DD876,98),0)</f>
        <v/>
      </c>
      <c r="CW876">
        <f>IFERROR(INDEX(PP_Grid[#Data],$DD876,99),0)</f>
        <v/>
      </c>
      <c r="CX876">
        <f>IFERROR(INDEX(PP_Grid[#Data],$DD876,100),0)</f>
        <v/>
      </c>
      <c r="CY876">
        <f>IFERROR(INDEX(PP_Grid[#Data],$DD876,101),0)</f>
        <v/>
      </c>
      <c r="CZ876">
        <f>IFERROR(INDEX(PP_Grid[#Data],$DD876,102),0)</f>
        <v/>
      </c>
      <c r="DA876">
        <f>IFERROR(INDEX(PP_Grid[#Data],$DD876,103),0)</f>
        <v/>
      </c>
      <c r="DB876">
        <f>IFERROR(INDEX(PP_Grid[#Data],$DD876,104),0)</f>
        <v/>
      </c>
      <c r="DC876">
        <f>IFERROR(INDEX(PP_Grid[#Data],$DD876,105),0)</f>
        <v/>
      </c>
      <c r="DD876" s="12">
        <f>IFERROR(MATCH($B876,PP_Grid[Intermediate],0),99999)</f>
        <v/>
      </c>
    </row>
    <row r="877">
      <c r="B877" t="inlineStr">
        <is>
          <t>使用量(kg)</t>
        </is>
      </c>
      <c r="C877">
        <f>SUMIFS(M_BOM[RM_Qty_Per_Batch],M_BOM[Intermediate],$B876,M_BOM[Part Name],$A849)</f>
        <v/>
      </c>
      <c r="D877">
        <f>$C877*D876</f>
        <v/>
      </c>
      <c r="E877">
        <f>$C877*E876</f>
        <v/>
      </c>
      <c r="F877">
        <f>$C877*F876</f>
        <v/>
      </c>
      <c r="G877">
        <f>$C877*G876</f>
        <v/>
      </c>
      <c r="H877">
        <f>$C877*H876</f>
        <v/>
      </c>
      <c r="I877">
        <f>$C877*I876</f>
        <v/>
      </c>
      <c r="J877">
        <f>$C877*J876</f>
        <v/>
      </c>
      <c r="K877">
        <f>$C877*K876</f>
        <v/>
      </c>
      <c r="L877">
        <f>$C877*L876</f>
        <v/>
      </c>
      <c r="M877">
        <f>$C877*M876</f>
        <v/>
      </c>
      <c r="N877">
        <f>$C877*N876</f>
        <v/>
      </c>
      <c r="O877">
        <f>$C877*O876</f>
        <v/>
      </c>
      <c r="P877">
        <f>$C877*P876</f>
        <v/>
      </c>
      <c r="Q877">
        <f>$C877*Q876</f>
        <v/>
      </c>
      <c r="R877">
        <f>$C877*R876</f>
        <v/>
      </c>
      <c r="S877">
        <f>$C877*S876</f>
        <v/>
      </c>
      <c r="T877">
        <f>$C877*T876</f>
        <v/>
      </c>
      <c r="U877">
        <f>$C877*U876</f>
        <v/>
      </c>
      <c r="V877">
        <f>$C877*V876</f>
        <v/>
      </c>
      <c r="W877">
        <f>$C877*W876</f>
        <v/>
      </c>
      <c r="X877">
        <f>$C877*X876</f>
        <v/>
      </c>
      <c r="Y877">
        <f>$C877*Y876</f>
        <v/>
      </c>
      <c r="Z877">
        <f>$C877*Z876</f>
        <v/>
      </c>
      <c r="AA877">
        <f>$C877*AA876</f>
        <v/>
      </c>
      <c r="AB877">
        <f>$C877*AB876</f>
        <v/>
      </c>
      <c r="AC877">
        <f>$C877*AC876</f>
        <v/>
      </c>
      <c r="AD877">
        <f>$C877*AD876</f>
        <v/>
      </c>
      <c r="AE877">
        <f>$C877*AE876</f>
        <v/>
      </c>
      <c r="AF877">
        <f>$C877*AF876</f>
        <v/>
      </c>
      <c r="AG877">
        <f>$C877*AG876</f>
        <v/>
      </c>
      <c r="AH877">
        <f>$C877*AH876</f>
        <v/>
      </c>
      <c r="AI877">
        <f>$C877*AI876</f>
        <v/>
      </c>
      <c r="AJ877">
        <f>$C877*AJ876</f>
        <v/>
      </c>
      <c r="AK877">
        <f>$C877*AK876</f>
        <v/>
      </c>
      <c r="AL877">
        <f>$C877*AL876</f>
        <v/>
      </c>
      <c r="AM877">
        <f>$C877*AM876</f>
        <v/>
      </c>
      <c r="AN877">
        <f>$C877*AN876</f>
        <v/>
      </c>
      <c r="AO877">
        <f>$C877*AO876</f>
        <v/>
      </c>
      <c r="AP877">
        <f>$C877*AP876</f>
        <v/>
      </c>
      <c r="AQ877">
        <f>$C877*AQ876</f>
        <v/>
      </c>
      <c r="AR877">
        <f>$C877*AR876</f>
        <v/>
      </c>
      <c r="AS877">
        <f>$C877*AS876</f>
        <v/>
      </c>
      <c r="AT877">
        <f>$C877*AT876</f>
        <v/>
      </c>
      <c r="AU877">
        <f>$C877*AU876</f>
        <v/>
      </c>
      <c r="AV877">
        <f>$C877*AV876</f>
        <v/>
      </c>
      <c r="AW877">
        <f>$C877*AW876</f>
        <v/>
      </c>
      <c r="AX877">
        <f>$C877*AX876</f>
        <v/>
      </c>
      <c r="AY877">
        <f>$C877*AY876</f>
        <v/>
      </c>
      <c r="AZ877">
        <f>$C877*AZ876</f>
        <v/>
      </c>
      <c r="BA877">
        <f>$C877*BA876</f>
        <v/>
      </c>
      <c r="BB877">
        <f>$C877*BB876</f>
        <v/>
      </c>
      <c r="BC877">
        <f>$C877*BC876</f>
        <v/>
      </c>
      <c r="BD877">
        <f>$C877*BD876</f>
        <v/>
      </c>
      <c r="BE877">
        <f>$C877*BE876</f>
        <v/>
      </c>
      <c r="BF877">
        <f>$C877*BF876</f>
        <v/>
      </c>
      <c r="BG877">
        <f>$C877*BG876</f>
        <v/>
      </c>
      <c r="BH877">
        <f>$C877*BH876</f>
        <v/>
      </c>
      <c r="BI877">
        <f>$C877*BI876</f>
        <v/>
      </c>
      <c r="BJ877">
        <f>$C877*BJ876</f>
        <v/>
      </c>
      <c r="BK877">
        <f>$C877*BK876</f>
        <v/>
      </c>
      <c r="BL877">
        <f>$C877*BL876</f>
        <v/>
      </c>
      <c r="BM877">
        <f>$C877*BM876</f>
        <v/>
      </c>
      <c r="BN877">
        <f>$C877*BN876</f>
        <v/>
      </c>
      <c r="BO877">
        <f>$C877*BO876</f>
        <v/>
      </c>
      <c r="BP877">
        <f>$C877*BP876</f>
        <v/>
      </c>
      <c r="BQ877">
        <f>$C877*BQ876</f>
        <v/>
      </c>
      <c r="BR877">
        <f>$C877*BR876</f>
        <v/>
      </c>
      <c r="BS877">
        <f>$C877*BS876</f>
        <v/>
      </c>
      <c r="BT877">
        <f>$C877*BT876</f>
        <v/>
      </c>
      <c r="BU877">
        <f>$C877*BU876</f>
        <v/>
      </c>
      <c r="BV877">
        <f>$C877*BV876</f>
        <v/>
      </c>
      <c r="BW877">
        <f>$C877*BW876</f>
        <v/>
      </c>
      <c r="BX877">
        <f>$C877*BX876</f>
        <v/>
      </c>
      <c r="BY877">
        <f>$C877*BY876</f>
        <v/>
      </c>
      <c r="BZ877">
        <f>$C877*BZ876</f>
        <v/>
      </c>
      <c r="CA877">
        <f>$C877*CA876</f>
        <v/>
      </c>
      <c r="CB877">
        <f>$C877*CB876</f>
        <v/>
      </c>
      <c r="CC877">
        <f>$C877*CC876</f>
        <v/>
      </c>
      <c r="CD877">
        <f>$C877*CD876</f>
        <v/>
      </c>
      <c r="CE877">
        <f>$C877*CE876</f>
        <v/>
      </c>
      <c r="CF877">
        <f>$C877*CF876</f>
        <v/>
      </c>
      <c r="CG877">
        <f>$C877*CG876</f>
        <v/>
      </c>
      <c r="CH877">
        <f>$C877*CH876</f>
        <v/>
      </c>
      <c r="CI877">
        <f>$C877*CI876</f>
        <v/>
      </c>
      <c r="CJ877">
        <f>$C877*CJ876</f>
        <v/>
      </c>
      <c r="CK877">
        <f>$C877*CK876</f>
        <v/>
      </c>
      <c r="CL877">
        <f>$C877*CL876</f>
        <v/>
      </c>
      <c r="CM877">
        <f>$C877*CM876</f>
        <v/>
      </c>
      <c r="CN877">
        <f>$C877*CN876</f>
        <v/>
      </c>
      <c r="CO877">
        <f>$C877*CO876</f>
        <v/>
      </c>
      <c r="CP877">
        <f>$C877*CP876</f>
        <v/>
      </c>
      <c r="CQ877">
        <f>$C877*CQ876</f>
        <v/>
      </c>
      <c r="CR877">
        <f>$C877*CR876</f>
        <v/>
      </c>
      <c r="CS877">
        <f>$C877*CS876</f>
        <v/>
      </c>
      <c r="CT877">
        <f>$C877*CT876</f>
        <v/>
      </c>
      <c r="CU877">
        <f>$C877*CU876</f>
        <v/>
      </c>
      <c r="CV877">
        <f>$C877*CV876</f>
        <v/>
      </c>
      <c r="CW877">
        <f>$C877*CW876</f>
        <v/>
      </c>
      <c r="CX877">
        <f>$C877*CX876</f>
        <v/>
      </c>
      <c r="CY877">
        <f>$C877*CY876</f>
        <v/>
      </c>
      <c r="CZ877">
        <f>$C877*CZ876</f>
        <v/>
      </c>
      <c r="DA877">
        <f>$C877*DA876</f>
        <v/>
      </c>
      <c r="DB877">
        <f>$C877*DB876</f>
        <v/>
      </c>
      <c r="DC877">
        <f>$C877*DC876</f>
        <v/>
      </c>
    </row>
    <row r="878">
      <c r="B878" t="inlineStr">
        <is>
          <t>TPP-358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Name],$A849)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TPP-533(98%)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Name],$A849)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TPP-533(A)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Name],$A849)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No of times used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Name],$A849)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TSP-1449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12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Name],$A849)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s="9" t="inlineStr">
        <is>
          <t>合計使用量(kg)/週</t>
        </is>
      </c>
      <c r="D888">
        <f>'Grid_Requirement'!B7</f>
        <v/>
      </c>
      <c r="E888">
        <f>'Grid_Requirement'!C7</f>
        <v/>
      </c>
      <c r="F888">
        <f>'Grid_Requirement'!D7</f>
        <v/>
      </c>
      <c r="G888">
        <f>'Grid_Requirement'!E7</f>
        <v/>
      </c>
      <c r="H888">
        <f>'Grid_Requirement'!F7</f>
        <v/>
      </c>
      <c r="I888">
        <f>'Grid_Requirement'!G7</f>
        <v/>
      </c>
      <c r="J888">
        <f>'Grid_Requirement'!H7</f>
        <v/>
      </c>
      <c r="K888">
        <f>'Grid_Requirement'!I7</f>
        <v/>
      </c>
      <c r="L888">
        <f>'Grid_Requirement'!J7</f>
        <v/>
      </c>
      <c r="M888">
        <f>'Grid_Requirement'!K7</f>
        <v/>
      </c>
      <c r="N888">
        <f>'Grid_Requirement'!L7</f>
        <v/>
      </c>
      <c r="O888">
        <f>'Grid_Requirement'!M7</f>
        <v/>
      </c>
      <c r="P888">
        <f>'Grid_Requirement'!N7</f>
        <v/>
      </c>
      <c r="Q888">
        <f>'Grid_Requirement'!O7</f>
        <v/>
      </c>
      <c r="R888">
        <f>'Grid_Requirement'!P7</f>
        <v/>
      </c>
      <c r="S888">
        <f>'Grid_Requirement'!Q7</f>
        <v/>
      </c>
      <c r="T888">
        <f>'Grid_Requirement'!R7</f>
        <v/>
      </c>
      <c r="U888">
        <f>'Grid_Requirement'!S7</f>
        <v/>
      </c>
      <c r="V888">
        <f>'Grid_Requirement'!T7</f>
        <v/>
      </c>
      <c r="W888">
        <f>'Grid_Requirement'!U7</f>
        <v/>
      </c>
      <c r="X888">
        <f>'Grid_Requirement'!V7</f>
        <v/>
      </c>
      <c r="Y888">
        <f>'Grid_Requirement'!W7</f>
        <v/>
      </c>
      <c r="Z888">
        <f>'Grid_Requirement'!X7</f>
        <v/>
      </c>
      <c r="AA888">
        <f>'Grid_Requirement'!Y7</f>
        <v/>
      </c>
      <c r="AB888">
        <f>'Grid_Requirement'!Z7</f>
        <v/>
      </c>
      <c r="AC888">
        <f>'Grid_Requirement'!AA7</f>
        <v/>
      </c>
      <c r="AD888">
        <f>'Grid_Requirement'!AB7</f>
        <v/>
      </c>
      <c r="AE888">
        <f>'Grid_Requirement'!AC7</f>
        <v/>
      </c>
      <c r="AF888">
        <f>'Grid_Requirement'!AD7</f>
        <v/>
      </c>
      <c r="AG888">
        <f>'Grid_Requirement'!AE7</f>
        <v/>
      </c>
      <c r="AH888">
        <f>'Grid_Requirement'!AF7</f>
        <v/>
      </c>
      <c r="AI888">
        <f>'Grid_Requirement'!AG7</f>
        <v/>
      </c>
      <c r="AJ888">
        <f>'Grid_Requirement'!AH7</f>
        <v/>
      </c>
      <c r="AK888">
        <f>'Grid_Requirement'!AI7</f>
        <v/>
      </c>
      <c r="AL888">
        <f>'Grid_Requirement'!AJ7</f>
        <v/>
      </c>
      <c r="AM888">
        <f>'Grid_Requirement'!AK7</f>
        <v/>
      </c>
      <c r="AN888">
        <f>'Grid_Requirement'!AL7</f>
        <v/>
      </c>
      <c r="AO888">
        <f>'Grid_Requirement'!AM7</f>
        <v/>
      </c>
      <c r="AP888">
        <f>'Grid_Requirement'!AN7</f>
        <v/>
      </c>
      <c r="AQ888">
        <f>'Grid_Requirement'!AO7</f>
        <v/>
      </c>
      <c r="AR888">
        <f>'Grid_Requirement'!AP7</f>
        <v/>
      </c>
      <c r="AS888">
        <f>'Grid_Requirement'!AQ7</f>
        <v/>
      </c>
      <c r="AT888">
        <f>'Grid_Requirement'!AR7</f>
        <v/>
      </c>
      <c r="AU888">
        <f>'Grid_Requirement'!AS7</f>
        <v/>
      </c>
      <c r="AV888">
        <f>'Grid_Requirement'!AT7</f>
        <v/>
      </c>
      <c r="AW888">
        <f>'Grid_Requirement'!AU7</f>
        <v/>
      </c>
      <c r="AX888">
        <f>'Grid_Requirement'!AV7</f>
        <v/>
      </c>
      <c r="AY888">
        <f>'Grid_Requirement'!AW7</f>
        <v/>
      </c>
      <c r="AZ888">
        <f>'Grid_Requirement'!AX7</f>
        <v/>
      </c>
      <c r="BA888">
        <f>'Grid_Requirement'!AY7</f>
        <v/>
      </c>
      <c r="BB888">
        <f>'Grid_Requirement'!AZ7</f>
        <v/>
      </c>
      <c r="BC888">
        <f>'Grid_Requirement'!BA7</f>
        <v/>
      </c>
      <c r="BD888">
        <f>'Grid_Requirement'!BB7</f>
        <v/>
      </c>
      <c r="BE888">
        <f>'Grid_Requirement'!BC7</f>
        <v/>
      </c>
      <c r="BF888">
        <f>'Grid_Requirement'!BD7</f>
        <v/>
      </c>
      <c r="BG888">
        <f>'Grid_Requirement'!BE7</f>
        <v/>
      </c>
      <c r="BH888">
        <f>'Grid_Requirement'!BF7</f>
        <v/>
      </c>
      <c r="BI888">
        <f>'Grid_Requirement'!BG7</f>
        <v/>
      </c>
      <c r="BJ888">
        <f>'Grid_Requirement'!BH7</f>
        <v/>
      </c>
      <c r="BK888">
        <f>'Grid_Requirement'!BI7</f>
        <v/>
      </c>
      <c r="BL888">
        <f>'Grid_Requirement'!BJ7</f>
        <v/>
      </c>
      <c r="BM888">
        <f>'Grid_Requirement'!BK7</f>
        <v/>
      </c>
      <c r="BN888">
        <f>'Grid_Requirement'!BL7</f>
        <v/>
      </c>
      <c r="BO888">
        <f>'Grid_Requirement'!BM7</f>
        <v/>
      </c>
      <c r="BP888">
        <f>'Grid_Requirement'!BN7</f>
        <v/>
      </c>
      <c r="BQ888">
        <f>'Grid_Requirement'!BO7</f>
        <v/>
      </c>
      <c r="BR888">
        <f>'Grid_Requirement'!BP7</f>
        <v/>
      </c>
      <c r="BS888">
        <f>'Grid_Requirement'!BQ7</f>
        <v/>
      </c>
      <c r="BT888">
        <f>'Grid_Requirement'!BR7</f>
        <v/>
      </c>
      <c r="BU888">
        <f>'Grid_Requirement'!BS7</f>
        <v/>
      </c>
      <c r="BV888">
        <f>'Grid_Requirement'!BT7</f>
        <v/>
      </c>
      <c r="BW888">
        <f>'Grid_Requirement'!BU7</f>
        <v/>
      </c>
      <c r="BX888">
        <f>'Grid_Requirement'!BV7</f>
        <v/>
      </c>
      <c r="BY888">
        <f>'Grid_Requirement'!BW7</f>
        <v/>
      </c>
      <c r="BZ888">
        <f>'Grid_Requirement'!BX7</f>
        <v/>
      </c>
      <c r="CA888">
        <f>'Grid_Requirement'!BY7</f>
        <v/>
      </c>
      <c r="CB888">
        <f>'Grid_Requirement'!BZ7</f>
        <v/>
      </c>
      <c r="CC888">
        <f>'Grid_Requirement'!CA7</f>
        <v/>
      </c>
      <c r="CD888">
        <f>'Grid_Requirement'!CB7</f>
        <v/>
      </c>
      <c r="CE888">
        <f>'Grid_Requirement'!CC7</f>
        <v/>
      </c>
      <c r="CF888">
        <f>'Grid_Requirement'!CD7</f>
        <v/>
      </c>
      <c r="CG888">
        <f>'Grid_Requirement'!CE7</f>
        <v/>
      </c>
      <c r="CH888">
        <f>'Grid_Requirement'!CF7</f>
        <v/>
      </c>
      <c r="CI888">
        <f>'Grid_Requirement'!CG7</f>
        <v/>
      </c>
      <c r="CJ888">
        <f>'Grid_Requirement'!CH7</f>
        <v/>
      </c>
      <c r="CK888">
        <f>'Grid_Requirement'!CI7</f>
        <v/>
      </c>
      <c r="CL888">
        <f>'Grid_Requirement'!CJ7</f>
        <v/>
      </c>
      <c r="CM888">
        <f>'Grid_Requirement'!CK7</f>
        <v/>
      </c>
      <c r="CN888">
        <f>'Grid_Requirement'!CL7</f>
        <v/>
      </c>
      <c r="CO888">
        <f>'Grid_Requirement'!CM7</f>
        <v/>
      </c>
      <c r="CP888">
        <f>'Grid_Requirement'!CN7</f>
        <v/>
      </c>
      <c r="CQ888">
        <f>'Grid_Requirement'!CO7</f>
        <v/>
      </c>
      <c r="CR888">
        <f>'Grid_Requirement'!CP7</f>
        <v/>
      </c>
      <c r="CS888">
        <f>'Grid_Requirement'!CQ7</f>
        <v/>
      </c>
      <c r="CT888">
        <f>'Grid_Requirement'!CR7</f>
        <v/>
      </c>
      <c r="CU888">
        <f>'Grid_Requirement'!CS7</f>
        <v/>
      </c>
      <c r="CV888">
        <f>'Grid_Requirement'!CT7</f>
        <v/>
      </c>
      <c r="CW888">
        <f>'Grid_Requirement'!CU7</f>
        <v/>
      </c>
      <c r="CX888">
        <f>'Grid_Requirement'!CV7</f>
        <v/>
      </c>
      <c r="CY888">
        <f>'Grid_Requirement'!CW7</f>
        <v/>
      </c>
      <c r="CZ888">
        <f>'Grid_Requirement'!CX7</f>
        <v/>
      </c>
      <c r="DA888">
        <f>'Grid_Requirement'!CY7</f>
        <v/>
      </c>
      <c r="DB888">
        <f>'Grid_Requirement'!CZ7</f>
        <v/>
      </c>
      <c r="DC888">
        <f>'Grid_Requirement'!DA7</f>
        <v/>
      </c>
    </row>
    <row r="889">
      <c r="B889" t="inlineStr">
        <is>
          <t>TTAF在庫(実績,kg)</t>
        </is>
      </c>
      <c r="D889">
        <f>'T_TTAFStock'!B11</f>
        <v/>
      </c>
      <c r="E889">
        <f>'T_TTAFStock'!C11</f>
        <v/>
      </c>
      <c r="F889">
        <f>'T_TTAFStock'!D11</f>
        <v/>
      </c>
      <c r="G889">
        <f>'T_TTAFStock'!E11</f>
        <v/>
      </c>
      <c r="H889">
        <f>'T_TTAFStock'!F11</f>
        <v/>
      </c>
      <c r="I889">
        <f>'T_TTAFStock'!G11</f>
        <v/>
      </c>
      <c r="J889">
        <f>'T_TTAFStock'!H11</f>
        <v/>
      </c>
      <c r="K889">
        <f>'T_TTAFStock'!I11</f>
        <v/>
      </c>
      <c r="L889">
        <f>'T_TTAFStock'!J11</f>
        <v/>
      </c>
      <c r="M889">
        <f>'T_TTAFStock'!K11</f>
        <v/>
      </c>
      <c r="N889">
        <f>'T_TTAFStock'!L11</f>
        <v/>
      </c>
      <c r="O889">
        <f>'T_TTAFStock'!M11</f>
        <v/>
      </c>
      <c r="P889">
        <f>'T_TTAFStock'!N11</f>
        <v/>
      </c>
      <c r="Q889">
        <f>'T_TTAFStock'!O11</f>
        <v/>
      </c>
      <c r="R889">
        <f>'T_TTAFStock'!P11</f>
        <v/>
      </c>
      <c r="S889">
        <f>'T_TTAFStock'!Q11</f>
        <v/>
      </c>
      <c r="T889">
        <f>'T_TTAFStock'!R11</f>
        <v/>
      </c>
      <c r="U889">
        <f>'T_TTAFStock'!S11</f>
        <v/>
      </c>
      <c r="V889">
        <f>'T_TTAFStock'!T11</f>
        <v/>
      </c>
      <c r="W889">
        <f>'T_TTAFStock'!U11</f>
        <v/>
      </c>
      <c r="X889">
        <f>'T_TTAFStock'!V11</f>
        <v/>
      </c>
      <c r="Y889">
        <f>'T_TTAFStock'!W11</f>
        <v/>
      </c>
      <c r="Z889">
        <f>'T_TTAFStock'!X11</f>
        <v/>
      </c>
      <c r="AA889">
        <f>'T_TTAFStock'!Y11</f>
        <v/>
      </c>
      <c r="AB889">
        <f>'T_TTAFStock'!Z11</f>
        <v/>
      </c>
      <c r="AC889">
        <f>'T_TTAFStock'!AA11</f>
        <v/>
      </c>
      <c r="AD889">
        <f>'T_TTAFStock'!AB11</f>
        <v/>
      </c>
      <c r="AE889">
        <f>'T_TTAFStock'!AC11</f>
        <v/>
      </c>
      <c r="AF889">
        <f>'T_TTAFStock'!AD11</f>
        <v/>
      </c>
      <c r="AG889">
        <f>'T_TTAFStock'!AE11</f>
        <v/>
      </c>
      <c r="AH889">
        <f>'T_TTAFStock'!AF11</f>
        <v/>
      </c>
      <c r="AI889">
        <f>'T_TTAFStock'!AG11</f>
        <v/>
      </c>
      <c r="AJ889">
        <f>'T_TTAFStock'!AH11</f>
        <v/>
      </c>
      <c r="AK889">
        <f>'T_TTAFStock'!AI11</f>
        <v/>
      </c>
      <c r="AL889">
        <f>'T_TTAFStock'!AJ11</f>
        <v/>
      </c>
      <c r="AM889">
        <f>'T_TTAFStock'!AK11</f>
        <v/>
      </c>
      <c r="AN889">
        <f>'T_TTAFStock'!AL11</f>
        <v/>
      </c>
      <c r="AO889">
        <f>'T_TTAFStock'!AM11</f>
        <v/>
      </c>
      <c r="AP889">
        <f>'T_TTAFStock'!AN11</f>
        <v/>
      </c>
      <c r="AQ889">
        <f>'T_TTAFStock'!AO11</f>
        <v/>
      </c>
      <c r="AR889">
        <f>'T_TTAFStock'!AP11</f>
        <v/>
      </c>
      <c r="AS889">
        <f>'T_TTAFStock'!AQ11</f>
        <v/>
      </c>
      <c r="AT889">
        <f>'T_TTAFStock'!AR11</f>
        <v/>
      </c>
      <c r="AU889">
        <f>'T_TTAFStock'!AS11</f>
        <v/>
      </c>
      <c r="AV889">
        <f>'T_TTAFStock'!AT11</f>
        <v/>
      </c>
      <c r="AW889">
        <f>'T_TTAFStock'!AU11</f>
        <v/>
      </c>
      <c r="AX889">
        <f>'T_TTAFStock'!AV11</f>
        <v/>
      </c>
      <c r="AY889">
        <f>'T_TTAFStock'!AW11</f>
        <v/>
      </c>
      <c r="AZ889">
        <f>'T_TTAFStock'!AX11</f>
        <v/>
      </c>
      <c r="BA889">
        <f>'T_TTAFStock'!AY11</f>
        <v/>
      </c>
      <c r="BB889">
        <f>'T_TTAFStock'!AZ11</f>
        <v/>
      </c>
      <c r="BC889">
        <f>'T_TTAFStock'!BA11</f>
        <v/>
      </c>
      <c r="BD889">
        <f>'T_TTAFStock'!BB11</f>
        <v/>
      </c>
      <c r="BE889">
        <f>'T_TTAFStock'!BC11</f>
        <v/>
      </c>
      <c r="BF889">
        <f>'T_TTAFStock'!BD11</f>
        <v/>
      </c>
      <c r="BG889">
        <f>'T_TTAFStock'!BE11</f>
        <v/>
      </c>
      <c r="BH889">
        <f>'T_TTAFStock'!BF11</f>
        <v/>
      </c>
      <c r="BI889">
        <f>'T_TTAFStock'!BG11</f>
        <v/>
      </c>
      <c r="BJ889">
        <f>'T_TTAFStock'!BH11</f>
        <v/>
      </c>
      <c r="BK889">
        <f>'T_TTAFStock'!BI11</f>
        <v/>
      </c>
      <c r="BL889">
        <f>'T_TTAFStock'!BJ11</f>
        <v/>
      </c>
      <c r="BM889">
        <f>'T_TTAFStock'!BK11</f>
        <v/>
      </c>
      <c r="BN889">
        <f>'T_TTAFStock'!BL11</f>
        <v/>
      </c>
      <c r="BO889">
        <f>'T_TTAFStock'!BM11</f>
        <v/>
      </c>
      <c r="BP889">
        <f>'T_TTAFStock'!BN11</f>
        <v/>
      </c>
      <c r="BQ889">
        <f>'T_TTAFStock'!BO11</f>
        <v/>
      </c>
      <c r="BR889">
        <f>'T_TTAFStock'!BP11</f>
        <v/>
      </c>
      <c r="BS889">
        <f>'T_TTAFStock'!BQ11</f>
        <v/>
      </c>
      <c r="BT889">
        <f>'T_TTAFStock'!BR11</f>
        <v/>
      </c>
      <c r="BU889">
        <f>'T_TTAFStock'!BS11</f>
        <v/>
      </c>
      <c r="BV889">
        <f>'T_TTAFStock'!BT11</f>
        <v/>
      </c>
      <c r="BW889">
        <f>'T_TTAFStock'!BU11</f>
        <v/>
      </c>
      <c r="BX889">
        <f>'T_TTAFStock'!BV11</f>
        <v/>
      </c>
      <c r="BY889">
        <f>'T_TTAFStock'!BW11</f>
        <v/>
      </c>
      <c r="BZ889">
        <f>'T_TTAFStock'!BX11</f>
        <v/>
      </c>
      <c r="CA889">
        <f>'T_TTAFStock'!BY11</f>
        <v/>
      </c>
      <c r="CB889">
        <f>'T_TTAFStock'!BZ11</f>
        <v/>
      </c>
      <c r="CC889">
        <f>'T_TTAFStock'!CA11</f>
        <v/>
      </c>
      <c r="CD889">
        <f>'T_TTAFStock'!CB11</f>
        <v/>
      </c>
      <c r="CE889">
        <f>'T_TTAFStock'!CC11</f>
        <v/>
      </c>
      <c r="CF889">
        <f>'T_TTAFStock'!CD11</f>
        <v/>
      </c>
      <c r="CG889">
        <f>'T_TTAFStock'!CE11</f>
        <v/>
      </c>
      <c r="CH889">
        <f>'T_TTAFStock'!CF11</f>
        <v/>
      </c>
      <c r="CI889">
        <f>'T_TTAFStock'!CG11</f>
        <v/>
      </c>
      <c r="CJ889">
        <f>'T_TTAFStock'!CH11</f>
        <v/>
      </c>
      <c r="CK889">
        <f>'T_TTAFStock'!CI11</f>
        <v/>
      </c>
      <c r="CL889">
        <f>'T_TTAFStock'!CJ11</f>
        <v/>
      </c>
      <c r="CM889">
        <f>'T_TTAFStock'!CK11</f>
        <v/>
      </c>
      <c r="CN889">
        <f>'T_TTAFStock'!CL11</f>
        <v/>
      </c>
      <c r="CO889">
        <f>'T_TTAFStock'!CM11</f>
        <v/>
      </c>
      <c r="CP889">
        <f>'T_TTAFStock'!CN11</f>
        <v/>
      </c>
      <c r="CQ889">
        <f>'T_TTAFStock'!CO11</f>
        <v/>
      </c>
      <c r="CR889">
        <f>'T_TTAFStock'!CP11</f>
        <v/>
      </c>
      <c r="CS889">
        <f>'T_TTAFStock'!CQ11</f>
        <v/>
      </c>
      <c r="CT889">
        <f>'T_TTAFStock'!CR11</f>
        <v/>
      </c>
      <c r="CU889">
        <f>'T_TTAFStock'!CS11</f>
        <v/>
      </c>
      <c r="CV889">
        <f>'T_TTAFStock'!CT11</f>
        <v/>
      </c>
      <c r="CW889">
        <f>'T_TTAFStock'!CU11</f>
        <v/>
      </c>
      <c r="CX889">
        <f>'T_TTAFStock'!CV11</f>
        <v/>
      </c>
      <c r="CY889">
        <f>'T_TTAFStock'!CW11</f>
        <v/>
      </c>
      <c r="CZ889">
        <f>'T_TTAFStock'!CX11</f>
        <v/>
      </c>
      <c r="DA889">
        <f>'T_TTAFStock'!CY11</f>
        <v/>
      </c>
      <c r="DB889">
        <f>'T_TTAFStock'!CZ11</f>
        <v/>
      </c>
      <c r="DC889">
        <f>'T_TTAFStock'!DA11</f>
        <v/>
      </c>
    </row>
    <row r="890">
      <c r="B890" t="inlineStr">
        <is>
          <t>自社在庫(実績,kg)</t>
        </is>
      </c>
      <c r="D890">
        <f>'T_SelfStock'!B11</f>
        <v/>
      </c>
      <c r="E890">
        <f>'T_SelfStock'!C11</f>
        <v/>
      </c>
      <c r="F890">
        <f>'T_SelfStock'!D11</f>
        <v/>
      </c>
      <c r="G890">
        <f>'T_SelfStock'!E11</f>
        <v/>
      </c>
      <c r="H890">
        <f>'T_SelfStock'!F11</f>
        <v/>
      </c>
      <c r="I890">
        <f>'T_SelfStock'!G11</f>
        <v/>
      </c>
      <c r="J890">
        <f>'T_SelfStock'!H11</f>
        <v/>
      </c>
      <c r="K890">
        <f>'T_SelfStock'!I11</f>
        <v/>
      </c>
      <c r="L890">
        <f>'T_SelfStock'!J11</f>
        <v/>
      </c>
      <c r="M890">
        <f>'T_SelfStock'!K11</f>
        <v/>
      </c>
      <c r="N890">
        <f>'T_SelfStock'!L11</f>
        <v/>
      </c>
      <c r="O890">
        <f>'T_SelfStock'!M11</f>
        <v/>
      </c>
      <c r="P890">
        <f>'T_SelfStock'!N11</f>
        <v/>
      </c>
      <c r="Q890">
        <f>'T_SelfStock'!O11</f>
        <v/>
      </c>
      <c r="R890">
        <f>'T_SelfStock'!P11</f>
        <v/>
      </c>
      <c r="S890">
        <f>'T_SelfStock'!Q11</f>
        <v/>
      </c>
      <c r="T890">
        <f>'T_SelfStock'!R11</f>
        <v/>
      </c>
      <c r="U890">
        <f>'T_SelfStock'!S11</f>
        <v/>
      </c>
      <c r="V890">
        <f>'T_SelfStock'!T11</f>
        <v/>
      </c>
      <c r="W890">
        <f>'T_SelfStock'!U11</f>
        <v/>
      </c>
      <c r="X890">
        <f>'T_SelfStock'!V11</f>
        <v/>
      </c>
      <c r="Y890">
        <f>'T_SelfStock'!W11</f>
        <v/>
      </c>
      <c r="Z890">
        <f>'T_SelfStock'!X11</f>
        <v/>
      </c>
      <c r="AA890">
        <f>'T_SelfStock'!Y11</f>
        <v/>
      </c>
      <c r="AB890">
        <f>'T_SelfStock'!Z11</f>
        <v/>
      </c>
      <c r="AC890">
        <f>'T_SelfStock'!AA11</f>
        <v/>
      </c>
      <c r="AD890">
        <f>'T_SelfStock'!AB11</f>
        <v/>
      </c>
      <c r="AE890">
        <f>'T_SelfStock'!AC11</f>
        <v/>
      </c>
      <c r="AF890">
        <f>'T_SelfStock'!AD11</f>
        <v/>
      </c>
      <c r="AG890">
        <f>'T_SelfStock'!AE11</f>
        <v/>
      </c>
      <c r="AH890">
        <f>'T_SelfStock'!AF11</f>
        <v/>
      </c>
      <c r="AI890">
        <f>'T_SelfStock'!AG11</f>
        <v/>
      </c>
      <c r="AJ890">
        <f>'T_SelfStock'!AH11</f>
        <v/>
      </c>
      <c r="AK890">
        <f>'T_SelfStock'!AI11</f>
        <v/>
      </c>
      <c r="AL890">
        <f>'T_SelfStock'!AJ11</f>
        <v/>
      </c>
      <c r="AM890">
        <f>'T_SelfStock'!AK11</f>
        <v/>
      </c>
      <c r="AN890">
        <f>'T_SelfStock'!AL11</f>
        <v/>
      </c>
      <c r="AO890">
        <f>'T_SelfStock'!AM11</f>
        <v/>
      </c>
      <c r="AP890">
        <f>'T_SelfStock'!AN11</f>
        <v/>
      </c>
      <c r="AQ890">
        <f>'T_SelfStock'!AO11</f>
        <v/>
      </c>
      <c r="AR890">
        <f>'T_SelfStock'!AP11</f>
        <v/>
      </c>
      <c r="AS890">
        <f>'T_SelfStock'!AQ11</f>
        <v/>
      </c>
      <c r="AT890">
        <f>'T_SelfStock'!AR11</f>
        <v/>
      </c>
      <c r="AU890">
        <f>'T_SelfStock'!AS11</f>
        <v/>
      </c>
      <c r="AV890">
        <f>'T_SelfStock'!AT11</f>
        <v/>
      </c>
      <c r="AW890">
        <f>'T_SelfStock'!AU11</f>
        <v/>
      </c>
      <c r="AX890">
        <f>'T_SelfStock'!AV11</f>
        <v/>
      </c>
      <c r="AY890">
        <f>'T_SelfStock'!AW11</f>
        <v/>
      </c>
      <c r="AZ890">
        <f>'T_SelfStock'!AX11</f>
        <v/>
      </c>
      <c r="BA890">
        <f>'T_SelfStock'!AY11</f>
        <v/>
      </c>
      <c r="BB890">
        <f>'T_SelfStock'!AZ11</f>
        <v/>
      </c>
      <c r="BC890">
        <f>'T_SelfStock'!BA11</f>
        <v/>
      </c>
      <c r="BD890">
        <f>'T_SelfStock'!BB11</f>
        <v/>
      </c>
      <c r="BE890">
        <f>'T_SelfStock'!BC11</f>
        <v/>
      </c>
      <c r="BF890">
        <f>'T_SelfStock'!BD11</f>
        <v/>
      </c>
      <c r="BG890">
        <f>'T_SelfStock'!BE11</f>
        <v/>
      </c>
      <c r="BH890">
        <f>'T_SelfStock'!BF11</f>
        <v/>
      </c>
      <c r="BI890">
        <f>'T_SelfStock'!BG11</f>
        <v/>
      </c>
      <c r="BJ890">
        <f>'T_SelfStock'!BH11</f>
        <v/>
      </c>
      <c r="BK890">
        <f>'T_SelfStock'!BI11</f>
        <v/>
      </c>
      <c r="BL890">
        <f>'T_SelfStock'!BJ11</f>
        <v/>
      </c>
      <c r="BM890">
        <f>'T_SelfStock'!BK11</f>
        <v/>
      </c>
      <c r="BN890">
        <f>'T_SelfStock'!BL11</f>
        <v/>
      </c>
      <c r="BO890">
        <f>'T_SelfStock'!BM11</f>
        <v/>
      </c>
      <c r="BP890">
        <f>'T_SelfStock'!BN11</f>
        <v/>
      </c>
      <c r="BQ890">
        <f>'T_SelfStock'!BO11</f>
        <v/>
      </c>
      <c r="BR890">
        <f>'T_SelfStock'!BP11</f>
        <v/>
      </c>
      <c r="BS890">
        <f>'T_SelfStock'!BQ11</f>
        <v/>
      </c>
      <c r="BT890">
        <f>'T_SelfStock'!BR11</f>
        <v/>
      </c>
      <c r="BU890">
        <f>'T_SelfStock'!BS11</f>
        <v/>
      </c>
      <c r="BV890">
        <f>'T_SelfStock'!BT11</f>
        <v/>
      </c>
      <c r="BW890">
        <f>'T_SelfStock'!BU11</f>
        <v/>
      </c>
      <c r="BX890">
        <f>'T_SelfStock'!BV11</f>
        <v/>
      </c>
      <c r="BY890">
        <f>'T_SelfStock'!BW11</f>
        <v/>
      </c>
      <c r="BZ890">
        <f>'T_SelfStock'!BX11</f>
        <v/>
      </c>
      <c r="CA890">
        <f>'T_SelfStock'!BY11</f>
        <v/>
      </c>
      <c r="CB890">
        <f>'T_SelfStock'!BZ11</f>
        <v/>
      </c>
      <c r="CC890">
        <f>'T_SelfStock'!CA11</f>
        <v/>
      </c>
      <c r="CD890">
        <f>'T_SelfStock'!CB11</f>
        <v/>
      </c>
      <c r="CE890">
        <f>'T_SelfStock'!CC11</f>
        <v/>
      </c>
      <c r="CF890">
        <f>'T_SelfStock'!CD11</f>
        <v/>
      </c>
      <c r="CG890">
        <f>'T_SelfStock'!CE11</f>
        <v/>
      </c>
      <c r="CH890">
        <f>'T_SelfStock'!CF11</f>
        <v/>
      </c>
      <c r="CI890">
        <f>'T_SelfStock'!CG11</f>
        <v/>
      </c>
      <c r="CJ890">
        <f>'T_SelfStock'!CH11</f>
        <v/>
      </c>
      <c r="CK890">
        <f>'T_SelfStock'!CI11</f>
        <v/>
      </c>
      <c r="CL890">
        <f>'T_SelfStock'!CJ11</f>
        <v/>
      </c>
      <c r="CM890">
        <f>'T_SelfStock'!CK11</f>
        <v/>
      </c>
      <c r="CN890">
        <f>'T_SelfStock'!CL11</f>
        <v/>
      </c>
      <c r="CO890">
        <f>'T_SelfStock'!CM11</f>
        <v/>
      </c>
      <c r="CP890">
        <f>'T_SelfStock'!CN11</f>
        <v/>
      </c>
      <c r="CQ890">
        <f>'T_SelfStock'!CO11</f>
        <v/>
      </c>
      <c r="CR890">
        <f>'T_SelfStock'!CP11</f>
        <v/>
      </c>
      <c r="CS890">
        <f>'T_SelfStock'!CQ11</f>
        <v/>
      </c>
      <c r="CT890">
        <f>'T_SelfStock'!CR11</f>
        <v/>
      </c>
      <c r="CU890">
        <f>'T_SelfStock'!CS11</f>
        <v/>
      </c>
      <c r="CV890">
        <f>'T_SelfStock'!CT11</f>
        <v/>
      </c>
      <c r="CW890">
        <f>'T_SelfStock'!CU11</f>
        <v/>
      </c>
      <c r="CX890">
        <f>'T_SelfStock'!CV11</f>
        <v/>
      </c>
      <c r="CY890">
        <f>'T_SelfStock'!CW11</f>
        <v/>
      </c>
      <c r="CZ890">
        <f>'T_SelfStock'!CX11</f>
        <v/>
      </c>
      <c r="DA890">
        <f>'T_SelfStock'!CY11</f>
        <v/>
      </c>
      <c r="DB890">
        <f>'T_SelfStock'!CZ11</f>
        <v/>
      </c>
      <c r="DC890">
        <f>'T_SelfStock'!DA11</f>
        <v/>
      </c>
    </row>
    <row r="891">
      <c r="B891" t="inlineStr">
        <is>
          <t>Order(発注予定,kg)</t>
        </is>
      </c>
      <c r="D891">
        <f>IF(SUMIFS(T_PlannedOrders[EffectiveQty],T_PlannedOrders[Part Name],$A849,T_PlannedOrders[WeekIndex],1)=0,"",SUMIFS(T_PlannedOrders[EffectiveQty],T_PlannedOrders[Part Name],$A849,T_PlannedOrders[WeekIndex],1)&amp;" ("&amp;TEXT(SUMPRODUCT(MAX((T_PlannedOrders[Part Name]=$A849)*(T_PlannedOrders[WeekIndex]=1)*(T_PlannedOrders[EffectiveQty]&gt;0)*T_PlannedOrders[Order_Month])),"m月")&amp;"発注)")</f>
        <v/>
      </c>
      <c r="E891">
        <f>IF(SUMIFS(T_PlannedOrders[EffectiveQty],T_PlannedOrders[Part Name],$A849,T_PlannedOrders[WeekIndex],2)=0,"",SUMIFS(T_PlannedOrders[EffectiveQty],T_PlannedOrders[Part Name],$A849,T_PlannedOrders[WeekIndex],2)&amp;" ("&amp;TEXT(SUMPRODUCT(MAX((T_PlannedOrders[Part Name]=$A849)*(T_PlannedOrders[WeekIndex]=2)*(T_PlannedOrders[EffectiveQty]&gt;0)*T_PlannedOrders[Order_Month])),"m月")&amp;"発注)")</f>
        <v/>
      </c>
      <c r="F891">
        <f>IF(SUMIFS(T_PlannedOrders[EffectiveQty],T_PlannedOrders[Part Name],$A849,T_PlannedOrders[WeekIndex],3)=0,"",SUMIFS(T_PlannedOrders[EffectiveQty],T_PlannedOrders[Part Name],$A849,T_PlannedOrders[WeekIndex],3)&amp;" ("&amp;TEXT(SUMPRODUCT(MAX((T_PlannedOrders[Part Name]=$A849)*(T_PlannedOrders[WeekIndex]=3)*(T_PlannedOrders[EffectiveQty]&gt;0)*T_PlannedOrders[Order_Month])),"m月")&amp;"発注)")</f>
        <v/>
      </c>
      <c r="G891">
        <f>IF(SUMIFS(T_PlannedOrders[EffectiveQty],T_PlannedOrders[Part Name],$A849,T_PlannedOrders[WeekIndex],4)=0,"",SUMIFS(T_PlannedOrders[EffectiveQty],T_PlannedOrders[Part Name],$A849,T_PlannedOrders[WeekIndex],4)&amp;" ("&amp;TEXT(SUMPRODUCT(MAX((T_PlannedOrders[Part Name]=$A849)*(T_PlannedOrders[WeekIndex]=4)*(T_PlannedOrders[EffectiveQty]&gt;0)*T_PlannedOrders[Order_Month])),"m月")&amp;"発注)")</f>
        <v/>
      </c>
      <c r="H891">
        <f>IF(SUMIFS(T_PlannedOrders[EffectiveQty],T_PlannedOrders[Part Name],$A849,T_PlannedOrders[WeekIndex],5)=0,"",SUMIFS(T_PlannedOrders[EffectiveQty],T_PlannedOrders[Part Name],$A849,T_PlannedOrders[WeekIndex],5)&amp;" ("&amp;TEXT(SUMPRODUCT(MAX((T_PlannedOrders[Part Name]=$A849)*(T_PlannedOrders[WeekIndex]=5)*(T_PlannedOrders[EffectiveQty]&gt;0)*T_PlannedOrders[Order_Month])),"m月")&amp;"発注)")</f>
        <v/>
      </c>
      <c r="I891">
        <f>IF(SUMIFS(T_PlannedOrders[EffectiveQty],T_PlannedOrders[Part Name],$A849,T_PlannedOrders[WeekIndex],6)=0,"",SUMIFS(T_PlannedOrders[EffectiveQty],T_PlannedOrders[Part Name],$A849,T_PlannedOrders[WeekIndex],6)&amp;" ("&amp;TEXT(SUMPRODUCT(MAX((T_PlannedOrders[Part Name]=$A849)*(T_PlannedOrders[WeekIndex]=6)*(T_PlannedOrders[EffectiveQty]&gt;0)*T_PlannedOrders[Order_Month])),"m月")&amp;"発注)")</f>
        <v/>
      </c>
      <c r="J891">
        <f>IF(SUMIFS(T_PlannedOrders[EffectiveQty],T_PlannedOrders[Part Name],$A849,T_PlannedOrders[WeekIndex],7)=0,"",SUMIFS(T_PlannedOrders[EffectiveQty],T_PlannedOrders[Part Name],$A849,T_PlannedOrders[WeekIndex],7)&amp;" ("&amp;TEXT(SUMPRODUCT(MAX((T_PlannedOrders[Part Name]=$A849)*(T_PlannedOrders[WeekIndex]=7)*(T_PlannedOrders[EffectiveQty]&gt;0)*T_PlannedOrders[Order_Month])),"m月")&amp;"発注)")</f>
        <v/>
      </c>
      <c r="K891">
        <f>IF(SUMIFS(T_PlannedOrders[EffectiveQty],T_PlannedOrders[Part Name],$A849,T_PlannedOrders[WeekIndex],8)=0,"",SUMIFS(T_PlannedOrders[EffectiveQty],T_PlannedOrders[Part Name],$A849,T_PlannedOrders[WeekIndex],8)&amp;" ("&amp;TEXT(SUMPRODUCT(MAX((T_PlannedOrders[Part Name]=$A849)*(T_PlannedOrders[WeekIndex]=8)*(T_PlannedOrders[EffectiveQty]&gt;0)*T_PlannedOrders[Order_Month])),"m月")&amp;"発注)")</f>
        <v/>
      </c>
      <c r="L891">
        <f>IF(SUMIFS(T_PlannedOrders[EffectiveQty],T_PlannedOrders[Part Name],$A849,T_PlannedOrders[WeekIndex],9)=0,"",SUMIFS(T_PlannedOrders[EffectiveQty],T_PlannedOrders[Part Name],$A849,T_PlannedOrders[WeekIndex],9)&amp;" ("&amp;TEXT(SUMPRODUCT(MAX((T_PlannedOrders[Part Name]=$A849)*(T_PlannedOrders[WeekIndex]=9)*(T_PlannedOrders[EffectiveQty]&gt;0)*T_PlannedOrders[Order_Month])),"m月")&amp;"発注)")</f>
        <v/>
      </c>
      <c r="M891">
        <f>IF(SUMIFS(T_PlannedOrders[EffectiveQty],T_PlannedOrders[Part Name],$A849,T_PlannedOrders[WeekIndex],10)=0,"",SUMIFS(T_PlannedOrders[EffectiveQty],T_PlannedOrders[Part Name],$A849,T_PlannedOrders[WeekIndex],10)&amp;" ("&amp;TEXT(SUMPRODUCT(MAX((T_PlannedOrders[Part Name]=$A849)*(T_PlannedOrders[WeekIndex]=10)*(T_PlannedOrders[EffectiveQty]&gt;0)*T_PlannedOrders[Order_Month])),"m月")&amp;"発注)")</f>
        <v/>
      </c>
      <c r="N891">
        <f>IF(SUMIFS(T_PlannedOrders[EffectiveQty],T_PlannedOrders[Part Name],$A849,T_PlannedOrders[WeekIndex],11)=0,"",SUMIFS(T_PlannedOrders[EffectiveQty],T_PlannedOrders[Part Name],$A849,T_PlannedOrders[WeekIndex],11)&amp;" ("&amp;TEXT(SUMPRODUCT(MAX((T_PlannedOrders[Part Name]=$A849)*(T_PlannedOrders[WeekIndex]=11)*(T_PlannedOrders[EffectiveQty]&gt;0)*T_PlannedOrders[Order_Month])),"m月")&amp;"発注)")</f>
        <v/>
      </c>
      <c r="O891">
        <f>IF(SUMIFS(T_PlannedOrders[EffectiveQty],T_PlannedOrders[Part Name],$A849,T_PlannedOrders[WeekIndex],12)=0,"",SUMIFS(T_PlannedOrders[EffectiveQty],T_PlannedOrders[Part Name],$A849,T_PlannedOrders[WeekIndex],12)&amp;" ("&amp;TEXT(SUMPRODUCT(MAX((T_PlannedOrders[Part Name]=$A849)*(T_PlannedOrders[WeekIndex]=12)*(T_PlannedOrders[EffectiveQty]&gt;0)*T_PlannedOrders[Order_Month])),"m月")&amp;"発注)")</f>
        <v/>
      </c>
      <c r="P891">
        <f>IF(SUMIFS(T_PlannedOrders[EffectiveQty],T_PlannedOrders[Part Name],$A849,T_PlannedOrders[WeekIndex],13)=0,"",SUMIFS(T_PlannedOrders[EffectiveQty],T_PlannedOrders[Part Name],$A849,T_PlannedOrders[WeekIndex],13)&amp;" ("&amp;TEXT(SUMPRODUCT(MAX((T_PlannedOrders[Part Name]=$A849)*(T_PlannedOrders[WeekIndex]=13)*(T_PlannedOrders[EffectiveQty]&gt;0)*T_PlannedOrders[Order_Month])),"m月")&amp;"発注)")</f>
        <v/>
      </c>
      <c r="Q891">
        <f>IF(SUMIFS(T_PlannedOrders[EffectiveQty],T_PlannedOrders[Part Name],$A849,T_PlannedOrders[WeekIndex],14)=0,"",SUMIFS(T_PlannedOrders[EffectiveQty],T_PlannedOrders[Part Name],$A849,T_PlannedOrders[WeekIndex],14)&amp;" ("&amp;TEXT(SUMPRODUCT(MAX((T_PlannedOrders[Part Name]=$A849)*(T_PlannedOrders[WeekIndex]=14)*(T_PlannedOrders[EffectiveQty]&gt;0)*T_PlannedOrders[Order_Month])),"m月")&amp;"発注)")</f>
        <v/>
      </c>
      <c r="R891">
        <f>IF(SUMIFS(T_PlannedOrders[EffectiveQty],T_PlannedOrders[Part Name],$A849,T_PlannedOrders[WeekIndex],15)=0,"",SUMIFS(T_PlannedOrders[EffectiveQty],T_PlannedOrders[Part Name],$A849,T_PlannedOrders[WeekIndex],15)&amp;" ("&amp;TEXT(SUMPRODUCT(MAX((T_PlannedOrders[Part Name]=$A849)*(T_PlannedOrders[WeekIndex]=15)*(T_PlannedOrders[EffectiveQty]&gt;0)*T_PlannedOrders[Order_Month])),"m月")&amp;"発注)")</f>
        <v/>
      </c>
      <c r="S891">
        <f>IF(SUMIFS(T_PlannedOrders[EffectiveQty],T_PlannedOrders[Part Name],$A849,T_PlannedOrders[WeekIndex],16)=0,"",SUMIFS(T_PlannedOrders[EffectiveQty],T_PlannedOrders[Part Name],$A849,T_PlannedOrders[WeekIndex],16)&amp;" ("&amp;TEXT(SUMPRODUCT(MAX((T_PlannedOrders[Part Name]=$A849)*(T_PlannedOrders[WeekIndex]=16)*(T_PlannedOrders[EffectiveQty]&gt;0)*T_PlannedOrders[Order_Month])),"m月")&amp;"発注)")</f>
        <v/>
      </c>
      <c r="T891">
        <f>IF(SUMIFS(T_PlannedOrders[EffectiveQty],T_PlannedOrders[Part Name],$A849,T_PlannedOrders[WeekIndex],17)=0,"",SUMIFS(T_PlannedOrders[EffectiveQty],T_PlannedOrders[Part Name],$A849,T_PlannedOrders[WeekIndex],17)&amp;" ("&amp;TEXT(SUMPRODUCT(MAX((T_PlannedOrders[Part Name]=$A849)*(T_PlannedOrders[WeekIndex]=17)*(T_PlannedOrders[EffectiveQty]&gt;0)*T_PlannedOrders[Order_Month])),"m月")&amp;"発注)")</f>
        <v/>
      </c>
      <c r="U891">
        <f>IF(SUMIFS(T_PlannedOrders[EffectiveQty],T_PlannedOrders[Part Name],$A849,T_PlannedOrders[WeekIndex],18)=0,"",SUMIFS(T_PlannedOrders[EffectiveQty],T_PlannedOrders[Part Name],$A849,T_PlannedOrders[WeekIndex],18)&amp;" ("&amp;TEXT(SUMPRODUCT(MAX((T_PlannedOrders[Part Name]=$A849)*(T_PlannedOrders[WeekIndex]=18)*(T_PlannedOrders[EffectiveQty]&gt;0)*T_PlannedOrders[Order_Month])),"m月")&amp;"発注)")</f>
        <v/>
      </c>
      <c r="V891">
        <f>IF(SUMIFS(T_PlannedOrders[EffectiveQty],T_PlannedOrders[Part Name],$A849,T_PlannedOrders[WeekIndex],19)=0,"",SUMIFS(T_PlannedOrders[EffectiveQty],T_PlannedOrders[Part Name],$A849,T_PlannedOrders[WeekIndex],19)&amp;" ("&amp;TEXT(SUMPRODUCT(MAX((T_PlannedOrders[Part Name]=$A849)*(T_PlannedOrders[WeekIndex]=19)*(T_PlannedOrders[EffectiveQty]&gt;0)*T_PlannedOrders[Order_Month])),"m月")&amp;"発注)")</f>
        <v/>
      </c>
      <c r="W891">
        <f>IF(SUMIFS(T_PlannedOrders[EffectiveQty],T_PlannedOrders[Part Name],$A849,T_PlannedOrders[WeekIndex],20)=0,"",SUMIFS(T_PlannedOrders[EffectiveQty],T_PlannedOrders[Part Name],$A849,T_PlannedOrders[WeekIndex],20)&amp;" ("&amp;TEXT(SUMPRODUCT(MAX((T_PlannedOrders[Part Name]=$A849)*(T_PlannedOrders[WeekIndex]=20)*(T_PlannedOrders[EffectiveQty]&gt;0)*T_PlannedOrders[Order_Month])),"m月")&amp;"発注)")</f>
        <v/>
      </c>
      <c r="X891">
        <f>IF(SUMIFS(T_PlannedOrders[EffectiveQty],T_PlannedOrders[Part Name],$A849,T_PlannedOrders[WeekIndex],21)=0,"",SUMIFS(T_PlannedOrders[EffectiveQty],T_PlannedOrders[Part Name],$A849,T_PlannedOrders[WeekIndex],21)&amp;" ("&amp;TEXT(SUMPRODUCT(MAX((T_PlannedOrders[Part Name]=$A849)*(T_PlannedOrders[WeekIndex]=21)*(T_PlannedOrders[EffectiveQty]&gt;0)*T_PlannedOrders[Order_Month])),"m月")&amp;"発注)")</f>
        <v/>
      </c>
      <c r="Y891">
        <f>IF(SUMIFS(T_PlannedOrders[EffectiveQty],T_PlannedOrders[Part Name],$A849,T_PlannedOrders[WeekIndex],22)=0,"",SUMIFS(T_PlannedOrders[EffectiveQty],T_PlannedOrders[Part Name],$A849,T_PlannedOrders[WeekIndex],22)&amp;" ("&amp;TEXT(SUMPRODUCT(MAX((T_PlannedOrders[Part Name]=$A849)*(T_PlannedOrders[WeekIndex]=22)*(T_PlannedOrders[EffectiveQty]&gt;0)*T_PlannedOrders[Order_Month])),"m月")&amp;"発注)")</f>
        <v/>
      </c>
      <c r="Z891">
        <f>IF(SUMIFS(T_PlannedOrders[EffectiveQty],T_PlannedOrders[Part Name],$A849,T_PlannedOrders[WeekIndex],23)=0,"",SUMIFS(T_PlannedOrders[EffectiveQty],T_PlannedOrders[Part Name],$A849,T_PlannedOrders[WeekIndex],23)&amp;" ("&amp;TEXT(SUMPRODUCT(MAX((T_PlannedOrders[Part Name]=$A849)*(T_PlannedOrders[WeekIndex]=23)*(T_PlannedOrders[EffectiveQty]&gt;0)*T_PlannedOrders[Order_Month])),"m月")&amp;"発注)")</f>
        <v/>
      </c>
      <c r="AA891">
        <f>IF(SUMIFS(T_PlannedOrders[EffectiveQty],T_PlannedOrders[Part Name],$A849,T_PlannedOrders[WeekIndex],24)=0,"",SUMIFS(T_PlannedOrders[EffectiveQty],T_PlannedOrders[Part Name],$A849,T_PlannedOrders[WeekIndex],24)&amp;" ("&amp;TEXT(SUMPRODUCT(MAX((T_PlannedOrders[Part Name]=$A849)*(T_PlannedOrders[WeekIndex]=24)*(T_PlannedOrders[EffectiveQty]&gt;0)*T_PlannedOrders[Order_Month])),"m月")&amp;"発注)")</f>
        <v/>
      </c>
      <c r="AB891">
        <f>IF(SUMIFS(T_PlannedOrders[EffectiveQty],T_PlannedOrders[Part Name],$A849,T_PlannedOrders[WeekIndex],25)=0,"",SUMIFS(T_PlannedOrders[EffectiveQty],T_PlannedOrders[Part Name],$A849,T_PlannedOrders[WeekIndex],25)&amp;" ("&amp;TEXT(SUMPRODUCT(MAX((T_PlannedOrders[Part Name]=$A849)*(T_PlannedOrders[WeekIndex]=25)*(T_PlannedOrders[EffectiveQty]&gt;0)*T_PlannedOrders[Order_Month])),"m月")&amp;"発注)")</f>
        <v/>
      </c>
      <c r="AC891">
        <f>IF(SUMIFS(T_PlannedOrders[EffectiveQty],T_PlannedOrders[Part Name],$A849,T_PlannedOrders[WeekIndex],26)=0,"",SUMIFS(T_PlannedOrders[EffectiveQty],T_PlannedOrders[Part Name],$A849,T_PlannedOrders[WeekIndex],26)&amp;" ("&amp;TEXT(SUMPRODUCT(MAX((T_PlannedOrders[Part Name]=$A849)*(T_PlannedOrders[WeekIndex]=26)*(T_PlannedOrders[EffectiveQty]&gt;0)*T_PlannedOrders[Order_Month])),"m月")&amp;"発注)")</f>
        <v/>
      </c>
      <c r="AD891">
        <f>IF(SUMIFS(T_PlannedOrders[EffectiveQty],T_PlannedOrders[Part Name],$A849,T_PlannedOrders[WeekIndex],27)=0,"",SUMIFS(T_PlannedOrders[EffectiveQty],T_PlannedOrders[Part Name],$A849,T_PlannedOrders[WeekIndex],27)&amp;" ("&amp;TEXT(SUMPRODUCT(MAX((T_PlannedOrders[Part Name]=$A849)*(T_PlannedOrders[WeekIndex]=27)*(T_PlannedOrders[EffectiveQty]&gt;0)*T_PlannedOrders[Order_Month])),"m月")&amp;"発注)")</f>
        <v/>
      </c>
      <c r="AE891">
        <f>IF(SUMIFS(T_PlannedOrders[EffectiveQty],T_PlannedOrders[Part Name],$A849,T_PlannedOrders[WeekIndex],28)=0,"",SUMIFS(T_PlannedOrders[EffectiveQty],T_PlannedOrders[Part Name],$A849,T_PlannedOrders[WeekIndex],28)&amp;" ("&amp;TEXT(SUMPRODUCT(MAX((T_PlannedOrders[Part Name]=$A849)*(T_PlannedOrders[WeekIndex]=28)*(T_PlannedOrders[EffectiveQty]&gt;0)*T_PlannedOrders[Order_Month])),"m月")&amp;"発注)")</f>
        <v/>
      </c>
      <c r="AF891">
        <f>IF(SUMIFS(T_PlannedOrders[EffectiveQty],T_PlannedOrders[Part Name],$A849,T_PlannedOrders[WeekIndex],29)=0,"",SUMIFS(T_PlannedOrders[EffectiveQty],T_PlannedOrders[Part Name],$A849,T_PlannedOrders[WeekIndex],29)&amp;" ("&amp;TEXT(SUMPRODUCT(MAX((T_PlannedOrders[Part Name]=$A849)*(T_PlannedOrders[WeekIndex]=29)*(T_PlannedOrders[EffectiveQty]&gt;0)*T_PlannedOrders[Order_Month])),"m月")&amp;"発注)")</f>
        <v/>
      </c>
      <c r="AG891">
        <f>IF(SUMIFS(T_PlannedOrders[EffectiveQty],T_PlannedOrders[Part Name],$A849,T_PlannedOrders[WeekIndex],30)=0,"",SUMIFS(T_PlannedOrders[EffectiveQty],T_PlannedOrders[Part Name],$A849,T_PlannedOrders[WeekIndex],30)&amp;" ("&amp;TEXT(SUMPRODUCT(MAX((T_PlannedOrders[Part Name]=$A849)*(T_PlannedOrders[WeekIndex]=30)*(T_PlannedOrders[EffectiveQty]&gt;0)*T_PlannedOrders[Order_Month])),"m月")&amp;"発注)")</f>
        <v/>
      </c>
      <c r="AH891">
        <f>IF(SUMIFS(T_PlannedOrders[EffectiveQty],T_PlannedOrders[Part Name],$A849,T_PlannedOrders[WeekIndex],31)=0,"",SUMIFS(T_PlannedOrders[EffectiveQty],T_PlannedOrders[Part Name],$A849,T_PlannedOrders[WeekIndex],31)&amp;" ("&amp;TEXT(SUMPRODUCT(MAX((T_PlannedOrders[Part Name]=$A849)*(T_PlannedOrders[WeekIndex]=31)*(T_PlannedOrders[EffectiveQty]&gt;0)*T_PlannedOrders[Order_Month])),"m月")&amp;"発注)")</f>
        <v/>
      </c>
      <c r="AI891">
        <f>IF(SUMIFS(T_PlannedOrders[EffectiveQty],T_PlannedOrders[Part Name],$A849,T_PlannedOrders[WeekIndex],32)=0,"",SUMIFS(T_PlannedOrders[EffectiveQty],T_PlannedOrders[Part Name],$A849,T_PlannedOrders[WeekIndex],32)&amp;" ("&amp;TEXT(SUMPRODUCT(MAX((T_PlannedOrders[Part Name]=$A849)*(T_PlannedOrders[WeekIndex]=32)*(T_PlannedOrders[EffectiveQty]&gt;0)*T_PlannedOrders[Order_Month])),"m月")&amp;"発注)")</f>
        <v/>
      </c>
      <c r="AJ891">
        <f>IF(SUMIFS(T_PlannedOrders[EffectiveQty],T_PlannedOrders[Part Name],$A849,T_PlannedOrders[WeekIndex],33)=0,"",SUMIFS(T_PlannedOrders[EffectiveQty],T_PlannedOrders[Part Name],$A849,T_PlannedOrders[WeekIndex],33)&amp;" ("&amp;TEXT(SUMPRODUCT(MAX((T_PlannedOrders[Part Name]=$A849)*(T_PlannedOrders[WeekIndex]=33)*(T_PlannedOrders[EffectiveQty]&gt;0)*T_PlannedOrders[Order_Month])),"m月")&amp;"発注)")</f>
        <v/>
      </c>
      <c r="AK891">
        <f>IF(SUMIFS(T_PlannedOrders[EffectiveQty],T_PlannedOrders[Part Name],$A849,T_PlannedOrders[WeekIndex],34)=0,"",SUMIFS(T_PlannedOrders[EffectiveQty],T_PlannedOrders[Part Name],$A849,T_PlannedOrders[WeekIndex],34)&amp;" ("&amp;TEXT(SUMPRODUCT(MAX((T_PlannedOrders[Part Name]=$A849)*(T_PlannedOrders[WeekIndex]=34)*(T_PlannedOrders[EffectiveQty]&gt;0)*T_PlannedOrders[Order_Month])),"m月")&amp;"発注)")</f>
        <v/>
      </c>
      <c r="AL891">
        <f>IF(SUMIFS(T_PlannedOrders[EffectiveQty],T_PlannedOrders[Part Name],$A849,T_PlannedOrders[WeekIndex],35)=0,"",SUMIFS(T_PlannedOrders[EffectiveQty],T_PlannedOrders[Part Name],$A849,T_PlannedOrders[WeekIndex],35)&amp;" ("&amp;TEXT(SUMPRODUCT(MAX((T_PlannedOrders[Part Name]=$A849)*(T_PlannedOrders[WeekIndex]=35)*(T_PlannedOrders[EffectiveQty]&gt;0)*T_PlannedOrders[Order_Month])),"m月")&amp;"発注)")</f>
        <v/>
      </c>
      <c r="AM891">
        <f>IF(SUMIFS(T_PlannedOrders[EffectiveQty],T_PlannedOrders[Part Name],$A849,T_PlannedOrders[WeekIndex],36)=0,"",SUMIFS(T_PlannedOrders[EffectiveQty],T_PlannedOrders[Part Name],$A849,T_PlannedOrders[WeekIndex],36)&amp;" ("&amp;TEXT(SUMPRODUCT(MAX((T_PlannedOrders[Part Name]=$A849)*(T_PlannedOrders[WeekIndex]=36)*(T_PlannedOrders[EffectiveQty]&gt;0)*T_PlannedOrders[Order_Month])),"m月")&amp;"発注)")</f>
        <v/>
      </c>
      <c r="AN891">
        <f>IF(SUMIFS(T_PlannedOrders[EffectiveQty],T_PlannedOrders[Part Name],$A849,T_PlannedOrders[WeekIndex],37)=0,"",SUMIFS(T_PlannedOrders[EffectiveQty],T_PlannedOrders[Part Name],$A849,T_PlannedOrders[WeekIndex],37)&amp;" ("&amp;TEXT(SUMPRODUCT(MAX((T_PlannedOrders[Part Name]=$A849)*(T_PlannedOrders[WeekIndex]=37)*(T_PlannedOrders[EffectiveQty]&gt;0)*T_PlannedOrders[Order_Month])),"m月")&amp;"発注)")</f>
        <v/>
      </c>
      <c r="AO891">
        <f>IF(SUMIFS(T_PlannedOrders[EffectiveQty],T_PlannedOrders[Part Name],$A849,T_PlannedOrders[WeekIndex],38)=0,"",SUMIFS(T_PlannedOrders[EffectiveQty],T_PlannedOrders[Part Name],$A849,T_PlannedOrders[WeekIndex],38)&amp;" ("&amp;TEXT(SUMPRODUCT(MAX((T_PlannedOrders[Part Name]=$A849)*(T_PlannedOrders[WeekIndex]=38)*(T_PlannedOrders[EffectiveQty]&gt;0)*T_PlannedOrders[Order_Month])),"m月")&amp;"発注)")</f>
        <v/>
      </c>
      <c r="AP891">
        <f>IF(SUMIFS(T_PlannedOrders[EffectiveQty],T_PlannedOrders[Part Name],$A849,T_PlannedOrders[WeekIndex],39)=0,"",SUMIFS(T_PlannedOrders[EffectiveQty],T_PlannedOrders[Part Name],$A849,T_PlannedOrders[WeekIndex],39)&amp;" ("&amp;TEXT(SUMPRODUCT(MAX((T_PlannedOrders[Part Name]=$A849)*(T_PlannedOrders[WeekIndex]=39)*(T_PlannedOrders[EffectiveQty]&gt;0)*T_PlannedOrders[Order_Month])),"m月")&amp;"発注)")</f>
        <v/>
      </c>
      <c r="AQ891">
        <f>IF(SUMIFS(T_PlannedOrders[EffectiveQty],T_PlannedOrders[Part Name],$A849,T_PlannedOrders[WeekIndex],40)=0,"",SUMIFS(T_PlannedOrders[EffectiveQty],T_PlannedOrders[Part Name],$A849,T_PlannedOrders[WeekIndex],40)&amp;" ("&amp;TEXT(SUMPRODUCT(MAX((T_PlannedOrders[Part Name]=$A849)*(T_PlannedOrders[WeekIndex]=40)*(T_PlannedOrders[EffectiveQty]&gt;0)*T_PlannedOrders[Order_Month])),"m月")&amp;"発注)")</f>
        <v/>
      </c>
      <c r="AR891">
        <f>IF(SUMIFS(T_PlannedOrders[EffectiveQty],T_PlannedOrders[Part Name],$A849,T_PlannedOrders[WeekIndex],41)=0,"",SUMIFS(T_PlannedOrders[EffectiveQty],T_PlannedOrders[Part Name],$A849,T_PlannedOrders[WeekIndex],41)&amp;" ("&amp;TEXT(SUMPRODUCT(MAX((T_PlannedOrders[Part Name]=$A849)*(T_PlannedOrders[WeekIndex]=41)*(T_PlannedOrders[EffectiveQty]&gt;0)*T_PlannedOrders[Order_Month])),"m月")&amp;"発注)")</f>
        <v/>
      </c>
      <c r="AS891">
        <f>IF(SUMIFS(T_PlannedOrders[EffectiveQty],T_PlannedOrders[Part Name],$A849,T_PlannedOrders[WeekIndex],42)=0,"",SUMIFS(T_PlannedOrders[EffectiveQty],T_PlannedOrders[Part Name],$A849,T_PlannedOrders[WeekIndex],42)&amp;" ("&amp;TEXT(SUMPRODUCT(MAX((T_PlannedOrders[Part Name]=$A849)*(T_PlannedOrders[WeekIndex]=42)*(T_PlannedOrders[EffectiveQty]&gt;0)*T_PlannedOrders[Order_Month])),"m月")&amp;"発注)")</f>
        <v/>
      </c>
      <c r="AT891">
        <f>IF(SUMIFS(T_PlannedOrders[EffectiveQty],T_PlannedOrders[Part Name],$A849,T_PlannedOrders[WeekIndex],43)=0,"",SUMIFS(T_PlannedOrders[EffectiveQty],T_PlannedOrders[Part Name],$A849,T_PlannedOrders[WeekIndex],43)&amp;" ("&amp;TEXT(SUMPRODUCT(MAX((T_PlannedOrders[Part Name]=$A849)*(T_PlannedOrders[WeekIndex]=43)*(T_PlannedOrders[EffectiveQty]&gt;0)*T_PlannedOrders[Order_Month])),"m月")&amp;"発注)")</f>
        <v/>
      </c>
      <c r="AU891">
        <f>IF(SUMIFS(T_PlannedOrders[EffectiveQty],T_PlannedOrders[Part Name],$A849,T_PlannedOrders[WeekIndex],44)=0,"",SUMIFS(T_PlannedOrders[EffectiveQty],T_PlannedOrders[Part Name],$A849,T_PlannedOrders[WeekIndex],44)&amp;" ("&amp;TEXT(SUMPRODUCT(MAX((T_PlannedOrders[Part Name]=$A849)*(T_PlannedOrders[WeekIndex]=44)*(T_PlannedOrders[EffectiveQty]&gt;0)*T_PlannedOrders[Order_Month])),"m月")&amp;"発注)")</f>
        <v/>
      </c>
      <c r="AV891">
        <f>IF(SUMIFS(T_PlannedOrders[EffectiveQty],T_PlannedOrders[Part Name],$A849,T_PlannedOrders[WeekIndex],45)=0,"",SUMIFS(T_PlannedOrders[EffectiveQty],T_PlannedOrders[Part Name],$A849,T_PlannedOrders[WeekIndex],45)&amp;" ("&amp;TEXT(SUMPRODUCT(MAX((T_PlannedOrders[Part Name]=$A849)*(T_PlannedOrders[WeekIndex]=45)*(T_PlannedOrders[EffectiveQty]&gt;0)*T_PlannedOrders[Order_Month])),"m月")&amp;"発注)")</f>
        <v/>
      </c>
      <c r="AW891">
        <f>IF(SUMIFS(T_PlannedOrders[EffectiveQty],T_PlannedOrders[Part Name],$A849,T_PlannedOrders[WeekIndex],46)=0,"",SUMIFS(T_PlannedOrders[EffectiveQty],T_PlannedOrders[Part Name],$A849,T_PlannedOrders[WeekIndex],46)&amp;" ("&amp;TEXT(SUMPRODUCT(MAX((T_PlannedOrders[Part Name]=$A849)*(T_PlannedOrders[WeekIndex]=46)*(T_PlannedOrders[EffectiveQty]&gt;0)*T_PlannedOrders[Order_Month])),"m月")&amp;"発注)")</f>
        <v/>
      </c>
      <c r="AX891">
        <f>IF(SUMIFS(T_PlannedOrders[EffectiveQty],T_PlannedOrders[Part Name],$A849,T_PlannedOrders[WeekIndex],47)=0,"",SUMIFS(T_PlannedOrders[EffectiveQty],T_PlannedOrders[Part Name],$A849,T_PlannedOrders[WeekIndex],47)&amp;" ("&amp;TEXT(SUMPRODUCT(MAX((T_PlannedOrders[Part Name]=$A849)*(T_PlannedOrders[WeekIndex]=47)*(T_PlannedOrders[EffectiveQty]&gt;0)*T_PlannedOrders[Order_Month])),"m月")&amp;"発注)")</f>
        <v/>
      </c>
      <c r="AY891">
        <f>IF(SUMIFS(T_PlannedOrders[EffectiveQty],T_PlannedOrders[Part Name],$A849,T_PlannedOrders[WeekIndex],48)=0,"",SUMIFS(T_PlannedOrders[EffectiveQty],T_PlannedOrders[Part Name],$A849,T_PlannedOrders[WeekIndex],48)&amp;" ("&amp;TEXT(SUMPRODUCT(MAX((T_PlannedOrders[Part Name]=$A849)*(T_PlannedOrders[WeekIndex]=48)*(T_PlannedOrders[EffectiveQty]&gt;0)*T_PlannedOrders[Order_Month])),"m月")&amp;"発注)")</f>
        <v/>
      </c>
      <c r="AZ891">
        <f>IF(SUMIFS(T_PlannedOrders[EffectiveQty],T_PlannedOrders[Part Name],$A849,T_PlannedOrders[WeekIndex],49)=0,"",SUMIFS(T_PlannedOrders[EffectiveQty],T_PlannedOrders[Part Name],$A849,T_PlannedOrders[WeekIndex],49)&amp;" ("&amp;TEXT(SUMPRODUCT(MAX((T_PlannedOrders[Part Name]=$A849)*(T_PlannedOrders[WeekIndex]=49)*(T_PlannedOrders[EffectiveQty]&gt;0)*T_PlannedOrders[Order_Month])),"m月")&amp;"発注)")</f>
        <v/>
      </c>
      <c r="BA891">
        <f>IF(SUMIFS(T_PlannedOrders[EffectiveQty],T_PlannedOrders[Part Name],$A849,T_PlannedOrders[WeekIndex],50)=0,"",SUMIFS(T_PlannedOrders[EffectiveQty],T_PlannedOrders[Part Name],$A849,T_PlannedOrders[WeekIndex],50)&amp;" ("&amp;TEXT(SUMPRODUCT(MAX((T_PlannedOrders[Part Name]=$A849)*(T_PlannedOrders[WeekIndex]=50)*(T_PlannedOrders[EffectiveQty]&gt;0)*T_PlannedOrders[Order_Month])),"m月")&amp;"発注)")</f>
        <v/>
      </c>
      <c r="BB891">
        <f>IF(SUMIFS(T_PlannedOrders[EffectiveQty],T_PlannedOrders[Part Name],$A849,T_PlannedOrders[WeekIndex],51)=0,"",SUMIFS(T_PlannedOrders[EffectiveQty],T_PlannedOrders[Part Name],$A849,T_PlannedOrders[WeekIndex],51)&amp;" ("&amp;TEXT(SUMPRODUCT(MAX((T_PlannedOrders[Part Name]=$A849)*(T_PlannedOrders[WeekIndex]=51)*(T_PlannedOrders[EffectiveQty]&gt;0)*T_PlannedOrders[Order_Month])),"m月")&amp;"発注)")</f>
        <v/>
      </c>
      <c r="BC891">
        <f>IF(SUMIFS(T_PlannedOrders[EffectiveQty],T_PlannedOrders[Part Name],$A849,T_PlannedOrders[WeekIndex],52)=0,"",SUMIFS(T_PlannedOrders[EffectiveQty],T_PlannedOrders[Part Name],$A849,T_PlannedOrders[WeekIndex],52)&amp;" ("&amp;TEXT(SUMPRODUCT(MAX((T_PlannedOrders[Part Name]=$A849)*(T_PlannedOrders[WeekIndex]=52)*(T_PlannedOrders[EffectiveQty]&gt;0)*T_PlannedOrders[Order_Month])),"m月")&amp;"発注)")</f>
        <v/>
      </c>
      <c r="BD891">
        <f>IF(SUMIFS(T_PlannedOrders[EffectiveQty],T_PlannedOrders[Part Name],$A849,T_PlannedOrders[WeekIndex],53)=0,"",SUMIFS(T_PlannedOrders[EffectiveQty],T_PlannedOrders[Part Name],$A849,T_PlannedOrders[WeekIndex],53)&amp;" ("&amp;TEXT(SUMPRODUCT(MAX((T_PlannedOrders[Part Name]=$A849)*(T_PlannedOrders[WeekIndex]=53)*(T_PlannedOrders[EffectiveQty]&gt;0)*T_PlannedOrders[Order_Month])),"m月")&amp;"発注)")</f>
        <v/>
      </c>
      <c r="BE891">
        <f>IF(SUMIFS(T_PlannedOrders[EffectiveQty],T_PlannedOrders[Part Name],$A849,T_PlannedOrders[WeekIndex],54)=0,"",SUMIFS(T_PlannedOrders[EffectiveQty],T_PlannedOrders[Part Name],$A849,T_PlannedOrders[WeekIndex],54)&amp;" ("&amp;TEXT(SUMPRODUCT(MAX((T_PlannedOrders[Part Name]=$A849)*(T_PlannedOrders[WeekIndex]=54)*(T_PlannedOrders[EffectiveQty]&gt;0)*T_PlannedOrders[Order_Month])),"m月")&amp;"発注)")</f>
        <v/>
      </c>
      <c r="BF891">
        <f>IF(SUMIFS(T_PlannedOrders[EffectiveQty],T_PlannedOrders[Part Name],$A849,T_PlannedOrders[WeekIndex],55)=0,"",SUMIFS(T_PlannedOrders[EffectiveQty],T_PlannedOrders[Part Name],$A849,T_PlannedOrders[WeekIndex],55)&amp;" ("&amp;TEXT(SUMPRODUCT(MAX((T_PlannedOrders[Part Name]=$A849)*(T_PlannedOrders[WeekIndex]=55)*(T_PlannedOrders[EffectiveQty]&gt;0)*T_PlannedOrders[Order_Month])),"m月")&amp;"発注)")</f>
        <v/>
      </c>
      <c r="BG891">
        <f>IF(SUMIFS(T_PlannedOrders[EffectiveQty],T_PlannedOrders[Part Name],$A849,T_PlannedOrders[WeekIndex],56)=0,"",SUMIFS(T_PlannedOrders[EffectiveQty],T_PlannedOrders[Part Name],$A849,T_PlannedOrders[WeekIndex],56)&amp;" ("&amp;TEXT(SUMPRODUCT(MAX((T_PlannedOrders[Part Name]=$A849)*(T_PlannedOrders[WeekIndex]=56)*(T_PlannedOrders[EffectiveQty]&gt;0)*T_PlannedOrders[Order_Month])),"m月")&amp;"発注)")</f>
        <v/>
      </c>
      <c r="BH891">
        <f>IF(SUMIFS(T_PlannedOrders[EffectiveQty],T_PlannedOrders[Part Name],$A849,T_PlannedOrders[WeekIndex],57)=0,"",SUMIFS(T_PlannedOrders[EffectiveQty],T_PlannedOrders[Part Name],$A849,T_PlannedOrders[WeekIndex],57)&amp;" ("&amp;TEXT(SUMPRODUCT(MAX((T_PlannedOrders[Part Name]=$A849)*(T_PlannedOrders[WeekIndex]=57)*(T_PlannedOrders[EffectiveQty]&gt;0)*T_PlannedOrders[Order_Month])),"m月")&amp;"発注)")</f>
        <v/>
      </c>
      <c r="BI891">
        <f>IF(SUMIFS(T_PlannedOrders[EffectiveQty],T_PlannedOrders[Part Name],$A849,T_PlannedOrders[WeekIndex],58)=0,"",SUMIFS(T_PlannedOrders[EffectiveQty],T_PlannedOrders[Part Name],$A849,T_PlannedOrders[WeekIndex],58)&amp;" ("&amp;TEXT(SUMPRODUCT(MAX((T_PlannedOrders[Part Name]=$A849)*(T_PlannedOrders[WeekIndex]=58)*(T_PlannedOrders[EffectiveQty]&gt;0)*T_PlannedOrders[Order_Month])),"m月")&amp;"発注)")</f>
        <v/>
      </c>
      <c r="BJ891">
        <f>IF(SUMIFS(T_PlannedOrders[EffectiveQty],T_PlannedOrders[Part Name],$A849,T_PlannedOrders[WeekIndex],59)=0,"",SUMIFS(T_PlannedOrders[EffectiveQty],T_PlannedOrders[Part Name],$A849,T_PlannedOrders[WeekIndex],59)&amp;" ("&amp;TEXT(SUMPRODUCT(MAX((T_PlannedOrders[Part Name]=$A849)*(T_PlannedOrders[WeekIndex]=59)*(T_PlannedOrders[EffectiveQty]&gt;0)*T_PlannedOrders[Order_Month])),"m月")&amp;"発注)")</f>
        <v/>
      </c>
      <c r="BK891">
        <f>IF(SUMIFS(T_PlannedOrders[EffectiveQty],T_PlannedOrders[Part Name],$A849,T_PlannedOrders[WeekIndex],60)=0,"",SUMIFS(T_PlannedOrders[EffectiveQty],T_PlannedOrders[Part Name],$A849,T_PlannedOrders[WeekIndex],60)&amp;" ("&amp;TEXT(SUMPRODUCT(MAX((T_PlannedOrders[Part Name]=$A849)*(T_PlannedOrders[WeekIndex]=60)*(T_PlannedOrders[EffectiveQty]&gt;0)*T_PlannedOrders[Order_Month])),"m月")&amp;"発注)")</f>
        <v/>
      </c>
      <c r="BL891">
        <f>IF(SUMIFS(T_PlannedOrders[EffectiveQty],T_PlannedOrders[Part Name],$A849,T_PlannedOrders[WeekIndex],61)=0,"",SUMIFS(T_PlannedOrders[EffectiveQty],T_PlannedOrders[Part Name],$A849,T_PlannedOrders[WeekIndex],61)&amp;" ("&amp;TEXT(SUMPRODUCT(MAX((T_PlannedOrders[Part Name]=$A849)*(T_PlannedOrders[WeekIndex]=61)*(T_PlannedOrders[EffectiveQty]&gt;0)*T_PlannedOrders[Order_Month])),"m月")&amp;"発注)")</f>
        <v/>
      </c>
      <c r="BM891">
        <f>IF(SUMIFS(T_PlannedOrders[EffectiveQty],T_PlannedOrders[Part Name],$A849,T_PlannedOrders[WeekIndex],62)=0,"",SUMIFS(T_PlannedOrders[EffectiveQty],T_PlannedOrders[Part Name],$A849,T_PlannedOrders[WeekIndex],62)&amp;" ("&amp;TEXT(SUMPRODUCT(MAX((T_PlannedOrders[Part Name]=$A849)*(T_PlannedOrders[WeekIndex]=62)*(T_PlannedOrders[EffectiveQty]&gt;0)*T_PlannedOrders[Order_Month])),"m月")&amp;"発注)")</f>
        <v/>
      </c>
      <c r="BN891">
        <f>IF(SUMIFS(T_PlannedOrders[EffectiveQty],T_PlannedOrders[Part Name],$A849,T_PlannedOrders[WeekIndex],63)=0,"",SUMIFS(T_PlannedOrders[EffectiveQty],T_PlannedOrders[Part Name],$A849,T_PlannedOrders[WeekIndex],63)&amp;" ("&amp;TEXT(SUMPRODUCT(MAX((T_PlannedOrders[Part Name]=$A849)*(T_PlannedOrders[WeekIndex]=63)*(T_PlannedOrders[EffectiveQty]&gt;0)*T_PlannedOrders[Order_Month])),"m月")&amp;"発注)")</f>
        <v/>
      </c>
      <c r="BO891">
        <f>IF(SUMIFS(T_PlannedOrders[EffectiveQty],T_PlannedOrders[Part Name],$A849,T_PlannedOrders[WeekIndex],64)=0,"",SUMIFS(T_PlannedOrders[EffectiveQty],T_PlannedOrders[Part Name],$A849,T_PlannedOrders[WeekIndex],64)&amp;" ("&amp;TEXT(SUMPRODUCT(MAX((T_PlannedOrders[Part Name]=$A849)*(T_PlannedOrders[WeekIndex]=64)*(T_PlannedOrders[EffectiveQty]&gt;0)*T_PlannedOrders[Order_Month])),"m月")&amp;"発注)")</f>
        <v/>
      </c>
      <c r="BP891">
        <f>IF(SUMIFS(T_PlannedOrders[EffectiveQty],T_PlannedOrders[Part Name],$A849,T_PlannedOrders[WeekIndex],65)=0,"",SUMIFS(T_PlannedOrders[EffectiveQty],T_PlannedOrders[Part Name],$A849,T_PlannedOrders[WeekIndex],65)&amp;" ("&amp;TEXT(SUMPRODUCT(MAX((T_PlannedOrders[Part Name]=$A849)*(T_PlannedOrders[WeekIndex]=65)*(T_PlannedOrders[EffectiveQty]&gt;0)*T_PlannedOrders[Order_Month])),"m月")&amp;"発注)")</f>
        <v/>
      </c>
      <c r="BQ891">
        <f>IF(SUMIFS(T_PlannedOrders[EffectiveQty],T_PlannedOrders[Part Name],$A849,T_PlannedOrders[WeekIndex],66)=0,"",SUMIFS(T_PlannedOrders[EffectiveQty],T_PlannedOrders[Part Name],$A849,T_PlannedOrders[WeekIndex],66)&amp;" ("&amp;TEXT(SUMPRODUCT(MAX((T_PlannedOrders[Part Name]=$A849)*(T_PlannedOrders[WeekIndex]=66)*(T_PlannedOrders[EffectiveQty]&gt;0)*T_PlannedOrders[Order_Month])),"m月")&amp;"発注)")</f>
        <v/>
      </c>
      <c r="BR891">
        <f>IF(SUMIFS(T_PlannedOrders[EffectiveQty],T_PlannedOrders[Part Name],$A849,T_PlannedOrders[WeekIndex],67)=0,"",SUMIFS(T_PlannedOrders[EffectiveQty],T_PlannedOrders[Part Name],$A849,T_PlannedOrders[WeekIndex],67)&amp;" ("&amp;TEXT(SUMPRODUCT(MAX((T_PlannedOrders[Part Name]=$A849)*(T_PlannedOrders[WeekIndex]=67)*(T_PlannedOrders[EffectiveQty]&gt;0)*T_PlannedOrders[Order_Month])),"m月")&amp;"発注)")</f>
        <v/>
      </c>
      <c r="BS891">
        <f>IF(SUMIFS(T_PlannedOrders[EffectiveQty],T_PlannedOrders[Part Name],$A849,T_PlannedOrders[WeekIndex],68)=0,"",SUMIFS(T_PlannedOrders[EffectiveQty],T_PlannedOrders[Part Name],$A849,T_PlannedOrders[WeekIndex],68)&amp;" ("&amp;TEXT(SUMPRODUCT(MAX((T_PlannedOrders[Part Name]=$A849)*(T_PlannedOrders[WeekIndex]=68)*(T_PlannedOrders[EffectiveQty]&gt;0)*T_PlannedOrders[Order_Month])),"m月")&amp;"発注)")</f>
        <v/>
      </c>
      <c r="BT891">
        <f>IF(SUMIFS(T_PlannedOrders[EffectiveQty],T_PlannedOrders[Part Name],$A849,T_PlannedOrders[WeekIndex],69)=0,"",SUMIFS(T_PlannedOrders[EffectiveQty],T_PlannedOrders[Part Name],$A849,T_PlannedOrders[WeekIndex],69)&amp;" ("&amp;TEXT(SUMPRODUCT(MAX((T_PlannedOrders[Part Name]=$A849)*(T_PlannedOrders[WeekIndex]=69)*(T_PlannedOrders[EffectiveQty]&gt;0)*T_PlannedOrders[Order_Month])),"m月")&amp;"発注)")</f>
        <v/>
      </c>
      <c r="BU891">
        <f>IF(SUMIFS(T_PlannedOrders[EffectiveQty],T_PlannedOrders[Part Name],$A849,T_PlannedOrders[WeekIndex],70)=0,"",SUMIFS(T_PlannedOrders[EffectiveQty],T_PlannedOrders[Part Name],$A849,T_PlannedOrders[WeekIndex],70)&amp;" ("&amp;TEXT(SUMPRODUCT(MAX((T_PlannedOrders[Part Name]=$A849)*(T_PlannedOrders[WeekIndex]=70)*(T_PlannedOrders[EffectiveQty]&gt;0)*T_PlannedOrders[Order_Month])),"m月")&amp;"発注)")</f>
        <v/>
      </c>
      <c r="BV891">
        <f>IF(SUMIFS(T_PlannedOrders[EffectiveQty],T_PlannedOrders[Part Name],$A849,T_PlannedOrders[WeekIndex],71)=0,"",SUMIFS(T_PlannedOrders[EffectiveQty],T_PlannedOrders[Part Name],$A849,T_PlannedOrders[WeekIndex],71)&amp;" ("&amp;TEXT(SUMPRODUCT(MAX((T_PlannedOrders[Part Name]=$A849)*(T_PlannedOrders[WeekIndex]=71)*(T_PlannedOrders[EffectiveQty]&gt;0)*T_PlannedOrders[Order_Month])),"m月")&amp;"発注)")</f>
        <v/>
      </c>
      <c r="BW891">
        <f>IF(SUMIFS(T_PlannedOrders[EffectiveQty],T_PlannedOrders[Part Name],$A849,T_PlannedOrders[WeekIndex],72)=0,"",SUMIFS(T_PlannedOrders[EffectiveQty],T_PlannedOrders[Part Name],$A849,T_PlannedOrders[WeekIndex],72)&amp;" ("&amp;TEXT(SUMPRODUCT(MAX((T_PlannedOrders[Part Name]=$A849)*(T_PlannedOrders[WeekIndex]=72)*(T_PlannedOrders[EffectiveQty]&gt;0)*T_PlannedOrders[Order_Month])),"m月")&amp;"発注)")</f>
        <v/>
      </c>
      <c r="BX891">
        <f>IF(SUMIFS(T_PlannedOrders[EffectiveQty],T_PlannedOrders[Part Name],$A849,T_PlannedOrders[WeekIndex],73)=0,"",SUMIFS(T_PlannedOrders[EffectiveQty],T_PlannedOrders[Part Name],$A849,T_PlannedOrders[WeekIndex],73)&amp;" ("&amp;TEXT(SUMPRODUCT(MAX((T_PlannedOrders[Part Name]=$A849)*(T_PlannedOrders[WeekIndex]=73)*(T_PlannedOrders[EffectiveQty]&gt;0)*T_PlannedOrders[Order_Month])),"m月")&amp;"発注)")</f>
        <v/>
      </c>
      <c r="BY891">
        <f>IF(SUMIFS(T_PlannedOrders[EffectiveQty],T_PlannedOrders[Part Name],$A849,T_PlannedOrders[WeekIndex],74)=0,"",SUMIFS(T_PlannedOrders[EffectiveQty],T_PlannedOrders[Part Name],$A849,T_PlannedOrders[WeekIndex],74)&amp;" ("&amp;TEXT(SUMPRODUCT(MAX((T_PlannedOrders[Part Name]=$A849)*(T_PlannedOrders[WeekIndex]=74)*(T_PlannedOrders[EffectiveQty]&gt;0)*T_PlannedOrders[Order_Month])),"m月")&amp;"発注)")</f>
        <v/>
      </c>
      <c r="BZ891">
        <f>IF(SUMIFS(T_PlannedOrders[EffectiveQty],T_PlannedOrders[Part Name],$A849,T_PlannedOrders[WeekIndex],75)=0,"",SUMIFS(T_PlannedOrders[EffectiveQty],T_PlannedOrders[Part Name],$A849,T_PlannedOrders[WeekIndex],75)&amp;" ("&amp;TEXT(SUMPRODUCT(MAX((T_PlannedOrders[Part Name]=$A849)*(T_PlannedOrders[WeekIndex]=75)*(T_PlannedOrders[EffectiveQty]&gt;0)*T_PlannedOrders[Order_Month])),"m月")&amp;"発注)")</f>
        <v/>
      </c>
      <c r="CA891">
        <f>IF(SUMIFS(T_PlannedOrders[EffectiveQty],T_PlannedOrders[Part Name],$A849,T_PlannedOrders[WeekIndex],76)=0,"",SUMIFS(T_PlannedOrders[EffectiveQty],T_PlannedOrders[Part Name],$A849,T_PlannedOrders[WeekIndex],76)&amp;" ("&amp;TEXT(SUMPRODUCT(MAX((T_PlannedOrders[Part Name]=$A849)*(T_PlannedOrders[WeekIndex]=76)*(T_PlannedOrders[EffectiveQty]&gt;0)*T_PlannedOrders[Order_Month])),"m月")&amp;"発注)")</f>
        <v/>
      </c>
      <c r="CB891">
        <f>IF(SUMIFS(T_PlannedOrders[EffectiveQty],T_PlannedOrders[Part Name],$A849,T_PlannedOrders[WeekIndex],77)=0,"",SUMIFS(T_PlannedOrders[EffectiveQty],T_PlannedOrders[Part Name],$A849,T_PlannedOrders[WeekIndex],77)&amp;" ("&amp;TEXT(SUMPRODUCT(MAX((T_PlannedOrders[Part Name]=$A849)*(T_PlannedOrders[WeekIndex]=77)*(T_PlannedOrders[EffectiveQty]&gt;0)*T_PlannedOrders[Order_Month])),"m月")&amp;"発注)")</f>
        <v/>
      </c>
      <c r="CC891">
        <f>IF(SUMIFS(T_PlannedOrders[EffectiveQty],T_PlannedOrders[Part Name],$A849,T_PlannedOrders[WeekIndex],78)=0,"",SUMIFS(T_PlannedOrders[EffectiveQty],T_PlannedOrders[Part Name],$A849,T_PlannedOrders[WeekIndex],78)&amp;" ("&amp;TEXT(SUMPRODUCT(MAX((T_PlannedOrders[Part Name]=$A849)*(T_PlannedOrders[WeekIndex]=78)*(T_PlannedOrders[EffectiveQty]&gt;0)*T_PlannedOrders[Order_Month])),"m月")&amp;"発注)")</f>
        <v/>
      </c>
      <c r="CD891">
        <f>IF(SUMIFS(T_PlannedOrders[EffectiveQty],T_PlannedOrders[Part Name],$A849,T_PlannedOrders[WeekIndex],79)=0,"",SUMIFS(T_PlannedOrders[EffectiveQty],T_PlannedOrders[Part Name],$A849,T_PlannedOrders[WeekIndex],79)&amp;" ("&amp;TEXT(SUMPRODUCT(MAX((T_PlannedOrders[Part Name]=$A849)*(T_PlannedOrders[WeekIndex]=79)*(T_PlannedOrders[EffectiveQty]&gt;0)*T_PlannedOrders[Order_Month])),"m月")&amp;"発注)")</f>
        <v/>
      </c>
      <c r="CE891">
        <f>IF(SUMIFS(T_PlannedOrders[EffectiveQty],T_PlannedOrders[Part Name],$A849,T_PlannedOrders[WeekIndex],80)=0,"",SUMIFS(T_PlannedOrders[EffectiveQty],T_PlannedOrders[Part Name],$A849,T_PlannedOrders[WeekIndex],80)&amp;" ("&amp;TEXT(SUMPRODUCT(MAX((T_PlannedOrders[Part Name]=$A849)*(T_PlannedOrders[WeekIndex]=80)*(T_PlannedOrders[EffectiveQty]&gt;0)*T_PlannedOrders[Order_Month])),"m月")&amp;"発注)")</f>
        <v/>
      </c>
      <c r="CF891">
        <f>IF(SUMIFS(T_PlannedOrders[EffectiveQty],T_PlannedOrders[Part Name],$A849,T_PlannedOrders[WeekIndex],81)=0,"",SUMIFS(T_PlannedOrders[EffectiveQty],T_PlannedOrders[Part Name],$A849,T_PlannedOrders[WeekIndex],81)&amp;" ("&amp;TEXT(SUMPRODUCT(MAX((T_PlannedOrders[Part Name]=$A849)*(T_PlannedOrders[WeekIndex]=81)*(T_PlannedOrders[EffectiveQty]&gt;0)*T_PlannedOrders[Order_Month])),"m月")&amp;"発注)")</f>
        <v/>
      </c>
      <c r="CG891">
        <f>IF(SUMIFS(T_PlannedOrders[EffectiveQty],T_PlannedOrders[Part Name],$A849,T_PlannedOrders[WeekIndex],82)=0,"",SUMIFS(T_PlannedOrders[EffectiveQty],T_PlannedOrders[Part Name],$A849,T_PlannedOrders[WeekIndex],82)&amp;" ("&amp;TEXT(SUMPRODUCT(MAX((T_PlannedOrders[Part Name]=$A849)*(T_PlannedOrders[WeekIndex]=82)*(T_PlannedOrders[EffectiveQty]&gt;0)*T_PlannedOrders[Order_Month])),"m月")&amp;"発注)")</f>
        <v/>
      </c>
      <c r="CH891">
        <f>IF(SUMIFS(T_PlannedOrders[EffectiveQty],T_PlannedOrders[Part Name],$A849,T_PlannedOrders[WeekIndex],83)=0,"",SUMIFS(T_PlannedOrders[EffectiveQty],T_PlannedOrders[Part Name],$A849,T_PlannedOrders[WeekIndex],83)&amp;" ("&amp;TEXT(SUMPRODUCT(MAX((T_PlannedOrders[Part Name]=$A849)*(T_PlannedOrders[WeekIndex]=83)*(T_PlannedOrders[EffectiveQty]&gt;0)*T_PlannedOrders[Order_Month])),"m月")&amp;"発注)")</f>
        <v/>
      </c>
      <c r="CI891">
        <f>IF(SUMIFS(T_PlannedOrders[EffectiveQty],T_PlannedOrders[Part Name],$A849,T_PlannedOrders[WeekIndex],84)=0,"",SUMIFS(T_PlannedOrders[EffectiveQty],T_PlannedOrders[Part Name],$A849,T_PlannedOrders[WeekIndex],84)&amp;" ("&amp;TEXT(SUMPRODUCT(MAX((T_PlannedOrders[Part Name]=$A849)*(T_PlannedOrders[WeekIndex]=84)*(T_PlannedOrders[EffectiveQty]&gt;0)*T_PlannedOrders[Order_Month])),"m月")&amp;"発注)")</f>
        <v/>
      </c>
      <c r="CJ891">
        <f>IF(SUMIFS(T_PlannedOrders[EffectiveQty],T_PlannedOrders[Part Name],$A849,T_PlannedOrders[WeekIndex],85)=0,"",SUMIFS(T_PlannedOrders[EffectiveQty],T_PlannedOrders[Part Name],$A849,T_PlannedOrders[WeekIndex],85)&amp;" ("&amp;TEXT(SUMPRODUCT(MAX((T_PlannedOrders[Part Name]=$A849)*(T_PlannedOrders[WeekIndex]=85)*(T_PlannedOrders[EffectiveQty]&gt;0)*T_PlannedOrders[Order_Month])),"m月")&amp;"発注)")</f>
        <v/>
      </c>
      <c r="CK891">
        <f>IF(SUMIFS(T_PlannedOrders[EffectiveQty],T_PlannedOrders[Part Name],$A849,T_PlannedOrders[WeekIndex],86)=0,"",SUMIFS(T_PlannedOrders[EffectiveQty],T_PlannedOrders[Part Name],$A849,T_PlannedOrders[WeekIndex],86)&amp;" ("&amp;TEXT(SUMPRODUCT(MAX((T_PlannedOrders[Part Name]=$A849)*(T_PlannedOrders[WeekIndex]=86)*(T_PlannedOrders[EffectiveQty]&gt;0)*T_PlannedOrders[Order_Month])),"m月")&amp;"発注)")</f>
        <v/>
      </c>
      <c r="CL891">
        <f>IF(SUMIFS(T_PlannedOrders[EffectiveQty],T_PlannedOrders[Part Name],$A849,T_PlannedOrders[WeekIndex],87)=0,"",SUMIFS(T_PlannedOrders[EffectiveQty],T_PlannedOrders[Part Name],$A849,T_PlannedOrders[WeekIndex],87)&amp;" ("&amp;TEXT(SUMPRODUCT(MAX((T_PlannedOrders[Part Name]=$A849)*(T_PlannedOrders[WeekIndex]=87)*(T_PlannedOrders[EffectiveQty]&gt;0)*T_PlannedOrders[Order_Month])),"m月")&amp;"発注)")</f>
        <v/>
      </c>
      <c r="CM891">
        <f>IF(SUMIFS(T_PlannedOrders[EffectiveQty],T_PlannedOrders[Part Name],$A849,T_PlannedOrders[WeekIndex],88)=0,"",SUMIFS(T_PlannedOrders[EffectiveQty],T_PlannedOrders[Part Name],$A849,T_PlannedOrders[WeekIndex],88)&amp;" ("&amp;TEXT(SUMPRODUCT(MAX((T_PlannedOrders[Part Name]=$A849)*(T_PlannedOrders[WeekIndex]=88)*(T_PlannedOrders[EffectiveQty]&gt;0)*T_PlannedOrders[Order_Month])),"m月")&amp;"発注)")</f>
        <v/>
      </c>
      <c r="CN891">
        <f>IF(SUMIFS(T_PlannedOrders[EffectiveQty],T_PlannedOrders[Part Name],$A849,T_PlannedOrders[WeekIndex],89)=0,"",SUMIFS(T_PlannedOrders[EffectiveQty],T_PlannedOrders[Part Name],$A849,T_PlannedOrders[WeekIndex],89)&amp;" ("&amp;TEXT(SUMPRODUCT(MAX((T_PlannedOrders[Part Name]=$A849)*(T_PlannedOrders[WeekIndex]=89)*(T_PlannedOrders[EffectiveQty]&gt;0)*T_PlannedOrders[Order_Month])),"m月")&amp;"発注)")</f>
        <v/>
      </c>
      <c r="CO891">
        <f>IF(SUMIFS(T_PlannedOrders[EffectiveQty],T_PlannedOrders[Part Name],$A849,T_PlannedOrders[WeekIndex],90)=0,"",SUMIFS(T_PlannedOrders[EffectiveQty],T_PlannedOrders[Part Name],$A849,T_PlannedOrders[WeekIndex],90)&amp;" ("&amp;TEXT(SUMPRODUCT(MAX((T_PlannedOrders[Part Name]=$A849)*(T_PlannedOrders[WeekIndex]=90)*(T_PlannedOrders[EffectiveQty]&gt;0)*T_PlannedOrders[Order_Month])),"m月")&amp;"発注)")</f>
        <v/>
      </c>
      <c r="CP891">
        <f>IF(SUMIFS(T_PlannedOrders[EffectiveQty],T_PlannedOrders[Part Name],$A849,T_PlannedOrders[WeekIndex],91)=0,"",SUMIFS(T_PlannedOrders[EffectiveQty],T_PlannedOrders[Part Name],$A849,T_PlannedOrders[WeekIndex],91)&amp;" ("&amp;TEXT(SUMPRODUCT(MAX((T_PlannedOrders[Part Name]=$A849)*(T_PlannedOrders[WeekIndex]=91)*(T_PlannedOrders[EffectiveQty]&gt;0)*T_PlannedOrders[Order_Month])),"m月")&amp;"発注)")</f>
        <v/>
      </c>
      <c r="CQ891">
        <f>IF(SUMIFS(T_PlannedOrders[EffectiveQty],T_PlannedOrders[Part Name],$A849,T_PlannedOrders[WeekIndex],92)=0,"",SUMIFS(T_PlannedOrders[EffectiveQty],T_PlannedOrders[Part Name],$A849,T_PlannedOrders[WeekIndex],92)&amp;" ("&amp;TEXT(SUMPRODUCT(MAX((T_PlannedOrders[Part Name]=$A849)*(T_PlannedOrders[WeekIndex]=92)*(T_PlannedOrders[EffectiveQty]&gt;0)*T_PlannedOrders[Order_Month])),"m月")&amp;"発注)")</f>
        <v/>
      </c>
      <c r="CR891">
        <f>IF(SUMIFS(T_PlannedOrders[EffectiveQty],T_PlannedOrders[Part Name],$A849,T_PlannedOrders[WeekIndex],93)=0,"",SUMIFS(T_PlannedOrders[EffectiveQty],T_PlannedOrders[Part Name],$A849,T_PlannedOrders[WeekIndex],93)&amp;" ("&amp;TEXT(SUMPRODUCT(MAX((T_PlannedOrders[Part Name]=$A849)*(T_PlannedOrders[WeekIndex]=93)*(T_PlannedOrders[EffectiveQty]&gt;0)*T_PlannedOrders[Order_Month])),"m月")&amp;"発注)")</f>
        <v/>
      </c>
      <c r="CS891">
        <f>IF(SUMIFS(T_PlannedOrders[EffectiveQty],T_PlannedOrders[Part Name],$A849,T_PlannedOrders[WeekIndex],94)=0,"",SUMIFS(T_PlannedOrders[EffectiveQty],T_PlannedOrders[Part Name],$A849,T_PlannedOrders[WeekIndex],94)&amp;" ("&amp;TEXT(SUMPRODUCT(MAX((T_PlannedOrders[Part Name]=$A849)*(T_PlannedOrders[WeekIndex]=94)*(T_PlannedOrders[EffectiveQty]&gt;0)*T_PlannedOrders[Order_Month])),"m月")&amp;"発注)")</f>
        <v/>
      </c>
      <c r="CT891">
        <f>IF(SUMIFS(T_PlannedOrders[EffectiveQty],T_PlannedOrders[Part Name],$A849,T_PlannedOrders[WeekIndex],95)=0,"",SUMIFS(T_PlannedOrders[EffectiveQty],T_PlannedOrders[Part Name],$A849,T_PlannedOrders[WeekIndex],95)&amp;" ("&amp;TEXT(SUMPRODUCT(MAX((T_PlannedOrders[Part Name]=$A849)*(T_PlannedOrders[WeekIndex]=95)*(T_PlannedOrders[EffectiveQty]&gt;0)*T_PlannedOrders[Order_Month])),"m月")&amp;"発注)")</f>
        <v/>
      </c>
      <c r="CU891">
        <f>IF(SUMIFS(T_PlannedOrders[EffectiveQty],T_PlannedOrders[Part Name],$A849,T_PlannedOrders[WeekIndex],96)=0,"",SUMIFS(T_PlannedOrders[EffectiveQty],T_PlannedOrders[Part Name],$A849,T_PlannedOrders[WeekIndex],96)&amp;" ("&amp;TEXT(SUMPRODUCT(MAX((T_PlannedOrders[Part Name]=$A849)*(T_PlannedOrders[WeekIndex]=96)*(T_PlannedOrders[EffectiveQty]&gt;0)*T_PlannedOrders[Order_Month])),"m月")&amp;"発注)")</f>
        <v/>
      </c>
      <c r="CV891">
        <f>IF(SUMIFS(T_PlannedOrders[EffectiveQty],T_PlannedOrders[Part Name],$A849,T_PlannedOrders[WeekIndex],97)=0,"",SUMIFS(T_PlannedOrders[EffectiveQty],T_PlannedOrders[Part Name],$A849,T_PlannedOrders[WeekIndex],97)&amp;" ("&amp;TEXT(SUMPRODUCT(MAX((T_PlannedOrders[Part Name]=$A849)*(T_PlannedOrders[WeekIndex]=97)*(T_PlannedOrders[EffectiveQty]&gt;0)*T_PlannedOrders[Order_Month])),"m月")&amp;"発注)")</f>
        <v/>
      </c>
      <c r="CW891">
        <f>IF(SUMIFS(T_PlannedOrders[EffectiveQty],T_PlannedOrders[Part Name],$A849,T_PlannedOrders[WeekIndex],98)=0,"",SUMIFS(T_PlannedOrders[EffectiveQty],T_PlannedOrders[Part Name],$A849,T_PlannedOrders[WeekIndex],98)&amp;" ("&amp;TEXT(SUMPRODUCT(MAX((T_PlannedOrders[Part Name]=$A849)*(T_PlannedOrders[WeekIndex]=98)*(T_PlannedOrders[EffectiveQty]&gt;0)*T_PlannedOrders[Order_Month])),"m月")&amp;"発注)")</f>
        <v/>
      </c>
      <c r="CX891">
        <f>IF(SUMIFS(T_PlannedOrders[EffectiveQty],T_PlannedOrders[Part Name],$A849,T_PlannedOrders[WeekIndex],99)=0,"",SUMIFS(T_PlannedOrders[EffectiveQty],T_PlannedOrders[Part Name],$A849,T_PlannedOrders[WeekIndex],99)&amp;" ("&amp;TEXT(SUMPRODUCT(MAX((T_PlannedOrders[Part Name]=$A849)*(T_PlannedOrders[WeekIndex]=99)*(T_PlannedOrders[EffectiveQty]&gt;0)*T_PlannedOrders[Order_Month])),"m月")&amp;"発注)")</f>
        <v/>
      </c>
      <c r="CY891">
        <f>IF(SUMIFS(T_PlannedOrders[EffectiveQty],T_PlannedOrders[Part Name],$A849,T_PlannedOrders[WeekIndex],100)=0,"",SUMIFS(T_PlannedOrders[EffectiveQty],T_PlannedOrders[Part Name],$A849,T_PlannedOrders[WeekIndex],100)&amp;" ("&amp;TEXT(SUMPRODUCT(MAX((T_PlannedOrders[Part Name]=$A849)*(T_PlannedOrders[WeekIndex]=100)*(T_PlannedOrders[EffectiveQty]&gt;0)*T_PlannedOrders[Order_Month])),"m月")&amp;"発注)")</f>
        <v/>
      </c>
      <c r="CZ891">
        <f>IF(SUMIFS(T_PlannedOrders[EffectiveQty],T_PlannedOrders[Part Name],$A849,T_PlannedOrders[WeekIndex],101)=0,"",SUMIFS(T_PlannedOrders[EffectiveQty],T_PlannedOrders[Part Name],$A849,T_PlannedOrders[WeekIndex],101)&amp;" ("&amp;TEXT(SUMPRODUCT(MAX((T_PlannedOrders[Part Name]=$A849)*(T_PlannedOrders[WeekIndex]=101)*(T_PlannedOrders[EffectiveQty]&gt;0)*T_PlannedOrders[Order_Month])),"m月")&amp;"発注)")</f>
        <v/>
      </c>
      <c r="DA891">
        <f>IF(SUMIFS(T_PlannedOrders[EffectiveQty],T_PlannedOrders[Part Name],$A849,T_PlannedOrders[WeekIndex],102)=0,"",SUMIFS(T_PlannedOrders[EffectiveQty],T_PlannedOrders[Part Name],$A849,T_PlannedOrders[WeekIndex],102)&amp;" ("&amp;TEXT(SUMPRODUCT(MAX((T_PlannedOrders[Part Name]=$A849)*(T_PlannedOrders[WeekIndex]=102)*(T_PlannedOrders[EffectiveQty]&gt;0)*T_PlannedOrders[Order_Month])),"m月")&amp;"発注)")</f>
        <v/>
      </c>
      <c r="DB891">
        <f>IF(SUMIFS(T_PlannedOrders[EffectiveQty],T_PlannedOrders[Part Name],$A849,T_PlannedOrders[WeekIndex],103)=0,"",SUMIFS(T_PlannedOrders[EffectiveQty],T_PlannedOrders[Part Name],$A849,T_PlannedOrders[WeekIndex],103)&amp;" ("&amp;TEXT(SUMPRODUCT(MAX((T_PlannedOrders[Part Name]=$A849)*(T_PlannedOrders[WeekIndex]=103)*(T_PlannedOrders[EffectiveQty]&gt;0)*T_PlannedOrders[Order_Month])),"m月")&amp;"発注)")</f>
        <v/>
      </c>
      <c r="DC891">
        <f>IF(SUMIFS(T_PlannedOrders[EffectiveQty],T_PlannedOrders[Part Name],$A849,T_PlannedOrders[WeekIndex],104)=0,"",SUMIFS(T_PlannedOrders[EffectiveQty],T_PlannedOrders[Part Name],$A849,T_PlannedOrders[WeekIndex],104)&amp;" ("&amp;TEXT(SUMPRODUCT(MAX((T_PlannedOrders[Part Name]=$A849)*(T_PlannedOrders[WeekIndex]=104)*(T_PlannedOrders[EffectiveQty]&gt;0)*T_PlannedOrders[Order_Month])),"m月")&amp;"発注)")</f>
        <v/>
      </c>
    </row>
    <row r="892">
      <c r="B892" s="9" t="inlineStr">
        <is>
          <t>合計在庫(週末時点,kg)</t>
        </is>
      </c>
      <c r="D892">
        <f>'Grid_Stock'!B7</f>
        <v/>
      </c>
      <c r="E892">
        <f>'Grid_Stock'!C7</f>
        <v/>
      </c>
      <c r="F892">
        <f>'Grid_Stock'!D7</f>
        <v/>
      </c>
      <c r="G892">
        <f>'Grid_Stock'!E7</f>
        <v/>
      </c>
      <c r="H892">
        <f>'Grid_Stock'!F7</f>
        <v/>
      </c>
      <c r="I892">
        <f>'Grid_Stock'!G7</f>
        <v/>
      </c>
      <c r="J892">
        <f>'Grid_Stock'!H7</f>
        <v/>
      </c>
      <c r="K892">
        <f>'Grid_Stock'!I7</f>
        <v/>
      </c>
      <c r="L892">
        <f>'Grid_Stock'!J7</f>
        <v/>
      </c>
      <c r="M892">
        <f>'Grid_Stock'!K7</f>
        <v/>
      </c>
      <c r="N892">
        <f>'Grid_Stock'!L7</f>
        <v/>
      </c>
      <c r="O892">
        <f>'Grid_Stock'!M7</f>
        <v/>
      </c>
      <c r="P892">
        <f>'Grid_Stock'!N7</f>
        <v/>
      </c>
      <c r="Q892">
        <f>'Grid_Stock'!O7</f>
        <v/>
      </c>
      <c r="R892">
        <f>'Grid_Stock'!P7</f>
        <v/>
      </c>
      <c r="S892">
        <f>'Grid_Stock'!Q7</f>
        <v/>
      </c>
      <c r="T892">
        <f>'Grid_Stock'!R7</f>
        <v/>
      </c>
      <c r="U892">
        <f>'Grid_Stock'!S7</f>
        <v/>
      </c>
      <c r="V892">
        <f>'Grid_Stock'!T7</f>
        <v/>
      </c>
      <c r="W892">
        <f>'Grid_Stock'!U7</f>
        <v/>
      </c>
      <c r="X892">
        <f>'Grid_Stock'!V7</f>
        <v/>
      </c>
      <c r="Y892">
        <f>'Grid_Stock'!W7</f>
        <v/>
      </c>
      <c r="Z892">
        <f>'Grid_Stock'!X7</f>
        <v/>
      </c>
      <c r="AA892">
        <f>'Grid_Stock'!Y7</f>
        <v/>
      </c>
      <c r="AB892">
        <f>'Grid_Stock'!Z7</f>
        <v/>
      </c>
      <c r="AC892">
        <f>'Grid_Stock'!AA7</f>
        <v/>
      </c>
      <c r="AD892">
        <f>'Grid_Stock'!AB7</f>
        <v/>
      </c>
      <c r="AE892">
        <f>'Grid_Stock'!AC7</f>
        <v/>
      </c>
      <c r="AF892">
        <f>'Grid_Stock'!AD7</f>
        <v/>
      </c>
      <c r="AG892">
        <f>'Grid_Stock'!AE7</f>
        <v/>
      </c>
      <c r="AH892">
        <f>'Grid_Stock'!AF7</f>
        <v/>
      </c>
      <c r="AI892">
        <f>'Grid_Stock'!AG7</f>
        <v/>
      </c>
      <c r="AJ892">
        <f>'Grid_Stock'!AH7</f>
        <v/>
      </c>
      <c r="AK892">
        <f>'Grid_Stock'!AI7</f>
        <v/>
      </c>
      <c r="AL892">
        <f>'Grid_Stock'!AJ7</f>
        <v/>
      </c>
      <c r="AM892">
        <f>'Grid_Stock'!AK7</f>
        <v/>
      </c>
      <c r="AN892">
        <f>'Grid_Stock'!AL7</f>
        <v/>
      </c>
      <c r="AO892">
        <f>'Grid_Stock'!AM7</f>
        <v/>
      </c>
      <c r="AP892">
        <f>'Grid_Stock'!AN7</f>
        <v/>
      </c>
      <c r="AQ892">
        <f>'Grid_Stock'!AO7</f>
        <v/>
      </c>
      <c r="AR892">
        <f>'Grid_Stock'!AP7</f>
        <v/>
      </c>
      <c r="AS892">
        <f>'Grid_Stock'!AQ7</f>
        <v/>
      </c>
      <c r="AT892">
        <f>'Grid_Stock'!AR7</f>
        <v/>
      </c>
      <c r="AU892">
        <f>'Grid_Stock'!AS7</f>
        <v/>
      </c>
      <c r="AV892">
        <f>'Grid_Stock'!AT7</f>
        <v/>
      </c>
      <c r="AW892">
        <f>'Grid_Stock'!AU7</f>
        <v/>
      </c>
      <c r="AX892">
        <f>'Grid_Stock'!AV7</f>
        <v/>
      </c>
      <c r="AY892">
        <f>'Grid_Stock'!AW7</f>
        <v/>
      </c>
      <c r="AZ892">
        <f>'Grid_Stock'!AX7</f>
        <v/>
      </c>
      <c r="BA892">
        <f>'Grid_Stock'!AY7</f>
        <v/>
      </c>
      <c r="BB892">
        <f>'Grid_Stock'!AZ7</f>
        <v/>
      </c>
      <c r="BC892">
        <f>'Grid_Stock'!BA7</f>
        <v/>
      </c>
      <c r="BD892">
        <f>'Grid_Stock'!BB7</f>
        <v/>
      </c>
      <c r="BE892">
        <f>'Grid_Stock'!BC7</f>
        <v/>
      </c>
      <c r="BF892">
        <f>'Grid_Stock'!BD7</f>
        <v/>
      </c>
      <c r="BG892">
        <f>'Grid_Stock'!BE7</f>
        <v/>
      </c>
      <c r="BH892">
        <f>'Grid_Stock'!BF7</f>
        <v/>
      </c>
      <c r="BI892">
        <f>'Grid_Stock'!BG7</f>
        <v/>
      </c>
      <c r="BJ892">
        <f>'Grid_Stock'!BH7</f>
        <v/>
      </c>
      <c r="BK892">
        <f>'Grid_Stock'!BI7</f>
        <v/>
      </c>
      <c r="BL892">
        <f>'Grid_Stock'!BJ7</f>
        <v/>
      </c>
      <c r="BM892">
        <f>'Grid_Stock'!BK7</f>
        <v/>
      </c>
      <c r="BN892">
        <f>'Grid_Stock'!BL7</f>
        <v/>
      </c>
      <c r="BO892">
        <f>'Grid_Stock'!BM7</f>
        <v/>
      </c>
      <c r="BP892">
        <f>'Grid_Stock'!BN7</f>
        <v/>
      </c>
      <c r="BQ892">
        <f>'Grid_Stock'!BO7</f>
        <v/>
      </c>
      <c r="BR892">
        <f>'Grid_Stock'!BP7</f>
        <v/>
      </c>
      <c r="BS892">
        <f>'Grid_Stock'!BQ7</f>
        <v/>
      </c>
      <c r="BT892">
        <f>'Grid_Stock'!BR7</f>
        <v/>
      </c>
      <c r="BU892">
        <f>'Grid_Stock'!BS7</f>
        <v/>
      </c>
      <c r="BV892">
        <f>'Grid_Stock'!BT7</f>
        <v/>
      </c>
      <c r="BW892">
        <f>'Grid_Stock'!BU7</f>
        <v/>
      </c>
      <c r="BX892">
        <f>'Grid_Stock'!BV7</f>
        <v/>
      </c>
      <c r="BY892">
        <f>'Grid_Stock'!BW7</f>
        <v/>
      </c>
      <c r="BZ892">
        <f>'Grid_Stock'!BX7</f>
        <v/>
      </c>
      <c r="CA892">
        <f>'Grid_Stock'!BY7</f>
        <v/>
      </c>
      <c r="CB892">
        <f>'Grid_Stock'!BZ7</f>
        <v/>
      </c>
      <c r="CC892">
        <f>'Grid_Stock'!CA7</f>
        <v/>
      </c>
      <c r="CD892">
        <f>'Grid_Stock'!CB7</f>
        <v/>
      </c>
      <c r="CE892">
        <f>'Grid_Stock'!CC7</f>
        <v/>
      </c>
      <c r="CF892">
        <f>'Grid_Stock'!CD7</f>
        <v/>
      </c>
      <c r="CG892">
        <f>'Grid_Stock'!CE7</f>
        <v/>
      </c>
      <c r="CH892">
        <f>'Grid_Stock'!CF7</f>
        <v/>
      </c>
      <c r="CI892">
        <f>'Grid_Stock'!CG7</f>
        <v/>
      </c>
      <c r="CJ892">
        <f>'Grid_Stock'!CH7</f>
        <v/>
      </c>
      <c r="CK892">
        <f>'Grid_Stock'!CI7</f>
        <v/>
      </c>
      <c r="CL892">
        <f>'Grid_Stock'!CJ7</f>
        <v/>
      </c>
      <c r="CM892">
        <f>'Grid_Stock'!CK7</f>
        <v/>
      </c>
      <c r="CN892">
        <f>'Grid_Stock'!CL7</f>
        <v/>
      </c>
      <c r="CO892">
        <f>'Grid_Stock'!CM7</f>
        <v/>
      </c>
      <c r="CP892">
        <f>'Grid_Stock'!CN7</f>
        <v/>
      </c>
      <c r="CQ892">
        <f>'Grid_Stock'!CO7</f>
        <v/>
      </c>
      <c r="CR892">
        <f>'Grid_Stock'!CP7</f>
        <v/>
      </c>
      <c r="CS892">
        <f>'Grid_Stock'!CQ7</f>
        <v/>
      </c>
      <c r="CT892">
        <f>'Grid_Stock'!CR7</f>
        <v/>
      </c>
      <c r="CU892">
        <f>'Grid_Stock'!CS7</f>
        <v/>
      </c>
      <c r="CV892">
        <f>'Grid_Stock'!CT7</f>
        <v/>
      </c>
      <c r="CW892">
        <f>'Grid_Stock'!CU7</f>
        <v/>
      </c>
      <c r="CX892">
        <f>'Grid_Stock'!CV7</f>
        <v/>
      </c>
      <c r="CY892">
        <f>'Grid_Stock'!CW7</f>
        <v/>
      </c>
      <c r="CZ892">
        <f>'Grid_Stock'!CX7</f>
        <v/>
      </c>
      <c r="DA892">
        <f>'Grid_Stock'!CY7</f>
        <v/>
      </c>
      <c r="DB892">
        <f>'Grid_Stock'!CZ7</f>
        <v/>
      </c>
      <c r="DC892">
        <f>'Grid_Stock'!DA7</f>
        <v/>
      </c>
    </row>
    <row r="893">
      <c r="B893" s="21" t="inlineStr">
        <is>
          <t>（発注の目安はDashboardの基準在庫[下限/上限]と色分けを参照）</t>
        </is>
      </c>
    </row>
    <row r="895">
      <c r="A895" s="19" t="inlineStr">
        <is>
          <t>CHEM-1700</t>
        </is>
      </c>
      <c r="B895" s="19" t="inlineStr">
        <is>
          <t>TepyrusCT38</t>
        </is>
      </c>
      <c r="C895" s="20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/>
      <c r="Z895" s="19" t="n"/>
      <c r="AA895" s="19" t="n"/>
      <c r="AB895" s="19" t="n"/>
      <c r="AC895" s="19" t="n"/>
      <c r="AD895" s="19" t="n"/>
      <c r="AE895" s="19" t="n"/>
      <c r="AF895" s="19" t="n"/>
      <c r="AG895" s="19" t="n"/>
      <c r="AH895" s="19" t="n"/>
      <c r="AI895" s="19" t="n"/>
      <c r="AJ895" s="19" t="n"/>
      <c r="AK895" s="19" t="n"/>
      <c r="AL895" s="19" t="n"/>
      <c r="AM895" s="19" t="n"/>
      <c r="AN895" s="19" t="n"/>
      <c r="AO895" s="19" t="n"/>
      <c r="AP895" s="19" t="n"/>
      <c r="AQ895" s="19" t="n"/>
      <c r="AR895" s="19" t="n"/>
      <c r="AS895" s="19" t="n"/>
      <c r="AT895" s="19" t="n"/>
      <c r="AU895" s="19" t="n"/>
      <c r="AV895" s="19" t="n"/>
      <c r="AW895" s="19" t="n"/>
      <c r="AX895" s="19" t="n"/>
      <c r="AY895" s="19" t="n"/>
      <c r="AZ895" s="19" t="n"/>
      <c r="BA895" s="19" t="n"/>
      <c r="BB895" s="19" t="n"/>
      <c r="BC895" s="19" t="n"/>
      <c r="BD895" s="19" t="n"/>
      <c r="BE895" s="19" t="n"/>
      <c r="BF895" s="19" t="n"/>
      <c r="BG895" s="19" t="n"/>
      <c r="BH895" s="19" t="n"/>
      <c r="BI895" s="19" t="n"/>
      <c r="BJ895" s="19" t="n"/>
      <c r="BK895" s="19" t="n"/>
      <c r="BL895" s="19" t="n"/>
      <c r="BM895" s="19" t="n"/>
      <c r="BN895" s="19" t="n"/>
      <c r="BO895" s="19" t="n"/>
      <c r="BP895" s="19" t="n"/>
      <c r="BQ895" s="19" t="n"/>
      <c r="BR895" s="19" t="n"/>
      <c r="BS895" s="19" t="n"/>
      <c r="BT895" s="19" t="n"/>
      <c r="BU895" s="19" t="n"/>
      <c r="BV895" s="19" t="n"/>
      <c r="BW895" s="19" t="n"/>
      <c r="BX895" s="19" t="n"/>
      <c r="BY895" s="19" t="n"/>
      <c r="BZ895" s="19" t="n"/>
      <c r="CA895" s="19" t="n"/>
      <c r="CB895" s="19" t="n"/>
      <c r="CC895" s="19" t="n"/>
      <c r="CD895" s="19" t="n"/>
      <c r="CE895" s="19" t="n"/>
      <c r="CF895" s="19" t="n"/>
      <c r="CG895" s="19" t="n"/>
      <c r="CH895" s="19" t="n"/>
      <c r="CI895" s="19" t="n"/>
      <c r="CJ895" s="19" t="n"/>
      <c r="CK895" s="19" t="n"/>
      <c r="CL895" s="19" t="n"/>
      <c r="CM895" s="19" t="n"/>
      <c r="CN895" s="19" t="n"/>
      <c r="CO895" s="19" t="n"/>
      <c r="CP895" s="19" t="n"/>
      <c r="CQ895" s="19" t="n"/>
      <c r="CR895" s="19" t="n"/>
      <c r="CS895" s="19" t="n"/>
      <c r="CT895" s="19" t="n"/>
      <c r="CU895" s="19" t="n"/>
      <c r="CV895" s="19" t="n"/>
      <c r="CW895" s="19" t="n"/>
      <c r="CX895" s="19" t="n"/>
      <c r="CY895" s="19" t="n"/>
      <c r="CZ895" s="19" t="n"/>
      <c r="DA895" s="19" t="n"/>
      <c r="DB895" s="19" t="n"/>
      <c r="DC895" s="19" t="n"/>
    </row>
    <row r="896">
      <c r="B896" t="inlineStr">
        <is>
          <t>TSP-620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12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Name],$A895)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TSP-623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12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Name],$A895)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TSP-934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12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Name],$A895)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TSP-935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12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Name],$A895)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TSP-936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12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Name],$A895)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TSP-937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12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Name],$A895)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TSP-1388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Name],$A895)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TSP-1448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Name],$A895)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TSP-1449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Name],$A895)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TSP-1499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Name],$A895)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s="9" t="inlineStr">
        <is>
          <t>合計使用量(kg)/週</t>
        </is>
      </c>
      <c r="D916">
        <f>'Grid_Requirement'!B4</f>
        <v/>
      </c>
      <c r="E916">
        <f>'Grid_Requirement'!C4</f>
        <v/>
      </c>
      <c r="F916">
        <f>'Grid_Requirement'!D4</f>
        <v/>
      </c>
      <c r="G916">
        <f>'Grid_Requirement'!E4</f>
        <v/>
      </c>
      <c r="H916">
        <f>'Grid_Requirement'!F4</f>
        <v/>
      </c>
      <c r="I916">
        <f>'Grid_Requirement'!G4</f>
        <v/>
      </c>
      <c r="J916">
        <f>'Grid_Requirement'!H4</f>
        <v/>
      </c>
      <c r="K916">
        <f>'Grid_Requirement'!I4</f>
        <v/>
      </c>
      <c r="L916">
        <f>'Grid_Requirement'!J4</f>
        <v/>
      </c>
      <c r="M916">
        <f>'Grid_Requirement'!K4</f>
        <v/>
      </c>
      <c r="N916">
        <f>'Grid_Requirement'!L4</f>
        <v/>
      </c>
      <c r="O916">
        <f>'Grid_Requirement'!M4</f>
        <v/>
      </c>
      <c r="P916">
        <f>'Grid_Requirement'!N4</f>
        <v/>
      </c>
      <c r="Q916">
        <f>'Grid_Requirement'!O4</f>
        <v/>
      </c>
      <c r="R916">
        <f>'Grid_Requirement'!P4</f>
        <v/>
      </c>
      <c r="S916">
        <f>'Grid_Requirement'!Q4</f>
        <v/>
      </c>
      <c r="T916">
        <f>'Grid_Requirement'!R4</f>
        <v/>
      </c>
      <c r="U916">
        <f>'Grid_Requirement'!S4</f>
        <v/>
      </c>
      <c r="V916">
        <f>'Grid_Requirement'!T4</f>
        <v/>
      </c>
      <c r="W916">
        <f>'Grid_Requirement'!U4</f>
        <v/>
      </c>
      <c r="X916">
        <f>'Grid_Requirement'!V4</f>
        <v/>
      </c>
      <c r="Y916">
        <f>'Grid_Requirement'!W4</f>
        <v/>
      </c>
      <c r="Z916">
        <f>'Grid_Requirement'!X4</f>
        <v/>
      </c>
      <c r="AA916">
        <f>'Grid_Requirement'!Y4</f>
        <v/>
      </c>
      <c r="AB916">
        <f>'Grid_Requirement'!Z4</f>
        <v/>
      </c>
      <c r="AC916">
        <f>'Grid_Requirement'!AA4</f>
        <v/>
      </c>
      <c r="AD916">
        <f>'Grid_Requirement'!AB4</f>
        <v/>
      </c>
      <c r="AE916">
        <f>'Grid_Requirement'!AC4</f>
        <v/>
      </c>
      <c r="AF916">
        <f>'Grid_Requirement'!AD4</f>
        <v/>
      </c>
      <c r="AG916">
        <f>'Grid_Requirement'!AE4</f>
        <v/>
      </c>
      <c r="AH916">
        <f>'Grid_Requirement'!AF4</f>
        <v/>
      </c>
      <c r="AI916">
        <f>'Grid_Requirement'!AG4</f>
        <v/>
      </c>
      <c r="AJ916">
        <f>'Grid_Requirement'!AH4</f>
        <v/>
      </c>
      <c r="AK916">
        <f>'Grid_Requirement'!AI4</f>
        <v/>
      </c>
      <c r="AL916">
        <f>'Grid_Requirement'!AJ4</f>
        <v/>
      </c>
      <c r="AM916">
        <f>'Grid_Requirement'!AK4</f>
        <v/>
      </c>
      <c r="AN916">
        <f>'Grid_Requirement'!AL4</f>
        <v/>
      </c>
      <c r="AO916">
        <f>'Grid_Requirement'!AM4</f>
        <v/>
      </c>
      <c r="AP916">
        <f>'Grid_Requirement'!AN4</f>
        <v/>
      </c>
      <c r="AQ916">
        <f>'Grid_Requirement'!AO4</f>
        <v/>
      </c>
      <c r="AR916">
        <f>'Grid_Requirement'!AP4</f>
        <v/>
      </c>
      <c r="AS916">
        <f>'Grid_Requirement'!AQ4</f>
        <v/>
      </c>
      <c r="AT916">
        <f>'Grid_Requirement'!AR4</f>
        <v/>
      </c>
      <c r="AU916">
        <f>'Grid_Requirement'!AS4</f>
        <v/>
      </c>
      <c r="AV916">
        <f>'Grid_Requirement'!AT4</f>
        <v/>
      </c>
      <c r="AW916">
        <f>'Grid_Requirement'!AU4</f>
        <v/>
      </c>
      <c r="AX916">
        <f>'Grid_Requirement'!AV4</f>
        <v/>
      </c>
      <c r="AY916">
        <f>'Grid_Requirement'!AW4</f>
        <v/>
      </c>
      <c r="AZ916">
        <f>'Grid_Requirement'!AX4</f>
        <v/>
      </c>
      <c r="BA916">
        <f>'Grid_Requirement'!AY4</f>
        <v/>
      </c>
      <c r="BB916">
        <f>'Grid_Requirement'!AZ4</f>
        <v/>
      </c>
      <c r="BC916">
        <f>'Grid_Requirement'!BA4</f>
        <v/>
      </c>
      <c r="BD916">
        <f>'Grid_Requirement'!BB4</f>
        <v/>
      </c>
      <c r="BE916">
        <f>'Grid_Requirement'!BC4</f>
        <v/>
      </c>
      <c r="BF916">
        <f>'Grid_Requirement'!BD4</f>
        <v/>
      </c>
      <c r="BG916">
        <f>'Grid_Requirement'!BE4</f>
        <v/>
      </c>
      <c r="BH916">
        <f>'Grid_Requirement'!BF4</f>
        <v/>
      </c>
      <c r="BI916">
        <f>'Grid_Requirement'!BG4</f>
        <v/>
      </c>
      <c r="BJ916">
        <f>'Grid_Requirement'!BH4</f>
        <v/>
      </c>
      <c r="BK916">
        <f>'Grid_Requirement'!BI4</f>
        <v/>
      </c>
      <c r="BL916">
        <f>'Grid_Requirement'!BJ4</f>
        <v/>
      </c>
      <c r="BM916">
        <f>'Grid_Requirement'!BK4</f>
        <v/>
      </c>
      <c r="BN916">
        <f>'Grid_Requirement'!BL4</f>
        <v/>
      </c>
      <c r="BO916">
        <f>'Grid_Requirement'!BM4</f>
        <v/>
      </c>
      <c r="BP916">
        <f>'Grid_Requirement'!BN4</f>
        <v/>
      </c>
      <c r="BQ916">
        <f>'Grid_Requirement'!BO4</f>
        <v/>
      </c>
      <c r="BR916">
        <f>'Grid_Requirement'!BP4</f>
        <v/>
      </c>
      <c r="BS916">
        <f>'Grid_Requirement'!BQ4</f>
        <v/>
      </c>
      <c r="BT916">
        <f>'Grid_Requirement'!BR4</f>
        <v/>
      </c>
      <c r="BU916">
        <f>'Grid_Requirement'!BS4</f>
        <v/>
      </c>
      <c r="BV916">
        <f>'Grid_Requirement'!BT4</f>
        <v/>
      </c>
      <c r="BW916">
        <f>'Grid_Requirement'!BU4</f>
        <v/>
      </c>
      <c r="BX916">
        <f>'Grid_Requirement'!BV4</f>
        <v/>
      </c>
      <c r="BY916">
        <f>'Grid_Requirement'!BW4</f>
        <v/>
      </c>
      <c r="BZ916">
        <f>'Grid_Requirement'!BX4</f>
        <v/>
      </c>
      <c r="CA916">
        <f>'Grid_Requirement'!BY4</f>
        <v/>
      </c>
      <c r="CB916">
        <f>'Grid_Requirement'!BZ4</f>
        <v/>
      </c>
      <c r="CC916">
        <f>'Grid_Requirement'!CA4</f>
        <v/>
      </c>
      <c r="CD916">
        <f>'Grid_Requirement'!CB4</f>
        <v/>
      </c>
      <c r="CE916">
        <f>'Grid_Requirement'!CC4</f>
        <v/>
      </c>
      <c r="CF916">
        <f>'Grid_Requirement'!CD4</f>
        <v/>
      </c>
      <c r="CG916">
        <f>'Grid_Requirement'!CE4</f>
        <v/>
      </c>
      <c r="CH916">
        <f>'Grid_Requirement'!CF4</f>
        <v/>
      </c>
      <c r="CI916">
        <f>'Grid_Requirement'!CG4</f>
        <v/>
      </c>
      <c r="CJ916">
        <f>'Grid_Requirement'!CH4</f>
        <v/>
      </c>
      <c r="CK916">
        <f>'Grid_Requirement'!CI4</f>
        <v/>
      </c>
      <c r="CL916">
        <f>'Grid_Requirement'!CJ4</f>
        <v/>
      </c>
      <c r="CM916">
        <f>'Grid_Requirement'!CK4</f>
        <v/>
      </c>
      <c r="CN916">
        <f>'Grid_Requirement'!CL4</f>
        <v/>
      </c>
      <c r="CO916">
        <f>'Grid_Requirement'!CM4</f>
        <v/>
      </c>
      <c r="CP916">
        <f>'Grid_Requirement'!CN4</f>
        <v/>
      </c>
      <c r="CQ916">
        <f>'Grid_Requirement'!CO4</f>
        <v/>
      </c>
      <c r="CR916">
        <f>'Grid_Requirement'!CP4</f>
        <v/>
      </c>
      <c r="CS916">
        <f>'Grid_Requirement'!CQ4</f>
        <v/>
      </c>
      <c r="CT916">
        <f>'Grid_Requirement'!CR4</f>
        <v/>
      </c>
      <c r="CU916">
        <f>'Grid_Requirement'!CS4</f>
        <v/>
      </c>
      <c r="CV916">
        <f>'Grid_Requirement'!CT4</f>
        <v/>
      </c>
      <c r="CW916">
        <f>'Grid_Requirement'!CU4</f>
        <v/>
      </c>
      <c r="CX916">
        <f>'Grid_Requirement'!CV4</f>
        <v/>
      </c>
      <c r="CY916">
        <f>'Grid_Requirement'!CW4</f>
        <v/>
      </c>
      <c r="CZ916">
        <f>'Grid_Requirement'!CX4</f>
        <v/>
      </c>
      <c r="DA916">
        <f>'Grid_Requirement'!CY4</f>
        <v/>
      </c>
      <c r="DB916">
        <f>'Grid_Requirement'!CZ4</f>
        <v/>
      </c>
      <c r="DC916">
        <f>'Grid_Requirement'!DA4</f>
        <v/>
      </c>
    </row>
    <row r="917">
      <c r="B917" t="inlineStr">
        <is>
          <t>TTAF在庫(実績,kg)</t>
        </is>
      </c>
      <c r="D917">
        <f>'T_TTAFStock'!B8</f>
        <v/>
      </c>
      <c r="E917">
        <f>'T_TTAFStock'!C8</f>
        <v/>
      </c>
      <c r="F917">
        <f>'T_TTAFStock'!D8</f>
        <v/>
      </c>
      <c r="G917">
        <f>'T_TTAFStock'!E8</f>
        <v/>
      </c>
      <c r="H917">
        <f>'T_TTAFStock'!F8</f>
        <v/>
      </c>
      <c r="I917">
        <f>'T_TTAFStock'!G8</f>
        <v/>
      </c>
      <c r="J917">
        <f>'T_TTAFStock'!H8</f>
        <v/>
      </c>
      <c r="K917">
        <f>'T_TTAFStock'!I8</f>
        <v/>
      </c>
      <c r="L917">
        <f>'T_TTAFStock'!J8</f>
        <v/>
      </c>
      <c r="M917">
        <f>'T_TTAFStock'!K8</f>
        <v/>
      </c>
      <c r="N917">
        <f>'T_TTAFStock'!L8</f>
        <v/>
      </c>
      <c r="O917">
        <f>'T_TTAFStock'!M8</f>
        <v/>
      </c>
      <c r="P917">
        <f>'T_TTAFStock'!N8</f>
        <v/>
      </c>
      <c r="Q917">
        <f>'T_TTAFStock'!O8</f>
        <v/>
      </c>
      <c r="R917">
        <f>'T_TTAFStock'!P8</f>
        <v/>
      </c>
      <c r="S917">
        <f>'T_TTAFStock'!Q8</f>
        <v/>
      </c>
      <c r="T917">
        <f>'T_TTAFStock'!R8</f>
        <v/>
      </c>
      <c r="U917">
        <f>'T_TTAFStock'!S8</f>
        <v/>
      </c>
      <c r="V917">
        <f>'T_TTAFStock'!T8</f>
        <v/>
      </c>
      <c r="W917">
        <f>'T_TTAFStock'!U8</f>
        <v/>
      </c>
      <c r="X917">
        <f>'T_TTAFStock'!V8</f>
        <v/>
      </c>
      <c r="Y917">
        <f>'T_TTAFStock'!W8</f>
        <v/>
      </c>
      <c r="Z917">
        <f>'T_TTAFStock'!X8</f>
        <v/>
      </c>
      <c r="AA917">
        <f>'T_TTAFStock'!Y8</f>
        <v/>
      </c>
      <c r="AB917">
        <f>'T_TTAFStock'!Z8</f>
        <v/>
      </c>
      <c r="AC917">
        <f>'T_TTAFStock'!AA8</f>
        <v/>
      </c>
      <c r="AD917">
        <f>'T_TTAFStock'!AB8</f>
        <v/>
      </c>
      <c r="AE917">
        <f>'T_TTAFStock'!AC8</f>
        <v/>
      </c>
      <c r="AF917">
        <f>'T_TTAFStock'!AD8</f>
        <v/>
      </c>
      <c r="AG917">
        <f>'T_TTAFStock'!AE8</f>
        <v/>
      </c>
      <c r="AH917">
        <f>'T_TTAFStock'!AF8</f>
        <v/>
      </c>
      <c r="AI917">
        <f>'T_TTAFStock'!AG8</f>
        <v/>
      </c>
      <c r="AJ917">
        <f>'T_TTAFStock'!AH8</f>
        <v/>
      </c>
      <c r="AK917">
        <f>'T_TTAFStock'!AI8</f>
        <v/>
      </c>
      <c r="AL917">
        <f>'T_TTAFStock'!AJ8</f>
        <v/>
      </c>
      <c r="AM917">
        <f>'T_TTAFStock'!AK8</f>
        <v/>
      </c>
      <c r="AN917">
        <f>'T_TTAFStock'!AL8</f>
        <v/>
      </c>
      <c r="AO917">
        <f>'T_TTAFStock'!AM8</f>
        <v/>
      </c>
      <c r="AP917">
        <f>'T_TTAFStock'!AN8</f>
        <v/>
      </c>
      <c r="AQ917">
        <f>'T_TTAFStock'!AO8</f>
        <v/>
      </c>
      <c r="AR917">
        <f>'T_TTAFStock'!AP8</f>
        <v/>
      </c>
      <c r="AS917">
        <f>'T_TTAFStock'!AQ8</f>
        <v/>
      </c>
      <c r="AT917">
        <f>'T_TTAFStock'!AR8</f>
        <v/>
      </c>
      <c r="AU917">
        <f>'T_TTAFStock'!AS8</f>
        <v/>
      </c>
      <c r="AV917">
        <f>'T_TTAFStock'!AT8</f>
        <v/>
      </c>
      <c r="AW917">
        <f>'T_TTAFStock'!AU8</f>
        <v/>
      </c>
      <c r="AX917">
        <f>'T_TTAFStock'!AV8</f>
        <v/>
      </c>
      <c r="AY917">
        <f>'T_TTAFStock'!AW8</f>
        <v/>
      </c>
      <c r="AZ917">
        <f>'T_TTAFStock'!AX8</f>
        <v/>
      </c>
      <c r="BA917">
        <f>'T_TTAFStock'!AY8</f>
        <v/>
      </c>
      <c r="BB917">
        <f>'T_TTAFStock'!AZ8</f>
        <v/>
      </c>
      <c r="BC917">
        <f>'T_TTAFStock'!BA8</f>
        <v/>
      </c>
      <c r="BD917">
        <f>'T_TTAFStock'!BB8</f>
        <v/>
      </c>
      <c r="BE917">
        <f>'T_TTAFStock'!BC8</f>
        <v/>
      </c>
      <c r="BF917">
        <f>'T_TTAFStock'!BD8</f>
        <v/>
      </c>
      <c r="BG917">
        <f>'T_TTAFStock'!BE8</f>
        <v/>
      </c>
      <c r="BH917">
        <f>'T_TTAFStock'!BF8</f>
        <v/>
      </c>
      <c r="BI917">
        <f>'T_TTAFStock'!BG8</f>
        <v/>
      </c>
      <c r="BJ917">
        <f>'T_TTAFStock'!BH8</f>
        <v/>
      </c>
      <c r="BK917">
        <f>'T_TTAFStock'!BI8</f>
        <v/>
      </c>
      <c r="BL917">
        <f>'T_TTAFStock'!BJ8</f>
        <v/>
      </c>
      <c r="BM917">
        <f>'T_TTAFStock'!BK8</f>
        <v/>
      </c>
      <c r="BN917">
        <f>'T_TTAFStock'!BL8</f>
        <v/>
      </c>
      <c r="BO917">
        <f>'T_TTAFStock'!BM8</f>
        <v/>
      </c>
      <c r="BP917">
        <f>'T_TTAFStock'!BN8</f>
        <v/>
      </c>
      <c r="BQ917">
        <f>'T_TTAFStock'!BO8</f>
        <v/>
      </c>
      <c r="BR917">
        <f>'T_TTAFStock'!BP8</f>
        <v/>
      </c>
      <c r="BS917">
        <f>'T_TTAFStock'!BQ8</f>
        <v/>
      </c>
      <c r="BT917">
        <f>'T_TTAFStock'!BR8</f>
        <v/>
      </c>
      <c r="BU917">
        <f>'T_TTAFStock'!BS8</f>
        <v/>
      </c>
      <c r="BV917">
        <f>'T_TTAFStock'!BT8</f>
        <v/>
      </c>
      <c r="BW917">
        <f>'T_TTAFStock'!BU8</f>
        <v/>
      </c>
      <c r="BX917">
        <f>'T_TTAFStock'!BV8</f>
        <v/>
      </c>
      <c r="BY917">
        <f>'T_TTAFStock'!BW8</f>
        <v/>
      </c>
      <c r="BZ917">
        <f>'T_TTAFStock'!BX8</f>
        <v/>
      </c>
      <c r="CA917">
        <f>'T_TTAFStock'!BY8</f>
        <v/>
      </c>
      <c r="CB917">
        <f>'T_TTAFStock'!BZ8</f>
        <v/>
      </c>
      <c r="CC917">
        <f>'T_TTAFStock'!CA8</f>
        <v/>
      </c>
      <c r="CD917">
        <f>'T_TTAFStock'!CB8</f>
        <v/>
      </c>
      <c r="CE917">
        <f>'T_TTAFStock'!CC8</f>
        <v/>
      </c>
      <c r="CF917">
        <f>'T_TTAFStock'!CD8</f>
        <v/>
      </c>
      <c r="CG917">
        <f>'T_TTAFStock'!CE8</f>
        <v/>
      </c>
      <c r="CH917">
        <f>'T_TTAFStock'!CF8</f>
        <v/>
      </c>
      <c r="CI917">
        <f>'T_TTAFStock'!CG8</f>
        <v/>
      </c>
      <c r="CJ917">
        <f>'T_TTAFStock'!CH8</f>
        <v/>
      </c>
      <c r="CK917">
        <f>'T_TTAFStock'!CI8</f>
        <v/>
      </c>
      <c r="CL917">
        <f>'T_TTAFStock'!CJ8</f>
        <v/>
      </c>
      <c r="CM917">
        <f>'T_TTAFStock'!CK8</f>
        <v/>
      </c>
      <c r="CN917">
        <f>'T_TTAFStock'!CL8</f>
        <v/>
      </c>
      <c r="CO917">
        <f>'T_TTAFStock'!CM8</f>
        <v/>
      </c>
      <c r="CP917">
        <f>'T_TTAFStock'!CN8</f>
        <v/>
      </c>
      <c r="CQ917">
        <f>'T_TTAFStock'!CO8</f>
        <v/>
      </c>
      <c r="CR917">
        <f>'T_TTAFStock'!CP8</f>
        <v/>
      </c>
      <c r="CS917">
        <f>'T_TTAFStock'!CQ8</f>
        <v/>
      </c>
      <c r="CT917">
        <f>'T_TTAFStock'!CR8</f>
        <v/>
      </c>
      <c r="CU917">
        <f>'T_TTAFStock'!CS8</f>
        <v/>
      </c>
      <c r="CV917">
        <f>'T_TTAFStock'!CT8</f>
        <v/>
      </c>
      <c r="CW917">
        <f>'T_TTAFStock'!CU8</f>
        <v/>
      </c>
      <c r="CX917">
        <f>'T_TTAFStock'!CV8</f>
        <v/>
      </c>
      <c r="CY917">
        <f>'T_TTAFStock'!CW8</f>
        <v/>
      </c>
      <c r="CZ917">
        <f>'T_TTAFStock'!CX8</f>
        <v/>
      </c>
      <c r="DA917">
        <f>'T_TTAFStock'!CY8</f>
        <v/>
      </c>
      <c r="DB917">
        <f>'T_TTAFStock'!CZ8</f>
        <v/>
      </c>
      <c r="DC917">
        <f>'T_TTAFStock'!DA8</f>
        <v/>
      </c>
    </row>
    <row r="918">
      <c r="B918" t="inlineStr">
        <is>
          <t>自社在庫(実績,kg)</t>
        </is>
      </c>
      <c r="D918">
        <f>'T_SelfStock'!B8</f>
        <v/>
      </c>
      <c r="E918">
        <f>'T_SelfStock'!C8</f>
        <v/>
      </c>
      <c r="F918">
        <f>'T_SelfStock'!D8</f>
        <v/>
      </c>
      <c r="G918">
        <f>'T_SelfStock'!E8</f>
        <v/>
      </c>
      <c r="H918">
        <f>'T_SelfStock'!F8</f>
        <v/>
      </c>
      <c r="I918">
        <f>'T_SelfStock'!G8</f>
        <v/>
      </c>
      <c r="J918">
        <f>'T_SelfStock'!H8</f>
        <v/>
      </c>
      <c r="K918">
        <f>'T_SelfStock'!I8</f>
        <v/>
      </c>
      <c r="L918">
        <f>'T_SelfStock'!J8</f>
        <v/>
      </c>
      <c r="M918">
        <f>'T_SelfStock'!K8</f>
        <v/>
      </c>
      <c r="N918">
        <f>'T_SelfStock'!L8</f>
        <v/>
      </c>
      <c r="O918">
        <f>'T_SelfStock'!M8</f>
        <v/>
      </c>
      <c r="P918">
        <f>'T_SelfStock'!N8</f>
        <v/>
      </c>
      <c r="Q918">
        <f>'T_SelfStock'!O8</f>
        <v/>
      </c>
      <c r="R918">
        <f>'T_SelfStock'!P8</f>
        <v/>
      </c>
      <c r="S918">
        <f>'T_SelfStock'!Q8</f>
        <v/>
      </c>
      <c r="T918">
        <f>'T_SelfStock'!R8</f>
        <v/>
      </c>
      <c r="U918">
        <f>'T_SelfStock'!S8</f>
        <v/>
      </c>
      <c r="V918">
        <f>'T_SelfStock'!T8</f>
        <v/>
      </c>
      <c r="W918">
        <f>'T_SelfStock'!U8</f>
        <v/>
      </c>
      <c r="X918">
        <f>'T_SelfStock'!V8</f>
        <v/>
      </c>
      <c r="Y918">
        <f>'T_SelfStock'!W8</f>
        <v/>
      </c>
      <c r="Z918">
        <f>'T_SelfStock'!X8</f>
        <v/>
      </c>
      <c r="AA918">
        <f>'T_SelfStock'!Y8</f>
        <v/>
      </c>
      <c r="AB918">
        <f>'T_SelfStock'!Z8</f>
        <v/>
      </c>
      <c r="AC918">
        <f>'T_SelfStock'!AA8</f>
        <v/>
      </c>
      <c r="AD918">
        <f>'T_SelfStock'!AB8</f>
        <v/>
      </c>
      <c r="AE918">
        <f>'T_SelfStock'!AC8</f>
        <v/>
      </c>
      <c r="AF918">
        <f>'T_SelfStock'!AD8</f>
        <v/>
      </c>
      <c r="AG918">
        <f>'T_SelfStock'!AE8</f>
        <v/>
      </c>
      <c r="AH918">
        <f>'T_SelfStock'!AF8</f>
        <v/>
      </c>
      <c r="AI918">
        <f>'T_SelfStock'!AG8</f>
        <v/>
      </c>
      <c r="AJ918">
        <f>'T_SelfStock'!AH8</f>
        <v/>
      </c>
      <c r="AK918">
        <f>'T_SelfStock'!AI8</f>
        <v/>
      </c>
      <c r="AL918">
        <f>'T_SelfStock'!AJ8</f>
        <v/>
      </c>
      <c r="AM918">
        <f>'T_SelfStock'!AK8</f>
        <v/>
      </c>
      <c r="AN918">
        <f>'T_SelfStock'!AL8</f>
        <v/>
      </c>
      <c r="AO918">
        <f>'T_SelfStock'!AM8</f>
        <v/>
      </c>
      <c r="AP918">
        <f>'T_SelfStock'!AN8</f>
        <v/>
      </c>
      <c r="AQ918">
        <f>'T_SelfStock'!AO8</f>
        <v/>
      </c>
      <c r="AR918">
        <f>'T_SelfStock'!AP8</f>
        <v/>
      </c>
      <c r="AS918">
        <f>'T_SelfStock'!AQ8</f>
        <v/>
      </c>
      <c r="AT918">
        <f>'T_SelfStock'!AR8</f>
        <v/>
      </c>
      <c r="AU918">
        <f>'T_SelfStock'!AS8</f>
        <v/>
      </c>
      <c r="AV918">
        <f>'T_SelfStock'!AT8</f>
        <v/>
      </c>
      <c r="AW918">
        <f>'T_SelfStock'!AU8</f>
        <v/>
      </c>
      <c r="AX918">
        <f>'T_SelfStock'!AV8</f>
        <v/>
      </c>
      <c r="AY918">
        <f>'T_SelfStock'!AW8</f>
        <v/>
      </c>
      <c r="AZ918">
        <f>'T_SelfStock'!AX8</f>
        <v/>
      </c>
      <c r="BA918">
        <f>'T_SelfStock'!AY8</f>
        <v/>
      </c>
      <c r="BB918">
        <f>'T_SelfStock'!AZ8</f>
        <v/>
      </c>
      <c r="BC918">
        <f>'T_SelfStock'!BA8</f>
        <v/>
      </c>
      <c r="BD918">
        <f>'T_SelfStock'!BB8</f>
        <v/>
      </c>
      <c r="BE918">
        <f>'T_SelfStock'!BC8</f>
        <v/>
      </c>
      <c r="BF918">
        <f>'T_SelfStock'!BD8</f>
        <v/>
      </c>
      <c r="BG918">
        <f>'T_SelfStock'!BE8</f>
        <v/>
      </c>
      <c r="BH918">
        <f>'T_SelfStock'!BF8</f>
        <v/>
      </c>
      <c r="BI918">
        <f>'T_SelfStock'!BG8</f>
        <v/>
      </c>
      <c r="BJ918">
        <f>'T_SelfStock'!BH8</f>
        <v/>
      </c>
      <c r="BK918">
        <f>'T_SelfStock'!BI8</f>
        <v/>
      </c>
      <c r="BL918">
        <f>'T_SelfStock'!BJ8</f>
        <v/>
      </c>
      <c r="BM918">
        <f>'T_SelfStock'!BK8</f>
        <v/>
      </c>
      <c r="BN918">
        <f>'T_SelfStock'!BL8</f>
        <v/>
      </c>
      <c r="BO918">
        <f>'T_SelfStock'!BM8</f>
        <v/>
      </c>
      <c r="BP918">
        <f>'T_SelfStock'!BN8</f>
        <v/>
      </c>
      <c r="BQ918">
        <f>'T_SelfStock'!BO8</f>
        <v/>
      </c>
      <c r="BR918">
        <f>'T_SelfStock'!BP8</f>
        <v/>
      </c>
      <c r="BS918">
        <f>'T_SelfStock'!BQ8</f>
        <v/>
      </c>
      <c r="BT918">
        <f>'T_SelfStock'!BR8</f>
        <v/>
      </c>
      <c r="BU918">
        <f>'T_SelfStock'!BS8</f>
        <v/>
      </c>
      <c r="BV918">
        <f>'T_SelfStock'!BT8</f>
        <v/>
      </c>
      <c r="BW918">
        <f>'T_SelfStock'!BU8</f>
        <v/>
      </c>
      <c r="BX918">
        <f>'T_SelfStock'!BV8</f>
        <v/>
      </c>
      <c r="BY918">
        <f>'T_SelfStock'!BW8</f>
        <v/>
      </c>
      <c r="BZ918">
        <f>'T_SelfStock'!BX8</f>
        <v/>
      </c>
      <c r="CA918">
        <f>'T_SelfStock'!BY8</f>
        <v/>
      </c>
      <c r="CB918">
        <f>'T_SelfStock'!BZ8</f>
        <v/>
      </c>
      <c r="CC918">
        <f>'T_SelfStock'!CA8</f>
        <v/>
      </c>
      <c r="CD918">
        <f>'T_SelfStock'!CB8</f>
        <v/>
      </c>
      <c r="CE918">
        <f>'T_SelfStock'!CC8</f>
        <v/>
      </c>
      <c r="CF918">
        <f>'T_SelfStock'!CD8</f>
        <v/>
      </c>
      <c r="CG918">
        <f>'T_SelfStock'!CE8</f>
        <v/>
      </c>
      <c r="CH918">
        <f>'T_SelfStock'!CF8</f>
        <v/>
      </c>
      <c r="CI918">
        <f>'T_SelfStock'!CG8</f>
        <v/>
      </c>
      <c r="CJ918">
        <f>'T_SelfStock'!CH8</f>
        <v/>
      </c>
      <c r="CK918">
        <f>'T_SelfStock'!CI8</f>
        <v/>
      </c>
      <c r="CL918">
        <f>'T_SelfStock'!CJ8</f>
        <v/>
      </c>
      <c r="CM918">
        <f>'T_SelfStock'!CK8</f>
        <v/>
      </c>
      <c r="CN918">
        <f>'T_SelfStock'!CL8</f>
        <v/>
      </c>
      <c r="CO918">
        <f>'T_SelfStock'!CM8</f>
        <v/>
      </c>
      <c r="CP918">
        <f>'T_SelfStock'!CN8</f>
        <v/>
      </c>
      <c r="CQ918">
        <f>'T_SelfStock'!CO8</f>
        <v/>
      </c>
      <c r="CR918">
        <f>'T_SelfStock'!CP8</f>
        <v/>
      </c>
      <c r="CS918">
        <f>'T_SelfStock'!CQ8</f>
        <v/>
      </c>
      <c r="CT918">
        <f>'T_SelfStock'!CR8</f>
        <v/>
      </c>
      <c r="CU918">
        <f>'T_SelfStock'!CS8</f>
        <v/>
      </c>
      <c r="CV918">
        <f>'T_SelfStock'!CT8</f>
        <v/>
      </c>
      <c r="CW918">
        <f>'T_SelfStock'!CU8</f>
        <v/>
      </c>
      <c r="CX918">
        <f>'T_SelfStock'!CV8</f>
        <v/>
      </c>
      <c r="CY918">
        <f>'T_SelfStock'!CW8</f>
        <v/>
      </c>
      <c r="CZ918">
        <f>'T_SelfStock'!CX8</f>
        <v/>
      </c>
      <c r="DA918">
        <f>'T_SelfStock'!CY8</f>
        <v/>
      </c>
      <c r="DB918">
        <f>'T_SelfStock'!CZ8</f>
        <v/>
      </c>
      <c r="DC918">
        <f>'T_SelfStock'!DA8</f>
        <v/>
      </c>
    </row>
    <row r="919">
      <c r="B919" t="inlineStr">
        <is>
          <t>Order(発注予定,kg)</t>
        </is>
      </c>
      <c r="D919">
        <f>IF(SUMIFS(T_PlannedOrders[EffectiveQty],T_PlannedOrders[Part Name],$A895,T_PlannedOrders[WeekIndex],1)=0,"",SUMIFS(T_PlannedOrders[EffectiveQty],T_PlannedOrders[Part Name],$A895,T_PlannedOrders[WeekIndex],1)&amp;" ("&amp;TEXT(SUMPRODUCT(MAX((T_PlannedOrders[Part Name]=$A895)*(T_PlannedOrders[WeekIndex]=1)*(T_PlannedOrders[EffectiveQty]&gt;0)*T_PlannedOrders[Order_Month])),"m月")&amp;"発注)")</f>
        <v/>
      </c>
      <c r="E919">
        <f>IF(SUMIFS(T_PlannedOrders[EffectiveQty],T_PlannedOrders[Part Name],$A895,T_PlannedOrders[WeekIndex],2)=0,"",SUMIFS(T_PlannedOrders[EffectiveQty],T_PlannedOrders[Part Name],$A895,T_PlannedOrders[WeekIndex],2)&amp;" ("&amp;TEXT(SUMPRODUCT(MAX((T_PlannedOrders[Part Name]=$A895)*(T_PlannedOrders[WeekIndex]=2)*(T_PlannedOrders[EffectiveQty]&gt;0)*T_PlannedOrders[Order_Month])),"m月")&amp;"発注)")</f>
        <v/>
      </c>
      <c r="F919">
        <f>IF(SUMIFS(T_PlannedOrders[EffectiveQty],T_PlannedOrders[Part Name],$A895,T_PlannedOrders[WeekIndex],3)=0,"",SUMIFS(T_PlannedOrders[EffectiveQty],T_PlannedOrders[Part Name],$A895,T_PlannedOrders[WeekIndex],3)&amp;" ("&amp;TEXT(SUMPRODUCT(MAX((T_PlannedOrders[Part Name]=$A895)*(T_PlannedOrders[WeekIndex]=3)*(T_PlannedOrders[EffectiveQty]&gt;0)*T_PlannedOrders[Order_Month])),"m月")&amp;"発注)")</f>
        <v/>
      </c>
      <c r="G919">
        <f>IF(SUMIFS(T_PlannedOrders[EffectiveQty],T_PlannedOrders[Part Name],$A895,T_PlannedOrders[WeekIndex],4)=0,"",SUMIFS(T_PlannedOrders[EffectiveQty],T_PlannedOrders[Part Name],$A895,T_PlannedOrders[WeekIndex],4)&amp;" ("&amp;TEXT(SUMPRODUCT(MAX((T_PlannedOrders[Part Name]=$A895)*(T_PlannedOrders[WeekIndex]=4)*(T_PlannedOrders[EffectiveQty]&gt;0)*T_PlannedOrders[Order_Month])),"m月")&amp;"発注)")</f>
        <v/>
      </c>
      <c r="H919">
        <f>IF(SUMIFS(T_PlannedOrders[EffectiveQty],T_PlannedOrders[Part Name],$A895,T_PlannedOrders[WeekIndex],5)=0,"",SUMIFS(T_PlannedOrders[EffectiveQty],T_PlannedOrders[Part Name],$A895,T_PlannedOrders[WeekIndex],5)&amp;" ("&amp;TEXT(SUMPRODUCT(MAX((T_PlannedOrders[Part Name]=$A895)*(T_PlannedOrders[WeekIndex]=5)*(T_PlannedOrders[EffectiveQty]&gt;0)*T_PlannedOrders[Order_Month])),"m月")&amp;"発注)")</f>
        <v/>
      </c>
      <c r="I919">
        <f>IF(SUMIFS(T_PlannedOrders[EffectiveQty],T_PlannedOrders[Part Name],$A895,T_PlannedOrders[WeekIndex],6)=0,"",SUMIFS(T_PlannedOrders[EffectiveQty],T_PlannedOrders[Part Name],$A895,T_PlannedOrders[WeekIndex],6)&amp;" ("&amp;TEXT(SUMPRODUCT(MAX((T_PlannedOrders[Part Name]=$A895)*(T_PlannedOrders[WeekIndex]=6)*(T_PlannedOrders[EffectiveQty]&gt;0)*T_PlannedOrders[Order_Month])),"m月")&amp;"発注)")</f>
        <v/>
      </c>
      <c r="J919">
        <f>IF(SUMIFS(T_PlannedOrders[EffectiveQty],T_PlannedOrders[Part Name],$A895,T_PlannedOrders[WeekIndex],7)=0,"",SUMIFS(T_PlannedOrders[EffectiveQty],T_PlannedOrders[Part Name],$A895,T_PlannedOrders[WeekIndex],7)&amp;" ("&amp;TEXT(SUMPRODUCT(MAX((T_PlannedOrders[Part Name]=$A895)*(T_PlannedOrders[WeekIndex]=7)*(T_PlannedOrders[EffectiveQty]&gt;0)*T_PlannedOrders[Order_Month])),"m月")&amp;"発注)")</f>
        <v/>
      </c>
      <c r="K919">
        <f>IF(SUMIFS(T_PlannedOrders[EffectiveQty],T_PlannedOrders[Part Name],$A895,T_PlannedOrders[WeekIndex],8)=0,"",SUMIFS(T_PlannedOrders[EffectiveQty],T_PlannedOrders[Part Name],$A895,T_PlannedOrders[WeekIndex],8)&amp;" ("&amp;TEXT(SUMPRODUCT(MAX((T_PlannedOrders[Part Name]=$A895)*(T_PlannedOrders[WeekIndex]=8)*(T_PlannedOrders[EffectiveQty]&gt;0)*T_PlannedOrders[Order_Month])),"m月")&amp;"発注)")</f>
        <v/>
      </c>
      <c r="L919">
        <f>IF(SUMIFS(T_PlannedOrders[EffectiveQty],T_PlannedOrders[Part Name],$A895,T_PlannedOrders[WeekIndex],9)=0,"",SUMIFS(T_PlannedOrders[EffectiveQty],T_PlannedOrders[Part Name],$A895,T_PlannedOrders[WeekIndex],9)&amp;" ("&amp;TEXT(SUMPRODUCT(MAX((T_PlannedOrders[Part Name]=$A895)*(T_PlannedOrders[WeekIndex]=9)*(T_PlannedOrders[EffectiveQty]&gt;0)*T_PlannedOrders[Order_Month])),"m月")&amp;"発注)")</f>
        <v/>
      </c>
      <c r="M919">
        <f>IF(SUMIFS(T_PlannedOrders[EffectiveQty],T_PlannedOrders[Part Name],$A895,T_PlannedOrders[WeekIndex],10)=0,"",SUMIFS(T_PlannedOrders[EffectiveQty],T_PlannedOrders[Part Name],$A895,T_PlannedOrders[WeekIndex],10)&amp;" ("&amp;TEXT(SUMPRODUCT(MAX((T_PlannedOrders[Part Name]=$A895)*(T_PlannedOrders[WeekIndex]=10)*(T_PlannedOrders[EffectiveQty]&gt;0)*T_PlannedOrders[Order_Month])),"m月")&amp;"発注)")</f>
        <v/>
      </c>
      <c r="N919">
        <f>IF(SUMIFS(T_PlannedOrders[EffectiveQty],T_PlannedOrders[Part Name],$A895,T_PlannedOrders[WeekIndex],11)=0,"",SUMIFS(T_PlannedOrders[EffectiveQty],T_PlannedOrders[Part Name],$A895,T_PlannedOrders[WeekIndex],11)&amp;" ("&amp;TEXT(SUMPRODUCT(MAX((T_PlannedOrders[Part Name]=$A895)*(T_PlannedOrders[WeekIndex]=11)*(T_PlannedOrders[EffectiveQty]&gt;0)*T_PlannedOrders[Order_Month])),"m月")&amp;"発注)")</f>
        <v/>
      </c>
      <c r="O919">
        <f>IF(SUMIFS(T_PlannedOrders[EffectiveQty],T_PlannedOrders[Part Name],$A895,T_PlannedOrders[WeekIndex],12)=0,"",SUMIFS(T_PlannedOrders[EffectiveQty],T_PlannedOrders[Part Name],$A895,T_PlannedOrders[WeekIndex],12)&amp;" ("&amp;TEXT(SUMPRODUCT(MAX((T_PlannedOrders[Part Name]=$A895)*(T_PlannedOrders[WeekIndex]=12)*(T_PlannedOrders[EffectiveQty]&gt;0)*T_PlannedOrders[Order_Month])),"m月")&amp;"発注)")</f>
        <v/>
      </c>
      <c r="P919">
        <f>IF(SUMIFS(T_PlannedOrders[EffectiveQty],T_PlannedOrders[Part Name],$A895,T_PlannedOrders[WeekIndex],13)=0,"",SUMIFS(T_PlannedOrders[EffectiveQty],T_PlannedOrders[Part Name],$A895,T_PlannedOrders[WeekIndex],13)&amp;" ("&amp;TEXT(SUMPRODUCT(MAX((T_PlannedOrders[Part Name]=$A895)*(T_PlannedOrders[WeekIndex]=13)*(T_PlannedOrders[EffectiveQty]&gt;0)*T_PlannedOrders[Order_Month])),"m月")&amp;"発注)")</f>
        <v/>
      </c>
      <c r="Q919">
        <f>IF(SUMIFS(T_PlannedOrders[EffectiveQty],T_PlannedOrders[Part Name],$A895,T_PlannedOrders[WeekIndex],14)=0,"",SUMIFS(T_PlannedOrders[EffectiveQty],T_PlannedOrders[Part Name],$A895,T_PlannedOrders[WeekIndex],14)&amp;" ("&amp;TEXT(SUMPRODUCT(MAX((T_PlannedOrders[Part Name]=$A895)*(T_PlannedOrders[WeekIndex]=14)*(T_PlannedOrders[EffectiveQty]&gt;0)*T_PlannedOrders[Order_Month])),"m月")&amp;"発注)")</f>
        <v/>
      </c>
      <c r="R919">
        <f>IF(SUMIFS(T_PlannedOrders[EffectiveQty],T_PlannedOrders[Part Name],$A895,T_PlannedOrders[WeekIndex],15)=0,"",SUMIFS(T_PlannedOrders[EffectiveQty],T_PlannedOrders[Part Name],$A895,T_PlannedOrders[WeekIndex],15)&amp;" ("&amp;TEXT(SUMPRODUCT(MAX((T_PlannedOrders[Part Name]=$A895)*(T_PlannedOrders[WeekIndex]=15)*(T_PlannedOrders[EffectiveQty]&gt;0)*T_PlannedOrders[Order_Month])),"m月")&amp;"発注)")</f>
        <v/>
      </c>
      <c r="S919">
        <f>IF(SUMIFS(T_PlannedOrders[EffectiveQty],T_PlannedOrders[Part Name],$A895,T_PlannedOrders[WeekIndex],16)=0,"",SUMIFS(T_PlannedOrders[EffectiveQty],T_PlannedOrders[Part Name],$A895,T_PlannedOrders[WeekIndex],16)&amp;" ("&amp;TEXT(SUMPRODUCT(MAX((T_PlannedOrders[Part Name]=$A895)*(T_PlannedOrders[WeekIndex]=16)*(T_PlannedOrders[EffectiveQty]&gt;0)*T_PlannedOrders[Order_Month])),"m月")&amp;"発注)")</f>
        <v/>
      </c>
      <c r="T919">
        <f>IF(SUMIFS(T_PlannedOrders[EffectiveQty],T_PlannedOrders[Part Name],$A895,T_PlannedOrders[WeekIndex],17)=0,"",SUMIFS(T_PlannedOrders[EffectiveQty],T_PlannedOrders[Part Name],$A895,T_PlannedOrders[WeekIndex],17)&amp;" ("&amp;TEXT(SUMPRODUCT(MAX((T_PlannedOrders[Part Name]=$A895)*(T_PlannedOrders[WeekIndex]=17)*(T_PlannedOrders[EffectiveQty]&gt;0)*T_PlannedOrders[Order_Month])),"m月")&amp;"発注)")</f>
        <v/>
      </c>
      <c r="U919">
        <f>IF(SUMIFS(T_PlannedOrders[EffectiveQty],T_PlannedOrders[Part Name],$A895,T_PlannedOrders[WeekIndex],18)=0,"",SUMIFS(T_PlannedOrders[EffectiveQty],T_PlannedOrders[Part Name],$A895,T_PlannedOrders[WeekIndex],18)&amp;" ("&amp;TEXT(SUMPRODUCT(MAX((T_PlannedOrders[Part Name]=$A895)*(T_PlannedOrders[WeekIndex]=18)*(T_PlannedOrders[EffectiveQty]&gt;0)*T_PlannedOrders[Order_Month])),"m月")&amp;"発注)")</f>
        <v/>
      </c>
      <c r="V919">
        <f>IF(SUMIFS(T_PlannedOrders[EffectiveQty],T_PlannedOrders[Part Name],$A895,T_PlannedOrders[WeekIndex],19)=0,"",SUMIFS(T_PlannedOrders[EffectiveQty],T_PlannedOrders[Part Name],$A895,T_PlannedOrders[WeekIndex],19)&amp;" ("&amp;TEXT(SUMPRODUCT(MAX((T_PlannedOrders[Part Name]=$A895)*(T_PlannedOrders[WeekIndex]=19)*(T_PlannedOrders[EffectiveQty]&gt;0)*T_PlannedOrders[Order_Month])),"m月")&amp;"発注)")</f>
        <v/>
      </c>
      <c r="W919">
        <f>IF(SUMIFS(T_PlannedOrders[EffectiveQty],T_PlannedOrders[Part Name],$A895,T_PlannedOrders[WeekIndex],20)=0,"",SUMIFS(T_PlannedOrders[EffectiveQty],T_PlannedOrders[Part Name],$A895,T_PlannedOrders[WeekIndex],20)&amp;" ("&amp;TEXT(SUMPRODUCT(MAX((T_PlannedOrders[Part Name]=$A895)*(T_PlannedOrders[WeekIndex]=20)*(T_PlannedOrders[EffectiveQty]&gt;0)*T_PlannedOrders[Order_Month])),"m月")&amp;"発注)")</f>
        <v/>
      </c>
      <c r="X919">
        <f>IF(SUMIFS(T_PlannedOrders[EffectiveQty],T_PlannedOrders[Part Name],$A895,T_PlannedOrders[WeekIndex],21)=0,"",SUMIFS(T_PlannedOrders[EffectiveQty],T_PlannedOrders[Part Name],$A895,T_PlannedOrders[WeekIndex],21)&amp;" ("&amp;TEXT(SUMPRODUCT(MAX((T_PlannedOrders[Part Name]=$A895)*(T_PlannedOrders[WeekIndex]=21)*(T_PlannedOrders[EffectiveQty]&gt;0)*T_PlannedOrders[Order_Month])),"m月")&amp;"発注)")</f>
        <v/>
      </c>
      <c r="Y919">
        <f>IF(SUMIFS(T_PlannedOrders[EffectiveQty],T_PlannedOrders[Part Name],$A895,T_PlannedOrders[WeekIndex],22)=0,"",SUMIFS(T_PlannedOrders[EffectiveQty],T_PlannedOrders[Part Name],$A895,T_PlannedOrders[WeekIndex],22)&amp;" ("&amp;TEXT(SUMPRODUCT(MAX((T_PlannedOrders[Part Name]=$A895)*(T_PlannedOrders[WeekIndex]=22)*(T_PlannedOrders[EffectiveQty]&gt;0)*T_PlannedOrders[Order_Month])),"m月")&amp;"発注)")</f>
        <v/>
      </c>
      <c r="Z919">
        <f>IF(SUMIFS(T_PlannedOrders[EffectiveQty],T_PlannedOrders[Part Name],$A895,T_PlannedOrders[WeekIndex],23)=0,"",SUMIFS(T_PlannedOrders[EffectiveQty],T_PlannedOrders[Part Name],$A895,T_PlannedOrders[WeekIndex],23)&amp;" ("&amp;TEXT(SUMPRODUCT(MAX((T_PlannedOrders[Part Name]=$A895)*(T_PlannedOrders[WeekIndex]=23)*(T_PlannedOrders[EffectiveQty]&gt;0)*T_PlannedOrders[Order_Month])),"m月")&amp;"発注)")</f>
        <v/>
      </c>
      <c r="AA919">
        <f>IF(SUMIFS(T_PlannedOrders[EffectiveQty],T_PlannedOrders[Part Name],$A895,T_PlannedOrders[WeekIndex],24)=0,"",SUMIFS(T_PlannedOrders[EffectiveQty],T_PlannedOrders[Part Name],$A895,T_PlannedOrders[WeekIndex],24)&amp;" ("&amp;TEXT(SUMPRODUCT(MAX((T_PlannedOrders[Part Name]=$A895)*(T_PlannedOrders[WeekIndex]=24)*(T_PlannedOrders[EffectiveQty]&gt;0)*T_PlannedOrders[Order_Month])),"m月")&amp;"発注)")</f>
        <v/>
      </c>
      <c r="AB919">
        <f>IF(SUMIFS(T_PlannedOrders[EffectiveQty],T_PlannedOrders[Part Name],$A895,T_PlannedOrders[WeekIndex],25)=0,"",SUMIFS(T_PlannedOrders[EffectiveQty],T_PlannedOrders[Part Name],$A895,T_PlannedOrders[WeekIndex],25)&amp;" ("&amp;TEXT(SUMPRODUCT(MAX((T_PlannedOrders[Part Name]=$A895)*(T_PlannedOrders[WeekIndex]=25)*(T_PlannedOrders[EffectiveQty]&gt;0)*T_PlannedOrders[Order_Month])),"m月")&amp;"発注)")</f>
        <v/>
      </c>
      <c r="AC919">
        <f>IF(SUMIFS(T_PlannedOrders[EffectiveQty],T_PlannedOrders[Part Name],$A895,T_PlannedOrders[WeekIndex],26)=0,"",SUMIFS(T_PlannedOrders[EffectiveQty],T_PlannedOrders[Part Name],$A895,T_PlannedOrders[WeekIndex],26)&amp;" ("&amp;TEXT(SUMPRODUCT(MAX((T_PlannedOrders[Part Name]=$A895)*(T_PlannedOrders[WeekIndex]=26)*(T_PlannedOrders[EffectiveQty]&gt;0)*T_PlannedOrders[Order_Month])),"m月")&amp;"発注)")</f>
        <v/>
      </c>
      <c r="AD919">
        <f>IF(SUMIFS(T_PlannedOrders[EffectiveQty],T_PlannedOrders[Part Name],$A895,T_PlannedOrders[WeekIndex],27)=0,"",SUMIFS(T_PlannedOrders[EffectiveQty],T_PlannedOrders[Part Name],$A895,T_PlannedOrders[WeekIndex],27)&amp;" ("&amp;TEXT(SUMPRODUCT(MAX((T_PlannedOrders[Part Name]=$A895)*(T_PlannedOrders[WeekIndex]=27)*(T_PlannedOrders[EffectiveQty]&gt;0)*T_PlannedOrders[Order_Month])),"m月")&amp;"発注)")</f>
        <v/>
      </c>
      <c r="AE919">
        <f>IF(SUMIFS(T_PlannedOrders[EffectiveQty],T_PlannedOrders[Part Name],$A895,T_PlannedOrders[WeekIndex],28)=0,"",SUMIFS(T_PlannedOrders[EffectiveQty],T_PlannedOrders[Part Name],$A895,T_PlannedOrders[WeekIndex],28)&amp;" ("&amp;TEXT(SUMPRODUCT(MAX((T_PlannedOrders[Part Name]=$A895)*(T_PlannedOrders[WeekIndex]=28)*(T_PlannedOrders[EffectiveQty]&gt;0)*T_PlannedOrders[Order_Month])),"m月")&amp;"発注)")</f>
        <v/>
      </c>
      <c r="AF919">
        <f>IF(SUMIFS(T_PlannedOrders[EffectiveQty],T_PlannedOrders[Part Name],$A895,T_PlannedOrders[WeekIndex],29)=0,"",SUMIFS(T_PlannedOrders[EffectiveQty],T_PlannedOrders[Part Name],$A895,T_PlannedOrders[WeekIndex],29)&amp;" ("&amp;TEXT(SUMPRODUCT(MAX((T_PlannedOrders[Part Name]=$A895)*(T_PlannedOrders[WeekIndex]=29)*(T_PlannedOrders[EffectiveQty]&gt;0)*T_PlannedOrders[Order_Month])),"m月")&amp;"発注)")</f>
        <v/>
      </c>
      <c r="AG919">
        <f>IF(SUMIFS(T_PlannedOrders[EffectiveQty],T_PlannedOrders[Part Name],$A895,T_PlannedOrders[WeekIndex],30)=0,"",SUMIFS(T_PlannedOrders[EffectiveQty],T_PlannedOrders[Part Name],$A895,T_PlannedOrders[WeekIndex],30)&amp;" ("&amp;TEXT(SUMPRODUCT(MAX((T_PlannedOrders[Part Name]=$A895)*(T_PlannedOrders[WeekIndex]=30)*(T_PlannedOrders[EffectiveQty]&gt;0)*T_PlannedOrders[Order_Month])),"m月")&amp;"発注)")</f>
        <v/>
      </c>
      <c r="AH919">
        <f>IF(SUMIFS(T_PlannedOrders[EffectiveQty],T_PlannedOrders[Part Name],$A895,T_PlannedOrders[WeekIndex],31)=0,"",SUMIFS(T_PlannedOrders[EffectiveQty],T_PlannedOrders[Part Name],$A895,T_PlannedOrders[WeekIndex],31)&amp;" ("&amp;TEXT(SUMPRODUCT(MAX((T_PlannedOrders[Part Name]=$A895)*(T_PlannedOrders[WeekIndex]=31)*(T_PlannedOrders[EffectiveQty]&gt;0)*T_PlannedOrders[Order_Month])),"m月")&amp;"発注)")</f>
        <v/>
      </c>
      <c r="AI919">
        <f>IF(SUMIFS(T_PlannedOrders[EffectiveQty],T_PlannedOrders[Part Name],$A895,T_PlannedOrders[WeekIndex],32)=0,"",SUMIFS(T_PlannedOrders[EffectiveQty],T_PlannedOrders[Part Name],$A895,T_PlannedOrders[WeekIndex],32)&amp;" ("&amp;TEXT(SUMPRODUCT(MAX((T_PlannedOrders[Part Name]=$A895)*(T_PlannedOrders[WeekIndex]=32)*(T_PlannedOrders[EffectiveQty]&gt;0)*T_PlannedOrders[Order_Month])),"m月")&amp;"発注)")</f>
        <v/>
      </c>
      <c r="AJ919">
        <f>IF(SUMIFS(T_PlannedOrders[EffectiveQty],T_PlannedOrders[Part Name],$A895,T_PlannedOrders[WeekIndex],33)=0,"",SUMIFS(T_PlannedOrders[EffectiveQty],T_PlannedOrders[Part Name],$A895,T_PlannedOrders[WeekIndex],33)&amp;" ("&amp;TEXT(SUMPRODUCT(MAX((T_PlannedOrders[Part Name]=$A895)*(T_PlannedOrders[WeekIndex]=33)*(T_PlannedOrders[EffectiveQty]&gt;0)*T_PlannedOrders[Order_Month])),"m月")&amp;"発注)")</f>
        <v/>
      </c>
      <c r="AK919">
        <f>IF(SUMIFS(T_PlannedOrders[EffectiveQty],T_PlannedOrders[Part Name],$A895,T_PlannedOrders[WeekIndex],34)=0,"",SUMIFS(T_PlannedOrders[EffectiveQty],T_PlannedOrders[Part Name],$A895,T_PlannedOrders[WeekIndex],34)&amp;" ("&amp;TEXT(SUMPRODUCT(MAX((T_PlannedOrders[Part Name]=$A895)*(T_PlannedOrders[WeekIndex]=34)*(T_PlannedOrders[EffectiveQty]&gt;0)*T_PlannedOrders[Order_Month])),"m月")&amp;"発注)")</f>
        <v/>
      </c>
      <c r="AL919">
        <f>IF(SUMIFS(T_PlannedOrders[EffectiveQty],T_PlannedOrders[Part Name],$A895,T_PlannedOrders[WeekIndex],35)=0,"",SUMIFS(T_PlannedOrders[EffectiveQty],T_PlannedOrders[Part Name],$A895,T_PlannedOrders[WeekIndex],35)&amp;" ("&amp;TEXT(SUMPRODUCT(MAX((T_PlannedOrders[Part Name]=$A895)*(T_PlannedOrders[WeekIndex]=35)*(T_PlannedOrders[EffectiveQty]&gt;0)*T_PlannedOrders[Order_Month])),"m月")&amp;"発注)")</f>
        <v/>
      </c>
      <c r="AM919">
        <f>IF(SUMIFS(T_PlannedOrders[EffectiveQty],T_PlannedOrders[Part Name],$A895,T_PlannedOrders[WeekIndex],36)=0,"",SUMIFS(T_PlannedOrders[EffectiveQty],T_PlannedOrders[Part Name],$A895,T_PlannedOrders[WeekIndex],36)&amp;" ("&amp;TEXT(SUMPRODUCT(MAX((T_PlannedOrders[Part Name]=$A895)*(T_PlannedOrders[WeekIndex]=36)*(T_PlannedOrders[EffectiveQty]&gt;0)*T_PlannedOrders[Order_Month])),"m月")&amp;"発注)")</f>
        <v/>
      </c>
      <c r="AN919">
        <f>IF(SUMIFS(T_PlannedOrders[EffectiveQty],T_PlannedOrders[Part Name],$A895,T_PlannedOrders[WeekIndex],37)=0,"",SUMIFS(T_PlannedOrders[EffectiveQty],T_PlannedOrders[Part Name],$A895,T_PlannedOrders[WeekIndex],37)&amp;" ("&amp;TEXT(SUMPRODUCT(MAX((T_PlannedOrders[Part Name]=$A895)*(T_PlannedOrders[WeekIndex]=37)*(T_PlannedOrders[EffectiveQty]&gt;0)*T_PlannedOrders[Order_Month])),"m月")&amp;"発注)")</f>
        <v/>
      </c>
      <c r="AO919">
        <f>IF(SUMIFS(T_PlannedOrders[EffectiveQty],T_PlannedOrders[Part Name],$A895,T_PlannedOrders[WeekIndex],38)=0,"",SUMIFS(T_PlannedOrders[EffectiveQty],T_PlannedOrders[Part Name],$A895,T_PlannedOrders[WeekIndex],38)&amp;" ("&amp;TEXT(SUMPRODUCT(MAX((T_PlannedOrders[Part Name]=$A895)*(T_PlannedOrders[WeekIndex]=38)*(T_PlannedOrders[EffectiveQty]&gt;0)*T_PlannedOrders[Order_Month])),"m月")&amp;"発注)")</f>
        <v/>
      </c>
      <c r="AP919">
        <f>IF(SUMIFS(T_PlannedOrders[EffectiveQty],T_PlannedOrders[Part Name],$A895,T_PlannedOrders[WeekIndex],39)=0,"",SUMIFS(T_PlannedOrders[EffectiveQty],T_PlannedOrders[Part Name],$A895,T_PlannedOrders[WeekIndex],39)&amp;" ("&amp;TEXT(SUMPRODUCT(MAX((T_PlannedOrders[Part Name]=$A895)*(T_PlannedOrders[WeekIndex]=39)*(T_PlannedOrders[EffectiveQty]&gt;0)*T_PlannedOrders[Order_Month])),"m月")&amp;"発注)")</f>
        <v/>
      </c>
      <c r="AQ919">
        <f>IF(SUMIFS(T_PlannedOrders[EffectiveQty],T_PlannedOrders[Part Name],$A895,T_PlannedOrders[WeekIndex],40)=0,"",SUMIFS(T_PlannedOrders[EffectiveQty],T_PlannedOrders[Part Name],$A895,T_PlannedOrders[WeekIndex],40)&amp;" ("&amp;TEXT(SUMPRODUCT(MAX((T_PlannedOrders[Part Name]=$A895)*(T_PlannedOrders[WeekIndex]=40)*(T_PlannedOrders[EffectiveQty]&gt;0)*T_PlannedOrders[Order_Month])),"m月")&amp;"発注)")</f>
        <v/>
      </c>
      <c r="AR919">
        <f>IF(SUMIFS(T_PlannedOrders[EffectiveQty],T_PlannedOrders[Part Name],$A895,T_PlannedOrders[WeekIndex],41)=0,"",SUMIFS(T_PlannedOrders[EffectiveQty],T_PlannedOrders[Part Name],$A895,T_PlannedOrders[WeekIndex],41)&amp;" ("&amp;TEXT(SUMPRODUCT(MAX((T_PlannedOrders[Part Name]=$A895)*(T_PlannedOrders[WeekIndex]=41)*(T_PlannedOrders[EffectiveQty]&gt;0)*T_PlannedOrders[Order_Month])),"m月")&amp;"発注)")</f>
        <v/>
      </c>
      <c r="AS919">
        <f>IF(SUMIFS(T_PlannedOrders[EffectiveQty],T_PlannedOrders[Part Name],$A895,T_PlannedOrders[WeekIndex],42)=0,"",SUMIFS(T_PlannedOrders[EffectiveQty],T_PlannedOrders[Part Name],$A895,T_PlannedOrders[WeekIndex],42)&amp;" ("&amp;TEXT(SUMPRODUCT(MAX((T_PlannedOrders[Part Name]=$A895)*(T_PlannedOrders[WeekIndex]=42)*(T_PlannedOrders[EffectiveQty]&gt;0)*T_PlannedOrders[Order_Month])),"m月")&amp;"発注)")</f>
        <v/>
      </c>
      <c r="AT919">
        <f>IF(SUMIFS(T_PlannedOrders[EffectiveQty],T_PlannedOrders[Part Name],$A895,T_PlannedOrders[WeekIndex],43)=0,"",SUMIFS(T_PlannedOrders[EffectiveQty],T_PlannedOrders[Part Name],$A895,T_PlannedOrders[WeekIndex],43)&amp;" ("&amp;TEXT(SUMPRODUCT(MAX((T_PlannedOrders[Part Name]=$A895)*(T_PlannedOrders[WeekIndex]=43)*(T_PlannedOrders[EffectiveQty]&gt;0)*T_PlannedOrders[Order_Month])),"m月")&amp;"発注)")</f>
        <v/>
      </c>
      <c r="AU919">
        <f>IF(SUMIFS(T_PlannedOrders[EffectiveQty],T_PlannedOrders[Part Name],$A895,T_PlannedOrders[WeekIndex],44)=0,"",SUMIFS(T_PlannedOrders[EffectiveQty],T_PlannedOrders[Part Name],$A895,T_PlannedOrders[WeekIndex],44)&amp;" ("&amp;TEXT(SUMPRODUCT(MAX((T_PlannedOrders[Part Name]=$A895)*(T_PlannedOrders[WeekIndex]=44)*(T_PlannedOrders[EffectiveQty]&gt;0)*T_PlannedOrders[Order_Month])),"m月")&amp;"発注)")</f>
        <v/>
      </c>
      <c r="AV919">
        <f>IF(SUMIFS(T_PlannedOrders[EffectiveQty],T_PlannedOrders[Part Name],$A895,T_PlannedOrders[WeekIndex],45)=0,"",SUMIFS(T_PlannedOrders[EffectiveQty],T_PlannedOrders[Part Name],$A895,T_PlannedOrders[WeekIndex],45)&amp;" ("&amp;TEXT(SUMPRODUCT(MAX((T_PlannedOrders[Part Name]=$A895)*(T_PlannedOrders[WeekIndex]=45)*(T_PlannedOrders[EffectiveQty]&gt;0)*T_PlannedOrders[Order_Month])),"m月")&amp;"発注)")</f>
        <v/>
      </c>
      <c r="AW919">
        <f>IF(SUMIFS(T_PlannedOrders[EffectiveQty],T_PlannedOrders[Part Name],$A895,T_PlannedOrders[WeekIndex],46)=0,"",SUMIFS(T_PlannedOrders[EffectiveQty],T_PlannedOrders[Part Name],$A895,T_PlannedOrders[WeekIndex],46)&amp;" ("&amp;TEXT(SUMPRODUCT(MAX((T_PlannedOrders[Part Name]=$A895)*(T_PlannedOrders[WeekIndex]=46)*(T_PlannedOrders[EffectiveQty]&gt;0)*T_PlannedOrders[Order_Month])),"m月")&amp;"発注)")</f>
        <v/>
      </c>
      <c r="AX919">
        <f>IF(SUMIFS(T_PlannedOrders[EffectiveQty],T_PlannedOrders[Part Name],$A895,T_PlannedOrders[WeekIndex],47)=0,"",SUMIFS(T_PlannedOrders[EffectiveQty],T_PlannedOrders[Part Name],$A895,T_PlannedOrders[WeekIndex],47)&amp;" ("&amp;TEXT(SUMPRODUCT(MAX((T_PlannedOrders[Part Name]=$A895)*(T_PlannedOrders[WeekIndex]=47)*(T_PlannedOrders[EffectiveQty]&gt;0)*T_PlannedOrders[Order_Month])),"m月")&amp;"発注)")</f>
        <v/>
      </c>
      <c r="AY919">
        <f>IF(SUMIFS(T_PlannedOrders[EffectiveQty],T_PlannedOrders[Part Name],$A895,T_PlannedOrders[WeekIndex],48)=0,"",SUMIFS(T_PlannedOrders[EffectiveQty],T_PlannedOrders[Part Name],$A895,T_PlannedOrders[WeekIndex],48)&amp;" ("&amp;TEXT(SUMPRODUCT(MAX((T_PlannedOrders[Part Name]=$A895)*(T_PlannedOrders[WeekIndex]=48)*(T_PlannedOrders[EffectiveQty]&gt;0)*T_PlannedOrders[Order_Month])),"m月")&amp;"発注)")</f>
        <v/>
      </c>
      <c r="AZ919">
        <f>IF(SUMIFS(T_PlannedOrders[EffectiveQty],T_PlannedOrders[Part Name],$A895,T_PlannedOrders[WeekIndex],49)=0,"",SUMIFS(T_PlannedOrders[EffectiveQty],T_PlannedOrders[Part Name],$A895,T_PlannedOrders[WeekIndex],49)&amp;" ("&amp;TEXT(SUMPRODUCT(MAX((T_PlannedOrders[Part Name]=$A895)*(T_PlannedOrders[WeekIndex]=49)*(T_PlannedOrders[EffectiveQty]&gt;0)*T_PlannedOrders[Order_Month])),"m月")&amp;"発注)")</f>
        <v/>
      </c>
      <c r="BA919">
        <f>IF(SUMIFS(T_PlannedOrders[EffectiveQty],T_PlannedOrders[Part Name],$A895,T_PlannedOrders[WeekIndex],50)=0,"",SUMIFS(T_PlannedOrders[EffectiveQty],T_PlannedOrders[Part Name],$A895,T_PlannedOrders[WeekIndex],50)&amp;" ("&amp;TEXT(SUMPRODUCT(MAX((T_PlannedOrders[Part Name]=$A895)*(T_PlannedOrders[WeekIndex]=50)*(T_PlannedOrders[EffectiveQty]&gt;0)*T_PlannedOrders[Order_Month])),"m月")&amp;"発注)")</f>
        <v/>
      </c>
      <c r="BB919">
        <f>IF(SUMIFS(T_PlannedOrders[EffectiveQty],T_PlannedOrders[Part Name],$A895,T_PlannedOrders[WeekIndex],51)=0,"",SUMIFS(T_PlannedOrders[EffectiveQty],T_PlannedOrders[Part Name],$A895,T_PlannedOrders[WeekIndex],51)&amp;" ("&amp;TEXT(SUMPRODUCT(MAX((T_PlannedOrders[Part Name]=$A895)*(T_PlannedOrders[WeekIndex]=51)*(T_PlannedOrders[EffectiveQty]&gt;0)*T_PlannedOrders[Order_Month])),"m月")&amp;"発注)")</f>
        <v/>
      </c>
      <c r="BC919">
        <f>IF(SUMIFS(T_PlannedOrders[EffectiveQty],T_PlannedOrders[Part Name],$A895,T_PlannedOrders[WeekIndex],52)=0,"",SUMIFS(T_PlannedOrders[EffectiveQty],T_PlannedOrders[Part Name],$A895,T_PlannedOrders[WeekIndex],52)&amp;" ("&amp;TEXT(SUMPRODUCT(MAX((T_PlannedOrders[Part Name]=$A895)*(T_PlannedOrders[WeekIndex]=52)*(T_PlannedOrders[EffectiveQty]&gt;0)*T_PlannedOrders[Order_Month])),"m月")&amp;"発注)")</f>
        <v/>
      </c>
      <c r="BD919">
        <f>IF(SUMIFS(T_PlannedOrders[EffectiveQty],T_PlannedOrders[Part Name],$A895,T_PlannedOrders[WeekIndex],53)=0,"",SUMIFS(T_PlannedOrders[EffectiveQty],T_PlannedOrders[Part Name],$A895,T_PlannedOrders[WeekIndex],53)&amp;" ("&amp;TEXT(SUMPRODUCT(MAX((T_PlannedOrders[Part Name]=$A895)*(T_PlannedOrders[WeekIndex]=53)*(T_PlannedOrders[EffectiveQty]&gt;0)*T_PlannedOrders[Order_Month])),"m月")&amp;"発注)")</f>
        <v/>
      </c>
      <c r="BE919">
        <f>IF(SUMIFS(T_PlannedOrders[EffectiveQty],T_PlannedOrders[Part Name],$A895,T_PlannedOrders[WeekIndex],54)=0,"",SUMIFS(T_PlannedOrders[EffectiveQty],T_PlannedOrders[Part Name],$A895,T_PlannedOrders[WeekIndex],54)&amp;" ("&amp;TEXT(SUMPRODUCT(MAX((T_PlannedOrders[Part Name]=$A895)*(T_PlannedOrders[WeekIndex]=54)*(T_PlannedOrders[EffectiveQty]&gt;0)*T_PlannedOrders[Order_Month])),"m月")&amp;"発注)")</f>
        <v/>
      </c>
      <c r="BF919">
        <f>IF(SUMIFS(T_PlannedOrders[EffectiveQty],T_PlannedOrders[Part Name],$A895,T_PlannedOrders[WeekIndex],55)=0,"",SUMIFS(T_PlannedOrders[EffectiveQty],T_PlannedOrders[Part Name],$A895,T_PlannedOrders[WeekIndex],55)&amp;" ("&amp;TEXT(SUMPRODUCT(MAX((T_PlannedOrders[Part Name]=$A895)*(T_PlannedOrders[WeekIndex]=55)*(T_PlannedOrders[EffectiveQty]&gt;0)*T_PlannedOrders[Order_Month])),"m月")&amp;"発注)")</f>
        <v/>
      </c>
      <c r="BG919">
        <f>IF(SUMIFS(T_PlannedOrders[EffectiveQty],T_PlannedOrders[Part Name],$A895,T_PlannedOrders[WeekIndex],56)=0,"",SUMIFS(T_PlannedOrders[EffectiveQty],T_PlannedOrders[Part Name],$A895,T_PlannedOrders[WeekIndex],56)&amp;" ("&amp;TEXT(SUMPRODUCT(MAX((T_PlannedOrders[Part Name]=$A895)*(T_PlannedOrders[WeekIndex]=56)*(T_PlannedOrders[EffectiveQty]&gt;0)*T_PlannedOrders[Order_Month])),"m月")&amp;"発注)")</f>
        <v/>
      </c>
      <c r="BH919">
        <f>IF(SUMIFS(T_PlannedOrders[EffectiveQty],T_PlannedOrders[Part Name],$A895,T_PlannedOrders[WeekIndex],57)=0,"",SUMIFS(T_PlannedOrders[EffectiveQty],T_PlannedOrders[Part Name],$A895,T_PlannedOrders[WeekIndex],57)&amp;" ("&amp;TEXT(SUMPRODUCT(MAX((T_PlannedOrders[Part Name]=$A895)*(T_PlannedOrders[WeekIndex]=57)*(T_PlannedOrders[EffectiveQty]&gt;0)*T_PlannedOrders[Order_Month])),"m月")&amp;"発注)")</f>
        <v/>
      </c>
      <c r="BI919">
        <f>IF(SUMIFS(T_PlannedOrders[EffectiveQty],T_PlannedOrders[Part Name],$A895,T_PlannedOrders[WeekIndex],58)=0,"",SUMIFS(T_PlannedOrders[EffectiveQty],T_PlannedOrders[Part Name],$A895,T_PlannedOrders[WeekIndex],58)&amp;" ("&amp;TEXT(SUMPRODUCT(MAX((T_PlannedOrders[Part Name]=$A895)*(T_PlannedOrders[WeekIndex]=58)*(T_PlannedOrders[EffectiveQty]&gt;0)*T_PlannedOrders[Order_Month])),"m月")&amp;"発注)")</f>
        <v/>
      </c>
      <c r="BJ919">
        <f>IF(SUMIFS(T_PlannedOrders[EffectiveQty],T_PlannedOrders[Part Name],$A895,T_PlannedOrders[WeekIndex],59)=0,"",SUMIFS(T_PlannedOrders[EffectiveQty],T_PlannedOrders[Part Name],$A895,T_PlannedOrders[WeekIndex],59)&amp;" ("&amp;TEXT(SUMPRODUCT(MAX((T_PlannedOrders[Part Name]=$A895)*(T_PlannedOrders[WeekIndex]=59)*(T_PlannedOrders[EffectiveQty]&gt;0)*T_PlannedOrders[Order_Month])),"m月")&amp;"発注)")</f>
        <v/>
      </c>
      <c r="BK919">
        <f>IF(SUMIFS(T_PlannedOrders[EffectiveQty],T_PlannedOrders[Part Name],$A895,T_PlannedOrders[WeekIndex],60)=0,"",SUMIFS(T_PlannedOrders[EffectiveQty],T_PlannedOrders[Part Name],$A895,T_PlannedOrders[WeekIndex],60)&amp;" ("&amp;TEXT(SUMPRODUCT(MAX((T_PlannedOrders[Part Name]=$A895)*(T_PlannedOrders[WeekIndex]=60)*(T_PlannedOrders[EffectiveQty]&gt;0)*T_PlannedOrders[Order_Month])),"m月")&amp;"発注)")</f>
        <v/>
      </c>
      <c r="BL919">
        <f>IF(SUMIFS(T_PlannedOrders[EffectiveQty],T_PlannedOrders[Part Name],$A895,T_PlannedOrders[WeekIndex],61)=0,"",SUMIFS(T_PlannedOrders[EffectiveQty],T_PlannedOrders[Part Name],$A895,T_PlannedOrders[WeekIndex],61)&amp;" ("&amp;TEXT(SUMPRODUCT(MAX((T_PlannedOrders[Part Name]=$A895)*(T_PlannedOrders[WeekIndex]=61)*(T_PlannedOrders[EffectiveQty]&gt;0)*T_PlannedOrders[Order_Month])),"m月")&amp;"発注)")</f>
        <v/>
      </c>
      <c r="BM919">
        <f>IF(SUMIFS(T_PlannedOrders[EffectiveQty],T_PlannedOrders[Part Name],$A895,T_PlannedOrders[WeekIndex],62)=0,"",SUMIFS(T_PlannedOrders[EffectiveQty],T_PlannedOrders[Part Name],$A895,T_PlannedOrders[WeekIndex],62)&amp;" ("&amp;TEXT(SUMPRODUCT(MAX((T_PlannedOrders[Part Name]=$A895)*(T_PlannedOrders[WeekIndex]=62)*(T_PlannedOrders[EffectiveQty]&gt;0)*T_PlannedOrders[Order_Month])),"m月")&amp;"発注)")</f>
        <v/>
      </c>
      <c r="BN919">
        <f>IF(SUMIFS(T_PlannedOrders[EffectiveQty],T_PlannedOrders[Part Name],$A895,T_PlannedOrders[WeekIndex],63)=0,"",SUMIFS(T_PlannedOrders[EffectiveQty],T_PlannedOrders[Part Name],$A895,T_PlannedOrders[WeekIndex],63)&amp;" ("&amp;TEXT(SUMPRODUCT(MAX((T_PlannedOrders[Part Name]=$A895)*(T_PlannedOrders[WeekIndex]=63)*(T_PlannedOrders[EffectiveQty]&gt;0)*T_PlannedOrders[Order_Month])),"m月")&amp;"発注)")</f>
        <v/>
      </c>
      <c r="BO919">
        <f>IF(SUMIFS(T_PlannedOrders[EffectiveQty],T_PlannedOrders[Part Name],$A895,T_PlannedOrders[WeekIndex],64)=0,"",SUMIFS(T_PlannedOrders[EffectiveQty],T_PlannedOrders[Part Name],$A895,T_PlannedOrders[WeekIndex],64)&amp;" ("&amp;TEXT(SUMPRODUCT(MAX((T_PlannedOrders[Part Name]=$A895)*(T_PlannedOrders[WeekIndex]=64)*(T_PlannedOrders[EffectiveQty]&gt;0)*T_PlannedOrders[Order_Month])),"m月")&amp;"発注)")</f>
        <v/>
      </c>
      <c r="BP919">
        <f>IF(SUMIFS(T_PlannedOrders[EffectiveQty],T_PlannedOrders[Part Name],$A895,T_PlannedOrders[WeekIndex],65)=0,"",SUMIFS(T_PlannedOrders[EffectiveQty],T_PlannedOrders[Part Name],$A895,T_PlannedOrders[WeekIndex],65)&amp;" ("&amp;TEXT(SUMPRODUCT(MAX((T_PlannedOrders[Part Name]=$A895)*(T_PlannedOrders[WeekIndex]=65)*(T_PlannedOrders[EffectiveQty]&gt;0)*T_PlannedOrders[Order_Month])),"m月")&amp;"発注)")</f>
        <v/>
      </c>
      <c r="BQ919">
        <f>IF(SUMIFS(T_PlannedOrders[EffectiveQty],T_PlannedOrders[Part Name],$A895,T_PlannedOrders[WeekIndex],66)=0,"",SUMIFS(T_PlannedOrders[EffectiveQty],T_PlannedOrders[Part Name],$A895,T_PlannedOrders[WeekIndex],66)&amp;" ("&amp;TEXT(SUMPRODUCT(MAX((T_PlannedOrders[Part Name]=$A895)*(T_PlannedOrders[WeekIndex]=66)*(T_PlannedOrders[EffectiveQty]&gt;0)*T_PlannedOrders[Order_Month])),"m月")&amp;"発注)")</f>
        <v/>
      </c>
      <c r="BR919">
        <f>IF(SUMIFS(T_PlannedOrders[EffectiveQty],T_PlannedOrders[Part Name],$A895,T_PlannedOrders[WeekIndex],67)=0,"",SUMIFS(T_PlannedOrders[EffectiveQty],T_PlannedOrders[Part Name],$A895,T_PlannedOrders[WeekIndex],67)&amp;" ("&amp;TEXT(SUMPRODUCT(MAX((T_PlannedOrders[Part Name]=$A895)*(T_PlannedOrders[WeekIndex]=67)*(T_PlannedOrders[EffectiveQty]&gt;0)*T_PlannedOrders[Order_Month])),"m月")&amp;"発注)")</f>
        <v/>
      </c>
      <c r="BS919">
        <f>IF(SUMIFS(T_PlannedOrders[EffectiveQty],T_PlannedOrders[Part Name],$A895,T_PlannedOrders[WeekIndex],68)=0,"",SUMIFS(T_PlannedOrders[EffectiveQty],T_PlannedOrders[Part Name],$A895,T_PlannedOrders[WeekIndex],68)&amp;" ("&amp;TEXT(SUMPRODUCT(MAX((T_PlannedOrders[Part Name]=$A895)*(T_PlannedOrders[WeekIndex]=68)*(T_PlannedOrders[EffectiveQty]&gt;0)*T_PlannedOrders[Order_Month])),"m月")&amp;"発注)")</f>
        <v/>
      </c>
      <c r="BT919">
        <f>IF(SUMIFS(T_PlannedOrders[EffectiveQty],T_PlannedOrders[Part Name],$A895,T_PlannedOrders[WeekIndex],69)=0,"",SUMIFS(T_PlannedOrders[EffectiveQty],T_PlannedOrders[Part Name],$A895,T_PlannedOrders[WeekIndex],69)&amp;" ("&amp;TEXT(SUMPRODUCT(MAX((T_PlannedOrders[Part Name]=$A895)*(T_PlannedOrders[WeekIndex]=69)*(T_PlannedOrders[EffectiveQty]&gt;0)*T_PlannedOrders[Order_Month])),"m月")&amp;"発注)")</f>
        <v/>
      </c>
      <c r="BU919">
        <f>IF(SUMIFS(T_PlannedOrders[EffectiveQty],T_PlannedOrders[Part Name],$A895,T_PlannedOrders[WeekIndex],70)=0,"",SUMIFS(T_PlannedOrders[EffectiveQty],T_PlannedOrders[Part Name],$A895,T_PlannedOrders[WeekIndex],70)&amp;" ("&amp;TEXT(SUMPRODUCT(MAX((T_PlannedOrders[Part Name]=$A895)*(T_PlannedOrders[WeekIndex]=70)*(T_PlannedOrders[EffectiveQty]&gt;0)*T_PlannedOrders[Order_Month])),"m月")&amp;"発注)")</f>
        <v/>
      </c>
      <c r="BV919">
        <f>IF(SUMIFS(T_PlannedOrders[EffectiveQty],T_PlannedOrders[Part Name],$A895,T_PlannedOrders[WeekIndex],71)=0,"",SUMIFS(T_PlannedOrders[EffectiveQty],T_PlannedOrders[Part Name],$A895,T_PlannedOrders[WeekIndex],71)&amp;" ("&amp;TEXT(SUMPRODUCT(MAX((T_PlannedOrders[Part Name]=$A895)*(T_PlannedOrders[WeekIndex]=71)*(T_PlannedOrders[EffectiveQty]&gt;0)*T_PlannedOrders[Order_Month])),"m月")&amp;"発注)")</f>
        <v/>
      </c>
      <c r="BW919">
        <f>IF(SUMIFS(T_PlannedOrders[EffectiveQty],T_PlannedOrders[Part Name],$A895,T_PlannedOrders[WeekIndex],72)=0,"",SUMIFS(T_PlannedOrders[EffectiveQty],T_PlannedOrders[Part Name],$A895,T_PlannedOrders[WeekIndex],72)&amp;" ("&amp;TEXT(SUMPRODUCT(MAX((T_PlannedOrders[Part Name]=$A895)*(T_PlannedOrders[WeekIndex]=72)*(T_PlannedOrders[EffectiveQty]&gt;0)*T_PlannedOrders[Order_Month])),"m月")&amp;"発注)")</f>
        <v/>
      </c>
      <c r="BX919">
        <f>IF(SUMIFS(T_PlannedOrders[EffectiveQty],T_PlannedOrders[Part Name],$A895,T_PlannedOrders[WeekIndex],73)=0,"",SUMIFS(T_PlannedOrders[EffectiveQty],T_PlannedOrders[Part Name],$A895,T_PlannedOrders[WeekIndex],73)&amp;" ("&amp;TEXT(SUMPRODUCT(MAX((T_PlannedOrders[Part Name]=$A895)*(T_PlannedOrders[WeekIndex]=73)*(T_PlannedOrders[EffectiveQty]&gt;0)*T_PlannedOrders[Order_Month])),"m月")&amp;"発注)")</f>
        <v/>
      </c>
      <c r="BY919">
        <f>IF(SUMIFS(T_PlannedOrders[EffectiveQty],T_PlannedOrders[Part Name],$A895,T_PlannedOrders[WeekIndex],74)=0,"",SUMIFS(T_PlannedOrders[EffectiveQty],T_PlannedOrders[Part Name],$A895,T_PlannedOrders[WeekIndex],74)&amp;" ("&amp;TEXT(SUMPRODUCT(MAX((T_PlannedOrders[Part Name]=$A895)*(T_PlannedOrders[WeekIndex]=74)*(T_PlannedOrders[EffectiveQty]&gt;0)*T_PlannedOrders[Order_Month])),"m月")&amp;"発注)")</f>
        <v/>
      </c>
      <c r="BZ919">
        <f>IF(SUMIFS(T_PlannedOrders[EffectiveQty],T_PlannedOrders[Part Name],$A895,T_PlannedOrders[WeekIndex],75)=0,"",SUMIFS(T_PlannedOrders[EffectiveQty],T_PlannedOrders[Part Name],$A895,T_PlannedOrders[WeekIndex],75)&amp;" ("&amp;TEXT(SUMPRODUCT(MAX((T_PlannedOrders[Part Name]=$A895)*(T_PlannedOrders[WeekIndex]=75)*(T_PlannedOrders[EffectiveQty]&gt;0)*T_PlannedOrders[Order_Month])),"m月")&amp;"発注)")</f>
        <v/>
      </c>
      <c r="CA919">
        <f>IF(SUMIFS(T_PlannedOrders[EffectiveQty],T_PlannedOrders[Part Name],$A895,T_PlannedOrders[WeekIndex],76)=0,"",SUMIFS(T_PlannedOrders[EffectiveQty],T_PlannedOrders[Part Name],$A895,T_PlannedOrders[WeekIndex],76)&amp;" ("&amp;TEXT(SUMPRODUCT(MAX((T_PlannedOrders[Part Name]=$A895)*(T_PlannedOrders[WeekIndex]=76)*(T_PlannedOrders[EffectiveQty]&gt;0)*T_PlannedOrders[Order_Month])),"m月")&amp;"発注)")</f>
        <v/>
      </c>
      <c r="CB919">
        <f>IF(SUMIFS(T_PlannedOrders[EffectiveQty],T_PlannedOrders[Part Name],$A895,T_PlannedOrders[WeekIndex],77)=0,"",SUMIFS(T_PlannedOrders[EffectiveQty],T_PlannedOrders[Part Name],$A895,T_PlannedOrders[WeekIndex],77)&amp;" ("&amp;TEXT(SUMPRODUCT(MAX((T_PlannedOrders[Part Name]=$A895)*(T_PlannedOrders[WeekIndex]=77)*(T_PlannedOrders[EffectiveQty]&gt;0)*T_PlannedOrders[Order_Month])),"m月")&amp;"発注)")</f>
        <v/>
      </c>
      <c r="CC919">
        <f>IF(SUMIFS(T_PlannedOrders[EffectiveQty],T_PlannedOrders[Part Name],$A895,T_PlannedOrders[WeekIndex],78)=0,"",SUMIFS(T_PlannedOrders[EffectiveQty],T_PlannedOrders[Part Name],$A895,T_PlannedOrders[WeekIndex],78)&amp;" ("&amp;TEXT(SUMPRODUCT(MAX((T_PlannedOrders[Part Name]=$A895)*(T_PlannedOrders[WeekIndex]=78)*(T_PlannedOrders[EffectiveQty]&gt;0)*T_PlannedOrders[Order_Month])),"m月")&amp;"発注)")</f>
        <v/>
      </c>
      <c r="CD919">
        <f>IF(SUMIFS(T_PlannedOrders[EffectiveQty],T_PlannedOrders[Part Name],$A895,T_PlannedOrders[WeekIndex],79)=0,"",SUMIFS(T_PlannedOrders[EffectiveQty],T_PlannedOrders[Part Name],$A895,T_PlannedOrders[WeekIndex],79)&amp;" ("&amp;TEXT(SUMPRODUCT(MAX((T_PlannedOrders[Part Name]=$A895)*(T_PlannedOrders[WeekIndex]=79)*(T_PlannedOrders[EffectiveQty]&gt;0)*T_PlannedOrders[Order_Month])),"m月")&amp;"発注)")</f>
        <v/>
      </c>
      <c r="CE919">
        <f>IF(SUMIFS(T_PlannedOrders[EffectiveQty],T_PlannedOrders[Part Name],$A895,T_PlannedOrders[WeekIndex],80)=0,"",SUMIFS(T_PlannedOrders[EffectiveQty],T_PlannedOrders[Part Name],$A895,T_PlannedOrders[WeekIndex],80)&amp;" ("&amp;TEXT(SUMPRODUCT(MAX((T_PlannedOrders[Part Name]=$A895)*(T_PlannedOrders[WeekIndex]=80)*(T_PlannedOrders[EffectiveQty]&gt;0)*T_PlannedOrders[Order_Month])),"m月")&amp;"発注)")</f>
        <v/>
      </c>
      <c r="CF919">
        <f>IF(SUMIFS(T_PlannedOrders[EffectiveQty],T_PlannedOrders[Part Name],$A895,T_PlannedOrders[WeekIndex],81)=0,"",SUMIFS(T_PlannedOrders[EffectiveQty],T_PlannedOrders[Part Name],$A895,T_PlannedOrders[WeekIndex],81)&amp;" ("&amp;TEXT(SUMPRODUCT(MAX((T_PlannedOrders[Part Name]=$A895)*(T_PlannedOrders[WeekIndex]=81)*(T_PlannedOrders[EffectiveQty]&gt;0)*T_PlannedOrders[Order_Month])),"m月")&amp;"発注)")</f>
        <v/>
      </c>
      <c r="CG919">
        <f>IF(SUMIFS(T_PlannedOrders[EffectiveQty],T_PlannedOrders[Part Name],$A895,T_PlannedOrders[WeekIndex],82)=0,"",SUMIFS(T_PlannedOrders[EffectiveQty],T_PlannedOrders[Part Name],$A895,T_PlannedOrders[WeekIndex],82)&amp;" ("&amp;TEXT(SUMPRODUCT(MAX((T_PlannedOrders[Part Name]=$A895)*(T_PlannedOrders[WeekIndex]=82)*(T_PlannedOrders[EffectiveQty]&gt;0)*T_PlannedOrders[Order_Month])),"m月")&amp;"発注)")</f>
        <v/>
      </c>
      <c r="CH919">
        <f>IF(SUMIFS(T_PlannedOrders[EffectiveQty],T_PlannedOrders[Part Name],$A895,T_PlannedOrders[WeekIndex],83)=0,"",SUMIFS(T_PlannedOrders[EffectiveQty],T_PlannedOrders[Part Name],$A895,T_PlannedOrders[WeekIndex],83)&amp;" ("&amp;TEXT(SUMPRODUCT(MAX((T_PlannedOrders[Part Name]=$A895)*(T_PlannedOrders[WeekIndex]=83)*(T_PlannedOrders[EffectiveQty]&gt;0)*T_PlannedOrders[Order_Month])),"m月")&amp;"発注)")</f>
        <v/>
      </c>
      <c r="CI919">
        <f>IF(SUMIFS(T_PlannedOrders[EffectiveQty],T_PlannedOrders[Part Name],$A895,T_PlannedOrders[WeekIndex],84)=0,"",SUMIFS(T_PlannedOrders[EffectiveQty],T_PlannedOrders[Part Name],$A895,T_PlannedOrders[WeekIndex],84)&amp;" ("&amp;TEXT(SUMPRODUCT(MAX((T_PlannedOrders[Part Name]=$A895)*(T_PlannedOrders[WeekIndex]=84)*(T_PlannedOrders[EffectiveQty]&gt;0)*T_PlannedOrders[Order_Month])),"m月")&amp;"発注)")</f>
        <v/>
      </c>
      <c r="CJ919">
        <f>IF(SUMIFS(T_PlannedOrders[EffectiveQty],T_PlannedOrders[Part Name],$A895,T_PlannedOrders[WeekIndex],85)=0,"",SUMIFS(T_PlannedOrders[EffectiveQty],T_PlannedOrders[Part Name],$A895,T_PlannedOrders[WeekIndex],85)&amp;" ("&amp;TEXT(SUMPRODUCT(MAX((T_PlannedOrders[Part Name]=$A895)*(T_PlannedOrders[WeekIndex]=85)*(T_PlannedOrders[EffectiveQty]&gt;0)*T_PlannedOrders[Order_Month])),"m月")&amp;"発注)")</f>
        <v/>
      </c>
      <c r="CK919">
        <f>IF(SUMIFS(T_PlannedOrders[EffectiveQty],T_PlannedOrders[Part Name],$A895,T_PlannedOrders[WeekIndex],86)=0,"",SUMIFS(T_PlannedOrders[EffectiveQty],T_PlannedOrders[Part Name],$A895,T_PlannedOrders[WeekIndex],86)&amp;" ("&amp;TEXT(SUMPRODUCT(MAX((T_PlannedOrders[Part Name]=$A895)*(T_PlannedOrders[WeekIndex]=86)*(T_PlannedOrders[EffectiveQty]&gt;0)*T_PlannedOrders[Order_Month])),"m月")&amp;"発注)")</f>
        <v/>
      </c>
      <c r="CL919">
        <f>IF(SUMIFS(T_PlannedOrders[EffectiveQty],T_PlannedOrders[Part Name],$A895,T_PlannedOrders[WeekIndex],87)=0,"",SUMIFS(T_PlannedOrders[EffectiveQty],T_PlannedOrders[Part Name],$A895,T_PlannedOrders[WeekIndex],87)&amp;" ("&amp;TEXT(SUMPRODUCT(MAX((T_PlannedOrders[Part Name]=$A895)*(T_PlannedOrders[WeekIndex]=87)*(T_PlannedOrders[EffectiveQty]&gt;0)*T_PlannedOrders[Order_Month])),"m月")&amp;"発注)")</f>
        <v/>
      </c>
      <c r="CM919">
        <f>IF(SUMIFS(T_PlannedOrders[EffectiveQty],T_PlannedOrders[Part Name],$A895,T_PlannedOrders[WeekIndex],88)=0,"",SUMIFS(T_PlannedOrders[EffectiveQty],T_PlannedOrders[Part Name],$A895,T_PlannedOrders[WeekIndex],88)&amp;" ("&amp;TEXT(SUMPRODUCT(MAX((T_PlannedOrders[Part Name]=$A895)*(T_PlannedOrders[WeekIndex]=88)*(T_PlannedOrders[EffectiveQty]&gt;0)*T_PlannedOrders[Order_Month])),"m月")&amp;"発注)")</f>
        <v/>
      </c>
      <c r="CN919">
        <f>IF(SUMIFS(T_PlannedOrders[EffectiveQty],T_PlannedOrders[Part Name],$A895,T_PlannedOrders[WeekIndex],89)=0,"",SUMIFS(T_PlannedOrders[EffectiveQty],T_PlannedOrders[Part Name],$A895,T_PlannedOrders[WeekIndex],89)&amp;" ("&amp;TEXT(SUMPRODUCT(MAX((T_PlannedOrders[Part Name]=$A895)*(T_PlannedOrders[WeekIndex]=89)*(T_PlannedOrders[EffectiveQty]&gt;0)*T_PlannedOrders[Order_Month])),"m月")&amp;"発注)")</f>
        <v/>
      </c>
      <c r="CO919">
        <f>IF(SUMIFS(T_PlannedOrders[EffectiveQty],T_PlannedOrders[Part Name],$A895,T_PlannedOrders[WeekIndex],90)=0,"",SUMIFS(T_PlannedOrders[EffectiveQty],T_PlannedOrders[Part Name],$A895,T_PlannedOrders[WeekIndex],90)&amp;" ("&amp;TEXT(SUMPRODUCT(MAX((T_PlannedOrders[Part Name]=$A895)*(T_PlannedOrders[WeekIndex]=90)*(T_PlannedOrders[EffectiveQty]&gt;0)*T_PlannedOrders[Order_Month])),"m月")&amp;"発注)")</f>
        <v/>
      </c>
      <c r="CP919">
        <f>IF(SUMIFS(T_PlannedOrders[EffectiveQty],T_PlannedOrders[Part Name],$A895,T_PlannedOrders[WeekIndex],91)=0,"",SUMIFS(T_PlannedOrders[EffectiveQty],T_PlannedOrders[Part Name],$A895,T_PlannedOrders[WeekIndex],91)&amp;" ("&amp;TEXT(SUMPRODUCT(MAX((T_PlannedOrders[Part Name]=$A895)*(T_PlannedOrders[WeekIndex]=91)*(T_PlannedOrders[EffectiveQty]&gt;0)*T_PlannedOrders[Order_Month])),"m月")&amp;"発注)")</f>
        <v/>
      </c>
      <c r="CQ919">
        <f>IF(SUMIFS(T_PlannedOrders[EffectiveQty],T_PlannedOrders[Part Name],$A895,T_PlannedOrders[WeekIndex],92)=0,"",SUMIFS(T_PlannedOrders[EffectiveQty],T_PlannedOrders[Part Name],$A895,T_PlannedOrders[WeekIndex],92)&amp;" ("&amp;TEXT(SUMPRODUCT(MAX((T_PlannedOrders[Part Name]=$A895)*(T_PlannedOrders[WeekIndex]=92)*(T_PlannedOrders[EffectiveQty]&gt;0)*T_PlannedOrders[Order_Month])),"m月")&amp;"発注)")</f>
        <v/>
      </c>
      <c r="CR919">
        <f>IF(SUMIFS(T_PlannedOrders[EffectiveQty],T_PlannedOrders[Part Name],$A895,T_PlannedOrders[WeekIndex],93)=0,"",SUMIFS(T_PlannedOrders[EffectiveQty],T_PlannedOrders[Part Name],$A895,T_PlannedOrders[WeekIndex],93)&amp;" ("&amp;TEXT(SUMPRODUCT(MAX((T_PlannedOrders[Part Name]=$A895)*(T_PlannedOrders[WeekIndex]=93)*(T_PlannedOrders[EffectiveQty]&gt;0)*T_PlannedOrders[Order_Month])),"m月")&amp;"発注)")</f>
        <v/>
      </c>
      <c r="CS919">
        <f>IF(SUMIFS(T_PlannedOrders[EffectiveQty],T_PlannedOrders[Part Name],$A895,T_PlannedOrders[WeekIndex],94)=0,"",SUMIFS(T_PlannedOrders[EffectiveQty],T_PlannedOrders[Part Name],$A895,T_PlannedOrders[WeekIndex],94)&amp;" ("&amp;TEXT(SUMPRODUCT(MAX((T_PlannedOrders[Part Name]=$A895)*(T_PlannedOrders[WeekIndex]=94)*(T_PlannedOrders[EffectiveQty]&gt;0)*T_PlannedOrders[Order_Month])),"m月")&amp;"発注)")</f>
        <v/>
      </c>
      <c r="CT919">
        <f>IF(SUMIFS(T_PlannedOrders[EffectiveQty],T_PlannedOrders[Part Name],$A895,T_PlannedOrders[WeekIndex],95)=0,"",SUMIFS(T_PlannedOrders[EffectiveQty],T_PlannedOrders[Part Name],$A895,T_PlannedOrders[WeekIndex],95)&amp;" ("&amp;TEXT(SUMPRODUCT(MAX((T_PlannedOrders[Part Name]=$A895)*(T_PlannedOrders[WeekIndex]=95)*(T_PlannedOrders[EffectiveQty]&gt;0)*T_PlannedOrders[Order_Month])),"m月")&amp;"発注)")</f>
        <v/>
      </c>
      <c r="CU919">
        <f>IF(SUMIFS(T_PlannedOrders[EffectiveQty],T_PlannedOrders[Part Name],$A895,T_PlannedOrders[WeekIndex],96)=0,"",SUMIFS(T_PlannedOrders[EffectiveQty],T_PlannedOrders[Part Name],$A895,T_PlannedOrders[WeekIndex],96)&amp;" ("&amp;TEXT(SUMPRODUCT(MAX((T_PlannedOrders[Part Name]=$A895)*(T_PlannedOrders[WeekIndex]=96)*(T_PlannedOrders[EffectiveQty]&gt;0)*T_PlannedOrders[Order_Month])),"m月")&amp;"発注)")</f>
        <v/>
      </c>
      <c r="CV919">
        <f>IF(SUMIFS(T_PlannedOrders[EffectiveQty],T_PlannedOrders[Part Name],$A895,T_PlannedOrders[WeekIndex],97)=0,"",SUMIFS(T_PlannedOrders[EffectiveQty],T_PlannedOrders[Part Name],$A895,T_PlannedOrders[WeekIndex],97)&amp;" ("&amp;TEXT(SUMPRODUCT(MAX((T_PlannedOrders[Part Name]=$A895)*(T_PlannedOrders[WeekIndex]=97)*(T_PlannedOrders[EffectiveQty]&gt;0)*T_PlannedOrders[Order_Month])),"m月")&amp;"発注)")</f>
        <v/>
      </c>
      <c r="CW919">
        <f>IF(SUMIFS(T_PlannedOrders[EffectiveQty],T_PlannedOrders[Part Name],$A895,T_PlannedOrders[WeekIndex],98)=0,"",SUMIFS(T_PlannedOrders[EffectiveQty],T_PlannedOrders[Part Name],$A895,T_PlannedOrders[WeekIndex],98)&amp;" ("&amp;TEXT(SUMPRODUCT(MAX((T_PlannedOrders[Part Name]=$A895)*(T_PlannedOrders[WeekIndex]=98)*(T_PlannedOrders[EffectiveQty]&gt;0)*T_PlannedOrders[Order_Month])),"m月")&amp;"発注)")</f>
        <v/>
      </c>
      <c r="CX919">
        <f>IF(SUMIFS(T_PlannedOrders[EffectiveQty],T_PlannedOrders[Part Name],$A895,T_PlannedOrders[WeekIndex],99)=0,"",SUMIFS(T_PlannedOrders[EffectiveQty],T_PlannedOrders[Part Name],$A895,T_PlannedOrders[WeekIndex],99)&amp;" ("&amp;TEXT(SUMPRODUCT(MAX((T_PlannedOrders[Part Name]=$A895)*(T_PlannedOrders[WeekIndex]=99)*(T_PlannedOrders[EffectiveQty]&gt;0)*T_PlannedOrders[Order_Month])),"m月")&amp;"発注)")</f>
        <v/>
      </c>
      <c r="CY919">
        <f>IF(SUMIFS(T_PlannedOrders[EffectiveQty],T_PlannedOrders[Part Name],$A895,T_PlannedOrders[WeekIndex],100)=0,"",SUMIFS(T_PlannedOrders[EffectiveQty],T_PlannedOrders[Part Name],$A895,T_PlannedOrders[WeekIndex],100)&amp;" ("&amp;TEXT(SUMPRODUCT(MAX((T_PlannedOrders[Part Name]=$A895)*(T_PlannedOrders[WeekIndex]=100)*(T_PlannedOrders[EffectiveQty]&gt;0)*T_PlannedOrders[Order_Month])),"m月")&amp;"発注)")</f>
        <v/>
      </c>
      <c r="CZ919">
        <f>IF(SUMIFS(T_PlannedOrders[EffectiveQty],T_PlannedOrders[Part Name],$A895,T_PlannedOrders[WeekIndex],101)=0,"",SUMIFS(T_PlannedOrders[EffectiveQty],T_PlannedOrders[Part Name],$A895,T_PlannedOrders[WeekIndex],101)&amp;" ("&amp;TEXT(SUMPRODUCT(MAX((T_PlannedOrders[Part Name]=$A895)*(T_PlannedOrders[WeekIndex]=101)*(T_PlannedOrders[EffectiveQty]&gt;0)*T_PlannedOrders[Order_Month])),"m月")&amp;"発注)")</f>
        <v/>
      </c>
      <c r="DA919">
        <f>IF(SUMIFS(T_PlannedOrders[EffectiveQty],T_PlannedOrders[Part Name],$A895,T_PlannedOrders[WeekIndex],102)=0,"",SUMIFS(T_PlannedOrders[EffectiveQty],T_PlannedOrders[Part Name],$A895,T_PlannedOrders[WeekIndex],102)&amp;" ("&amp;TEXT(SUMPRODUCT(MAX((T_PlannedOrders[Part Name]=$A895)*(T_PlannedOrders[WeekIndex]=102)*(T_PlannedOrders[EffectiveQty]&gt;0)*T_PlannedOrders[Order_Month])),"m月")&amp;"発注)")</f>
        <v/>
      </c>
      <c r="DB919">
        <f>IF(SUMIFS(T_PlannedOrders[EffectiveQty],T_PlannedOrders[Part Name],$A895,T_PlannedOrders[WeekIndex],103)=0,"",SUMIFS(T_PlannedOrders[EffectiveQty],T_PlannedOrders[Part Name],$A895,T_PlannedOrders[WeekIndex],103)&amp;" ("&amp;TEXT(SUMPRODUCT(MAX((T_PlannedOrders[Part Name]=$A895)*(T_PlannedOrders[WeekIndex]=103)*(T_PlannedOrders[EffectiveQty]&gt;0)*T_PlannedOrders[Order_Month])),"m月")&amp;"発注)")</f>
        <v/>
      </c>
      <c r="DC919">
        <f>IF(SUMIFS(T_PlannedOrders[EffectiveQty],T_PlannedOrders[Part Name],$A895,T_PlannedOrders[WeekIndex],104)=0,"",SUMIFS(T_PlannedOrders[EffectiveQty],T_PlannedOrders[Part Name],$A895,T_PlannedOrders[WeekIndex],104)&amp;" ("&amp;TEXT(SUMPRODUCT(MAX((T_PlannedOrders[Part Name]=$A895)*(T_PlannedOrders[WeekIndex]=104)*(T_PlannedOrders[EffectiveQty]&gt;0)*T_PlannedOrders[Order_Month])),"m月")&amp;"発注)")</f>
        <v/>
      </c>
    </row>
    <row r="920">
      <c r="B920" s="9" t="inlineStr">
        <is>
          <t>合計在庫(週末時点,kg)</t>
        </is>
      </c>
      <c r="D920">
        <f>'Grid_Stock'!B4</f>
        <v/>
      </c>
      <c r="E920">
        <f>'Grid_Stock'!C4</f>
        <v/>
      </c>
      <c r="F920">
        <f>'Grid_Stock'!D4</f>
        <v/>
      </c>
      <c r="G920">
        <f>'Grid_Stock'!E4</f>
        <v/>
      </c>
      <c r="H920">
        <f>'Grid_Stock'!F4</f>
        <v/>
      </c>
      <c r="I920">
        <f>'Grid_Stock'!G4</f>
        <v/>
      </c>
      <c r="J920">
        <f>'Grid_Stock'!H4</f>
        <v/>
      </c>
      <c r="K920">
        <f>'Grid_Stock'!I4</f>
        <v/>
      </c>
      <c r="L920">
        <f>'Grid_Stock'!J4</f>
        <v/>
      </c>
      <c r="M920">
        <f>'Grid_Stock'!K4</f>
        <v/>
      </c>
      <c r="N920">
        <f>'Grid_Stock'!L4</f>
        <v/>
      </c>
      <c r="O920">
        <f>'Grid_Stock'!M4</f>
        <v/>
      </c>
      <c r="P920">
        <f>'Grid_Stock'!N4</f>
        <v/>
      </c>
      <c r="Q920">
        <f>'Grid_Stock'!O4</f>
        <v/>
      </c>
      <c r="R920">
        <f>'Grid_Stock'!P4</f>
        <v/>
      </c>
      <c r="S920">
        <f>'Grid_Stock'!Q4</f>
        <v/>
      </c>
      <c r="T920">
        <f>'Grid_Stock'!R4</f>
        <v/>
      </c>
      <c r="U920">
        <f>'Grid_Stock'!S4</f>
        <v/>
      </c>
      <c r="V920">
        <f>'Grid_Stock'!T4</f>
        <v/>
      </c>
      <c r="W920">
        <f>'Grid_Stock'!U4</f>
        <v/>
      </c>
      <c r="X920">
        <f>'Grid_Stock'!V4</f>
        <v/>
      </c>
      <c r="Y920">
        <f>'Grid_Stock'!W4</f>
        <v/>
      </c>
      <c r="Z920">
        <f>'Grid_Stock'!X4</f>
        <v/>
      </c>
      <c r="AA920">
        <f>'Grid_Stock'!Y4</f>
        <v/>
      </c>
      <c r="AB920">
        <f>'Grid_Stock'!Z4</f>
        <v/>
      </c>
      <c r="AC920">
        <f>'Grid_Stock'!AA4</f>
        <v/>
      </c>
      <c r="AD920">
        <f>'Grid_Stock'!AB4</f>
        <v/>
      </c>
      <c r="AE920">
        <f>'Grid_Stock'!AC4</f>
        <v/>
      </c>
      <c r="AF920">
        <f>'Grid_Stock'!AD4</f>
        <v/>
      </c>
      <c r="AG920">
        <f>'Grid_Stock'!AE4</f>
        <v/>
      </c>
      <c r="AH920">
        <f>'Grid_Stock'!AF4</f>
        <v/>
      </c>
      <c r="AI920">
        <f>'Grid_Stock'!AG4</f>
        <v/>
      </c>
      <c r="AJ920">
        <f>'Grid_Stock'!AH4</f>
        <v/>
      </c>
      <c r="AK920">
        <f>'Grid_Stock'!AI4</f>
        <v/>
      </c>
      <c r="AL920">
        <f>'Grid_Stock'!AJ4</f>
        <v/>
      </c>
      <c r="AM920">
        <f>'Grid_Stock'!AK4</f>
        <v/>
      </c>
      <c r="AN920">
        <f>'Grid_Stock'!AL4</f>
        <v/>
      </c>
      <c r="AO920">
        <f>'Grid_Stock'!AM4</f>
        <v/>
      </c>
      <c r="AP920">
        <f>'Grid_Stock'!AN4</f>
        <v/>
      </c>
      <c r="AQ920">
        <f>'Grid_Stock'!AO4</f>
        <v/>
      </c>
      <c r="AR920">
        <f>'Grid_Stock'!AP4</f>
        <v/>
      </c>
      <c r="AS920">
        <f>'Grid_Stock'!AQ4</f>
        <v/>
      </c>
      <c r="AT920">
        <f>'Grid_Stock'!AR4</f>
        <v/>
      </c>
      <c r="AU920">
        <f>'Grid_Stock'!AS4</f>
        <v/>
      </c>
      <c r="AV920">
        <f>'Grid_Stock'!AT4</f>
        <v/>
      </c>
      <c r="AW920">
        <f>'Grid_Stock'!AU4</f>
        <v/>
      </c>
      <c r="AX920">
        <f>'Grid_Stock'!AV4</f>
        <v/>
      </c>
      <c r="AY920">
        <f>'Grid_Stock'!AW4</f>
        <v/>
      </c>
      <c r="AZ920">
        <f>'Grid_Stock'!AX4</f>
        <v/>
      </c>
      <c r="BA920">
        <f>'Grid_Stock'!AY4</f>
        <v/>
      </c>
      <c r="BB920">
        <f>'Grid_Stock'!AZ4</f>
        <v/>
      </c>
      <c r="BC920">
        <f>'Grid_Stock'!BA4</f>
        <v/>
      </c>
      <c r="BD920">
        <f>'Grid_Stock'!BB4</f>
        <v/>
      </c>
      <c r="BE920">
        <f>'Grid_Stock'!BC4</f>
        <v/>
      </c>
      <c r="BF920">
        <f>'Grid_Stock'!BD4</f>
        <v/>
      </c>
      <c r="BG920">
        <f>'Grid_Stock'!BE4</f>
        <v/>
      </c>
      <c r="BH920">
        <f>'Grid_Stock'!BF4</f>
        <v/>
      </c>
      <c r="BI920">
        <f>'Grid_Stock'!BG4</f>
        <v/>
      </c>
      <c r="BJ920">
        <f>'Grid_Stock'!BH4</f>
        <v/>
      </c>
      <c r="BK920">
        <f>'Grid_Stock'!BI4</f>
        <v/>
      </c>
      <c r="BL920">
        <f>'Grid_Stock'!BJ4</f>
        <v/>
      </c>
      <c r="BM920">
        <f>'Grid_Stock'!BK4</f>
        <v/>
      </c>
      <c r="BN920">
        <f>'Grid_Stock'!BL4</f>
        <v/>
      </c>
      <c r="BO920">
        <f>'Grid_Stock'!BM4</f>
        <v/>
      </c>
      <c r="BP920">
        <f>'Grid_Stock'!BN4</f>
        <v/>
      </c>
      <c r="BQ920">
        <f>'Grid_Stock'!BO4</f>
        <v/>
      </c>
      <c r="BR920">
        <f>'Grid_Stock'!BP4</f>
        <v/>
      </c>
      <c r="BS920">
        <f>'Grid_Stock'!BQ4</f>
        <v/>
      </c>
      <c r="BT920">
        <f>'Grid_Stock'!BR4</f>
        <v/>
      </c>
      <c r="BU920">
        <f>'Grid_Stock'!BS4</f>
        <v/>
      </c>
      <c r="BV920">
        <f>'Grid_Stock'!BT4</f>
        <v/>
      </c>
      <c r="BW920">
        <f>'Grid_Stock'!BU4</f>
        <v/>
      </c>
      <c r="BX920">
        <f>'Grid_Stock'!BV4</f>
        <v/>
      </c>
      <c r="BY920">
        <f>'Grid_Stock'!BW4</f>
        <v/>
      </c>
      <c r="BZ920">
        <f>'Grid_Stock'!BX4</f>
        <v/>
      </c>
      <c r="CA920">
        <f>'Grid_Stock'!BY4</f>
        <v/>
      </c>
      <c r="CB920">
        <f>'Grid_Stock'!BZ4</f>
        <v/>
      </c>
      <c r="CC920">
        <f>'Grid_Stock'!CA4</f>
        <v/>
      </c>
      <c r="CD920">
        <f>'Grid_Stock'!CB4</f>
        <v/>
      </c>
      <c r="CE920">
        <f>'Grid_Stock'!CC4</f>
        <v/>
      </c>
      <c r="CF920">
        <f>'Grid_Stock'!CD4</f>
        <v/>
      </c>
      <c r="CG920">
        <f>'Grid_Stock'!CE4</f>
        <v/>
      </c>
      <c r="CH920">
        <f>'Grid_Stock'!CF4</f>
        <v/>
      </c>
      <c r="CI920">
        <f>'Grid_Stock'!CG4</f>
        <v/>
      </c>
      <c r="CJ920">
        <f>'Grid_Stock'!CH4</f>
        <v/>
      </c>
      <c r="CK920">
        <f>'Grid_Stock'!CI4</f>
        <v/>
      </c>
      <c r="CL920">
        <f>'Grid_Stock'!CJ4</f>
        <v/>
      </c>
      <c r="CM920">
        <f>'Grid_Stock'!CK4</f>
        <v/>
      </c>
      <c r="CN920">
        <f>'Grid_Stock'!CL4</f>
        <v/>
      </c>
      <c r="CO920">
        <f>'Grid_Stock'!CM4</f>
        <v/>
      </c>
      <c r="CP920">
        <f>'Grid_Stock'!CN4</f>
        <v/>
      </c>
      <c r="CQ920">
        <f>'Grid_Stock'!CO4</f>
        <v/>
      </c>
      <c r="CR920">
        <f>'Grid_Stock'!CP4</f>
        <v/>
      </c>
      <c r="CS920">
        <f>'Grid_Stock'!CQ4</f>
        <v/>
      </c>
      <c r="CT920">
        <f>'Grid_Stock'!CR4</f>
        <v/>
      </c>
      <c r="CU920">
        <f>'Grid_Stock'!CS4</f>
        <v/>
      </c>
      <c r="CV920">
        <f>'Grid_Stock'!CT4</f>
        <v/>
      </c>
      <c r="CW920">
        <f>'Grid_Stock'!CU4</f>
        <v/>
      </c>
      <c r="CX920">
        <f>'Grid_Stock'!CV4</f>
        <v/>
      </c>
      <c r="CY920">
        <f>'Grid_Stock'!CW4</f>
        <v/>
      </c>
      <c r="CZ920">
        <f>'Grid_Stock'!CX4</f>
        <v/>
      </c>
      <c r="DA920">
        <f>'Grid_Stock'!CY4</f>
        <v/>
      </c>
      <c r="DB920">
        <f>'Grid_Stock'!CZ4</f>
        <v/>
      </c>
      <c r="DC920">
        <f>'Grid_Stock'!DA4</f>
        <v/>
      </c>
    </row>
    <row r="921">
      <c r="B921" s="21" t="inlineStr">
        <is>
          <t>（発注の目安はDashboardの基準在庫[下限/上限]と色分けを参照）</t>
        </is>
      </c>
    </row>
    <row r="923">
      <c r="A923" s="19" t="inlineStr">
        <is>
          <t>CHEM-1720</t>
        </is>
      </c>
      <c r="B923" s="19" t="inlineStr">
        <is>
          <t>CeZr oxide(TPZ-868)</t>
        </is>
      </c>
      <c r="C923" s="20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/>
      <c r="Z923" s="19" t="n"/>
      <c r="AA923" s="19" t="n"/>
      <c r="AB923" s="19" t="n"/>
      <c r="AC923" s="19" t="n"/>
      <c r="AD923" s="19" t="n"/>
      <c r="AE923" s="19" t="n"/>
      <c r="AF923" s="19" t="n"/>
      <c r="AG923" s="19" t="n"/>
      <c r="AH923" s="19" t="n"/>
      <c r="AI923" s="19" t="n"/>
      <c r="AJ923" s="19" t="n"/>
      <c r="AK923" s="19" t="n"/>
      <c r="AL923" s="19" t="n"/>
      <c r="AM923" s="19" t="n"/>
      <c r="AN923" s="19" t="n"/>
      <c r="AO923" s="19" t="n"/>
      <c r="AP923" s="19" t="n"/>
      <c r="AQ923" s="19" t="n"/>
      <c r="AR923" s="19" t="n"/>
      <c r="AS923" s="19" t="n"/>
      <c r="AT923" s="19" t="n"/>
      <c r="AU923" s="19" t="n"/>
      <c r="AV923" s="19" t="n"/>
      <c r="AW923" s="19" t="n"/>
      <c r="AX923" s="19" t="n"/>
      <c r="AY923" s="19" t="n"/>
      <c r="AZ923" s="19" t="n"/>
      <c r="BA923" s="19" t="n"/>
      <c r="BB923" s="19" t="n"/>
      <c r="BC923" s="19" t="n"/>
      <c r="BD923" s="19" t="n"/>
      <c r="BE923" s="19" t="n"/>
      <c r="BF923" s="19" t="n"/>
      <c r="BG923" s="19" t="n"/>
      <c r="BH923" s="19" t="n"/>
      <c r="BI923" s="19" t="n"/>
      <c r="BJ923" s="19" t="n"/>
      <c r="BK923" s="19" t="n"/>
      <c r="BL923" s="19" t="n"/>
      <c r="BM923" s="19" t="n"/>
      <c r="BN923" s="19" t="n"/>
      <c r="BO923" s="19" t="n"/>
      <c r="BP923" s="19" t="n"/>
      <c r="BQ923" s="19" t="n"/>
      <c r="BR923" s="19" t="n"/>
      <c r="BS923" s="19" t="n"/>
      <c r="BT923" s="19" t="n"/>
      <c r="BU923" s="19" t="n"/>
      <c r="BV923" s="19" t="n"/>
      <c r="BW923" s="19" t="n"/>
      <c r="BX923" s="19" t="n"/>
      <c r="BY923" s="19" t="n"/>
      <c r="BZ923" s="19" t="n"/>
      <c r="CA923" s="19" t="n"/>
      <c r="CB923" s="19" t="n"/>
      <c r="CC923" s="19" t="n"/>
      <c r="CD923" s="19" t="n"/>
      <c r="CE923" s="19" t="n"/>
      <c r="CF923" s="19" t="n"/>
      <c r="CG923" s="19" t="n"/>
      <c r="CH923" s="19" t="n"/>
      <c r="CI923" s="19" t="n"/>
      <c r="CJ923" s="19" t="n"/>
      <c r="CK923" s="19" t="n"/>
      <c r="CL923" s="19" t="n"/>
      <c r="CM923" s="19" t="n"/>
      <c r="CN923" s="19" t="n"/>
      <c r="CO923" s="19" t="n"/>
      <c r="CP923" s="19" t="n"/>
      <c r="CQ923" s="19" t="n"/>
      <c r="CR923" s="19" t="n"/>
      <c r="CS923" s="19" t="n"/>
      <c r="CT923" s="19" t="n"/>
      <c r="CU923" s="19" t="n"/>
      <c r="CV923" s="19" t="n"/>
      <c r="CW923" s="19" t="n"/>
      <c r="CX923" s="19" t="n"/>
      <c r="CY923" s="19" t="n"/>
      <c r="CZ923" s="19" t="n"/>
      <c r="DA923" s="19" t="n"/>
      <c r="DB923" s="19" t="n"/>
      <c r="DC923" s="19" t="n"/>
    </row>
    <row r="924">
      <c r="B924" t="inlineStr">
        <is>
          <t>TSP-927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12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Name],$A923)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TSP-928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Name],$A923)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TSP-929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Name],$A923)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TSP-930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Name],$A923)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TSP-934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Name],$A923)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TSP-935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12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Name],$A923)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TSP-936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12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Name],$A923)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TSP-937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12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Name],$A923)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TSP-1444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12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Name],$A923)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TSP-1448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Name],$A923)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TSP-1445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Name],$A923)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TSP-1446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12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Name],$A923)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TSP-1449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12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Name],$A923)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t="inlineStr">
        <is>
          <t>TSP-1499</t>
        </is>
      </c>
      <c r="C950" t="inlineStr">
        <is>
          <t>No. of batches</t>
        </is>
      </c>
      <c r="D950">
        <f>IFERROR(INDEX(PP_Grid[#Data],$DD950,2),0)</f>
        <v/>
      </c>
      <c r="E950">
        <f>IFERROR(INDEX(PP_Grid[#Data],$DD950,3),0)</f>
        <v/>
      </c>
      <c r="F950">
        <f>IFERROR(INDEX(PP_Grid[#Data],$DD950,4),0)</f>
        <v/>
      </c>
      <c r="G950">
        <f>IFERROR(INDEX(PP_Grid[#Data],$DD950,5),0)</f>
        <v/>
      </c>
      <c r="H950">
        <f>IFERROR(INDEX(PP_Grid[#Data],$DD950,6),0)</f>
        <v/>
      </c>
      <c r="I950">
        <f>IFERROR(INDEX(PP_Grid[#Data],$DD950,7),0)</f>
        <v/>
      </c>
      <c r="J950">
        <f>IFERROR(INDEX(PP_Grid[#Data],$DD950,8),0)</f>
        <v/>
      </c>
      <c r="K950">
        <f>IFERROR(INDEX(PP_Grid[#Data],$DD950,9),0)</f>
        <v/>
      </c>
      <c r="L950">
        <f>IFERROR(INDEX(PP_Grid[#Data],$DD950,10),0)</f>
        <v/>
      </c>
      <c r="M950">
        <f>IFERROR(INDEX(PP_Grid[#Data],$DD950,11),0)</f>
        <v/>
      </c>
      <c r="N950">
        <f>IFERROR(INDEX(PP_Grid[#Data],$DD950,12),0)</f>
        <v/>
      </c>
      <c r="O950">
        <f>IFERROR(INDEX(PP_Grid[#Data],$DD950,13),0)</f>
        <v/>
      </c>
      <c r="P950">
        <f>IFERROR(INDEX(PP_Grid[#Data],$DD950,14),0)</f>
        <v/>
      </c>
      <c r="Q950">
        <f>IFERROR(INDEX(PP_Grid[#Data],$DD950,15),0)</f>
        <v/>
      </c>
      <c r="R950">
        <f>IFERROR(INDEX(PP_Grid[#Data],$DD950,16),0)</f>
        <v/>
      </c>
      <c r="S950">
        <f>IFERROR(INDEX(PP_Grid[#Data],$DD950,17),0)</f>
        <v/>
      </c>
      <c r="T950">
        <f>IFERROR(INDEX(PP_Grid[#Data],$DD950,18),0)</f>
        <v/>
      </c>
      <c r="U950">
        <f>IFERROR(INDEX(PP_Grid[#Data],$DD950,19),0)</f>
        <v/>
      </c>
      <c r="V950">
        <f>IFERROR(INDEX(PP_Grid[#Data],$DD950,20),0)</f>
        <v/>
      </c>
      <c r="W950">
        <f>IFERROR(INDEX(PP_Grid[#Data],$DD950,21),0)</f>
        <v/>
      </c>
      <c r="X950">
        <f>IFERROR(INDEX(PP_Grid[#Data],$DD950,22),0)</f>
        <v/>
      </c>
      <c r="Y950">
        <f>IFERROR(INDEX(PP_Grid[#Data],$DD950,23),0)</f>
        <v/>
      </c>
      <c r="Z950">
        <f>IFERROR(INDEX(PP_Grid[#Data],$DD950,24),0)</f>
        <v/>
      </c>
      <c r="AA950">
        <f>IFERROR(INDEX(PP_Grid[#Data],$DD950,25),0)</f>
        <v/>
      </c>
      <c r="AB950">
        <f>IFERROR(INDEX(PP_Grid[#Data],$DD950,26),0)</f>
        <v/>
      </c>
      <c r="AC950">
        <f>IFERROR(INDEX(PP_Grid[#Data],$DD950,27),0)</f>
        <v/>
      </c>
      <c r="AD950">
        <f>IFERROR(INDEX(PP_Grid[#Data],$DD950,28),0)</f>
        <v/>
      </c>
      <c r="AE950">
        <f>IFERROR(INDEX(PP_Grid[#Data],$DD950,29),0)</f>
        <v/>
      </c>
      <c r="AF950">
        <f>IFERROR(INDEX(PP_Grid[#Data],$DD950,30),0)</f>
        <v/>
      </c>
      <c r="AG950">
        <f>IFERROR(INDEX(PP_Grid[#Data],$DD950,31),0)</f>
        <v/>
      </c>
      <c r="AH950">
        <f>IFERROR(INDEX(PP_Grid[#Data],$DD950,32),0)</f>
        <v/>
      </c>
      <c r="AI950">
        <f>IFERROR(INDEX(PP_Grid[#Data],$DD950,33),0)</f>
        <v/>
      </c>
      <c r="AJ950">
        <f>IFERROR(INDEX(PP_Grid[#Data],$DD950,34),0)</f>
        <v/>
      </c>
      <c r="AK950">
        <f>IFERROR(INDEX(PP_Grid[#Data],$DD950,35),0)</f>
        <v/>
      </c>
      <c r="AL950">
        <f>IFERROR(INDEX(PP_Grid[#Data],$DD950,36),0)</f>
        <v/>
      </c>
      <c r="AM950">
        <f>IFERROR(INDEX(PP_Grid[#Data],$DD950,37),0)</f>
        <v/>
      </c>
      <c r="AN950">
        <f>IFERROR(INDEX(PP_Grid[#Data],$DD950,38),0)</f>
        <v/>
      </c>
      <c r="AO950">
        <f>IFERROR(INDEX(PP_Grid[#Data],$DD950,39),0)</f>
        <v/>
      </c>
      <c r="AP950">
        <f>IFERROR(INDEX(PP_Grid[#Data],$DD950,40),0)</f>
        <v/>
      </c>
      <c r="AQ950">
        <f>IFERROR(INDEX(PP_Grid[#Data],$DD950,41),0)</f>
        <v/>
      </c>
      <c r="AR950">
        <f>IFERROR(INDEX(PP_Grid[#Data],$DD950,42),0)</f>
        <v/>
      </c>
      <c r="AS950">
        <f>IFERROR(INDEX(PP_Grid[#Data],$DD950,43),0)</f>
        <v/>
      </c>
      <c r="AT950">
        <f>IFERROR(INDEX(PP_Grid[#Data],$DD950,44),0)</f>
        <v/>
      </c>
      <c r="AU950">
        <f>IFERROR(INDEX(PP_Grid[#Data],$DD950,45),0)</f>
        <v/>
      </c>
      <c r="AV950">
        <f>IFERROR(INDEX(PP_Grid[#Data],$DD950,46),0)</f>
        <v/>
      </c>
      <c r="AW950">
        <f>IFERROR(INDEX(PP_Grid[#Data],$DD950,47),0)</f>
        <v/>
      </c>
      <c r="AX950">
        <f>IFERROR(INDEX(PP_Grid[#Data],$DD950,48),0)</f>
        <v/>
      </c>
      <c r="AY950">
        <f>IFERROR(INDEX(PP_Grid[#Data],$DD950,49),0)</f>
        <v/>
      </c>
      <c r="AZ950">
        <f>IFERROR(INDEX(PP_Grid[#Data],$DD950,50),0)</f>
        <v/>
      </c>
      <c r="BA950">
        <f>IFERROR(INDEX(PP_Grid[#Data],$DD950,51),0)</f>
        <v/>
      </c>
      <c r="BB950">
        <f>IFERROR(INDEX(PP_Grid[#Data],$DD950,52),0)</f>
        <v/>
      </c>
      <c r="BC950">
        <f>IFERROR(INDEX(PP_Grid[#Data],$DD950,53),0)</f>
        <v/>
      </c>
      <c r="BD950">
        <f>IFERROR(INDEX(PP_Grid[#Data],$DD950,54),0)</f>
        <v/>
      </c>
      <c r="BE950">
        <f>IFERROR(INDEX(PP_Grid[#Data],$DD950,55),0)</f>
        <v/>
      </c>
      <c r="BF950">
        <f>IFERROR(INDEX(PP_Grid[#Data],$DD950,56),0)</f>
        <v/>
      </c>
      <c r="BG950">
        <f>IFERROR(INDEX(PP_Grid[#Data],$DD950,57),0)</f>
        <v/>
      </c>
      <c r="BH950">
        <f>IFERROR(INDEX(PP_Grid[#Data],$DD950,58),0)</f>
        <v/>
      </c>
      <c r="BI950">
        <f>IFERROR(INDEX(PP_Grid[#Data],$DD950,59),0)</f>
        <v/>
      </c>
      <c r="BJ950">
        <f>IFERROR(INDEX(PP_Grid[#Data],$DD950,60),0)</f>
        <v/>
      </c>
      <c r="BK950">
        <f>IFERROR(INDEX(PP_Grid[#Data],$DD950,61),0)</f>
        <v/>
      </c>
      <c r="BL950">
        <f>IFERROR(INDEX(PP_Grid[#Data],$DD950,62),0)</f>
        <v/>
      </c>
      <c r="BM950">
        <f>IFERROR(INDEX(PP_Grid[#Data],$DD950,63),0)</f>
        <v/>
      </c>
      <c r="BN950">
        <f>IFERROR(INDEX(PP_Grid[#Data],$DD950,64),0)</f>
        <v/>
      </c>
      <c r="BO950">
        <f>IFERROR(INDEX(PP_Grid[#Data],$DD950,65),0)</f>
        <v/>
      </c>
      <c r="BP950">
        <f>IFERROR(INDEX(PP_Grid[#Data],$DD950,66),0)</f>
        <v/>
      </c>
      <c r="BQ950">
        <f>IFERROR(INDEX(PP_Grid[#Data],$DD950,67),0)</f>
        <v/>
      </c>
      <c r="BR950">
        <f>IFERROR(INDEX(PP_Grid[#Data],$DD950,68),0)</f>
        <v/>
      </c>
      <c r="BS950">
        <f>IFERROR(INDEX(PP_Grid[#Data],$DD950,69),0)</f>
        <v/>
      </c>
      <c r="BT950">
        <f>IFERROR(INDEX(PP_Grid[#Data],$DD950,70),0)</f>
        <v/>
      </c>
      <c r="BU950">
        <f>IFERROR(INDEX(PP_Grid[#Data],$DD950,71),0)</f>
        <v/>
      </c>
      <c r="BV950">
        <f>IFERROR(INDEX(PP_Grid[#Data],$DD950,72),0)</f>
        <v/>
      </c>
      <c r="BW950">
        <f>IFERROR(INDEX(PP_Grid[#Data],$DD950,73),0)</f>
        <v/>
      </c>
      <c r="BX950">
        <f>IFERROR(INDEX(PP_Grid[#Data],$DD950,74),0)</f>
        <v/>
      </c>
      <c r="BY950">
        <f>IFERROR(INDEX(PP_Grid[#Data],$DD950,75),0)</f>
        <v/>
      </c>
      <c r="BZ950">
        <f>IFERROR(INDEX(PP_Grid[#Data],$DD950,76),0)</f>
        <v/>
      </c>
      <c r="CA950">
        <f>IFERROR(INDEX(PP_Grid[#Data],$DD950,77),0)</f>
        <v/>
      </c>
      <c r="CB950">
        <f>IFERROR(INDEX(PP_Grid[#Data],$DD950,78),0)</f>
        <v/>
      </c>
      <c r="CC950">
        <f>IFERROR(INDEX(PP_Grid[#Data],$DD950,79),0)</f>
        <v/>
      </c>
      <c r="CD950">
        <f>IFERROR(INDEX(PP_Grid[#Data],$DD950,80),0)</f>
        <v/>
      </c>
      <c r="CE950">
        <f>IFERROR(INDEX(PP_Grid[#Data],$DD950,81),0)</f>
        <v/>
      </c>
      <c r="CF950">
        <f>IFERROR(INDEX(PP_Grid[#Data],$DD950,82),0)</f>
        <v/>
      </c>
      <c r="CG950">
        <f>IFERROR(INDEX(PP_Grid[#Data],$DD950,83),0)</f>
        <v/>
      </c>
      <c r="CH950">
        <f>IFERROR(INDEX(PP_Grid[#Data],$DD950,84),0)</f>
        <v/>
      </c>
      <c r="CI950">
        <f>IFERROR(INDEX(PP_Grid[#Data],$DD950,85),0)</f>
        <v/>
      </c>
      <c r="CJ950">
        <f>IFERROR(INDEX(PP_Grid[#Data],$DD950,86),0)</f>
        <v/>
      </c>
      <c r="CK950">
        <f>IFERROR(INDEX(PP_Grid[#Data],$DD950,87),0)</f>
        <v/>
      </c>
      <c r="CL950">
        <f>IFERROR(INDEX(PP_Grid[#Data],$DD950,88),0)</f>
        <v/>
      </c>
      <c r="CM950">
        <f>IFERROR(INDEX(PP_Grid[#Data],$DD950,89),0)</f>
        <v/>
      </c>
      <c r="CN950">
        <f>IFERROR(INDEX(PP_Grid[#Data],$DD950,90),0)</f>
        <v/>
      </c>
      <c r="CO950">
        <f>IFERROR(INDEX(PP_Grid[#Data],$DD950,91),0)</f>
        <v/>
      </c>
      <c r="CP950">
        <f>IFERROR(INDEX(PP_Grid[#Data],$DD950,92),0)</f>
        <v/>
      </c>
      <c r="CQ950">
        <f>IFERROR(INDEX(PP_Grid[#Data],$DD950,93),0)</f>
        <v/>
      </c>
      <c r="CR950">
        <f>IFERROR(INDEX(PP_Grid[#Data],$DD950,94),0)</f>
        <v/>
      </c>
      <c r="CS950">
        <f>IFERROR(INDEX(PP_Grid[#Data],$DD950,95),0)</f>
        <v/>
      </c>
      <c r="CT950">
        <f>IFERROR(INDEX(PP_Grid[#Data],$DD950,96),0)</f>
        <v/>
      </c>
      <c r="CU950">
        <f>IFERROR(INDEX(PP_Grid[#Data],$DD950,97),0)</f>
        <v/>
      </c>
      <c r="CV950">
        <f>IFERROR(INDEX(PP_Grid[#Data],$DD950,98),0)</f>
        <v/>
      </c>
      <c r="CW950">
        <f>IFERROR(INDEX(PP_Grid[#Data],$DD950,99),0)</f>
        <v/>
      </c>
      <c r="CX950">
        <f>IFERROR(INDEX(PP_Grid[#Data],$DD950,100),0)</f>
        <v/>
      </c>
      <c r="CY950">
        <f>IFERROR(INDEX(PP_Grid[#Data],$DD950,101),0)</f>
        <v/>
      </c>
      <c r="CZ950">
        <f>IFERROR(INDEX(PP_Grid[#Data],$DD950,102),0)</f>
        <v/>
      </c>
      <c r="DA950">
        <f>IFERROR(INDEX(PP_Grid[#Data],$DD950,103),0)</f>
        <v/>
      </c>
      <c r="DB950">
        <f>IFERROR(INDEX(PP_Grid[#Data],$DD950,104),0)</f>
        <v/>
      </c>
      <c r="DC950">
        <f>IFERROR(INDEX(PP_Grid[#Data],$DD950,105),0)</f>
        <v/>
      </c>
      <c r="DD950" s="12">
        <f>IFERROR(MATCH($B950,PP_Grid[Intermediate],0),99999)</f>
        <v/>
      </c>
    </row>
    <row r="951">
      <c r="B951" t="inlineStr">
        <is>
          <t>使用量(kg)</t>
        </is>
      </c>
      <c r="C951">
        <f>SUMIFS(M_BOM[RM_Qty_Per_Batch],M_BOM[Intermediate],$B950,M_BOM[Part Name],$A923)</f>
        <v/>
      </c>
      <c r="D951">
        <f>$C951*D950</f>
        <v/>
      </c>
      <c r="E951">
        <f>$C951*E950</f>
        <v/>
      </c>
      <c r="F951">
        <f>$C951*F950</f>
        <v/>
      </c>
      <c r="G951">
        <f>$C951*G950</f>
        <v/>
      </c>
      <c r="H951">
        <f>$C951*H950</f>
        <v/>
      </c>
      <c r="I951">
        <f>$C951*I950</f>
        <v/>
      </c>
      <c r="J951">
        <f>$C951*J950</f>
        <v/>
      </c>
      <c r="K951">
        <f>$C951*K950</f>
        <v/>
      </c>
      <c r="L951">
        <f>$C951*L950</f>
        <v/>
      </c>
      <c r="M951">
        <f>$C951*M950</f>
        <v/>
      </c>
      <c r="N951">
        <f>$C951*N950</f>
        <v/>
      </c>
      <c r="O951">
        <f>$C951*O950</f>
        <v/>
      </c>
      <c r="P951">
        <f>$C951*P950</f>
        <v/>
      </c>
      <c r="Q951">
        <f>$C951*Q950</f>
        <v/>
      </c>
      <c r="R951">
        <f>$C951*R950</f>
        <v/>
      </c>
      <c r="S951">
        <f>$C951*S950</f>
        <v/>
      </c>
      <c r="T951">
        <f>$C951*T950</f>
        <v/>
      </c>
      <c r="U951">
        <f>$C951*U950</f>
        <v/>
      </c>
      <c r="V951">
        <f>$C951*V950</f>
        <v/>
      </c>
      <c r="W951">
        <f>$C951*W950</f>
        <v/>
      </c>
      <c r="X951">
        <f>$C951*X950</f>
        <v/>
      </c>
      <c r="Y951">
        <f>$C951*Y950</f>
        <v/>
      </c>
      <c r="Z951">
        <f>$C951*Z950</f>
        <v/>
      </c>
      <c r="AA951">
        <f>$C951*AA950</f>
        <v/>
      </c>
      <c r="AB951">
        <f>$C951*AB950</f>
        <v/>
      </c>
      <c r="AC951">
        <f>$C951*AC950</f>
        <v/>
      </c>
      <c r="AD951">
        <f>$C951*AD950</f>
        <v/>
      </c>
      <c r="AE951">
        <f>$C951*AE950</f>
        <v/>
      </c>
      <c r="AF951">
        <f>$C951*AF950</f>
        <v/>
      </c>
      <c r="AG951">
        <f>$C951*AG950</f>
        <v/>
      </c>
      <c r="AH951">
        <f>$C951*AH950</f>
        <v/>
      </c>
      <c r="AI951">
        <f>$C951*AI950</f>
        <v/>
      </c>
      <c r="AJ951">
        <f>$C951*AJ950</f>
        <v/>
      </c>
      <c r="AK951">
        <f>$C951*AK950</f>
        <v/>
      </c>
      <c r="AL951">
        <f>$C951*AL950</f>
        <v/>
      </c>
      <c r="AM951">
        <f>$C951*AM950</f>
        <v/>
      </c>
      <c r="AN951">
        <f>$C951*AN950</f>
        <v/>
      </c>
      <c r="AO951">
        <f>$C951*AO950</f>
        <v/>
      </c>
      <c r="AP951">
        <f>$C951*AP950</f>
        <v/>
      </c>
      <c r="AQ951">
        <f>$C951*AQ950</f>
        <v/>
      </c>
      <c r="AR951">
        <f>$C951*AR950</f>
        <v/>
      </c>
      <c r="AS951">
        <f>$C951*AS950</f>
        <v/>
      </c>
      <c r="AT951">
        <f>$C951*AT950</f>
        <v/>
      </c>
      <c r="AU951">
        <f>$C951*AU950</f>
        <v/>
      </c>
      <c r="AV951">
        <f>$C951*AV950</f>
        <v/>
      </c>
      <c r="AW951">
        <f>$C951*AW950</f>
        <v/>
      </c>
      <c r="AX951">
        <f>$C951*AX950</f>
        <v/>
      </c>
      <c r="AY951">
        <f>$C951*AY950</f>
        <v/>
      </c>
      <c r="AZ951">
        <f>$C951*AZ950</f>
        <v/>
      </c>
      <c r="BA951">
        <f>$C951*BA950</f>
        <v/>
      </c>
      <c r="BB951">
        <f>$C951*BB950</f>
        <v/>
      </c>
      <c r="BC951">
        <f>$C951*BC950</f>
        <v/>
      </c>
      <c r="BD951">
        <f>$C951*BD950</f>
        <v/>
      </c>
      <c r="BE951">
        <f>$C951*BE950</f>
        <v/>
      </c>
      <c r="BF951">
        <f>$C951*BF950</f>
        <v/>
      </c>
      <c r="BG951">
        <f>$C951*BG950</f>
        <v/>
      </c>
      <c r="BH951">
        <f>$C951*BH950</f>
        <v/>
      </c>
      <c r="BI951">
        <f>$C951*BI950</f>
        <v/>
      </c>
      <c r="BJ951">
        <f>$C951*BJ950</f>
        <v/>
      </c>
      <c r="BK951">
        <f>$C951*BK950</f>
        <v/>
      </c>
      <c r="BL951">
        <f>$C951*BL950</f>
        <v/>
      </c>
      <c r="BM951">
        <f>$C951*BM950</f>
        <v/>
      </c>
      <c r="BN951">
        <f>$C951*BN950</f>
        <v/>
      </c>
      <c r="BO951">
        <f>$C951*BO950</f>
        <v/>
      </c>
      <c r="BP951">
        <f>$C951*BP950</f>
        <v/>
      </c>
      <c r="BQ951">
        <f>$C951*BQ950</f>
        <v/>
      </c>
      <c r="BR951">
        <f>$C951*BR950</f>
        <v/>
      </c>
      <c r="BS951">
        <f>$C951*BS950</f>
        <v/>
      </c>
      <c r="BT951">
        <f>$C951*BT950</f>
        <v/>
      </c>
      <c r="BU951">
        <f>$C951*BU950</f>
        <v/>
      </c>
      <c r="BV951">
        <f>$C951*BV950</f>
        <v/>
      </c>
      <c r="BW951">
        <f>$C951*BW950</f>
        <v/>
      </c>
      <c r="BX951">
        <f>$C951*BX950</f>
        <v/>
      </c>
      <c r="BY951">
        <f>$C951*BY950</f>
        <v/>
      </c>
      <c r="BZ951">
        <f>$C951*BZ950</f>
        <v/>
      </c>
      <c r="CA951">
        <f>$C951*CA950</f>
        <v/>
      </c>
      <c r="CB951">
        <f>$C951*CB950</f>
        <v/>
      </c>
      <c r="CC951">
        <f>$C951*CC950</f>
        <v/>
      </c>
      <c r="CD951">
        <f>$C951*CD950</f>
        <v/>
      </c>
      <c r="CE951">
        <f>$C951*CE950</f>
        <v/>
      </c>
      <c r="CF951">
        <f>$C951*CF950</f>
        <v/>
      </c>
      <c r="CG951">
        <f>$C951*CG950</f>
        <v/>
      </c>
      <c r="CH951">
        <f>$C951*CH950</f>
        <v/>
      </c>
      <c r="CI951">
        <f>$C951*CI950</f>
        <v/>
      </c>
      <c r="CJ951">
        <f>$C951*CJ950</f>
        <v/>
      </c>
      <c r="CK951">
        <f>$C951*CK950</f>
        <v/>
      </c>
      <c r="CL951">
        <f>$C951*CL950</f>
        <v/>
      </c>
      <c r="CM951">
        <f>$C951*CM950</f>
        <v/>
      </c>
      <c r="CN951">
        <f>$C951*CN950</f>
        <v/>
      </c>
      <c r="CO951">
        <f>$C951*CO950</f>
        <v/>
      </c>
      <c r="CP951">
        <f>$C951*CP950</f>
        <v/>
      </c>
      <c r="CQ951">
        <f>$C951*CQ950</f>
        <v/>
      </c>
      <c r="CR951">
        <f>$C951*CR950</f>
        <v/>
      </c>
      <c r="CS951">
        <f>$C951*CS950</f>
        <v/>
      </c>
      <c r="CT951">
        <f>$C951*CT950</f>
        <v/>
      </c>
      <c r="CU951">
        <f>$C951*CU950</f>
        <v/>
      </c>
      <c r="CV951">
        <f>$C951*CV950</f>
        <v/>
      </c>
      <c r="CW951">
        <f>$C951*CW950</f>
        <v/>
      </c>
      <c r="CX951">
        <f>$C951*CX950</f>
        <v/>
      </c>
      <c r="CY951">
        <f>$C951*CY950</f>
        <v/>
      </c>
      <c r="CZ951">
        <f>$C951*CZ950</f>
        <v/>
      </c>
      <c r="DA951">
        <f>$C951*DA950</f>
        <v/>
      </c>
      <c r="DB951">
        <f>$C951*DB950</f>
        <v/>
      </c>
      <c r="DC951">
        <f>$C951*DC950</f>
        <v/>
      </c>
    </row>
    <row r="952">
      <c r="B952" s="9" t="inlineStr">
        <is>
          <t>合計使用量(kg)/週</t>
        </is>
      </c>
      <c r="D952">
        <f>'Grid_Requirement'!B9</f>
        <v/>
      </c>
      <c r="E952">
        <f>'Grid_Requirement'!C9</f>
        <v/>
      </c>
      <c r="F952">
        <f>'Grid_Requirement'!D9</f>
        <v/>
      </c>
      <c r="G952">
        <f>'Grid_Requirement'!E9</f>
        <v/>
      </c>
      <c r="H952">
        <f>'Grid_Requirement'!F9</f>
        <v/>
      </c>
      <c r="I952">
        <f>'Grid_Requirement'!G9</f>
        <v/>
      </c>
      <c r="J952">
        <f>'Grid_Requirement'!H9</f>
        <v/>
      </c>
      <c r="K952">
        <f>'Grid_Requirement'!I9</f>
        <v/>
      </c>
      <c r="L952">
        <f>'Grid_Requirement'!J9</f>
        <v/>
      </c>
      <c r="M952">
        <f>'Grid_Requirement'!K9</f>
        <v/>
      </c>
      <c r="N952">
        <f>'Grid_Requirement'!L9</f>
        <v/>
      </c>
      <c r="O952">
        <f>'Grid_Requirement'!M9</f>
        <v/>
      </c>
      <c r="P952">
        <f>'Grid_Requirement'!N9</f>
        <v/>
      </c>
      <c r="Q952">
        <f>'Grid_Requirement'!O9</f>
        <v/>
      </c>
      <c r="R952">
        <f>'Grid_Requirement'!P9</f>
        <v/>
      </c>
      <c r="S952">
        <f>'Grid_Requirement'!Q9</f>
        <v/>
      </c>
      <c r="T952">
        <f>'Grid_Requirement'!R9</f>
        <v/>
      </c>
      <c r="U952">
        <f>'Grid_Requirement'!S9</f>
        <v/>
      </c>
      <c r="V952">
        <f>'Grid_Requirement'!T9</f>
        <v/>
      </c>
      <c r="W952">
        <f>'Grid_Requirement'!U9</f>
        <v/>
      </c>
      <c r="X952">
        <f>'Grid_Requirement'!V9</f>
        <v/>
      </c>
      <c r="Y952">
        <f>'Grid_Requirement'!W9</f>
        <v/>
      </c>
      <c r="Z952">
        <f>'Grid_Requirement'!X9</f>
        <v/>
      </c>
      <c r="AA952">
        <f>'Grid_Requirement'!Y9</f>
        <v/>
      </c>
      <c r="AB952">
        <f>'Grid_Requirement'!Z9</f>
        <v/>
      </c>
      <c r="AC952">
        <f>'Grid_Requirement'!AA9</f>
        <v/>
      </c>
      <c r="AD952">
        <f>'Grid_Requirement'!AB9</f>
        <v/>
      </c>
      <c r="AE952">
        <f>'Grid_Requirement'!AC9</f>
        <v/>
      </c>
      <c r="AF952">
        <f>'Grid_Requirement'!AD9</f>
        <v/>
      </c>
      <c r="AG952">
        <f>'Grid_Requirement'!AE9</f>
        <v/>
      </c>
      <c r="AH952">
        <f>'Grid_Requirement'!AF9</f>
        <v/>
      </c>
      <c r="AI952">
        <f>'Grid_Requirement'!AG9</f>
        <v/>
      </c>
      <c r="AJ952">
        <f>'Grid_Requirement'!AH9</f>
        <v/>
      </c>
      <c r="AK952">
        <f>'Grid_Requirement'!AI9</f>
        <v/>
      </c>
      <c r="AL952">
        <f>'Grid_Requirement'!AJ9</f>
        <v/>
      </c>
      <c r="AM952">
        <f>'Grid_Requirement'!AK9</f>
        <v/>
      </c>
      <c r="AN952">
        <f>'Grid_Requirement'!AL9</f>
        <v/>
      </c>
      <c r="AO952">
        <f>'Grid_Requirement'!AM9</f>
        <v/>
      </c>
      <c r="AP952">
        <f>'Grid_Requirement'!AN9</f>
        <v/>
      </c>
      <c r="AQ952">
        <f>'Grid_Requirement'!AO9</f>
        <v/>
      </c>
      <c r="AR952">
        <f>'Grid_Requirement'!AP9</f>
        <v/>
      </c>
      <c r="AS952">
        <f>'Grid_Requirement'!AQ9</f>
        <v/>
      </c>
      <c r="AT952">
        <f>'Grid_Requirement'!AR9</f>
        <v/>
      </c>
      <c r="AU952">
        <f>'Grid_Requirement'!AS9</f>
        <v/>
      </c>
      <c r="AV952">
        <f>'Grid_Requirement'!AT9</f>
        <v/>
      </c>
      <c r="AW952">
        <f>'Grid_Requirement'!AU9</f>
        <v/>
      </c>
      <c r="AX952">
        <f>'Grid_Requirement'!AV9</f>
        <v/>
      </c>
      <c r="AY952">
        <f>'Grid_Requirement'!AW9</f>
        <v/>
      </c>
      <c r="AZ952">
        <f>'Grid_Requirement'!AX9</f>
        <v/>
      </c>
      <c r="BA952">
        <f>'Grid_Requirement'!AY9</f>
        <v/>
      </c>
      <c r="BB952">
        <f>'Grid_Requirement'!AZ9</f>
        <v/>
      </c>
      <c r="BC952">
        <f>'Grid_Requirement'!BA9</f>
        <v/>
      </c>
      <c r="BD952">
        <f>'Grid_Requirement'!BB9</f>
        <v/>
      </c>
      <c r="BE952">
        <f>'Grid_Requirement'!BC9</f>
        <v/>
      </c>
      <c r="BF952">
        <f>'Grid_Requirement'!BD9</f>
        <v/>
      </c>
      <c r="BG952">
        <f>'Grid_Requirement'!BE9</f>
        <v/>
      </c>
      <c r="BH952">
        <f>'Grid_Requirement'!BF9</f>
        <v/>
      </c>
      <c r="BI952">
        <f>'Grid_Requirement'!BG9</f>
        <v/>
      </c>
      <c r="BJ952">
        <f>'Grid_Requirement'!BH9</f>
        <v/>
      </c>
      <c r="BK952">
        <f>'Grid_Requirement'!BI9</f>
        <v/>
      </c>
      <c r="BL952">
        <f>'Grid_Requirement'!BJ9</f>
        <v/>
      </c>
      <c r="BM952">
        <f>'Grid_Requirement'!BK9</f>
        <v/>
      </c>
      <c r="BN952">
        <f>'Grid_Requirement'!BL9</f>
        <v/>
      </c>
      <c r="BO952">
        <f>'Grid_Requirement'!BM9</f>
        <v/>
      </c>
      <c r="BP952">
        <f>'Grid_Requirement'!BN9</f>
        <v/>
      </c>
      <c r="BQ952">
        <f>'Grid_Requirement'!BO9</f>
        <v/>
      </c>
      <c r="BR952">
        <f>'Grid_Requirement'!BP9</f>
        <v/>
      </c>
      <c r="BS952">
        <f>'Grid_Requirement'!BQ9</f>
        <v/>
      </c>
      <c r="BT952">
        <f>'Grid_Requirement'!BR9</f>
        <v/>
      </c>
      <c r="BU952">
        <f>'Grid_Requirement'!BS9</f>
        <v/>
      </c>
      <c r="BV952">
        <f>'Grid_Requirement'!BT9</f>
        <v/>
      </c>
      <c r="BW952">
        <f>'Grid_Requirement'!BU9</f>
        <v/>
      </c>
      <c r="BX952">
        <f>'Grid_Requirement'!BV9</f>
        <v/>
      </c>
      <c r="BY952">
        <f>'Grid_Requirement'!BW9</f>
        <v/>
      </c>
      <c r="BZ952">
        <f>'Grid_Requirement'!BX9</f>
        <v/>
      </c>
      <c r="CA952">
        <f>'Grid_Requirement'!BY9</f>
        <v/>
      </c>
      <c r="CB952">
        <f>'Grid_Requirement'!BZ9</f>
        <v/>
      </c>
      <c r="CC952">
        <f>'Grid_Requirement'!CA9</f>
        <v/>
      </c>
      <c r="CD952">
        <f>'Grid_Requirement'!CB9</f>
        <v/>
      </c>
      <c r="CE952">
        <f>'Grid_Requirement'!CC9</f>
        <v/>
      </c>
      <c r="CF952">
        <f>'Grid_Requirement'!CD9</f>
        <v/>
      </c>
      <c r="CG952">
        <f>'Grid_Requirement'!CE9</f>
        <v/>
      </c>
      <c r="CH952">
        <f>'Grid_Requirement'!CF9</f>
        <v/>
      </c>
      <c r="CI952">
        <f>'Grid_Requirement'!CG9</f>
        <v/>
      </c>
      <c r="CJ952">
        <f>'Grid_Requirement'!CH9</f>
        <v/>
      </c>
      <c r="CK952">
        <f>'Grid_Requirement'!CI9</f>
        <v/>
      </c>
      <c r="CL952">
        <f>'Grid_Requirement'!CJ9</f>
        <v/>
      </c>
      <c r="CM952">
        <f>'Grid_Requirement'!CK9</f>
        <v/>
      </c>
      <c r="CN952">
        <f>'Grid_Requirement'!CL9</f>
        <v/>
      </c>
      <c r="CO952">
        <f>'Grid_Requirement'!CM9</f>
        <v/>
      </c>
      <c r="CP952">
        <f>'Grid_Requirement'!CN9</f>
        <v/>
      </c>
      <c r="CQ952">
        <f>'Grid_Requirement'!CO9</f>
        <v/>
      </c>
      <c r="CR952">
        <f>'Grid_Requirement'!CP9</f>
        <v/>
      </c>
      <c r="CS952">
        <f>'Grid_Requirement'!CQ9</f>
        <v/>
      </c>
      <c r="CT952">
        <f>'Grid_Requirement'!CR9</f>
        <v/>
      </c>
      <c r="CU952">
        <f>'Grid_Requirement'!CS9</f>
        <v/>
      </c>
      <c r="CV952">
        <f>'Grid_Requirement'!CT9</f>
        <v/>
      </c>
      <c r="CW952">
        <f>'Grid_Requirement'!CU9</f>
        <v/>
      </c>
      <c r="CX952">
        <f>'Grid_Requirement'!CV9</f>
        <v/>
      </c>
      <c r="CY952">
        <f>'Grid_Requirement'!CW9</f>
        <v/>
      </c>
      <c r="CZ952">
        <f>'Grid_Requirement'!CX9</f>
        <v/>
      </c>
      <c r="DA952">
        <f>'Grid_Requirement'!CY9</f>
        <v/>
      </c>
      <c r="DB952">
        <f>'Grid_Requirement'!CZ9</f>
        <v/>
      </c>
      <c r="DC952">
        <f>'Grid_Requirement'!DA9</f>
        <v/>
      </c>
    </row>
    <row r="953">
      <c r="B953" t="inlineStr">
        <is>
          <t>TTAF在庫(実績,kg)</t>
        </is>
      </c>
      <c r="D953">
        <f>'T_TTAFStock'!B13</f>
        <v/>
      </c>
      <c r="E953">
        <f>'T_TTAFStock'!C13</f>
        <v/>
      </c>
      <c r="F953">
        <f>'T_TTAFStock'!D13</f>
        <v/>
      </c>
      <c r="G953">
        <f>'T_TTAFStock'!E13</f>
        <v/>
      </c>
      <c r="H953">
        <f>'T_TTAFStock'!F13</f>
        <v/>
      </c>
      <c r="I953">
        <f>'T_TTAFStock'!G13</f>
        <v/>
      </c>
      <c r="J953">
        <f>'T_TTAFStock'!H13</f>
        <v/>
      </c>
      <c r="K953">
        <f>'T_TTAFStock'!I13</f>
        <v/>
      </c>
      <c r="L953">
        <f>'T_TTAFStock'!J13</f>
        <v/>
      </c>
      <c r="M953">
        <f>'T_TTAFStock'!K13</f>
        <v/>
      </c>
      <c r="N953">
        <f>'T_TTAFStock'!L13</f>
        <v/>
      </c>
      <c r="O953">
        <f>'T_TTAFStock'!M13</f>
        <v/>
      </c>
      <c r="P953">
        <f>'T_TTAFStock'!N13</f>
        <v/>
      </c>
      <c r="Q953">
        <f>'T_TTAFStock'!O13</f>
        <v/>
      </c>
      <c r="R953">
        <f>'T_TTAFStock'!P13</f>
        <v/>
      </c>
      <c r="S953">
        <f>'T_TTAFStock'!Q13</f>
        <v/>
      </c>
      <c r="T953">
        <f>'T_TTAFStock'!R13</f>
        <v/>
      </c>
      <c r="U953">
        <f>'T_TTAFStock'!S13</f>
        <v/>
      </c>
      <c r="V953">
        <f>'T_TTAFStock'!T13</f>
        <v/>
      </c>
      <c r="W953">
        <f>'T_TTAFStock'!U13</f>
        <v/>
      </c>
      <c r="X953">
        <f>'T_TTAFStock'!V13</f>
        <v/>
      </c>
      <c r="Y953">
        <f>'T_TTAFStock'!W13</f>
        <v/>
      </c>
      <c r="Z953">
        <f>'T_TTAFStock'!X13</f>
        <v/>
      </c>
      <c r="AA953">
        <f>'T_TTAFStock'!Y13</f>
        <v/>
      </c>
      <c r="AB953">
        <f>'T_TTAFStock'!Z13</f>
        <v/>
      </c>
      <c r="AC953">
        <f>'T_TTAFStock'!AA13</f>
        <v/>
      </c>
      <c r="AD953">
        <f>'T_TTAFStock'!AB13</f>
        <v/>
      </c>
      <c r="AE953">
        <f>'T_TTAFStock'!AC13</f>
        <v/>
      </c>
      <c r="AF953">
        <f>'T_TTAFStock'!AD13</f>
        <v/>
      </c>
      <c r="AG953">
        <f>'T_TTAFStock'!AE13</f>
        <v/>
      </c>
      <c r="AH953">
        <f>'T_TTAFStock'!AF13</f>
        <v/>
      </c>
      <c r="AI953">
        <f>'T_TTAFStock'!AG13</f>
        <v/>
      </c>
      <c r="AJ953">
        <f>'T_TTAFStock'!AH13</f>
        <v/>
      </c>
      <c r="AK953">
        <f>'T_TTAFStock'!AI13</f>
        <v/>
      </c>
      <c r="AL953">
        <f>'T_TTAFStock'!AJ13</f>
        <v/>
      </c>
      <c r="AM953">
        <f>'T_TTAFStock'!AK13</f>
        <v/>
      </c>
      <c r="AN953">
        <f>'T_TTAFStock'!AL13</f>
        <v/>
      </c>
      <c r="AO953">
        <f>'T_TTAFStock'!AM13</f>
        <v/>
      </c>
      <c r="AP953">
        <f>'T_TTAFStock'!AN13</f>
        <v/>
      </c>
      <c r="AQ953">
        <f>'T_TTAFStock'!AO13</f>
        <v/>
      </c>
      <c r="AR953">
        <f>'T_TTAFStock'!AP13</f>
        <v/>
      </c>
      <c r="AS953">
        <f>'T_TTAFStock'!AQ13</f>
        <v/>
      </c>
      <c r="AT953">
        <f>'T_TTAFStock'!AR13</f>
        <v/>
      </c>
      <c r="AU953">
        <f>'T_TTAFStock'!AS13</f>
        <v/>
      </c>
      <c r="AV953">
        <f>'T_TTAFStock'!AT13</f>
        <v/>
      </c>
      <c r="AW953">
        <f>'T_TTAFStock'!AU13</f>
        <v/>
      </c>
      <c r="AX953">
        <f>'T_TTAFStock'!AV13</f>
        <v/>
      </c>
      <c r="AY953">
        <f>'T_TTAFStock'!AW13</f>
        <v/>
      </c>
      <c r="AZ953">
        <f>'T_TTAFStock'!AX13</f>
        <v/>
      </c>
      <c r="BA953">
        <f>'T_TTAFStock'!AY13</f>
        <v/>
      </c>
      <c r="BB953">
        <f>'T_TTAFStock'!AZ13</f>
        <v/>
      </c>
      <c r="BC953">
        <f>'T_TTAFStock'!BA13</f>
        <v/>
      </c>
      <c r="BD953">
        <f>'T_TTAFStock'!BB13</f>
        <v/>
      </c>
      <c r="BE953">
        <f>'T_TTAFStock'!BC13</f>
        <v/>
      </c>
      <c r="BF953">
        <f>'T_TTAFStock'!BD13</f>
        <v/>
      </c>
      <c r="BG953">
        <f>'T_TTAFStock'!BE13</f>
        <v/>
      </c>
      <c r="BH953">
        <f>'T_TTAFStock'!BF13</f>
        <v/>
      </c>
      <c r="BI953">
        <f>'T_TTAFStock'!BG13</f>
        <v/>
      </c>
      <c r="BJ953">
        <f>'T_TTAFStock'!BH13</f>
        <v/>
      </c>
      <c r="BK953">
        <f>'T_TTAFStock'!BI13</f>
        <v/>
      </c>
      <c r="BL953">
        <f>'T_TTAFStock'!BJ13</f>
        <v/>
      </c>
      <c r="BM953">
        <f>'T_TTAFStock'!BK13</f>
        <v/>
      </c>
      <c r="BN953">
        <f>'T_TTAFStock'!BL13</f>
        <v/>
      </c>
      <c r="BO953">
        <f>'T_TTAFStock'!BM13</f>
        <v/>
      </c>
      <c r="BP953">
        <f>'T_TTAFStock'!BN13</f>
        <v/>
      </c>
      <c r="BQ953">
        <f>'T_TTAFStock'!BO13</f>
        <v/>
      </c>
      <c r="BR953">
        <f>'T_TTAFStock'!BP13</f>
        <v/>
      </c>
      <c r="BS953">
        <f>'T_TTAFStock'!BQ13</f>
        <v/>
      </c>
      <c r="BT953">
        <f>'T_TTAFStock'!BR13</f>
        <v/>
      </c>
      <c r="BU953">
        <f>'T_TTAFStock'!BS13</f>
        <v/>
      </c>
      <c r="BV953">
        <f>'T_TTAFStock'!BT13</f>
        <v/>
      </c>
      <c r="BW953">
        <f>'T_TTAFStock'!BU13</f>
        <v/>
      </c>
      <c r="BX953">
        <f>'T_TTAFStock'!BV13</f>
        <v/>
      </c>
      <c r="BY953">
        <f>'T_TTAFStock'!BW13</f>
        <v/>
      </c>
      <c r="BZ953">
        <f>'T_TTAFStock'!BX13</f>
        <v/>
      </c>
      <c r="CA953">
        <f>'T_TTAFStock'!BY13</f>
        <v/>
      </c>
      <c r="CB953">
        <f>'T_TTAFStock'!BZ13</f>
        <v/>
      </c>
      <c r="CC953">
        <f>'T_TTAFStock'!CA13</f>
        <v/>
      </c>
      <c r="CD953">
        <f>'T_TTAFStock'!CB13</f>
        <v/>
      </c>
      <c r="CE953">
        <f>'T_TTAFStock'!CC13</f>
        <v/>
      </c>
      <c r="CF953">
        <f>'T_TTAFStock'!CD13</f>
        <v/>
      </c>
      <c r="CG953">
        <f>'T_TTAFStock'!CE13</f>
        <v/>
      </c>
      <c r="CH953">
        <f>'T_TTAFStock'!CF13</f>
        <v/>
      </c>
      <c r="CI953">
        <f>'T_TTAFStock'!CG13</f>
        <v/>
      </c>
      <c r="CJ953">
        <f>'T_TTAFStock'!CH13</f>
        <v/>
      </c>
      <c r="CK953">
        <f>'T_TTAFStock'!CI13</f>
        <v/>
      </c>
      <c r="CL953">
        <f>'T_TTAFStock'!CJ13</f>
        <v/>
      </c>
      <c r="CM953">
        <f>'T_TTAFStock'!CK13</f>
        <v/>
      </c>
      <c r="CN953">
        <f>'T_TTAFStock'!CL13</f>
        <v/>
      </c>
      <c r="CO953">
        <f>'T_TTAFStock'!CM13</f>
        <v/>
      </c>
      <c r="CP953">
        <f>'T_TTAFStock'!CN13</f>
        <v/>
      </c>
      <c r="CQ953">
        <f>'T_TTAFStock'!CO13</f>
        <v/>
      </c>
      <c r="CR953">
        <f>'T_TTAFStock'!CP13</f>
        <v/>
      </c>
      <c r="CS953">
        <f>'T_TTAFStock'!CQ13</f>
        <v/>
      </c>
      <c r="CT953">
        <f>'T_TTAFStock'!CR13</f>
        <v/>
      </c>
      <c r="CU953">
        <f>'T_TTAFStock'!CS13</f>
        <v/>
      </c>
      <c r="CV953">
        <f>'T_TTAFStock'!CT13</f>
        <v/>
      </c>
      <c r="CW953">
        <f>'T_TTAFStock'!CU13</f>
        <v/>
      </c>
      <c r="CX953">
        <f>'T_TTAFStock'!CV13</f>
        <v/>
      </c>
      <c r="CY953">
        <f>'T_TTAFStock'!CW13</f>
        <v/>
      </c>
      <c r="CZ953">
        <f>'T_TTAFStock'!CX13</f>
        <v/>
      </c>
      <c r="DA953">
        <f>'T_TTAFStock'!CY13</f>
        <v/>
      </c>
      <c r="DB953">
        <f>'T_TTAFStock'!CZ13</f>
        <v/>
      </c>
      <c r="DC953">
        <f>'T_TTAFStock'!DA13</f>
        <v/>
      </c>
    </row>
    <row r="954">
      <c r="B954" t="inlineStr">
        <is>
          <t>自社在庫(実績,kg)</t>
        </is>
      </c>
      <c r="D954">
        <f>'T_SelfStock'!B13</f>
        <v/>
      </c>
      <c r="E954">
        <f>'T_SelfStock'!C13</f>
        <v/>
      </c>
      <c r="F954">
        <f>'T_SelfStock'!D13</f>
        <v/>
      </c>
      <c r="G954">
        <f>'T_SelfStock'!E13</f>
        <v/>
      </c>
      <c r="H954">
        <f>'T_SelfStock'!F13</f>
        <v/>
      </c>
      <c r="I954">
        <f>'T_SelfStock'!G13</f>
        <v/>
      </c>
      <c r="J954">
        <f>'T_SelfStock'!H13</f>
        <v/>
      </c>
      <c r="K954">
        <f>'T_SelfStock'!I13</f>
        <v/>
      </c>
      <c r="L954">
        <f>'T_SelfStock'!J13</f>
        <v/>
      </c>
      <c r="M954">
        <f>'T_SelfStock'!K13</f>
        <v/>
      </c>
      <c r="N954">
        <f>'T_SelfStock'!L13</f>
        <v/>
      </c>
      <c r="O954">
        <f>'T_SelfStock'!M13</f>
        <v/>
      </c>
      <c r="P954">
        <f>'T_SelfStock'!N13</f>
        <v/>
      </c>
      <c r="Q954">
        <f>'T_SelfStock'!O13</f>
        <v/>
      </c>
      <c r="R954">
        <f>'T_SelfStock'!P13</f>
        <v/>
      </c>
      <c r="S954">
        <f>'T_SelfStock'!Q13</f>
        <v/>
      </c>
      <c r="T954">
        <f>'T_SelfStock'!R13</f>
        <v/>
      </c>
      <c r="U954">
        <f>'T_SelfStock'!S13</f>
        <v/>
      </c>
      <c r="V954">
        <f>'T_SelfStock'!T13</f>
        <v/>
      </c>
      <c r="W954">
        <f>'T_SelfStock'!U13</f>
        <v/>
      </c>
      <c r="X954">
        <f>'T_SelfStock'!V13</f>
        <v/>
      </c>
      <c r="Y954">
        <f>'T_SelfStock'!W13</f>
        <v/>
      </c>
      <c r="Z954">
        <f>'T_SelfStock'!X13</f>
        <v/>
      </c>
      <c r="AA954">
        <f>'T_SelfStock'!Y13</f>
        <v/>
      </c>
      <c r="AB954">
        <f>'T_SelfStock'!Z13</f>
        <v/>
      </c>
      <c r="AC954">
        <f>'T_SelfStock'!AA13</f>
        <v/>
      </c>
      <c r="AD954">
        <f>'T_SelfStock'!AB13</f>
        <v/>
      </c>
      <c r="AE954">
        <f>'T_SelfStock'!AC13</f>
        <v/>
      </c>
      <c r="AF954">
        <f>'T_SelfStock'!AD13</f>
        <v/>
      </c>
      <c r="AG954">
        <f>'T_SelfStock'!AE13</f>
        <v/>
      </c>
      <c r="AH954">
        <f>'T_SelfStock'!AF13</f>
        <v/>
      </c>
      <c r="AI954">
        <f>'T_SelfStock'!AG13</f>
        <v/>
      </c>
      <c r="AJ954">
        <f>'T_SelfStock'!AH13</f>
        <v/>
      </c>
      <c r="AK954">
        <f>'T_SelfStock'!AI13</f>
        <v/>
      </c>
      <c r="AL954">
        <f>'T_SelfStock'!AJ13</f>
        <v/>
      </c>
      <c r="AM954">
        <f>'T_SelfStock'!AK13</f>
        <v/>
      </c>
      <c r="AN954">
        <f>'T_SelfStock'!AL13</f>
        <v/>
      </c>
      <c r="AO954">
        <f>'T_SelfStock'!AM13</f>
        <v/>
      </c>
      <c r="AP954">
        <f>'T_SelfStock'!AN13</f>
        <v/>
      </c>
      <c r="AQ954">
        <f>'T_SelfStock'!AO13</f>
        <v/>
      </c>
      <c r="AR954">
        <f>'T_SelfStock'!AP13</f>
        <v/>
      </c>
      <c r="AS954">
        <f>'T_SelfStock'!AQ13</f>
        <v/>
      </c>
      <c r="AT954">
        <f>'T_SelfStock'!AR13</f>
        <v/>
      </c>
      <c r="AU954">
        <f>'T_SelfStock'!AS13</f>
        <v/>
      </c>
      <c r="AV954">
        <f>'T_SelfStock'!AT13</f>
        <v/>
      </c>
      <c r="AW954">
        <f>'T_SelfStock'!AU13</f>
        <v/>
      </c>
      <c r="AX954">
        <f>'T_SelfStock'!AV13</f>
        <v/>
      </c>
      <c r="AY954">
        <f>'T_SelfStock'!AW13</f>
        <v/>
      </c>
      <c r="AZ954">
        <f>'T_SelfStock'!AX13</f>
        <v/>
      </c>
      <c r="BA954">
        <f>'T_SelfStock'!AY13</f>
        <v/>
      </c>
      <c r="BB954">
        <f>'T_SelfStock'!AZ13</f>
        <v/>
      </c>
      <c r="BC954">
        <f>'T_SelfStock'!BA13</f>
        <v/>
      </c>
      <c r="BD954">
        <f>'T_SelfStock'!BB13</f>
        <v/>
      </c>
      <c r="BE954">
        <f>'T_SelfStock'!BC13</f>
        <v/>
      </c>
      <c r="BF954">
        <f>'T_SelfStock'!BD13</f>
        <v/>
      </c>
      <c r="BG954">
        <f>'T_SelfStock'!BE13</f>
        <v/>
      </c>
      <c r="BH954">
        <f>'T_SelfStock'!BF13</f>
        <v/>
      </c>
      <c r="BI954">
        <f>'T_SelfStock'!BG13</f>
        <v/>
      </c>
      <c r="BJ954">
        <f>'T_SelfStock'!BH13</f>
        <v/>
      </c>
      <c r="BK954">
        <f>'T_SelfStock'!BI13</f>
        <v/>
      </c>
      <c r="BL954">
        <f>'T_SelfStock'!BJ13</f>
        <v/>
      </c>
      <c r="BM954">
        <f>'T_SelfStock'!BK13</f>
        <v/>
      </c>
      <c r="BN954">
        <f>'T_SelfStock'!BL13</f>
        <v/>
      </c>
      <c r="BO954">
        <f>'T_SelfStock'!BM13</f>
        <v/>
      </c>
      <c r="BP954">
        <f>'T_SelfStock'!BN13</f>
        <v/>
      </c>
      <c r="BQ954">
        <f>'T_SelfStock'!BO13</f>
        <v/>
      </c>
      <c r="BR954">
        <f>'T_SelfStock'!BP13</f>
        <v/>
      </c>
      <c r="BS954">
        <f>'T_SelfStock'!BQ13</f>
        <v/>
      </c>
      <c r="BT954">
        <f>'T_SelfStock'!BR13</f>
        <v/>
      </c>
      <c r="BU954">
        <f>'T_SelfStock'!BS13</f>
        <v/>
      </c>
      <c r="BV954">
        <f>'T_SelfStock'!BT13</f>
        <v/>
      </c>
      <c r="BW954">
        <f>'T_SelfStock'!BU13</f>
        <v/>
      </c>
      <c r="BX954">
        <f>'T_SelfStock'!BV13</f>
        <v/>
      </c>
      <c r="BY954">
        <f>'T_SelfStock'!BW13</f>
        <v/>
      </c>
      <c r="BZ954">
        <f>'T_SelfStock'!BX13</f>
        <v/>
      </c>
      <c r="CA954">
        <f>'T_SelfStock'!BY13</f>
        <v/>
      </c>
      <c r="CB954">
        <f>'T_SelfStock'!BZ13</f>
        <v/>
      </c>
      <c r="CC954">
        <f>'T_SelfStock'!CA13</f>
        <v/>
      </c>
      <c r="CD954">
        <f>'T_SelfStock'!CB13</f>
        <v/>
      </c>
      <c r="CE954">
        <f>'T_SelfStock'!CC13</f>
        <v/>
      </c>
      <c r="CF954">
        <f>'T_SelfStock'!CD13</f>
        <v/>
      </c>
      <c r="CG954">
        <f>'T_SelfStock'!CE13</f>
        <v/>
      </c>
      <c r="CH954">
        <f>'T_SelfStock'!CF13</f>
        <v/>
      </c>
      <c r="CI954">
        <f>'T_SelfStock'!CG13</f>
        <v/>
      </c>
      <c r="CJ954">
        <f>'T_SelfStock'!CH13</f>
        <v/>
      </c>
      <c r="CK954">
        <f>'T_SelfStock'!CI13</f>
        <v/>
      </c>
      <c r="CL954">
        <f>'T_SelfStock'!CJ13</f>
        <v/>
      </c>
      <c r="CM954">
        <f>'T_SelfStock'!CK13</f>
        <v/>
      </c>
      <c r="CN954">
        <f>'T_SelfStock'!CL13</f>
        <v/>
      </c>
      <c r="CO954">
        <f>'T_SelfStock'!CM13</f>
        <v/>
      </c>
      <c r="CP954">
        <f>'T_SelfStock'!CN13</f>
        <v/>
      </c>
      <c r="CQ954">
        <f>'T_SelfStock'!CO13</f>
        <v/>
      </c>
      <c r="CR954">
        <f>'T_SelfStock'!CP13</f>
        <v/>
      </c>
      <c r="CS954">
        <f>'T_SelfStock'!CQ13</f>
        <v/>
      </c>
      <c r="CT954">
        <f>'T_SelfStock'!CR13</f>
        <v/>
      </c>
      <c r="CU954">
        <f>'T_SelfStock'!CS13</f>
        <v/>
      </c>
      <c r="CV954">
        <f>'T_SelfStock'!CT13</f>
        <v/>
      </c>
      <c r="CW954">
        <f>'T_SelfStock'!CU13</f>
        <v/>
      </c>
      <c r="CX954">
        <f>'T_SelfStock'!CV13</f>
        <v/>
      </c>
      <c r="CY954">
        <f>'T_SelfStock'!CW13</f>
        <v/>
      </c>
      <c r="CZ954">
        <f>'T_SelfStock'!CX13</f>
        <v/>
      </c>
      <c r="DA954">
        <f>'T_SelfStock'!CY13</f>
        <v/>
      </c>
      <c r="DB954">
        <f>'T_SelfStock'!CZ13</f>
        <v/>
      </c>
      <c r="DC954">
        <f>'T_SelfStock'!DA13</f>
        <v/>
      </c>
    </row>
    <row r="955">
      <c r="B955" t="inlineStr">
        <is>
          <t>Order(発注予定,kg)</t>
        </is>
      </c>
      <c r="D955">
        <f>IF(SUMIFS(T_PlannedOrders[EffectiveQty],T_PlannedOrders[Part Name],$A923,T_PlannedOrders[WeekIndex],1)=0,"",SUMIFS(T_PlannedOrders[EffectiveQty],T_PlannedOrders[Part Name],$A923,T_PlannedOrders[WeekIndex],1)&amp;" ("&amp;TEXT(SUMPRODUCT(MAX((T_PlannedOrders[Part Name]=$A923)*(T_PlannedOrders[WeekIndex]=1)*(T_PlannedOrders[EffectiveQty]&gt;0)*T_PlannedOrders[Order_Month])),"m月")&amp;"発注)")</f>
        <v/>
      </c>
      <c r="E955">
        <f>IF(SUMIFS(T_PlannedOrders[EffectiveQty],T_PlannedOrders[Part Name],$A923,T_PlannedOrders[WeekIndex],2)=0,"",SUMIFS(T_PlannedOrders[EffectiveQty],T_PlannedOrders[Part Name],$A923,T_PlannedOrders[WeekIndex],2)&amp;" ("&amp;TEXT(SUMPRODUCT(MAX((T_PlannedOrders[Part Name]=$A923)*(T_PlannedOrders[WeekIndex]=2)*(T_PlannedOrders[EffectiveQty]&gt;0)*T_PlannedOrders[Order_Month])),"m月")&amp;"発注)")</f>
        <v/>
      </c>
      <c r="F955">
        <f>IF(SUMIFS(T_PlannedOrders[EffectiveQty],T_PlannedOrders[Part Name],$A923,T_PlannedOrders[WeekIndex],3)=0,"",SUMIFS(T_PlannedOrders[EffectiveQty],T_PlannedOrders[Part Name],$A923,T_PlannedOrders[WeekIndex],3)&amp;" ("&amp;TEXT(SUMPRODUCT(MAX((T_PlannedOrders[Part Name]=$A923)*(T_PlannedOrders[WeekIndex]=3)*(T_PlannedOrders[EffectiveQty]&gt;0)*T_PlannedOrders[Order_Month])),"m月")&amp;"発注)")</f>
        <v/>
      </c>
      <c r="G955">
        <f>IF(SUMIFS(T_PlannedOrders[EffectiveQty],T_PlannedOrders[Part Name],$A923,T_PlannedOrders[WeekIndex],4)=0,"",SUMIFS(T_PlannedOrders[EffectiveQty],T_PlannedOrders[Part Name],$A923,T_PlannedOrders[WeekIndex],4)&amp;" ("&amp;TEXT(SUMPRODUCT(MAX((T_PlannedOrders[Part Name]=$A923)*(T_PlannedOrders[WeekIndex]=4)*(T_PlannedOrders[EffectiveQty]&gt;0)*T_PlannedOrders[Order_Month])),"m月")&amp;"発注)")</f>
        <v/>
      </c>
      <c r="H955">
        <f>IF(SUMIFS(T_PlannedOrders[EffectiveQty],T_PlannedOrders[Part Name],$A923,T_PlannedOrders[WeekIndex],5)=0,"",SUMIFS(T_PlannedOrders[EffectiveQty],T_PlannedOrders[Part Name],$A923,T_PlannedOrders[WeekIndex],5)&amp;" ("&amp;TEXT(SUMPRODUCT(MAX((T_PlannedOrders[Part Name]=$A923)*(T_PlannedOrders[WeekIndex]=5)*(T_PlannedOrders[EffectiveQty]&gt;0)*T_PlannedOrders[Order_Month])),"m月")&amp;"発注)")</f>
        <v/>
      </c>
      <c r="I955">
        <f>IF(SUMIFS(T_PlannedOrders[EffectiveQty],T_PlannedOrders[Part Name],$A923,T_PlannedOrders[WeekIndex],6)=0,"",SUMIFS(T_PlannedOrders[EffectiveQty],T_PlannedOrders[Part Name],$A923,T_PlannedOrders[WeekIndex],6)&amp;" ("&amp;TEXT(SUMPRODUCT(MAX((T_PlannedOrders[Part Name]=$A923)*(T_PlannedOrders[WeekIndex]=6)*(T_PlannedOrders[EffectiveQty]&gt;0)*T_PlannedOrders[Order_Month])),"m月")&amp;"発注)")</f>
        <v/>
      </c>
      <c r="J955">
        <f>IF(SUMIFS(T_PlannedOrders[EffectiveQty],T_PlannedOrders[Part Name],$A923,T_PlannedOrders[WeekIndex],7)=0,"",SUMIFS(T_PlannedOrders[EffectiveQty],T_PlannedOrders[Part Name],$A923,T_PlannedOrders[WeekIndex],7)&amp;" ("&amp;TEXT(SUMPRODUCT(MAX((T_PlannedOrders[Part Name]=$A923)*(T_PlannedOrders[WeekIndex]=7)*(T_PlannedOrders[EffectiveQty]&gt;0)*T_PlannedOrders[Order_Month])),"m月")&amp;"発注)")</f>
        <v/>
      </c>
      <c r="K955">
        <f>IF(SUMIFS(T_PlannedOrders[EffectiveQty],T_PlannedOrders[Part Name],$A923,T_PlannedOrders[WeekIndex],8)=0,"",SUMIFS(T_PlannedOrders[EffectiveQty],T_PlannedOrders[Part Name],$A923,T_PlannedOrders[WeekIndex],8)&amp;" ("&amp;TEXT(SUMPRODUCT(MAX((T_PlannedOrders[Part Name]=$A923)*(T_PlannedOrders[WeekIndex]=8)*(T_PlannedOrders[EffectiveQty]&gt;0)*T_PlannedOrders[Order_Month])),"m月")&amp;"発注)")</f>
        <v/>
      </c>
      <c r="L955">
        <f>IF(SUMIFS(T_PlannedOrders[EffectiveQty],T_PlannedOrders[Part Name],$A923,T_PlannedOrders[WeekIndex],9)=0,"",SUMIFS(T_PlannedOrders[EffectiveQty],T_PlannedOrders[Part Name],$A923,T_PlannedOrders[WeekIndex],9)&amp;" ("&amp;TEXT(SUMPRODUCT(MAX((T_PlannedOrders[Part Name]=$A923)*(T_PlannedOrders[WeekIndex]=9)*(T_PlannedOrders[EffectiveQty]&gt;0)*T_PlannedOrders[Order_Month])),"m月")&amp;"発注)")</f>
        <v/>
      </c>
      <c r="M955">
        <f>IF(SUMIFS(T_PlannedOrders[EffectiveQty],T_PlannedOrders[Part Name],$A923,T_PlannedOrders[WeekIndex],10)=0,"",SUMIFS(T_PlannedOrders[EffectiveQty],T_PlannedOrders[Part Name],$A923,T_PlannedOrders[WeekIndex],10)&amp;" ("&amp;TEXT(SUMPRODUCT(MAX((T_PlannedOrders[Part Name]=$A923)*(T_PlannedOrders[WeekIndex]=10)*(T_PlannedOrders[EffectiveQty]&gt;0)*T_PlannedOrders[Order_Month])),"m月")&amp;"発注)")</f>
        <v/>
      </c>
      <c r="N955">
        <f>IF(SUMIFS(T_PlannedOrders[EffectiveQty],T_PlannedOrders[Part Name],$A923,T_PlannedOrders[WeekIndex],11)=0,"",SUMIFS(T_PlannedOrders[EffectiveQty],T_PlannedOrders[Part Name],$A923,T_PlannedOrders[WeekIndex],11)&amp;" ("&amp;TEXT(SUMPRODUCT(MAX((T_PlannedOrders[Part Name]=$A923)*(T_PlannedOrders[WeekIndex]=11)*(T_PlannedOrders[EffectiveQty]&gt;0)*T_PlannedOrders[Order_Month])),"m月")&amp;"発注)")</f>
        <v/>
      </c>
      <c r="O955">
        <f>IF(SUMIFS(T_PlannedOrders[EffectiveQty],T_PlannedOrders[Part Name],$A923,T_PlannedOrders[WeekIndex],12)=0,"",SUMIFS(T_PlannedOrders[EffectiveQty],T_PlannedOrders[Part Name],$A923,T_PlannedOrders[WeekIndex],12)&amp;" ("&amp;TEXT(SUMPRODUCT(MAX((T_PlannedOrders[Part Name]=$A923)*(T_PlannedOrders[WeekIndex]=12)*(T_PlannedOrders[EffectiveQty]&gt;0)*T_PlannedOrders[Order_Month])),"m月")&amp;"発注)")</f>
        <v/>
      </c>
      <c r="P955">
        <f>IF(SUMIFS(T_PlannedOrders[EffectiveQty],T_PlannedOrders[Part Name],$A923,T_PlannedOrders[WeekIndex],13)=0,"",SUMIFS(T_PlannedOrders[EffectiveQty],T_PlannedOrders[Part Name],$A923,T_PlannedOrders[WeekIndex],13)&amp;" ("&amp;TEXT(SUMPRODUCT(MAX((T_PlannedOrders[Part Name]=$A923)*(T_PlannedOrders[WeekIndex]=13)*(T_PlannedOrders[EffectiveQty]&gt;0)*T_PlannedOrders[Order_Month])),"m月")&amp;"発注)")</f>
        <v/>
      </c>
      <c r="Q955">
        <f>IF(SUMIFS(T_PlannedOrders[EffectiveQty],T_PlannedOrders[Part Name],$A923,T_PlannedOrders[WeekIndex],14)=0,"",SUMIFS(T_PlannedOrders[EffectiveQty],T_PlannedOrders[Part Name],$A923,T_PlannedOrders[WeekIndex],14)&amp;" ("&amp;TEXT(SUMPRODUCT(MAX((T_PlannedOrders[Part Name]=$A923)*(T_PlannedOrders[WeekIndex]=14)*(T_PlannedOrders[EffectiveQty]&gt;0)*T_PlannedOrders[Order_Month])),"m月")&amp;"発注)")</f>
        <v/>
      </c>
      <c r="R955">
        <f>IF(SUMIFS(T_PlannedOrders[EffectiveQty],T_PlannedOrders[Part Name],$A923,T_PlannedOrders[WeekIndex],15)=0,"",SUMIFS(T_PlannedOrders[EffectiveQty],T_PlannedOrders[Part Name],$A923,T_PlannedOrders[WeekIndex],15)&amp;" ("&amp;TEXT(SUMPRODUCT(MAX((T_PlannedOrders[Part Name]=$A923)*(T_PlannedOrders[WeekIndex]=15)*(T_PlannedOrders[EffectiveQty]&gt;0)*T_PlannedOrders[Order_Month])),"m月")&amp;"発注)")</f>
        <v/>
      </c>
      <c r="S955">
        <f>IF(SUMIFS(T_PlannedOrders[EffectiveQty],T_PlannedOrders[Part Name],$A923,T_PlannedOrders[WeekIndex],16)=0,"",SUMIFS(T_PlannedOrders[EffectiveQty],T_PlannedOrders[Part Name],$A923,T_PlannedOrders[WeekIndex],16)&amp;" ("&amp;TEXT(SUMPRODUCT(MAX((T_PlannedOrders[Part Name]=$A923)*(T_PlannedOrders[WeekIndex]=16)*(T_PlannedOrders[EffectiveQty]&gt;0)*T_PlannedOrders[Order_Month])),"m月")&amp;"発注)")</f>
        <v/>
      </c>
      <c r="T955">
        <f>IF(SUMIFS(T_PlannedOrders[EffectiveQty],T_PlannedOrders[Part Name],$A923,T_PlannedOrders[WeekIndex],17)=0,"",SUMIFS(T_PlannedOrders[EffectiveQty],T_PlannedOrders[Part Name],$A923,T_PlannedOrders[WeekIndex],17)&amp;" ("&amp;TEXT(SUMPRODUCT(MAX((T_PlannedOrders[Part Name]=$A923)*(T_PlannedOrders[WeekIndex]=17)*(T_PlannedOrders[EffectiveQty]&gt;0)*T_PlannedOrders[Order_Month])),"m月")&amp;"発注)")</f>
        <v/>
      </c>
      <c r="U955">
        <f>IF(SUMIFS(T_PlannedOrders[EffectiveQty],T_PlannedOrders[Part Name],$A923,T_PlannedOrders[WeekIndex],18)=0,"",SUMIFS(T_PlannedOrders[EffectiveQty],T_PlannedOrders[Part Name],$A923,T_PlannedOrders[WeekIndex],18)&amp;" ("&amp;TEXT(SUMPRODUCT(MAX((T_PlannedOrders[Part Name]=$A923)*(T_PlannedOrders[WeekIndex]=18)*(T_PlannedOrders[EffectiveQty]&gt;0)*T_PlannedOrders[Order_Month])),"m月")&amp;"発注)")</f>
        <v/>
      </c>
      <c r="V955">
        <f>IF(SUMIFS(T_PlannedOrders[EffectiveQty],T_PlannedOrders[Part Name],$A923,T_PlannedOrders[WeekIndex],19)=0,"",SUMIFS(T_PlannedOrders[EffectiveQty],T_PlannedOrders[Part Name],$A923,T_PlannedOrders[WeekIndex],19)&amp;" ("&amp;TEXT(SUMPRODUCT(MAX((T_PlannedOrders[Part Name]=$A923)*(T_PlannedOrders[WeekIndex]=19)*(T_PlannedOrders[EffectiveQty]&gt;0)*T_PlannedOrders[Order_Month])),"m月")&amp;"発注)")</f>
        <v/>
      </c>
      <c r="W955">
        <f>IF(SUMIFS(T_PlannedOrders[EffectiveQty],T_PlannedOrders[Part Name],$A923,T_PlannedOrders[WeekIndex],20)=0,"",SUMIFS(T_PlannedOrders[EffectiveQty],T_PlannedOrders[Part Name],$A923,T_PlannedOrders[WeekIndex],20)&amp;" ("&amp;TEXT(SUMPRODUCT(MAX((T_PlannedOrders[Part Name]=$A923)*(T_PlannedOrders[WeekIndex]=20)*(T_PlannedOrders[EffectiveQty]&gt;0)*T_PlannedOrders[Order_Month])),"m月")&amp;"発注)")</f>
        <v/>
      </c>
      <c r="X955">
        <f>IF(SUMIFS(T_PlannedOrders[EffectiveQty],T_PlannedOrders[Part Name],$A923,T_PlannedOrders[WeekIndex],21)=0,"",SUMIFS(T_PlannedOrders[EffectiveQty],T_PlannedOrders[Part Name],$A923,T_PlannedOrders[WeekIndex],21)&amp;" ("&amp;TEXT(SUMPRODUCT(MAX((T_PlannedOrders[Part Name]=$A923)*(T_PlannedOrders[WeekIndex]=21)*(T_PlannedOrders[EffectiveQty]&gt;0)*T_PlannedOrders[Order_Month])),"m月")&amp;"発注)")</f>
        <v/>
      </c>
      <c r="Y955">
        <f>IF(SUMIFS(T_PlannedOrders[EffectiveQty],T_PlannedOrders[Part Name],$A923,T_PlannedOrders[WeekIndex],22)=0,"",SUMIFS(T_PlannedOrders[EffectiveQty],T_PlannedOrders[Part Name],$A923,T_PlannedOrders[WeekIndex],22)&amp;" ("&amp;TEXT(SUMPRODUCT(MAX((T_PlannedOrders[Part Name]=$A923)*(T_PlannedOrders[WeekIndex]=22)*(T_PlannedOrders[EffectiveQty]&gt;0)*T_PlannedOrders[Order_Month])),"m月")&amp;"発注)")</f>
        <v/>
      </c>
      <c r="Z955">
        <f>IF(SUMIFS(T_PlannedOrders[EffectiveQty],T_PlannedOrders[Part Name],$A923,T_PlannedOrders[WeekIndex],23)=0,"",SUMIFS(T_PlannedOrders[EffectiveQty],T_PlannedOrders[Part Name],$A923,T_PlannedOrders[WeekIndex],23)&amp;" ("&amp;TEXT(SUMPRODUCT(MAX((T_PlannedOrders[Part Name]=$A923)*(T_PlannedOrders[WeekIndex]=23)*(T_PlannedOrders[EffectiveQty]&gt;0)*T_PlannedOrders[Order_Month])),"m月")&amp;"発注)")</f>
        <v/>
      </c>
      <c r="AA955">
        <f>IF(SUMIFS(T_PlannedOrders[EffectiveQty],T_PlannedOrders[Part Name],$A923,T_PlannedOrders[WeekIndex],24)=0,"",SUMIFS(T_PlannedOrders[EffectiveQty],T_PlannedOrders[Part Name],$A923,T_PlannedOrders[WeekIndex],24)&amp;" ("&amp;TEXT(SUMPRODUCT(MAX((T_PlannedOrders[Part Name]=$A923)*(T_PlannedOrders[WeekIndex]=24)*(T_PlannedOrders[EffectiveQty]&gt;0)*T_PlannedOrders[Order_Month])),"m月")&amp;"発注)")</f>
        <v/>
      </c>
      <c r="AB955">
        <f>IF(SUMIFS(T_PlannedOrders[EffectiveQty],T_PlannedOrders[Part Name],$A923,T_PlannedOrders[WeekIndex],25)=0,"",SUMIFS(T_PlannedOrders[EffectiveQty],T_PlannedOrders[Part Name],$A923,T_PlannedOrders[WeekIndex],25)&amp;" ("&amp;TEXT(SUMPRODUCT(MAX((T_PlannedOrders[Part Name]=$A923)*(T_PlannedOrders[WeekIndex]=25)*(T_PlannedOrders[EffectiveQty]&gt;0)*T_PlannedOrders[Order_Month])),"m月")&amp;"発注)")</f>
        <v/>
      </c>
      <c r="AC955">
        <f>IF(SUMIFS(T_PlannedOrders[EffectiveQty],T_PlannedOrders[Part Name],$A923,T_PlannedOrders[WeekIndex],26)=0,"",SUMIFS(T_PlannedOrders[EffectiveQty],T_PlannedOrders[Part Name],$A923,T_PlannedOrders[WeekIndex],26)&amp;" ("&amp;TEXT(SUMPRODUCT(MAX((T_PlannedOrders[Part Name]=$A923)*(T_PlannedOrders[WeekIndex]=26)*(T_PlannedOrders[EffectiveQty]&gt;0)*T_PlannedOrders[Order_Month])),"m月")&amp;"発注)")</f>
        <v/>
      </c>
      <c r="AD955">
        <f>IF(SUMIFS(T_PlannedOrders[EffectiveQty],T_PlannedOrders[Part Name],$A923,T_PlannedOrders[WeekIndex],27)=0,"",SUMIFS(T_PlannedOrders[EffectiveQty],T_PlannedOrders[Part Name],$A923,T_PlannedOrders[WeekIndex],27)&amp;" ("&amp;TEXT(SUMPRODUCT(MAX((T_PlannedOrders[Part Name]=$A923)*(T_PlannedOrders[WeekIndex]=27)*(T_PlannedOrders[EffectiveQty]&gt;0)*T_PlannedOrders[Order_Month])),"m月")&amp;"発注)")</f>
        <v/>
      </c>
      <c r="AE955">
        <f>IF(SUMIFS(T_PlannedOrders[EffectiveQty],T_PlannedOrders[Part Name],$A923,T_PlannedOrders[WeekIndex],28)=0,"",SUMIFS(T_PlannedOrders[EffectiveQty],T_PlannedOrders[Part Name],$A923,T_PlannedOrders[WeekIndex],28)&amp;" ("&amp;TEXT(SUMPRODUCT(MAX((T_PlannedOrders[Part Name]=$A923)*(T_PlannedOrders[WeekIndex]=28)*(T_PlannedOrders[EffectiveQty]&gt;0)*T_PlannedOrders[Order_Month])),"m月")&amp;"発注)")</f>
        <v/>
      </c>
      <c r="AF955">
        <f>IF(SUMIFS(T_PlannedOrders[EffectiveQty],T_PlannedOrders[Part Name],$A923,T_PlannedOrders[WeekIndex],29)=0,"",SUMIFS(T_PlannedOrders[EffectiveQty],T_PlannedOrders[Part Name],$A923,T_PlannedOrders[WeekIndex],29)&amp;" ("&amp;TEXT(SUMPRODUCT(MAX((T_PlannedOrders[Part Name]=$A923)*(T_PlannedOrders[WeekIndex]=29)*(T_PlannedOrders[EffectiveQty]&gt;0)*T_PlannedOrders[Order_Month])),"m月")&amp;"発注)")</f>
        <v/>
      </c>
      <c r="AG955">
        <f>IF(SUMIFS(T_PlannedOrders[EffectiveQty],T_PlannedOrders[Part Name],$A923,T_PlannedOrders[WeekIndex],30)=0,"",SUMIFS(T_PlannedOrders[EffectiveQty],T_PlannedOrders[Part Name],$A923,T_PlannedOrders[WeekIndex],30)&amp;" ("&amp;TEXT(SUMPRODUCT(MAX((T_PlannedOrders[Part Name]=$A923)*(T_PlannedOrders[WeekIndex]=30)*(T_PlannedOrders[EffectiveQty]&gt;0)*T_PlannedOrders[Order_Month])),"m月")&amp;"発注)")</f>
        <v/>
      </c>
      <c r="AH955">
        <f>IF(SUMIFS(T_PlannedOrders[EffectiveQty],T_PlannedOrders[Part Name],$A923,T_PlannedOrders[WeekIndex],31)=0,"",SUMIFS(T_PlannedOrders[EffectiveQty],T_PlannedOrders[Part Name],$A923,T_PlannedOrders[WeekIndex],31)&amp;" ("&amp;TEXT(SUMPRODUCT(MAX((T_PlannedOrders[Part Name]=$A923)*(T_PlannedOrders[WeekIndex]=31)*(T_PlannedOrders[EffectiveQty]&gt;0)*T_PlannedOrders[Order_Month])),"m月")&amp;"発注)")</f>
        <v/>
      </c>
      <c r="AI955">
        <f>IF(SUMIFS(T_PlannedOrders[EffectiveQty],T_PlannedOrders[Part Name],$A923,T_PlannedOrders[WeekIndex],32)=0,"",SUMIFS(T_PlannedOrders[EffectiveQty],T_PlannedOrders[Part Name],$A923,T_PlannedOrders[WeekIndex],32)&amp;" ("&amp;TEXT(SUMPRODUCT(MAX((T_PlannedOrders[Part Name]=$A923)*(T_PlannedOrders[WeekIndex]=32)*(T_PlannedOrders[EffectiveQty]&gt;0)*T_PlannedOrders[Order_Month])),"m月")&amp;"発注)")</f>
        <v/>
      </c>
      <c r="AJ955">
        <f>IF(SUMIFS(T_PlannedOrders[EffectiveQty],T_PlannedOrders[Part Name],$A923,T_PlannedOrders[WeekIndex],33)=0,"",SUMIFS(T_PlannedOrders[EffectiveQty],T_PlannedOrders[Part Name],$A923,T_PlannedOrders[WeekIndex],33)&amp;" ("&amp;TEXT(SUMPRODUCT(MAX((T_PlannedOrders[Part Name]=$A923)*(T_PlannedOrders[WeekIndex]=33)*(T_PlannedOrders[EffectiveQty]&gt;0)*T_PlannedOrders[Order_Month])),"m月")&amp;"発注)")</f>
        <v/>
      </c>
      <c r="AK955">
        <f>IF(SUMIFS(T_PlannedOrders[EffectiveQty],T_PlannedOrders[Part Name],$A923,T_PlannedOrders[WeekIndex],34)=0,"",SUMIFS(T_PlannedOrders[EffectiveQty],T_PlannedOrders[Part Name],$A923,T_PlannedOrders[WeekIndex],34)&amp;" ("&amp;TEXT(SUMPRODUCT(MAX((T_PlannedOrders[Part Name]=$A923)*(T_PlannedOrders[WeekIndex]=34)*(T_PlannedOrders[EffectiveQty]&gt;0)*T_PlannedOrders[Order_Month])),"m月")&amp;"発注)")</f>
        <v/>
      </c>
      <c r="AL955">
        <f>IF(SUMIFS(T_PlannedOrders[EffectiveQty],T_PlannedOrders[Part Name],$A923,T_PlannedOrders[WeekIndex],35)=0,"",SUMIFS(T_PlannedOrders[EffectiveQty],T_PlannedOrders[Part Name],$A923,T_PlannedOrders[WeekIndex],35)&amp;" ("&amp;TEXT(SUMPRODUCT(MAX((T_PlannedOrders[Part Name]=$A923)*(T_PlannedOrders[WeekIndex]=35)*(T_PlannedOrders[EffectiveQty]&gt;0)*T_PlannedOrders[Order_Month])),"m月")&amp;"発注)")</f>
        <v/>
      </c>
      <c r="AM955">
        <f>IF(SUMIFS(T_PlannedOrders[EffectiveQty],T_PlannedOrders[Part Name],$A923,T_PlannedOrders[WeekIndex],36)=0,"",SUMIFS(T_PlannedOrders[EffectiveQty],T_PlannedOrders[Part Name],$A923,T_PlannedOrders[WeekIndex],36)&amp;" ("&amp;TEXT(SUMPRODUCT(MAX((T_PlannedOrders[Part Name]=$A923)*(T_PlannedOrders[WeekIndex]=36)*(T_PlannedOrders[EffectiveQty]&gt;0)*T_PlannedOrders[Order_Month])),"m月")&amp;"発注)")</f>
        <v/>
      </c>
      <c r="AN955">
        <f>IF(SUMIFS(T_PlannedOrders[EffectiveQty],T_PlannedOrders[Part Name],$A923,T_PlannedOrders[WeekIndex],37)=0,"",SUMIFS(T_PlannedOrders[EffectiveQty],T_PlannedOrders[Part Name],$A923,T_PlannedOrders[WeekIndex],37)&amp;" ("&amp;TEXT(SUMPRODUCT(MAX((T_PlannedOrders[Part Name]=$A923)*(T_PlannedOrders[WeekIndex]=37)*(T_PlannedOrders[EffectiveQty]&gt;0)*T_PlannedOrders[Order_Month])),"m月")&amp;"発注)")</f>
        <v/>
      </c>
      <c r="AO955">
        <f>IF(SUMIFS(T_PlannedOrders[EffectiveQty],T_PlannedOrders[Part Name],$A923,T_PlannedOrders[WeekIndex],38)=0,"",SUMIFS(T_PlannedOrders[EffectiveQty],T_PlannedOrders[Part Name],$A923,T_PlannedOrders[WeekIndex],38)&amp;" ("&amp;TEXT(SUMPRODUCT(MAX((T_PlannedOrders[Part Name]=$A923)*(T_PlannedOrders[WeekIndex]=38)*(T_PlannedOrders[EffectiveQty]&gt;0)*T_PlannedOrders[Order_Month])),"m月")&amp;"発注)")</f>
        <v/>
      </c>
      <c r="AP955">
        <f>IF(SUMIFS(T_PlannedOrders[EffectiveQty],T_PlannedOrders[Part Name],$A923,T_PlannedOrders[WeekIndex],39)=0,"",SUMIFS(T_PlannedOrders[EffectiveQty],T_PlannedOrders[Part Name],$A923,T_PlannedOrders[WeekIndex],39)&amp;" ("&amp;TEXT(SUMPRODUCT(MAX((T_PlannedOrders[Part Name]=$A923)*(T_PlannedOrders[WeekIndex]=39)*(T_PlannedOrders[EffectiveQty]&gt;0)*T_PlannedOrders[Order_Month])),"m月")&amp;"発注)")</f>
        <v/>
      </c>
      <c r="AQ955">
        <f>IF(SUMIFS(T_PlannedOrders[EffectiveQty],T_PlannedOrders[Part Name],$A923,T_PlannedOrders[WeekIndex],40)=0,"",SUMIFS(T_PlannedOrders[EffectiveQty],T_PlannedOrders[Part Name],$A923,T_PlannedOrders[WeekIndex],40)&amp;" ("&amp;TEXT(SUMPRODUCT(MAX((T_PlannedOrders[Part Name]=$A923)*(T_PlannedOrders[WeekIndex]=40)*(T_PlannedOrders[EffectiveQty]&gt;0)*T_PlannedOrders[Order_Month])),"m月")&amp;"発注)")</f>
        <v/>
      </c>
      <c r="AR955">
        <f>IF(SUMIFS(T_PlannedOrders[EffectiveQty],T_PlannedOrders[Part Name],$A923,T_PlannedOrders[WeekIndex],41)=0,"",SUMIFS(T_PlannedOrders[EffectiveQty],T_PlannedOrders[Part Name],$A923,T_PlannedOrders[WeekIndex],41)&amp;" ("&amp;TEXT(SUMPRODUCT(MAX((T_PlannedOrders[Part Name]=$A923)*(T_PlannedOrders[WeekIndex]=41)*(T_PlannedOrders[EffectiveQty]&gt;0)*T_PlannedOrders[Order_Month])),"m月")&amp;"発注)")</f>
        <v/>
      </c>
      <c r="AS955">
        <f>IF(SUMIFS(T_PlannedOrders[EffectiveQty],T_PlannedOrders[Part Name],$A923,T_PlannedOrders[WeekIndex],42)=0,"",SUMIFS(T_PlannedOrders[EffectiveQty],T_PlannedOrders[Part Name],$A923,T_PlannedOrders[WeekIndex],42)&amp;" ("&amp;TEXT(SUMPRODUCT(MAX((T_PlannedOrders[Part Name]=$A923)*(T_PlannedOrders[WeekIndex]=42)*(T_PlannedOrders[EffectiveQty]&gt;0)*T_PlannedOrders[Order_Month])),"m月")&amp;"発注)")</f>
        <v/>
      </c>
      <c r="AT955">
        <f>IF(SUMIFS(T_PlannedOrders[EffectiveQty],T_PlannedOrders[Part Name],$A923,T_PlannedOrders[WeekIndex],43)=0,"",SUMIFS(T_PlannedOrders[EffectiveQty],T_PlannedOrders[Part Name],$A923,T_PlannedOrders[WeekIndex],43)&amp;" ("&amp;TEXT(SUMPRODUCT(MAX((T_PlannedOrders[Part Name]=$A923)*(T_PlannedOrders[WeekIndex]=43)*(T_PlannedOrders[EffectiveQty]&gt;0)*T_PlannedOrders[Order_Month])),"m月")&amp;"発注)")</f>
        <v/>
      </c>
      <c r="AU955">
        <f>IF(SUMIFS(T_PlannedOrders[EffectiveQty],T_PlannedOrders[Part Name],$A923,T_PlannedOrders[WeekIndex],44)=0,"",SUMIFS(T_PlannedOrders[EffectiveQty],T_PlannedOrders[Part Name],$A923,T_PlannedOrders[WeekIndex],44)&amp;" ("&amp;TEXT(SUMPRODUCT(MAX((T_PlannedOrders[Part Name]=$A923)*(T_PlannedOrders[WeekIndex]=44)*(T_PlannedOrders[EffectiveQty]&gt;0)*T_PlannedOrders[Order_Month])),"m月")&amp;"発注)")</f>
        <v/>
      </c>
      <c r="AV955">
        <f>IF(SUMIFS(T_PlannedOrders[EffectiveQty],T_PlannedOrders[Part Name],$A923,T_PlannedOrders[WeekIndex],45)=0,"",SUMIFS(T_PlannedOrders[EffectiveQty],T_PlannedOrders[Part Name],$A923,T_PlannedOrders[WeekIndex],45)&amp;" ("&amp;TEXT(SUMPRODUCT(MAX((T_PlannedOrders[Part Name]=$A923)*(T_PlannedOrders[WeekIndex]=45)*(T_PlannedOrders[EffectiveQty]&gt;0)*T_PlannedOrders[Order_Month])),"m月")&amp;"発注)")</f>
        <v/>
      </c>
      <c r="AW955">
        <f>IF(SUMIFS(T_PlannedOrders[EffectiveQty],T_PlannedOrders[Part Name],$A923,T_PlannedOrders[WeekIndex],46)=0,"",SUMIFS(T_PlannedOrders[EffectiveQty],T_PlannedOrders[Part Name],$A923,T_PlannedOrders[WeekIndex],46)&amp;" ("&amp;TEXT(SUMPRODUCT(MAX((T_PlannedOrders[Part Name]=$A923)*(T_PlannedOrders[WeekIndex]=46)*(T_PlannedOrders[EffectiveQty]&gt;0)*T_PlannedOrders[Order_Month])),"m月")&amp;"発注)")</f>
        <v/>
      </c>
      <c r="AX955">
        <f>IF(SUMIFS(T_PlannedOrders[EffectiveQty],T_PlannedOrders[Part Name],$A923,T_PlannedOrders[WeekIndex],47)=0,"",SUMIFS(T_PlannedOrders[EffectiveQty],T_PlannedOrders[Part Name],$A923,T_PlannedOrders[WeekIndex],47)&amp;" ("&amp;TEXT(SUMPRODUCT(MAX((T_PlannedOrders[Part Name]=$A923)*(T_PlannedOrders[WeekIndex]=47)*(T_PlannedOrders[EffectiveQty]&gt;0)*T_PlannedOrders[Order_Month])),"m月")&amp;"発注)")</f>
        <v/>
      </c>
      <c r="AY955">
        <f>IF(SUMIFS(T_PlannedOrders[EffectiveQty],T_PlannedOrders[Part Name],$A923,T_PlannedOrders[WeekIndex],48)=0,"",SUMIFS(T_PlannedOrders[EffectiveQty],T_PlannedOrders[Part Name],$A923,T_PlannedOrders[WeekIndex],48)&amp;" ("&amp;TEXT(SUMPRODUCT(MAX((T_PlannedOrders[Part Name]=$A923)*(T_PlannedOrders[WeekIndex]=48)*(T_PlannedOrders[EffectiveQty]&gt;0)*T_PlannedOrders[Order_Month])),"m月")&amp;"発注)")</f>
        <v/>
      </c>
      <c r="AZ955">
        <f>IF(SUMIFS(T_PlannedOrders[EffectiveQty],T_PlannedOrders[Part Name],$A923,T_PlannedOrders[WeekIndex],49)=0,"",SUMIFS(T_PlannedOrders[EffectiveQty],T_PlannedOrders[Part Name],$A923,T_PlannedOrders[WeekIndex],49)&amp;" ("&amp;TEXT(SUMPRODUCT(MAX((T_PlannedOrders[Part Name]=$A923)*(T_PlannedOrders[WeekIndex]=49)*(T_PlannedOrders[EffectiveQty]&gt;0)*T_PlannedOrders[Order_Month])),"m月")&amp;"発注)")</f>
        <v/>
      </c>
      <c r="BA955">
        <f>IF(SUMIFS(T_PlannedOrders[EffectiveQty],T_PlannedOrders[Part Name],$A923,T_PlannedOrders[WeekIndex],50)=0,"",SUMIFS(T_PlannedOrders[EffectiveQty],T_PlannedOrders[Part Name],$A923,T_PlannedOrders[WeekIndex],50)&amp;" ("&amp;TEXT(SUMPRODUCT(MAX((T_PlannedOrders[Part Name]=$A923)*(T_PlannedOrders[WeekIndex]=50)*(T_PlannedOrders[EffectiveQty]&gt;0)*T_PlannedOrders[Order_Month])),"m月")&amp;"発注)")</f>
        <v/>
      </c>
      <c r="BB955">
        <f>IF(SUMIFS(T_PlannedOrders[EffectiveQty],T_PlannedOrders[Part Name],$A923,T_PlannedOrders[WeekIndex],51)=0,"",SUMIFS(T_PlannedOrders[EffectiveQty],T_PlannedOrders[Part Name],$A923,T_PlannedOrders[WeekIndex],51)&amp;" ("&amp;TEXT(SUMPRODUCT(MAX((T_PlannedOrders[Part Name]=$A923)*(T_PlannedOrders[WeekIndex]=51)*(T_PlannedOrders[EffectiveQty]&gt;0)*T_PlannedOrders[Order_Month])),"m月")&amp;"発注)")</f>
        <v/>
      </c>
      <c r="BC955">
        <f>IF(SUMIFS(T_PlannedOrders[EffectiveQty],T_PlannedOrders[Part Name],$A923,T_PlannedOrders[WeekIndex],52)=0,"",SUMIFS(T_PlannedOrders[EffectiveQty],T_PlannedOrders[Part Name],$A923,T_PlannedOrders[WeekIndex],52)&amp;" ("&amp;TEXT(SUMPRODUCT(MAX((T_PlannedOrders[Part Name]=$A923)*(T_PlannedOrders[WeekIndex]=52)*(T_PlannedOrders[EffectiveQty]&gt;0)*T_PlannedOrders[Order_Month])),"m月")&amp;"発注)")</f>
        <v/>
      </c>
      <c r="BD955">
        <f>IF(SUMIFS(T_PlannedOrders[EffectiveQty],T_PlannedOrders[Part Name],$A923,T_PlannedOrders[WeekIndex],53)=0,"",SUMIFS(T_PlannedOrders[EffectiveQty],T_PlannedOrders[Part Name],$A923,T_PlannedOrders[WeekIndex],53)&amp;" ("&amp;TEXT(SUMPRODUCT(MAX((T_PlannedOrders[Part Name]=$A923)*(T_PlannedOrders[WeekIndex]=53)*(T_PlannedOrders[EffectiveQty]&gt;0)*T_PlannedOrders[Order_Month])),"m月")&amp;"発注)")</f>
        <v/>
      </c>
      <c r="BE955">
        <f>IF(SUMIFS(T_PlannedOrders[EffectiveQty],T_PlannedOrders[Part Name],$A923,T_PlannedOrders[WeekIndex],54)=0,"",SUMIFS(T_PlannedOrders[EffectiveQty],T_PlannedOrders[Part Name],$A923,T_PlannedOrders[WeekIndex],54)&amp;" ("&amp;TEXT(SUMPRODUCT(MAX((T_PlannedOrders[Part Name]=$A923)*(T_PlannedOrders[WeekIndex]=54)*(T_PlannedOrders[EffectiveQty]&gt;0)*T_PlannedOrders[Order_Month])),"m月")&amp;"発注)")</f>
        <v/>
      </c>
      <c r="BF955">
        <f>IF(SUMIFS(T_PlannedOrders[EffectiveQty],T_PlannedOrders[Part Name],$A923,T_PlannedOrders[WeekIndex],55)=0,"",SUMIFS(T_PlannedOrders[EffectiveQty],T_PlannedOrders[Part Name],$A923,T_PlannedOrders[WeekIndex],55)&amp;" ("&amp;TEXT(SUMPRODUCT(MAX((T_PlannedOrders[Part Name]=$A923)*(T_PlannedOrders[WeekIndex]=55)*(T_PlannedOrders[EffectiveQty]&gt;0)*T_PlannedOrders[Order_Month])),"m月")&amp;"発注)")</f>
        <v/>
      </c>
      <c r="BG955">
        <f>IF(SUMIFS(T_PlannedOrders[EffectiveQty],T_PlannedOrders[Part Name],$A923,T_PlannedOrders[WeekIndex],56)=0,"",SUMIFS(T_PlannedOrders[EffectiveQty],T_PlannedOrders[Part Name],$A923,T_PlannedOrders[WeekIndex],56)&amp;" ("&amp;TEXT(SUMPRODUCT(MAX((T_PlannedOrders[Part Name]=$A923)*(T_PlannedOrders[WeekIndex]=56)*(T_PlannedOrders[EffectiveQty]&gt;0)*T_PlannedOrders[Order_Month])),"m月")&amp;"発注)")</f>
        <v/>
      </c>
      <c r="BH955">
        <f>IF(SUMIFS(T_PlannedOrders[EffectiveQty],T_PlannedOrders[Part Name],$A923,T_PlannedOrders[WeekIndex],57)=0,"",SUMIFS(T_PlannedOrders[EffectiveQty],T_PlannedOrders[Part Name],$A923,T_PlannedOrders[WeekIndex],57)&amp;" ("&amp;TEXT(SUMPRODUCT(MAX((T_PlannedOrders[Part Name]=$A923)*(T_PlannedOrders[WeekIndex]=57)*(T_PlannedOrders[EffectiveQty]&gt;0)*T_PlannedOrders[Order_Month])),"m月")&amp;"発注)")</f>
        <v/>
      </c>
      <c r="BI955">
        <f>IF(SUMIFS(T_PlannedOrders[EffectiveQty],T_PlannedOrders[Part Name],$A923,T_PlannedOrders[WeekIndex],58)=0,"",SUMIFS(T_PlannedOrders[EffectiveQty],T_PlannedOrders[Part Name],$A923,T_PlannedOrders[WeekIndex],58)&amp;" ("&amp;TEXT(SUMPRODUCT(MAX((T_PlannedOrders[Part Name]=$A923)*(T_PlannedOrders[WeekIndex]=58)*(T_PlannedOrders[EffectiveQty]&gt;0)*T_PlannedOrders[Order_Month])),"m月")&amp;"発注)")</f>
        <v/>
      </c>
      <c r="BJ955">
        <f>IF(SUMIFS(T_PlannedOrders[EffectiveQty],T_PlannedOrders[Part Name],$A923,T_PlannedOrders[WeekIndex],59)=0,"",SUMIFS(T_PlannedOrders[EffectiveQty],T_PlannedOrders[Part Name],$A923,T_PlannedOrders[WeekIndex],59)&amp;" ("&amp;TEXT(SUMPRODUCT(MAX((T_PlannedOrders[Part Name]=$A923)*(T_PlannedOrders[WeekIndex]=59)*(T_PlannedOrders[EffectiveQty]&gt;0)*T_PlannedOrders[Order_Month])),"m月")&amp;"発注)")</f>
        <v/>
      </c>
      <c r="BK955">
        <f>IF(SUMIFS(T_PlannedOrders[EffectiveQty],T_PlannedOrders[Part Name],$A923,T_PlannedOrders[WeekIndex],60)=0,"",SUMIFS(T_PlannedOrders[EffectiveQty],T_PlannedOrders[Part Name],$A923,T_PlannedOrders[WeekIndex],60)&amp;" ("&amp;TEXT(SUMPRODUCT(MAX((T_PlannedOrders[Part Name]=$A923)*(T_PlannedOrders[WeekIndex]=60)*(T_PlannedOrders[EffectiveQty]&gt;0)*T_PlannedOrders[Order_Month])),"m月")&amp;"発注)")</f>
        <v/>
      </c>
      <c r="BL955">
        <f>IF(SUMIFS(T_PlannedOrders[EffectiveQty],T_PlannedOrders[Part Name],$A923,T_PlannedOrders[WeekIndex],61)=0,"",SUMIFS(T_PlannedOrders[EffectiveQty],T_PlannedOrders[Part Name],$A923,T_PlannedOrders[WeekIndex],61)&amp;" ("&amp;TEXT(SUMPRODUCT(MAX((T_PlannedOrders[Part Name]=$A923)*(T_PlannedOrders[WeekIndex]=61)*(T_PlannedOrders[EffectiveQty]&gt;0)*T_PlannedOrders[Order_Month])),"m月")&amp;"発注)")</f>
        <v/>
      </c>
      <c r="BM955">
        <f>IF(SUMIFS(T_PlannedOrders[EffectiveQty],T_PlannedOrders[Part Name],$A923,T_PlannedOrders[WeekIndex],62)=0,"",SUMIFS(T_PlannedOrders[EffectiveQty],T_PlannedOrders[Part Name],$A923,T_PlannedOrders[WeekIndex],62)&amp;" ("&amp;TEXT(SUMPRODUCT(MAX((T_PlannedOrders[Part Name]=$A923)*(T_PlannedOrders[WeekIndex]=62)*(T_PlannedOrders[EffectiveQty]&gt;0)*T_PlannedOrders[Order_Month])),"m月")&amp;"発注)")</f>
        <v/>
      </c>
      <c r="BN955">
        <f>IF(SUMIFS(T_PlannedOrders[EffectiveQty],T_PlannedOrders[Part Name],$A923,T_PlannedOrders[WeekIndex],63)=0,"",SUMIFS(T_PlannedOrders[EffectiveQty],T_PlannedOrders[Part Name],$A923,T_PlannedOrders[WeekIndex],63)&amp;" ("&amp;TEXT(SUMPRODUCT(MAX((T_PlannedOrders[Part Name]=$A923)*(T_PlannedOrders[WeekIndex]=63)*(T_PlannedOrders[EffectiveQty]&gt;0)*T_PlannedOrders[Order_Month])),"m月")&amp;"発注)")</f>
        <v/>
      </c>
      <c r="BO955">
        <f>IF(SUMIFS(T_PlannedOrders[EffectiveQty],T_PlannedOrders[Part Name],$A923,T_PlannedOrders[WeekIndex],64)=0,"",SUMIFS(T_PlannedOrders[EffectiveQty],T_PlannedOrders[Part Name],$A923,T_PlannedOrders[WeekIndex],64)&amp;" ("&amp;TEXT(SUMPRODUCT(MAX((T_PlannedOrders[Part Name]=$A923)*(T_PlannedOrders[WeekIndex]=64)*(T_PlannedOrders[EffectiveQty]&gt;0)*T_PlannedOrders[Order_Month])),"m月")&amp;"発注)")</f>
        <v/>
      </c>
      <c r="BP955">
        <f>IF(SUMIFS(T_PlannedOrders[EffectiveQty],T_PlannedOrders[Part Name],$A923,T_PlannedOrders[WeekIndex],65)=0,"",SUMIFS(T_PlannedOrders[EffectiveQty],T_PlannedOrders[Part Name],$A923,T_PlannedOrders[WeekIndex],65)&amp;" ("&amp;TEXT(SUMPRODUCT(MAX((T_PlannedOrders[Part Name]=$A923)*(T_PlannedOrders[WeekIndex]=65)*(T_PlannedOrders[EffectiveQty]&gt;0)*T_PlannedOrders[Order_Month])),"m月")&amp;"発注)")</f>
        <v/>
      </c>
      <c r="BQ955">
        <f>IF(SUMIFS(T_PlannedOrders[EffectiveQty],T_PlannedOrders[Part Name],$A923,T_PlannedOrders[WeekIndex],66)=0,"",SUMIFS(T_PlannedOrders[EffectiveQty],T_PlannedOrders[Part Name],$A923,T_PlannedOrders[WeekIndex],66)&amp;" ("&amp;TEXT(SUMPRODUCT(MAX((T_PlannedOrders[Part Name]=$A923)*(T_PlannedOrders[WeekIndex]=66)*(T_PlannedOrders[EffectiveQty]&gt;0)*T_PlannedOrders[Order_Month])),"m月")&amp;"発注)")</f>
        <v/>
      </c>
      <c r="BR955">
        <f>IF(SUMIFS(T_PlannedOrders[EffectiveQty],T_PlannedOrders[Part Name],$A923,T_PlannedOrders[WeekIndex],67)=0,"",SUMIFS(T_PlannedOrders[EffectiveQty],T_PlannedOrders[Part Name],$A923,T_PlannedOrders[WeekIndex],67)&amp;" ("&amp;TEXT(SUMPRODUCT(MAX((T_PlannedOrders[Part Name]=$A923)*(T_PlannedOrders[WeekIndex]=67)*(T_PlannedOrders[EffectiveQty]&gt;0)*T_PlannedOrders[Order_Month])),"m月")&amp;"発注)")</f>
        <v/>
      </c>
      <c r="BS955">
        <f>IF(SUMIFS(T_PlannedOrders[EffectiveQty],T_PlannedOrders[Part Name],$A923,T_PlannedOrders[WeekIndex],68)=0,"",SUMIFS(T_PlannedOrders[EffectiveQty],T_PlannedOrders[Part Name],$A923,T_PlannedOrders[WeekIndex],68)&amp;" ("&amp;TEXT(SUMPRODUCT(MAX((T_PlannedOrders[Part Name]=$A923)*(T_PlannedOrders[WeekIndex]=68)*(T_PlannedOrders[EffectiveQty]&gt;0)*T_PlannedOrders[Order_Month])),"m月")&amp;"発注)")</f>
        <v/>
      </c>
      <c r="BT955">
        <f>IF(SUMIFS(T_PlannedOrders[EffectiveQty],T_PlannedOrders[Part Name],$A923,T_PlannedOrders[WeekIndex],69)=0,"",SUMIFS(T_PlannedOrders[EffectiveQty],T_PlannedOrders[Part Name],$A923,T_PlannedOrders[WeekIndex],69)&amp;" ("&amp;TEXT(SUMPRODUCT(MAX((T_PlannedOrders[Part Name]=$A923)*(T_PlannedOrders[WeekIndex]=69)*(T_PlannedOrders[EffectiveQty]&gt;0)*T_PlannedOrders[Order_Month])),"m月")&amp;"発注)")</f>
        <v/>
      </c>
      <c r="BU955">
        <f>IF(SUMIFS(T_PlannedOrders[EffectiveQty],T_PlannedOrders[Part Name],$A923,T_PlannedOrders[WeekIndex],70)=0,"",SUMIFS(T_PlannedOrders[EffectiveQty],T_PlannedOrders[Part Name],$A923,T_PlannedOrders[WeekIndex],70)&amp;" ("&amp;TEXT(SUMPRODUCT(MAX((T_PlannedOrders[Part Name]=$A923)*(T_PlannedOrders[WeekIndex]=70)*(T_PlannedOrders[EffectiveQty]&gt;0)*T_PlannedOrders[Order_Month])),"m月")&amp;"発注)")</f>
        <v/>
      </c>
      <c r="BV955">
        <f>IF(SUMIFS(T_PlannedOrders[EffectiveQty],T_PlannedOrders[Part Name],$A923,T_PlannedOrders[WeekIndex],71)=0,"",SUMIFS(T_PlannedOrders[EffectiveQty],T_PlannedOrders[Part Name],$A923,T_PlannedOrders[WeekIndex],71)&amp;" ("&amp;TEXT(SUMPRODUCT(MAX((T_PlannedOrders[Part Name]=$A923)*(T_PlannedOrders[WeekIndex]=71)*(T_PlannedOrders[EffectiveQty]&gt;0)*T_PlannedOrders[Order_Month])),"m月")&amp;"発注)")</f>
        <v/>
      </c>
      <c r="BW955">
        <f>IF(SUMIFS(T_PlannedOrders[EffectiveQty],T_PlannedOrders[Part Name],$A923,T_PlannedOrders[WeekIndex],72)=0,"",SUMIFS(T_PlannedOrders[EffectiveQty],T_PlannedOrders[Part Name],$A923,T_PlannedOrders[WeekIndex],72)&amp;" ("&amp;TEXT(SUMPRODUCT(MAX((T_PlannedOrders[Part Name]=$A923)*(T_PlannedOrders[WeekIndex]=72)*(T_PlannedOrders[EffectiveQty]&gt;0)*T_PlannedOrders[Order_Month])),"m月")&amp;"発注)")</f>
        <v/>
      </c>
      <c r="BX955">
        <f>IF(SUMIFS(T_PlannedOrders[EffectiveQty],T_PlannedOrders[Part Name],$A923,T_PlannedOrders[WeekIndex],73)=0,"",SUMIFS(T_PlannedOrders[EffectiveQty],T_PlannedOrders[Part Name],$A923,T_PlannedOrders[WeekIndex],73)&amp;" ("&amp;TEXT(SUMPRODUCT(MAX((T_PlannedOrders[Part Name]=$A923)*(T_PlannedOrders[WeekIndex]=73)*(T_PlannedOrders[EffectiveQty]&gt;0)*T_PlannedOrders[Order_Month])),"m月")&amp;"発注)")</f>
        <v/>
      </c>
      <c r="BY955">
        <f>IF(SUMIFS(T_PlannedOrders[EffectiveQty],T_PlannedOrders[Part Name],$A923,T_PlannedOrders[WeekIndex],74)=0,"",SUMIFS(T_PlannedOrders[EffectiveQty],T_PlannedOrders[Part Name],$A923,T_PlannedOrders[WeekIndex],74)&amp;" ("&amp;TEXT(SUMPRODUCT(MAX((T_PlannedOrders[Part Name]=$A923)*(T_PlannedOrders[WeekIndex]=74)*(T_PlannedOrders[EffectiveQty]&gt;0)*T_PlannedOrders[Order_Month])),"m月")&amp;"発注)")</f>
        <v/>
      </c>
      <c r="BZ955">
        <f>IF(SUMIFS(T_PlannedOrders[EffectiveQty],T_PlannedOrders[Part Name],$A923,T_PlannedOrders[WeekIndex],75)=0,"",SUMIFS(T_PlannedOrders[EffectiveQty],T_PlannedOrders[Part Name],$A923,T_PlannedOrders[WeekIndex],75)&amp;" ("&amp;TEXT(SUMPRODUCT(MAX((T_PlannedOrders[Part Name]=$A923)*(T_PlannedOrders[WeekIndex]=75)*(T_PlannedOrders[EffectiveQty]&gt;0)*T_PlannedOrders[Order_Month])),"m月")&amp;"発注)")</f>
        <v/>
      </c>
      <c r="CA955">
        <f>IF(SUMIFS(T_PlannedOrders[EffectiveQty],T_PlannedOrders[Part Name],$A923,T_PlannedOrders[WeekIndex],76)=0,"",SUMIFS(T_PlannedOrders[EffectiveQty],T_PlannedOrders[Part Name],$A923,T_PlannedOrders[WeekIndex],76)&amp;" ("&amp;TEXT(SUMPRODUCT(MAX((T_PlannedOrders[Part Name]=$A923)*(T_PlannedOrders[WeekIndex]=76)*(T_PlannedOrders[EffectiveQty]&gt;0)*T_PlannedOrders[Order_Month])),"m月")&amp;"発注)")</f>
        <v/>
      </c>
      <c r="CB955">
        <f>IF(SUMIFS(T_PlannedOrders[EffectiveQty],T_PlannedOrders[Part Name],$A923,T_PlannedOrders[WeekIndex],77)=0,"",SUMIFS(T_PlannedOrders[EffectiveQty],T_PlannedOrders[Part Name],$A923,T_PlannedOrders[WeekIndex],77)&amp;" ("&amp;TEXT(SUMPRODUCT(MAX((T_PlannedOrders[Part Name]=$A923)*(T_PlannedOrders[WeekIndex]=77)*(T_PlannedOrders[EffectiveQty]&gt;0)*T_PlannedOrders[Order_Month])),"m月")&amp;"発注)")</f>
        <v/>
      </c>
      <c r="CC955">
        <f>IF(SUMIFS(T_PlannedOrders[EffectiveQty],T_PlannedOrders[Part Name],$A923,T_PlannedOrders[WeekIndex],78)=0,"",SUMIFS(T_PlannedOrders[EffectiveQty],T_PlannedOrders[Part Name],$A923,T_PlannedOrders[WeekIndex],78)&amp;" ("&amp;TEXT(SUMPRODUCT(MAX((T_PlannedOrders[Part Name]=$A923)*(T_PlannedOrders[WeekIndex]=78)*(T_PlannedOrders[EffectiveQty]&gt;0)*T_PlannedOrders[Order_Month])),"m月")&amp;"発注)")</f>
        <v/>
      </c>
      <c r="CD955">
        <f>IF(SUMIFS(T_PlannedOrders[EffectiveQty],T_PlannedOrders[Part Name],$A923,T_PlannedOrders[WeekIndex],79)=0,"",SUMIFS(T_PlannedOrders[EffectiveQty],T_PlannedOrders[Part Name],$A923,T_PlannedOrders[WeekIndex],79)&amp;" ("&amp;TEXT(SUMPRODUCT(MAX((T_PlannedOrders[Part Name]=$A923)*(T_PlannedOrders[WeekIndex]=79)*(T_PlannedOrders[EffectiveQty]&gt;0)*T_PlannedOrders[Order_Month])),"m月")&amp;"発注)")</f>
        <v/>
      </c>
      <c r="CE955">
        <f>IF(SUMIFS(T_PlannedOrders[EffectiveQty],T_PlannedOrders[Part Name],$A923,T_PlannedOrders[WeekIndex],80)=0,"",SUMIFS(T_PlannedOrders[EffectiveQty],T_PlannedOrders[Part Name],$A923,T_PlannedOrders[WeekIndex],80)&amp;" ("&amp;TEXT(SUMPRODUCT(MAX((T_PlannedOrders[Part Name]=$A923)*(T_PlannedOrders[WeekIndex]=80)*(T_PlannedOrders[EffectiveQty]&gt;0)*T_PlannedOrders[Order_Month])),"m月")&amp;"発注)")</f>
        <v/>
      </c>
      <c r="CF955">
        <f>IF(SUMIFS(T_PlannedOrders[EffectiveQty],T_PlannedOrders[Part Name],$A923,T_PlannedOrders[WeekIndex],81)=0,"",SUMIFS(T_PlannedOrders[EffectiveQty],T_PlannedOrders[Part Name],$A923,T_PlannedOrders[WeekIndex],81)&amp;" ("&amp;TEXT(SUMPRODUCT(MAX((T_PlannedOrders[Part Name]=$A923)*(T_PlannedOrders[WeekIndex]=81)*(T_PlannedOrders[EffectiveQty]&gt;0)*T_PlannedOrders[Order_Month])),"m月")&amp;"発注)")</f>
        <v/>
      </c>
      <c r="CG955">
        <f>IF(SUMIFS(T_PlannedOrders[EffectiveQty],T_PlannedOrders[Part Name],$A923,T_PlannedOrders[WeekIndex],82)=0,"",SUMIFS(T_PlannedOrders[EffectiveQty],T_PlannedOrders[Part Name],$A923,T_PlannedOrders[WeekIndex],82)&amp;" ("&amp;TEXT(SUMPRODUCT(MAX((T_PlannedOrders[Part Name]=$A923)*(T_PlannedOrders[WeekIndex]=82)*(T_PlannedOrders[EffectiveQty]&gt;0)*T_PlannedOrders[Order_Month])),"m月")&amp;"発注)")</f>
        <v/>
      </c>
      <c r="CH955">
        <f>IF(SUMIFS(T_PlannedOrders[EffectiveQty],T_PlannedOrders[Part Name],$A923,T_PlannedOrders[WeekIndex],83)=0,"",SUMIFS(T_PlannedOrders[EffectiveQty],T_PlannedOrders[Part Name],$A923,T_PlannedOrders[WeekIndex],83)&amp;" ("&amp;TEXT(SUMPRODUCT(MAX((T_PlannedOrders[Part Name]=$A923)*(T_PlannedOrders[WeekIndex]=83)*(T_PlannedOrders[EffectiveQty]&gt;0)*T_PlannedOrders[Order_Month])),"m月")&amp;"発注)")</f>
        <v/>
      </c>
      <c r="CI955">
        <f>IF(SUMIFS(T_PlannedOrders[EffectiveQty],T_PlannedOrders[Part Name],$A923,T_PlannedOrders[WeekIndex],84)=0,"",SUMIFS(T_PlannedOrders[EffectiveQty],T_PlannedOrders[Part Name],$A923,T_PlannedOrders[WeekIndex],84)&amp;" ("&amp;TEXT(SUMPRODUCT(MAX((T_PlannedOrders[Part Name]=$A923)*(T_PlannedOrders[WeekIndex]=84)*(T_PlannedOrders[EffectiveQty]&gt;0)*T_PlannedOrders[Order_Month])),"m月")&amp;"発注)")</f>
        <v/>
      </c>
      <c r="CJ955">
        <f>IF(SUMIFS(T_PlannedOrders[EffectiveQty],T_PlannedOrders[Part Name],$A923,T_PlannedOrders[WeekIndex],85)=0,"",SUMIFS(T_PlannedOrders[EffectiveQty],T_PlannedOrders[Part Name],$A923,T_PlannedOrders[WeekIndex],85)&amp;" ("&amp;TEXT(SUMPRODUCT(MAX((T_PlannedOrders[Part Name]=$A923)*(T_PlannedOrders[WeekIndex]=85)*(T_PlannedOrders[EffectiveQty]&gt;0)*T_PlannedOrders[Order_Month])),"m月")&amp;"発注)")</f>
        <v/>
      </c>
      <c r="CK955">
        <f>IF(SUMIFS(T_PlannedOrders[EffectiveQty],T_PlannedOrders[Part Name],$A923,T_PlannedOrders[WeekIndex],86)=0,"",SUMIFS(T_PlannedOrders[EffectiveQty],T_PlannedOrders[Part Name],$A923,T_PlannedOrders[WeekIndex],86)&amp;" ("&amp;TEXT(SUMPRODUCT(MAX((T_PlannedOrders[Part Name]=$A923)*(T_PlannedOrders[WeekIndex]=86)*(T_PlannedOrders[EffectiveQty]&gt;0)*T_PlannedOrders[Order_Month])),"m月")&amp;"発注)")</f>
        <v/>
      </c>
      <c r="CL955">
        <f>IF(SUMIFS(T_PlannedOrders[EffectiveQty],T_PlannedOrders[Part Name],$A923,T_PlannedOrders[WeekIndex],87)=0,"",SUMIFS(T_PlannedOrders[EffectiveQty],T_PlannedOrders[Part Name],$A923,T_PlannedOrders[WeekIndex],87)&amp;" ("&amp;TEXT(SUMPRODUCT(MAX((T_PlannedOrders[Part Name]=$A923)*(T_PlannedOrders[WeekIndex]=87)*(T_PlannedOrders[EffectiveQty]&gt;0)*T_PlannedOrders[Order_Month])),"m月")&amp;"発注)")</f>
        <v/>
      </c>
      <c r="CM955">
        <f>IF(SUMIFS(T_PlannedOrders[EffectiveQty],T_PlannedOrders[Part Name],$A923,T_PlannedOrders[WeekIndex],88)=0,"",SUMIFS(T_PlannedOrders[EffectiveQty],T_PlannedOrders[Part Name],$A923,T_PlannedOrders[WeekIndex],88)&amp;" ("&amp;TEXT(SUMPRODUCT(MAX((T_PlannedOrders[Part Name]=$A923)*(T_PlannedOrders[WeekIndex]=88)*(T_PlannedOrders[EffectiveQty]&gt;0)*T_PlannedOrders[Order_Month])),"m月")&amp;"発注)")</f>
        <v/>
      </c>
      <c r="CN955">
        <f>IF(SUMIFS(T_PlannedOrders[EffectiveQty],T_PlannedOrders[Part Name],$A923,T_PlannedOrders[WeekIndex],89)=0,"",SUMIFS(T_PlannedOrders[EffectiveQty],T_PlannedOrders[Part Name],$A923,T_PlannedOrders[WeekIndex],89)&amp;" ("&amp;TEXT(SUMPRODUCT(MAX((T_PlannedOrders[Part Name]=$A923)*(T_PlannedOrders[WeekIndex]=89)*(T_PlannedOrders[EffectiveQty]&gt;0)*T_PlannedOrders[Order_Month])),"m月")&amp;"発注)")</f>
        <v/>
      </c>
      <c r="CO955">
        <f>IF(SUMIFS(T_PlannedOrders[EffectiveQty],T_PlannedOrders[Part Name],$A923,T_PlannedOrders[WeekIndex],90)=0,"",SUMIFS(T_PlannedOrders[EffectiveQty],T_PlannedOrders[Part Name],$A923,T_PlannedOrders[WeekIndex],90)&amp;" ("&amp;TEXT(SUMPRODUCT(MAX((T_PlannedOrders[Part Name]=$A923)*(T_PlannedOrders[WeekIndex]=90)*(T_PlannedOrders[EffectiveQty]&gt;0)*T_PlannedOrders[Order_Month])),"m月")&amp;"発注)")</f>
        <v/>
      </c>
      <c r="CP955">
        <f>IF(SUMIFS(T_PlannedOrders[EffectiveQty],T_PlannedOrders[Part Name],$A923,T_PlannedOrders[WeekIndex],91)=0,"",SUMIFS(T_PlannedOrders[EffectiveQty],T_PlannedOrders[Part Name],$A923,T_PlannedOrders[WeekIndex],91)&amp;" ("&amp;TEXT(SUMPRODUCT(MAX((T_PlannedOrders[Part Name]=$A923)*(T_PlannedOrders[WeekIndex]=91)*(T_PlannedOrders[EffectiveQty]&gt;0)*T_PlannedOrders[Order_Month])),"m月")&amp;"発注)")</f>
        <v/>
      </c>
      <c r="CQ955">
        <f>IF(SUMIFS(T_PlannedOrders[EffectiveQty],T_PlannedOrders[Part Name],$A923,T_PlannedOrders[WeekIndex],92)=0,"",SUMIFS(T_PlannedOrders[EffectiveQty],T_PlannedOrders[Part Name],$A923,T_PlannedOrders[WeekIndex],92)&amp;" ("&amp;TEXT(SUMPRODUCT(MAX((T_PlannedOrders[Part Name]=$A923)*(T_PlannedOrders[WeekIndex]=92)*(T_PlannedOrders[EffectiveQty]&gt;0)*T_PlannedOrders[Order_Month])),"m月")&amp;"発注)")</f>
        <v/>
      </c>
      <c r="CR955">
        <f>IF(SUMIFS(T_PlannedOrders[EffectiveQty],T_PlannedOrders[Part Name],$A923,T_PlannedOrders[WeekIndex],93)=0,"",SUMIFS(T_PlannedOrders[EffectiveQty],T_PlannedOrders[Part Name],$A923,T_PlannedOrders[WeekIndex],93)&amp;" ("&amp;TEXT(SUMPRODUCT(MAX((T_PlannedOrders[Part Name]=$A923)*(T_PlannedOrders[WeekIndex]=93)*(T_PlannedOrders[EffectiveQty]&gt;0)*T_PlannedOrders[Order_Month])),"m月")&amp;"発注)")</f>
        <v/>
      </c>
      <c r="CS955">
        <f>IF(SUMIFS(T_PlannedOrders[EffectiveQty],T_PlannedOrders[Part Name],$A923,T_PlannedOrders[WeekIndex],94)=0,"",SUMIFS(T_PlannedOrders[EffectiveQty],T_PlannedOrders[Part Name],$A923,T_PlannedOrders[WeekIndex],94)&amp;" ("&amp;TEXT(SUMPRODUCT(MAX((T_PlannedOrders[Part Name]=$A923)*(T_PlannedOrders[WeekIndex]=94)*(T_PlannedOrders[EffectiveQty]&gt;0)*T_PlannedOrders[Order_Month])),"m月")&amp;"発注)")</f>
        <v/>
      </c>
      <c r="CT955">
        <f>IF(SUMIFS(T_PlannedOrders[EffectiveQty],T_PlannedOrders[Part Name],$A923,T_PlannedOrders[WeekIndex],95)=0,"",SUMIFS(T_PlannedOrders[EffectiveQty],T_PlannedOrders[Part Name],$A923,T_PlannedOrders[WeekIndex],95)&amp;" ("&amp;TEXT(SUMPRODUCT(MAX((T_PlannedOrders[Part Name]=$A923)*(T_PlannedOrders[WeekIndex]=95)*(T_PlannedOrders[EffectiveQty]&gt;0)*T_PlannedOrders[Order_Month])),"m月")&amp;"発注)")</f>
        <v/>
      </c>
      <c r="CU955">
        <f>IF(SUMIFS(T_PlannedOrders[EffectiveQty],T_PlannedOrders[Part Name],$A923,T_PlannedOrders[WeekIndex],96)=0,"",SUMIFS(T_PlannedOrders[EffectiveQty],T_PlannedOrders[Part Name],$A923,T_PlannedOrders[WeekIndex],96)&amp;" ("&amp;TEXT(SUMPRODUCT(MAX((T_PlannedOrders[Part Name]=$A923)*(T_PlannedOrders[WeekIndex]=96)*(T_PlannedOrders[EffectiveQty]&gt;0)*T_PlannedOrders[Order_Month])),"m月")&amp;"発注)")</f>
        <v/>
      </c>
      <c r="CV955">
        <f>IF(SUMIFS(T_PlannedOrders[EffectiveQty],T_PlannedOrders[Part Name],$A923,T_PlannedOrders[WeekIndex],97)=0,"",SUMIFS(T_PlannedOrders[EffectiveQty],T_PlannedOrders[Part Name],$A923,T_PlannedOrders[WeekIndex],97)&amp;" ("&amp;TEXT(SUMPRODUCT(MAX((T_PlannedOrders[Part Name]=$A923)*(T_PlannedOrders[WeekIndex]=97)*(T_PlannedOrders[EffectiveQty]&gt;0)*T_PlannedOrders[Order_Month])),"m月")&amp;"発注)")</f>
        <v/>
      </c>
      <c r="CW955">
        <f>IF(SUMIFS(T_PlannedOrders[EffectiveQty],T_PlannedOrders[Part Name],$A923,T_PlannedOrders[WeekIndex],98)=0,"",SUMIFS(T_PlannedOrders[EffectiveQty],T_PlannedOrders[Part Name],$A923,T_PlannedOrders[WeekIndex],98)&amp;" ("&amp;TEXT(SUMPRODUCT(MAX((T_PlannedOrders[Part Name]=$A923)*(T_PlannedOrders[WeekIndex]=98)*(T_PlannedOrders[EffectiveQty]&gt;0)*T_PlannedOrders[Order_Month])),"m月")&amp;"発注)")</f>
        <v/>
      </c>
      <c r="CX955">
        <f>IF(SUMIFS(T_PlannedOrders[EffectiveQty],T_PlannedOrders[Part Name],$A923,T_PlannedOrders[WeekIndex],99)=0,"",SUMIFS(T_PlannedOrders[EffectiveQty],T_PlannedOrders[Part Name],$A923,T_PlannedOrders[WeekIndex],99)&amp;" ("&amp;TEXT(SUMPRODUCT(MAX((T_PlannedOrders[Part Name]=$A923)*(T_PlannedOrders[WeekIndex]=99)*(T_PlannedOrders[EffectiveQty]&gt;0)*T_PlannedOrders[Order_Month])),"m月")&amp;"発注)")</f>
        <v/>
      </c>
      <c r="CY955">
        <f>IF(SUMIFS(T_PlannedOrders[EffectiveQty],T_PlannedOrders[Part Name],$A923,T_PlannedOrders[WeekIndex],100)=0,"",SUMIFS(T_PlannedOrders[EffectiveQty],T_PlannedOrders[Part Name],$A923,T_PlannedOrders[WeekIndex],100)&amp;" ("&amp;TEXT(SUMPRODUCT(MAX((T_PlannedOrders[Part Name]=$A923)*(T_PlannedOrders[WeekIndex]=100)*(T_PlannedOrders[EffectiveQty]&gt;0)*T_PlannedOrders[Order_Month])),"m月")&amp;"発注)")</f>
        <v/>
      </c>
      <c r="CZ955">
        <f>IF(SUMIFS(T_PlannedOrders[EffectiveQty],T_PlannedOrders[Part Name],$A923,T_PlannedOrders[WeekIndex],101)=0,"",SUMIFS(T_PlannedOrders[EffectiveQty],T_PlannedOrders[Part Name],$A923,T_PlannedOrders[WeekIndex],101)&amp;" ("&amp;TEXT(SUMPRODUCT(MAX((T_PlannedOrders[Part Name]=$A923)*(T_PlannedOrders[WeekIndex]=101)*(T_PlannedOrders[EffectiveQty]&gt;0)*T_PlannedOrders[Order_Month])),"m月")&amp;"発注)")</f>
        <v/>
      </c>
      <c r="DA955">
        <f>IF(SUMIFS(T_PlannedOrders[EffectiveQty],T_PlannedOrders[Part Name],$A923,T_PlannedOrders[WeekIndex],102)=0,"",SUMIFS(T_PlannedOrders[EffectiveQty],T_PlannedOrders[Part Name],$A923,T_PlannedOrders[WeekIndex],102)&amp;" ("&amp;TEXT(SUMPRODUCT(MAX((T_PlannedOrders[Part Name]=$A923)*(T_PlannedOrders[WeekIndex]=102)*(T_PlannedOrders[EffectiveQty]&gt;0)*T_PlannedOrders[Order_Month])),"m月")&amp;"発注)")</f>
        <v/>
      </c>
      <c r="DB955">
        <f>IF(SUMIFS(T_PlannedOrders[EffectiveQty],T_PlannedOrders[Part Name],$A923,T_PlannedOrders[WeekIndex],103)=0,"",SUMIFS(T_PlannedOrders[EffectiveQty],T_PlannedOrders[Part Name],$A923,T_PlannedOrders[WeekIndex],103)&amp;" ("&amp;TEXT(SUMPRODUCT(MAX((T_PlannedOrders[Part Name]=$A923)*(T_PlannedOrders[WeekIndex]=103)*(T_PlannedOrders[EffectiveQty]&gt;0)*T_PlannedOrders[Order_Month])),"m月")&amp;"発注)")</f>
        <v/>
      </c>
      <c r="DC955">
        <f>IF(SUMIFS(T_PlannedOrders[EffectiveQty],T_PlannedOrders[Part Name],$A923,T_PlannedOrders[WeekIndex],104)=0,"",SUMIFS(T_PlannedOrders[EffectiveQty],T_PlannedOrders[Part Name],$A923,T_PlannedOrders[WeekIndex],104)&amp;" ("&amp;TEXT(SUMPRODUCT(MAX((T_PlannedOrders[Part Name]=$A923)*(T_PlannedOrders[WeekIndex]=104)*(T_PlannedOrders[EffectiveQty]&gt;0)*T_PlannedOrders[Order_Month])),"m月")&amp;"発注)")</f>
        <v/>
      </c>
    </row>
    <row r="956">
      <c r="B956" s="9" t="inlineStr">
        <is>
          <t>合計在庫(週末時点,kg)</t>
        </is>
      </c>
      <c r="D956">
        <f>'Grid_Stock'!B9</f>
        <v/>
      </c>
      <c r="E956">
        <f>'Grid_Stock'!C9</f>
        <v/>
      </c>
      <c r="F956">
        <f>'Grid_Stock'!D9</f>
        <v/>
      </c>
      <c r="G956">
        <f>'Grid_Stock'!E9</f>
        <v/>
      </c>
      <c r="H956">
        <f>'Grid_Stock'!F9</f>
        <v/>
      </c>
      <c r="I956">
        <f>'Grid_Stock'!G9</f>
        <v/>
      </c>
      <c r="J956">
        <f>'Grid_Stock'!H9</f>
        <v/>
      </c>
      <c r="K956">
        <f>'Grid_Stock'!I9</f>
        <v/>
      </c>
      <c r="L956">
        <f>'Grid_Stock'!J9</f>
        <v/>
      </c>
      <c r="M956">
        <f>'Grid_Stock'!K9</f>
        <v/>
      </c>
      <c r="N956">
        <f>'Grid_Stock'!L9</f>
        <v/>
      </c>
      <c r="O956">
        <f>'Grid_Stock'!M9</f>
        <v/>
      </c>
      <c r="P956">
        <f>'Grid_Stock'!N9</f>
        <v/>
      </c>
      <c r="Q956">
        <f>'Grid_Stock'!O9</f>
        <v/>
      </c>
      <c r="R956">
        <f>'Grid_Stock'!P9</f>
        <v/>
      </c>
      <c r="S956">
        <f>'Grid_Stock'!Q9</f>
        <v/>
      </c>
      <c r="T956">
        <f>'Grid_Stock'!R9</f>
        <v/>
      </c>
      <c r="U956">
        <f>'Grid_Stock'!S9</f>
        <v/>
      </c>
      <c r="V956">
        <f>'Grid_Stock'!T9</f>
        <v/>
      </c>
      <c r="W956">
        <f>'Grid_Stock'!U9</f>
        <v/>
      </c>
      <c r="X956">
        <f>'Grid_Stock'!V9</f>
        <v/>
      </c>
      <c r="Y956">
        <f>'Grid_Stock'!W9</f>
        <v/>
      </c>
      <c r="Z956">
        <f>'Grid_Stock'!X9</f>
        <v/>
      </c>
      <c r="AA956">
        <f>'Grid_Stock'!Y9</f>
        <v/>
      </c>
      <c r="AB956">
        <f>'Grid_Stock'!Z9</f>
        <v/>
      </c>
      <c r="AC956">
        <f>'Grid_Stock'!AA9</f>
        <v/>
      </c>
      <c r="AD956">
        <f>'Grid_Stock'!AB9</f>
        <v/>
      </c>
      <c r="AE956">
        <f>'Grid_Stock'!AC9</f>
        <v/>
      </c>
      <c r="AF956">
        <f>'Grid_Stock'!AD9</f>
        <v/>
      </c>
      <c r="AG956">
        <f>'Grid_Stock'!AE9</f>
        <v/>
      </c>
      <c r="AH956">
        <f>'Grid_Stock'!AF9</f>
        <v/>
      </c>
      <c r="AI956">
        <f>'Grid_Stock'!AG9</f>
        <v/>
      </c>
      <c r="AJ956">
        <f>'Grid_Stock'!AH9</f>
        <v/>
      </c>
      <c r="AK956">
        <f>'Grid_Stock'!AI9</f>
        <v/>
      </c>
      <c r="AL956">
        <f>'Grid_Stock'!AJ9</f>
        <v/>
      </c>
      <c r="AM956">
        <f>'Grid_Stock'!AK9</f>
        <v/>
      </c>
      <c r="AN956">
        <f>'Grid_Stock'!AL9</f>
        <v/>
      </c>
      <c r="AO956">
        <f>'Grid_Stock'!AM9</f>
        <v/>
      </c>
      <c r="AP956">
        <f>'Grid_Stock'!AN9</f>
        <v/>
      </c>
      <c r="AQ956">
        <f>'Grid_Stock'!AO9</f>
        <v/>
      </c>
      <c r="AR956">
        <f>'Grid_Stock'!AP9</f>
        <v/>
      </c>
      <c r="AS956">
        <f>'Grid_Stock'!AQ9</f>
        <v/>
      </c>
      <c r="AT956">
        <f>'Grid_Stock'!AR9</f>
        <v/>
      </c>
      <c r="AU956">
        <f>'Grid_Stock'!AS9</f>
        <v/>
      </c>
      <c r="AV956">
        <f>'Grid_Stock'!AT9</f>
        <v/>
      </c>
      <c r="AW956">
        <f>'Grid_Stock'!AU9</f>
        <v/>
      </c>
      <c r="AX956">
        <f>'Grid_Stock'!AV9</f>
        <v/>
      </c>
      <c r="AY956">
        <f>'Grid_Stock'!AW9</f>
        <v/>
      </c>
      <c r="AZ956">
        <f>'Grid_Stock'!AX9</f>
        <v/>
      </c>
      <c r="BA956">
        <f>'Grid_Stock'!AY9</f>
        <v/>
      </c>
      <c r="BB956">
        <f>'Grid_Stock'!AZ9</f>
        <v/>
      </c>
      <c r="BC956">
        <f>'Grid_Stock'!BA9</f>
        <v/>
      </c>
      <c r="BD956">
        <f>'Grid_Stock'!BB9</f>
        <v/>
      </c>
      <c r="BE956">
        <f>'Grid_Stock'!BC9</f>
        <v/>
      </c>
      <c r="BF956">
        <f>'Grid_Stock'!BD9</f>
        <v/>
      </c>
      <c r="BG956">
        <f>'Grid_Stock'!BE9</f>
        <v/>
      </c>
      <c r="BH956">
        <f>'Grid_Stock'!BF9</f>
        <v/>
      </c>
      <c r="BI956">
        <f>'Grid_Stock'!BG9</f>
        <v/>
      </c>
      <c r="BJ956">
        <f>'Grid_Stock'!BH9</f>
        <v/>
      </c>
      <c r="BK956">
        <f>'Grid_Stock'!BI9</f>
        <v/>
      </c>
      <c r="BL956">
        <f>'Grid_Stock'!BJ9</f>
        <v/>
      </c>
      <c r="BM956">
        <f>'Grid_Stock'!BK9</f>
        <v/>
      </c>
      <c r="BN956">
        <f>'Grid_Stock'!BL9</f>
        <v/>
      </c>
      <c r="BO956">
        <f>'Grid_Stock'!BM9</f>
        <v/>
      </c>
      <c r="BP956">
        <f>'Grid_Stock'!BN9</f>
        <v/>
      </c>
      <c r="BQ956">
        <f>'Grid_Stock'!BO9</f>
        <v/>
      </c>
      <c r="BR956">
        <f>'Grid_Stock'!BP9</f>
        <v/>
      </c>
      <c r="BS956">
        <f>'Grid_Stock'!BQ9</f>
        <v/>
      </c>
      <c r="BT956">
        <f>'Grid_Stock'!BR9</f>
        <v/>
      </c>
      <c r="BU956">
        <f>'Grid_Stock'!BS9</f>
        <v/>
      </c>
      <c r="BV956">
        <f>'Grid_Stock'!BT9</f>
        <v/>
      </c>
      <c r="BW956">
        <f>'Grid_Stock'!BU9</f>
        <v/>
      </c>
      <c r="BX956">
        <f>'Grid_Stock'!BV9</f>
        <v/>
      </c>
      <c r="BY956">
        <f>'Grid_Stock'!BW9</f>
        <v/>
      </c>
      <c r="BZ956">
        <f>'Grid_Stock'!BX9</f>
        <v/>
      </c>
      <c r="CA956">
        <f>'Grid_Stock'!BY9</f>
        <v/>
      </c>
      <c r="CB956">
        <f>'Grid_Stock'!BZ9</f>
        <v/>
      </c>
      <c r="CC956">
        <f>'Grid_Stock'!CA9</f>
        <v/>
      </c>
      <c r="CD956">
        <f>'Grid_Stock'!CB9</f>
        <v/>
      </c>
      <c r="CE956">
        <f>'Grid_Stock'!CC9</f>
        <v/>
      </c>
      <c r="CF956">
        <f>'Grid_Stock'!CD9</f>
        <v/>
      </c>
      <c r="CG956">
        <f>'Grid_Stock'!CE9</f>
        <v/>
      </c>
      <c r="CH956">
        <f>'Grid_Stock'!CF9</f>
        <v/>
      </c>
      <c r="CI956">
        <f>'Grid_Stock'!CG9</f>
        <v/>
      </c>
      <c r="CJ956">
        <f>'Grid_Stock'!CH9</f>
        <v/>
      </c>
      <c r="CK956">
        <f>'Grid_Stock'!CI9</f>
        <v/>
      </c>
      <c r="CL956">
        <f>'Grid_Stock'!CJ9</f>
        <v/>
      </c>
      <c r="CM956">
        <f>'Grid_Stock'!CK9</f>
        <v/>
      </c>
      <c r="CN956">
        <f>'Grid_Stock'!CL9</f>
        <v/>
      </c>
      <c r="CO956">
        <f>'Grid_Stock'!CM9</f>
        <v/>
      </c>
      <c r="CP956">
        <f>'Grid_Stock'!CN9</f>
        <v/>
      </c>
      <c r="CQ956">
        <f>'Grid_Stock'!CO9</f>
        <v/>
      </c>
      <c r="CR956">
        <f>'Grid_Stock'!CP9</f>
        <v/>
      </c>
      <c r="CS956">
        <f>'Grid_Stock'!CQ9</f>
        <v/>
      </c>
      <c r="CT956">
        <f>'Grid_Stock'!CR9</f>
        <v/>
      </c>
      <c r="CU956">
        <f>'Grid_Stock'!CS9</f>
        <v/>
      </c>
      <c r="CV956">
        <f>'Grid_Stock'!CT9</f>
        <v/>
      </c>
      <c r="CW956">
        <f>'Grid_Stock'!CU9</f>
        <v/>
      </c>
      <c r="CX956">
        <f>'Grid_Stock'!CV9</f>
        <v/>
      </c>
      <c r="CY956">
        <f>'Grid_Stock'!CW9</f>
        <v/>
      </c>
      <c r="CZ956">
        <f>'Grid_Stock'!CX9</f>
        <v/>
      </c>
      <c r="DA956">
        <f>'Grid_Stock'!CY9</f>
        <v/>
      </c>
      <c r="DB956">
        <f>'Grid_Stock'!CZ9</f>
        <v/>
      </c>
      <c r="DC956">
        <f>'Grid_Stock'!DA9</f>
        <v/>
      </c>
    </row>
    <row r="957">
      <c r="B957" s="21" t="inlineStr">
        <is>
          <t>（発注の目安はDashboardの基準在庫[下限/上限]と色分けを参照）</t>
        </is>
      </c>
    </row>
    <row r="959">
      <c r="A959" s="19" t="inlineStr">
        <is>
          <t>CHEM-1760</t>
        </is>
      </c>
      <c r="B959" s="19" t="inlineStr">
        <is>
          <t>Pigment(TC RED FD(A))</t>
        </is>
      </c>
      <c r="C959" s="20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/>
      <c r="Z959" s="19" t="n"/>
      <c r="AA959" s="19" t="n"/>
      <c r="AB959" s="19" t="n"/>
      <c r="AC959" s="19" t="n"/>
      <c r="AD959" s="19" t="n"/>
      <c r="AE959" s="19" t="n"/>
      <c r="AF959" s="19" t="n"/>
      <c r="AG959" s="19" t="n"/>
      <c r="AH959" s="19" t="n"/>
      <c r="AI959" s="19" t="n"/>
      <c r="AJ959" s="19" t="n"/>
      <c r="AK959" s="19" t="n"/>
      <c r="AL959" s="19" t="n"/>
      <c r="AM959" s="19" t="n"/>
      <c r="AN959" s="19" t="n"/>
      <c r="AO959" s="19" t="n"/>
      <c r="AP959" s="19" t="n"/>
      <c r="AQ959" s="19" t="n"/>
      <c r="AR959" s="19" t="n"/>
      <c r="AS959" s="19" t="n"/>
      <c r="AT959" s="19" t="n"/>
      <c r="AU959" s="19" t="n"/>
      <c r="AV959" s="19" t="n"/>
      <c r="AW959" s="19" t="n"/>
      <c r="AX959" s="19" t="n"/>
      <c r="AY959" s="19" t="n"/>
      <c r="AZ959" s="19" t="n"/>
      <c r="BA959" s="19" t="n"/>
      <c r="BB959" s="19" t="n"/>
      <c r="BC959" s="19" t="n"/>
      <c r="BD959" s="19" t="n"/>
      <c r="BE959" s="19" t="n"/>
      <c r="BF959" s="19" t="n"/>
      <c r="BG959" s="19" t="n"/>
      <c r="BH959" s="19" t="n"/>
      <c r="BI959" s="19" t="n"/>
      <c r="BJ959" s="19" t="n"/>
      <c r="BK959" s="19" t="n"/>
      <c r="BL959" s="19" t="n"/>
      <c r="BM959" s="19" t="n"/>
      <c r="BN959" s="19" t="n"/>
      <c r="BO959" s="19" t="n"/>
      <c r="BP959" s="19" t="n"/>
      <c r="BQ959" s="19" t="n"/>
      <c r="BR959" s="19" t="n"/>
      <c r="BS959" s="19" t="n"/>
      <c r="BT959" s="19" t="n"/>
      <c r="BU959" s="19" t="n"/>
      <c r="BV959" s="19" t="n"/>
      <c r="BW959" s="19" t="n"/>
      <c r="BX959" s="19" t="n"/>
      <c r="BY959" s="19" t="n"/>
      <c r="BZ959" s="19" t="n"/>
      <c r="CA959" s="19" t="n"/>
      <c r="CB959" s="19" t="n"/>
      <c r="CC959" s="19" t="n"/>
      <c r="CD959" s="19" t="n"/>
      <c r="CE959" s="19" t="n"/>
      <c r="CF959" s="19" t="n"/>
      <c r="CG959" s="19" t="n"/>
      <c r="CH959" s="19" t="n"/>
      <c r="CI959" s="19" t="n"/>
      <c r="CJ959" s="19" t="n"/>
      <c r="CK959" s="19" t="n"/>
      <c r="CL959" s="19" t="n"/>
      <c r="CM959" s="19" t="n"/>
      <c r="CN959" s="19" t="n"/>
      <c r="CO959" s="19" t="n"/>
      <c r="CP959" s="19" t="n"/>
      <c r="CQ959" s="19" t="n"/>
      <c r="CR959" s="19" t="n"/>
      <c r="CS959" s="19" t="n"/>
      <c r="CT959" s="19" t="n"/>
      <c r="CU959" s="19" t="n"/>
      <c r="CV959" s="19" t="n"/>
      <c r="CW959" s="19" t="n"/>
      <c r="CX959" s="19" t="n"/>
      <c r="CY959" s="19" t="n"/>
      <c r="CZ959" s="19" t="n"/>
      <c r="DA959" s="19" t="n"/>
      <c r="DB959" s="19" t="n"/>
      <c r="DC959" s="19" t="n"/>
    </row>
    <row r="960">
      <c r="B960" t="inlineStr">
        <is>
          <t>TVS-833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12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Name],$A959)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TVS-267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12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Name],$A959)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TVS-500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12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Name],$A959)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s="9" t="inlineStr">
        <is>
          <t>合計使用量(kg)/週</t>
        </is>
      </c>
      <c r="D966">
        <f>'Grid_Requirement'!B23</f>
        <v/>
      </c>
      <c r="E966">
        <f>'Grid_Requirement'!C23</f>
        <v/>
      </c>
      <c r="F966">
        <f>'Grid_Requirement'!D23</f>
        <v/>
      </c>
      <c r="G966">
        <f>'Grid_Requirement'!E23</f>
        <v/>
      </c>
      <c r="H966">
        <f>'Grid_Requirement'!F23</f>
        <v/>
      </c>
      <c r="I966">
        <f>'Grid_Requirement'!G23</f>
        <v/>
      </c>
      <c r="J966">
        <f>'Grid_Requirement'!H23</f>
        <v/>
      </c>
      <c r="K966">
        <f>'Grid_Requirement'!I23</f>
        <v/>
      </c>
      <c r="L966">
        <f>'Grid_Requirement'!J23</f>
        <v/>
      </c>
      <c r="M966">
        <f>'Grid_Requirement'!K23</f>
        <v/>
      </c>
      <c r="N966">
        <f>'Grid_Requirement'!L23</f>
        <v/>
      </c>
      <c r="O966">
        <f>'Grid_Requirement'!M23</f>
        <v/>
      </c>
      <c r="P966">
        <f>'Grid_Requirement'!N23</f>
        <v/>
      </c>
      <c r="Q966">
        <f>'Grid_Requirement'!O23</f>
        <v/>
      </c>
      <c r="R966">
        <f>'Grid_Requirement'!P23</f>
        <v/>
      </c>
      <c r="S966">
        <f>'Grid_Requirement'!Q23</f>
        <v/>
      </c>
      <c r="T966">
        <f>'Grid_Requirement'!R23</f>
        <v/>
      </c>
      <c r="U966">
        <f>'Grid_Requirement'!S23</f>
        <v/>
      </c>
      <c r="V966">
        <f>'Grid_Requirement'!T23</f>
        <v/>
      </c>
      <c r="W966">
        <f>'Grid_Requirement'!U23</f>
        <v/>
      </c>
      <c r="X966">
        <f>'Grid_Requirement'!V23</f>
        <v/>
      </c>
      <c r="Y966">
        <f>'Grid_Requirement'!W23</f>
        <v/>
      </c>
      <c r="Z966">
        <f>'Grid_Requirement'!X23</f>
        <v/>
      </c>
      <c r="AA966">
        <f>'Grid_Requirement'!Y23</f>
        <v/>
      </c>
      <c r="AB966">
        <f>'Grid_Requirement'!Z23</f>
        <v/>
      </c>
      <c r="AC966">
        <f>'Grid_Requirement'!AA23</f>
        <v/>
      </c>
      <c r="AD966">
        <f>'Grid_Requirement'!AB23</f>
        <v/>
      </c>
      <c r="AE966">
        <f>'Grid_Requirement'!AC23</f>
        <v/>
      </c>
      <c r="AF966">
        <f>'Grid_Requirement'!AD23</f>
        <v/>
      </c>
      <c r="AG966">
        <f>'Grid_Requirement'!AE23</f>
        <v/>
      </c>
      <c r="AH966">
        <f>'Grid_Requirement'!AF23</f>
        <v/>
      </c>
      <c r="AI966">
        <f>'Grid_Requirement'!AG23</f>
        <v/>
      </c>
      <c r="AJ966">
        <f>'Grid_Requirement'!AH23</f>
        <v/>
      </c>
      <c r="AK966">
        <f>'Grid_Requirement'!AI23</f>
        <v/>
      </c>
      <c r="AL966">
        <f>'Grid_Requirement'!AJ23</f>
        <v/>
      </c>
      <c r="AM966">
        <f>'Grid_Requirement'!AK23</f>
        <v/>
      </c>
      <c r="AN966">
        <f>'Grid_Requirement'!AL23</f>
        <v/>
      </c>
      <c r="AO966">
        <f>'Grid_Requirement'!AM23</f>
        <v/>
      </c>
      <c r="AP966">
        <f>'Grid_Requirement'!AN23</f>
        <v/>
      </c>
      <c r="AQ966">
        <f>'Grid_Requirement'!AO23</f>
        <v/>
      </c>
      <c r="AR966">
        <f>'Grid_Requirement'!AP23</f>
        <v/>
      </c>
      <c r="AS966">
        <f>'Grid_Requirement'!AQ23</f>
        <v/>
      </c>
      <c r="AT966">
        <f>'Grid_Requirement'!AR23</f>
        <v/>
      </c>
      <c r="AU966">
        <f>'Grid_Requirement'!AS23</f>
        <v/>
      </c>
      <c r="AV966">
        <f>'Grid_Requirement'!AT23</f>
        <v/>
      </c>
      <c r="AW966">
        <f>'Grid_Requirement'!AU23</f>
        <v/>
      </c>
      <c r="AX966">
        <f>'Grid_Requirement'!AV23</f>
        <v/>
      </c>
      <c r="AY966">
        <f>'Grid_Requirement'!AW23</f>
        <v/>
      </c>
      <c r="AZ966">
        <f>'Grid_Requirement'!AX23</f>
        <v/>
      </c>
      <c r="BA966">
        <f>'Grid_Requirement'!AY23</f>
        <v/>
      </c>
      <c r="BB966">
        <f>'Grid_Requirement'!AZ23</f>
        <v/>
      </c>
      <c r="BC966">
        <f>'Grid_Requirement'!BA23</f>
        <v/>
      </c>
      <c r="BD966">
        <f>'Grid_Requirement'!BB23</f>
        <v/>
      </c>
      <c r="BE966">
        <f>'Grid_Requirement'!BC23</f>
        <v/>
      </c>
      <c r="BF966">
        <f>'Grid_Requirement'!BD23</f>
        <v/>
      </c>
      <c r="BG966">
        <f>'Grid_Requirement'!BE23</f>
        <v/>
      </c>
      <c r="BH966">
        <f>'Grid_Requirement'!BF23</f>
        <v/>
      </c>
      <c r="BI966">
        <f>'Grid_Requirement'!BG23</f>
        <v/>
      </c>
      <c r="BJ966">
        <f>'Grid_Requirement'!BH23</f>
        <v/>
      </c>
      <c r="BK966">
        <f>'Grid_Requirement'!BI23</f>
        <v/>
      </c>
      <c r="BL966">
        <f>'Grid_Requirement'!BJ23</f>
        <v/>
      </c>
      <c r="BM966">
        <f>'Grid_Requirement'!BK23</f>
        <v/>
      </c>
      <c r="BN966">
        <f>'Grid_Requirement'!BL23</f>
        <v/>
      </c>
      <c r="BO966">
        <f>'Grid_Requirement'!BM23</f>
        <v/>
      </c>
      <c r="BP966">
        <f>'Grid_Requirement'!BN23</f>
        <v/>
      </c>
      <c r="BQ966">
        <f>'Grid_Requirement'!BO23</f>
        <v/>
      </c>
      <c r="BR966">
        <f>'Grid_Requirement'!BP23</f>
        <v/>
      </c>
      <c r="BS966">
        <f>'Grid_Requirement'!BQ23</f>
        <v/>
      </c>
      <c r="BT966">
        <f>'Grid_Requirement'!BR23</f>
        <v/>
      </c>
      <c r="BU966">
        <f>'Grid_Requirement'!BS23</f>
        <v/>
      </c>
      <c r="BV966">
        <f>'Grid_Requirement'!BT23</f>
        <v/>
      </c>
      <c r="BW966">
        <f>'Grid_Requirement'!BU23</f>
        <v/>
      </c>
      <c r="BX966">
        <f>'Grid_Requirement'!BV23</f>
        <v/>
      </c>
      <c r="BY966">
        <f>'Grid_Requirement'!BW23</f>
        <v/>
      </c>
      <c r="BZ966">
        <f>'Grid_Requirement'!BX23</f>
        <v/>
      </c>
      <c r="CA966">
        <f>'Grid_Requirement'!BY23</f>
        <v/>
      </c>
      <c r="CB966">
        <f>'Grid_Requirement'!BZ23</f>
        <v/>
      </c>
      <c r="CC966">
        <f>'Grid_Requirement'!CA23</f>
        <v/>
      </c>
      <c r="CD966">
        <f>'Grid_Requirement'!CB23</f>
        <v/>
      </c>
      <c r="CE966">
        <f>'Grid_Requirement'!CC23</f>
        <v/>
      </c>
      <c r="CF966">
        <f>'Grid_Requirement'!CD23</f>
        <v/>
      </c>
      <c r="CG966">
        <f>'Grid_Requirement'!CE23</f>
        <v/>
      </c>
      <c r="CH966">
        <f>'Grid_Requirement'!CF23</f>
        <v/>
      </c>
      <c r="CI966">
        <f>'Grid_Requirement'!CG23</f>
        <v/>
      </c>
      <c r="CJ966">
        <f>'Grid_Requirement'!CH23</f>
        <v/>
      </c>
      <c r="CK966">
        <f>'Grid_Requirement'!CI23</f>
        <v/>
      </c>
      <c r="CL966">
        <f>'Grid_Requirement'!CJ23</f>
        <v/>
      </c>
      <c r="CM966">
        <f>'Grid_Requirement'!CK23</f>
        <v/>
      </c>
      <c r="CN966">
        <f>'Grid_Requirement'!CL23</f>
        <v/>
      </c>
      <c r="CO966">
        <f>'Grid_Requirement'!CM23</f>
        <v/>
      </c>
      <c r="CP966">
        <f>'Grid_Requirement'!CN23</f>
        <v/>
      </c>
      <c r="CQ966">
        <f>'Grid_Requirement'!CO23</f>
        <v/>
      </c>
      <c r="CR966">
        <f>'Grid_Requirement'!CP23</f>
        <v/>
      </c>
      <c r="CS966">
        <f>'Grid_Requirement'!CQ23</f>
        <v/>
      </c>
      <c r="CT966">
        <f>'Grid_Requirement'!CR23</f>
        <v/>
      </c>
      <c r="CU966">
        <f>'Grid_Requirement'!CS23</f>
        <v/>
      </c>
      <c r="CV966">
        <f>'Grid_Requirement'!CT23</f>
        <v/>
      </c>
      <c r="CW966">
        <f>'Grid_Requirement'!CU23</f>
        <v/>
      </c>
      <c r="CX966">
        <f>'Grid_Requirement'!CV23</f>
        <v/>
      </c>
      <c r="CY966">
        <f>'Grid_Requirement'!CW23</f>
        <v/>
      </c>
      <c r="CZ966">
        <f>'Grid_Requirement'!CX23</f>
        <v/>
      </c>
      <c r="DA966">
        <f>'Grid_Requirement'!CY23</f>
        <v/>
      </c>
      <c r="DB966">
        <f>'Grid_Requirement'!CZ23</f>
        <v/>
      </c>
      <c r="DC966">
        <f>'Grid_Requirement'!DA23</f>
        <v/>
      </c>
    </row>
    <row r="967">
      <c r="B967" t="inlineStr">
        <is>
          <t>TTAF在庫(実績,kg)</t>
        </is>
      </c>
      <c r="D967">
        <f>'T_TTAFStock'!B27</f>
        <v/>
      </c>
      <c r="E967">
        <f>'T_TTAFStock'!C27</f>
        <v/>
      </c>
      <c r="F967">
        <f>'T_TTAFStock'!D27</f>
        <v/>
      </c>
      <c r="G967">
        <f>'T_TTAFStock'!E27</f>
        <v/>
      </c>
      <c r="H967">
        <f>'T_TTAFStock'!F27</f>
        <v/>
      </c>
      <c r="I967">
        <f>'T_TTAFStock'!G27</f>
        <v/>
      </c>
      <c r="J967">
        <f>'T_TTAFStock'!H27</f>
        <v/>
      </c>
      <c r="K967">
        <f>'T_TTAFStock'!I27</f>
        <v/>
      </c>
      <c r="L967">
        <f>'T_TTAFStock'!J27</f>
        <v/>
      </c>
      <c r="M967">
        <f>'T_TTAFStock'!K27</f>
        <v/>
      </c>
      <c r="N967">
        <f>'T_TTAFStock'!L27</f>
        <v/>
      </c>
      <c r="O967">
        <f>'T_TTAFStock'!M27</f>
        <v/>
      </c>
      <c r="P967">
        <f>'T_TTAFStock'!N27</f>
        <v/>
      </c>
      <c r="Q967">
        <f>'T_TTAFStock'!O27</f>
        <v/>
      </c>
      <c r="R967">
        <f>'T_TTAFStock'!P27</f>
        <v/>
      </c>
      <c r="S967">
        <f>'T_TTAFStock'!Q27</f>
        <v/>
      </c>
      <c r="T967">
        <f>'T_TTAFStock'!R27</f>
        <v/>
      </c>
      <c r="U967">
        <f>'T_TTAFStock'!S27</f>
        <v/>
      </c>
      <c r="V967">
        <f>'T_TTAFStock'!T27</f>
        <v/>
      </c>
      <c r="W967">
        <f>'T_TTAFStock'!U27</f>
        <v/>
      </c>
      <c r="X967">
        <f>'T_TTAFStock'!V27</f>
        <v/>
      </c>
      <c r="Y967">
        <f>'T_TTAFStock'!W27</f>
        <v/>
      </c>
      <c r="Z967">
        <f>'T_TTAFStock'!X27</f>
        <v/>
      </c>
      <c r="AA967">
        <f>'T_TTAFStock'!Y27</f>
        <v/>
      </c>
      <c r="AB967">
        <f>'T_TTAFStock'!Z27</f>
        <v/>
      </c>
      <c r="AC967">
        <f>'T_TTAFStock'!AA27</f>
        <v/>
      </c>
      <c r="AD967">
        <f>'T_TTAFStock'!AB27</f>
        <v/>
      </c>
      <c r="AE967">
        <f>'T_TTAFStock'!AC27</f>
        <v/>
      </c>
      <c r="AF967">
        <f>'T_TTAFStock'!AD27</f>
        <v/>
      </c>
      <c r="AG967">
        <f>'T_TTAFStock'!AE27</f>
        <v/>
      </c>
      <c r="AH967">
        <f>'T_TTAFStock'!AF27</f>
        <v/>
      </c>
      <c r="AI967">
        <f>'T_TTAFStock'!AG27</f>
        <v/>
      </c>
      <c r="AJ967">
        <f>'T_TTAFStock'!AH27</f>
        <v/>
      </c>
      <c r="AK967">
        <f>'T_TTAFStock'!AI27</f>
        <v/>
      </c>
      <c r="AL967">
        <f>'T_TTAFStock'!AJ27</f>
        <v/>
      </c>
      <c r="AM967">
        <f>'T_TTAFStock'!AK27</f>
        <v/>
      </c>
      <c r="AN967">
        <f>'T_TTAFStock'!AL27</f>
        <v/>
      </c>
      <c r="AO967">
        <f>'T_TTAFStock'!AM27</f>
        <v/>
      </c>
      <c r="AP967">
        <f>'T_TTAFStock'!AN27</f>
        <v/>
      </c>
      <c r="AQ967">
        <f>'T_TTAFStock'!AO27</f>
        <v/>
      </c>
      <c r="AR967">
        <f>'T_TTAFStock'!AP27</f>
        <v/>
      </c>
      <c r="AS967">
        <f>'T_TTAFStock'!AQ27</f>
        <v/>
      </c>
      <c r="AT967">
        <f>'T_TTAFStock'!AR27</f>
        <v/>
      </c>
      <c r="AU967">
        <f>'T_TTAFStock'!AS27</f>
        <v/>
      </c>
      <c r="AV967">
        <f>'T_TTAFStock'!AT27</f>
        <v/>
      </c>
      <c r="AW967">
        <f>'T_TTAFStock'!AU27</f>
        <v/>
      </c>
      <c r="AX967">
        <f>'T_TTAFStock'!AV27</f>
        <v/>
      </c>
      <c r="AY967">
        <f>'T_TTAFStock'!AW27</f>
        <v/>
      </c>
      <c r="AZ967">
        <f>'T_TTAFStock'!AX27</f>
        <v/>
      </c>
      <c r="BA967">
        <f>'T_TTAFStock'!AY27</f>
        <v/>
      </c>
      <c r="BB967">
        <f>'T_TTAFStock'!AZ27</f>
        <v/>
      </c>
      <c r="BC967">
        <f>'T_TTAFStock'!BA27</f>
        <v/>
      </c>
      <c r="BD967">
        <f>'T_TTAFStock'!BB27</f>
        <v/>
      </c>
      <c r="BE967">
        <f>'T_TTAFStock'!BC27</f>
        <v/>
      </c>
      <c r="BF967">
        <f>'T_TTAFStock'!BD27</f>
        <v/>
      </c>
      <c r="BG967">
        <f>'T_TTAFStock'!BE27</f>
        <v/>
      </c>
      <c r="BH967">
        <f>'T_TTAFStock'!BF27</f>
        <v/>
      </c>
      <c r="BI967">
        <f>'T_TTAFStock'!BG27</f>
        <v/>
      </c>
      <c r="BJ967">
        <f>'T_TTAFStock'!BH27</f>
        <v/>
      </c>
      <c r="BK967">
        <f>'T_TTAFStock'!BI27</f>
        <v/>
      </c>
      <c r="BL967">
        <f>'T_TTAFStock'!BJ27</f>
        <v/>
      </c>
      <c r="BM967">
        <f>'T_TTAFStock'!BK27</f>
        <v/>
      </c>
      <c r="BN967">
        <f>'T_TTAFStock'!BL27</f>
        <v/>
      </c>
      <c r="BO967">
        <f>'T_TTAFStock'!BM27</f>
        <v/>
      </c>
      <c r="BP967">
        <f>'T_TTAFStock'!BN27</f>
        <v/>
      </c>
      <c r="BQ967">
        <f>'T_TTAFStock'!BO27</f>
        <v/>
      </c>
      <c r="BR967">
        <f>'T_TTAFStock'!BP27</f>
        <v/>
      </c>
      <c r="BS967">
        <f>'T_TTAFStock'!BQ27</f>
        <v/>
      </c>
      <c r="BT967">
        <f>'T_TTAFStock'!BR27</f>
        <v/>
      </c>
      <c r="BU967">
        <f>'T_TTAFStock'!BS27</f>
        <v/>
      </c>
      <c r="BV967">
        <f>'T_TTAFStock'!BT27</f>
        <v/>
      </c>
      <c r="BW967">
        <f>'T_TTAFStock'!BU27</f>
        <v/>
      </c>
      <c r="BX967">
        <f>'T_TTAFStock'!BV27</f>
        <v/>
      </c>
      <c r="BY967">
        <f>'T_TTAFStock'!BW27</f>
        <v/>
      </c>
      <c r="BZ967">
        <f>'T_TTAFStock'!BX27</f>
        <v/>
      </c>
      <c r="CA967">
        <f>'T_TTAFStock'!BY27</f>
        <v/>
      </c>
      <c r="CB967">
        <f>'T_TTAFStock'!BZ27</f>
        <v/>
      </c>
      <c r="CC967">
        <f>'T_TTAFStock'!CA27</f>
        <v/>
      </c>
      <c r="CD967">
        <f>'T_TTAFStock'!CB27</f>
        <v/>
      </c>
      <c r="CE967">
        <f>'T_TTAFStock'!CC27</f>
        <v/>
      </c>
      <c r="CF967">
        <f>'T_TTAFStock'!CD27</f>
        <v/>
      </c>
      <c r="CG967">
        <f>'T_TTAFStock'!CE27</f>
        <v/>
      </c>
      <c r="CH967">
        <f>'T_TTAFStock'!CF27</f>
        <v/>
      </c>
      <c r="CI967">
        <f>'T_TTAFStock'!CG27</f>
        <v/>
      </c>
      <c r="CJ967">
        <f>'T_TTAFStock'!CH27</f>
        <v/>
      </c>
      <c r="CK967">
        <f>'T_TTAFStock'!CI27</f>
        <v/>
      </c>
      <c r="CL967">
        <f>'T_TTAFStock'!CJ27</f>
        <v/>
      </c>
      <c r="CM967">
        <f>'T_TTAFStock'!CK27</f>
        <v/>
      </c>
      <c r="CN967">
        <f>'T_TTAFStock'!CL27</f>
        <v/>
      </c>
      <c r="CO967">
        <f>'T_TTAFStock'!CM27</f>
        <v/>
      </c>
      <c r="CP967">
        <f>'T_TTAFStock'!CN27</f>
        <v/>
      </c>
      <c r="CQ967">
        <f>'T_TTAFStock'!CO27</f>
        <v/>
      </c>
      <c r="CR967">
        <f>'T_TTAFStock'!CP27</f>
        <v/>
      </c>
      <c r="CS967">
        <f>'T_TTAFStock'!CQ27</f>
        <v/>
      </c>
      <c r="CT967">
        <f>'T_TTAFStock'!CR27</f>
        <v/>
      </c>
      <c r="CU967">
        <f>'T_TTAFStock'!CS27</f>
        <v/>
      </c>
      <c r="CV967">
        <f>'T_TTAFStock'!CT27</f>
        <v/>
      </c>
      <c r="CW967">
        <f>'T_TTAFStock'!CU27</f>
        <v/>
      </c>
      <c r="CX967">
        <f>'T_TTAFStock'!CV27</f>
        <v/>
      </c>
      <c r="CY967">
        <f>'T_TTAFStock'!CW27</f>
        <v/>
      </c>
      <c r="CZ967">
        <f>'T_TTAFStock'!CX27</f>
        <v/>
      </c>
      <c r="DA967">
        <f>'T_TTAFStock'!CY27</f>
        <v/>
      </c>
      <c r="DB967">
        <f>'T_TTAFStock'!CZ27</f>
        <v/>
      </c>
      <c r="DC967">
        <f>'T_TTAFStock'!DA27</f>
        <v/>
      </c>
    </row>
    <row r="968">
      <c r="B968" t="inlineStr">
        <is>
          <t>自社在庫(実績,kg)</t>
        </is>
      </c>
      <c r="D968">
        <f>'T_SelfStock'!B27</f>
        <v/>
      </c>
      <c r="E968">
        <f>'T_SelfStock'!C27</f>
        <v/>
      </c>
      <c r="F968">
        <f>'T_SelfStock'!D27</f>
        <v/>
      </c>
      <c r="G968">
        <f>'T_SelfStock'!E27</f>
        <v/>
      </c>
      <c r="H968">
        <f>'T_SelfStock'!F27</f>
        <v/>
      </c>
      <c r="I968">
        <f>'T_SelfStock'!G27</f>
        <v/>
      </c>
      <c r="J968">
        <f>'T_SelfStock'!H27</f>
        <v/>
      </c>
      <c r="K968">
        <f>'T_SelfStock'!I27</f>
        <v/>
      </c>
      <c r="L968">
        <f>'T_SelfStock'!J27</f>
        <v/>
      </c>
      <c r="M968">
        <f>'T_SelfStock'!K27</f>
        <v/>
      </c>
      <c r="N968">
        <f>'T_SelfStock'!L27</f>
        <v/>
      </c>
      <c r="O968">
        <f>'T_SelfStock'!M27</f>
        <v/>
      </c>
      <c r="P968">
        <f>'T_SelfStock'!N27</f>
        <v/>
      </c>
      <c r="Q968">
        <f>'T_SelfStock'!O27</f>
        <v/>
      </c>
      <c r="R968">
        <f>'T_SelfStock'!P27</f>
        <v/>
      </c>
      <c r="S968">
        <f>'T_SelfStock'!Q27</f>
        <v/>
      </c>
      <c r="T968">
        <f>'T_SelfStock'!R27</f>
        <v/>
      </c>
      <c r="U968">
        <f>'T_SelfStock'!S27</f>
        <v/>
      </c>
      <c r="V968">
        <f>'T_SelfStock'!T27</f>
        <v/>
      </c>
      <c r="W968">
        <f>'T_SelfStock'!U27</f>
        <v/>
      </c>
      <c r="X968">
        <f>'T_SelfStock'!V27</f>
        <v/>
      </c>
      <c r="Y968">
        <f>'T_SelfStock'!W27</f>
        <v/>
      </c>
      <c r="Z968">
        <f>'T_SelfStock'!X27</f>
        <v/>
      </c>
      <c r="AA968">
        <f>'T_SelfStock'!Y27</f>
        <v/>
      </c>
      <c r="AB968">
        <f>'T_SelfStock'!Z27</f>
        <v/>
      </c>
      <c r="AC968">
        <f>'T_SelfStock'!AA27</f>
        <v/>
      </c>
      <c r="AD968">
        <f>'T_SelfStock'!AB27</f>
        <v/>
      </c>
      <c r="AE968">
        <f>'T_SelfStock'!AC27</f>
        <v/>
      </c>
      <c r="AF968">
        <f>'T_SelfStock'!AD27</f>
        <v/>
      </c>
      <c r="AG968">
        <f>'T_SelfStock'!AE27</f>
        <v/>
      </c>
      <c r="AH968">
        <f>'T_SelfStock'!AF27</f>
        <v/>
      </c>
      <c r="AI968">
        <f>'T_SelfStock'!AG27</f>
        <v/>
      </c>
      <c r="AJ968">
        <f>'T_SelfStock'!AH27</f>
        <v/>
      </c>
      <c r="AK968">
        <f>'T_SelfStock'!AI27</f>
        <v/>
      </c>
      <c r="AL968">
        <f>'T_SelfStock'!AJ27</f>
        <v/>
      </c>
      <c r="AM968">
        <f>'T_SelfStock'!AK27</f>
        <v/>
      </c>
      <c r="AN968">
        <f>'T_SelfStock'!AL27</f>
        <v/>
      </c>
      <c r="AO968">
        <f>'T_SelfStock'!AM27</f>
        <v/>
      </c>
      <c r="AP968">
        <f>'T_SelfStock'!AN27</f>
        <v/>
      </c>
      <c r="AQ968">
        <f>'T_SelfStock'!AO27</f>
        <v/>
      </c>
      <c r="AR968">
        <f>'T_SelfStock'!AP27</f>
        <v/>
      </c>
      <c r="AS968">
        <f>'T_SelfStock'!AQ27</f>
        <v/>
      </c>
      <c r="AT968">
        <f>'T_SelfStock'!AR27</f>
        <v/>
      </c>
      <c r="AU968">
        <f>'T_SelfStock'!AS27</f>
        <v/>
      </c>
      <c r="AV968">
        <f>'T_SelfStock'!AT27</f>
        <v/>
      </c>
      <c r="AW968">
        <f>'T_SelfStock'!AU27</f>
        <v/>
      </c>
      <c r="AX968">
        <f>'T_SelfStock'!AV27</f>
        <v/>
      </c>
      <c r="AY968">
        <f>'T_SelfStock'!AW27</f>
        <v/>
      </c>
      <c r="AZ968">
        <f>'T_SelfStock'!AX27</f>
        <v/>
      </c>
      <c r="BA968">
        <f>'T_SelfStock'!AY27</f>
        <v/>
      </c>
      <c r="BB968">
        <f>'T_SelfStock'!AZ27</f>
        <v/>
      </c>
      <c r="BC968">
        <f>'T_SelfStock'!BA27</f>
        <v/>
      </c>
      <c r="BD968">
        <f>'T_SelfStock'!BB27</f>
        <v/>
      </c>
      <c r="BE968">
        <f>'T_SelfStock'!BC27</f>
        <v/>
      </c>
      <c r="BF968">
        <f>'T_SelfStock'!BD27</f>
        <v/>
      </c>
      <c r="BG968">
        <f>'T_SelfStock'!BE27</f>
        <v/>
      </c>
      <c r="BH968">
        <f>'T_SelfStock'!BF27</f>
        <v/>
      </c>
      <c r="BI968">
        <f>'T_SelfStock'!BG27</f>
        <v/>
      </c>
      <c r="BJ968">
        <f>'T_SelfStock'!BH27</f>
        <v/>
      </c>
      <c r="BK968">
        <f>'T_SelfStock'!BI27</f>
        <v/>
      </c>
      <c r="BL968">
        <f>'T_SelfStock'!BJ27</f>
        <v/>
      </c>
      <c r="BM968">
        <f>'T_SelfStock'!BK27</f>
        <v/>
      </c>
      <c r="BN968">
        <f>'T_SelfStock'!BL27</f>
        <v/>
      </c>
      <c r="BO968">
        <f>'T_SelfStock'!BM27</f>
        <v/>
      </c>
      <c r="BP968">
        <f>'T_SelfStock'!BN27</f>
        <v/>
      </c>
      <c r="BQ968">
        <f>'T_SelfStock'!BO27</f>
        <v/>
      </c>
      <c r="BR968">
        <f>'T_SelfStock'!BP27</f>
        <v/>
      </c>
      <c r="BS968">
        <f>'T_SelfStock'!BQ27</f>
        <v/>
      </c>
      <c r="BT968">
        <f>'T_SelfStock'!BR27</f>
        <v/>
      </c>
      <c r="BU968">
        <f>'T_SelfStock'!BS27</f>
        <v/>
      </c>
      <c r="BV968">
        <f>'T_SelfStock'!BT27</f>
        <v/>
      </c>
      <c r="BW968">
        <f>'T_SelfStock'!BU27</f>
        <v/>
      </c>
      <c r="BX968">
        <f>'T_SelfStock'!BV27</f>
        <v/>
      </c>
      <c r="BY968">
        <f>'T_SelfStock'!BW27</f>
        <v/>
      </c>
      <c r="BZ968">
        <f>'T_SelfStock'!BX27</f>
        <v/>
      </c>
      <c r="CA968">
        <f>'T_SelfStock'!BY27</f>
        <v/>
      </c>
      <c r="CB968">
        <f>'T_SelfStock'!BZ27</f>
        <v/>
      </c>
      <c r="CC968">
        <f>'T_SelfStock'!CA27</f>
        <v/>
      </c>
      <c r="CD968">
        <f>'T_SelfStock'!CB27</f>
        <v/>
      </c>
      <c r="CE968">
        <f>'T_SelfStock'!CC27</f>
        <v/>
      </c>
      <c r="CF968">
        <f>'T_SelfStock'!CD27</f>
        <v/>
      </c>
      <c r="CG968">
        <f>'T_SelfStock'!CE27</f>
        <v/>
      </c>
      <c r="CH968">
        <f>'T_SelfStock'!CF27</f>
        <v/>
      </c>
      <c r="CI968">
        <f>'T_SelfStock'!CG27</f>
        <v/>
      </c>
      <c r="CJ968">
        <f>'T_SelfStock'!CH27</f>
        <v/>
      </c>
      <c r="CK968">
        <f>'T_SelfStock'!CI27</f>
        <v/>
      </c>
      <c r="CL968">
        <f>'T_SelfStock'!CJ27</f>
        <v/>
      </c>
      <c r="CM968">
        <f>'T_SelfStock'!CK27</f>
        <v/>
      </c>
      <c r="CN968">
        <f>'T_SelfStock'!CL27</f>
        <v/>
      </c>
      <c r="CO968">
        <f>'T_SelfStock'!CM27</f>
        <v/>
      </c>
      <c r="CP968">
        <f>'T_SelfStock'!CN27</f>
        <v/>
      </c>
      <c r="CQ968">
        <f>'T_SelfStock'!CO27</f>
        <v/>
      </c>
      <c r="CR968">
        <f>'T_SelfStock'!CP27</f>
        <v/>
      </c>
      <c r="CS968">
        <f>'T_SelfStock'!CQ27</f>
        <v/>
      </c>
      <c r="CT968">
        <f>'T_SelfStock'!CR27</f>
        <v/>
      </c>
      <c r="CU968">
        <f>'T_SelfStock'!CS27</f>
        <v/>
      </c>
      <c r="CV968">
        <f>'T_SelfStock'!CT27</f>
        <v/>
      </c>
      <c r="CW968">
        <f>'T_SelfStock'!CU27</f>
        <v/>
      </c>
      <c r="CX968">
        <f>'T_SelfStock'!CV27</f>
        <v/>
      </c>
      <c r="CY968">
        <f>'T_SelfStock'!CW27</f>
        <v/>
      </c>
      <c r="CZ968">
        <f>'T_SelfStock'!CX27</f>
        <v/>
      </c>
      <c r="DA968">
        <f>'T_SelfStock'!CY27</f>
        <v/>
      </c>
      <c r="DB968">
        <f>'T_SelfStock'!CZ27</f>
        <v/>
      </c>
      <c r="DC968">
        <f>'T_SelfStock'!DA27</f>
        <v/>
      </c>
    </row>
    <row r="969">
      <c r="B969" t="inlineStr">
        <is>
          <t>Order(発注予定,kg)</t>
        </is>
      </c>
      <c r="D969">
        <f>IF(SUMIFS(T_PlannedOrders[EffectiveQty],T_PlannedOrders[Part Name],$A959,T_PlannedOrders[WeekIndex],1)=0,"",SUMIFS(T_PlannedOrders[EffectiveQty],T_PlannedOrders[Part Name],$A959,T_PlannedOrders[WeekIndex],1)&amp;" ("&amp;TEXT(SUMPRODUCT(MAX((T_PlannedOrders[Part Name]=$A959)*(T_PlannedOrders[WeekIndex]=1)*(T_PlannedOrders[EffectiveQty]&gt;0)*T_PlannedOrders[Order_Month])),"m月")&amp;"発注)")</f>
        <v/>
      </c>
      <c r="E969">
        <f>IF(SUMIFS(T_PlannedOrders[EffectiveQty],T_PlannedOrders[Part Name],$A959,T_PlannedOrders[WeekIndex],2)=0,"",SUMIFS(T_PlannedOrders[EffectiveQty],T_PlannedOrders[Part Name],$A959,T_PlannedOrders[WeekIndex],2)&amp;" ("&amp;TEXT(SUMPRODUCT(MAX((T_PlannedOrders[Part Name]=$A959)*(T_PlannedOrders[WeekIndex]=2)*(T_PlannedOrders[EffectiveQty]&gt;0)*T_PlannedOrders[Order_Month])),"m月")&amp;"発注)")</f>
        <v/>
      </c>
      <c r="F969">
        <f>IF(SUMIFS(T_PlannedOrders[EffectiveQty],T_PlannedOrders[Part Name],$A959,T_PlannedOrders[WeekIndex],3)=0,"",SUMIFS(T_PlannedOrders[EffectiveQty],T_PlannedOrders[Part Name],$A959,T_PlannedOrders[WeekIndex],3)&amp;" ("&amp;TEXT(SUMPRODUCT(MAX((T_PlannedOrders[Part Name]=$A959)*(T_PlannedOrders[WeekIndex]=3)*(T_PlannedOrders[EffectiveQty]&gt;0)*T_PlannedOrders[Order_Month])),"m月")&amp;"発注)")</f>
        <v/>
      </c>
      <c r="G969">
        <f>IF(SUMIFS(T_PlannedOrders[EffectiveQty],T_PlannedOrders[Part Name],$A959,T_PlannedOrders[WeekIndex],4)=0,"",SUMIFS(T_PlannedOrders[EffectiveQty],T_PlannedOrders[Part Name],$A959,T_PlannedOrders[WeekIndex],4)&amp;" ("&amp;TEXT(SUMPRODUCT(MAX((T_PlannedOrders[Part Name]=$A959)*(T_PlannedOrders[WeekIndex]=4)*(T_PlannedOrders[EffectiveQty]&gt;0)*T_PlannedOrders[Order_Month])),"m月")&amp;"発注)")</f>
        <v/>
      </c>
      <c r="H969">
        <f>IF(SUMIFS(T_PlannedOrders[EffectiveQty],T_PlannedOrders[Part Name],$A959,T_PlannedOrders[WeekIndex],5)=0,"",SUMIFS(T_PlannedOrders[EffectiveQty],T_PlannedOrders[Part Name],$A959,T_PlannedOrders[WeekIndex],5)&amp;" ("&amp;TEXT(SUMPRODUCT(MAX((T_PlannedOrders[Part Name]=$A959)*(T_PlannedOrders[WeekIndex]=5)*(T_PlannedOrders[EffectiveQty]&gt;0)*T_PlannedOrders[Order_Month])),"m月")&amp;"発注)")</f>
        <v/>
      </c>
      <c r="I969">
        <f>IF(SUMIFS(T_PlannedOrders[EffectiveQty],T_PlannedOrders[Part Name],$A959,T_PlannedOrders[WeekIndex],6)=0,"",SUMIFS(T_PlannedOrders[EffectiveQty],T_PlannedOrders[Part Name],$A959,T_PlannedOrders[WeekIndex],6)&amp;" ("&amp;TEXT(SUMPRODUCT(MAX((T_PlannedOrders[Part Name]=$A959)*(T_PlannedOrders[WeekIndex]=6)*(T_PlannedOrders[EffectiveQty]&gt;0)*T_PlannedOrders[Order_Month])),"m月")&amp;"発注)")</f>
        <v/>
      </c>
      <c r="J969">
        <f>IF(SUMIFS(T_PlannedOrders[EffectiveQty],T_PlannedOrders[Part Name],$A959,T_PlannedOrders[WeekIndex],7)=0,"",SUMIFS(T_PlannedOrders[EffectiveQty],T_PlannedOrders[Part Name],$A959,T_PlannedOrders[WeekIndex],7)&amp;" ("&amp;TEXT(SUMPRODUCT(MAX((T_PlannedOrders[Part Name]=$A959)*(T_PlannedOrders[WeekIndex]=7)*(T_PlannedOrders[EffectiveQty]&gt;0)*T_PlannedOrders[Order_Month])),"m月")&amp;"発注)")</f>
        <v/>
      </c>
      <c r="K969">
        <f>IF(SUMIFS(T_PlannedOrders[EffectiveQty],T_PlannedOrders[Part Name],$A959,T_PlannedOrders[WeekIndex],8)=0,"",SUMIFS(T_PlannedOrders[EffectiveQty],T_PlannedOrders[Part Name],$A959,T_PlannedOrders[WeekIndex],8)&amp;" ("&amp;TEXT(SUMPRODUCT(MAX((T_PlannedOrders[Part Name]=$A959)*(T_PlannedOrders[WeekIndex]=8)*(T_PlannedOrders[EffectiveQty]&gt;0)*T_PlannedOrders[Order_Month])),"m月")&amp;"発注)")</f>
        <v/>
      </c>
      <c r="L969">
        <f>IF(SUMIFS(T_PlannedOrders[EffectiveQty],T_PlannedOrders[Part Name],$A959,T_PlannedOrders[WeekIndex],9)=0,"",SUMIFS(T_PlannedOrders[EffectiveQty],T_PlannedOrders[Part Name],$A959,T_PlannedOrders[WeekIndex],9)&amp;" ("&amp;TEXT(SUMPRODUCT(MAX((T_PlannedOrders[Part Name]=$A959)*(T_PlannedOrders[WeekIndex]=9)*(T_PlannedOrders[EffectiveQty]&gt;0)*T_PlannedOrders[Order_Month])),"m月")&amp;"発注)")</f>
        <v/>
      </c>
      <c r="M969">
        <f>IF(SUMIFS(T_PlannedOrders[EffectiveQty],T_PlannedOrders[Part Name],$A959,T_PlannedOrders[WeekIndex],10)=0,"",SUMIFS(T_PlannedOrders[EffectiveQty],T_PlannedOrders[Part Name],$A959,T_PlannedOrders[WeekIndex],10)&amp;" ("&amp;TEXT(SUMPRODUCT(MAX((T_PlannedOrders[Part Name]=$A959)*(T_PlannedOrders[WeekIndex]=10)*(T_PlannedOrders[EffectiveQty]&gt;0)*T_PlannedOrders[Order_Month])),"m月")&amp;"発注)")</f>
        <v/>
      </c>
      <c r="N969">
        <f>IF(SUMIFS(T_PlannedOrders[EffectiveQty],T_PlannedOrders[Part Name],$A959,T_PlannedOrders[WeekIndex],11)=0,"",SUMIFS(T_PlannedOrders[EffectiveQty],T_PlannedOrders[Part Name],$A959,T_PlannedOrders[WeekIndex],11)&amp;" ("&amp;TEXT(SUMPRODUCT(MAX((T_PlannedOrders[Part Name]=$A959)*(T_PlannedOrders[WeekIndex]=11)*(T_PlannedOrders[EffectiveQty]&gt;0)*T_PlannedOrders[Order_Month])),"m月")&amp;"発注)")</f>
        <v/>
      </c>
      <c r="O969">
        <f>IF(SUMIFS(T_PlannedOrders[EffectiveQty],T_PlannedOrders[Part Name],$A959,T_PlannedOrders[WeekIndex],12)=0,"",SUMIFS(T_PlannedOrders[EffectiveQty],T_PlannedOrders[Part Name],$A959,T_PlannedOrders[WeekIndex],12)&amp;" ("&amp;TEXT(SUMPRODUCT(MAX((T_PlannedOrders[Part Name]=$A959)*(T_PlannedOrders[WeekIndex]=12)*(T_PlannedOrders[EffectiveQty]&gt;0)*T_PlannedOrders[Order_Month])),"m月")&amp;"発注)")</f>
        <v/>
      </c>
      <c r="P969">
        <f>IF(SUMIFS(T_PlannedOrders[EffectiveQty],T_PlannedOrders[Part Name],$A959,T_PlannedOrders[WeekIndex],13)=0,"",SUMIFS(T_PlannedOrders[EffectiveQty],T_PlannedOrders[Part Name],$A959,T_PlannedOrders[WeekIndex],13)&amp;" ("&amp;TEXT(SUMPRODUCT(MAX((T_PlannedOrders[Part Name]=$A959)*(T_PlannedOrders[WeekIndex]=13)*(T_PlannedOrders[EffectiveQty]&gt;0)*T_PlannedOrders[Order_Month])),"m月")&amp;"発注)")</f>
        <v/>
      </c>
      <c r="Q969">
        <f>IF(SUMIFS(T_PlannedOrders[EffectiveQty],T_PlannedOrders[Part Name],$A959,T_PlannedOrders[WeekIndex],14)=0,"",SUMIFS(T_PlannedOrders[EffectiveQty],T_PlannedOrders[Part Name],$A959,T_PlannedOrders[WeekIndex],14)&amp;" ("&amp;TEXT(SUMPRODUCT(MAX((T_PlannedOrders[Part Name]=$A959)*(T_PlannedOrders[WeekIndex]=14)*(T_PlannedOrders[EffectiveQty]&gt;0)*T_PlannedOrders[Order_Month])),"m月")&amp;"発注)")</f>
        <v/>
      </c>
      <c r="R969">
        <f>IF(SUMIFS(T_PlannedOrders[EffectiveQty],T_PlannedOrders[Part Name],$A959,T_PlannedOrders[WeekIndex],15)=0,"",SUMIFS(T_PlannedOrders[EffectiveQty],T_PlannedOrders[Part Name],$A959,T_PlannedOrders[WeekIndex],15)&amp;" ("&amp;TEXT(SUMPRODUCT(MAX((T_PlannedOrders[Part Name]=$A959)*(T_PlannedOrders[WeekIndex]=15)*(T_PlannedOrders[EffectiveQty]&gt;0)*T_PlannedOrders[Order_Month])),"m月")&amp;"発注)")</f>
        <v/>
      </c>
      <c r="S969">
        <f>IF(SUMIFS(T_PlannedOrders[EffectiveQty],T_PlannedOrders[Part Name],$A959,T_PlannedOrders[WeekIndex],16)=0,"",SUMIFS(T_PlannedOrders[EffectiveQty],T_PlannedOrders[Part Name],$A959,T_PlannedOrders[WeekIndex],16)&amp;" ("&amp;TEXT(SUMPRODUCT(MAX((T_PlannedOrders[Part Name]=$A959)*(T_PlannedOrders[WeekIndex]=16)*(T_PlannedOrders[EffectiveQty]&gt;0)*T_PlannedOrders[Order_Month])),"m月")&amp;"発注)")</f>
        <v/>
      </c>
      <c r="T969">
        <f>IF(SUMIFS(T_PlannedOrders[EffectiveQty],T_PlannedOrders[Part Name],$A959,T_PlannedOrders[WeekIndex],17)=0,"",SUMIFS(T_PlannedOrders[EffectiveQty],T_PlannedOrders[Part Name],$A959,T_PlannedOrders[WeekIndex],17)&amp;" ("&amp;TEXT(SUMPRODUCT(MAX((T_PlannedOrders[Part Name]=$A959)*(T_PlannedOrders[WeekIndex]=17)*(T_PlannedOrders[EffectiveQty]&gt;0)*T_PlannedOrders[Order_Month])),"m月")&amp;"発注)")</f>
        <v/>
      </c>
      <c r="U969">
        <f>IF(SUMIFS(T_PlannedOrders[EffectiveQty],T_PlannedOrders[Part Name],$A959,T_PlannedOrders[WeekIndex],18)=0,"",SUMIFS(T_PlannedOrders[EffectiveQty],T_PlannedOrders[Part Name],$A959,T_PlannedOrders[WeekIndex],18)&amp;" ("&amp;TEXT(SUMPRODUCT(MAX((T_PlannedOrders[Part Name]=$A959)*(T_PlannedOrders[WeekIndex]=18)*(T_PlannedOrders[EffectiveQty]&gt;0)*T_PlannedOrders[Order_Month])),"m月")&amp;"発注)")</f>
        <v/>
      </c>
      <c r="V969">
        <f>IF(SUMIFS(T_PlannedOrders[EffectiveQty],T_PlannedOrders[Part Name],$A959,T_PlannedOrders[WeekIndex],19)=0,"",SUMIFS(T_PlannedOrders[EffectiveQty],T_PlannedOrders[Part Name],$A959,T_PlannedOrders[WeekIndex],19)&amp;" ("&amp;TEXT(SUMPRODUCT(MAX((T_PlannedOrders[Part Name]=$A959)*(T_PlannedOrders[WeekIndex]=19)*(T_PlannedOrders[EffectiveQty]&gt;0)*T_PlannedOrders[Order_Month])),"m月")&amp;"発注)")</f>
        <v/>
      </c>
      <c r="W969">
        <f>IF(SUMIFS(T_PlannedOrders[EffectiveQty],T_PlannedOrders[Part Name],$A959,T_PlannedOrders[WeekIndex],20)=0,"",SUMIFS(T_PlannedOrders[EffectiveQty],T_PlannedOrders[Part Name],$A959,T_PlannedOrders[WeekIndex],20)&amp;" ("&amp;TEXT(SUMPRODUCT(MAX((T_PlannedOrders[Part Name]=$A959)*(T_PlannedOrders[WeekIndex]=20)*(T_PlannedOrders[EffectiveQty]&gt;0)*T_PlannedOrders[Order_Month])),"m月")&amp;"発注)")</f>
        <v/>
      </c>
      <c r="X969">
        <f>IF(SUMIFS(T_PlannedOrders[EffectiveQty],T_PlannedOrders[Part Name],$A959,T_PlannedOrders[WeekIndex],21)=0,"",SUMIFS(T_PlannedOrders[EffectiveQty],T_PlannedOrders[Part Name],$A959,T_PlannedOrders[WeekIndex],21)&amp;" ("&amp;TEXT(SUMPRODUCT(MAX((T_PlannedOrders[Part Name]=$A959)*(T_PlannedOrders[WeekIndex]=21)*(T_PlannedOrders[EffectiveQty]&gt;0)*T_PlannedOrders[Order_Month])),"m月")&amp;"発注)")</f>
        <v/>
      </c>
      <c r="Y969">
        <f>IF(SUMIFS(T_PlannedOrders[EffectiveQty],T_PlannedOrders[Part Name],$A959,T_PlannedOrders[WeekIndex],22)=0,"",SUMIFS(T_PlannedOrders[EffectiveQty],T_PlannedOrders[Part Name],$A959,T_PlannedOrders[WeekIndex],22)&amp;" ("&amp;TEXT(SUMPRODUCT(MAX((T_PlannedOrders[Part Name]=$A959)*(T_PlannedOrders[WeekIndex]=22)*(T_PlannedOrders[EffectiveQty]&gt;0)*T_PlannedOrders[Order_Month])),"m月")&amp;"発注)")</f>
        <v/>
      </c>
      <c r="Z969">
        <f>IF(SUMIFS(T_PlannedOrders[EffectiveQty],T_PlannedOrders[Part Name],$A959,T_PlannedOrders[WeekIndex],23)=0,"",SUMIFS(T_PlannedOrders[EffectiveQty],T_PlannedOrders[Part Name],$A959,T_PlannedOrders[WeekIndex],23)&amp;" ("&amp;TEXT(SUMPRODUCT(MAX((T_PlannedOrders[Part Name]=$A959)*(T_PlannedOrders[WeekIndex]=23)*(T_PlannedOrders[EffectiveQty]&gt;0)*T_PlannedOrders[Order_Month])),"m月")&amp;"発注)")</f>
        <v/>
      </c>
      <c r="AA969">
        <f>IF(SUMIFS(T_PlannedOrders[EffectiveQty],T_PlannedOrders[Part Name],$A959,T_PlannedOrders[WeekIndex],24)=0,"",SUMIFS(T_PlannedOrders[EffectiveQty],T_PlannedOrders[Part Name],$A959,T_PlannedOrders[WeekIndex],24)&amp;" ("&amp;TEXT(SUMPRODUCT(MAX((T_PlannedOrders[Part Name]=$A959)*(T_PlannedOrders[WeekIndex]=24)*(T_PlannedOrders[EffectiveQty]&gt;0)*T_PlannedOrders[Order_Month])),"m月")&amp;"発注)")</f>
        <v/>
      </c>
      <c r="AB969">
        <f>IF(SUMIFS(T_PlannedOrders[EffectiveQty],T_PlannedOrders[Part Name],$A959,T_PlannedOrders[WeekIndex],25)=0,"",SUMIFS(T_PlannedOrders[EffectiveQty],T_PlannedOrders[Part Name],$A959,T_PlannedOrders[WeekIndex],25)&amp;" ("&amp;TEXT(SUMPRODUCT(MAX((T_PlannedOrders[Part Name]=$A959)*(T_PlannedOrders[WeekIndex]=25)*(T_PlannedOrders[EffectiveQty]&gt;0)*T_PlannedOrders[Order_Month])),"m月")&amp;"発注)")</f>
        <v/>
      </c>
      <c r="AC969">
        <f>IF(SUMIFS(T_PlannedOrders[EffectiveQty],T_PlannedOrders[Part Name],$A959,T_PlannedOrders[WeekIndex],26)=0,"",SUMIFS(T_PlannedOrders[EffectiveQty],T_PlannedOrders[Part Name],$A959,T_PlannedOrders[WeekIndex],26)&amp;" ("&amp;TEXT(SUMPRODUCT(MAX((T_PlannedOrders[Part Name]=$A959)*(T_PlannedOrders[WeekIndex]=26)*(T_PlannedOrders[EffectiveQty]&gt;0)*T_PlannedOrders[Order_Month])),"m月")&amp;"発注)")</f>
        <v/>
      </c>
      <c r="AD969">
        <f>IF(SUMIFS(T_PlannedOrders[EffectiveQty],T_PlannedOrders[Part Name],$A959,T_PlannedOrders[WeekIndex],27)=0,"",SUMIFS(T_PlannedOrders[EffectiveQty],T_PlannedOrders[Part Name],$A959,T_PlannedOrders[WeekIndex],27)&amp;" ("&amp;TEXT(SUMPRODUCT(MAX((T_PlannedOrders[Part Name]=$A959)*(T_PlannedOrders[WeekIndex]=27)*(T_PlannedOrders[EffectiveQty]&gt;0)*T_PlannedOrders[Order_Month])),"m月")&amp;"発注)")</f>
        <v/>
      </c>
      <c r="AE969">
        <f>IF(SUMIFS(T_PlannedOrders[EffectiveQty],T_PlannedOrders[Part Name],$A959,T_PlannedOrders[WeekIndex],28)=0,"",SUMIFS(T_PlannedOrders[EffectiveQty],T_PlannedOrders[Part Name],$A959,T_PlannedOrders[WeekIndex],28)&amp;" ("&amp;TEXT(SUMPRODUCT(MAX((T_PlannedOrders[Part Name]=$A959)*(T_PlannedOrders[WeekIndex]=28)*(T_PlannedOrders[EffectiveQty]&gt;0)*T_PlannedOrders[Order_Month])),"m月")&amp;"発注)")</f>
        <v/>
      </c>
      <c r="AF969">
        <f>IF(SUMIFS(T_PlannedOrders[EffectiveQty],T_PlannedOrders[Part Name],$A959,T_PlannedOrders[WeekIndex],29)=0,"",SUMIFS(T_PlannedOrders[EffectiveQty],T_PlannedOrders[Part Name],$A959,T_PlannedOrders[WeekIndex],29)&amp;" ("&amp;TEXT(SUMPRODUCT(MAX((T_PlannedOrders[Part Name]=$A959)*(T_PlannedOrders[WeekIndex]=29)*(T_PlannedOrders[EffectiveQty]&gt;0)*T_PlannedOrders[Order_Month])),"m月")&amp;"発注)")</f>
        <v/>
      </c>
      <c r="AG969">
        <f>IF(SUMIFS(T_PlannedOrders[EffectiveQty],T_PlannedOrders[Part Name],$A959,T_PlannedOrders[WeekIndex],30)=0,"",SUMIFS(T_PlannedOrders[EffectiveQty],T_PlannedOrders[Part Name],$A959,T_PlannedOrders[WeekIndex],30)&amp;" ("&amp;TEXT(SUMPRODUCT(MAX((T_PlannedOrders[Part Name]=$A959)*(T_PlannedOrders[WeekIndex]=30)*(T_PlannedOrders[EffectiveQty]&gt;0)*T_PlannedOrders[Order_Month])),"m月")&amp;"発注)")</f>
        <v/>
      </c>
      <c r="AH969">
        <f>IF(SUMIFS(T_PlannedOrders[EffectiveQty],T_PlannedOrders[Part Name],$A959,T_PlannedOrders[WeekIndex],31)=0,"",SUMIFS(T_PlannedOrders[EffectiveQty],T_PlannedOrders[Part Name],$A959,T_PlannedOrders[WeekIndex],31)&amp;" ("&amp;TEXT(SUMPRODUCT(MAX((T_PlannedOrders[Part Name]=$A959)*(T_PlannedOrders[WeekIndex]=31)*(T_PlannedOrders[EffectiveQty]&gt;0)*T_PlannedOrders[Order_Month])),"m月")&amp;"発注)")</f>
        <v/>
      </c>
      <c r="AI969">
        <f>IF(SUMIFS(T_PlannedOrders[EffectiveQty],T_PlannedOrders[Part Name],$A959,T_PlannedOrders[WeekIndex],32)=0,"",SUMIFS(T_PlannedOrders[EffectiveQty],T_PlannedOrders[Part Name],$A959,T_PlannedOrders[WeekIndex],32)&amp;" ("&amp;TEXT(SUMPRODUCT(MAX((T_PlannedOrders[Part Name]=$A959)*(T_PlannedOrders[WeekIndex]=32)*(T_PlannedOrders[EffectiveQty]&gt;0)*T_PlannedOrders[Order_Month])),"m月")&amp;"発注)")</f>
        <v/>
      </c>
      <c r="AJ969">
        <f>IF(SUMIFS(T_PlannedOrders[EffectiveQty],T_PlannedOrders[Part Name],$A959,T_PlannedOrders[WeekIndex],33)=0,"",SUMIFS(T_PlannedOrders[EffectiveQty],T_PlannedOrders[Part Name],$A959,T_PlannedOrders[WeekIndex],33)&amp;" ("&amp;TEXT(SUMPRODUCT(MAX((T_PlannedOrders[Part Name]=$A959)*(T_PlannedOrders[WeekIndex]=33)*(T_PlannedOrders[EffectiveQty]&gt;0)*T_PlannedOrders[Order_Month])),"m月")&amp;"発注)")</f>
        <v/>
      </c>
      <c r="AK969">
        <f>IF(SUMIFS(T_PlannedOrders[EffectiveQty],T_PlannedOrders[Part Name],$A959,T_PlannedOrders[WeekIndex],34)=0,"",SUMIFS(T_PlannedOrders[EffectiveQty],T_PlannedOrders[Part Name],$A959,T_PlannedOrders[WeekIndex],34)&amp;" ("&amp;TEXT(SUMPRODUCT(MAX((T_PlannedOrders[Part Name]=$A959)*(T_PlannedOrders[WeekIndex]=34)*(T_PlannedOrders[EffectiveQty]&gt;0)*T_PlannedOrders[Order_Month])),"m月")&amp;"発注)")</f>
        <v/>
      </c>
      <c r="AL969">
        <f>IF(SUMIFS(T_PlannedOrders[EffectiveQty],T_PlannedOrders[Part Name],$A959,T_PlannedOrders[WeekIndex],35)=0,"",SUMIFS(T_PlannedOrders[EffectiveQty],T_PlannedOrders[Part Name],$A959,T_PlannedOrders[WeekIndex],35)&amp;" ("&amp;TEXT(SUMPRODUCT(MAX((T_PlannedOrders[Part Name]=$A959)*(T_PlannedOrders[WeekIndex]=35)*(T_PlannedOrders[EffectiveQty]&gt;0)*T_PlannedOrders[Order_Month])),"m月")&amp;"発注)")</f>
        <v/>
      </c>
      <c r="AM969">
        <f>IF(SUMIFS(T_PlannedOrders[EffectiveQty],T_PlannedOrders[Part Name],$A959,T_PlannedOrders[WeekIndex],36)=0,"",SUMIFS(T_PlannedOrders[EffectiveQty],T_PlannedOrders[Part Name],$A959,T_PlannedOrders[WeekIndex],36)&amp;" ("&amp;TEXT(SUMPRODUCT(MAX((T_PlannedOrders[Part Name]=$A959)*(T_PlannedOrders[WeekIndex]=36)*(T_PlannedOrders[EffectiveQty]&gt;0)*T_PlannedOrders[Order_Month])),"m月")&amp;"発注)")</f>
        <v/>
      </c>
      <c r="AN969">
        <f>IF(SUMIFS(T_PlannedOrders[EffectiveQty],T_PlannedOrders[Part Name],$A959,T_PlannedOrders[WeekIndex],37)=0,"",SUMIFS(T_PlannedOrders[EffectiveQty],T_PlannedOrders[Part Name],$A959,T_PlannedOrders[WeekIndex],37)&amp;" ("&amp;TEXT(SUMPRODUCT(MAX((T_PlannedOrders[Part Name]=$A959)*(T_PlannedOrders[WeekIndex]=37)*(T_PlannedOrders[EffectiveQty]&gt;0)*T_PlannedOrders[Order_Month])),"m月")&amp;"発注)")</f>
        <v/>
      </c>
      <c r="AO969">
        <f>IF(SUMIFS(T_PlannedOrders[EffectiveQty],T_PlannedOrders[Part Name],$A959,T_PlannedOrders[WeekIndex],38)=0,"",SUMIFS(T_PlannedOrders[EffectiveQty],T_PlannedOrders[Part Name],$A959,T_PlannedOrders[WeekIndex],38)&amp;" ("&amp;TEXT(SUMPRODUCT(MAX((T_PlannedOrders[Part Name]=$A959)*(T_PlannedOrders[WeekIndex]=38)*(T_PlannedOrders[EffectiveQty]&gt;0)*T_PlannedOrders[Order_Month])),"m月")&amp;"発注)")</f>
        <v/>
      </c>
      <c r="AP969">
        <f>IF(SUMIFS(T_PlannedOrders[EffectiveQty],T_PlannedOrders[Part Name],$A959,T_PlannedOrders[WeekIndex],39)=0,"",SUMIFS(T_PlannedOrders[EffectiveQty],T_PlannedOrders[Part Name],$A959,T_PlannedOrders[WeekIndex],39)&amp;" ("&amp;TEXT(SUMPRODUCT(MAX((T_PlannedOrders[Part Name]=$A959)*(T_PlannedOrders[WeekIndex]=39)*(T_PlannedOrders[EffectiveQty]&gt;0)*T_PlannedOrders[Order_Month])),"m月")&amp;"発注)")</f>
        <v/>
      </c>
      <c r="AQ969">
        <f>IF(SUMIFS(T_PlannedOrders[EffectiveQty],T_PlannedOrders[Part Name],$A959,T_PlannedOrders[WeekIndex],40)=0,"",SUMIFS(T_PlannedOrders[EffectiveQty],T_PlannedOrders[Part Name],$A959,T_PlannedOrders[WeekIndex],40)&amp;" ("&amp;TEXT(SUMPRODUCT(MAX((T_PlannedOrders[Part Name]=$A959)*(T_PlannedOrders[WeekIndex]=40)*(T_PlannedOrders[EffectiveQty]&gt;0)*T_PlannedOrders[Order_Month])),"m月")&amp;"発注)")</f>
        <v/>
      </c>
      <c r="AR969">
        <f>IF(SUMIFS(T_PlannedOrders[EffectiveQty],T_PlannedOrders[Part Name],$A959,T_PlannedOrders[WeekIndex],41)=0,"",SUMIFS(T_PlannedOrders[EffectiveQty],T_PlannedOrders[Part Name],$A959,T_PlannedOrders[WeekIndex],41)&amp;" ("&amp;TEXT(SUMPRODUCT(MAX((T_PlannedOrders[Part Name]=$A959)*(T_PlannedOrders[WeekIndex]=41)*(T_PlannedOrders[EffectiveQty]&gt;0)*T_PlannedOrders[Order_Month])),"m月")&amp;"発注)")</f>
        <v/>
      </c>
      <c r="AS969">
        <f>IF(SUMIFS(T_PlannedOrders[EffectiveQty],T_PlannedOrders[Part Name],$A959,T_PlannedOrders[WeekIndex],42)=0,"",SUMIFS(T_PlannedOrders[EffectiveQty],T_PlannedOrders[Part Name],$A959,T_PlannedOrders[WeekIndex],42)&amp;" ("&amp;TEXT(SUMPRODUCT(MAX((T_PlannedOrders[Part Name]=$A959)*(T_PlannedOrders[WeekIndex]=42)*(T_PlannedOrders[EffectiveQty]&gt;0)*T_PlannedOrders[Order_Month])),"m月")&amp;"発注)")</f>
        <v/>
      </c>
      <c r="AT969">
        <f>IF(SUMIFS(T_PlannedOrders[EffectiveQty],T_PlannedOrders[Part Name],$A959,T_PlannedOrders[WeekIndex],43)=0,"",SUMIFS(T_PlannedOrders[EffectiveQty],T_PlannedOrders[Part Name],$A959,T_PlannedOrders[WeekIndex],43)&amp;" ("&amp;TEXT(SUMPRODUCT(MAX((T_PlannedOrders[Part Name]=$A959)*(T_PlannedOrders[WeekIndex]=43)*(T_PlannedOrders[EffectiveQty]&gt;0)*T_PlannedOrders[Order_Month])),"m月")&amp;"発注)")</f>
        <v/>
      </c>
      <c r="AU969">
        <f>IF(SUMIFS(T_PlannedOrders[EffectiveQty],T_PlannedOrders[Part Name],$A959,T_PlannedOrders[WeekIndex],44)=0,"",SUMIFS(T_PlannedOrders[EffectiveQty],T_PlannedOrders[Part Name],$A959,T_PlannedOrders[WeekIndex],44)&amp;" ("&amp;TEXT(SUMPRODUCT(MAX((T_PlannedOrders[Part Name]=$A959)*(T_PlannedOrders[WeekIndex]=44)*(T_PlannedOrders[EffectiveQty]&gt;0)*T_PlannedOrders[Order_Month])),"m月")&amp;"発注)")</f>
        <v/>
      </c>
      <c r="AV969">
        <f>IF(SUMIFS(T_PlannedOrders[EffectiveQty],T_PlannedOrders[Part Name],$A959,T_PlannedOrders[WeekIndex],45)=0,"",SUMIFS(T_PlannedOrders[EffectiveQty],T_PlannedOrders[Part Name],$A959,T_PlannedOrders[WeekIndex],45)&amp;" ("&amp;TEXT(SUMPRODUCT(MAX((T_PlannedOrders[Part Name]=$A959)*(T_PlannedOrders[WeekIndex]=45)*(T_PlannedOrders[EffectiveQty]&gt;0)*T_PlannedOrders[Order_Month])),"m月")&amp;"発注)")</f>
        <v/>
      </c>
      <c r="AW969">
        <f>IF(SUMIFS(T_PlannedOrders[EffectiveQty],T_PlannedOrders[Part Name],$A959,T_PlannedOrders[WeekIndex],46)=0,"",SUMIFS(T_PlannedOrders[EffectiveQty],T_PlannedOrders[Part Name],$A959,T_PlannedOrders[WeekIndex],46)&amp;" ("&amp;TEXT(SUMPRODUCT(MAX((T_PlannedOrders[Part Name]=$A959)*(T_PlannedOrders[WeekIndex]=46)*(T_PlannedOrders[EffectiveQty]&gt;0)*T_PlannedOrders[Order_Month])),"m月")&amp;"発注)")</f>
        <v/>
      </c>
      <c r="AX969">
        <f>IF(SUMIFS(T_PlannedOrders[EffectiveQty],T_PlannedOrders[Part Name],$A959,T_PlannedOrders[WeekIndex],47)=0,"",SUMIFS(T_PlannedOrders[EffectiveQty],T_PlannedOrders[Part Name],$A959,T_PlannedOrders[WeekIndex],47)&amp;" ("&amp;TEXT(SUMPRODUCT(MAX((T_PlannedOrders[Part Name]=$A959)*(T_PlannedOrders[WeekIndex]=47)*(T_PlannedOrders[EffectiveQty]&gt;0)*T_PlannedOrders[Order_Month])),"m月")&amp;"発注)")</f>
        <v/>
      </c>
      <c r="AY969">
        <f>IF(SUMIFS(T_PlannedOrders[EffectiveQty],T_PlannedOrders[Part Name],$A959,T_PlannedOrders[WeekIndex],48)=0,"",SUMIFS(T_PlannedOrders[EffectiveQty],T_PlannedOrders[Part Name],$A959,T_PlannedOrders[WeekIndex],48)&amp;" ("&amp;TEXT(SUMPRODUCT(MAX((T_PlannedOrders[Part Name]=$A959)*(T_PlannedOrders[WeekIndex]=48)*(T_PlannedOrders[EffectiveQty]&gt;0)*T_PlannedOrders[Order_Month])),"m月")&amp;"発注)")</f>
        <v/>
      </c>
      <c r="AZ969">
        <f>IF(SUMIFS(T_PlannedOrders[EffectiveQty],T_PlannedOrders[Part Name],$A959,T_PlannedOrders[WeekIndex],49)=0,"",SUMIFS(T_PlannedOrders[EffectiveQty],T_PlannedOrders[Part Name],$A959,T_PlannedOrders[WeekIndex],49)&amp;" ("&amp;TEXT(SUMPRODUCT(MAX((T_PlannedOrders[Part Name]=$A959)*(T_PlannedOrders[WeekIndex]=49)*(T_PlannedOrders[EffectiveQty]&gt;0)*T_PlannedOrders[Order_Month])),"m月")&amp;"発注)")</f>
        <v/>
      </c>
      <c r="BA969">
        <f>IF(SUMIFS(T_PlannedOrders[EffectiveQty],T_PlannedOrders[Part Name],$A959,T_PlannedOrders[WeekIndex],50)=0,"",SUMIFS(T_PlannedOrders[EffectiveQty],T_PlannedOrders[Part Name],$A959,T_PlannedOrders[WeekIndex],50)&amp;" ("&amp;TEXT(SUMPRODUCT(MAX((T_PlannedOrders[Part Name]=$A959)*(T_PlannedOrders[WeekIndex]=50)*(T_PlannedOrders[EffectiveQty]&gt;0)*T_PlannedOrders[Order_Month])),"m月")&amp;"発注)")</f>
        <v/>
      </c>
      <c r="BB969">
        <f>IF(SUMIFS(T_PlannedOrders[EffectiveQty],T_PlannedOrders[Part Name],$A959,T_PlannedOrders[WeekIndex],51)=0,"",SUMIFS(T_PlannedOrders[EffectiveQty],T_PlannedOrders[Part Name],$A959,T_PlannedOrders[WeekIndex],51)&amp;" ("&amp;TEXT(SUMPRODUCT(MAX((T_PlannedOrders[Part Name]=$A959)*(T_PlannedOrders[WeekIndex]=51)*(T_PlannedOrders[EffectiveQty]&gt;0)*T_PlannedOrders[Order_Month])),"m月")&amp;"発注)")</f>
        <v/>
      </c>
      <c r="BC969">
        <f>IF(SUMIFS(T_PlannedOrders[EffectiveQty],T_PlannedOrders[Part Name],$A959,T_PlannedOrders[WeekIndex],52)=0,"",SUMIFS(T_PlannedOrders[EffectiveQty],T_PlannedOrders[Part Name],$A959,T_PlannedOrders[WeekIndex],52)&amp;" ("&amp;TEXT(SUMPRODUCT(MAX((T_PlannedOrders[Part Name]=$A959)*(T_PlannedOrders[WeekIndex]=52)*(T_PlannedOrders[EffectiveQty]&gt;0)*T_PlannedOrders[Order_Month])),"m月")&amp;"発注)")</f>
        <v/>
      </c>
      <c r="BD969">
        <f>IF(SUMIFS(T_PlannedOrders[EffectiveQty],T_PlannedOrders[Part Name],$A959,T_PlannedOrders[WeekIndex],53)=0,"",SUMIFS(T_PlannedOrders[EffectiveQty],T_PlannedOrders[Part Name],$A959,T_PlannedOrders[WeekIndex],53)&amp;" ("&amp;TEXT(SUMPRODUCT(MAX((T_PlannedOrders[Part Name]=$A959)*(T_PlannedOrders[WeekIndex]=53)*(T_PlannedOrders[EffectiveQty]&gt;0)*T_PlannedOrders[Order_Month])),"m月")&amp;"発注)")</f>
        <v/>
      </c>
      <c r="BE969">
        <f>IF(SUMIFS(T_PlannedOrders[EffectiveQty],T_PlannedOrders[Part Name],$A959,T_PlannedOrders[WeekIndex],54)=0,"",SUMIFS(T_PlannedOrders[EffectiveQty],T_PlannedOrders[Part Name],$A959,T_PlannedOrders[WeekIndex],54)&amp;" ("&amp;TEXT(SUMPRODUCT(MAX((T_PlannedOrders[Part Name]=$A959)*(T_PlannedOrders[WeekIndex]=54)*(T_PlannedOrders[EffectiveQty]&gt;0)*T_PlannedOrders[Order_Month])),"m月")&amp;"発注)")</f>
        <v/>
      </c>
      <c r="BF969">
        <f>IF(SUMIFS(T_PlannedOrders[EffectiveQty],T_PlannedOrders[Part Name],$A959,T_PlannedOrders[WeekIndex],55)=0,"",SUMIFS(T_PlannedOrders[EffectiveQty],T_PlannedOrders[Part Name],$A959,T_PlannedOrders[WeekIndex],55)&amp;" ("&amp;TEXT(SUMPRODUCT(MAX((T_PlannedOrders[Part Name]=$A959)*(T_PlannedOrders[WeekIndex]=55)*(T_PlannedOrders[EffectiveQty]&gt;0)*T_PlannedOrders[Order_Month])),"m月")&amp;"発注)")</f>
        <v/>
      </c>
      <c r="BG969">
        <f>IF(SUMIFS(T_PlannedOrders[EffectiveQty],T_PlannedOrders[Part Name],$A959,T_PlannedOrders[WeekIndex],56)=0,"",SUMIFS(T_PlannedOrders[EffectiveQty],T_PlannedOrders[Part Name],$A959,T_PlannedOrders[WeekIndex],56)&amp;" ("&amp;TEXT(SUMPRODUCT(MAX((T_PlannedOrders[Part Name]=$A959)*(T_PlannedOrders[WeekIndex]=56)*(T_PlannedOrders[EffectiveQty]&gt;0)*T_PlannedOrders[Order_Month])),"m月")&amp;"発注)")</f>
        <v/>
      </c>
      <c r="BH969">
        <f>IF(SUMIFS(T_PlannedOrders[EffectiveQty],T_PlannedOrders[Part Name],$A959,T_PlannedOrders[WeekIndex],57)=0,"",SUMIFS(T_PlannedOrders[EffectiveQty],T_PlannedOrders[Part Name],$A959,T_PlannedOrders[WeekIndex],57)&amp;" ("&amp;TEXT(SUMPRODUCT(MAX((T_PlannedOrders[Part Name]=$A959)*(T_PlannedOrders[WeekIndex]=57)*(T_PlannedOrders[EffectiveQty]&gt;0)*T_PlannedOrders[Order_Month])),"m月")&amp;"発注)")</f>
        <v/>
      </c>
      <c r="BI969">
        <f>IF(SUMIFS(T_PlannedOrders[EffectiveQty],T_PlannedOrders[Part Name],$A959,T_PlannedOrders[WeekIndex],58)=0,"",SUMIFS(T_PlannedOrders[EffectiveQty],T_PlannedOrders[Part Name],$A959,T_PlannedOrders[WeekIndex],58)&amp;" ("&amp;TEXT(SUMPRODUCT(MAX((T_PlannedOrders[Part Name]=$A959)*(T_PlannedOrders[WeekIndex]=58)*(T_PlannedOrders[EffectiveQty]&gt;0)*T_PlannedOrders[Order_Month])),"m月")&amp;"発注)")</f>
        <v/>
      </c>
      <c r="BJ969">
        <f>IF(SUMIFS(T_PlannedOrders[EffectiveQty],T_PlannedOrders[Part Name],$A959,T_PlannedOrders[WeekIndex],59)=0,"",SUMIFS(T_PlannedOrders[EffectiveQty],T_PlannedOrders[Part Name],$A959,T_PlannedOrders[WeekIndex],59)&amp;" ("&amp;TEXT(SUMPRODUCT(MAX((T_PlannedOrders[Part Name]=$A959)*(T_PlannedOrders[WeekIndex]=59)*(T_PlannedOrders[EffectiveQty]&gt;0)*T_PlannedOrders[Order_Month])),"m月")&amp;"発注)")</f>
        <v/>
      </c>
      <c r="BK969">
        <f>IF(SUMIFS(T_PlannedOrders[EffectiveQty],T_PlannedOrders[Part Name],$A959,T_PlannedOrders[WeekIndex],60)=0,"",SUMIFS(T_PlannedOrders[EffectiveQty],T_PlannedOrders[Part Name],$A959,T_PlannedOrders[WeekIndex],60)&amp;" ("&amp;TEXT(SUMPRODUCT(MAX((T_PlannedOrders[Part Name]=$A959)*(T_PlannedOrders[WeekIndex]=60)*(T_PlannedOrders[EffectiveQty]&gt;0)*T_PlannedOrders[Order_Month])),"m月")&amp;"発注)")</f>
        <v/>
      </c>
      <c r="BL969">
        <f>IF(SUMIFS(T_PlannedOrders[EffectiveQty],T_PlannedOrders[Part Name],$A959,T_PlannedOrders[WeekIndex],61)=0,"",SUMIFS(T_PlannedOrders[EffectiveQty],T_PlannedOrders[Part Name],$A959,T_PlannedOrders[WeekIndex],61)&amp;" ("&amp;TEXT(SUMPRODUCT(MAX((T_PlannedOrders[Part Name]=$A959)*(T_PlannedOrders[WeekIndex]=61)*(T_PlannedOrders[EffectiveQty]&gt;0)*T_PlannedOrders[Order_Month])),"m月")&amp;"発注)")</f>
        <v/>
      </c>
      <c r="BM969">
        <f>IF(SUMIFS(T_PlannedOrders[EffectiveQty],T_PlannedOrders[Part Name],$A959,T_PlannedOrders[WeekIndex],62)=0,"",SUMIFS(T_PlannedOrders[EffectiveQty],T_PlannedOrders[Part Name],$A959,T_PlannedOrders[WeekIndex],62)&amp;" ("&amp;TEXT(SUMPRODUCT(MAX((T_PlannedOrders[Part Name]=$A959)*(T_PlannedOrders[WeekIndex]=62)*(T_PlannedOrders[EffectiveQty]&gt;0)*T_PlannedOrders[Order_Month])),"m月")&amp;"発注)")</f>
        <v/>
      </c>
      <c r="BN969">
        <f>IF(SUMIFS(T_PlannedOrders[EffectiveQty],T_PlannedOrders[Part Name],$A959,T_PlannedOrders[WeekIndex],63)=0,"",SUMIFS(T_PlannedOrders[EffectiveQty],T_PlannedOrders[Part Name],$A959,T_PlannedOrders[WeekIndex],63)&amp;" ("&amp;TEXT(SUMPRODUCT(MAX((T_PlannedOrders[Part Name]=$A959)*(T_PlannedOrders[WeekIndex]=63)*(T_PlannedOrders[EffectiveQty]&gt;0)*T_PlannedOrders[Order_Month])),"m月")&amp;"発注)")</f>
        <v/>
      </c>
      <c r="BO969">
        <f>IF(SUMIFS(T_PlannedOrders[EffectiveQty],T_PlannedOrders[Part Name],$A959,T_PlannedOrders[WeekIndex],64)=0,"",SUMIFS(T_PlannedOrders[EffectiveQty],T_PlannedOrders[Part Name],$A959,T_PlannedOrders[WeekIndex],64)&amp;" ("&amp;TEXT(SUMPRODUCT(MAX((T_PlannedOrders[Part Name]=$A959)*(T_PlannedOrders[WeekIndex]=64)*(T_PlannedOrders[EffectiveQty]&gt;0)*T_PlannedOrders[Order_Month])),"m月")&amp;"発注)")</f>
        <v/>
      </c>
      <c r="BP969">
        <f>IF(SUMIFS(T_PlannedOrders[EffectiveQty],T_PlannedOrders[Part Name],$A959,T_PlannedOrders[WeekIndex],65)=0,"",SUMIFS(T_PlannedOrders[EffectiveQty],T_PlannedOrders[Part Name],$A959,T_PlannedOrders[WeekIndex],65)&amp;" ("&amp;TEXT(SUMPRODUCT(MAX((T_PlannedOrders[Part Name]=$A959)*(T_PlannedOrders[WeekIndex]=65)*(T_PlannedOrders[EffectiveQty]&gt;0)*T_PlannedOrders[Order_Month])),"m月")&amp;"発注)")</f>
        <v/>
      </c>
      <c r="BQ969">
        <f>IF(SUMIFS(T_PlannedOrders[EffectiveQty],T_PlannedOrders[Part Name],$A959,T_PlannedOrders[WeekIndex],66)=0,"",SUMIFS(T_PlannedOrders[EffectiveQty],T_PlannedOrders[Part Name],$A959,T_PlannedOrders[WeekIndex],66)&amp;" ("&amp;TEXT(SUMPRODUCT(MAX((T_PlannedOrders[Part Name]=$A959)*(T_PlannedOrders[WeekIndex]=66)*(T_PlannedOrders[EffectiveQty]&gt;0)*T_PlannedOrders[Order_Month])),"m月")&amp;"発注)")</f>
        <v/>
      </c>
      <c r="BR969">
        <f>IF(SUMIFS(T_PlannedOrders[EffectiveQty],T_PlannedOrders[Part Name],$A959,T_PlannedOrders[WeekIndex],67)=0,"",SUMIFS(T_PlannedOrders[EffectiveQty],T_PlannedOrders[Part Name],$A959,T_PlannedOrders[WeekIndex],67)&amp;" ("&amp;TEXT(SUMPRODUCT(MAX((T_PlannedOrders[Part Name]=$A959)*(T_PlannedOrders[WeekIndex]=67)*(T_PlannedOrders[EffectiveQty]&gt;0)*T_PlannedOrders[Order_Month])),"m月")&amp;"発注)")</f>
        <v/>
      </c>
      <c r="BS969">
        <f>IF(SUMIFS(T_PlannedOrders[EffectiveQty],T_PlannedOrders[Part Name],$A959,T_PlannedOrders[WeekIndex],68)=0,"",SUMIFS(T_PlannedOrders[EffectiveQty],T_PlannedOrders[Part Name],$A959,T_PlannedOrders[WeekIndex],68)&amp;" ("&amp;TEXT(SUMPRODUCT(MAX((T_PlannedOrders[Part Name]=$A959)*(T_PlannedOrders[WeekIndex]=68)*(T_PlannedOrders[EffectiveQty]&gt;0)*T_PlannedOrders[Order_Month])),"m月")&amp;"発注)")</f>
        <v/>
      </c>
      <c r="BT969">
        <f>IF(SUMIFS(T_PlannedOrders[EffectiveQty],T_PlannedOrders[Part Name],$A959,T_PlannedOrders[WeekIndex],69)=0,"",SUMIFS(T_PlannedOrders[EffectiveQty],T_PlannedOrders[Part Name],$A959,T_PlannedOrders[WeekIndex],69)&amp;" ("&amp;TEXT(SUMPRODUCT(MAX((T_PlannedOrders[Part Name]=$A959)*(T_PlannedOrders[WeekIndex]=69)*(T_PlannedOrders[EffectiveQty]&gt;0)*T_PlannedOrders[Order_Month])),"m月")&amp;"発注)")</f>
        <v/>
      </c>
      <c r="BU969">
        <f>IF(SUMIFS(T_PlannedOrders[EffectiveQty],T_PlannedOrders[Part Name],$A959,T_PlannedOrders[WeekIndex],70)=0,"",SUMIFS(T_PlannedOrders[EffectiveQty],T_PlannedOrders[Part Name],$A959,T_PlannedOrders[WeekIndex],70)&amp;" ("&amp;TEXT(SUMPRODUCT(MAX((T_PlannedOrders[Part Name]=$A959)*(T_PlannedOrders[WeekIndex]=70)*(T_PlannedOrders[EffectiveQty]&gt;0)*T_PlannedOrders[Order_Month])),"m月")&amp;"発注)")</f>
        <v/>
      </c>
      <c r="BV969">
        <f>IF(SUMIFS(T_PlannedOrders[EffectiveQty],T_PlannedOrders[Part Name],$A959,T_PlannedOrders[WeekIndex],71)=0,"",SUMIFS(T_PlannedOrders[EffectiveQty],T_PlannedOrders[Part Name],$A959,T_PlannedOrders[WeekIndex],71)&amp;" ("&amp;TEXT(SUMPRODUCT(MAX((T_PlannedOrders[Part Name]=$A959)*(T_PlannedOrders[WeekIndex]=71)*(T_PlannedOrders[EffectiveQty]&gt;0)*T_PlannedOrders[Order_Month])),"m月")&amp;"発注)")</f>
        <v/>
      </c>
      <c r="BW969">
        <f>IF(SUMIFS(T_PlannedOrders[EffectiveQty],T_PlannedOrders[Part Name],$A959,T_PlannedOrders[WeekIndex],72)=0,"",SUMIFS(T_PlannedOrders[EffectiveQty],T_PlannedOrders[Part Name],$A959,T_PlannedOrders[WeekIndex],72)&amp;" ("&amp;TEXT(SUMPRODUCT(MAX((T_PlannedOrders[Part Name]=$A959)*(T_PlannedOrders[WeekIndex]=72)*(T_PlannedOrders[EffectiveQty]&gt;0)*T_PlannedOrders[Order_Month])),"m月")&amp;"発注)")</f>
        <v/>
      </c>
      <c r="BX969">
        <f>IF(SUMIFS(T_PlannedOrders[EffectiveQty],T_PlannedOrders[Part Name],$A959,T_PlannedOrders[WeekIndex],73)=0,"",SUMIFS(T_PlannedOrders[EffectiveQty],T_PlannedOrders[Part Name],$A959,T_PlannedOrders[WeekIndex],73)&amp;" ("&amp;TEXT(SUMPRODUCT(MAX((T_PlannedOrders[Part Name]=$A959)*(T_PlannedOrders[WeekIndex]=73)*(T_PlannedOrders[EffectiveQty]&gt;0)*T_PlannedOrders[Order_Month])),"m月")&amp;"発注)")</f>
        <v/>
      </c>
      <c r="BY969">
        <f>IF(SUMIFS(T_PlannedOrders[EffectiveQty],T_PlannedOrders[Part Name],$A959,T_PlannedOrders[WeekIndex],74)=0,"",SUMIFS(T_PlannedOrders[EffectiveQty],T_PlannedOrders[Part Name],$A959,T_PlannedOrders[WeekIndex],74)&amp;" ("&amp;TEXT(SUMPRODUCT(MAX((T_PlannedOrders[Part Name]=$A959)*(T_PlannedOrders[WeekIndex]=74)*(T_PlannedOrders[EffectiveQty]&gt;0)*T_PlannedOrders[Order_Month])),"m月")&amp;"発注)")</f>
        <v/>
      </c>
      <c r="BZ969">
        <f>IF(SUMIFS(T_PlannedOrders[EffectiveQty],T_PlannedOrders[Part Name],$A959,T_PlannedOrders[WeekIndex],75)=0,"",SUMIFS(T_PlannedOrders[EffectiveQty],T_PlannedOrders[Part Name],$A959,T_PlannedOrders[WeekIndex],75)&amp;" ("&amp;TEXT(SUMPRODUCT(MAX((T_PlannedOrders[Part Name]=$A959)*(T_PlannedOrders[WeekIndex]=75)*(T_PlannedOrders[EffectiveQty]&gt;0)*T_PlannedOrders[Order_Month])),"m月")&amp;"発注)")</f>
        <v/>
      </c>
      <c r="CA969">
        <f>IF(SUMIFS(T_PlannedOrders[EffectiveQty],T_PlannedOrders[Part Name],$A959,T_PlannedOrders[WeekIndex],76)=0,"",SUMIFS(T_PlannedOrders[EffectiveQty],T_PlannedOrders[Part Name],$A959,T_PlannedOrders[WeekIndex],76)&amp;" ("&amp;TEXT(SUMPRODUCT(MAX((T_PlannedOrders[Part Name]=$A959)*(T_PlannedOrders[WeekIndex]=76)*(T_PlannedOrders[EffectiveQty]&gt;0)*T_PlannedOrders[Order_Month])),"m月")&amp;"発注)")</f>
        <v/>
      </c>
      <c r="CB969">
        <f>IF(SUMIFS(T_PlannedOrders[EffectiveQty],T_PlannedOrders[Part Name],$A959,T_PlannedOrders[WeekIndex],77)=0,"",SUMIFS(T_PlannedOrders[EffectiveQty],T_PlannedOrders[Part Name],$A959,T_PlannedOrders[WeekIndex],77)&amp;" ("&amp;TEXT(SUMPRODUCT(MAX((T_PlannedOrders[Part Name]=$A959)*(T_PlannedOrders[WeekIndex]=77)*(T_PlannedOrders[EffectiveQty]&gt;0)*T_PlannedOrders[Order_Month])),"m月")&amp;"発注)")</f>
        <v/>
      </c>
      <c r="CC969">
        <f>IF(SUMIFS(T_PlannedOrders[EffectiveQty],T_PlannedOrders[Part Name],$A959,T_PlannedOrders[WeekIndex],78)=0,"",SUMIFS(T_PlannedOrders[EffectiveQty],T_PlannedOrders[Part Name],$A959,T_PlannedOrders[WeekIndex],78)&amp;" ("&amp;TEXT(SUMPRODUCT(MAX((T_PlannedOrders[Part Name]=$A959)*(T_PlannedOrders[WeekIndex]=78)*(T_PlannedOrders[EffectiveQty]&gt;0)*T_PlannedOrders[Order_Month])),"m月")&amp;"発注)")</f>
        <v/>
      </c>
      <c r="CD969">
        <f>IF(SUMIFS(T_PlannedOrders[EffectiveQty],T_PlannedOrders[Part Name],$A959,T_PlannedOrders[WeekIndex],79)=0,"",SUMIFS(T_PlannedOrders[EffectiveQty],T_PlannedOrders[Part Name],$A959,T_PlannedOrders[WeekIndex],79)&amp;" ("&amp;TEXT(SUMPRODUCT(MAX((T_PlannedOrders[Part Name]=$A959)*(T_PlannedOrders[WeekIndex]=79)*(T_PlannedOrders[EffectiveQty]&gt;0)*T_PlannedOrders[Order_Month])),"m月")&amp;"発注)")</f>
        <v/>
      </c>
      <c r="CE969">
        <f>IF(SUMIFS(T_PlannedOrders[EffectiveQty],T_PlannedOrders[Part Name],$A959,T_PlannedOrders[WeekIndex],80)=0,"",SUMIFS(T_PlannedOrders[EffectiveQty],T_PlannedOrders[Part Name],$A959,T_PlannedOrders[WeekIndex],80)&amp;" ("&amp;TEXT(SUMPRODUCT(MAX((T_PlannedOrders[Part Name]=$A959)*(T_PlannedOrders[WeekIndex]=80)*(T_PlannedOrders[EffectiveQty]&gt;0)*T_PlannedOrders[Order_Month])),"m月")&amp;"発注)")</f>
        <v/>
      </c>
      <c r="CF969">
        <f>IF(SUMIFS(T_PlannedOrders[EffectiveQty],T_PlannedOrders[Part Name],$A959,T_PlannedOrders[WeekIndex],81)=0,"",SUMIFS(T_PlannedOrders[EffectiveQty],T_PlannedOrders[Part Name],$A959,T_PlannedOrders[WeekIndex],81)&amp;" ("&amp;TEXT(SUMPRODUCT(MAX((T_PlannedOrders[Part Name]=$A959)*(T_PlannedOrders[WeekIndex]=81)*(T_PlannedOrders[EffectiveQty]&gt;0)*T_PlannedOrders[Order_Month])),"m月")&amp;"発注)")</f>
        <v/>
      </c>
      <c r="CG969">
        <f>IF(SUMIFS(T_PlannedOrders[EffectiveQty],T_PlannedOrders[Part Name],$A959,T_PlannedOrders[WeekIndex],82)=0,"",SUMIFS(T_PlannedOrders[EffectiveQty],T_PlannedOrders[Part Name],$A959,T_PlannedOrders[WeekIndex],82)&amp;" ("&amp;TEXT(SUMPRODUCT(MAX((T_PlannedOrders[Part Name]=$A959)*(T_PlannedOrders[WeekIndex]=82)*(T_PlannedOrders[EffectiveQty]&gt;0)*T_PlannedOrders[Order_Month])),"m月")&amp;"発注)")</f>
        <v/>
      </c>
      <c r="CH969">
        <f>IF(SUMIFS(T_PlannedOrders[EffectiveQty],T_PlannedOrders[Part Name],$A959,T_PlannedOrders[WeekIndex],83)=0,"",SUMIFS(T_PlannedOrders[EffectiveQty],T_PlannedOrders[Part Name],$A959,T_PlannedOrders[WeekIndex],83)&amp;" ("&amp;TEXT(SUMPRODUCT(MAX((T_PlannedOrders[Part Name]=$A959)*(T_PlannedOrders[WeekIndex]=83)*(T_PlannedOrders[EffectiveQty]&gt;0)*T_PlannedOrders[Order_Month])),"m月")&amp;"発注)")</f>
        <v/>
      </c>
      <c r="CI969">
        <f>IF(SUMIFS(T_PlannedOrders[EffectiveQty],T_PlannedOrders[Part Name],$A959,T_PlannedOrders[WeekIndex],84)=0,"",SUMIFS(T_PlannedOrders[EffectiveQty],T_PlannedOrders[Part Name],$A959,T_PlannedOrders[WeekIndex],84)&amp;" ("&amp;TEXT(SUMPRODUCT(MAX((T_PlannedOrders[Part Name]=$A959)*(T_PlannedOrders[WeekIndex]=84)*(T_PlannedOrders[EffectiveQty]&gt;0)*T_PlannedOrders[Order_Month])),"m月")&amp;"発注)")</f>
        <v/>
      </c>
      <c r="CJ969">
        <f>IF(SUMIFS(T_PlannedOrders[EffectiveQty],T_PlannedOrders[Part Name],$A959,T_PlannedOrders[WeekIndex],85)=0,"",SUMIFS(T_PlannedOrders[EffectiveQty],T_PlannedOrders[Part Name],$A959,T_PlannedOrders[WeekIndex],85)&amp;" ("&amp;TEXT(SUMPRODUCT(MAX((T_PlannedOrders[Part Name]=$A959)*(T_PlannedOrders[WeekIndex]=85)*(T_PlannedOrders[EffectiveQty]&gt;0)*T_PlannedOrders[Order_Month])),"m月")&amp;"発注)")</f>
        <v/>
      </c>
      <c r="CK969">
        <f>IF(SUMIFS(T_PlannedOrders[EffectiveQty],T_PlannedOrders[Part Name],$A959,T_PlannedOrders[WeekIndex],86)=0,"",SUMIFS(T_PlannedOrders[EffectiveQty],T_PlannedOrders[Part Name],$A959,T_PlannedOrders[WeekIndex],86)&amp;" ("&amp;TEXT(SUMPRODUCT(MAX((T_PlannedOrders[Part Name]=$A959)*(T_PlannedOrders[WeekIndex]=86)*(T_PlannedOrders[EffectiveQty]&gt;0)*T_PlannedOrders[Order_Month])),"m月")&amp;"発注)")</f>
        <v/>
      </c>
      <c r="CL969">
        <f>IF(SUMIFS(T_PlannedOrders[EffectiveQty],T_PlannedOrders[Part Name],$A959,T_PlannedOrders[WeekIndex],87)=0,"",SUMIFS(T_PlannedOrders[EffectiveQty],T_PlannedOrders[Part Name],$A959,T_PlannedOrders[WeekIndex],87)&amp;" ("&amp;TEXT(SUMPRODUCT(MAX((T_PlannedOrders[Part Name]=$A959)*(T_PlannedOrders[WeekIndex]=87)*(T_PlannedOrders[EffectiveQty]&gt;0)*T_PlannedOrders[Order_Month])),"m月")&amp;"発注)")</f>
        <v/>
      </c>
      <c r="CM969">
        <f>IF(SUMIFS(T_PlannedOrders[EffectiveQty],T_PlannedOrders[Part Name],$A959,T_PlannedOrders[WeekIndex],88)=0,"",SUMIFS(T_PlannedOrders[EffectiveQty],T_PlannedOrders[Part Name],$A959,T_PlannedOrders[WeekIndex],88)&amp;" ("&amp;TEXT(SUMPRODUCT(MAX((T_PlannedOrders[Part Name]=$A959)*(T_PlannedOrders[WeekIndex]=88)*(T_PlannedOrders[EffectiveQty]&gt;0)*T_PlannedOrders[Order_Month])),"m月")&amp;"発注)")</f>
        <v/>
      </c>
      <c r="CN969">
        <f>IF(SUMIFS(T_PlannedOrders[EffectiveQty],T_PlannedOrders[Part Name],$A959,T_PlannedOrders[WeekIndex],89)=0,"",SUMIFS(T_PlannedOrders[EffectiveQty],T_PlannedOrders[Part Name],$A959,T_PlannedOrders[WeekIndex],89)&amp;" ("&amp;TEXT(SUMPRODUCT(MAX((T_PlannedOrders[Part Name]=$A959)*(T_PlannedOrders[WeekIndex]=89)*(T_PlannedOrders[EffectiveQty]&gt;0)*T_PlannedOrders[Order_Month])),"m月")&amp;"発注)")</f>
        <v/>
      </c>
      <c r="CO969">
        <f>IF(SUMIFS(T_PlannedOrders[EffectiveQty],T_PlannedOrders[Part Name],$A959,T_PlannedOrders[WeekIndex],90)=0,"",SUMIFS(T_PlannedOrders[EffectiveQty],T_PlannedOrders[Part Name],$A959,T_PlannedOrders[WeekIndex],90)&amp;" ("&amp;TEXT(SUMPRODUCT(MAX((T_PlannedOrders[Part Name]=$A959)*(T_PlannedOrders[WeekIndex]=90)*(T_PlannedOrders[EffectiveQty]&gt;0)*T_PlannedOrders[Order_Month])),"m月")&amp;"発注)")</f>
        <v/>
      </c>
      <c r="CP969">
        <f>IF(SUMIFS(T_PlannedOrders[EffectiveQty],T_PlannedOrders[Part Name],$A959,T_PlannedOrders[WeekIndex],91)=0,"",SUMIFS(T_PlannedOrders[EffectiveQty],T_PlannedOrders[Part Name],$A959,T_PlannedOrders[WeekIndex],91)&amp;" ("&amp;TEXT(SUMPRODUCT(MAX((T_PlannedOrders[Part Name]=$A959)*(T_PlannedOrders[WeekIndex]=91)*(T_PlannedOrders[EffectiveQty]&gt;0)*T_PlannedOrders[Order_Month])),"m月")&amp;"発注)")</f>
        <v/>
      </c>
      <c r="CQ969">
        <f>IF(SUMIFS(T_PlannedOrders[EffectiveQty],T_PlannedOrders[Part Name],$A959,T_PlannedOrders[WeekIndex],92)=0,"",SUMIFS(T_PlannedOrders[EffectiveQty],T_PlannedOrders[Part Name],$A959,T_PlannedOrders[WeekIndex],92)&amp;" ("&amp;TEXT(SUMPRODUCT(MAX((T_PlannedOrders[Part Name]=$A959)*(T_PlannedOrders[WeekIndex]=92)*(T_PlannedOrders[EffectiveQty]&gt;0)*T_PlannedOrders[Order_Month])),"m月")&amp;"発注)")</f>
        <v/>
      </c>
      <c r="CR969">
        <f>IF(SUMIFS(T_PlannedOrders[EffectiveQty],T_PlannedOrders[Part Name],$A959,T_PlannedOrders[WeekIndex],93)=0,"",SUMIFS(T_PlannedOrders[EffectiveQty],T_PlannedOrders[Part Name],$A959,T_PlannedOrders[WeekIndex],93)&amp;" ("&amp;TEXT(SUMPRODUCT(MAX((T_PlannedOrders[Part Name]=$A959)*(T_PlannedOrders[WeekIndex]=93)*(T_PlannedOrders[EffectiveQty]&gt;0)*T_PlannedOrders[Order_Month])),"m月")&amp;"発注)")</f>
        <v/>
      </c>
      <c r="CS969">
        <f>IF(SUMIFS(T_PlannedOrders[EffectiveQty],T_PlannedOrders[Part Name],$A959,T_PlannedOrders[WeekIndex],94)=0,"",SUMIFS(T_PlannedOrders[EffectiveQty],T_PlannedOrders[Part Name],$A959,T_PlannedOrders[WeekIndex],94)&amp;" ("&amp;TEXT(SUMPRODUCT(MAX((T_PlannedOrders[Part Name]=$A959)*(T_PlannedOrders[WeekIndex]=94)*(T_PlannedOrders[EffectiveQty]&gt;0)*T_PlannedOrders[Order_Month])),"m月")&amp;"発注)")</f>
        <v/>
      </c>
      <c r="CT969">
        <f>IF(SUMIFS(T_PlannedOrders[EffectiveQty],T_PlannedOrders[Part Name],$A959,T_PlannedOrders[WeekIndex],95)=0,"",SUMIFS(T_PlannedOrders[EffectiveQty],T_PlannedOrders[Part Name],$A959,T_PlannedOrders[WeekIndex],95)&amp;" ("&amp;TEXT(SUMPRODUCT(MAX((T_PlannedOrders[Part Name]=$A959)*(T_PlannedOrders[WeekIndex]=95)*(T_PlannedOrders[EffectiveQty]&gt;0)*T_PlannedOrders[Order_Month])),"m月")&amp;"発注)")</f>
        <v/>
      </c>
      <c r="CU969">
        <f>IF(SUMIFS(T_PlannedOrders[EffectiveQty],T_PlannedOrders[Part Name],$A959,T_PlannedOrders[WeekIndex],96)=0,"",SUMIFS(T_PlannedOrders[EffectiveQty],T_PlannedOrders[Part Name],$A959,T_PlannedOrders[WeekIndex],96)&amp;" ("&amp;TEXT(SUMPRODUCT(MAX((T_PlannedOrders[Part Name]=$A959)*(T_PlannedOrders[WeekIndex]=96)*(T_PlannedOrders[EffectiveQty]&gt;0)*T_PlannedOrders[Order_Month])),"m月")&amp;"発注)")</f>
        <v/>
      </c>
      <c r="CV969">
        <f>IF(SUMIFS(T_PlannedOrders[EffectiveQty],T_PlannedOrders[Part Name],$A959,T_PlannedOrders[WeekIndex],97)=0,"",SUMIFS(T_PlannedOrders[EffectiveQty],T_PlannedOrders[Part Name],$A959,T_PlannedOrders[WeekIndex],97)&amp;" ("&amp;TEXT(SUMPRODUCT(MAX((T_PlannedOrders[Part Name]=$A959)*(T_PlannedOrders[WeekIndex]=97)*(T_PlannedOrders[EffectiveQty]&gt;0)*T_PlannedOrders[Order_Month])),"m月")&amp;"発注)")</f>
        <v/>
      </c>
      <c r="CW969">
        <f>IF(SUMIFS(T_PlannedOrders[EffectiveQty],T_PlannedOrders[Part Name],$A959,T_PlannedOrders[WeekIndex],98)=0,"",SUMIFS(T_PlannedOrders[EffectiveQty],T_PlannedOrders[Part Name],$A959,T_PlannedOrders[WeekIndex],98)&amp;" ("&amp;TEXT(SUMPRODUCT(MAX((T_PlannedOrders[Part Name]=$A959)*(T_PlannedOrders[WeekIndex]=98)*(T_PlannedOrders[EffectiveQty]&gt;0)*T_PlannedOrders[Order_Month])),"m月")&amp;"発注)")</f>
        <v/>
      </c>
      <c r="CX969">
        <f>IF(SUMIFS(T_PlannedOrders[EffectiveQty],T_PlannedOrders[Part Name],$A959,T_PlannedOrders[WeekIndex],99)=0,"",SUMIFS(T_PlannedOrders[EffectiveQty],T_PlannedOrders[Part Name],$A959,T_PlannedOrders[WeekIndex],99)&amp;" ("&amp;TEXT(SUMPRODUCT(MAX((T_PlannedOrders[Part Name]=$A959)*(T_PlannedOrders[WeekIndex]=99)*(T_PlannedOrders[EffectiveQty]&gt;0)*T_PlannedOrders[Order_Month])),"m月")&amp;"発注)")</f>
        <v/>
      </c>
      <c r="CY969">
        <f>IF(SUMIFS(T_PlannedOrders[EffectiveQty],T_PlannedOrders[Part Name],$A959,T_PlannedOrders[WeekIndex],100)=0,"",SUMIFS(T_PlannedOrders[EffectiveQty],T_PlannedOrders[Part Name],$A959,T_PlannedOrders[WeekIndex],100)&amp;" ("&amp;TEXT(SUMPRODUCT(MAX((T_PlannedOrders[Part Name]=$A959)*(T_PlannedOrders[WeekIndex]=100)*(T_PlannedOrders[EffectiveQty]&gt;0)*T_PlannedOrders[Order_Month])),"m月")&amp;"発注)")</f>
        <v/>
      </c>
      <c r="CZ969">
        <f>IF(SUMIFS(T_PlannedOrders[EffectiveQty],T_PlannedOrders[Part Name],$A959,T_PlannedOrders[WeekIndex],101)=0,"",SUMIFS(T_PlannedOrders[EffectiveQty],T_PlannedOrders[Part Name],$A959,T_PlannedOrders[WeekIndex],101)&amp;" ("&amp;TEXT(SUMPRODUCT(MAX((T_PlannedOrders[Part Name]=$A959)*(T_PlannedOrders[WeekIndex]=101)*(T_PlannedOrders[EffectiveQty]&gt;0)*T_PlannedOrders[Order_Month])),"m月")&amp;"発注)")</f>
        <v/>
      </c>
      <c r="DA969">
        <f>IF(SUMIFS(T_PlannedOrders[EffectiveQty],T_PlannedOrders[Part Name],$A959,T_PlannedOrders[WeekIndex],102)=0,"",SUMIFS(T_PlannedOrders[EffectiveQty],T_PlannedOrders[Part Name],$A959,T_PlannedOrders[WeekIndex],102)&amp;" ("&amp;TEXT(SUMPRODUCT(MAX((T_PlannedOrders[Part Name]=$A959)*(T_PlannedOrders[WeekIndex]=102)*(T_PlannedOrders[EffectiveQty]&gt;0)*T_PlannedOrders[Order_Month])),"m月")&amp;"発注)")</f>
        <v/>
      </c>
      <c r="DB969">
        <f>IF(SUMIFS(T_PlannedOrders[EffectiveQty],T_PlannedOrders[Part Name],$A959,T_PlannedOrders[WeekIndex],103)=0,"",SUMIFS(T_PlannedOrders[EffectiveQty],T_PlannedOrders[Part Name],$A959,T_PlannedOrders[WeekIndex],103)&amp;" ("&amp;TEXT(SUMPRODUCT(MAX((T_PlannedOrders[Part Name]=$A959)*(T_PlannedOrders[WeekIndex]=103)*(T_PlannedOrders[EffectiveQty]&gt;0)*T_PlannedOrders[Order_Month])),"m月")&amp;"発注)")</f>
        <v/>
      </c>
      <c r="DC969">
        <f>IF(SUMIFS(T_PlannedOrders[EffectiveQty],T_PlannedOrders[Part Name],$A959,T_PlannedOrders[WeekIndex],104)=0,"",SUMIFS(T_PlannedOrders[EffectiveQty],T_PlannedOrders[Part Name],$A959,T_PlannedOrders[WeekIndex],104)&amp;" ("&amp;TEXT(SUMPRODUCT(MAX((T_PlannedOrders[Part Name]=$A959)*(T_PlannedOrders[WeekIndex]=104)*(T_PlannedOrders[EffectiveQty]&gt;0)*T_PlannedOrders[Order_Month])),"m月")&amp;"発注)")</f>
        <v/>
      </c>
    </row>
    <row r="970">
      <c r="B970" s="9" t="inlineStr">
        <is>
          <t>合計在庫(週末時点,kg)</t>
        </is>
      </c>
      <c r="D970">
        <f>'Grid_Stock'!B23</f>
        <v/>
      </c>
      <c r="E970">
        <f>'Grid_Stock'!C23</f>
        <v/>
      </c>
      <c r="F970">
        <f>'Grid_Stock'!D23</f>
        <v/>
      </c>
      <c r="G970">
        <f>'Grid_Stock'!E23</f>
        <v/>
      </c>
      <c r="H970">
        <f>'Grid_Stock'!F23</f>
        <v/>
      </c>
      <c r="I970">
        <f>'Grid_Stock'!G23</f>
        <v/>
      </c>
      <c r="J970">
        <f>'Grid_Stock'!H23</f>
        <v/>
      </c>
      <c r="K970">
        <f>'Grid_Stock'!I23</f>
        <v/>
      </c>
      <c r="L970">
        <f>'Grid_Stock'!J23</f>
        <v/>
      </c>
      <c r="M970">
        <f>'Grid_Stock'!K23</f>
        <v/>
      </c>
      <c r="N970">
        <f>'Grid_Stock'!L23</f>
        <v/>
      </c>
      <c r="O970">
        <f>'Grid_Stock'!M23</f>
        <v/>
      </c>
      <c r="P970">
        <f>'Grid_Stock'!N23</f>
        <v/>
      </c>
      <c r="Q970">
        <f>'Grid_Stock'!O23</f>
        <v/>
      </c>
      <c r="R970">
        <f>'Grid_Stock'!P23</f>
        <v/>
      </c>
      <c r="S970">
        <f>'Grid_Stock'!Q23</f>
        <v/>
      </c>
      <c r="T970">
        <f>'Grid_Stock'!R23</f>
        <v/>
      </c>
      <c r="U970">
        <f>'Grid_Stock'!S23</f>
        <v/>
      </c>
      <c r="V970">
        <f>'Grid_Stock'!T23</f>
        <v/>
      </c>
      <c r="W970">
        <f>'Grid_Stock'!U23</f>
        <v/>
      </c>
      <c r="X970">
        <f>'Grid_Stock'!V23</f>
        <v/>
      </c>
      <c r="Y970">
        <f>'Grid_Stock'!W23</f>
        <v/>
      </c>
      <c r="Z970">
        <f>'Grid_Stock'!X23</f>
        <v/>
      </c>
      <c r="AA970">
        <f>'Grid_Stock'!Y23</f>
        <v/>
      </c>
      <c r="AB970">
        <f>'Grid_Stock'!Z23</f>
        <v/>
      </c>
      <c r="AC970">
        <f>'Grid_Stock'!AA23</f>
        <v/>
      </c>
      <c r="AD970">
        <f>'Grid_Stock'!AB23</f>
        <v/>
      </c>
      <c r="AE970">
        <f>'Grid_Stock'!AC23</f>
        <v/>
      </c>
      <c r="AF970">
        <f>'Grid_Stock'!AD23</f>
        <v/>
      </c>
      <c r="AG970">
        <f>'Grid_Stock'!AE23</f>
        <v/>
      </c>
      <c r="AH970">
        <f>'Grid_Stock'!AF23</f>
        <v/>
      </c>
      <c r="AI970">
        <f>'Grid_Stock'!AG23</f>
        <v/>
      </c>
      <c r="AJ970">
        <f>'Grid_Stock'!AH23</f>
        <v/>
      </c>
      <c r="AK970">
        <f>'Grid_Stock'!AI23</f>
        <v/>
      </c>
      <c r="AL970">
        <f>'Grid_Stock'!AJ23</f>
        <v/>
      </c>
      <c r="AM970">
        <f>'Grid_Stock'!AK23</f>
        <v/>
      </c>
      <c r="AN970">
        <f>'Grid_Stock'!AL23</f>
        <v/>
      </c>
      <c r="AO970">
        <f>'Grid_Stock'!AM23</f>
        <v/>
      </c>
      <c r="AP970">
        <f>'Grid_Stock'!AN23</f>
        <v/>
      </c>
      <c r="AQ970">
        <f>'Grid_Stock'!AO23</f>
        <v/>
      </c>
      <c r="AR970">
        <f>'Grid_Stock'!AP23</f>
        <v/>
      </c>
      <c r="AS970">
        <f>'Grid_Stock'!AQ23</f>
        <v/>
      </c>
      <c r="AT970">
        <f>'Grid_Stock'!AR23</f>
        <v/>
      </c>
      <c r="AU970">
        <f>'Grid_Stock'!AS23</f>
        <v/>
      </c>
      <c r="AV970">
        <f>'Grid_Stock'!AT23</f>
        <v/>
      </c>
      <c r="AW970">
        <f>'Grid_Stock'!AU23</f>
        <v/>
      </c>
      <c r="AX970">
        <f>'Grid_Stock'!AV23</f>
        <v/>
      </c>
      <c r="AY970">
        <f>'Grid_Stock'!AW23</f>
        <v/>
      </c>
      <c r="AZ970">
        <f>'Grid_Stock'!AX23</f>
        <v/>
      </c>
      <c r="BA970">
        <f>'Grid_Stock'!AY23</f>
        <v/>
      </c>
      <c r="BB970">
        <f>'Grid_Stock'!AZ23</f>
        <v/>
      </c>
      <c r="BC970">
        <f>'Grid_Stock'!BA23</f>
        <v/>
      </c>
      <c r="BD970">
        <f>'Grid_Stock'!BB23</f>
        <v/>
      </c>
      <c r="BE970">
        <f>'Grid_Stock'!BC23</f>
        <v/>
      </c>
      <c r="BF970">
        <f>'Grid_Stock'!BD23</f>
        <v/>
      </c>
      <c r="BG970">
        <f>'Grid_Stock'!BE23</f>
        <v/>
      </c>
      <c r="BH970">
        <f>'Grid_Stock'!BF23</f>
        <v/>
      </c>
      <c r="BI970">
        <f>'Grid_Stock'!BG23</f>
        <v/>
      </c>
      <c r="BJ970">
        <f>'Grid_Stock'!BH23</f>
        <v/>
      </c>
      <c r="BK970">
        <f>'Grid_Stock'!BI23</f>
        <v/>
      </c>
      <c r="BL970">
        <f>'Grid_Stock'!BJ23</f>
        <v/>
      </c>
      <c r="BM970">
        <f>'Grid_Stock'!BK23</f>
        <v/>
      </c>
      <c r="BN970">
        <f>'Grid_Stock'!BL23</f>
        <v/>
      </c>
      <c r="BO970">
        <f>'Grid_Stock'!BM23</f>
        <v/>
      </c>
      <c r="BP970">
        <f>'Grid_Stock'!BN23</f>
        <v/>
      </c>
      <c r="BQ970">
        <f>'Grid_Stock'!BO23</f>
        <v/>
      </c>
      <c r="BR970">
        <f>'Grid_Stock'!BP23</f>
        <v/>
      </c>
      <c r="BS970">
        <f>'Grid_Stock'!BQ23</f>
        <v/>
      </c>
      <c r="BT970">
        <f>'Grid_Stock'!BR23</f>
        <v/>
      </c>
      <c r="BU970">
        <f>'Grid_Stock'!BS23</f>
        <v/>
      </c>
      <c r="BV970">
        <f>'Grid_Stock'!BT23</f>
        <v/>
      </c>
      <c r="BW970">
        <f>'Grid_Stock'!BU23</f>
        <v/>
      </c>
      <c r="BX970">
        <f>'Grid_Stock'!BV23</f>
        <v/>
      </c>
      <c r="BY970">
        <f>'Grid_Stock'!BW23</f>
        <v/>
      </c>
      <c r="BZ970">
        <f>'Grid_Stock'!BX23</f>
        <v/>
      </c>
      <c r="CA970">
        <f>'Grid_Stock'!BY23</f>
        <v/>
      </c>
      <c r="CB970">
        <f>'Grid_Stock'!BZ23</f>
        <v/>
      </c>
      <c r="CC970">
        <f>'Grid_Stock'!CA23</f>
        <v/>
      </c>
      <c r="CD970">
        <f>'Grid_Stock'!CB23</f>
        <v/>
      </c>
      <c r="CE970">
        <f>'Grid_Stock'!CC23</f>
        <v/>
      </c>
      <c r="CF970">
        <f>'Grid_Stock'!CD23</f>
        <v/>
      </c>
      <c r="CG970">
        <f>'Grid_Stock'!CE23</f>
        <v/>
      </c>
      <c r="CH970">
        <f>'Grid_Stock'!CF23</f>
        <v/>
      </c>
      <c r="CI970">
        <f>'Grid_Stock'!CG23</f>
        <v/>
      </c>
      <c r="CJ970">
        <f>'Grid_Stock'!CH23</f>
        <v/>
      </c>
      <c r="CK970">
        <f>'Grid_Stock'!CI23</f>
        <v/>
      </c>
      <c r="CL970">
        <f>'Grid_Stock'!CJ23</f>
        <v/>
      </c>
      <c r="CM970">
        <f>'Grid_Stock'!CK23</f>
        <v/>
      </c>
      <c r="CN970">
        <f>'Grid_Stock'!CL23</f>
        <v/>
      </c>
      <c r="CO970">
        <f>'Grid_Stock'!CM23</f>
        <v/>
      </c>
      <c r="CP970">
        <f>'Grid_Stock'!CN23</f>
        <v/>
      </c>
      <c r="CQ970">
        <f>'Grid_Stock'!CO23</f>
        <v/>
      </c>
      <c r="CR970">
        <f>'Grid_Stock'!CP23</f>
        <v/>
      </c>
      <c r="CS970">
        <f>'Grid_Stock'!CQ23</f>
        <v/>
      </c>
      <c r="CT970">
        <f>'Grid_Stock'!CR23</f>
        <v/>
      </c>
      <c r="CU970">
        <f>'Grid_Stock'!CS23</f>
        <v/>
      </c>
      <c r="CV970">
        <f>'Grid_Stock'!CT23</f>
        <v/>
      </c>
      <c r="CW970">
        <f>'Grid_Stock'!CU23</f>
        <v/>
      </c>
      <c r="CX970">
        <f>'Grid_Stock'!CV23</f>
        <v/>
      </c>
      <c r="CY970">
        <f>'Grid_Stock'!CW23</f>
        <v/>
      </c>
      <c r="CZ970">
        <f>'Grid_Stock'!CX23</f>
        <v/>
      </c>
      <c r="DA970">
        <f>'Grid_Stock'!CY23</f>
        <v/>
      </c>
      <c r="DB970">
        <f>'Grid_Stock'!CZ23</f>
        <v/>
      </c>
      <c r="DC970">
        <f>'Grid_Stock'!DA23</f>
        <v/>
      </c>
    </row>
    <row r="971">
      <c r="B971" s="21" t="inlineStr">
        <is>
          <t>（発注の目安はDashboardの基準在庫[下限/上限]と色分けを参照）</t>
        </is>
      </c>
    </row>
    <row r="973">
      <c r="A973" s="19" t="inlineStr">
        <is>
          <t>CHEM-1680</t>
        </is>
      </c>
      <c r="B973" s="19" t="inlineStr">
        <is>
          <t>NAT38</t>
        </is>
      </c>
      <c r="C973" s="20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/>
      <c r="Z973" s="19" t="n"/>
      <c r="AA973" s="19" t="n"/>
      <c r="AB973" s="19" t="n"/>
      <c r="AC973" s="19" t="n"/>
      <c r="AD973" s="19" t="n"/>
      <c r="AE973" s="19" t="n"/>
      <c r="AF973" s="19" t="n"/>
      <c r="AG973" s="19" t="n"/>
      <c r="AH973" s="19" t="n"/>
      <c r="AI973" s="19" t="n"/>
      <c r="AJ973" s="19" t="n"/>
      <c r="AK973" s="19" t="n"/>
      <c r="AL973" s="19" t="n"/>
      <c r="AM973" s="19" t="n"/>
      <c r="AN973" s="19" t="n"/>
      <c r="AO973" s="19" t="n"/>
      <c r="AP973" s="19" t="n"/>
      <c r="AQ973" s="19" t="n"/>
      <c r="AR973" s="19" t="n"/>
      <c r="AS973" s="19" t="n"/>
      <c r="AT973" s="19" t="n"/>
      <c r="AU973" s="19" t="n"/>
      <c r="AV973" s="19" t="n"/>
      <c r="AW973" s="19" t="n"/>
      <c r="AX973" s="19" t="n"/>
      <c r="AY973" s="19" t="n"/>
      <c r="AZ973" s="19" t="n"/>
      <c r="BA973" s="19" t="n"/>
      <c r="BB973" s="19" t="n"/>
      <c r="BC973" s="19" t="n"/>
      <c r="BD973" s="19" t="n"/>
      <c r="BE973" s="19" t="n"/>
      <c r="BF973" s="19" t="n"/>
      <c r="BG973" s="19" t="n"/>
      <c r="BH973" s="19" t="n"/>
      <c r="BI973" s="19" t="n"/>
      <c r="BJ973" s="19" t="n"/>
      <c r="BK973" s="19" t="n"/>
      <c r="BL973" s="19" t="n"/>
      <c r="BM973" s="19" t="n"/>
      <c r="BN973" s="19" t="n"/>
      <c r="BO973" s="19" t="n"/>
      <c r="BP973" s="19" t="n"/>
      <c r="BQ973" s="19" t="n"/>
      <c r="BR973" s="19" t="n"/>
      <c r="BS973" s="19" t="n"/>
      <c r="BT973" s="19" t="n"/>
      <c r="BU973" s="19" t="n"/>
      <c r="BV973" s="19" t="n"/>
      <c r="BW973" s="19" t="n"/>
      <c r="BX973" s="19" t="n"/>
      <c r="BY973" s="19" t="n"/>
      <c r="BZ973" s="19" t="n"/>
      <c r="CA973" s="19" t="n"/>
      <c r="CB973" s="19" t="n"/>
      <c r="CC973" s="19" t="n"/>
      <c r="CD973" s="19" t="n"/>
      <c r="CE973" s="19" t="n"/>
      <c r="CF973" s="19" t="n"/>
      <c r="CG973" s="19" t="n"/>
      <c r="CH973" s="19" t="n"/>
      <c r="CI973" s="19" t="n"/>
      <c r="CJ973" s="19" t="n"/>
      <c r="CK973" s="19" t="n"/>
      <c r="CL973" s="19" t="n"/>
      <c r="CM973" s="19" t="n"/>
      <c r="CN973" s="19" t="n"/>
      <c r="CO973" s="19" t="n"/>
      <c r="CP973" s="19" t="n"/>
      <c r="CQ973" s="19" t="n"/>
      <c r="CR973" s="19" t="n"/>
      <c r="CS973" s="19" t="n"/>
      <c r="CT973" s="19" t="n"/>
      <c r="CU973" s="19" t="n"/>
      <c r="CV973" s="19" t="n"/>
      <c r="CW973" s="19" t="n"/>
      <c r="CX973" s="19" t="n"/>
      <c r="CY973" s="19" t="n"/>
      <c r="CZ973" s="19" t="n"/>
      <c r="DA973" s="19" t="n"/>
      <c r="DB973" s="19" t="n"/>
      <c r="DC973" s="19" t="n"/>
    </row>
    <row r="974">
      <c r="B974" t="inlineStr">
        <is>
          <t>TPP-611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12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Name],$A973)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TPP-613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TPP-915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TPP-920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12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Name],$A973)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TPP-914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Name],$A973)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TPP-919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Name],$A973)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TPP-916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Name],$A973)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TPP-917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Name],$A973)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TPP-922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12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Name],$A973)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TPP-923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12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Name],$A973)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No of times used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12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Name],$A973)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s="9" t="inlineStr">
        <is>
          <t>合計使用量(kg)/週</t>
        </is>
      </c>
      <c r="D996">
        <f>'Grid_Requirement'!B27</f>
        <v/>
      </c>
      <c r="E996">
        <f>'Grid_Requirement'!C27</f>
        <v/>
      </c>
      <c r="F996">
        <f>'Grid_Requirement'!D27</f>
        <v/>
      </c>
      <c r="G996">
        <f>'Grid_Requirement'!E27</f>
        <v/>
      </c>
      <c r="H996">
        <f>'Grid_Requirement'!F27</f>
        <v/>
      </c>
      <c r="I996">
        <f>'Grid_Requirement'!G27</f>
        <v/>
      </c>
      <c r="J996">
        <f>'Grid_Requirement'!H27</f>
        <v/>
      </c>
      <c r="K996">
        <f>'Grid_Requirement'!I27</f>
        <v/>
      </c>
      <c r="L996">
        <f>'Grid_Requirement'!J27</f>
        <v/>
      </c>
      <c r="M996">
        <f>'Grid_Requirement'!K27</f>
        <v/>
      </c>
      <c r="N996">
        <f>'Grid_Requirement'!L27</f>
        <v/>
      </c>
      <c r="O996">
        <f>'Grid_Requirement'!M27</f>
        <v/>
      </c>
      <c r="P996">
        <f>'Grid_Requirement'!N27</f>
        <v/>
      </c>
      <c r="Q996">
        <f>'Grid_Requirement'!O27</f>
        <v/>
      </c>
      <c r="R996">
        <f>'Grid_Requirement'!P27</f>
        <v/>
      </c>
      <c r="S996">
        <f>'Grid_Requirement'!Q27</f>
        <v/>
      </c>
      <c r="T996">
        <f>'Grid_Requirement'!R27</f>
        <v/>
      </c>
      <c r="U996">
        <f>'Grid_Requirement'!S27</f>
        <v/>
      </c>
      <c r="V996">
        <f>'Grid_Requirement'!T27</f>
        <v/>
      </c>
      <c r="W996">
        <f>'Grid_Requirement'!U27</f>
        <v/>
      </c>
      <c r="X996">
        <f>'Grid_Requirement'!V27</f>
        <v/>
      </c>
      <c r="Y996">
        <f>'Grid_Requirement'!W27</f>
        <v/>
      </c>
      <c r="Z996">
        <f>'Grid_Requirement'!X27</f>
        <v/>
      </c>
      <c r="AA996">
        <f>'Grid_Requirement'!Y27</f>
        <v/>
      </c>
      <c r="AB996">
        <f>'Grid_Requirement'!Z27</f>
        <v/>
      </c>
      <c r="AC996">
        <f>'Grid_Requirement'!AA27</f>
        <v/>
      </c>
      <c r="AD996">
        <f>'Grid_Requirement'!AB27</f>
        <v/>
      </c>
      <c r="AE996">
        <f>'Grid_Requirement'!AC27</f>
        <v/>
      </c>
      <c r="AF996">
        <f>'Grid_Requirement'!AD27</f>
        <v/>
      </c>
      <c r="AG996">
        <f>'Grid_Requirement'!AE27</f>
        <v/>
      </c>
      <c r="AH996">
        <f>'Grid_Requirement'!AF27</f>
        <v/>
      </c>
      <c r="AI996">
        <f>'Grid_Requirement'!AG27</f>
        <v/>
      </c>
      <c r="AJ996">
        <f>'Grid_Requirement'!AH27</f>
        <v/>
      </c>
      <c r="AK996">
        <f>'Grid_Requirement'!AI27</f>
        <v/>
      </c>
      <c r="AL996">
        <f>'Grid_Requirement'!AJ27</f>
        <v/>
      </c>
      <c r="AM996">
        <f>'Grid_Requirement'!AK27</f>
        <v/>
      </c>
      <c r="AN996">
        <f>'Grid_Requirement'!AL27</f>
        <v/>
      </c>
      <c r="AO996">
        <f>'Grid_Requirement'!AM27</f>
        <v/>
      </c>
      <c r="AP996">
        <f>'Grid_Requirement'!AN27</f>
        <v/>
      </c>
      <c r="AQ996">
        <f>'Grid_Requirement'!AO27</f>
        <v/>
      </c>
      <c r="AR996">
        <f>'Grid_Requirement'!AP27</f>
        <v/>
      </c>
      <c r="AS996">
        <f>'Grid_Requirement'!AQ27</f>
        <v/>
      </c>
      <c r="AT996">
        <f>'Grid_Requirement'!AR27</f>
        <v/>
      </c>
      <c r="AU996">
        <f>'Grid_Requirement'!AS27</f>
        <v/>
      </c>
      <c r="AV996">
        <f>'Grid_Requirement'!AT27</f>
        <v/>
      </c>
      <c r="AW996">
        <f>'Grid_Requirement'!AU27</f>
        <v/>
      </c>
      <c r="AX996">
        <f>'Grid_Requirement'!AV27</f>
        <v/>
      </c>
      <c r="AY996">
        <f>'Grid_Requirement'!AW27</f>
        <v/>
      </c>
      <c r="AZ996">
        <f>'Grid_Requirement'!AX27</f>
        <v/>
      </c>
      <c r="BA996">
        <f>'Grid_Requirement'!AY27</f>
        <v/>
      </c>
      <c r="BB996">
        <f>'Grid_Requirement'!AZ27</f>
        <v/>
      </c>
      <c r="BC996">
        <f>'Grid_Requirement'!BA27</f>
        <v/>
      </c>
      <c r="BD996">
        <f>'Grid_Requirement'!BB27</f>
        <v/>
      </c>
      <c r="BE996">
        <f>'Grid_Requirement'!BC27</f>
        <v/>
      </c>
      <c r="BF996">
        <f>'Grid_Requirement'!BD27</f>
        <v/>
      </c>
      <c r="BG996">
        <f>'Grid_Requirement'!BE27</f>
        <v/>
      </c>
      <c r="BH996">
        <f>'Grid_Requirement'!BF27</f>
        <v/>
      </c>
      <c r="BI996">
        <f>'Grid_Requirement'!BG27</f>
        <v/>
      </c>
      <c r="BJ996">
        <f>'Grid_Requirement'!BH27</f>
        <v/>
      </c>
      <c r="BK996">
        <f>'Grid_Requirement'!BI27</f>
        <v/>
      </c>
      <c r="BL996">
        <f>'Grid_Requirement'!BJ27</f>
        <v/>
      </c>
      <c r="BM996">
        <f>'Grid_Requirement'!BK27</f>
        <v/>
      </c>
      <c r="BN996">
        <f>'Grid_Requirement'!BL27</f>
        <v/>
      </c>
      <c r="BO996">
        <f>'Grid_Requirement'!BM27</f>
        <v/>
      </c>
      <c r="BP996">
        <f>'Grid_Requirement'!BN27</f>
        <v/>
      </c>
      <c r="BQ996">
        <f>'Grid_Requirement'!BO27</f>
        <v/>
      </c>
      <c r="BR996">
        <f>'Grid_Requirement'!BP27</f>
        <v/>
      </c>
      <c r="BS996">
        <f>'Grid_Requirement'!BQ27</f>
        <v/>
      </c>
      <c r="BT996">
        <f>'Grid_Requirement'!BR27</f>
        <v/>
      </c>
      <c r="BU996">
        <f>'Grid_Requirement'!BS27</f>
        <v/>
      </c>
      <c r="BV996">
        <f>'Grid_Requirement'!BT27</f>
        <v/>
      </c>
      <c r="BW996">
        <f>'Grid_Requirement'!BU27</f>
        <v/>
      </c>
      <c r="BX996">
        <f>'Grid_Requirement'!BV27</f>
        <v/>
      </c>
      <c r="BY996">
        <f>'Grid_Requirement'!BW27</f>
        <v/>
      </c>
      <c r="BZ996">
        <f>'Grid_Requirement'!BX27</f>
        <v/>
      </c>
      <c r="CA996">
        <f>'Grid_Requirement'!BY27</f>
        <v/>
      </c>
      <c r="CB996">
        <f>'Grid_Requirement'!BZ27</f>
        <v/>
      </c>
      <c r="CC996">
        <f>'Grid_Requirement'!CA27</f>
        <v/>
      </c>
      <c r="CD996">
        <f>'Grid_Requirement'!CB27</f>
        <v/>
      </c>
      <c r="CE996">
        <f>'Grid_Requirement'!CC27</f>
        <v/>
      </c>
      <c r="CF996">
        <f>'Grid_Requirement'!CD27</f>
        <v/>
      </c>
      <c r="CG996">
        <f>'Grid_Requirement'!CE27</f>
        <v/>
      </c>
      <c r="CH996">
        <f>'Grid_Requirement'!CF27</f>
        <v/>
      </c>
      <c r="CI996">
        <f>'Grid_Requirement'!CG27</f>
        <v/>
      </c>
      <c r="CJ996">
        <f>'Grid_Requirement'!CH27</f>
        <v/>
      </c>
      <c r="CK996">
        <f>'Grid_Requirement'!CI27</f>
        <v/>
      </c>
      <c r="CL996">
        <f>'Grid_Requirement'!CJ27</f>
        <v/>
      </c>
      <c r="CM996">
        <f>'Grid_Requirement'!CK27</f>
        <v/>
      </c>
      <c r="CN996">
        <f>'Grid_Requirement'!CL27</f>
        <v/>
      </c>
      <c r="CO996">
        <f>'Grid_Requirement'!CM27</f>
        <v/>
      </c>
      <c r="CP996">
        <f>'Grid_Requirement'!CN27</f>
        <v/>
      </c>
      <c r="CQ996">
        <f>'Grid_Requirement'!CO27</f>
        <v/>
      </c>
      <c r="CR996">
        <f>'Grid_Requirement'!CP27</f>
        <v/>
      </c>
      <c r="CS996">
        <f>'Grid_Requirement'!CQ27</f>
        <v/>
      </c>
      <c r="CT996">
        <f>'Grid_Requirement'!CR27</f>
        <v/>
      </c>
      <c r="CU996">
        <f>'Grid_Requirement'!CS27</f>
        <v/>
      </c>
      <c r="CV996">
        <f>'Grid_Requirement'!CT27</f>
        <v/>
      </c>
      <c r="CW996">
        <f>'Grid_Requirement'!CU27</f>
        <v/>
      </c>
      <c r="CX996">
        <f>'Grid_Requirement'!CV27</f>
        <v/>
      </c>
      <c r="CY996">
        <f>'Grid_Requirement'!CW27</f>
        <v/>
      </c>
      <c r="CZ996">
        <f>'Grid_Requirement'!CX27</f>
        <v/>
      </c>
      <c r="DA996">
        <f>'Grid_Requirement'!CY27</f>
        <v/>
      </c>
      <c r="DB996">
        <f>'Grid_Requirement'!CZ27</f>
        <v/>
      </c>
      <c r="DC996">
        <f>'Grid_Requirement'!DA27</f>
        <v/>
      </c>
    </row>
    <row r="997">
      <c r="B997" t="inlineStr">
        <is>
          <t>TTAF在庫(実績,kg)</t>
        </is>
      </c>
      <c r="D997">
        <f>'T_TTAFStock'!B31</f>
        <v/>
      </c>
      <c r="E997">
        <f>'T_TTAFStock'!C31</f>
        <v/>
      </c>
      <c r="F997">
        <f>'T_TTAFStock'!D31</f>
        <v/>
      </c>
      <c r="G997">
        <f>'T_TTAFStock'!E31</f>
        <v/>
      </c>
      <c r="H997">
        <f>'T_TTAFStock'!F31</f>
        <v/>
      </c>
      <c r="I997">
        <f>'T_TTAFStock'!G31</f>
        <v/>
      </c>
      <c r="J997">
        <f>'T_TTAFStock'!H31</f>
        <v/>
      </c>
      <c r="K997">
        <f>'T_TTAFStock'!I31</f>
        <v/>
      </c>
      <c r="L997">
        <f>'T_TTAFStock'!J31</f>
        <v/>
      </c>
      <c r="M997">
        <f>'T_TTAFStock'!K31</f>
        <v/>
      </c>
      <c r="N997">
        <f>'T_TTAFStock'!L31</f>
        <v/>
      </c>
      <c r="O997">
        <f>'T_TTAFStock'!M31</f>
        <v/>
      </c>
      <c r="P997">
        <f>'T_TTAFStock'!N31</f>
        <v/>
      </c>
      <c r="Q997">
        <f>'T_TTAFStock'!O31</f>
        <v/>
      </c>
      <c r="R997">
        <f>'T_TTAFStock'!P31</f>
        <v/>
      </c>
      <c r="S997">
        <f>'T_TTAFStock'!Q31</f>
        <v/>
      </c>
      <c r="T997">
        <f>'T_TTAFStock'!R31</f>
        <v/>
      </c>
      <c r="U997">
        <f>'T_TTAFStock'!S31</f>
        <v/>
      </c>
      <c r="V997">
        <f>'T_TTAFStock'!T31</f>
        <v/>
      </c>
      <c r="W997">
        <f>'T_TTAFStock'!U31</f>
        <v/>
      </c>
      <c r="X997">
        <f>'T_TTAFStock'!V31</f>
        <v/>
      </c>
      <c r="Y997">
        <f>'T_TTAFStock'!W31</f>
        <v/>
      </c>
      <c r="Z997">
        <f>'T_TTAFStock'!X31</f>
        <v/>
      </c>
      <c r="AA997">
        <f>'T_TTAFStock'!Y31</f>
        <v/>
      </c>
      <c r="AB997">
        <f>'T_TTAFStock'!Z31</f>
        <v/>
      </c>
      <c r="AC997">
        <f>'T_TTAFStock'!AA31</f>
        <v/>
      </c>
      <c r="AD997">
        <f>'T_TTAFStock'!AB31</f>
        <v/>
      </c>
      <c r="AE997">
        <f>'T_TTAFStock'!AC31</f>
        <v/>
      </c>
      <c r="AF997">
        <f>'T_TTAFStock'!AD31</f>
        <v/>
      </c>
      <c r="AG997">
        <f>'T_TTAFStock'!AE31</f>
        <v/>
      </c>
      <c r="AH997">
        <f>'T_TTAFStock'!AF31</f>
        <v/>
      </c>
      <c r="AI997">
        <f>'T_TTAFStock'!AG31</f>
        <v/>
      </c>
      <c r="AJ997">
        <f>'T_TTAFStock'!AH31</f>
        <v/>
      </c>
      <c r="AK997">
        <f>'T_TTAFStock'!AI31</f>
        <v/>
      </c>
      <c r="AL997">
        <f>'T_TTAFStock'!AJ31</f>
        <v/>
      </c>
      <c r="AM997">
        <f>'T_TTAFStock'!AK31</f>
        <v/>
      </c>
      <c r="AN997">
        <f>'T_TTAFStock'!AL31</f>
        <v/>
      </c>
      <c r="AO997">
        <f>'T_TTAFStock'!AM31</f>
        <v/>
      </c>
      <c r="AP997">
        <f>'T_TTAFStock'!AN31</f>
        <v/>
      </c>
      <c r="AQ997">
        <f>'T_TTAFStock'!AO31</f>
        <v/>
      </c>
      <c r="AR997">
        <f>'T_TTAFStock'!AP31</f>
        <v/>
      </c>
      <c r="AS997">
        <f>'T_TTAFStock'!AQ31</f>
        <v/>
      </c>
      <c r="AT997">
        <f>'T_TTAFStock'!AR31</f>
        <v/>
      </c>
      <c r="AU997">
        <f>'T_TTAFStock'!AS31</f>
        <v/>
      </c>
      <c r="AV997">
        <f>'T_TTAFStock'!AT31</f>
        <v/>
      </c>
      <c r="AW997">
        <f>'T_TTAFStock'!AU31</f>
        <v/>
      </c>
      <c r="AX997">
        <f>'T_TTAFStock'!AV31</f>
        <v/>
      </c>
      <c r="AY997">
        <f>'T_TTAFStock'!AW31</f>
        <v/>
      </c>
      <c r="AZ997">
        <f>'T_TTAFStock'!AX31</f>
        <v/>
      </c>
      <c r="BA997">
        <f>'T_TTAFStock'!AY31</f>
        <v/>
      </c>
      <c r="BB997">
        <f>'T_TTAFStock'!AZ31</f>
        <v/>
      </c>
      <c r="BC997">
        <f>'T_TTAFStock'!BA31</f>
        <v/>
      </c>
      <c r="BD997">
        <f>'T_TTAFStock'!BB31</f>
        <v/>
      </c>
      <c r="BE997">
        <f>'T_TTAFStock'!BC31</f>
        <v/>
      </c>
      <c r="BF997">
        <f>'T_TTAFStock'!BD31</f>
        <v/>
      </c>
      <c r="BG997">
        <f>'T_TTAFStock'!BE31</f>
        <v/>
      </c>
      <c r="BH997">
        <f>'T_TTAFStock'!BF31</f>
        <v/>
      </c>
      <c r="BI997">
        <f>'T_TTAFStock'!BG31</f>
        <v/>
      </c>
      <c r="BJ997">
        <f>'T_TTAFStock'!BH31</f>
        <v/>
      </c>
      <c r="BK997">
        <f>'T_TTAFStock'!BI31</f>
        <v/>
      </c>
      <c r="BL997">
        <f>'T_TTAFStock'!BJ31</f>
        <v/>
      </c>
      <c r="BM997">
        <f>'T_TTAFStock'!BK31</f>
        <v/>
      </c>
      <c r="BN997">
        <f>'T_TTAFStock'!BL31</f>
        <v/>
      </c>
      <c r="BO997">
        <f>'T_TTAFStock'!BM31</f>
        <v/>
      </c>
      <c r="BP997">
        <f>'T_TTAFStock'!BN31</f>
        <v/>
      </c>
      <c r="BQ997">
        <f>'T_TTAFStock'!BO31</f>
        <v/>
      </c>
      <c r="BR997">
        <f>'T_TTAFStock'!BP31</f>
        <v/>
      </c>
      <c r="BS997">
        <f>'T_TTAFStock'!BQ31</f>
        <v/>
      </c>
      <c r="BT997">
        <f>'T_TTAFStock'!BR31</f>
        <v/>
      </c>
      <c r="BU997">
        <f>'T_TTAFStock'!BS31</f>
        <v/>
      </c>
      <c r="BV997">
        <f>'T_TTAFStock'!BT31</f>
        <v/>
      </c>
      <c r="BW997">
        <f>'T_TTAFStock'!BU31</f>
        <v/>
      </c>
      <c r="BX997">
        <f>'T_TTAFStock'!BV31</f>
        <v/>
      </c>
      <c r="BY997">
        <f>'T_TTAFStock'!BW31</f>
        <v/>
      </c>
      <c r="BZ997">
        <f>'T_TTAFStock'!BX31</f>
        <v/>
      </c>
      <c r="CA997">
        <f>'T_TTAFStock'!BY31</f>
        <v/>
      </c>
      <c r="CB997">
        <f>'T_TTAFStock'!BZ31</f>
        <v/>
      </c>
      <c r="CC997">
        <f>'T_TTAFStock'!CA31</f>
        <v/>
      </c>
      <c r="CD997">
        <f>'T_TTAFStock'!CB31</f>
        <v/>
      </c>
      <c r="CE997">
        <f>'T_TTAFStock'!CC31</f>
        <v/>
      </c>
      <c r="CF997">
        <f>'T_TTAFStock'!CD31</f>
        <v/>
      </c>
      <c r="CG997">
        <f>'T_TTAFStock'!CE31</f>
        <v/>
      </c>
      <c r="CH997">
        <f>'T_TTAFStock'!CF31</f>
        <v/>
      </c>
      <c r="CI997">
        <f>'T_TTAFStock'!CG31</f>
        <v/>
      </c>
      <c r="CJ997">
        <f>'T_TTAFStock'!CH31</f>
        <v/>
      </c>
      <c r="CK997">
        <f>'T_TTAFStock'!CI31</f>
        <v/>
      </c>
      <c r="CL997">
        <f>'T_TTAFStock'!CJ31</f>
        <v/>
      </c>
      <c r="CM997">
        <f>'T_TTAFStock'!CK31</f>
        <v/>
      </c>
      <c r="CN997">
        <f>'T_TTAFStock'!CL31</f>
        <v/>
      </c>
      <c r="CO997">
        <f>'T_TTAFStock'!CM31</f>
        <v/>
      </c>
      <c r="CP997">
        <f>'T_TTAFStock'!CN31</f>
        <v/>
      </c>
      <c r="CQ997">
        <f>'T_TTAFStock'!CO31</f>
        <v/>
      </c>
      <c r="CR997">
        <f>'T_TTAFStock'!CP31</f>
        <v/>
      </c>
      <c r="CS997">
        <f>'T_TTAFStock'!CQ31</f>
        <v/>
      </c>
      <c r="CT997">
        <f>'T_TTAFStock'!CR31</f>
        <v/>
      </c>
      <c r="CU997">
        <f>'T_TTAFStock'!CS31</f>
        <v/>
      </c>
      <c r="CV997">
        <f>'T_TTAFStock'!CT31</f>
        <v/>
      </c>
      <c r="CW997">
        <f>'T_TTAFStock'!CU31</f>
        <v/>
      </c>
      <c r="CX997">
        <f>'T_TTAFStock'!CV31</f>
        <v/>
      </c>
      <c r="CY997">
        <f>'T_TTAFStock'!CW31</f>
        <v/>
      </c>
      <c r="CZ997">
        <f>'T_TTAFStock'!CX31</f>
        <v/>
      </c>
      <c r="DA997">
        <f>'T_TTAFStock'!CY31</f>
        <v/>
      </c>
      <c r="DB997">
        <f>'T_TTAFStock'!CZ31</f>
        <v/>
      </c>
      <c r="DC997">
        <f>'T_TTAFStock'!DA31</f>
        <v/>
      </c>
    </row>
    <row r="998">
      <c r="B998" t="inlineStr">
        <is>
          <t>自社在庫(実績,kg)</t>
        </is>
      </c>
      <c r="D998">
        <f>'T_SelfStock'!B31</f>
        <v/>
      </c>
      <c r="E998">
        <f>'T_SelfStock'!C31</f>
        <v/>
      </c>
      <c r="F998">
        <f>'T_SelfStock'!D31</f>
        <v/>
      </c>
      <c r="G998">
        <f>'T_SelfStock'!E31</f>
        <v/>
      </c>
      <c r="H998">
        <f>'T_SelfStock'!F31</f>
        <v/>
      </c>
      <c r="I998">
        <f>'T_SelfStock'!G31</f>
        <v/>
      </c>
      <c r="J998">
        <f>'T_SelfStock'!H31</f>
        <v/>
      </c>
      <c r="K998">
        <f>'T_SelfStock'!I31</f>
        <v/>
      </c>
      <c r="L998">
        <f>'T_SelfStock'!J31</f>
        <v/>
      </c>
      <c r="M998">
        <f>'T_SelfStock'!K31</f>
        <v/>
      </c>
      <c r="N998">
        <f>'T_SelfStock'!L31</f>
        <v/>
      </c>
      <c r="O998">
        <f>'T_SelfStock'!M31</f>
        <v/>
      </c>
      <c r="P998">
        <f>'T_SelfStock'!N31</f>
        <v/>
      </c>
      <c r="Q998">
        <f>'T_SelfStock'!O31</f>
        <v/>
      </c>
      <c r="R998">
        <f>'T_SelfStock'!P31</f>
        <v/>
      </c>
      <c r="S998">
        <f>'T_SelfStock'!Q31</f>
        <v/>
      </c>
      <c r="T998">
        <f>'T_SelfStock'!R31</f>
        <v/>
      </c>
      <c r="U998">
        <f>'T_SelfStock'!S31</f>
        <v/>
      </c>
      <c r="V998">
        <f>'T_SelfStock'!T31</f>
        <v/>
      </c>
      <c r="W998">
        <f>'T_SelfStock'!U31</f>
        <v/>
      </c>
      <c r="X998">
        <f>'T_SelfStock'!V31</f>
        <v/>
      </c>
      <c r="Y998">
        <f>'T_SelfStock'!W31</f>
        <v/>
      </c>
      <c r="Z998">
        <f>'T_SelfStock'!X31</f>
        <v/>
      </c>
      <c r="AA998">
        <f>'T_SelfStock'!Y31</f>
        <v/>
      </c>
      <c r="AB998">
        <f>'T_SelfStock'!Z31</f>
        <v/>
      </c>
      <c r="AC998">
        <f>'T_SelfStock'!AA31</f>
        <v/>
      </c>
      <c r="AD998">
        <f>'T_SelfStock'!AB31</f>
        <v/>
      </c>
      <c r="AE998">
        <f>'T_SelfStock'!AC31</f>
        <v/>
      </c>
      <c r="AF998">
        <f>'T_SelfStock'!AD31</f>
        <v/>
      </c>
      <c r="AG998">
        <f>'T_SelfStock'!AE31</f>
        <v/>
      </c>
      <c r="AH998">
        <f>'T_SelfStock'!AF31</f>
        <v/>
      </c>
      <c r="AI998">
        <f>'T_SelfStock'!AG31</f>
        <v/>
      </c>
      <c r="AJ998">
        <f>'T_SelfStock'!AH31</f>
        <v/>
      </c>
      <c r="AK998">
        <f>'T_SelfStock'!AI31</f>
        <v/>
      </c>
      <c r="AL998">
        <f>'T_SelfStock'!AJ31</f>
        <v/>
      </c>
      <c r="AM998">
        <f>'T_SelfStock'!AK31</f>
        <v/>
      </c>
      <c r="AN998">
        <f>'T_SelfStock'!AL31</f>
        <v/>
      </c>
      <c r="AO998">
        <f>'T_SelfStock'!AM31</f>
        <v/>
      </c>
      <c r="AP998">
        <f>'T_SelfStock'!AN31</f>
        <v/>
      </c>
      <c r="AQ998">
        <f>'T_SelfStock'!AO31</f>
        <v/>
      </c>
      <c r="AR998">
        <f>'T_SelfStock'!AP31</f>
        <v/>
      </c>
      <c r="AS998">
        <f>'T_SelfStock'!AQ31</f>
        <v/>
      </c>
      <c r="AT998">
        <f>'T_SelfStock'!AR31</f>
        <v/>
      </c>
      <c r="AU998">
        <f>'T_SelfStock'!AS31</f>
        <v/>
      </c>
      <c r="AV998">
        <f>'T_SelfStock'!AT31</f>
        <v/>
      </c>
      <c r="AW998">
        <f>'T_SelfStock'!AU31</f>
        <v/>
      </c>
      <c r="AX998">
        <f>'T_SelfStock'!AV31</f>
        <v/>
      </c>
      <c r="AY998">
        <f>'T_SelfStock'!AW31</f>
        <v/>
      </c>
      <c r="AZ998">
        <f>'T_SelfStock'!AX31</f>
        <v/>
      </c>
      <c r="BA998">
        <f>'T_SelfStock'!AY31</f>
        <v/>
      </c>
      <c r="BB998">
        <f>'T_SelfStock'!AZ31</f>
        <v/>
      </c>
      <c r="BC998">
        <f>'T_SelfStock'!BA31</f>
        <v/>
      </c>
      <c r="BD998">
        <f>'T_SelfStock'!BB31</f>
        <v/>
      </c>
      <c r="BE998">
        <f>'T_SelfStock'!BC31</f>
        <v/>
      </c>
      <c r="BF998">
        <f>'T_SelfStock'!BD31</f>
        <v/>
      </c>
      <c r="BG998">
        <f>'T_SelfStock'!BE31</f>
        <v/>
      </c>
      <c r="BH998">
        <f>'T_SelfStock'!BF31</f>
        <v/>
      </c>
      <c r="BI998">
        <f>'T_SelfStock'!BG31</f>
        <v/>
      </c>
      <c r="BJ998">
        <f>'T_SelfStock'!BH31</f>
        <v/>
      </c>
      <c r="BK998">
        <f>'T_SelfStock'!BI31</f>
        <v/>
      </c>
      <c r="BL998">
        <f>'T_SelfStock'!BJ31</f>
        <v/>
      </c>
      <c r="BM998">
        <f>'T_SelfStock'!BK31</f>
        <v/>
      </c>
      <c r="BN998">
        <f>'T_SelfStock'!BL31</f>
        <v/>
      </c>
      <c r="BO998">
        <f>'T_SelfStock'!BM31</f>
        <v/>
      </c>
      <c r="BP998">
        <f>'T_SelfStock'!BN31</f>
        <v/>
      </c>
      <c r="BQ998">
        <f>'T_SelfStock'!BO31</f>
        <v/>
      </c>
      <c r="BR998">
        <f>'T_SelfStock'!BP31</f>
        <v/>
      </c>
      <c r="BS998">
        <f>'T_SelfStock'!BQ31</f>
        <v/>
      </c>
      <c r="BT998">
        <f>'T_SelfStock'!BR31</f>
        <v/>
      </c>
      <c r="BU998">
        <f>'T_SelfStock'!BS31</f>
        <v/>
      </c>
      <c r="BV998">
        <f>'T_SelfStock'!BT31</f>
        <v/>
      </c>
      <c r="BW998">
        <f>'T_SelfStock'!BU31</f>
        <v/>
      </c>
      <c r="BX998">
        <f>'T_SelfStock'!BV31</f>
        <v/>
      </c>
      <c r="BY998">
        <f>'T_SelfStock'!BW31</f>
        <v/>
      </c>
      <c r="BZ998">
        <f>'T_SelfStock'!BX31</f>
        <v/>
      </c>
      <c r="CA998">
        <f>'T_SelfStock'!BY31</f>
        <v/>
      </c>
      <c r="CB998">
        <f>'T_SelfStock'!BZ31</f>
        <v/>
      </c>
      <c r="CC998">
        <f>'T_SelfStock'!CA31</f>
        <v/>
      </c>
      <c r="CD998">
        <f>'T_SelfStock'!CB31</f>
        <v/>
      </c>
      <c r="CE998">
        <f>'T_SelfStock'!CC31</f>
        <v/>
      </c>
      <c r="CF998">
        <f>'T_SelfStock'!CD31</f>
        <v/>
      </c>
      <c r="CG998">
        <f>'T_SelfStock'!CE31</f>
        <v/>
      </c>
      <c r="CH998">
        <f>'T_SelfStock'!CF31</f>
        <v/>
      </c>
      <c r="CI998">
        <f>'T_SelfStock'!CG31</f>
        <v/>
      </c>
      <c r="CJ998">
        <f>'T_SelfStock'!CH31</f>
        <v/>
      </c>
      <c r="CK998">
        <f>'T_SelfStock'!CI31</f>
        <v/>
      </c>
      <c r="CL998">
        <f>'T_SelfStock'!CJ31</f>
        <v/>
      </c>
      <c r="CM998">
        <f>'T_SelfStock'!CK31</f>
        <v/>
      </c>
      <c r="CN998">
        <f>'T_SelfStock'!CL31</f>
        <v/>
      </c>
      <c r="CO998">
        <f>'T_SelfStock'!CM31</f>
        <v/>
      </c>
      <c r="CP998">
        <f>'T_SelfStock'!CN31</f>
        <v/>
      </c>
      <c r="CQ998">
        <f>'T_SelfStock'!CO31</f>
        <v/>
      </c>
      <c r="CR998">
        <f>'T_SelfStock'!CP31</f>
        <v/>
      </c>
      <c r="CS998">
        <f>'T_SelfStock'!CQ31</f>
        <v/>
      </c>
      <c r="CT998">
        <f>'T_SelfStock'!CR31</f>
        <v/>
      </c>
      <c r="CU998">
        <f>'T_SelfStock'!CS31</f>
        <v/>
      </c>
      <c r="CV998">
        <f>'T_SelfStock'!CT31</f>
        <v/>
      </c>
      <c r="CW998">
        <f>'T_SelfStock'!CU31</f>
        <v/>
      </c>
      <c r="CX998">
        <f>'T_SelfStock'!CV31</f>
        <v/>
      </c>
      <c r="CY998">
        <f>'T_SelfStock'!CW31</f>
        <v/>
      </c>
      <c r="CZ998">
        <f>'T_SelfStock'!CX31</f>
        <v/>
      </c>
      <c r="DA998">
        <f>'T_SelfStock'!CY31</f>
        <v/>
      </c>
      <c r="DB998">
        <f>'T_SelfStock'!CZ31</f>
        <v/>
      </c>
      <c r="DC998">
        <f>'T_SelfStock'!DA31</f>
        <v/>
      </c>
    </row>
    <row r="999">
      <c r="B999" t="inlineStr">
        <is>
          <t>Order(発注予定,kg)</t>
        </is>
      </c>
      <c r="D999">
        <f>IF(SUMIFS(T_PlannedOrders[EffectiveQty],T_PlannedOrders[Part Name],$A973,T_PlannedOrders[WeekIndex],1)=0,"",SUMIFS(T_PlannedOrders[EffectiveQty],T_PlannedOrders[Part Name],$A973,T_PlannedOrders[WeekIndex],1)&amp;" ("&amp;TEXT(SUMPRODUCT(MAX((T_PlannedOrders[Part Name]=$A973)*(T_PlannedOrders[WeekIndex]=1)*(T_PlannedOrders[EffectiveQty]&gt;0)*T_PlannedOrders[Order_Month])),"m月")&amp;"発注)")</f>
        <v/>
      </c>
      <c r="E999">
        <f>IF(SUMIFS(T_PlannedOrders[EffectiveQty],T_PlannedOrders[Part Name],$A973,T_PlannedOrders[WeekIndex],2)=0,"",SUMIFS(T_PlannedOrders[EffectiveQty],T_PlannedOrders[Part Name],$A973,T_PlannedOrders[WeekIndex],2)&amp;" ("&amp;TEXT(SUMPRODUCT(MAX((T_PlannedOrders[Part Name]=$A973)*(T_PlannedOrders[WeekIndex]=2)*(T_PlannedOrders[EffectiveQty]&gt;0)*T_PlannedOrders[Order_Month])),"m月")&amp;"発注)")</f>
        <v/>
      </c>
      <c r="F999">
        <f>IF(SUMIFS(T_PlannedOrders[EffectiveQty],T_PlannedOrders[Part Name],$A973,T_PlannedOrders[WeekIndex],3)=0,"",SUMIFS(T_PlannedOrders[EffectiveQty],T_PlannedOrders[Part Name],$A973,T_PlannedOrders[WeekIndex],3)&amp;" ("&amp;TEXT(SUMPRODUCT(MAX((T_PlannedOrders[Part Name]=$A973)*(T_PlannedOrders[WeekIndex]=3)*(T_PlannedOrders[EffectiveQty]&gt;0)*T_PlannedOrders[Order_Month])),"m月")&amp;"発注)")</f>
        <v/>
      </c>
      <c r="G999">
        <f>IF(SUMIFS(T_PlannedOrders[EffectiveQty],T_PlannedOrders[Part Name],$A973,T_PlannedOrders[WeekIndex],4)=0,"",SUMIFS(T_PlannedOrders[EffectiveQty],T_PlannedOrders[Part Name],$A973,T_PlannedOrders[WeekIndex],4)&amp;" ("&amp;TEXT(SUMPRODUCT(MAX((T_PlannedOrders[Part Name]=$A973)*(T_PlannedOrders[WeekIndex]=4)*(T_PlannedOrders[EffectiveQty]&gt;0)*T_PlannedOrders[Order_Month])),"m月")&amp;"発注)")</f>
        <v/>
      </c>
      <c r="H999">
        <f>IF(SUMIFS(T_PlannedOrders[EffectiveQty],T_PlannedOrders[Part Name],$A973,T_PlannedOrders[WeekIndex],5)=0,"",SUMIFS(T_PlannedOrders[EffectiveQty],T_PlannedOrders[Part Name],$A973,T_PlannedOrders[WeekIndex],5)&amp;" ("&amp;TEXT(SUMPRODUCT(MAX((T_PlannedOrders[Part Name]=$A973)*(T_PlannedOrders[WeekIndex]=5)*(T_PlannedOrders[EffectiveQty]&gt;0)*T_PlannedOrders[Order_Month])),"m月")&amp;"発注)")</f>
        <v/>
      </c>
      <c r="I999">
        <f>IF(SUMIFS(T_PlannedOrders[EffectiveQty],T_PlannedOrders[Part Name],$A973,T_PlannedOrders[WeekIndex],6)=0,"",SUMIFS(T_PlannedOrders[EffectiveQty],T_PlannedOrders[Part Name],$A973,T_PlannedOrders[WeekIndex],6)&amp;" ("&amp;TEXT(SUMPRODUCT(MAX((T_PlannedOrders[Part Name]=$A973)*(T_PlannedOrders[WeekIndex]=6)*(T_PlannedOrders[EffectiveQty]&gt;0)*T_PlannedOrders[Order_Month])),"m月")&amp;"発注)")</f>
        <v/>
      </c>
      <c r="J999">
        <f>IF(SUMIFS(T_PlannedOrders[EffectiveQty],T_PlannedOrders[Part Name],$A973,T_PlannedOrders[WeekIndex],7)=0,"",SUMIFS(T_PlannedOrders[EffectiveQty],T_PlannedOrders[Part Name],$A973,T_PlannedOrders[WeekIndex],7)&amp;" ("&amp;TEXT(SUMPRODUCT(MAX((T_PlannedOrders[Part Name]=$A973)*(T_PlannedOrders[WeekIndex]=7)*(T_PlannedOrders[EffectiveQty]&gt;0)*T_PlannedOrders[Order_Month])),"m月")&amp;"発注)")</f>
        <v/>
      </c>
      <c r="K999">
        <f>IF(SUMIFS(T_PlannedOrders[EffectiveQty],T_PlannedOrders[Part Name],$A973,T_PlannedOrders[WeekIndex],8)=0,"",SUMIFS(T_PlannedOrders[EffectiveQty],T_PlannedOrders[Part Name],$A973,T_PlannedOrders[WeekIndex],8)&amp;" ("&amp;TEXT(SUMPRODUCT(MAX((T_PlannedOrders[Part Name]=$A973)*(T_PlannedOrders[WeekIndex]=8)*(T_PlannedOrders[EffectiveQty]&gt;0)*T_PlannedOrders[Order_Month])),"m月")&amp;"発注)")</f>
        <v/>
      </c>
      <c r="L999">
        <f>IF(SUMIFS(T_PlannedOrders[EffectiveQty],T_PlannedOrders[Part Name],$A973,T_PlannedOrders[WeekIndex],9)=0,"",SUMIFS(T_PlannedOrders[EffectiveQty],T_PlannedOrders[Part Name],$A973,T_PlannedOrders[WeekIndex],9)&amp;" ("&amp;TEXT(SUMPRODUCT(MAX((T_PlannedOrders[Part Name]=$A973)*(T_PlannedOrders[WeekIndex]=9)*(T_PlannedOrders[EffectiveQty]&gt;0)*T_PlannedOrders[Order_Month])),"m月")&amp;"発注)")</f>
        <v/>
      </c>
      <c r="M999">
        <f>IF(SUMIFS(T_PlannedOrders[EffectiveQty],T_PlannedOrders[Part Name],$A973,T_PlannedOrders[WeekIndex],10)=0,"",SUMIFS(T_PlannedOrders[EffectiveQty],T_PlannedOrders[Part Name],$A973,T_PlannedOrders[WeekIndex],10)&amp;" ("&amp;TEXT(SUMPRODUCT(MAX((T_PlannedOrders[Part Name]=$A973)*(T_PlannedOrders[WeekIndex]=10)*(T_PlannedOrders[EffectiveQty]&gt;0)*T_PlannedOrders[Order_Month])),"m月")&amp;"発注)")</f>
        <v/>
      </c>
      <c r="N999">
        <f>IF(SUMIFS(T_PlannedOrders[EffectiveQty],T_PlannedOrders[Part Name],$A973,T_PlannedOrders[WeekIndex],11)=0,"",SUMIFS(T_PlannedOrders[EffectiveQty],T_PlannedOrders[Part Name],$A973,T_PlannedOrders[WeekIndex],11)&amp;" ("&amp;TEXT(SUMPRODUCT(MAX((T_PlannedOrders[Part Name]=$A973)*(T_PlannedOrders[WeekIndex]=11)*(T_PlannedOrders[EffectiveQty]&gt;0)*T_PlannedOrders[Order_Month])),"m月")&amp;"発注)")</f>
        <v/>
      </c>
      <c r="O999">
        <f>IF(SUMIFS(T_PlannedOrders[EffectiveQty],T_PlannedOrders[Part Name],$A973,T_PlannedOrders[WeekIndex],12)=0,"",SUMIFS(T_PlannedOrders[EffectiveQty],T_PlannedOrders[Part Name],$A973,T_PlannedOrders[WeekIndex],12)&amp;" ("&amp;TEXT(SUMPRODUCT(MAX((T_PlannedOrders[Part Name]=$A973)*(T_PlannedOrders[WeekIndex]=12)*(T_PlannedOrders[EffectiveQty]&gt;0)*T_PlannedOrders[Order_Month])),"m月")&amp;"発注)")</f>
        <v/>
      </c>
      <c r="P999">
        <f>IF(SUMIFS(T_PlannedOrders[EffectiveQty],T_PlannedOrders[Part Name],$A973,T_PlannedOrders[WeekIndex],13)=0,"",SUMIFS(T_PlannedOrders[EffectiveQty],T_PlannedOrders[Part Name],$A973,T_PlannedOrders[WeekIndex],13)&amp;" ("&amp;TEXT(SUMPRODUCT(MAX((T_PlannedOrders[Part Name]=$A973)*(T_PlannedOrders[WeekIndex]=13)*(T_PlannedOrders[EffectiveQty]&gt;0)*T_PlannedOrders[Order_Month])),"m月")&amp;"発注)")</f>
        <v/>
      </c>
      <c r="Q999">
        <f>IF(SUMIFS(T_PlannedOrders[EffectiveQty],T_PlannedOrders[Part Name],$A973,T_PlannedOrders[WeekIndex],14)=0,"",SUMIFS(T_PlannedOrders[EffectiveQty],T_PlannedOrders[Part Name],$A973,T_PlannedOrders[WeekIndex],14)&amp;" ("&amp;TEXT(SUMPRODUCT(MAX((T_PlannedOrders[Part Name]=$A973)*(T_PlannedOrders[WeekIndex]=14)*(T_PlannedOrders[EffectiveQty]&gt;0)*T_PlannedOrders[Order_Month])),"m月")&amp;"発注)")</f>
        <v/>
      </c>
      <c r="R999">
        <f>IF(SUMIFS(T_PlannedOrders[EffectiveQty],T_PlannedOrders[Part Name],$A973,T_PlannedOrders[WeekIndex],15)=0,"",SUMIFS(T_PlannedOrders[EffectiveQty],T_PlannedOrders[Part Name],$A973,T_PlannedOrders[WeekIndex],15)&amp;" ("&amp;TEXT(SUMPRODUCT(MAX((T_PlannedOrders[Part Name]=$A973)*(T_PlannedOrders[WeekIndex]=15)*(T_PlannedOrders[EffectiveQty]&gt;0)*T_PlannedOrders[Order_Month])),"m月")&amp;"発注)")</f>
        <v/>
      </c>
      <c r="S999">
        <f>IF(SUMIFS(T_PlannedOrders[EffectiveQty],T_PlannedOrders[Part Name],$A973,T_PlannedOrders[WeekIndex],16)=0,"",SUMIFS(T_PlannedOrders[EffectiveQty],T_PlannedOrders[Part Name],$A973,T_PlannedOrders[WeekIndex],16)&amp;" ("&amp;TEXT(SUMPRODUCT(MAX((T_PlannedOrders[Part Name]=$A973)*(T_PlannedOrders[WeekIndex]=16)*(T_PlannedOrders[EffectiveQty]&gt;0)*T_PlannedOrders[Order_Month])),"m月")&amp;"発注)")</f>
        <v/>
      </c>
      <c r="T999">
        <f>IF(SUMIFS(T_PlannedOrders[EffectiveQty],T_PlannedOrders[Part Name],$A973,T_PlannedOrders[WeekIndex],17)=0,"",SUMIFS(T_PlannedOrders[EffectiveQty],T_PlannedOrders[Part Name],$A973,T_PlannedOrders[WeekIndex],17)&amp;" ("&amp;TEXT(SUMPRODUCT(MAX((T_PlannedOrders[Part Name]=$A973)*(T_PlannedOrders[WeekIndex]=17)*(T_PlannedOrders[EffectiveQty]&gt;0)*T_PlannedOrders[Order_Month])),"m月")&amp;"発注)")</f>
        <v/>
      </c>
      <c r="U999">
        <f>IF(SUMIFS(T_PlannedOrders[EffectiveQty],T_PlannedOrders[Part Name],$A973,T_PlannedOrders[WeekIndex],18)=0,"",SUMIFS(T_PlannedOrders[EffectiveQty],T_PlannedOrders[Part Name],$A973,T_PlannedOrders[WeekIndex],18)&amp;" ("&amp;TEXT(SUMPRODUCT(MAX((T_PlannedOrders[Part Name]=$A973)*(T_PlannedOrders[WeekIndex]=18)*(T_PlannedOrders[EffectiveQty]&gt;0)*T_PlannedOrders[Order_Month])),"m月")&amp;"発注)")</f>
        <v/>
      </c>
      <c r="V999">
        <f>IF(SUMIFS(T_PlannedOrders[EffectiveQty],T_PlannedOrders[Part Name],$A973,T_PlannedOrders[WeekIndex],19)=0,"",SUMIFS(T_PlannedOrders[EffectiveQty],T_PlannedOrders[Part Name],$A973,T_PlannedOrders[WeekIndex],19)&amp;" ("&amp;TEXT(SUMPRODUCT(MAX((T_PlannedOrders[Part Name]=$A973)*(T_PlannedOrders[WeekIndex]=19)*(T_PlannedOrders[EffectiveQty]&gt;0)*T_PlannedOrders[Order_Month])),"m月")&amp;"発注)")</f>
        <v/>
      </c>
      <c r="W999">
        <f>IF(SUMIFS(T_PlannedOrders[EffectiveQty],T_PlannedOrders[Part Name],$A973,T_PlannedOrders[WeekIndex],20)=0,"",SUMIFS(T_PlannedOrders[EffectiveQty],T_PlannedOrders[Part Name],$A973,T_PlannedOrders[WeekIndex],20)&amp;" ("&amp;TEXT(SUMPRODUCT(MAX((T_PlannedOrders[Part Name]=$A973)*(T_PlannedOrders[WeekIndex]=20)*(T_PlannedOrders[EffectiveQty]&gt;0)*T_PlannedOrders[Order_Month])),"m月")&amp;"発注)")</f>
        <v/>
      </c>
      <c r="X999">
        <f>IF(SUMIFS(T_PlannedOrders[EffectiveQty],T_PlannedOrders[Part Name],$A973,T_PlannedOrders[WeekIndex],21)=0,"",SUMIFS(T_PlannedOrders[EffectiveQty],T_PlannedOrders[Part Name],$A973,T_PlannedOrders[WeekIndex],21)&amp;" ("&amp;TEXT(SUMPRODUCT(MAX((T_PlannedOrders[Part Name]=$A973)*(T_PlannedOrders[WeekIndex]=21)*(T_PlannedOrders[EffectiveQty]&gt;0)*T_PlannedOrders[Order_Month])),"m月")&amp;"発注)")</f>
        <v/>
      </c>
      <c r="Y999">
        <f>IF(SUMIFS(T_PlannedOrders[EffectiveQty],T_PlannedOrders[Part Name],$A973,T_PlannedOrders[WeekIndex],22)=0,"",SUMIFS(T_PlannedOrders[EffectiveQty],T_PlannedOrders[Part Name],$A973,T_PlannedOrders[WeekIndex],22)&amp;" ("&amp;TEXT(SUMPRODUCT(MAX((T_PlannedOrders[Part Name]=$A973)*(T_PlannedOrders[WeekIndex]=22)*(T_PlannedOrders[EffectiveQty]&gt;0)*T_PlannedOrders[Order_Month])),"m月")&amp;"発注)")</f>
        <v/>
      </c>
      <c r="Z999">
        <f>IF(SUMIFS(T_PlannedOrders[EffectiveQty],T_PlannedOrders[Part Name],$A973,T_PlannedOrders[WeekIndex],23)=0,"",SUMIFS(T_PlannedOrders[EffectiveQty],T_PlannedOrders[Part Name],$A973,T_PlannedOrders[WeekIndex],23)&amp;" ("&amp;TEXT(SUMPRODUCT(MAX((T_PlannedOrders[Part Name]=$A973)*(T_PlannedOrders[WeekIndex]=23)*(T_PlannedOrders[EffectiveQty]&gt;0)*T_PlannedOrders[Order_Month])),"m月")&amp;"発注)")</f>
        <v/>
      </c>
      <c r="AA999">
        <f>IF(SUMIFS(T_PlannedOrders[EffectiveQty],T_PlannedOrders[Part Name],$A973,T_PlannedOrders[WeekIndex],24)=0,"",SUMIFS(T_PlannedOrders[EffectiveQty],T_PlannedOrders[Part Name],$A973,T_PlannedOrders[WeekIndex],24)&amp;" ("&amp;TEXT(SUMPRODUCT(MAX((T_PlannedOrders[Part Name]=$A973)*(T_PlannedOrders[WeekIndex]=24)*(T_PlannedOrders[EffectiveQty]&gt;0)*T_PlannedOrders[Order_Month])),"m月")&amp;"発注)")</f>
        <v/>
      </c>
      <c r="AB999">
        <f>IF(SUMIFS(T_PlannedOrders[EffectiveQty],T_PlannedOrders[Part Name],$A973,T_PlannedOrders[WeekIndex],25)=0,"",SUMIFS(T_PlannedOrders[EffectiveQty],T_PlannedOrders[Part Name],$A973,T_PlannedOrders[WeekIndex],25)&amp;" ("&amp;TEXT(SUMPRODUCT(MAX((T_PlannedOrders[Part Name]=$A973)*(T_PlannedOrders[WeekIndex]=25)*(T_PlannedOrders[EffectiveQty]&gt;0)*T_PlannedOrders[Order_Month])),"m月")&amp;"発注)")</f>
        <v/>
      </c>
      <c r="AC999">
        <f>IF(SUMIFS(T_PlannedOrders[EffectiveQty],T_PlannedOrders[Part Name],$A973,T_PlannedOrders[WeekIndex],26)=0,"",SUMIFS(T_PlannedOrders[EffectiveQty],T_PlannedOrders[Part Name],$A973,T_PlannedOrders[WeekIndex],26)&amp;" ("&amp;TEXT(SUMPRODUCT(MAX((T_PlannedOrders[Part Name]=$A973)*(T_PlannedOrders[WeekIndex]=26)*(T_PlannedOrders[EffectiveQty]&gt;0)*T_PlannedOrders[Order_Month])),"m月")&amp;"発注)")</f>
        <v/>
      </c>
      <c r="AD999">
        <f>IF(SUMIFS(T_PlannedOrders[EffectiveQty],T_PlannedOrders[Part Name],$A973,T_PlannedOrders[WeekIndex],27)=0,"",SUMIFS(T_PlannedOrders[EffectiveQty],T_PlannedOrders[Part Name],$A973,T_PlannedOrders[WeekIndex],27)&amp;" ("&amp;TEXT(SUMPRODUCT(MAX((T_PlannedOrders[Part Name]=$A973)*(T_PlannedOrders[WeekIndex]=27)*(T_PlannedOrders[EffectiveQty]&gt;0)*T_PlannedOrders[Order_Month])),"m月")&amp;"発注)")</f>
        <v/>
      </c>
      <c r="AE999">
        <f>IF(SUMIFS(T_PlannedOrders[EffectiveQty],T_PlannedOrders[Part Name],$A973,T_PlannedOrders[WeekIndex],28)=0,"",SUMIFS(T_PlannedOrders[EffectiveQty],T_PlannedOrders[Part Name],$A973,T_PlannedOrders[WeekIndex],28)&amp;" ("&amp;TEXT(SUMPRODUCT(MAX((T_PlannedOrders[Part Name]=$A973)*(T_PlannedOrders[WeekIndex]=28)*(T_PlannedOrders[EffectiveQty]&gt;0)*T_PlannedOrders[Order_Month])),"m月")&amp;"発注)")</f>
        <v/>
      </c>
      <c r="AF999">
        <f>IF(SUMIFS(T_PlannedOrders[EffectiveQty],T_PlannedOrders[Part Name],$A973,T_PlannedOrders[WeekIndex],29)=0,"",SUMIFS(T_PlannedOrders[EffectiveQty],T_PlannedOrders[Part Name],$A973,T_PlannedOrders[WeekIndex],29)&amp;" ("&amp;TEXT(SUMPRODUCT(MAX((T_PlannedOrders[Part Name]=$A973)*(T_PlannedOrders[WeekIndex]=29)*(T_PlannedOrders[EffectiveQty]&gt;0)*T_PlannedOrders[Order_Month])),"m月")&amp;"発注)")</f>
        <v/>
      </c>
      <c r="AG999">
        <f>IF(SUMIFS(T_PlannedOrders[EffectiveQty],T_PlannedOrders[Part Name],$A973,T_PlannedOrders[WeekIndex],30)=0,"",SUMIFS(T_PlannedOrders[EffectiveQty],T_PlannedOrders[Part Name],$A973,T_PlannedOrders[WeekIndex],30)&amp;" ("&amp;TEXT(SUMPRODUCT(MAX((T_PlannedOrders[Part Name]=$A973)*(T_PlannedOrders[WeekIndex]=30)*(T_PlannedOrders[EffectiveQty]&gt;0)*T_PlannedOrders[Order_Month])),"m月")&amp;"発注)")</f>
        <v/>
      </c>
      <c r="AH999">
        <f>IF(SUMIFS(T_PlannedOrders[EffectiveQty],T_PlannedOrders[Part Name],$A973,T_PlannedOrders[WeekIndex],31)=0,"",SUMIFS(T_PlannedOrders[EffectiveQty],T_PlannedOrders[Part Name],$A973,T_PlannedOrders[WeekIndex],31)&amp;" ("&amp;TEXT(SUMPRODUCT(MAX((T_PlannedOrders[Part Name]=$A973)*(T_PlannedOrders[WeekIndex]=31)*(T_PlannedOrders[EffectiveQty]&gt;0)*T_PlannedOrders[Order_Month])),"m月")&amp;"発注)")</f>
        <v/>
      </c>
      <c r="AI999">
        <f>IF(SUMIFS(T_PlannedOrders[EffectiveQty],T_PlannedOrders[Part Name],$A973,T_PlannedOrders[WeekIndex],32)=0,"",SUMIFS(T_PlannedOrders[EffectiveQty],T_PlannedOrders[Part Name],$A973,T_PlannedOrders[WeekIndex],32)&amp;" ("&amp;TEXT(SUMPRODUCT(MAX((T_PlannedOrders[Part Name]=$A973)*(T_PlannedOrders[WeekIndex]=32)*(T_PlannedOrders[EffectiveQty]&gt;0)*T_PlannedOrders[Order_Month])),"m月")&amp;"発注)")</f>
        <v/>
      </c>
      <c r="AJ999">
        <f>IF(SUMIFS(T_PlannedOrders[EffectiveQty],T_PlannedOrders[Part Name],$A973,T_PlannedOrders[WeekIndex],33)=0,"",SUMIFS(T_PlannedOrders[EffectiveQty],T_PlannedOrders[Part Name],$A973,T_PlannedOrders[WeekIndex],33)&amp;" ("&amp;TEXT(SUMPRODUCT(MAX((T_PlannedOrders[Part Name]=$A973)*(T_PlannedOrders[WeekIndex]=33)*(T_PlannedOrders[EffectiveQty]&gt;0)*T_PlannedOrders[Order_Month])),"m月")&amp;"発注)")</f>
        <v/>
      </c>
      <c r="AK999">
        <f>IF(SUMIFS(T_PlannedOrders[EffectiveQty],T_PlannedOrders[Part Name],$A973,T_PlannedOrders[WeekIndex],34)=0,"",SUMIFS(T_PlannedOrders[EffectiveQty],T_PlannedOrders[Part Name],$A973,T_PlannedOrders[WeekIndex],34)&amp;" ("&amp;TEXT(SUMPRODUCT(MAX((T_PlannedOrders[Part Name]=$A973)*(T_PlannedOrders[WeekIndex]=34)*(T_PlannedOrders[EffectiveQty]&gt;0)*T_PlannedOrders[Order_Month])),"m月")&amp;"発注)")</f>
        <v/>
      </c>
      <c r="AL999">
        <f>IF(SUMIFS(T_PlannedOrders[EffectiveQty],T_PlannedOrders[Part Name],$A973,T_PlannedOrders[WeekIndex],35)=0,"",SUMIFS(T_PlannedOrders[EffectiveQty],T_PlannedOrders[Part Name],$A973,T_PlannedOrders[WeekIndex],35)&amp;" ("&amp;TEXT(SUMPRODUCT(MAX((T_PlannedOrders[Part Name]=$A973)*(T_PlannedOrders[WeekIndex]=35)*(T_PlannedOrders[EffectiveQty]&gt;0)*T_PlannedOrders[Order_Month])),"m月")&amp;"発注)")</f>
        <v/>
      </c>
      <c r="AM999">
        <f>IF(SUMIFS(T_PlannedOrders[EffectiveQty],T_PlannedOrders[Part Name],$A973,T_PlannedOrders[WeekIndex],36)=0,"",SUMIFS(T_PlannedOrders[EffectiveQty],T_PlannedOrders[Part Name],$A973,T_PlannedOrders[WeekIndex],36)&amp;" ("&amp;TEXT(SUMPRODUCT(MAX((T_PlannedOrders[Part Name]=$A973)*(T_PlannedOrders[WeekIndex]=36)*(T_PlannedOrders[EffectiveQty]&gt;0)*T_PlannedOrders[Order_Month])),"m月")&amp;"発注)")</f>
        <v/>
      </c>
      <c r="AN999">
        <f>IF(SUMIFS(T_PlannedOrders[EffectiveQty],T_PlannedOrders[Part Name],$A973,T_PlannedOrders[WeekIndex],37)=0,"",SUMIFS(T_PlannedOrders[EffectiveQty],T_PlannedOrders[Part Name],$A973,T_PlannedOrders[WeekIndex],37)&amp;" ("&amp;TEXT(SUMPRODUCT(MAX((T_PlannedOrders[Part Name]=$A973)*(T_PlannedOrders[WeekIndex]=37)*(T_PlannedOrders[EffectiveQty]&gt;0)*T_PlannedOrders[Order_Month])),"m月")&amp;"発注)")</f>
        <v/>
      </c>
      <c r="AO999">
        <f>IF(SUMIFS(T_PlannedOrders[EffectiveQty],T_PlannedOrders[Part Name],$A973,T_PlannedOrders[WeekIndex],38)=0,"",SUMIFS(T_PlannedOrders[EffectiveQty],T_PlannedOrders[Part Name],$A973,T_PlannedOrders[WeekIndex],38)&amp;" ("&amp;TEXT(SUMPRODUCT(MAX((T_PlannedOrders[Part Name]=$A973)*(T_PlannedOrders[WeekIndex]=38)*(T_PlannedOrders[EffectiveQty]&gt;0)*T_PlannedOrders[Order_Month])),"m月")&amp;"発注)")</f>
        <v/>
      </c>
      <c r="AP999">
        <f>IF(SUMIFS(T_PlannedOrders[EffectiveQty],T_PlannedOrders[Part Name],$A973,T_PlannedOrders[WeekIndex],39)=0,"",SUMIFS(T_PlannedOrders[EffectiveQty],T_PlannedOrders[Part Name],$A973,T_PlannedOrders[WeekIndex],39)&amp;" ("&amp;TEXT(SUMPRODUCT(MAX((T_PlannedOrders[Part Name]=$A973)*(T_PlannedOrders[WeekIndex]=39)*(T_PlannedOrders[EffectiveQty]&gt;0)*T_PlannedOrders[Order_Month])),"m月")&amp;"発注)")</f>
        <v/>
      </c>
      <c r="AQ999">
        <f>IF(SUMIFS(T_PlannedOrders[EffectiveQty],T_PlannedOrders[Part Name],$A973,T_PlannedOrders[WeekIndex],40)=0,"",SUMIFS(T_PlannedOrders[EffectiveQty],T_PlannedOrders[Part Name],$A973,T_PlannedOrders[WeekIndex],40)&amp;" ("&amp;TEXT(SUMPRODUCT(MAX((T_PlannedOrders[Part Name]=$A973)*(T_PlannedOrders[WeekIndex]=40)*(T_PlannedOrders[EffectiveQty]&gt;0)*T_PlannedOrders[Order_Month])),"m月")&amp;"発注)")</f>
        <v/>
      </c>
      <c r="AR999">
        <f>IF(SUMIFS(T_PlannedOrders[EffectiveQty],T_PlannedOrders[Part Name],$A973,T_PlannedOrders[WeekIndex],41)=0,"",SUMIFS(T_PlannedOrders[EffectiveQty],T_PlannedOrders[Part Name],$A973,T_PlannedOrders[WeekIndex],41)&amp;" ("&amp;TEXT(SUMPRODUCT(MAX((T_PlannedOrders[Part Name]=$A973)*(T_PlannedOrders[WeekIndex]=41)*(T_PlannedOrders[EffectiveQty]&gt;0)*T_PlannedOrders[Order_Month])),"m月")&amp;"発注)")</f>
        <v/>
      </c>
      <c r="AS999">
        <f>IF(SUMIFS(T_PlannedOrders[EffectiveQty],T_PlannedOrders[Part Name],$A973,T_PlannedOrders[WeekIndex],42)=0,"",SUMIFS(T_PlannedOrders[EffectiveQty],T_PlannedOrders[Part Name],$A973,T_PlannedOrders[WeekIndex],42)&amp;" ("&amp;TEXT(SUMPRODUCT(MAX((T_PlannedOrders[Part Name]=$A973)*(T_PlannedOrders[WeekIndex]=42)*(T_PlannedOrders[EffectiveQty]&gt;0)*T_PlannedOrders[Order_Month])),"m月")&amp;"発注)")</f>
        <v/>
      </c>
      <c r="AT999">
        <f>IF(SUMIFS(T_PlannedOrders[EffectiveQty],T_PlannedOrders[Part Name],$A973,T_PlannedOrders[WeekIndex],43)=0,"",SUMIFS(T_PlannedOrders[EffectiveQty],T_PlannedOrders[Part Name],$A973,T_PlannedOrders[WeekIndex],43)&amp;" ("&amp;TEXT(SUMPRODUCT(MAX((T_PlannedOrders[Part Name]=$A973)*(T_PlannedOrders[WeekIndex]=43)*(T_PlannedOrders[EffectiveQty]&gt;0)*T_PlannedOrders[Order_Month])),"m月")&amp;"発注)")</f>
        <v/>
      </c>
      <c r="AU999">
        <f>IF(SUMIFS(T_PlannedOrders[EffectiveQty],T_PlannedOrders[Part Name],$A973,T_PlannedOrders[WeekIndex],44)=0,"",SUMIFS(T_PlannedOrders[EffectiveQty],T_PlannedOrders[Part Name],$A973,T_PlannedOrders[WeekIndex],44)&amp;" ("&amp;TEXT(SUMPRODUCT(MAX((T_PlannedOrders[Part Name]=$A973)*(T_PlannedOrders[WeekIndex]=44)*(T_PlannedOrders[EffectiveQty]&gt;0)*T_PlannedOrders[Order_Month])),"m月")&amp;"発注)")</f>
        <v/>
      </c>
      <c r="AV999">
        <f>IF(SUMIFS(T_PlannedOrders[EffectiveQty],T_PlannedOrders[Part Name],$A973,T_PlannedOrders[WeekIndex],45)=0,"",SUMIFS(T_PlannedOrders[EffectiveQty],T_PlannedOrders[Part Name],$A973,T_PlannedOrders[WeekIndex],45)&amp;" ("&amp;TEXT(SUMPRODUCT(MAX((T_PlannedOrders[Part Name]=$A973)*(T_PlannedOrders[WeekIndex]=45)*(T_PlannedOrders[EffectiveQty]&gt;0)*T_PlannedOrders[Order_Month])),"m月")&amp;"発注)")</f>
        <v/>
      </c>
      <c r="AW999">
        <f>IF(SUMIFS(T_PlannedOrders[EffectiveQty],T_PlannedOrders[Part Name],$A973,T_PlannedOrders[WeekIndex],46)=0,"",SUMIFS(T_PlannedOrders[EffectiveQty],T_PlannedOrders[Part Name],$A973,T_PlannedOrders[WeekIndex],46)&amp;" ("&amp;TEXT(SUMPRODUCT(MAX((T_PlannedOrders[Part Name]=$A973)*(T_PlannedOrders[WeekIndex]=46)*(T_PlannedOrders[EffectiveQty]&gt;0)*T_PlannedOrders[Order_Month])),"m月")&amp;"発注)")</f>
        <v/>
      </c>
      <c r="AX999">
        <f>IF(SUMIFS(T_PlannedOrders[EffectiveQty],T_PlannedOrders[Part Name],$A973,T_PlannedOrders[WeekIndex],47)=0,"",SUMIFS(T_PlannedOrders[EffectiveQty],T_PlannedOrders[Part Name],$A973,T_PlannedOrders[WeekIndex],47)&amp;" ("&amp;TEXT(SUMPRODUCT(MAX((T_PlannedOrders[Part Name]=$A973)*(T_PlannedOrders[WeekIndex]=47)*(T_PlannedOrders[EffectiveQty]&gt;0)*T_PlannedOrders[Order_Month])),"m月")&amp;"発注)")</f>
        <v/>
      </c>
      <c r="AY999">
        <f>IF(SUMIFS(T_PlannedOrders[EffectiveQty],T_PlannedOrders[Part Name],$A973,T_PlannedOrders[WeekIndex],48)=0,"",SUMIFS(T_PlannedOrders[EffectiveQty],T_PlannedOrders[Part Name],$A973,T_PlannedOrders[WeekIndex],48)&amp;" ("&amp;TEXT(SUMPRODUCT(MAX((T_PlannedOrders[Part Name]=$A973)*(T_PlannedOrders[WeekIndex]=48)*(T_PlannedOrders[EffectiveQty]&gt;0)*T_PlannedOrders[Order_Month])),"m月")&amp;"発注)")</f>
        <v/>
      </c>
      <c r="AZ999">
        <f>IF(SUMIFS(T_PlannedOrders[EffectiveQty],T_PlannedOrders[Part Name],$A973,T_PlannedOrders[WeekIndex],49)=0,"",SUMIFS(T_PlannedOrders[EffectiveQty],T_PlannedOrders[Part Name],$A973,T_PlannedOrders[WeekIndex],49)&amp;" ("&amp;TEXT(SUMPRODUCT(MAX((T_PlannedOrders[Part Name]=$A973)*(T_PlannedOrders[WeekIndex]=49)*(T_PlannedOrders[EffectiveQty]&gt;0)*T_PlannedOrders[Order_Month])),"m月")&amp;"発注)")</f>
        <v/>
      </c>
      <c r="BA999">
        <f>IF(SUMIFS(T_PlannedOrders[EffectiveQty],T_PlannedOrders[Part Name],$A973,T_PlannedOrders[WeekIndex],50)=0,"",SUMIFS(T_PlannedOrders[EffectiveQty],T_PlannedOrders[Part Name],$A973,T_PlannedOrders[WeekIndex],50)&amp;" ("&amp;TEXT(SUMPRODUCT(MAX((T_PlannedOrders[Part Name]=$A973)*(T_PlannedOrders[WeekIndex]=50)*(T_PlannedOrders[EffectiveQty]&gt;0)*T_PlannedOrders[Order_Month])),"m月")&amp;"発注)")</f>
        <v/>
      </c>
      <c r="BB999">
        <f>IF(SUMIFS(T_PlannedOrders[EffectiveQty],T_PlannedOrders[Part Name],$A973,T_PlannedOrders[WeekIndex],51)=0,"",SUMIFS(T_PlannedOrders[EffectiveQty],T_PlannedOrders[Part Name],$A973,T_PlannedOrders[WeekIndex],51)&amp;" ("&amp;TEXT(SUMPRODUCT(MAX((T_PlannedOrders[Part Name]=$A973)*(T_PlannedOrders[WeekIndex]=51)*(T_PlannedOrders[EffectiveQty]&gt;0)*T_PlannedOrders[Order_Month])),"m月")&amp;"発注)")</f>
        <v/>
      </c>
      <c r="BC999">
        <f>IF(SUMIFS(T_PlannedOrders[EffectiveQty],T_PlannedOrders[Part Name],$A973,T_PlannedOrders[WeekIndex],52)=0,"",SUMIFS(T_PlannedOrders[EffectiveQty],T_PlannedOrders[Part Name],$A973,T_PlannedOrders[WeekIndex],52)&amp;" ("&amp;TEXT(SUMPRODUCT(MAX((T_PlannedOrders[Part Name]=$A973)*(T_PlannedOrders[WeekIndex]=52)*(T_PlannedOrders[EffectiveQty]&gt;0)*T_PlannedOrders[Order_Month])),"m月")&amp;"発注)")</f>
        <v/>
      </c>
      <c r="BD999">
        <f>IF(SUMIFS(T_PlannedOrders[EffectiveQty],T_PlannedOrders[Part Name],$A973,T_PlannedOrders[WeekIndex],53)=0,"",SUMIFS(T_PlannedOrders[EffectiveQty],T_PlannedOrders[Part Name],$A973,T_PlannedOrders[WeekIndex],53)&amp;" ("&amp;TEXT(SUMPRODUCT(MAX((T_PlannedOrders[Part Name]=$A973)*(T_PlannedOrders[WeekIndex]=53)*(T_PlannedOrders[EffectiveQty]&gt;0)*T_PlannedOrders[Order_Month])),"m月")&amp;"発注)")</f>
        <v/>
      </c>
      <c r="BE999">
        <f>IF(SUMIFS(T_PlannedOrders[EffectiveQty],T_PlannedOrders[Part Name],$A973,T_PlannedOrders[WeekIndex],54)=0,"",SUMIFS(T_PlannedOrders[EffectiveQty],T_PlannedOrders[Part Name],$A973,T_PlannedOrders[WeekIndex],54)&amp;" ("&amp;TEXT(SUMPRODUCT(MAX((T_PlannedOrders[Part Name]=$A973)*(T_PlannedOrders[WeekIndex]=54)*(T_PlannedOrders[EffectiveQty]&gt;0)*T_PlannedOrders[Order_Month])),"m月")&amp;"発注)")</f>
        <v/>
      </c>
      <c r="BF999">
        <f>IF(SUMIFS(T_PlannedOrders[EffectiveQty],T_PlannedOrders[Part Name],$A973,T_PlannedOrders[WeekIndex],55)=0,"",SUMIFS(T_PlannedOrders[EffectiveQty],T_PlannedOrders[Part Name],$A973,T_PlannedOrders[WeekIndex],55)&amp;" ("&amp;TEXT(SUMPRODUCT(MAX((T_PlannedOrders[Part Name]=$A973)*(T_PlannedOrders[WeekIndex]=55)*(T_PlannedOrders[EffectiveQty]&gt;0)*T_PlannedOrders[Order_Month])),"m月")&amp;"発注)")</f>
        <v/>
      </c>
      <c r="BG999">
        <f>IF(SUMIFS(T_PlannedOrders[EffectiveQty],T_PlannedOrders[Part Name],$A973,T_PlannedOrders[WeekIndex],56)=0,"",SUMIFS(T_PlannedOrders[EffectiveQty],T_PlannedOrders[Part Name],$A973,T_PlannedOrders[WeekIndex],56)&amp;" ("&amp;TEXT(SUMPRODUCT(MAX((T_PlannedOrders[Part Name]=$A973)*(T_PlannedOrders[WeekIndex]=56)*(T_PlannedOrders[EffectiveQty]&gt;0)*T_PlannedOrders[Order_Month])),"m月")&amp;"発注)")</f>
        <v/>
      </c>
      <c r="BH999">
        <f>IF(SUMIFS(T_PlannedOrders[EffectiveQty],T_PlannedOrders[Part Name],$A973,T_PlannedOrders[WeekIndex],57)=0,"",SUMIFS(T_PlannedOrders[EffectiveQty],T_PlannedOrders[Part Name],$A973,T_PlannedOrders[WeekIndex],57)&amp;" ("&amp;TEXT(SUMPRODUCT(MAX((T_PlannedOrders[Part Name]=$A973)*(T_PlannedOrders[WeekIndex]=57)*(T_PlannedOrders[EffectiveQty]&gt;0)*T_PlannedOrders[Order_Month])),"m月")&amp;"発注)")</f>
        <v/>
      </c>
      <c r="BI999">
        <f>IF(SUMIFS(T_PlannedOrders[EffectiveQty],T_PlannedOrders[Part Name],$A973,T_PlannedOrders[WeekIndex],58)=0,"",SUMIFS(T_PlannedOrders[EffectiveQty],T_PlannedOrders[Part Name],$A973,T_PlannedOrders[WeekIndex],58)&amp;" ("&amp;TEXT(SUMPRODUCT(MAX((T_PlannedOrders[Part Name]=$A973)*(T_PlannedOrders[WeekIndex]=58)*(T_PlannedOrders[EffectiveQty]&gt;0)*T_PlannedOrders[Order_Month])),"m月")&amp;"発注)")</f>
        <v/>
      </c>
      <c r="BJ999">
        <f>IF(SUMIFS(T_PlannedOrders[EffectiveQty],T_PlannedOrders[Part Name],$A973,T_PlannedOrders[WeekIndex],59)=0,"",SUMIFS(T_PlannedOrders[EffectiveQty],T_PlannedOrders[Part Name],$A973,T_PlannedOrders[WeekIndex],59)&amp;" ("&amp;TEXT(SUMPRODUCT(MAX((T_PlannedOrders[Part Name]=$A973)*(T_PlannedOrders[WeekIndex]=59)*(T_PlannedOrders[EffectiveQty]&gt;0)*T_PlannedOrders[Order_Month])),"m月")&amp;"発注)")</f>
        <v/>
      </c>
      <c r="BK999">
        <f>IF(SUMIFS(T_PlannedOrders[EffectiveQty],T_PlannedOrders[Part Name],$A973,T_PlannedOrders[WeekIndex],60)=0,"",SUMIFS(T_PlannedOrders[EffectiveQty],T_PlannedOrders[Part Name],$A973,T_PlannedOrders[WeekIndex],60)&amp;" ("&amp;TEXT(SUMPRODUCT(MAX((T_PlannedOrders[Part Name]=$A973)*(T_PlannedOrders[WeekIndex]=60)*(T_PlannedOrders[EffectiveQty]&gt;0)*T_PlannedOrders[Order_Month])),"m月")&amp;"発注)")</f>
        <v/>
      </c>
      <c r="BL999">
        <f>IF(SUMIFS(T_PlannedOrders[EffectiveQty],T_PlannedOrders[Part Name],$A973,T_PlannedOrders[WeekIndex],61)=0,"",SUMIFS(T_PlannedOrders[EffectiveQty],T_PlannedOrders[Part Name],$A973,T_PlannedOrders[WeekIndex],61)&amp;" ("&amp;TEXT(SUMPRODUCT(MAX((T_PlannedOrders[Part Name]=$A973)*(T_PlannedOrders[WeekIndex]=61)*(T_PlannedOrders[EffectiveQty]&gt;0)*T_PlannedOrders[Order_Month])),"m月")&amp;"発注)")</f>
        <v/>
      </c>
      <c r="BM999">
        <f>IF(SUMIFS(T_PlannedOrders[EffectiveQty],T_PlannedOrders[Part Name],$A973,T_PlannedOrders[WeekIndex],62)=0,"",SUMIFS(T_PlannedOrders[EffectiveQty],T_PlannedOrders[Part Name],$A973,T_PlannedOrders[WeekIndex],62)&amp;" ("&amp;TEXT(SUMPRODUCT(MAX((T_PlannedOrders[Part Name]=$A973)*(T_PlannedOrders[WeekIndex]=62)*(T_PlannedOrders[EffectiveQty]&gt;0)*T_PlannedOrders[Order_Month])),"m月")&amp;"発注)")</f>
        <v/>
      </c>
      <c r="BN999">
        <f>IF(SUMIFS(T_PlannedOrders[EffectiveQty],T_PlannedOrders[Part Name],$A973,T_PlannedOrders[WeekIndex],63)=0,"",SUMIFS(T_PlannedOrders[EffectiveQty],T_PlannedOrders[Part Name],$A973,T_PlannedOrders[WeekIndex],63)&amp;" ("&amp;TEXT(SUMPRODUCT(MAX((T_PlannedOrders[Part Name]=$A973)*(T_PlannedOrders[WeekIndex]=63)*(T_PlannedOrders[EffectiveQty]&gt;0)*T_PlannedOrders[Order_Month])),"m月")&amp;"発注)")</f>
        <v/>
      </c>
      <c r="BO999">
        <f>IF(SUMIFS(T_PlannedOrders[EffectiveQty],T_PlannedOrders[Part Name],$A973,T_PlannedOrders[WeekIndex],64)=0,"",SUMIFS(T_PlannedOrders[EffectiveQty],T_PlannedOrders[Part Name],$A973,T_PlannedOrders[WeekIndex],64)&amp;" ("&amp;TEXT(SUMPRODUCT(MAX((T_PlannedOrders[Part Name]=$A973)*(T_PlannedOrders[WeekIndex]=64)*(T_PlannedOrders[EffectiveQty]&gt;0)*T_PlannedOrders[Order_Month])),"m月")&amp;"発注)")</f>
        <v/>
      </c>
      <c r="BP999">
        <f>IF(SUMIFS(T_PlannedOrders[EffectiveQty],T_PlannedOrders[Part Name],$A973,T_PlannedOrders[WeekIndex],65)=0,"",SUMIFS(T_PlannedOrders[EffectiveQty],T_PlannedOrders[Part Name],$A973,T_PlannedOrders[WeekIndex],65)&amp;" ("&amp;TEXT(SUMPRODUCT(MAX((T_PlannedOrders[Part Name]=$A973)*(T_PlannedOrders[WeekIndex]=65)*(T_PlannedOrders[EffectiveQty]&gt;0)*T_PlannedOrders[Order_Month])),"m月")&amp;"発注)")</f>
        <v/>
      </c>
      <c r="BQ999">
        <f>IF(SUMIFS(T_PlannedOrders[EffectiveQty],T_PlannedOrders[Part Name],$A973,T_PlannedOrders[WeekIndex],66)=0,"",SUMIFS(T_PlannedOrders[EffectiveQty],T_PlannedOrders[Part Name],$A973,T_PlannedOrders[WeekIndex],66)&amp;" ("&amp;TEXT(SUMPRODUCT(MAX((T_PlannedOrders[Part Name]=$A973)*(T_PlannedOrders[WeekIndex]=66)*(T_PlannedOrders[EffectiveQty]&gt;0)*T_PlannedOrders[Order_Month])),"m月")&amp;"発注)")</f>
        <v/>
      </c>
      <c r="BR999">
        <f>IF(SUMIFS(T_PlannedOrders[EffectiveQty],T_PlannedOrders[Part Name],$A973,T_PlannedOrders[WeekIndex],67)=0,"",SUMIFS(T_PlannedOrders[EffectiveQty],T_PlannedOrders[Part Name],$A973,T_PlannedOrders[WeekIndex],67)&amp;" ("&amp;TEXT(SUMPRODUCT(MAX((T_PlannedOrders[Part Name]=$A973)*(T_PlannedOrders[WeekIndex]=67)*(T_PlannedOrders[EffectiveQty]&gt;0)*T_PlannedOrders[Order_Month])),"m月")&amp;"発注)")</f>
        <v/>
      </c>
      <c r="BS999">
        <f>IF(SUMIFS(T_PlannedOrders[EffectiveQty],T_PlannedOrders[Part Name],$A973,T_PlannedOrders[WeekIndex],68)=0,"",SUMIFS(T_PlannedOrders[EffectiveQty],T_PlannedOrders[Part Name],$A973,T_PlannedOrders[WeekIndex],68)&amp;" ("&amp;TEXT(SUMPRODUCT(MAX((T_PlannedOrders[Part Name]=$A973)*(T_PlannedOrders[WeekIndex]=68)*(T_PlannedOrders[EffectiveQty]&gt;0)*T_PlannedOrders[Order_Month])),"m月")&amp;"発注)")</f>
        <v/>
      </c>
      <c r="BT999">
        <f>IF(SUMIFS(T_PlannedOrders[EffectiveQty],T_PlannedOrders[Part Name],$A973,T_PlannedOrders[WeekIndex],69)=0,"",SUMIFS(T_PlannedOrders[EffectiveQty],T_PlannedOrders[Part Name],$A973,T_PlannedOrders[WeekIndex],69)&amp;" ("&amp;TEXT(SUMPRODUCT(MAX((T_PlannedOrders[Part Name]=$A973)*(T_PlannedOrders[WeekIndex]=69)*(T_PlannedOrders[EffectiveQty]&gt;0)*T_PlannedOrders[Order_Month])),"m月")&amp;"発注)")</f>
        <v/>
      </c>
      <c r="BU999">
        <f>IF(SUMIFS(T_PlannedOrders[EffectiveQty],T_PlannedOrders[Part Name],$A973,T_PlannedOrders[WeekIndex],70)=0,"",SUMIFS(T_PlannedOrders[EffectiveQty],T_PlannedOrders[Part Name],$A973,T_PlannedOrders[WeekIndex],70)&amp;" ("&amp;TEXT(SUMPRODUCT(MAX((T_PlannedOrders[Part Name]=$A973)*(T_PlannedOrders[WeekIndex]=70)*(T_PlannedOrders[EffectiveQty]&gt;0)*T_PlannedOrders[Order_Month])),"m月")&amp;"発注)")</f>
        <v/>
      </c>
      <c r="BV999">
        <f>IF(SUMIFS(T_PlannedOrders[EffectiveQty],T_PlannedOrders[Part Name],$A973,T_PlannedOrders[WeekIndex],71)=0,"",SUMIFS(T_PlannedOrders[EffectiveQty],T_PlannedOrders[Part Name],$A973,T_PlannedOrders[WeekIndex],71)&amp;" ("&amp;TEXT(SUMPRODUCT(MAX((T_PlannedOrders[Part Name]=$A973)*(T_PlannedOrders[WeekIndex]=71)*(T_PlannedOrders[EffectiveQty]&gt;0)*T_PlannedOrders[Order_Month])),"m月")&amp;"発注)")</f>
        <v/>
      </c>
      <c r="BW999">
        <f>IF(SUMIFS(T_PlannedOrders[EffectiveQty],T_PlannedOrders[Part Name],$A973,T_PlannedOrders[WeekIndex],72)=0,"",SUMIFS(T_PlannedOrders[EffectiveQty],T_PlannedOrders[Part Name],$A973,T_PlannedOrders[WeekIndex],72)&amp;" ("&amp;TEXT(SUMPRODUCT(MAX((T_PlannedOrders[Part Name]=$A973)*(T_PlannedOrders[WeekIndex]=72)*(T_PlannedOrders[EffectiveQty]&gt;0)*T_PlannedOrders[Order_Month])),"m月")&amp;"発注)")</f>
        <v/>
      </c>
      <c r="BX999">
        <f>IF(SUMIFS(T_PlannedOrders[EffectiveQty],T_PlannedOrders[Part Name],$A973,T_PlannedOrders[WeekIndex],73)=0,"",SUMIFS(T_PlannedOrders[EffectiveQty],T_PlannedOrders[Part Name],$A973,T_PlannedOrders[WeekIndex],73)&amp;" ("&amp;TEXT(SUMPRODUCT(MAX((T_PlannedOrders[Part Name]=$A973)*(T_PlannedOrders[WeekIndex]=73)*(T_PlannedOrders[EffectiveQty]&gt;0)*T_PlannedOrders[Order_Month])),"m月")&amp;"発注)")</f>
        <v/>
      </c>
      <c r="BY999">
        <f>IF(SUMIFS(T_PlannedOrders[EffectiveQty],T_PlannedOrders[Part Name],$A973,T_PlannedOrders[WeekIndex],74)=0,"",SUMIFS(T_PlannedOrders[EffectiveQty],T_PlannedOrders[Part Name],$A973,T_PlannedOrders[WeekIndex],74)&amp;" ("&amp;TEXT(SUMPRODUCT(MAX((T_PlannedOrders[Part Name]=$A973)*(T_PlannedOrders[WeekIndex]=74)*(T_PlannedOrders[EffectiveQty]&gt;0)*T_PlannedOrders[Order_Month])),"m月")&amp;"発注)")</f>
        <v/>
      </c>
      <c r="BZ999">
        <f>IF(SUMIFS(T_PlannedOrders[EffectiveQty],T_PlannedOrders[Part Name],$A973,T_PlannedOrders[WeekIndex],75)=0,"",SUMIFS(T_PlannedOrders[EffectiveQty],T_PlannedOrders[Part Name],$A973,T_PlannedOrders[WeekIndex],75)&amp;" ("&amp;TEXT(SUMPRODUCT(MAX((T_PlannedOrders[Part Name]=$A973)*(T_PlannedOrders[WeekIndex]=75)*(T_PlannedOrders[EffectiveQty]&gt;0)*T_PlannedOrders[Order_Month])),"m月")&amp;"発注)")</f>
        <v/>
      </c>
      <c r="CA999">
        <f>IF(SUMIFS(T_PlannedOrders[EffectiveQty],T_PlannedOrders[Part Name],$A973,T_PlannedOrders[WeekIndex],76)=0,"",SUMIFS(T_PlannedOrders[EffectiveQty],T_PlannedOrders[Part Name],$A973,T_PlannedOrders[WeekIndex],76)&amp;" ("&amp;TEXT(SUMPRODUCT(MAX((T_PlannedOrders[Part Name]=$A973)*(T_PlannedOrders[WeekIndex]=76)*(T_PlannedOrders[EffectiveQty]&gt;0)*T_PlannedOrders[Order_Month])),"m月")&amp;"発注)")</f>
        <v/>
      </c>
      <c r="CB999">
        <f>IF(SUMIFS(T_PlannedOrders[EffectiveQty],T_PlannedOrders[Part Name],$A973,T_PlannedOrders[WeekIndex],77)=0,"",SUMIFS(T_PlannedOrders[EffectiveQty],T_PlannedOrders[Part Name],$A973,T_PlannedOrders[WeekIndex],77)&amp;" ("&amp;TEXT(SUMPRODUCT(MAX((T_PlannedOrders[Part Name]=$A973)*(T_PlannedOrders[WeekIndex]=77)*(T_PlannedOrders[EffectiveQty]&gt;0)*T_PlannedOrders[Order_Month])),"m月")&amp;"発注)")</f>
        <v/>
      </c>
      <c r="CC999">
        <f>IF(SUMIFS(T_PlannedOrders[EffectiveQty],T_PlannedOrders[Part Name],$A973,T_PlannedOrders[WeekIndex],78)=0,"",SUMIFS(T_PlannedOrders[EffectiveQty],T_PlannedOrders[Part Name],$A973,T_PlannedOrders[WeekIndex],78)&amp;" ("&amp;TEXT(SUMPRODUCT(MAX((T_PlannedOrders[Part Name]=$A973)*(T_PlannedOrders[WeekIndex]=78)*(T_PlannedOrders[EffectiveQty]&gt;0)*T_PlannedOrders[Order_Month])),"m月")&amp;"発注)")</f>
        <v/>
      </c>
      <c r="CD999">
        <f>IF(SUMIFS(T_PlannedOrders[EffectiveQty],T_PlannedOrders[Part Name],$A973,T_PlannedOrders[WeekIndex],79)=0,"",SUMIFS(T_PlannedOrders[EffectiveQty],T_PlannedOrders[Part Name],$A973,T_PlannedOrders[WeekIndex],79)&amp;" ("&amp;TEXT(SUMPRODUCT(MAX((T_PlannedOrders[Part Name]=$A973)*(T_PlannedOrders[WeekIndex]=79)*(T_PlannedOrders[EffectiveQty]&gt;0)*T_PlannedOrders[Order_Month])),"m月")&amp;"発注)")</f>
        <v/>
      </c>
      <c r="CE999">
        <f>IF(SUMIFS(T_PlannedOrders[EffectiveQty],T_PlannedOrders[Part Name],$A973,T_PlannedOrders[WeekIndex],80)=0,"",SUMIFS(T_PlannedOrders[EffectiveQty],T_PlannedOrders[Part Name],$A973,T_PlannedOrders[WeekIndex],80)&amp;" ("&amp;TEXT(SUMPRODUCT(MAX((T_PlannedOrders[Part Name]=$A973)*(T_PlannedOrders[WeekIndex]=80)*(T_PlannedOrders[EffectiveQty]&gt;0)*T_PlannedOrders[Order_Month])),"m月")&amp;"発注)")</f>
        <v/>
      </c>
      <c r="CF999">
        <f>IF(SUMIFS(T_PlannedOrders[EffectiveQty],T_PlannedOrders[Part Name],$A973,T_PlannedOrders[WeekIndex],81)=0,"",SUMIFS(T_PlannedOrders[EffectiveQty],T_PlannedOrders[Part Name],$A973,T_PlannedOrders[WeekIndex],81)&amp;" ("&amp;TEXT(SUMPRODUCT(MAX((T_PlannedOrders[Part Name]=$A973)*(T_PlannedOrders[WeekIndex]=81)*(T_PlannedOrders[EffectiveQty]&gt;0)*T_PlannedOrders[Order_Month])),"m月")&amp;"発注)")</f>
        <v/>
      </c>
      <c r="CG999">
        <f>IF(SUMIFS(T_PlannedOrders[EffectiveQty],T_PlannedOrders[Part Name],$A973,T_PlannedOrders[WeekIndex],82)=0,"",SUMIFS(T_PlannedOrders[EffectiveQty],T_PlannedOrders[Part Name],$A973,T_PlannedOrders[WeekIndex],82)&amp;" ("&amp;TEXT(SUMPRODUCT(MAX((T_PlannedOrders[Part Name]=$A973)*(T_PlannedOrders[WeekIndex]=82)*(T_PlannedOrders[EffectiveQty]&gt;0)*T_PlannedOrders[Order_Month])),"m月")&amp;"発注)")</f>
        <v/>
      </c>
      <c r="CH999">
        <f>IF(SUMIFS(T_PlannedOrders[EffectiveQty],T_PlannedOrders[Part Name],$A973,T_PlannedOrders[WeekIndex],83)=0,"",SUMIFS(T_PlannedOrders[EffectiveQty],T_PlannedOrders[Part Name],$A973,T_PlannedOrders[WeekIndex],83)&amp;" ("&amp;TEXT(SUMPRODUCT(MAX((T_PlannedOrders[Part Name]=$A973)*(T_PlannedOrders[WeekIndex]=83)*(T_PlannedOrders[EffectiveQty]&gt;0)*T_PlannedOrders[Order_Month])),"m月")&amp;"発注)")</f>
        <v/>
      </c>
      <c r="CI999">
        <f>IF(SUMIFS(T_PlannedOrders[EffectiveQty],T_PlannedOrders[Part Name],$A973,T_PlannedOrders[WeekIndex],84)=0,"",SUMIFS(T_PlannedOrders[EffectiveQty],T_PlannedOrders[Part Name],$A973,T_PlannedOrders[WeekIndex],84)&amp;" ("&amp;TEXT(SUMPRODUCT(MAX((T_PlannedOrders[Part Name]=$A973)*(T_PlannedOrders[WeekIndex]=84)*(T_PlannedOrders[EffectiveQty]&gt;0)*T_PlannedOrders[Order_Month])),"m月")&amp;"発注)")</f>
        <v/>
      </c>
      <c r="CJ999">
        <f>IF(SUMIFS(T_PlannedOrders[EffectiveQty],T_PlannedOrders[Part Name],$A973,T_PlannedOrders[WeekIndex],85)=0,"",SUMIFS(T_PlannedOrders[EffectiveQty],T_PlannedOrders[Part Name],$A973,T_PlannedOrders[WeekIndex],85)&amp;" ("&amp;TEXT(SUMPRODUCT(MAX((T_PlannedOrders[Part Name]=$A973)*(T_PlannedOrders[WeekIndex]=85)*(T_PlannedOrders[EffectiveQty]&gt;0)*T_PlannedOrders[Order_Month])),"m月")&amp;"発注)")</f>
        <v/>
      </c>
      <c r="CK999">
        <f>IF(SUMIFS(T_PlannedOrders[EffectiveQty],T_PlannedOrders[Part Name],$A973,T_PlannedOrders[WeekIndex],86)=0,"",SUMIFS(T_PlannedOrders[EffectiveQty],T_PlannedOrders[Part Name],$A973,T_PlannedOrders[WeekIndex],86)&amp;" ("&amp;TEXT(SUMPRODUCT(MAX((T_PlannedOrders[Part Name]=$A973)*(T_PlannedOrders[WeekIndex]=86)*(T_PlannedOrders[EffectiveQty]&gt;0)*T_PlannedOrders[Order_Month])),"m月")&amp;"発注)")</f>
        <v/>
      </c>
      <c r="CL999">
        <f>IF(SUMIFS(T_PlannedOrders[EffectiveQty],T_PlannedOrders[Part Name],$A973,T_PlannedOrders[WeekIndex],87)=0,"",SUMIFS(T_PlannedOrders[EffectiveQty],T_PlannedOrders[Part Name],$A973,T_PlannedOrders[WeekIndex],87)&amp;" ("&amp;TEXT(SUMPRODUCT(MAX((T_PlannedOrders[Part Name]=$A973)*(T_PlannedOrders[WeekIndex]=87)*(T_PlannedOrders[EffectiveQty]&gt;0)*T_PlannedOrders[Order_Month])),"m月")&amp;"発注)")</f>
        <v/>
      </c>
      <c r="CM999">
        <f>IF(SUMIFS(T_PlannedOrders[EffectiveQty],T_PlannedOrders[Part Name],$A973,T_PlannedOrders[WeekIndex],88)=0,"",SUMIFS(T_PlannedOrders[EffectiveQty],T_PlannedOrders[Part Name],$A973,T_PlannedOrders[WeekIndex],88)&amp;" ("&amp;TEXT(SUMPRODUCT(MAX((T_PlannedOrders[Part Name]=$A973)*(T_PlannedOrders[WeekIndex]=88)*(T_PlannedOrders[EffectiveQty]&gt;0)*T_PlannedOrders[Order_Month])),"m月")&amp;"発注)")</f>
        <v/>
      </c>
      <c r="CN999">
        <f>IF(SUMIFS(T_PlannedOrders[EffectiveQty],T_PlannedOrders[Part Name],$A973,T_PlannedOrders[WeekIndex],89)=0,"",SUMIFS(T_PlannedOrders[EffectiveQty],T_PlannedOrders[Part Name],$A973,T_PlannedOrders[WeekIndex],89)&amp;" ("&amp;TEXT(SUMPRODUCT(MAX((T_PlannedOrders[Part Name]=$A973)*(T_PlannedOrders[WeekIndex]=89)*(T_PlannedOrders[EffectiveQty]&gt;0)*T_PlannedOrders[Order_Month])),"m月")&amp;"発注)")</f>
        <v/>
      </c>
      <c r="CO999">
        <f>IF(SUMIFS(T_PlannedOrders[EffectiveQty],T_PlannedOrders[Part Name],$A973,T_PlannedOrders[WeekIndex],90)=0,"",SUMIFS(T_PlannedOrders[EffectiveQty],T_PlannedOrders[Part Name],$A973,T_PlannedOrders[WeekIndex],90)&amp;" ("&amp;TEXT(SUMPRODUCT(MAX((T_PlannedOrders[Part Name]=$A973)*(T_PlannedOrders[WeekIndex]=90)*(T_PlannedOrders[EffectiveQty]&gt;0)*T_PlannedOrders[Order_Month])),"m月")&amp;"発注)")</f>
        <v/>
      </c>
      <c r="CP999">
        <f>IF(SUMIFS(T_PlannedOrders[EffectiveQty],T_PlannedOrders[Part Name],$A973,T_PlannedOrders[WeekIndex],91)=0,"",SUMIFS(T_PlannedOrders[EffectiveQty],T_PlannedOrders[Part Name],$A973,T_PlannedOrders[WeekIndex],91)&amp;" ("&amp;TEXT(SUMPRODUCT(MAX((T_PlannedOrders[Part Name]=$A973)*(T_PlannedOrders[WeekIndex]=91)*(T_PlannedOrders[EffectiveQty]&gt;0)*T_PlannedOrders[Order_Month])),"m月")&amp;"発注)")</f>
        <v/>
      </c>
      <c r="CQ999">
        <f>IF(SUMIFS(T_PlannedOrders[EffectiveQty],T_PlannedOrders[Part Name],$A973,T_PlannedOrders[WeekIndex],92)=0,"",SUMIFS(T_PlannedOrders[EffectiveQty],T_PlannedOrders[Part Name],$A973,T_PlannedOrders[WeekIndex],92)&amp;" ("&amp;TEXT(SUMPRODUCT(MAX((T_PlannedOrders[Part Name]=$A973)*(T_PlannedOrders[WeekIndex]=92)*(T_PlannedOrders[EffectiveQty]&gt;0)*T_PlannedOrders[Order_Month])),"m月")&amp;"発注)")</f>
        <v/>
      </c>
      <c r="CR999">
        <f>IF(SUMIFS(T_PlannedOrders[EffectiveQty],T_PlannedOrders[Part Name],$A973,T_PlannedOrders[WeekIndex],93)=0,"",SUMIFS(T_PlannedOrders[EffectiveQty],T_PlannedOrders[Part Name],$A973,T_PlannedOrders[WeekIndex],93)&amp;" ("&amp;TEXT(SUMPRODUCT(MAX((T_PlannedOrders[Part Name]=$A973)*(T_PlannedOrders[WeekIndex]=93)*(T_PlannedOrders[EffectiveQty]&gt;0)*T_PlannedOrders[Order_Month])),"m月")&amp;"発注)")</f>
        <v/>
      </c>
      <c r="CS999">
        <f>IF(SUMIFS(T_PlannedOrders[EffectiveQty],T_PlannedOrders[Part Name],$A973,T_PlannedOrders[WeekIndex],94)=0,"",SUMIFS(T_PlannedOrders[EffectiveQty],T_PlannedOrders[Part Name],$A973,T_PlannedOrders[WeekIndex],94)&amp;" ("&amp;TEXT(SUMPRODUCT(MAX((T_PlannedOrders[Part Name]=$A973)*(T_PlannedOrders[WeekIndex]=94)*(T_PlannedOrders[EffectiveQty]&gt;0)*T_PlannedOrders[Order_Month])),"m月")&amp;"発注)")</f>
        <v/>
      </c>
      <c r="CT999">
        <f>IF(SUMIFS(T_PlannedOrders[EffectiveQty],T_PlannedOrders[Part Name],$A973,T_PlannedOrders[WeekIndex],95)=0,"",SUMIFS(T_PlannedOrders[EffectiveQty],T_PlannedOrders[Part Name],$A973,T_PlannedOrders[WeekIndex],95)&amp;" ("&amp;TEXT(SUMPRODUCT(MAX((T_PlannedOrders[Part Name]=$A973)*(T_PlannedOrders[WeekIndex]=95)*(T_PlannedOrders[EffectiveQty]&gt;0)*T_PlannedOrders[Order_Month])),"m月")&amp;"発注)")</f>
        <v/>
      </c>
      <c r="CU999">
        <f>IF(SUMIFS(T_PlannedOrders[EffectiveQty],T_PlannedOrders[Part Name],$A973,T_PlannedOrders[WeekIndex],96)=0,"",SUMIFS(T_PlannedOrders[EffectiveQty],T_PlannedOrders[Part Name],$A973,T_PlannedOrders[WeekIndex],96)&amp;" ("&amp;TEXT(SUMPRODUCT(MAX((T_PlannedOrders[Part Name]=$A973)*(T_PlannedOrders[WeekIndex]=96)*(T_PlannedOrders[EffectiveQty]&gt;0)*T_PlannedOrders[Order_Month])),"m月")&amp;"発注)")</f>
        <v/>
      </c>
      <c r="CV999">
        <f>IF(SUMIFS(T_PlannedOrders[EffectiveQty],T_PlannedOrders[Part Name],$A973,T_PlannedOrders[WeekIndex],97)=0,"",SUMIFS(T_PlannedOrders[EffectiveQty],T_PlannedOrders[Part Name],$A973,T_PlannedOrders[WeekIndex],97)&amp;" ("&amp;TEXT(SUMPRODUCT(MAX((T_PlannedOrders[Part Name]=$A973)*(T_PlannedOrders[WeekIndex]=97)*(T_PlannedOrders[EffectiveQty]&gt;0)*T_PlannedOrders[Order_Month])),"m月")&amp;"発注)")</f>
        <v/>
      </c>
      <c r="CW999">
        <f>IF(SUMIFS(T_PlannedOrders[EffectiveQty],T_PlannedOrders[Part Name],$A973,T_PlannedOrders[WeekIndex],98)=0,"",SUMIFS(T_PlannedOrders[EffectiveQty],T_PlannedOrders[Part Name],$A973,T_PlannedOrders[WeekIndex],98)&amp;" ("&amp;TEXT(SUMPRODUCT(MAX((T_PlannedOrders[Part Name]=$A973)*(T_PlannedOrders[WeekIndex]=98)*(T_PlannedOrders[EffectiveQty]&gt;0)*T_PlannedOrders[Order_Month])),"m月")&amp;"発注)")</f>
        <v/>
      </c>
      <c r="CX999">
        <f>IF(SUMIFS(T_PlannedOrders[EffectiveQty],T_PlannedOrders[Part Name],$A973,T_PlannedOrders[WeekIndex],99)=0,"",SUMIFS(T_PlannedOrders[EffectiveQty],T_PlannedOrders[Part Name],$A973,T_PlannedOrders[WeekIndex],99)&amp;" ("&amp;TEXT(SUMPRODUCT(MAX((T_PlannedOrders[Part Name]=$A973)*(T_PlannedOrders[WeekIndex]=99)*(T_PlannedOrders[EffectiveQty]&gt;0)*T_PlannedOrders[Order_Month])),"m月")&amp;"発注)")</f>
        <v/>
      </c>
      <c r="CY999">
        <f>IF(SUMIFS(T_PlannedOrders[EffectiveQty],T_PlannedOrders[Part Name],$A973,T_PlannedOrders[WeekIndex],100)=0,"",SUMIFS(T_PlannedOrders[EffectiveQty],T_PlannedOrders[Part Name],$A973,T_PlannedOrders[WeekIndex],100)&amp;" ("&amp;TEXT(SUMPRODUCT(MAX((T_PlannedOrders[Part Name]=$A973)*(T_PlannedOrders[WeekIndex]=100)*(T_PlannedOrders[EffectiveQty]&gt;0)*T_PlannedOrders[Order_Month])),"m月")&amp;"発注)")</f>
        <v/>
      </c>
      <c r="CZ999">
        <f>IF(SUMIFS(T_PlannedOrders[EffectiveQty],T_PlannedOrders[Part Name],$A973,T_PlannedOrders[WeekIndex],101)=0,"",SUMIFS(T_PlannedOrders[EffectiveQty],T_PlannedOrders[Part Name],$A973,T_PlannedOrders[WeekIndex],101)&amp;" ("&amp;TEXT(SUMPRODUCT(MAX((T_PlannedOrders[Part Name]=$A973)*(T_PlannedOrders[WeekIndex]=101)*(T_PlannedOrders[EffectiveQty]&gt;0)*T_PlannedOrders[Order_Month])),"m月")&amp;"発注)")</f>
        <v/>
      </c>
      <c r="DA999">
        <f>IF(SUMIFS(T_PlannedOrders[EffectiveQty],T_PlannedOrders[Part Name],$A973,T_PlannedOrders[WeekIndex],102)=0,"",SUMIFS(T_PlannedOrders[EffectiveQty],T_PlannedOrders[Part Name],$A973,T_PlannedOrders[WeekIndex],102)&amp;" ("&amp;TEXT(SUMPRODUCT(MAX((T_PlannedOrders[Part Name]=$A973)*(T_PlannedOrders[WeekIndex]=102)*(T_PlannedOrders[EffectiveQty]&gt;0)*T_PlannedOrders[Order_Month])),"m月")&amp;"発注)")</f>
        <v/>
      </c>
      <c r="DB999">
        <f>IF(SUMIFS(T_PlannedOrders[EffectiveQty],T_PlannedOrders[Part Name],$A973,T_PlannedOrders[WeekIndex],103)=0,"",SUMIFS(T_PlannedOrders[EffectiveQty],T_PlannedOrders[Part Name],$A973,T_PlannedOrders[WeekIndex],103)&amp;" ("&amp;TEXT(SUMPRODUCT(MAX((T_PlannedOrders[Part Name]=$A973)*(T_PlannedOrders[WeekIndex]=103)*(T_PlannedOrders[EffectiveQty]&gt;0)*T_PlannedOrders[Order_Month])),"m月")&amp;"発注)")</f>
        <v/>
      </c>
      <c r="DC999">
        <f>IF(SUMIFS(T_PlannedOrders[EffectiveQty],T_PlannedOrders[Part Name],$A973,T_PlannedOrders[WeekIndex],104)=0,"",SUMIFS(T_PlannedOrders[EffectiveQty],T_PlannedOrders[Part Name],$A973,T_PlannedOrders[WeekIndex],104)&amp;" ("&amp;TEXT(SUMPRODUCT(MAX((T_PlannedOrders[Part Name]=$A973)*(T_PlannedOrders[WeekIndex]=104)*(T_PlannedOrders[EffectiveQty]&gt;0)*T_PlannedOrders[Order_Month])),"m月")&amp;"発注)")</f>
        <v/>
      </c>
    </row>
    <row r="1000">
      <c r="B1000" s="9" t="inlineStr">
        <is>
          <t>合計在庫(週末時点,kg)</t>
        </is>
      </c>
      <c r="D1000">
        <f>'Grid_Stock'!B27</f>
        <v/>
      </c>
      <c r="E1000">
        <f>'Grid_Stock'!C27</f>
        <v/>
      </c>
      <c r="F1000">
        <f>'Grid_Stock'!D27</f>
        <v/>
      </c>
      <c r="G1000">
        <f>'Grid_Stock'!E27</f>
        <v/>
      </c>
      <c r="H1000">
        <f>'Grid_Stock'!F27</f>
        <v/>
      </c>
      <c r="I1000">
        <f>'Grid_Stock'!G27</f>
        <v/>
      </c>
      <c r="J1000">
        <f>'Grid_Stock'!H27</f>
        <v/>
      </c>
      <c r="K1000">
        <f>'Grid_Stock'!I27</f>
        <v/>
      </c>
      <c r="L1000">
        <f>'Grid_Stock'!J27</f>
        <v/>
      </c>
      <c r="M1000">
        <f>'Grid_Stock'!K27</f>
        <v/>
      </c>
      <c r="N1000">
        <f>'Grid_Stock'!L27</f>
        <v/>
      </c>
      <c r="O1000">
        <f>'Grid_Stock'!M27</f>
        <v/>
      </c>
      <c r="P1000">
        <f>'Grid_Stock'!N27</f>
        <v/>
      </c>
      <c r="Q1000">
        <f>'Grid_Stock'!O27</f>
        <v/>
      </c>
      <c r="R1000">
        <f>'Grid_Stock'!P27</f>
        <v/>
      </c>
      <c r="S1000">
        <f>'Grid_Stock'!Q27</f>
        <v/>
      </c>
      <c r="T1000">
        <f>'Grid_Stock'!R27</f>
        <v/>
      </c>
      <c r="U1000">
        <f>'Grid_Stock'!S27</f>
        <v/>
      </c>
      <c r="V1000">
        <f>'Grid_Stock'!T27</f>
        <v/>
      </c>
      <c r="W1000">
        <f>'Grid_Stock'!U27</f>
        <v/>
      </c>
      <c r="X1000">
        <f>'Grid_Stock'!V27</f>
        <v/>
      </c>
      <c r="Y1000">
        <f>'Grid_Stock'!W27</f>
        <v/>
      </c>
      <c r="Z1000">
        <f>'Grid_Stock'!X27</f>
        <v/>
      </c>
      <c r="AA1000">
        <f>'Grid_Stock'!Y27</f>
        <v/>
      </c>
      <c r="AB1000">
        <f>'Grid_Stock'!Z27</f>
        <v/>
      </c>
      <c r="AC1000">
        <f>'Grid_Stock'!AA27</f>
        <v/>
      </c>
      <c r="AD1000">
        <f>'Grid_Stock'!AB27</f>
        <v/>
      </c>
      <c r="AE1000">
        <f>'Grid_Stock'!AC27</f>
        <v/>
      </c>
      <c r="AF1000">
        <f>'Grid_Stock'!AD27</f>
        <v/>
      </c>
      <c r="AG1000">
        <f>'Grid_Stock'!AE27</f>
        <v/>
      </c>
      <c r="AH1000">
        <f>'Grid_Stock'!AF27</f>
        <v/>
      </c>
      <c r="AI1000">
        <f>'Grid_Stock'!AG27</f>
        <v/>
      </c>
      <c r="AJ1000">
        <f>'Grid_Stock'!AH27</f>
        <v/>
      </c>
      <c r="AK1000">
        <f>'Grid_Stock'!AI27</f>
        <v/>
      </c>
      <c r="AL1000">
        <f>'Grid_Stock'!AJ27</f>
        <v/>
      </c>
      <c r="AM1000">
        <f>'Grid_Stock'!AK27</f>
        <v/>
      </c>
      <c r="AN1000">
        <f>'Grid_Stock'!AL27</f>
        <v/>
      </c>
      <c r="AO1000">
        <f>'Grid_Stock'!AM27</f>
        <v/>
      </c>
      <c r="AP1000">
        <f>'Grid_Stock'!AN27</f>
        <v/>
      </c>
      <c r="AQ1000">
        <f>'Grid_Stock'!AO27</f>
        <v/>
      </c>
      <c r="AR1000">
        <f>'Grid_Stock'!AP27</f>
        <v/>
      </c>
      <c r="AS1000">
        <f>'Grid_Stock'!AQ27</f>
        <v/>
      </c>
      <c r="AT1000">
        <f>'Grid_Stock'!AR27</f>
        <v/>
      </c>
      <c r="AU1000">
        <f>'Grid_Stock'!AS27</f>
        <v/>
      </c>
      <c r="AV1000">
        <f>'Grid_Stock'!AT27</f>
        <v/>
      </c>
      <c r="AW1000">
        <f>'Grid_Stock'!AU27</f>
        <v/>
      </c>
      <c r="AX1000">
        <f>'Grid_Stock'!AV27</f>
        <v/>
      </c>
      <c r="AY1000">
        <f>'Grid_Stock'!AW27</f>
        <v/>
      </c>
      <c r="AZ1000">
        <f>'Grid_Stock'!AX27</f>
        <v/>
      </c>
      <c r="BA1000">
        <f>'Grid_Stock'!AY27</f>
        <v/>
      </c>
      <c r="BB1000">
        <f>'Grid_Stock'!AZ27</f>
        <v/>
      </c>
      <c r="BC1000">
        <f>'Grid_Stock'!BA27</f>
        <v/>
      </c>
      <c r="BD1000">
        <f>'Grid_Stock'!BB27</f>
        <v/>
      </c>
      <c r="BE1000">
        <f>'Grid_Stock'!BC27</f>
        <v/>
      </c>
      <c r="BF1000">
        <f>'Grid_Stock'!BD27</f>
        <v/>
      </c>
      <c r="BG1000">
        <f>'Grid_Stock'!BE27</f>
        <v/>
      </c>
      <c r="BH1000">
        <f>'Grid_Stock'!BF27</f>
        <v/>
      </c>
      <c r="BI1000">
        <f>'Grid_Stock'!BG27</f>
        <v/>
      </c>
      <c r="BJ1000">
        <f>'Grid_Stock'!BH27</f>
        <v/>
      </c>
      <c r="BK1000">
        <f>'Grid_Stock'!BI27</f>
        <v/>
      </c>
      <c r="BL1000">
        <f>'Grid_Stock'!BJ27</f>
        <v/>
      </c>
      <c r="BM1000">
        <f>'Grid_Stock'!BK27</f>
        <v/>
      </c>
      <c r="BN1000">
        <f>'Grid_Stock'!BL27</f>
        <v/>
      </c>
      <c r="BO1000">
        <f>'Grid_Stock'!BM27</f>
        <v/>
      </c>
      <c r="BP1000">
        <f>'Grid_Stock'!BN27</f>
        <v/>
      </c>
      <c r="BQ1000">
        <f>'Grid_Stock'!BO27</f>
        <v/>
      </c>
      <c r="BR1000">
        <f>'Grid_Stock'!BP27</f>
        <v/>
      </c>
      <c r="BS1000">
        <f>'Grid_Stock'!BQ27</f>
        <v/>
      </c>
      <c r="BT1000">
        <f>'Grid_Stock'!BR27</f>
        <v/>
      </c>
      <c r="BU1000">
        <f>'Grid_Stock'!BS27</f>
        <v/>
      </c>
      <c r="BV1000">
        <f>'Grid_Stock'!BT27</f>
        <v/>
      </c>
      <c r="BW1000">
        <f>'Grid_Stock'!BU27</f>
        <v/>
      </c>
      <c r="BX1000">
        <f>'Grid_Stock'!BV27</f>
        <v/>
      </c>
      <c r="BY1000">
        <f>'Grid_Stock'!BW27</f>
        <v/>
      </c>
      <c r="BZ1000">
        <f>'Grid_Stock'!BX27</f>
        <v/>
      </c>
      <c r="CA1000">
        <f>'Grid_Stock'!BY27</f>
        <v/>
      </c>
      <c r="CB1000">
        <f>'Grid_Stock'!BZ27</f>
        <v/>
      </c>
      <c r="CC1000">
        <f>'Grid_Stock'!CA27</f>
        <v/>
      </c>
      <c r="CD1000">
        <f>'Grid_Stock'!CB27</f>
        <v/>
      </c>
      <c r="CE1000">
        <f>'Grid_Stock'!CC27</f>
        <v/>
      </c>
      <c r="CF1000">
        <f>'Grid_Stock'!CD27</f>
        <v/>
      </c>
      <c r="CG1000">
        <f>'Grid_Stock'!CE27</f>
        <v/>
      </c>
      <c r="CH1000">
        <f>'Grid_Stock'!CF27</f>
        <v/>
      </c>
      <c r="CI1000">
        <f>'Grid_Stock'!CG27</f>
        <v/>
      </c>
      <c r="CJ1000">
        <f>'Grid_Stock'!CH27</f>
        <v/>
      </c>
      <c r="CK1000">
        <f>'Grid_Stock'!CI27</f>
        <v/>
      </c>
      <c r="CL1000">
        <f>'Grid_Stock'!CJ27</f>
        <v/>
      </c>
      <c r="CM1000">
        <f>'Grid_Stock'!CK27</f>
        <v/>
      </c>
      <c r="CN1000">
        <f>'Grid_Stock'!CL27</f>
        <v/>
      </c>
      <c r="CO1000">
        <f>'Grid_Stock'!CM27</f>
        <v/>
      </c>
      <c r="CP1000">
        <f>'Grid_Stock'!CN27</f>
        <v/>
      </c>
      <c r="CQ1000">
        <f>'Grid_Stock'!CO27</f>
        <v/>
      </c>
      <c r="CR1000">
        <f>'Grid_Stock'!CP27</f>
        <v/>
      </c>
      <c r="CS1000">
        <f>'Grid_Stock'!CQ27</f>
        <v/>
      </c>
      <c r="CT1000">
        <f>'Grid_Stock'!CR27</f>
        <v/>
      </c>
      <c r="CU1000">
        <f>'Grid_Stock'!CS27</f>
        <v/>
      </c>
      <c r="CV1000">
        <f>'Grid_Stock'!CT27</f>
        <v/>
      </c>
      <c r="CW1000">
        <f>'Grid_Stock'!CU27</f>
        <v/>
      </c>
      <c r="CX1000">
        <f>'Grid_Stock'!CV27</f>
        <v/>
      </c>
      <c r="CY1000">
        <f>'Grid_Stock'!CW27</f>
        <v/>
      </c>
      <c r="CZ1000">
        <f>'Grid_Stock'!CX27</f>
        <v/>
      </c>
      <c r="DA1000">
        <f>'Grid_Stock'!CY27</f>
        <v/>
      </c>
      <c r="DB1000">
        <f>'Grid_Stock'!CZ27</f>
        <v/>
      </c>
      <c r="DC1000">
        <f>'Grid_Stock'!DA27</f>
        <v/>
      </c>
    </row>
    <row r="1001">
      <c r="B1001" s="21" t="inlineStr">
        <is>
          <t>（発注の目安はDashboardの基準在庫[下限/上限]と色分けを参照）</t>
        </is>
      </c>
    </row>
    <row r="1003">
      <c r="A1003" s="19" t="inlineStr">
        <is>
          <t>CHEM-1730</t>
        </is>
      </c>
      <c r="B1003" s="19" t="inlineStr">
        <is>
          <t>NAT-41</t>
        </is>
      </c>
      <c r="C1003" s="20" t="n"/>
      <c r="D1003" s="19" t="n"/>
      <c r="E1003" s="19" t="n"/>
      <c r="F1003" s="19" t="n"/>
      <c r="G1003" s="19" t="n"/>
      <c r="H1003" s="19" t="n"/>
      <c r="I1003" s="19" t="n"/>
      <c r="J1003" s="19" t="n"/>
      <c r="K1003" s="19" t="n"/>
      <c r="L1003" s="19" t="n"/>
      <c r="M1003" s="19" t="n"/>
      <c r="N1003" s="19" t="n"/>
      <c r="O1003" s="19" t="n"/>
      <c r="P1003" s="19" t="n"/>
      <c r="Q1003" s="19" t="n"/>
      <c r="R1003" s="19" t="n"/>
      <c r="S1003" s="19" t="n"/>
      <c r="T1003" s="19" t="n"/>
      <c r="U1003" s="19" t="n"/>
      <c r="V1003" s="19" t="n"/>
      <c r="W1003" s="19" t="n"/>
      <c r="X1003" s="19" t="n"/>
      <c r="Y1003" s="19" t="n"/>
      <c r="Z1003" s="19" t="n"/>
      <c r="AA1003" s="19" t="n"/>
      <c r="AB1003" s="19" t="n"/>
      <c r="AC1003" s="19" t="n"/>
      <c r="AD1003" s="19" t="n"/>
      <c r="AE1003" s="19" t="n"/>
      <c r="AF1003" s="19" t="n"/>
      <c r="AG1003" s="19" t="n"/>
      <c r="AH1003" s="19" t="n"/>
      <c r="AI1003" s="19" t="n"/>
      <c r="AJ1003" s="19" t="n"/>
      <c r="AK1003" s="19" t="n"/>
      <c r="AL1003" s="19" t="n"/>
      <c r="AM1003" s="19" t="n"/>
      <c r="AN1003" s="19" t="n"/>
      <c r="AO1003" s="19" t="n"/>
      <c r="AP1003" s="19" t="n"/>
      <c r="AQ1003" s="19" t="n"/>
      <c r="AR1003" s="19" t="n"/>
      <c r="AS1003" s="19" t="n"/>
      <c r="AT1003" s="19" t="n"/>
      <c r="AU1003" s="19" t="n"/>
      <c r="AV1003" s="19" t="n"/>
      <c r="AW1003" s="19" t="n"/>
      <c r="AX1003" s="19" t="n"/>
      <c r="AY1003" s="19" t="n"/>
      <c r="AZ1003" s="19" t="n"/>
      <c r="BA1003" s="19" t="n"/>
      <c r="BB1003" s="19" t="n"/>
      <c r="BC1003" s="19" t="n"/>
      <c r="BD1003" s="19" t="n"/>
      <c r="BE1003" s="19" t="n"/>
      <c r="BF1003" s="19" t="n"/>
      <c r="BG1003" s="19" t="n"/>
      <c r="BH1003" s="19" t="n"/>
      <c r="BI1003" s="19" t="n"/>
      <c r="BJ1003" s="19" t="n"/>
      <c r="BK1003" s="19" t="n"/>
      <c r="BL1003" s="19" t="n"/>
      <c r="BM1003" s="19" t="n"/>
      <c r="BN1003" s="19" t="n"/>
      <c r="BO1003" s="19" t="n"/>
      <c r="BP1003" s="19" t="n"/>
      <c r="BQ1003" s="19" t="n"/>
      <c r="BR1003" s="19" t="n"/>
      <c r="BS1003" s="19" t="n"/>
      <c r="BT1003" s="19" t="n"/>
      <c r="BU1003" s="19" t="n"/>
      <c r="BV1003" s="19" t="n"/>
      <c r="BW1003" s="19" t="n"/>
      <c r="BX1003" s="19" t="n"/>
      <c r="BY1003" s="19" t="n"/>
      <c r="BZ1003" s="19" t="n"/>
      <c r="CA1003" s="19" t="n"/>
      <c r="CB1003" s="19" t="n"/>
      <c r="CC1003" s="19" t="n"/>
      <c r="CD1003" s="19" t="n"/>
      <c r="CE1003" s="19" t="n"/>
      <c r="CF1003" s="19" t="n"/>
      <c r="CG1003" s="19" t="n"/>
      <c r="CH1003" s="19" t="n"/>
      <c r="CI1003" s="19" t="n"/>
      <c r="CJ1003" s="19" t="n"/>
      <c r="CK1003" s="19" t="n"/>
      <c r="CL1003" s="19" t="n"/>
      <c r="CM1003" s="19" t="n"/>
      <c r="CN1003" s="19" t="n"/>
      <c r="CO1003" s="19" t="n"/>
      <c r="CP1003" s="19" t="n"/>
      <c r="CQ1003" s="19" t="n"/>
      <c r="CR1003" s="19" t="n"/>
      <c r="CS1003" s="19" t="n"/>
      <c r="CT1003" s="19" t="n"/>
      <c r="CU1003" s="19" t="n"/>
      <c r="CV1003" s="19" t="n"/>
      <c r="CW1003" s="19" t="n"/>
      <c r="CX1003" s="19" t="n"/>
      <c r="CY1003" s="19" t="n"/>
      <c r="CZ1003" s="19" t="n"/>
      <c r="DA1003" s="19" t="n"/>
      <c r="DB1003" s="19" t="n"/>
      <c r="DC1003" s="19" t="n"/>
    </row>
    <row r="1004">
      <c r="B1004" t="inlineStr">
        <is>
          <t>TPP-911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12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Name],$A1003)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TPP-912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12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Name],$A1003)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No of times used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12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Name],$A1003)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s="9" t="inlineStr">
        <is>
          <t>合計使用量(kg)/週</t>
        </is>
      </c>
      <c r="D1010">
        <f>'Grid_Requirement'!B31</f>
        <v/>
      </c>
      <c r="E1010">
        <f>'Grid_Requirement'!C31</f>
        <v/>
      </c>
      <c r="F1010">
        <f>'Grid_Requirement'!D31</f>
        <v/>
      </c>
      <c r="G1010">
        <f>'Grid_Requirement'!E31</f>
        <v/>
      </c>
      <c r="H1010">
        <f>'Grid_Requirement'!F31</f>
        <v/>
      </c>
      <c r="I1010">
        <f>'Grid_Requirement'!G31</f>
        <v/>
      </c>
      <c r="J1010">
        <f>'Grid_Requirement'!H31</f>
        <v/>
      </c>
      <c r="K1010">
        <f>'Grid_Requirement'!I31</f>
        <v/>
      </c>
      <c r="L1010">
        <f>'Grid_Requirement'!J31</f>
        <v/>
      </c>
      <c r="M1010">
        <f>'Grid_Requirement'!K31</f>
        <v/>
      </c>
      <c r="N1010">
        <f>'Grid_Requirement'!L31</f>
        <v/>
      </c>
      <c r="O1010">
        <f>'Grid_Requirement'!M31</f>
        <v/>
      </c>
      <c r="P1010">
        <f>'Grid_Requirement'!N31</f>
        <v/>
      </c>
      <c r="Q1010">
        <f>'Grid_Requirement'!O31</f>
        <v/>
      </c>
      <c r="R1010">
        <f>'Grid_Requirement'!P31</f>
        <v/>
      </c>
      <c r="S1010">
        <f>'Grid_Requirement'!Q31</f>
        <v/>
      </c>
      <c r="T1010">
        <f>'Grid_Requirement'!R31</f>
        <v/>
      </c>
      <c r="U1010">
        <f>'Grid_Requirement'!S31</f>
        <v/>
      </c>
      <c r="V1010">
        <f>'Grid_Requirement'!T31</f>
        <v/>
      </c>
      <c r="W1010">
        <f>'Grid_Requirement'!U31</f>
        <v/>
      </c>
      <c r="X1010">
        <f>'Grid_Requirement'!V31</f>
        <v/>
      </c>
      <c r="Y1010">
        <f>'Grid_Requirement'!W31</f>
        <v/>
      </c>
      <c r="Z1010">
        <f>'Grid_Requirement'!X31</f>
        <v/>
      </c>
      <c r="AA1010">
        <f>'Grid_Requirement'!Y31</f>
        <v/>
      </c>
      <c r="AB1010">
        <f>'Grid_Requirement'!Z31</f>
        <v/>
      </c>
      <c r="AC1010">
        <f>'Grid_Requirement'!AA31</f>
        <v/>
      </c>
      <c r="AD1010">
        <f>'Grid_Requirement'!AB31</f>
        <v/>
      </c>
      <c r="AE1010">
        <f>'Grid_Requirement'!AC31</f>
        <v/>
      </c>
      <c r="AF1010">
        <f>'Grid_Requirement'!AD31</f>
        <v/>
      </c>
      <c r="AG1010">
        <f>'Grid_Requirement'!AE31</f>
        <v/>
      </c>
      <c r="AH1010">
        <f>'Grid_Requirement'!AF31</f>
        <v/>
      </c>
      <c r="AI1010">
        <f>'Grid_Requirement'!AG31</f>
        <v/>
      </c>
      <c r="AJ1010">
        <f>'Grid_Requirement'!AH31</f>
        <v/>
      </c>
      <c r="AK1010">
        <f>'Grid_Requirement'!AI31</f>
        <v/>
      </c>
      <c r="AL1010">
        <f>'Grid_Requirement'!AJ31</f>
        <v/>
      </c>
      <c r="AM1010">
        <f>'Grid_Requirement'!AK31</f>
        <v/>
      </c>
      <c r="AN1010">
        <f>'Grid_Requirement'!AL31</f>
        <v/>
      </c>
      <c r="AO1010">
        <f>'Grid_Requirement'!AM31</f>
        <v/>
      </c>
      <c r="AP1010">
        <f>'Grid_Requirement'!AN31</f>
        <v/>
      </c>
      <c r="AQ1010">
        <f>'Grid_Requirement'!AO31</f>
        <v/>
      </c>
      <c r="AR1010">
        <f>'Grid_Requirement'!AP31</f>
        <v/>
      </c>
      <c r="AS1010">
        <f>'Grid_Requirement'!AQ31</f>
        <v/>
      </c>
      <c r="AT1010">
        <f>'Grid_Requirement'!AR31</f>
        <v/>
      </c>
      <c r="AU1010">
        <f>'Grid_Requirement'!AS31</f>
        <v/>
      </c>
      <c r="AV1010">
        <f>'Grid_Requirement'!AT31</f>
        <v/>
      </c>
      <c r="AW1010">
        <f>'Grid_Requirement'!AU31</f>
        <v/>
      </c>
      <c r="AX1010">
        <f>'Grid_Requirement'!AV31</f>
        <v/>
      </c>
      <c r="AY1010">
        <f>'Grid_Requirement'!AW31</f>
        <v/>
      </c>
      <c r="AZ1010">
        <f>'Grid_Requirement'!AX31</f>
        <v/>
      </c>
      <c r="BA1010">
        <f>'Grid_Requirement'!AY31</f>
        <v/>
      </c>
      <c r="BB1010">
        <f>'Grid_Requirement'!AZ31</f>
        <v/>
      </c>
      <c r="BC1010">
        <f>'Grid_Requirement'!BA31</f>
        <v/>
      </c>
      <c r="BD1010">
        <f>'Grid_Requirement'!BB31</f>
        <v/>
      </c>
      <c r="BE1010">
        <f>'Grid_Requirement'!BC31</f>
        <v/>
      </c>
      <c r="BF1010">
        <f>'Grid_Requirement'!BD31</f>
        <v/>
      </c>
      <c r="BG1010">
        <f>'Grid_Requirement'!BE31</f>
        <v/>
      </c>
      <c r="BH1010">
        <f>'Grid_Requirement'!BF31</f>
        <v/>
      </c>
      <c r="BI1010">
        <f>'Grid_Requirement'!BG31</f>
        <v/>
      </c>
      <c r="BJ1010">
        <f>'Grid_Requirement'!BH31</f>
        <v/>
      </c>
      <c r="BK1010">
        <f>'Grid_Requirement'!BI31</f>
        <v/>
      </c>
      <c r="BL1010">
        <f>'Grid_Requirement'!BJ31</f>
        <v/>
      </c>
      <c r="BM1010">
        <f>'Grid_Requirement'!BK31</f>
        <v/>
      </c>
      <c r="BN1010">
        <f>'Grid_Requirement'!BL31</f>
        <v/>
      </c>
      <c r="BO1010">
        <f>'Grid_Requirement'!BM31</f>
        <v/>
      </c>
      <c r="BP1010">
        <f>'Grid_Requirement'!BN31</f>
        <v/>
      </c>
      <c r="BQ1010">
        <f>'Grid_Requirement'!BO31</f>
        <v/>
      </c>
      <c r="BR1010">
        <f>'Grid_Requirement'!BP31</f>
        <v/>
      </c>
      <c r="BS1010">
        <f>'Grid_Requirement'!BQ31</f>
        <v/>
      </c>
      <c r="BT1010">
        <f>'Grid_Requirement'!BR31</f>
        <v/>
      </c>
      <c r="BU1010">
        <f>'Grid_Requirement'!BS31</f>
        <v/>
      </c>
      <c r="BV1010">
        <f>'Grid_Requirement'!BT31</f>
        <v/>
      </c>
      <c r="BW1010">
        <f>'Grid_Requirement'!BU31</f>
        <v/>
      </c>
      <c r="BX1010">
        <f>'Grid_Requirement'!BV31</f>
        <v/>
      </c>
      <c r="BY1010">
        <f>'Grid_Requirement'!BW31</f>
        <v/>
      </c>
      <c r="BZ1010">
        <f>'Grid_Requirement'!BX31</f>
        <v/>
      </c>
      <c r="CA1010">
        <f>'Grid_Requirement'!BY31</f>
        <v/>
      </c>
      <c r="CB1010">
        <f>'Grid_Requirement'!BZ31</f>
        <v/>
      </c>
      <c r="CC1010">
        <f>'Grid_Requirement'!CA31</f>
        <v/>
      </c>
      <c r="CD1010">
        <f>'Grid_Requirement'!CB31</f>
        <v/>
      </c>
      <c r="CE1010">
        <f>'Grid_Requirement'!CC31</f>
        <v/>
      </c>
      <c r="CF1010">
        <f>'Grid_Requirement'!CD31</f>
        <v/>
      </c>
      <c r="CG1010">
        <f>'Grid_Requirement'!CE31</f>
        <v/>
      </c>
      <c r="CH1010">
        <f>'Grid_Requirement'!CF31</f>
        <v/>
      </c>
      <c r="CI1010">
        <f>'Grid_Requirement'!CG31</f>
        <v/>
      </c>
      <c r="CJ1010">
        <f>'Grid_Requirement'!CH31</f>
        <v/>
      </c>
      <c r="CK1010">
        <f>'Grid_Requirement'!CI31</f>
        <v/>
      </c>
      <c r="CL1010">
        <f>'Grid_Requirement'!CJ31</f>
        <v/>
      </c>
      <c r="CM1010">
        <f>'Grid_Requirement'!CK31</f>
        <v/>
      </c>
      <c r="CN1010">
        <f>'Grid_Requirement'!CL31</f>
        <v/>
      </c>
      <c r="CO1010">
        <f>'Grid_Requirement'!CM31</f>
        <v/>
      </c>
      <c r="CP1010">
        <f>'Grid_Requirement'!CN31</f>
        <v/>
      </c>
      <c r="CQ1010">
        <f>'Grid_Requirement'!CO31</f>
        <v/>
      </c>
      <c r="CR1010">
        <f>'Grid_Requirement'!CP31</f>
        <v/>
      </c>
      <c r="CS1010">
        <f>'Grid_Requirement'!CQ31</f>
        <v/>
      </c>
      <c r="CT1010">
        <f>'Grid_Requirement'!CR31</f>
        <v/>
      </c>
      <c r="CU1010">
        <f>'Grid_Requirement'!CS31</f>
        <v/>
      </c>
      <c r="CV1010">
        <f>'Grid_Requirement'!CT31</f>
        <v/>
      </c>
      <c r="CW1010">
        <f>'Grid_Requirement'!CU31</f>
        <v/>
      </c>
      <c r="CX1010">
        <f>'Grid_Requirement'!CV31</f>
        <v/>
      </c>
      <c r="CY1010">
        <f>'Grid_Requirement'!CW31</f>
        <v/>
      </c>
      <c r="CZ1010">
        <f>'Grid_Requirement'!CX31</f>
        <v/>
      </c>
      <c r="DA1010">
        <f>'Grid_Requirement'!CY31</f>
        <v/>
      </c>
      <c r="DB1010">
        <f>'Grid_Requirement'!CZ31</f>
        <v/>
      </c>
      <c r="DC1010">
        <f>'Grid_Requirement'!DA31</f>
        <v/>
      </c>
    </row>
    <row r="1011">
      <c r="B1011" t="inlineStr">
        <is>
          <t>TTAF在庫(実績,kg)</t>
        </is>
      </c>
      <c r="D1011">
        <f>'T_TTAFStock'!B35</f>
        <v/>
      </c>
      <c r="E1011">
        <f>'T_TTAFStock'!C35</f>
        <v/>
      </c>
      <c r="F1011">
        <f>'T_TTAFStock'!D35</f>
        <v/>
      </c>
      <c r="G1011">
        <f>'T_TTAFStock'!E35</f>
        <v/>
      </c>
      <c r="H1011">
        <f>'T_TTAFStock'!F35</f>
        <v/>
      </c>
      <c r="I1011">
        <f>'T_TTAFStock'!G35</f>
        <v/>
      </c>
      <c r="J1011">
        <f>'T_TTAFStock'!H35</f>
        <v/>
      </c>
      <c r="K1011">
        <f>'T_TTAFStock'!I35</f>
        <v/>
      </c>
      <c r="L1011">
        <f>'T_TTAFStock'!J35</f>
        <v/>
      </c>
      <c r="M1011">
        <f>'T_TTAFStock'!K35</f>
        <v/>
      </c>
      <c r="N1011">
        <f>'T_TTAFStock'!L35</f>
        <v/>
      </c>
      <c r="O1011">
        <f>'T_TTAFStock'!M35</f>
        <v/>
      </c>
      <c r="P1011">
        <f>'T_TTAFStock'!N35</f>
        <v/>
      </c>
      <c r="Q1011">
        <f>'T_TTAFStock'!O35</f>
        <v/>
      </c>
      <c r="R1011">
        <f>'T_TTAFStock'!P35</f>
        <v/>
      </c>
      <c r="S1011">
        <f>'T_TTAFStock'!Q35</f>
        <v/>
      </c>
      <c r="T1011">
        <f>'T_TTAFStock'!R35</f>
        <v/>
      </c>
      <c r="U1011">
        <f>'T_TTAFStock'!S35</f>
        <v/>
      </c>
      <c r="V1011">
        <f>'T_TTAFStock'!T35</f>
        <v/>
      </c>
      <c r="W1011">
        <f>'T_TTAFStock'!U35</f>
        <v/>
      </c>
      <c r="X1011">
        <f>'T_TTAFStock'!V35</f>
        <v/>
      </c>
      <c r="Y1011">
        <f>'T_TTAFStock'!W35</f>
        <v/>
      </c>
      <c r="Z1011">
        <f>'T_TTAFStock'!X35</f>
        <v/>
      </c>
      <c r="AA1011">
        <f>'T_TTAFStock'!Y35</f>
        <v/>
      </c>
      <c r="AB1011">
        <f>'T_TTAFStock'!Z35</f>
        <v/>
      </c>
      <c r="AC1011">
        <f>'T_TTAFStock'!AA35</f>
        <v/>
      </c>
      <c r="AD1011">
        <f>'T_TTAFStock'!AB35</f>
        <v/>
      </c>
      <c r="AE1011">
        <f>'T_TTAFStock'!AC35</f>
        <v/>
      </c>
      <c r="AF1011">
        <f>'T_TTAFStock'!AD35</f>
        <v/>
      </c>
      <c r="AG1011">
        <f>'T_TTAFStock'!AE35</f>
        <v/>
      </c>
      <c r="AH1011">
        <f>'T_TTAFStock'!AF35</f>
        <v/>
      </c>
      <c r="AI1011">
        <f>'T_TTAFStock'!AG35</f>
        <v/>
      </c>
      <c r="AJ1011">
        <f>'T_TTAFStock'!AH35</f>
        <v/>
      </c>
      <c r="AK1011">
        <f>'T_TTAFStock'!AI35</f>
        <v/>
      </c>
      <c r="AL1011">
        <f>'T_TTAFStock'!AJ35</f>
        <v/>
      </c>
      <c r="AM1011">
        <f>'T_TTAFStock'!AK35</f>
        <v/>
      </c>
      <c r="AN1011">
        <f>'T_TTAFStock'!AL35</f>
        <v/>
      </c>
      <c r="AO1011">
        <f>'T_TTAFStock'!AM35</f>
        <v/>
      </c>
      <c r="AP1011">
        <f>'T_TTAFStock'!AN35</f>
        <v/>
      </c>
      <c r="AQ1011">
        <f>'T_TTAFStock'!AO35</f>
        <v/>
      </c>
      <c r="AR1011">
        <f>'T_TTAFStock'!AP35</f>
        <v/>
      </c>
      <c r="AS1011">
        <f>'T_TTAFStock'!AQ35</f>
        <v/>
      </c>
      <c r="AT1011">
        <f>'T_TTAFStock'!AR35</f>
        <v/>
      </c>
      <c r="AU1011">
        <f>'T_TTAFStock'!AS35</f>
        <v/>
      </c>
      <c r="AV1011">
        <f>'T_TTAFStock'!AT35</f>
        <v/>
      </c>
      <c r="AW1011">
        <f>'T_TTAFStock'!AU35</f>
        <v/>
      </c>
      <c r="AX1011">
        <f>'T_TTAFStock'!AV35</f>
        <v/>
      </c>
      <c r="AY1011">
        <f>'T_TTAFStock'!AW35</f>
        <v/>
      </c>
      <c r="AZ1011">
        <f>'T_TTAFStock'!AX35</f>
        <v/>
      </c>
      <c r="BA1011">
        <f>'T_TTAFStock'!AY35</f>
        <v/>
      </c>
      <c r="BB1011">
        <f>'T_TTAFStock'!AZ35</f>
        <v/>
      </c>
      <c r="BC1011">
        <f>'T_TTAFStock'!BA35</f>
        <v/>
      </c>
      <c r="BD1011">
        <f>'T_TTAFStock'!BB35</f>
        <v/>
      </c>
      <c r="BE1011">
        <f>'T_TTAFStock'!BC35</f>
        <v/>
      </c>
      <c r="BF1011">
        <f>'T_TTAFStock'!BD35</f>
        <v/>
      </c>
      <c r="BG1011">
        <f>'T_TTAFStock'!BE35</f>
        <v/>
      </c>
      <c r="BH1011">
        <f>'T_TTAFStock'!BF35</f>
        <v/>
      </c>
      <c r="BI1011">
        <f>'T_TTAFStock'!BG35</f>
        <v/>
      </c>
      <c r="BJ1011">
        <f>'T_TTAFStock'!BH35</f>
        <v/>
      </c>
      <c r="BK1011">
        <f>'T_TTAFStock'!BI35</f>
        <v/>
      </c>
      <c r="BL1011">
        <f>'T_TTAFStock'!BJ35</f>
        <v/>
      </c>
      <c r="BM1011">
        <f>'T_TTAFStock'!BK35</f>
        <v/>
      </c>
      <c r="BN1011">
        <f>'T_TTAFStock'!BL35</f>
        <v/>
      </c>
      <c r="BO1011">
        <f>'T_TTAFStock'!BM35</f>
        <v/>
      </c>
      <c r="BP1011">
        <f>'T_TTAFStock'!BN35</f>
        <v/>
      </c>
      <c r="BQ1011">
        <f>'T_TTAFStock'!BO35</f>
        <v/>
      </c>
      <c r="BR1011">
        <f>'T_TTAFStock'!BP35</f>
        <v/>
      </c>
      <c r="BS1011">
        <f>'T_TTAFStock'!BQ35</f>
        <v/>
      </c>
      <c r="BT1011">
        <f>'T_TTAFStock'!BR35</f>
        <v/>
      </c>
      <c r="BU1011">
        <f>'T_TTAFStock'!BS35</f>
        <v/>
      </c>
      <c r="BV1011">
        <f>'T_TTAFStock'!BT35</f>
        <v/>
      </c>
      <c r="BW1011">
        <f>'T_TTAFStock'!BU35</f>
        <v/>
      </c>
      <c r="BX1011">
        <f>'T_TTAFStock'!BV35</f>
        <v/>
      </c>
      <c r="BY1011">
        <f>'T_TTAFStock'!BW35</f>
        <v/>
      </c>
      <c r="BZ1011">
        <f>'T_TTAFStock'!BX35</f>
        <v/>
      </c>
      <c r="CA1011">
        <f>'T_TTAFStock'!BY35</f>
        <v/>
      </c>
      <c r="CB1011">
        <f>'T_TTAFStock'!BZ35</f>
        <v/>
      </c>
      <c r="CC1011">
        <f>'T_TTAFStock'!CA35</f>
        <v/>
      </c>
      <c r="CD1011">
        <f>'T_TTAFStock'!CB35</f>
        <v/>
      </c>
      <c r="CE1011">
        <f>'T_TTAFStock'!CC35</f>
        <v/>
      </c>
      <c r="CF1011">
        <f>'T_TTAFStock'!CD35</f>
        <v/>
      </c>
      <c r="CG1011">
        <f>'T_TTAFStock'!CE35</f>
        <v/>
      </c>
      <c r="CH1011">
        <f>'T_TTAFStock'!CF35</f>
        <v/>
      </c>
      <c r="CI1011">
        <f>'T_TTAFStock'!CG35</f>
        <v/>
      </c>
      <c r="CJ1011">
        <f>'T_TTAFStock'!CH35</f>
        <v/>
      </c>
      <c r="CK1011">
        <f>'T_TTAFStock'!CI35</f>
        <v/>
      </c>
      <c r="CL1011">
        <f>'T_TTAFStock'!CJ35</f>
        <v/>
      </c>
      <c r="CM1011">
        <f>'T_TTAFStock'!CK35</f>
        <v/>
      </c>
      <c r="CN1011">
        <f>'T_TTAFStock'!CL35</f>
        <v/>
      </c>
      <c r="CO1011">
        <f>'T_TTAFStock'!CM35</f>
        <v/>
      </c>
      <c r="CP1011">
        <f>'T_TTAFStock'!CN35</f>
        <v/>
      </c>
      <c r="CQ1011">
        <f>'T_TTAFStock'!CO35</f>
        <v/>
      </c>
      <c r="CR1011">
        <f>'T_TTAFStock'!CP35</f>
        <v/>
      </c>
      <c r="CS1011">
        <f>'T_TTAFStock'!CQ35</f>
        <v/>
      </c>
      <c r="CT1011">
        <f>'T_TTAFStock'!CR35</f>
        <v/>
      </c>
      <c r="CU1011">
        <f>'T_TTAFStock'!CS35</f>
        <v/>
      </c>
      <c r="CV1011">
        <f>'T_TTAFStock'!CT35</f>
        <v/>
      </c>
      <c r="CW1011">
        <f>'T_TTAFStock'!CU35</f>
        <v/>
      </c>
      <c r="CX1011">
        <f>'T_TTAFStock'!CV35</f>
        <v/>
      </c>
      <c r="CY1011">
        <f>'T_TTAFStock'!CW35</f>
        <v/>
      </c>
      <c r="CZ1011">
        <f>'T_TTAFStock'!CX35</f>
        <v/>
      </c>
      <c r="DA1011">
        <f>'T_TTAFStock'!CY35</f>
        <v/>
      </c>
      <c r="DB1011">
        <f>'T_TTAFStock'!CZ35</f>
        <v/>
      </c>
      <c r="DC1011">
        <f>'T_TTAFStock'!DA35</f>
        <v/>
      </c>
    </row>
    <row r="1012">
      <c r="B1012" t="inlineStr">
        <is>
          <t>自社在庫(実績,kg)</t>
        </is>
      </c>
      <c r="D1012">
        <f>'T_SelfStock'!B35</f>
        <v/>
      </c>
      <c r="E1012">
        <f>'T_SelfStock'!C35</f>
        <v/>
      </c>
      <c r="F1012">
        <f>'T_SelfStock'!D35</f>
        <v/>
      </c>
      <c r="G1012">
        <f>'T_SelfStock'!E35</f>
        <v/>
      </c>
      <c r="H1012">
        <f>'T_SelfStock'!F35</f>
        <v/>
      </c>
      <c r="I1012">
        <f>'T_SelfStock'!G35</f>
        <v/>
      </c>
      <c r="J1012">
        <f>'T_SelfStock'!H35</f>
        <v/>
      </c>
      <c r="K1012">
        <f>'T_SelfStock'!I35</f>
        <v/>
      </c>
      <c r="L1012">
        <f>'T_SelfStock'!J35</f>
        <v/>
      </c>
      <c r="M1012">
        <f>'T_SelfStock'!K35</f>
        <v/>
      </c>
      <c r="N1012">
        <f>'T_SelfStock'!L35</f>
        <v/>
      </c>
      <c r="O1012">
        <f>'T_SelfStock'!M35</f>
        <v/>
      </c>
      <c r="P1012">
        <f>'T_SelfStock'!N35</f>
        <v/>
      </c>
      <c r="Q1012">
        <f>'T_SelfStock'!O35</f>
        <v/>
      </c>
      <c r="R1012">
        <f>'T_SelfStock'!P35</f>
        <v/>
      </c>
      <c r="S1012">
        <f>'T_SelfStock'!Q35</f>
        <v/>
      </c>
      <c r="T1012">
        <f>'T_SelfStock'!R35</f>
        <v/>
      </c>
      <c r="U1012">
        <f>'T_SelfStock'!S35</f>
        <v/>
      </c>
      <c r="V1012">
        <f>'T_SelfStock'!T35</f>
        <v/>
      </c>
      <c r="W1012">
        <f>'T_SelfStock'!U35</f>
        <v/>
      </c>
      <c r="X1012">
        <f>'T_SelfStock'!V35</f>
        <v/>
      </c>
      <c r="Y1012">
        <f>'T_SelfStock'!W35</f>
        <v/>
      </c>
      <c r="Z1012">
        <f>'T_SelfStock'!X35</f>
        <v/>
      </c>
      <c r="AA1012">
        <f>'T_SelfStock'!Y35</f>
        <v/>
      </c>
      <c r="AB1012">
        <f>'T_SelfStock'!Z35</f>
        <v/>
      </c>
      <c r="AC1012">
        <f>'T_SelfStock'!AA35</f>
        <v/>
      </c>
      <c r="AD1012">
        <f>'T_SelfStock'!AB35</f>
        <v/>
      </c>
      <c r="AE1012">
        <f>'T_SelfStock'!AC35</f>
        <v/>
      </c>
      <c r="AF1012">
        <f>'T_SelfStock'!AD35</f>
        <v/>
      </c>
      <c r="AG1012">
        <f>'T_SelfStock'!AE35</f>
        <v/>
      </c>
      <c r="AH1012">
        <f>'T_SelfStock'!AF35</f>
        <v/>
      </c>
      <c r="AI1012">
        <f>'T_SelfStock'!AG35</f>
        <v/>
      </c>
      <c r="AJ1012">
        <f>'T_SelfStock'!AH35</f>
        <v/>
      </c>
      <c r="AK1012">
        <f>'T_SelfStock'!AI35</f>
        <v/>
      </c>
      <c r="AL1012">
        <f>'T_SelfStock'!AJ35</f>
        <v/>
      </c>
      <c r="AM1012">
        <f>'T_SelfStock'!AK35</f>
        <v/>
      </c>
      <c r="AN1012">
        <f>'T_SelfStock'!AL35</f>
        <v/>
      </c>
      <c r="AO1012">
        <f>'T_SelfStock'!AM35</f>
        <v/>
      </c>
      <c r="AP1012">
        <f>'T_SelfStock'!AN35</f>
        <v/>
      </c>
      <c r="AQ1012">
        <f>'T_SelfStock'!AO35</f>
        <v/>
      </c>
      <c r="AR1012">
        <f>'T_SelfStock'!AP35</f>
        <v/>
      </c>
      <c r="AS1012">
        <f>'T_SelfStock'!AQ35</f>
        <v/>
      </c>
      <c r="AT1012">
        <f>'T_SelfStock'!AR35</f>
        <v/>
      </c>
      <c r="AU1012">
        <f>'T_SelfStock'!AS35</f>
        <v/>
      </c>
      <c r="AV1012">
        <f>'T_SelfStock'!AT35</f>
        <v/>
      </c>
      <c r="AW1012">
        <f>'T_SelfStock'!AU35</f>
        <v/>
      </c>
      <c r="AX1012">
        <f>'T_SelfStock'!AV35</f>
        <v/>
      </c>
      <c r="AY1012">
        <f>'T_SelfStock'!AW35</f>
        <v/>
      </c>
      <c r="AZ1012">
        <f>'T_SelfStock'!AX35</f>
        <v/>
      </c>
      <c r="BA1012">
        <f>'T_SelfStock'!AY35</f>
        <v/>
      </c>
      <c r="BB1012">
        <f>'T_SelfStock'!AZ35</f>
        <v/>
      </c>
      <c r="BC1012">
        <f>'T_SelfStock'!BA35</f>
        <v/>
      </c>
      <c r="BD1012">
        <f>'T_SelfStock'!BB35</f>
        <v/>
      </c>
      <c r="BE1012">
        <f>'T_SelfStock'!BC35</f>
        <v/>
      </c>
      <c r="BF1012">
        <f>'T_SelfStock'!BD35</f>
        <v/>
      </c>
      <c r="BG1012">
        <f>'T_SelfStock'!BE35</f>
        <v/>
      </c>
      <c r="BH1012">
        <f>'T_SelfStock'!BF35</f>
        <v/>
      </c>
      <c r="BI1012">
        <f>'T_SelfStock'!BG35</f>
        <v/>
      </c>
      <c r="BJ1012">
        <f>'T_SelfStock'!BH35</f>
        <v/>
      </c>
      <c r="BK1012">
        <f>'T_SelfStock'!BI35</f>
        <v/>
      </c>
      <c r="BL1012">
        <f>'T_SelfStock'!BJ35</f>
        <v/>
      </c>
      <c r="BM1012">
        <f>'T_SelfStock'!BK35</f>
        <v/>
      </c>
      <c r="BN1012">
        <f>'T_SelfStock'!BL35</f>
        <v/>
      </c>
      <c r="BO1012">
        <f>'T_SelfStock'!BM35</f>
        <v/>
      </c>
      <c r="BP1012">
        <f>'T_SelfStock'!BN35</f>
        <v/>
      </c>
      <c r="BQ1012">
        <f>'T_SelfStock'!BO35</f>
        <v/>
      </c>
      <c r="BR1012">
        <f>'T_SelfStock'!BP35</f>
        <v/>
      </c>
      <c r="BS1012">
        <f>'T_SelfStock'!BQ35</f>
        <v/>
      </c>
      <c r="BT1012">
        <f>'T_SelfStock'!BR35</f>
        <v/>
      </c>
      <c r="BU1012">
        <f>'T_SelfStock'!BS35</f>
        <v/>
      </c>
      <c r="BV1012">
        <f>'T_SelfStock'!BT35</f>
        <v/>
      </c>
      <c r="BW1012">
        <f>'T_SelfStock'!BU35</f>
        <v/>
      </c>
      <c r="BX1012">
        <f>'T_SelfStock'!BV35</f>
        <v/>
      </c>
      <c r="BY1012">
        <f>'T_SelfStock'!BW35</f>
        <v/>
      </c>
      <c r="BZ1012">
        <f>'T_SelfStock'!BX35</f>
        <v/>
      </c>
      <c r="CA1012">
        <f>'T_SelfStock'!BY35</f>
        <v/>
      </c>
      <c r="CB1012">
        <f>'T_SelfStock'!BZ35</f>
        <v/>
      </c>
      <c r="CC1012">
        <f>'T_SelfStock'!CA35</f>
        <v/>
      </c>
      <c r="CD1012">
        <f>'T_SelfStock'!CB35</f>
        <v/>
      </c>
      <c r="CE1012">
        <f>'T_SelfStock'!CC35</f>
        <v/>
      </c>
      <c r="CF1012">
        <f>'T_SelfStock'!CD35</f>
        <v/>
      </c>
      <c r="CG1012">
        <f>'T_SelfStock'!CE35</f>
        <v/>
      </c>
      <c r="CH1012">
        <f>'T_SelfStock'!CF35</f>
        <v/>
      </c>
      <c r="CI1012">
        <f>'T_SelfStock'!CG35</f>
        <v/>
      </c>
      <c r="CJ1012">
        <f>'T_SelfStock'!CH35</f>
        <v/>
      </c>
      <c r="CK1012">
        <f>'T_SelfStock'!CI35</f>
        <v/>
      </c>
      <c r="CL1012">
        <f>'T_SelfStock'!CJ35</f>
        <v/>
      </c>
      <c r="CM1012">
        <f>'T_SelfStock'!CK35</f>
        <v/>
      </c>
      <c r="CN1012">
        <f>'T_SelfStock'!CL35</f>
        <v/>
      </c>
      <c r="CO1012">
        <f>'T_SelfStock'!CM35</f>
        <v/>
      </c>
      <c r="CP1012">
        <f>'T_SelfStock'!CN35</f>
        <v/>
      </c>
      <c r="CQ1012">
        <f>'T_SelfStock'!CO35</f>
        <v/>
      </c>
      <c r="CR1012">
        <f>'T_SelfStock'!CP35</f>
        <v/>
      </c>
      <c r="CS1012">
        <f>'T_SelfStock'!CQ35</f>
        <v/>
      </c>
      <c r="CT1012">
        <f>'T_SelfStock'!CR35</f>
        <v/>
      </c>
      <c r="CU1012">
        <f>'T_SelfStock'!CS35</f>
        <v/>
      </c>
      <c r="CV1012">
        <f>'T_SelfStock'!CT35</f>
        <v/>
      </c>
      <c r="CW1012">
        <f>'T_SelfStock'!CU35</f>
        <v/>
      </c>
      <c r="CX1012">
        <f>'T_SelfStock'!CV35</f>
        <v/>
      </c>
      <c r="CY1012">
        <f>'T_SelfStock'!CW35</f>
        <v/>
      </c>
      <c r="CZ1012">
        <f>'T_SelfStock'!CX35</f>
        <v/>
      </c>
      <c r="DA1012">
        <f>'T_SelfStock'!CY35</f>
        <v/>
      </c>
      <c r="DB1012">
        <f>'T_SelfStock'!CZ35</f>
        <v/>
      </c>
      <c r="DC1012">
        <f>'T_SelfStock'!DA35</f>
        <v/>
      </c>
    </row>
    <row r="1013">
      <c r="B1013" t="inlineStr">
        <is>
          <t>Order(発注予定,kg)</t>
        </is>
      </c>
      <c r="D1013">
        <f>IF(SUMIFS(T_PlannedOrders[EffectiveQty],T_PlannedOrders[Part Name],$A1003,T_PlannedOrders[WeekIndex],1)=0,"",SUMIFS(T_PlannedOrders[EffectiveQty],T_PlannedOrders[Part Name],$A1003,T_PlannedOrders[WeekIndex],1)&amp;" ("&amp;TEXT(SUMPRODUCT(MAX((T_PlannedOrders[Part Name]=$A1003)*(T_PlannedOrders[WeekIndex]=1)*(T_PlannedOrders[EffectiveQty]&gt;0)*T_PlannedOrders[Order_Month])),"m月")&amp;"発注)")</f>
        <v/>
      </c>
      <c r="E1013">
        <f>IF(SUMIFS(T_PlannedOrders[EffectiveQty],T_PlannedOrders[Part Name],$A1003,T_PlannedOrders[WeekIndex],2)=0,"",SUMIFS(T_PlannedOrders[EffectiveQty],T_PlannedOrders[Part Name],$A1003,T_PlannedOrders[WeekIndex],2)&amp;" ("&amp;TEXT(SUMPRODUCT(MAX((T_PlannedOrders[Part Name]=$A1003)*(T_PlannedOrders[WeekIndex]=2)*(T_PlannedOrders[EffectiveQty]&gt;0)*T_PlannedOrders[Order_Month])),"m月")&amp;"発注)")</f>
        <v/>
      </c>
      <c r="F1013">
        <f>IF(SUMIFS(T_PlannedOrders[EffectiveQty],T_PlannedOrders[Part Name],$A1003,T_PlannedOrders[WeekIndex],3)=0,"",SUMIFS(T_PlannedOrders[EffectiveQty],T_PlannedOrders[Part Name],$A1003,T_PlannedOrders[WeekIndex],3)&amp;" ("&amp;TEXT(SUMPRODUCT(MAX((T_PlannedOrders[Part Name]=$A1003)*(T_PlannedOrders[WeekIndex]=3)*(T_PlannedOrders[EffectiveQty]&gt;0)*T_PlannedOrders[Order_Month])),"m月")&amp;"発注)")</f>
        <v/>
      </c>
      <c r="G1013">
        <f>IF(SUMIFS(T_PlannedOrders[EffectiveQty],T_PlannedOrders[Part Name],$A1003,T_PlannedOrders[WeekIndex],4)=0,"",SUMIFS(T_PlannedOrders[EffectiveQty],T_PlannedOrders[Part Name],$A1003,T_PlannedOrders[WeekIndex],4)&amp;" ("&amp;TEXT(SUMPRODUCT(MAX((T_PlannedOrders[Part Name]=$A1003)*(T_PlannedOrders[WeekIndex]=4)*(T_PlannedOrders[EffectiveQty]&gt;0)*T_PlannedOrders[Order_Month])),"m月")&amp;"発注)")</f>
        <v/>
      </c>
      <c r="H1013">
        <f>IF(SUMIFS(T_PlannedOrders[EffectiveQty],T_PlannedOrders[Part Name],$A1003,T_PlannedOrders[WeekIndex],5)=0,"",SUMIFS(T_PlannedOrders[EffectiveQty],T_PlannedOrders[Part Name],$A1003,T_PlannedOrders[WeekIndex],5)&amp;" ("&amp;TEXT(SUMPRODUCT(MAX((T_PlannedOrders[Part Name]=$A1003)*(T_PlannedOrders[WeekIndex]=5)*(T_PlannedOrders[EffectiveQty]&gt;0)*T_PlannedOrders[Order_Month])),"m月")&amp;"発注)")</f>
        <v/>
      </c>
      <c r="I1013">
        <f>IF(SUMIFS(T_PlannedOrders[EffectiveQty],T_PlannedOrders[Part Name],$A1003,T_PlannedOrders[WeekIndex],6)=0,"",SUMIFS(T_PlannedOrders[EffectiveQty],T_PlannedOrders[Part Name],$A1003,T_PlannedOrders[WeekIndex],6)&amp;" ("&amp;TEXT(SUMPRODUCT(MAX((T_PlannedOrders[Part Name]=$A1003)*(T_PlannedOrders[WeekIndex]=6)*(T_PlannedOrders[EffectiveQty]&gt;0)*T_PlannedOrders[Order_Month])),"m月")&amp;"発注)")</f>
        <v/>
      </c>
      <c r="J1013">
        <f>IF(SUMIFS(T_PlannedOrders[EffectiveQty],T_PlannedOrders[Part Name],$A1003,T_PlannedOrders[WeekIndex],7)=0,"",SUMIFS(T_PlannedOrders[EffectiveQty],T_PlannedOrders[Part Name],$A1003,T_PlannedOrders[WeekIndex],7)&amp;" ("&amp;TEXT(SUMPRODUCT(MAX((T_PlannedOrders[Part Name]=$A1003)*(T_PlannedOrders[WeekIndex]=7)*(T_PlannedOrders[EffectiveQty]&gt;0)*T_PlannedOrders[Order_Month])),"m月")&amp;"発注)")</f>
        <v/>
      </c>
      <c r="K1013">
        <f>IF(SUMIFS(T_PlannedOrders[EffectiveQty],T_PlannedOrders[Part Name],$A1003,T_PlannedOrders[WeekIndex],8)=0,"",SUMIFS(T_PlannedOrders[EffectiveQty],T_PlannedOrders[Part Name],$A1003,T_PlannedOrders[WeekIndex],8)&amp;" ("&amp;TEXT(SUMPRODUCT(MAX((T_PlannedOrders[Part Name]=$A1003)*(T_PlannedOrders[WeekIndex]=8)*(T_PlannedOrders[EffectiveQty]&gt;0)*T_PlannedOrders[Order_Month])),"m月")&amp;"発注)")</f>
        <v/>
      </c>
      <c r="L1013">
        <f>IF(SUMIFS(T_PlannedOrders[EffectiveQty],T_PlannedOrders[Part Name],$A1003,T_PlannedOrders[WeekIndex],9)=0,"",SUMIFS(T_PlannedOrders[EffectiveQty],T_PlannedOrders[Part Name],$A1003,T_PlannedOrders[WeekIndex],9)&amp;" ("&amp;TEXT(SUMPRODUCT(MAX((T_PlannedOrders[Part Name]=$A1003)*(T_PlannedOrders[WeekIndex]=9)*(T_PlannedOrders[EffectiveQty]&gt;0)*T_PlannedOrders[Order_Month])),"m月")&amp;"発注)")</f>
        <v/>
      </c>
      <c r="M1013">
        <f>IF(SUMIFS(T_PlannedOrders[EffectiveQty],T_PlannedOrders[Part Name],$A1003,T_PlannedOrders[WeekIndex],10)=0,"",SUMIFS(T_PlannedOrders[EffectiveQty],T_PlannedOrders[Part Name],$A1003,T_PlannedOrders[WeekIndex],10)&amp;" ("&amp;TEXT(SUMPRODUCT(MAX((T_PlannedOrders[Part Name]=$A1003)*(T_PlannedOrders[WeekIndex]=10)*(T_PlannedOrders[EffectiveQty]&gt;0)*T_PlannedOrders[Order_Month])),"m月")&amp;"発注)")</f>
        <v/>
      </c>
      <c r="N1013">
        <f>IF(SUMIFS(T_PlannedOrders[EffectiveQty],T_PlannedOrders[Part Name],$A1003,T_PlannedOrders[WeekIndex],11)=0,"",SUMIFS(T_PlannedOrders[EffectiveQty],T_PlannedOrders[Part Name],$A1003,T_PlannedOrders[WeekIndex],11)&amp;" ("&amp;TEXT(SUMPRODUCT(MAX((T_PlannedOrders[Part Name]=$A1003)*(T_PlannedOrders[WeekIndex]=11)*(T_PlannedOrders[EffectiveQty]&gt;0)*T_PlannedOrders[Order_Month])),"m月")&amp;"発注)")</f>
        <v/>
      </c>
      <c r="O1013">
        <f>IF(SUMIFS(T_PlannedOrders[EffectiveQty],T_PlannedOrders[Part Name],$A1003,T_PlannedOrders[WeekIndex],12)=0,"",SUMIFS(T_PlannedOrders[EffectiveQty],T_PlannedOrders[Part Name],$A1003,T_PlannedOrders[WeekIndex],12)&amp;" ("&amp;TEXT(SUMPRODUCT(MAX((T_PlannedOrders[Part Name]=$A1003)*(T_PlannedOrders[WeekIndex]=12)*(T_PlannedOrders[EffectiveQty]&gt;0)*T_PlannedOrders[Order_Month])),"m月")&amp;"発注)")</f>
        <v/>
      </c>
      <c r="P1013">
        <f>IF(SUMIFS(T_PlannedOrders[EffectiveQty],T_PlannedOrders[Part Name],$A1003,T_PlannedOrders[WeekIndex],13)=0,"",SUMIFS(T_PlannedOrders[EffectiveQty],T_PlannedOrders[Part Name],$A1003,T_PlannedOrders[WeekIndex],13)&amp;" ("&amp;TEXT(SUMPRODUCT(MAX((T_PlannedOrders[Part Name]=$A1003)*(T_PlannedOrders[WeekIndex]=13)*(T_PlannedOrders[EffectiveQty]&gt;0)*T_PlannedOrders[Order_Month])),"m月")&amp;"発注)")</f>
        <v/>
      </c>
      <c r="Q1013">
        <f>IF(SUMIFS(T_PlannedOrders[EffectiveQty],T_PlannedOrders[Part Name],$A1003,T_PlannedOrders[WeekIndex],14)=0,"",SUMIFS(T_PlannedOrders[EffectiveQty],T_PlannedOrders[Part Name],$A1003,T_PlannedOrders[WeekIndex],14)&amp;" ("&amp;TEXT(SUMPRODUCT(MAX((T_PlannedOrders[Part Name]=$A1003)*(T_PlannedOrders[WeekIndex]=14)*(T_PlannedOrders[EffectiveQty]&gt;0)*T_PlannedOrders[Order_Month])),"m月")&amp;"発注)")</f>
        <v/>
      </c>
      <c r="R1013">
        <f>IF(SUMIFS(T_PlannedOrders[EffectiveQty],T_PlannedOrders[Part Name],$A1003,T_PlannedOrders[WeekIndex],15)=0,"",SUMIFS(T_PlannedOrders[EffectiveQty],T_PlannedOrders[Part Name],$A1003,T_PlannedOrders[WeekIndex],15)&amp;" ("&amp;TEXT(SUMPRODUCT(MAX((T_PlannedOrders[Part Name]=$A1003)*(T_PlannedOrders[WeekIndex]=15)*(T_PlannedOrders[EffectiveQty]&gt;0)*T_PlannedOrders[Order_Month])),"m月")&amp;"発注)")</f>
        <v/>
      </c>
      <c r="S1013">
        <f>IF(SUMIFS(T_PlannedOrders[EffectiveQty],T_PlannedOrders[Part Name],$A1003,T_PlannedOrders[WeekIndex],16)=0,"",SUMIFS(T_PlannedOrders[EffectiveQty],T_PlannedOrders[Part Name],$A1003,T_PlannedOrders[WeekIndex],16)&amp;" ("&amp;TEXT(SUMPRODUCT(MAX((T_PlannedOrders[Part Name]=$A1003)*(T_PlannedOrders[WeekIndex]=16)*(T_PlannedOrders[EffectiveQty]&gt;0)*T_PlannedOrders[Order_Month])),"m月")&amp;"発注)")</f>
        <v/>
      </c>
      <c r="T1013">
        <f>IF(SUMIFS(T_PlannedOrders[EffectiveQty],T_PlannedOrders[Part Name],$A1003,T_PlannedOrders[WeekIndex],17)=0,"",SUMIFS(T_PlannedOrders[EffectiveQty],T_PlannedOrders[Part Name],$A1003,T_PlannedOrders[WeekIndex],17)&amp;" ("&amp;TEXT(SUMPRODUCT(MAX((T_PlannedOrders[Part Name]=$A1003)*(T_PlannedOrders[WeekIndex]=17)*(T_PlannedOrders[EffectiveQty]&gt;0)*T_PlannedOrders[Order_Month])),"m月")&amp;"発注)")</f>
        <v/>
      </c>
      <c r="U1013">
        <f>IF(SUMIFS(T_PlannedOrders[EffectiveQty],T_PlannedOrders[Part Name],$A1003,T_PlannedOrders[WeekIndex],18)=0,"",SUMIFS(T_PlannedOrders[EffectiveQty],T_PlannedOrders[Part Name],$A1003,T_PlannedOrders[WeekIndex],18)&amp;" ("&amp;TEXT(SUMPRODUCT(MAX((T_PlannedOrders[Part Name]=$A1003)*(T_PlannedOrders[WeekIndex]=18)*(T_PlannedOrders[EffectiveQty]&gt;0)*T_PlannedOrders[Order_Month])),"m月")&amp;"発注)")</f>
        <v/>
      </c>
      <c r="V1013">
        <f>IF(SUMIFS(T_PlannedOrders[EffectiveQty],T_PlannedOrders[Part Name],$A1003,T_PlannedOrders[WeekIndex],19)=0,"",SUMIFS(T_PlannedOrders[EffectiveQty],T_PlannedOrders[Part Name],$A1003,T_PlannedOrders[WeekIndex],19)&amp;" ("&amp;TEXT(SUMPRODUCT(MAX((T_PlannedOrders[Part Name]=$A1003)*(T_PlannedOrders[WeekIndex]=19)*(T_PlannedOrders[EffectiveQty]&gt;0)*T_PlannedOrders[Order_Month])),"m月")&amp;"発注)")</f>
        <v/>
      </c>
      <c r="W1013">
        <f>IF(SUMIFS(T_PlannedOrders[EffectiveQty],T_PlannedOrders[Part Name],$A1003,T_PlannedOrders[WeekIndex],20)=0,"",SUMIFS(T_PlannedOrders[EffectiveQty],T_PlannedOrders[Part Name],$A1003,T_PlannedOrders[WeekIndex],20)&amp;" ("&amp;TEXT(SUMPRODUCT(MAX((T_PlannedOrders[Part Name]=$A1003)*(T_PlannedOrders[WeekIndex]=20)*(T_PlannedOrders[EffectiveQty]&gt;0)*T_PlannedOrders[Order_Month])),"m月")&amp;"発注)")</f>
        <v/>
      </c>
      <c r="X1013">
        <f>IF(SUMIFS(T_PlannedOrders[EffectiveQty],T_PlannedOrders[Part Name],$A1003,T_PlannedOrders[WeekIndex],21)=0,"",SUMIFS(T_PlannedOrders[EffectiveQty],T_PlannedOrders[Part Name],$A1003,T_PlannedOrders[WeekIndex],21)&amp;" ("&amp;TEXT(SUMPRODUCT(MAX((T_PlannedOrders[Part Name]=$A1003)*(T_PlannedOrders[WeekIndex]=21)*(T_PlannedOrders[EffectiveQty]&gt;0)*T_PlannedOrders[Order_Month])),"m月")&amp;"発注)")</f>
        <v/>
      </c>
      <c r="Y1013">
        <f>IF(SUMIFS(T_PlannedOrders[EffectiveQty],T_PlannedOrders[Part Name],$A1003,T_PlannedOrders[WeekIndex],22)=0,"",SUMIFS(T_PlannedOrders[EffectiveQty],T_PlannedOrders[Part Name],$A1003,T_PlannedOrders[WeekIndex],22)&amp;" ("&amp;TEXT(SUMPRODUCT(MAX((T_PlannedOrders[Part Name]=$A1003)*(T_PlannedOrders[WeekIndex]=22)*(T_PlannedOrders[EffectiveQty]&gt;0)*T_PlannedOrders[Order_Month])),"m月")&amp;"発注)")</f>
        <v/>
      </c>
      <c r="Z1013">
        <f>IF(SUMIFS(T_PlannedOrders[EffectiveQty],T_PlannedOrders[Part Name],$A1003,T_PlannedOrders[WeekIndex],23)=0,"",SUMIFS(T_PlannedOrders[EffectiveQty],T_PlannedOrders[Part Name],$A1003,T_PlannedOrders[WeekIndex],23)&amp;" ("&amp;TEXT(SUMPRODUCT(MAX((T_PlannedOrders[Part Name]=$A1003)*(T_PlannedOrders[WeekIndex]=23)*(T_PlannedOrders[EffectiveQty]&gt;0)*T_PlannedOrders[Order_Month])),"m月")&amp;"発注)")</f>
        <v/>
      </c>
      <c r="AA1013">
        <f>IF(SUMIFS(T_PlannedOrders[EffectiveQty],T_PlannedOrders[Part Name],$A1003,T_PlannedOrders[WeekIndex],24)=0,"",SUMIFS(T_PlannedOrders[EffectiveQty],T_PlannedOrders[Part Name],$A1003,T_PlannedOrders[WeekIndex],24)&amp;" ("&amp;TEXT(SUMPRODUCT(MAX((T_PlannedOrders[Part Name]=$A1003)*(T_PlannedOrders[WeekIndex]=24)*(T_PlannedOrders[EffectiveQty]&gt;0)*T_PlannedOrders[Order_Month])),"m月")&amp;"発注)")</f>
        <v/>
      </c>
      <c r="AB1013">
        <f>IF(SUMIFS(T_PlannedOrders[EffectiveQty],T_PlannedOrders[Part Name],$A1003,T_PlannedOrders[WeekIndex],25)=0,"",SUMIFS(T_PlannedOrders[EffectiveQty],T_PlannedOrders[Part Name],$A1003,T_PlannedOrders[WeekIndex],25)&amp;" ("&amp;TEXT(SUMPRODUCT(MAX((T_PlannedOrders[Part Name]=$A1003)*(T_PlannedOrders[WeekIndex]=25)*(T_PlannedOrders[EffectiveQty]&gt;0)*T_PlannedOrders[Order_Month])),"m月")&amp;"発注)")</f>
        <v/>
      </c>
      <c r="AC1013">
        <f>IF(SUMIFS(T_PlannedOrders[EffectiveQty],T_PlannedOrders[Part Name],$A1003,T_PlannedOrders[WeekIndex],26)=0,"",SUMIFS(T_PlannedOrders[EffectiveQty],T_PlannedOrders[Part Name],$A1003,T_PlannedOrders[WeekIndex],26)&amp;" ("&amp;TEXT(SUMPRODUCT(MAX((T_PlannedOrders[Part Name]=$A1003)*(T_PlannedOrders[WeekIndex]=26)*(T_PlannedOrders[EffectiveQty]&gt;0)*T_PlannedOrders[Order_Month])),"m月")&amp;"発注)")</f>
        <v/>
      </c>
      <c r="AD1013">
        <f>IF(SUMIFS(T_PlannedOrders[EffectiveQty],T_PlannedOrders[Part Name],$A1003,T_PlannedOrders[WeekIndex],27)=0,"",SUMIFS(T_PlannedOrders[EffectiveQty],T_PlannedOrders[Part Name],$A1003,T_PlannedOrders[WeekIndex],27)&amp;" ("&amp;TEXT(SUMPRODUCT(MAX((T_PlannedOrders[Part Name]=$A1003)*(T_PlannedOrders[WeekIndex]=27)*(T_PlannedOrders[EffectiveQty]&gt;0)*T_PlannedOrders[Order_Month])),"m月")&amp;"発注)")</f>
        <v/>
      </c>
      <c r="AE1013">
        <f>IF(SUMIFS(T_PlannedOrders[EffectiveQty],T_PlannedOrders[Part Name],$A1003,T_PlannedOrders[WeekIndex],28)=0,"",SUMIFS(T_PlannedOrders[EffectiveQty],T_PlannedOrders[Part Name],$A1003,T_PlannedOrders[WeekIndex],28)&amp;" ("&amp;TEXT(SUMPRODUCT(MAX((T_PlannedOrders[Part Name]=$A1003)*(T_PlannedOrders[WeekIndex]=28)*(T_PlannedOrders[EffectiveQty]&gt;0)*T_PlannedOrders[Order_Month])),"m月")&amp;"発注)")</f>
        <v/>
      </c>
      <c r="AF1013">
        <f>IF(SUMIFS(T_PlannedOrders[EffectiveQty],T_PlannedOrders[Part Name],$A1003,T_PlannedOrders[WeekIndex],29)=0,"",SUMIFS(T_PlannedOrders[EffectiveQty],T_PlannedOrders[Part Name],$A1003,T_PlannedOrders[WeekIndex],29)&amp;" ("&amp;TEXT(SUMPRODUCT(MAX((T_PlannedOrders[Part Name]=$A1003)*(T_PlannedOrders[WeekIndex]=29)*(T_PlannedOrders[EffectiveQty]&gt;0)*T_PlannedOrders[Order_Month])),"m月")&amp;"発注)")</f>
        <v/>
      </c>
      <c r="AG1013">
        <f>IF(SUMIFS(T_PlannedOrders[EffectiveQty],T_PlannedOrders[Part Name],$A1003,T_PlannedOrders[WeekIndex],30)=0,"",SUMIFS(T_PlannedOrders[EffectiveQty],T_PlannedOrders[Part Name],$A1003,T_PlannedOrders[WeekIndex],30)&amp;" ("&amp;TEXT(SUMPRODUCT(MAX((T_PlannedOrders[Part Name]=$A1003)*(T_PlannedOrders[WeekIndex]=30)*(T_PlannedOrders[EffectiveQty]&gt;0)*T_PlannedOrders[Order_Month])),"m月")&amp;"発注)")</f>
        <v/>
      </c>
      <c r="AH1013">
        <f>IF(SUMIFS(T_PlannedOrders[EffectiveQty],T_PlannedOrders[Part Name],$A1003,T_PlannedOrders[WeekIndex],31)=0,"",SUMIFS(T_PlannedOrders[EffectiveQty],T_PlannedOrders[Part Name],$A1003,T_PlannedOrders[WeekIndex],31)&amp;" ("&amp;TEXT(SUMPRODUCT(MAX((T_PlannedOrders[Part Name]=$A1003)*(T_PlannedOrders[WeekIndex]=31)*(T_PlannedOrders[EffectiveQty]&gt;0)*T_PlannedOrders[Order_Month])),"m月")&amp;"発注)")</f>
        <v/>
      </c>
      <c r="AI1013">
        <f>IF(SUMIFS(T_PlannedOrders[EffectiveQty],T_PlannedOrders[Part Name],$A1003,T_PlannedOrders[WeekIndex],32)=0,"",SUMIFS(T_PlannedOrders[EffectiveQty],T_PlannedOrders[Part Name],$A1003,T_PlannedOrders[WeekIndex],32)&amp;" ("&amp;TEXT(SUMPRODUCT(MAX((T_PlannedOrders[Part Name]=$A1003)*(T_PlannedOrders[WeekIndex]=32)*(T_PlannedOrders[EffectiveQty]&gt;0)*T_PlannedOrders[Order_Month])),"m月")&amp;"発注)")</f>
        <v/>
      </c>
      <c r="AJ1013">
        <f>IF(SUMIFS(T_PlannedOrders[EffectiveQty],T_PlannedOrders[Part Name],$A1003,T_PlannedOrders[WeekIndex],33)=0,"",SUMIFS(T_PlannedOrders[EffectiveQty],T_PlannedOrders[Part Name],$A1003,T_PlannedOrders[WeekIndex],33)&amp;" ("&amp;TEXT(SUMPRODUCT(MAX((T_PlannedOrders[Part Name]=$A1003)*(T_PlannedOrders[WeekIndex]=33)*(T_PlannedOrders[EffectiveQty]&gt;0)*T_PlannedOrders[Order_Month])),"m月")&amp;"発注)")</f>
        <v/>
      </c>
      <c r="AK1013">
        <f>IF(SUMIFS(T_PlannedOrders[EffectiveQty],T_PlannedOrders[Part Name],$A1003,T_PlannedOrders[WeekIndex],34)=0,"",SUMIFS(T_PlannedOrders[EffectiveQty],T_PlannedOrders[Part Name],$A1003,T_PlannedOrders[WeekIndex],34)&amp;" ("&amp;TEXT(SUMPRODUCT(MAX((T_PlannedOrders[Part Name]=$A1003)*(T_PlannedOrders[WeekIndex]=34)*(T_PlannedOrders[EffectiveQty]&gt;0)*T_PlannedOrders[Order_Month])),"m月")&amp;"発注)")</f>
        <v/>
      </c>
      <c r="AL1013">
        <f>IF(SUMIFS(T_PlannedOrders[EffectiveQty],T_PlannedOrders[Part Name],$A1003,T_PlannedOrders[WeekIndex],35)=0,"",SUMIFS(T_PlannedOrders[EffectiveQty],T_PlannedOrders[Part Name],$A1003,T_PlannedOrders[WeekIndex],35)&amp;" ("&amp;TEXT(SUMPRODUCT(MAX((T_PlannedOrders[Part Name]=$A1003)*(T_PlannedOrders[WeekIndex]=35)*(T_PlannedOrders[EffectiveQty]&gt;0)*T_PlannedOrders[Order_Month])),"m月")&amp;"発注)")</f>
        <v/>
      </c>
      <c r="AM1013">
        <f>IF(SUMIFS(T_PlannedOrders[EffectiveQty],T_PlannedOrders[Part Name],$A1003,T_PlannedOrders[WeekIndex],36)=0,"",SUMIFS(T_PlannedOrders[EffectiveQty],T_PlannedOrders[Part Name],$A1003,T_PlannedOrders[WeekIndex],36)&amp;" ("&amp;TEXT(SUMPRODUCT(MAX((T_PlannedOrders[Part Name]=$A1003)*(T_PlannedOrders[WeekIndex]=36)*(T_PlannedOrders[EffectiveQty]&gt;0)*T_PlannedOrders[Order_Month])),"m月")&amp;"発注)")</f>
        <v/>
      </c>
      <c r="AN1013">
        <f>IF(SUMIFS(T_PlannedOrders[EffectiveQty],T_PlannedOrders[Part Name],$A1003,T_PlannedOrders[WeekIndex],37)=0,"",SUMIFS(T_PlannedOrders[EffectiveQty],T_PlannedOrders[Part Name],$A1003,T_PlannedOrders[WeekIndex],37)&amp;" ("&amp;TEXT(SUMPRODUCT(MAX((T_PlannedOrders[Part Name]=$A1003)*(T_PlannedOrders[WeekIndex]=37)*(T_PlannedOrders[EffectiveQty]&gt;0)*T_PlannedOrders[Order_Month])),"m月")&amp;"発注)")</f>
        <v/>
      </c>
      <c r="AO1013">
        <f>IF(SUMIFS(T_PlannedOrders[EffectiveQty],T_PlannedOrders[Part Name],$A1003,T_PlannedOrders[WeekIndex],38)=0,"",SUMIFS(T_PlannedOrders[EffectiveQty],T_PlannedOrders[Part Name],$A1003,T_PlannedOrders[WeekIndex],38)&amp;" ("&amp;TEXT(SUMPRODUCT(MAX((T_PlannedOrders[Part Name]=$A1003)*(T_PlannedOrders[WeekIndex]=38)*(T_PlannedOrders[EffectiveQty]&gt;0)*T_PlannedOrders[Order_Month])),"m月")&amp;"発注)")</f>
        <v/>
      </c>
      <c r="AP1013">
        <f>IF(SUMIFS(T_PlannedOrders[EffectiveQty],T_PlannedOrders[Part Name],$A1003,T_PlannedOrders[WeekIndex],39)=0,"",SUMIFS(T_PlannedOrders[EffectiveQty],T_PlannedOrders[Part Name],$A1003,T_PlannedOrders[WeekIndex],39)&amp;" ("&amp;TEXT(SUMPRODUCT(MAX((T_PlannedOrders[Part Name]=$A1003)*(T_PlannedOrders[WeekIndex]=39)*(T_PlannedOrders[EffectiveQty]&gt;0)*T_PlannedOrders[Order_Month])),"m月")&amp;"発注)")</f>
        <v/>
      </c>
      <c r="AQ1013">
        <f>IF(SUMIFS(T_PlannedOrders[EffectiveQty],T_PlannedOrders[Part Name],$A1003,T_PlannedOrders[WeekIndex],40)=0,"",SUMIFS(T_PlannedOrders[EffectiveQty],T_PlannedOrders[Part Name],$A1003,T_PlannedOrders[WeekIndex],40)&amp;" ("&amp;TEXT(SUMPRODUCT(MAX((T_PlannedOrders[Part Name]=$A1003)*(T_PlannedOrders[WeekIndex]=40)*(T_PlannedOrders[EffectiveQty]&gt;0)*T_PlannedOrders[Order_Month])),"m月")&amp;"発注)")</f>
        <v/>
      </c>
      <c r="AR1013">
        <f>IF(SUMIFS(T_PlannedOrders[EffectiveQty],T_PlannedOrders[Part Name],$A1003,T_PlannedOrders[WeekIndex],41)=0,"",SUMIFS(T_PlannedOrders[EffectiveQty],T_PlannedOrders[Part Name],$A1003,T_PlannedOrders[WeekIndex],41)&amp;" ("&amp;TEXT(SUMPRODUCT(MAX((T_PlannedOrders[Part Name]=$A1003)*(T_PlannedOrders[WeekIndex]=41)*(T_PlannedOrders[EffectiveQty]&gt;0)*T_PlannedOrders[Order_Month])),"m月")&amp;"発注)")</f>
        <v/>
      </c>
      <c r="AS1013">
        <f>IF(SUMIFS(T_PlannedOrders[EffectiveQty],T_PlannedOrders[Part Name],$A1003,T_PlannedOrders[WeekIndex],42)=0,"",SUMIFS(T_PlannedOrders[EffectiveQty],T_PlannedOrders[Part Name],$A1003,T_PlannedOrders[WeekIndex],42)&amp;" ("&amp;TEXT(SUMPRODUCT(MAX((T_PlannedOrders[Part Name]=$A1003)*(T_PlannedOrders[WeekIndex]=42)*(T_PlannedOrders[EffectiveQty]&gt;0)*T_PlannedOrders[Order_Month])),"m月")&amp;"発注)")</f>
        <v/>
      </c>
      <c r="AT1013">
        <f>IF(SUMIFS(T_PlannedOrders[EffectiveQty],T_PlannedOrders[Part Name],$A1003,T_PlannedOrders[WeekIndex],43)=0,"",SUMIFS(T_PlannedOrders[EffectiveQty],T_PlannedOrders[Part Name],$A1003,T_PlannedOrders[WeekIndex],43)&amp;" ("&amp;TEXT(SUMPRODUCT(MAX((T_PlannedOrders[Part Name]=$A1003)*(T_PlannedOrders[WeekIndex]=43)*(T_PlannedOrders[EffectiveQty]&gt;0)*T_PlannedOrders[Order_Month])),"m月")&amp;"発注)")</f>
        <v/>
      </c>
      <c r="AU1013">
        <f>IF(SUMIFS(T_PlannedOrders[EffectiveQty],T_PlannedOrders[Part Name],$A1003,T_PlannedOrders[WeekIndex],44)=0,"",SUMIFS(T_PlannedOrders[EffectiveQty],T_PlannedOrders[Part Name],$A1003,T_PlannedOrders[WeekIndex],44)&amp;" ("&amp;TEXT(SUMPRODUCT(MAX((T_PlannedOrders[Part Name]=$A1003)*(T_PlannedOrders[WeekIndex]=44)*(T_PlannedOrders[EffectiveQty]&gt;0)*T_PlannedOrders[Order_Month])),"m月")&amp;"発注)")</f>
        <v/>
      </c>
      <c r="AV1013">
        <f>IF(SUMIFS(T_PlannedOrders[EffectiveQty],T_PlannedOrders[Part Name],$A1003,T_PlannedOrders[WeekIndex],45)=0,"",SUMIFS(T_PlannedOrders[EffectiveQty],T_PlannedOrders[Part Name],$A1003,T_PlannedOrders[WeekIndex],45)&amp;" ("&amp;TEXT(SUMPRODUCT(MAX((T_PlannedOrders[Part Name]=$A1003)*(T_PlannedOrders[WeekIndex]=45)*(T_PlannedOrders[EffectiveQty]&gt;0)*T_PlannedOrders[Order_Month])),"m月")&amp;"発注)")</f>
        <v/>
      </c>
      <c r="AW1013">
        <f>IF(SUMIFS(T_PlannedOrders[EffectiveQty],T_PlannedOrders[Part Name],$A1003,T_PlannedOrders[WeekIndex],46)=0,"",SUMIFS(T_PlannedOrders[EffectiveQty],T_PlannedOrders[Part Name],$A1003,T_PlannedOrders[WeekIndex],46)&amp;" ("&amp;TEXT(SUMPRODUCT(MAX((T_PlannedOrders[Part Name]=$A1003)*(T_PlannedOrders[WeekIndex]=46)*(T_PlannedOrders[EffectiveQty]&gt;0)*T_PlannedOrders[Order_Month])),"m月")&amp;"発注)")</f>
        <v/>
      </c>
      <c r="AX1013">
        <f>IF(SUMIFS(T_PlannedOrders[EffectiveQty],T_PlannedOrders[Part Name],$A1003,T_PlannedOrders[WeekIndex],47)=0,"",SUMIFS(T_PlannedOrders[EffectiveQty],T_PlannedOrders[Part Name],$A1003,T_PlannedOrders[WeekIndex],47)&amp;" ("&amp;TEXT(SUMPRODUCT(MAX((T_PlannedOrders[Part Name]=$A1003)*(T_PlannedOrders[WeekIndex]=47)*(T_PlannedOrders[EffectiveQty]&gt;0)*T_PlannedOrders[Order_Month])),"m月")&amp;"発注)")</f>
        <v/>
      </c>
      <c r="AY1013">
        <f>IF(SUMIFS(T_PlannedOrders[EffectiveQty],T_PlannedOrders[Part Name],$A1003,T_PlannedOrders[WeekIndex],48)=0,"",SUMIFS(T_PlannedOrders[EffectiveQty],T_PlannedOrders[Part Name],$A1003,T_PlannedOrders[WeekIndex],48)&amp;" ("&amp;TEXT(SUMPRODUCT(MAX((T_PlannedOrders[Part Name]=$A1003)*(T_PlannedOrders[WeekIndex]=48)*(T_PlannedOrders[EffectiveQty]&gt;0)*T_PlannedOrders[Order_Month])),"m月")&amp;"発注)")</f>
        <v/>
      </c>
      <c r="AZ1013">
        <f>IF(SUMIFS(T_PlannedOrders[EffectiveQty],T_PlannedOrders[Part Name],$A1003,T_PlannedOrders[WeekIndex],49)=0,"",SUMIFS(T_PlannedOrders[EffectiveQty],T_PlannedOrders[Part Name],$A1003,T_PlannedOrders[WeekIndex],49)&amp;" ("&amp;TEXT(SUMPRODUCT(MAX((T_PlannedOrders[Part Name]=$A1003)*(T_PlannedOrders[WeekIndex]=49)*(T_PlannedOrders[EffectiveQty]&gt;0)*T_PlannedOrders[Order_Month])),"m月")&amp;"発注)")</f>
        <v/>
      </c>
      <c r="BA1013">
        <f>IF(SUMIFS(T_PlannedOrders[EffectiveQty],T_PlannedOrders[Part Name],$A1003,T_PlannedOrders[WeekIndex],50)=0,"",SUMIFS(T_PlannedOrders[EffectiveQty],T_PlannedOrders[Part Name],$A1003,T_PlannedOrders[WeekIndex],50)&amp;" ("&amp;TEXT(SUMPRODUCT(MAX((T_PlannedOrders[Part Name]=$A1003)*(T_PlannedOrders[WeekIndex]=50)*(T_PlannedOrders[EffectiveQty]&gt;0)*T_PlannedOrders[Order_Month])),"m月")&amp;"発注)")</f>
        <v/>
      </c>
      <c r="BB1013">
        <f>IF(SUMIFS(T_PlannedOrders[EffectiveQty],T_PlannedOrders[Part Name],$A1003,T_PlannedOrders[WeekIndex],51)=0,"",SUMIFS(T_PlannedOrders[EffectiveQty],T_PlannedOrders[Part Name],$A1003,T_PlannedOrders[WeekIndex],51)&amp;" ("&amp;TEXT(SUMPRODUCT(MAX((T_PlannedOrders[Part Name]=$A1003)*(T_PlannedOrders[WeekIndex]=51)*(T_PlannedOrders[EffectiveQty]&gt;0)*T_PlannedOrders[Order_Month])),"m月")&amp;"発注)")</f>
        <v/>
      </c>
      <c r="BC1013">
        <f>IF(SUMIFS(T_PlannedOrders[EffectiveQty],T_PlannedOrders[Part Name],$A1003,T_PlannedOrders[WeekIndex],52)=0,"",SUMIFS(T_PlannedOrders[EffectiveQty],T_PlannedOrders[Part Name],$A1003,T_PlannedOrders[WeekIndex],52)&amp;" ("&amp;TEXT(SUMPRODUCT(MAX((T_PlannedOrders[Part Name]=$A1003)*(T_PlannedOrders[WeekIndex]=52)*(T_PlannedOrders[EffectiveQty]&gt;0)*T_PlannedOrders[Order_Month])),"m月")&amp;"発注)")</f>
        <v/>
      </c>
      <c r="BD1013">
        <f>IF(SUMIFS(T_PlannedOrders[EffectiveQty],T_PlannedOrders[Part Name],$A1003,T_PlannedOrders[WeekIndex],53)=0,"",SUMIFS(T_PlannedOrders[EffectiveQty],T_PlannedOrders[Part Name],$A1003,T_PlannedOrders[WeekIndex],53)&amp;" ("&amp;TEXT(SUMPRODUCT(MAX((T_PlannedOrders[Part Name]=$A1003)*(T_PlannedOrders[WeekIndex]=53)*(T_PlannedOrders[EffectiveQty]&gt;0)*T_PlannedOrders[Order_Month])),"m月")&amp;"発注)")</f>
        <v/>
      </c>
      <c r="BE1013">
        <f>IF(SUMIFS(T_PlannedOrders[EffectiveQty],T_PlannedOrders[Part Name],$A1003,T_PlannedOrders[WeekIndex],54)=0,"",SUMIFS(T_PlannedOrders[EffectiveQty],T_PlannedOrders[Part Name],$A1003,T_PlannedOrders[WeekIndex],54)&amp;" ("&amp;TEXT(SUMPRODUCT(MAX((T_PlannedOrders[Part Name]=$A1003)*(T_PlannedOrders[WeekIndex]=54)*(T_PlannedOrders[EffectiveQty]&gt;0)*T_PlannedOrders[Order_Month])),"m月")&amp;"発注)")</f>
        <v/>
      </c>
      <c r="BF1013">
        <f>IF(SUMIFS(T_PlannedOrders[EffectiveQty],T_PlannedOrders[Part Name],$A1003,T_PlannedOrders[WeekIndex],55)=0,"",SUMIFS(T_PlannedOrders[EffectiveQty],T_PlannedOrders[Part Name],$A1003,T_PlannedOrders[WeekIndex],55)&amp;" ("&amp;TEXT(SUMPRODUCT(MAX((T_PlannedOrders[Part Name]=$A1003)*(T_PlannedOrders[WeekIndex]=55)*(T_PlannedOrders[EffectiveQty]&gt;0)*T_PlannedOrders[Order_Month])),"m月")&amp;"発注)")</f>
        <v/>
      </c>
      <c r="BG1013">
        <f>IF(SUMIFS(T_PlannedOrders[EffectiveQty],T_PlannedOrders[Part Name],$A1003,T_PlannedOrders[WeekIndex],56)=0,"",SUMIFS(T_PlannedOrders[EffectiveQty],T_PlannedOrders[Part Name],$A1003,T_PlannedOrders[WeekIndex],56)&amp;" ("&amp;TEXT(SUMPRODUCT(MAX((T_PlannedOrders[Part Name]=$A1003)*(T_PlannedOrders[WeekIndex]=56)*(T_PlannedOrders[EffectiveQty]&gt;0)*T_PlannedOrders[Order_Month])),"m月")&amp;"発注)")</f>
        <v/>
      </c>
      <c r="BH1013">
        <f>IF(SUMIFS(T_PlannedOrders[EffectiveQty],T_PlannedOrders[Part Name],$A1003,T_PlannedOrders[WeekIndex],57)=0,"",SUMIFS(T_PlannedOrders[EffectiveQty],T_PlannedOrders[Part Name],$A1003,T_PlannedOrders[WeekIndex],57)&amp;" ("&amp;TEXT(SUMPRODUCT(MAX((T_PlannedOrders[Part Name]=$A1003)*(T_PlannedOrders[WeekIndex]=57)*(T_PlannedOrders[EffectiveQty]&gt;0)*T_PlannedOrders[Order_Month])),"m月")&amp;"発注)")</f>
        <v/>
      </c>
      <c r="BI1013">
        <f>IF(SUMIFS(T_PlannedOrders[EffectiveQty],T_PlannedOrders[Part Name],$A1003,T_PlannedOrders[WeekIndex],58)=0,"",SUMIFS(T_PlannedOrders[EffectiveQty],T_PlannedOrders[Part Name],$A1003,T_PlannedOrders[WeekIndex],58)&amp;" ("&amp;TEXT(SUMPRODUCT(MAX((T_PlannedOrders[Part Name]=$A1003)*(T_PlannedOrders[WeekIndex]=58)*(T_PlannedOrders[EffectiveQty]&gt;0)*T_PlannedOrders[Order_Month])),"m月")&amp;"発注)")</f>
        <v/>
      </c>
      <c r="BJ1013">
        <f>IF(SUMIFS(T_PlannedOrders[EffectiveQty],T_PlannedOrders[Part Name],$A1003,T_PlannedOrders[WeekIndex],59)=0,"",SUMIFS(T_PlannedOrders[EffectiveQty],T_PlannedOrders[Part Name],$A1003,T_PlannedOrders[WeekIndex],59)&amp;" ("&amp;TEXT(SUMPRODUCT(MAX((T_PlannedOrders[Part Name]=$A1003)*(T_PlannedOrders[WeekIndex]=59)*(T_PlannedOrders[EffectiveQty]&gt;0)*T_PlannedOrders[Order_Month])),"m月")&amp;"発注)")</f>
        <v/>
      </c>
      <c r="BK1013">
        <f>IF(SUMIFS(T_PlannedOrders[EffectiveQty],T_PlannedOrders[Part Name],$A1003,T_PlannedOrders[WeekIndex],60)=0,"",SUMIFS(T_PlannedOrders[EffectiveQty],T_PlannedOrders[Part Name],$A1003,T_PlannedOrders[WeekIndex],60)&amp;" ("&amp;TEXT(SUMPRODUCT(MAX((T_PlannedOrders[Part Name]=$A1003)*(T_PlannedOrders[WeekIndex]=60)*(T_PlannedOrders[EffectiveQty]&gt;0)*T_PlannedOrders[Order_Month])),"m月")&amp;"発注)")</f>
        <v/>
      </c>
      <c r="BL1013">
        <f>IF(SUMIFS(T_PlannedOrders[EffectiveQty],T_PlannedOrders[Part Name],$A1003,T_PlannedOrders[WeekIndex],61)=0,"",SUMIFS(T_PlannedOrders[EffectiveQty],T_PlannedOrders[Part Name],$A1003,T_PlannedOrders[WeekIndex],61)&amp;" ("&amp;TEXT(SUMPRODUCT(MAX((T_PlannedOrders[Part Name]=$A1003)*(T_PlannedOrders[WeekIndex]=61)*(T_PlannedOrders[EffectiveQty]&gt;0)*T_PlannedOrders[Order_Month])),"m月")&amp;"発注)")</f>
        <v/>
      </c>
      <c r="BM1013">
        <f>IF(SUMIFS(T_PlannedOrders[EffectiveQty],T_PlannedOrders[Part Name],$A1003,T_PlannedOrders[WeekIndex],62)=0,"",SUMIFS(T_PlannedOrders[EffectiveQty],T_PlannedOrders[Part Name],$A1003,T_PlannedOrders[WeekIndex],62)&amp;" ("&amp;TEXT(SUMPRODUCT(MAX((T_PlannedOrders[Part Name]=$A1003)*(T_PlannedOrders[WeekIndex]=62)*(T_PlannedOrders[EffectiveQty]&gt;0)*T_PlannedOrders[Order_Month])),"m月")&amp;"発注)")</f>
        <v/>
      </c>
      <c r="BN1013">
        <f>IF(SUMIFS(T_PlannedOrders[EffectiveQty],T_PlannedOrders[Part Name],$A1003,T_PlannedOrders[WeekIndex],63)=0,"",SUMIFS(T_PlannedOrders[EffectiveQty],T_PlannedOrders[Part Name],$A1003,T_PlannedOrders[WeekIndex],63)&amp;" ("&amp;TEXT(SUMPRODUCT(MAX((T_PlannedOrders[Part Name]=$A1003)*(T_PlannedOrders[WeekIndex]=63)*(T_PlannedOrders[EffectiveQty]&gt;0)*T_PlannedOrders[Order_Month])),"m月")&amp;"発注)")</f>
        <v/>
      </c>
      <c r="BO1013">
        <f>IF(SUMIFS(T_PlannedOrders[EffectiveQty],T_PlannedOrders[Part Name],$A1003,T_PlannedOrders[WeekIndex],64)=0,"",SUMIFS(T_PlannedOrders[EffectiveQty],T_PlannedOrders[Part Name],$A1003,T_PlannedOrders[WeekIndex],64)&amp;" ("&amp;TEXT(SUMPRODUCT(MAX((T_PlannedOrders[Part Name]=$A1003)*(T_PlannedOrders[WeekIndex]=64)*(T_PlannedOrders[EffectiveQty]&gt;0)*T_PlannedOrders[Order_Month])),"m月")&amp;"発注)")</f>
        <v/>
      </c>
      <c r="BP1013">
        <f>IF(SUMIFS(T_PlannedOrders[EffectiveQty],T_PlannedOrders[Part Name],$A1003,T_PlannedOrders[WeekIndex],65)=0,"",SUMIFS(T_PlannedOrders[EffectiveQty],T_PlannedOrders[Part Name],$A1003,T_PlannedOrders[WeekIndex],65)&amp;" ("&amp;TEXT(SUMPRODUCT(MAX((T_PlannedOrders[Part Name]=$A1003)*(T_PlannedOrders[WeekIndex]=65)*(T_PlannedOrders[EffectiveQty]&gt;0)*T_PlannedOrders[Order_Month])),"m月")&amp;"発注)")</f>
        <v/>
      </c>
      <c r="BQ1013">
        <f>IF(SUMIFS(T_PlannedOrders[EffectiveQty],T_PlannedOrders[Part Name],$A1003,T_PlannedOrders[WeekIndex],66)=0,"",SUMIFS(T_PlannedOrders[EffectiveQty],T_PlannedOrders[Part Name],$A1003,T_PlannedOrders[WeekIndex],66)&amp;" ("&amp;TEXT(SUMPRODUCT(MAX((T_PlannedOrders[Part Name]=$A1003)*(T_PlannedOrders[WeekIndex]=66)*(T_PlannedOrders[EffectiveQty]&gt;0)*T_PlannedOrders[Order_Month])),"m月")&amp;"発注)")</f>
        <v/>
      </c>
      <c r="BR1013">
        <f>IF(SUMIFS(T_PlannedOrders[EffectiveQty],T_PlannedOrders[Part Name],$A1003,T_PlannedOrders[WeekIndex],67)=0,"",SUMIFS(T_PlannedOrders[EffectiveQty],T_PlannedOrders[Part Name],$A1003,T_PlannedOrders[WeekIndex],67)&amp;" ("&amp;TEXT(SUMPRODUCT(MAX((T_PlannedOrders[Part Name]=$A1003)*(T_PlannedOrders[WeekIndex]=67)*(T_PlannedOrders[EffectiveQty]&gt;0)*T_PlannedOrders[Order_Month])),"m月")&amp;"発注)")</f>
        <v/>
      </c>
      <c r="BS1013">
        <f>IF(SUMIFS(T_PlannedOrders[EffectiveQty],T_PlannedOrders[Part Name],$A1003,T_PlannedOrders[WeekIndex],68)=0,"",SUMIFS(T_PlannedOrders[EffectiveQty],T_PlannedOrders[Part Name],$A1003,T_PlannedOrders[WeekIndex],68)&amp;" ("&amp;TEXT(SUMPRODUCT(MAX((T_PlannedOrders[Part Name]=$A1003)*(T_PlannedOrders[WeekIndex]=68)*(T_PlannedOrders[EffectiveQty]&gt;0)*T_PlannedOrders[Order_Month])),"m月")&amp;"発注)")</f>
        <v/>
      </c>
      <c r="BT1013">
        <f>IF(SUMIFS(T_PlannedOrders[EffectiveQty],T_PlannedOrders[Part Name],$A1003,T_PlannedOrders[WeekIndex],69)=0,"",SUMIFS(T_PlannedOrders[EffectiveQty],T_PlannedOrders[Part Name],$A1003,T_PlannedOrders[WeekIndex],69)&amp;" ("&amp;TEXT(SUMPRODUCT(MAX((T_PlannedOrders[Part Name]=$A1003)*(T_PlannedOrders[WeekIndex]=69)*(T_PlannedOrders[EffectiveQty]&gt;0)*T_PlannedOrders[Order_Month])),"m月")&amp;"発注)")</f>
        <v/>
      </c>
      <c r="BU1013">
        <f>IF(SUMIFS(T_PlannedOrders[EffectiveQty],T_PlannedOrders[Part Name],$A1003,T_PlannedOrders[WeekIndex],70)=0,"",SUMIFS(T_PlannedOrders[EffectiveQty],T_PlannedOrders[Part Name],$A1003,T_PlannedOrders[WeekIndex],70)&amp;" ("&amp;TEXT(SUMPRODUCT(MAX((T_PlannedOrders[Part Name]=$A1003)*(T_PlannedOrders[WeekIndex]=70)*(T_PlannedOrders[EffectiveQty]&gt;0)*T_PlannedOrders[Order_Month])),"m月")&amp;"発注)")</f>
        <v/>
      </c>
      <c r="BV1013">
        <f>IF(SUMIFS(T_PlannedOrders[EffectiveQty],T_PlannedOrders[Part Name],$A1003,T_PlannedOrders[WeekIndex],71)=0,"",SUMIFS(T_PlannedOrders[EffectiveQty],T_PlannedOrders[Part Name],$A1003,T_PlannedOrders[WeekIndex],71)&amp;" ("&amp;TEXT(SUMPRODUCT(MAX((T_PlannedOrders[Part Name]=$A1003)*(T_PlannedOrders[WeekIndex]=71)*(T_PlannedOrders[EffectiveQty]&gt;0)*T_PlannedOrders[Order_Month])),"m月")&amp;"発注)")</f>
        <v/>
      </c>
      <c r="BW1013">
        <f>IF(SUMIFS(T_PlannedOrders[EffectiveQty],T_PlannedOrders[Part Name],$A1003,T_PlannedOrders[WeekIndex],72)=0,"",SUMIFS(T_PlannedOrders[EffectiveQty],T_PlannedOrders[Part Name],$A1003,T_PlannedOrders[WeekIndex],72)&amp;" ("&amp;TEXT(SUMPRODUCT(MAX((T_PlannedOrders[Part Name]=$A1003)*(T_PlannedOrders[WeekIndex]=72)*(T_PlannedOrders[EffectiveQty]&gt;0)*T_PlannedOrders[Order_Month])),"m月")&amp;"発注)")</f>
        <v/>
      </c>
      <c r="BX1013">
        <f>IF(SUMIFS(T_PlannedOrders[EffectiveQty],T_PlannedOrders[Part Name],$A1003,T_PlannedOrders[WeekIndex],73)=0,"",SUMIFS(T_PlannedOrders[EffectiveQty],T_PlannedOrders[Part Name],$A1003,T_PlannedOrders[WeekIndex],73)&amp;" ("&amp;TEXT(SUMPRODUCT(MAX((T_PlannedOrders[Part Name]=$A1003)*(T_PlannedOrders[WeekIndex]=73)*(T_PlannedOrders[EffectiveQty]&gt;0)*T_PlannedOrders[Order_Month])),"m月")&amp;"発注)")</f>
        <v/>
      </c>
      <c r="BY1013">
        <f>IF(SUMIFS(T_PlannedOrders[EffectiveQty],T_PlannedOrders[Part Name],$A1003,T_PlannedOrders[WeekIndex],74)=0,"",SUMIFS(T_PlannedOrders[EffectiveQty],T_PlannedOrders[Part Name],$A1003,T_PlannedOrders[WeekIndex],74)&amp;" ("&amp;TEXT(SUMPRODUCT(MAX((T_PlannedOrders[Part Name]=$A1003)*(T_PlannedOrders[WeekIndex]=74)*(T_PlannedOrders[EffectiveQty]&gt;0)*T_PlannedOrders[Order_Month])),"m月")&amp;"発注)")</f>
        <v/>
      </c>
      <c r="BZ1013">
        <f>IF(SUMIFS(T_PlannedOrders[EffectiveQty],T_PlannedOrders[Part Name],$A1003,T_PlannedOrders[WeekIndex],75)=0,"",SUMIFS(T_PlannedOrders[EffectiveQty],T_PlannedOrders[Part Name],$A1003,T_PlannedOrders[WeekIndex],75)&amp;" ("&amp;TEXT(SUMPRODUCT(MAX((T_PlannedOrders[Part Name]=$A1003)*(T_PlannedOrders[WeekIndex]=75)*(T_PlannedOrders[EffectiveQty]&gt;0)*T_PlannedOrders[Order_Month])),"m月")&amp;"発注)")</f>
        <v/>
      </c>
      <c r="CA1013">
        <f>IF(SUMIFS(T_PlannedOrders[EffectiveQty],T_PlannedOrders[Part Name],$A1003,T_PlannedOrders[WeekIndex],76)=0,"",SUMIFS(T_PlannedOrders[EffectiveQty],T_PlannedOrders[Part Name],$A1003,T_PlannedOrders[WeekIndex],76)&amp;" ("&amp;TEXT(SUMPRODUCT(MAX((T_PlannedOrders[Part Name]=$A1003)*(T_PlannedOrders[WeekIndex]=76)*(T_PlannedOrders[EffectiveQty]&gt;0)*T_PlannedOrders[Order_Month])),"m月")&amp;"発注)")</f>
        <v/>
      </c>
      <c r="CB1013">
        <f>IF(SUMIFS(T_PlannedOrders[EffectiveQty],T_PlannedOrders[Part Name],$A1003,T_PlannedOrders[WeekIndex],77)=0,"",SUMIFS(T_PlannedOrders[EffectiveQty],T_PlannedOrders[Part Name],$A1003,T_PlannedOrders[WeekIndex],77)&amp;" ("&amp;TEXT(SUMPRODUCT(MAX((T_PlannedOrders[Part Name]=$A1003)*(T_PlannedOrders[WeekIndex]=77)*(T_PlannedOrders[EffectiveQty]&gt;0)*T_PlannedOrders[Order_Month])),"m月")&amp;"発注)")</f>
        <v/>
      </c>
      <c r="CC1013">
        <f>IF(SUMIFS(T_PlannedOrders[EffectiveQty],T_PlannedOrders[Part Name],$A1003,T_PlannedOrders[WeekIndex],78)=0,"",SUMIFS(T_PlannedOrders[EffectiveQty],T_PlannedOrders[Part Name],$A1003,T_PlannedOrders[WeekIndex],78)&amp;" ("&amp;TEXT(SUMPRODUCT(MAX((T_PlannedOrders[Part Name]=$A1003)*(T_PlannedOrders[WeekIndex]=78)*(T_PlannedOrders[EffectiveQty]&gt;0)*T_PlannedOrders[Order_Month])),"m月")&amp;"発注)")</f>
        <v/>
      </c>
      <c r="CD1013">
        <f>IF(SUMIFS(T_PlannedOrders[EffectiveQty],T_PlannedOrders[Part Name],$A1003,T_PlannedOrders[WeekIndex],79)=0,"",SUMIFS(T_PlannedOrders[EffectiveQty],T_PlannedOrders[Part Name],$A1003,T_PlannedOrders[WeekIndex],79)&amp;" ("&amp;TEXT(SUMPRODUCT(MAX((T_PlannedOrders[Part Name]=$A1003)*(T_PlannedOrders[WeekIndex]=79)*(T_PlannedOrders[EffectiveQty]&gt;0)*T_PlannedOrders[Order_Month])),"m月")&amp;"発注)")</f>
        <v/>
      </c>
      <c r="CE1013">
        <f>IF(SUMIFS(T_PlannedOrders[EffectiveQty],T_PlannedOrders[Part Name],$A1003,T_PlannedOrders[WeekIndex],80)=0,"",SUMIFS(T_PlannedOrders[EffectiveQty],T_PlannedOrders[Part Name],$A1003,T_PlannedOrders[WeekIndex],80)&amp;" ("&amp;TEXT(SUMPRODUCT(MAX((T_PlannedOrders[Part Name]=$A1003)*(T_PlannedOrders[WeekIndex]=80)*(T_PlannedOrders[EffectiveQty]&gt;0)*T_PlannedOrders[Order_Month])),"m月")&amp;"発注)")</f>
        <v/>
      </c>
      <c r="CF1013">
        <f>IF(SUMIFS(T_PlannedOrders[EffectiveQty],T_PlannedOrders[Part Name],$A1003,T_PlannedOrders[WeekIndex],81)=0,"",SUMIFS(T_PlannedOrders[EffectiveQty],T_PlannedOrders[Part Name],$A1003,T_PlannedOrders[WeekIndex],81)&amp;" ("&amp;TEXT(SUMPRODUCT(MAX((T_PlannedOrders[Part Name]=$A1003)*(T_PlannedOrders[WeekIndex]=81)*(T_PlannedOrders[EffectiveQty]&gt;0)*T_PlannedOrders[Order_Month])),"m月")&amp;"発注)")</f>
        <v/>
      </c>
      <c r="CG1013">
        <f>IF(SUMIFS(T_PlannedOrders[EffectiveQty],T_PlannedOrders[Part Name],$A1003,T_PlannedOrders[WeekIndex],82)=0,"",SUMIFS(T_PlannedOrders[EffectiveQty],T_PlannedOrders[Part Name],$A1003,T_PlannedOrders[WeekIndex],82)&amp;" ("&amp;TEXT(SUMPRODUCT(MAX((T_PlannedOrders[Part Name]=$A1003)*(T_PlannedOrders[WeekIndex]=82)*(T_PlannedOrders[EffectiveQty]&gt;0)*T_PlannedOrders[Order_Month])),"m月")&amp;"発注)")</f>
        <v/>
      </c>
      <c r="CH1013">
        <f>IF(SUMIFS(T_PlannedOrders[EffectiveQty],T_PlannedOrders[Part Name],$A1003,T_PlannedOrders[WeekIndex],83)=0,"",SUMIFS(T_PlannedOrders[EffectiveQty],T_PlannedOrders[Part Name],$A1003,T_PlannedOrders[WeekIndex],83)&amp;" ("&amp;TEXT(SUMPRODUCT(MAX((T_PlannedOrders[Part Name]=$A1003)*(T_PlannedOrders[WeekIndex]=83)*(T_PlannedOrders[EffectiveQty]&gt;0)*T_PlannedOrders[Order_Month])),"m月")&amp;"発注)")</f>
        <v/>
      </c>
      <c r="CI1013">
        <f>IF(SUMIFS(T_PlannedOrders[EffectiveQty],T_PlannedOrders[Part Name],$A1003,T_PlannedOrders[WeekIndex],84)=0,"",SUMIFS(T_PlannedOrders[EffectiveQty],T_PlannedOrders[Part Name],$A1003,T_PlannedOrders[WeekIndex],84)&amp;" ("&amp;TEXT(SUMPRODUCT(MAX((T_PlannedOrders[Part Name]=$A1003)*(T_PlannedOrders[WeekIndex]=84)*(T_PlannedOrders[EffectiveQty]&gt;0)*T_PlannedOrders[Order_Month])),"m月")&amp;"発注)")</f>
        <v/>
      </c>
      <c r="CJ1013">
        <f>IF(SUMIFS(T_PlannedOrders[EffectiveQty],T_PlannedOrders[Part Name],$A1003,T_PlannedOrders[WeekIndex],85)=0,"",SUMIFS(T_PlannedOrders[EffectiveQty],T_PlannedOrders[Part Name],$A1003,T_PlannedOrders[WeekIndex],85)&amp;" ("&amp;TEXT(SUMPRODUCT(MAX((T_PlannedOrders[Part Name]=$A1003)*(T_PlannedOrders[WeekIndex]=85)*(T_PlannedOrders[EffectiveQty]&gt;0)*T_PlannedOrders[Order_Month])),"m月")&amp;"発注)")</f>
        <v/>
      </c>
      <c r="CK1013">
        <f>IF(SUMIFS(T_PlannedOrders[EffectiveQty],T_PlannedOrders[Part Name],$A1003,T_PlannedOrders[WeekIndex],86)=0,"",SUMIFS(T_PlannedOrders[EffectiveQty],T_PlannedOrders[Part Name],$A1003,T_PlannedOrders[WeekIndex],86)&amp;" ("&amp;TEXT(SUMPRODUCT(MAX((T_PlannedOrders[Part Name]=$A1003)*(T_PlannedOrders[WeekIndex]=86)*(T_PlannedOrders[EffectiveQty]&gt;0)*T_PlannedOrders[Order_Month])),"m月")&amp;"発注)")</f>
        <v/>
      </c>
      <c r="CL1013">
        <f>IF(SUMIFS(T_PlannedOrders[EffectiveQty],T_PlannedOrders[Part Name],$A1003,T_PlannedOrders[WeekIndex],87)=0,"",SUMIFS(T_PlannedOrders[EffectiveQty],T_PlannedOrders[Part Name],$A1003,T_PlannedOrders[WeekIndex],87)&amp;" ("&amp;TEXT(SUMPRODUCT(MAX((T_PlannedOrders[Part Name]=$A1003)*(T_PlannedOrders[WeekIndex]=87)*(T_PlannedOrders[EffectiveQty]&gt;0)*T_PlannedOrders[Order_Month])),"m月")&amp;"発注)")</f>
        <v/>
      </c>
      <c r="CM1013">
        <f>IF(SUMIFS(T_PlannedOrders[EffectiveQty],T_PlannedOrders[Part Name],$A1003,T_PlannedOrders[WeekIndex],88)=0,"",SUMIFS(T_PlannedOrders[EffectiveQty],T_PlannedOrders[Part Name],$A1003,T_PlannedOrders[WeekIndex],88)&amp;" ("&amp;TEXT(SUMPRODUCT(MAX((T_PlannedOrders[Part Name]=$A1003)*(T_PlannedOrders[WeekIndex]=88)*(T_PlannedOrders[EffectiveQty]&gt;0)*T_PlannedOrders[Order_Month])),"m月")&amp;"発注)")</f>
        <v/>
      </c>
      <c r="CN1013">
        <f>IF(SUMIFS(T_PlannedOrders[EffectiveQty],T_PlannedOrders[Part Name],$A1003,T_PlannedOrders[WeekIndex],89)=0,"",SUMIFS(T_PlannedOrders[EffectiveQty],T_PlannedOrders[Part Name],$A1003,T_PlannedOrders[WeekIndex],89)&amp;" ("&amp;TEXT(SUMPRODUCT(MAX((T_PlannedOrders[Part Name]=$A1003)*(T_PlannedOrders[WeekIndex]=89)*(T_PlannedOrders[EffectiveQty]&gt;0)*T_PlannedOrders[Order_Month])),"m月")&amp;"発注)")</f>
        <v/>
      </c>
      <c r="CO1013">
        <f>IF(SUMIFS(T_PlannedOrders[EffectiveQty],T_PlannedOrders[Part Name],$A1003,T_PlannedOrders[WeekIndex],90)=0,"",SUMIFS(T_PlannedOrders[EffectiveQty],T_PlannedOrders[Part Name],$A1003,T_PlannedOrders[WeekIndex],90)&amp;" ("&amp;TEXT(SUMPRODUCT(MAX((T_PlannedOrders[Part Name]=$A1003)*(T_PlannedOrders[WeekIndex]=90)*(T_PlannedOrders[EffectiveQty]&gt;0)*T_PlannedOrders[Order_Month])),"m月")&amp;"発注)")</f>
        <v/>
      </c>
      <c r="CP1013">
        <f>IF(SUMIFS(T_PlannedOrders[EffectiveQty],T_PlannedOrders[Part Name],$A1003,T_PlannedOrders[WeekIndex],91)=0,"",SUMIFS(T_PlannedOrders[EffectiveQty],T_PlannedOrders[Part Name],$A1003,T_PlannedOrders[WeekIndex],91)&amp;" ("&amp;TEXT(SUMPRODUCT(MAX((T_PlannedOrders[Part Name]=$A1003)*(T_PlannedOrders[WeekIndex]=91)*(T_PlannedOrders[EffectiveQty]&gt;0)*T_PlannedOrders[Order_Month])),"m月")&amp;"発注)")</f>
        <v/>
      </c>
      <c r="CQ1013">
        <f>IF(SUMIFS(T_PlannedOrders[EffectiveQty],T_PlannedOrders[Part Name],$A1003,T_PlannedOrders[WeekIndex],92)=0,"",SUMIFS(T_PlannedOrders[EffectiveQty],T_PlannedOrders[Part Name],$A1003,T_PlannedOrders[WeekIndex],92)&amp;" ("&amp;TEXT(SUMPRODUCT(MAX((T_PlannedOrders[Part Name]=$A1003)*(T_PlannedOrders[WeekIndex]=92)*(T_PlannedOrders[EffectiveQty]&gt;0)*T_PlannedOrders[Order_Month])),"m月")&amp;"発注)")</f>
        <v/>
      </c>
      <c r="CR1013">
        <f>IF(SUMIFS(T_PlannedOrders[EffectiveQty],T_PlannedOrders[Part Name],$A1003,T_PlannedOrders[WeekIndex],93)=0,"",SUMIFS(T_PlannedOrders[EffectiveQty],T_PlannedOrders[Part Name],$A1003,T_PlannedOrders[WeekIndex],93)&amp;" ("&amp;TEXT(SUMPRODUCT(MAX((T_PlannedOrders[Part Name]=$A1003)*(T_PlannedOrders[WeekIndex]=93)*(T_PlannedOrders[EffectiveQty]&gt;0)*T_PlannedOrders[Order_Month])),"m月")&amp;"発注)")</f>
        <v/>
      </c>
      <c r="CS1013">
        <f>IF(SUMIFS(T_PlannedOrders[EffectiveQty],T_PlannedOrders[Part Name],$A1003,T_PlannedOrders[WeekIndex],94)=0,"",SUMIFS(T_PlannedOrders[EffectiveQty],T_PlannedOrders[Part Name],$A1003,T_PlannedOrders[WeekIndex],94)&amp;" ("&amp;TEXT(SUMPRODUCT(MAX((T_PlannedOrders[Part Name]=$A1003)*(T_PlannedOrders[WeekIndex]=94)*(T_PlannedOrders[EffectiveQty]&gt;0)*T_PlannedOrders[Order_Month])),"m月")&amp;"発注)")</f>
        <v/>
      </c>
      <c r="CT1013">
        <f>IF(SUMIFS(T_PlannedOrders[EffectiveQty],T_PlannedOrders[Part Name],$A1003,T_PlannedOrders[WeekIndex],95)=0,"",SUMIFS(T_PlannedOrders[EffectiveQty],T_PlannedOrders[Part Name],$A1003,T_PlannedOrders[WeekIndex],95)&amp;" ("&amp;TEXT(SUMPRODUCT(MAX((T_PlannedOrders[Part Name]=$A1003)*(T_PlannedOrders[WeekIndex]=95)*(T_PlannedOrders[EffectiveQty]&gt;0)*T_PlannedOrders[Order_Month])),"m月")&amp;"発注)")</f>
        <v/>
      </c>
      <c r="CU1013">
        <f>IF(SUMIFS(T_PlannedOrders[EffectiveQty],T_PlannedOrders[Part Name],$A1003,T_PlannedOrders[WeekIndex],96)=0,"",SUMIFS(T_PlannedOrders[EffectiveQty],T_PlannedOrders[Part Name],$A1003,T_PlannedOrders[WeekIndex],96)&amp;" ("&amp;TEXT(SUMPRODUCT(MAX((T_PlannedOrders[Part Name]=$A1003)*(T_PlannedOrders[WeekIndex]=96)*(T_PlannedOrders[EffectiveQty]&gt;0)*T_PlannedOrders[Order_Month])),"m月")&amp;"発注)")</f>
        <v/>
      </c>
      <c r="CV1013">
        <f>IF(SUMIFS(T_PlannedOrders[EffectiveQty],T_PlannedOrders[Part Name],$A1003,T_PlannedOrders[WeekIndex],97)=0,"",SUMIFS(T_PlannedOrders[EffectiveQty],T_PlannedOrders[Part Name],$A1003,T_PlannedOrders[WeekIndex],97)&amp;" ("&amp;TEXT(SUMPRODUCT(MAX((T_PlannedOrders[Part Name]=$A1003)*(T_PlannedOrders[WeekIndex]=97)*(T_PlannedOrders[EffectiveQty]&gt;0)*T_PlannedOrders[Order_Month])),"m月")&amp;"発注)")</f>
        <v/>
      </c>
      <c r="CW1013">
        <f>IF(SUMIFS(T_PlannedOrders[EffectiveQty],T_PlannedOrders[Part Name],$A1003,T_PlannedOrders[WeekIndex],98)=0,"",SUMIFS(T_PlannedOrders[EffectiveQty],T_PlannedOrders[Part Name],$A1003,T_PlannedOrders[WeekIndex],98)&amp;" ("&amp;TEXT(SUMPRODUCT(MAX((T_PlannedOrders[Part Name]=$A1003)*(T_PlannedOrders[WeekIndex]=98)*(T_PlannedOrders[EffectiveQty]&gt;0)*T_PlannedOrders[Order_Month])),"m月")&amp;"発注)")</f>
        <v/>
      </c>
      <c r="CX1013">
        <f>IF(SUMIFS(T_PlannedOrders[EffectiveQty],T_PlannedOrders[Part Name],$A1003,T_PlannedOrders[WeekIndex],99)=0,"",SUMIFS(T_PlannedOrders[EffectiveQty],T_PlannedOrders[Part Name],$A1003,T_PlannedOrders[WeekIndex],99)&amp;" ("&amp;TEXT(SUMPRODUCT(MAX((T_PlannedOrders[Part Name]=$A1003)*(T_PlannedOrders[WeekIndex]=99)*(T_PlannedOrders[EffectiveQty]&gt;0)*T_PlannedOrders[Order_Month])),"m月")&amp;"発注)")</f>
        <v/>
      </c>
      <c r="CY1013">
        <f>IF(SUMIFS(T_PlannedOrders[EffectiveQty],T_PlannedOrders[Part Name],$A1003,T_PlannedOrders[WeekIndex],100)=0,"",SUMIFS(T_PlannedOrders[EffectiveQty],T_PlannedOrders[Part Name],$A1003,T_PlannedOrders[WeekIndex],100)&amp;" ("&amp;TEXT(SUMPRODUCT(MAX((T_PlannedOrders[Part Name]=$A1003)*(T_PlannedOrders[WeekIndex]=100)*(T_PlannedOrders[EffectiveQty]&gt;0)*T_PlannedOrders[Order_Month])),"m月")&amp;"発注)")</f>
        <v/>
      </c>
      <c r="CZ1013">
        <f>IF(SUMIFS(T_PlannedOrders[EffectiveQty],T_PlannedOrders[Part Name],$A1003,T_PlannedOrders[WeekIndex],101)=0,"",SUMIFS(T_PlannedOrders[EffectiveQty],T_PlannedOrders[Part Name],$A1003,T_PlannedOrders[WeekIndex],101)&amp;" ("&amp;TEXT(SUMPRODUCT(MAX((T_PlannedOrders[Part Name]=$A1003)*(T_PlannedOrders[WeekIndex]=101)*(T_PlannedOrders[EffectiveQty]&gt;0)*T_PlannedOrders[Order_Month])),"m月")&amp;"発注)")</f>
        <v/>
      </c>
      <c r="DA1013">
        <f>IF(SUMIFS(T_PlannedOrders[EffectiveQty],T_PlannedOrders[Part Name],$A1003,T_PlannedOrders[WeekIndex],102)=0,"",SUMIFS(T_PlannedOrders[EffectiveQty],T_PlannedOrders[Part Name],$A1003,T_PlannedOrders[WeekIndex],102)&amp;" ("&amp;TEXT(SUMPRODUCT(MAX((T_PlannedOrders[Part Name]=$A1003)*(T_PlannedOrders[WeekIndex]=102)*(T_PlannedOrders[EffectiveQty]&gt;0)*T_PlannedOrders[Order_Month])),"m月")&amp;"発注)")</f>
        <v/>
      </c>
      <c r="DB1013">
        <f>IF(SUMIFS(T_PlannedOrders[EffectiveQty],T_PlannedOrders[Part Name],$A1003,T_PlannedOrders[WeekIndex],103)=0,"",SUMIFS(T_PlannedOrders[EffectiveQty],T_PlannedOrders[Part Name],$A1003,T_PlannedOrders[WeekIndex],103)&amp;" ("&amp;TEXT(SUMPRODUCT(MAX((T_PlannedOrders[Part Name]=$A1003)*(T_PlannedOrders[WeekIndex]=103)*(T_PlannedOrders[EffectiveQty]&gt;0)*T_PlannedOrders[Order_Month])),"m月")&amp;"発注)")</f>
        <v/>
      </c>
      <c r="DC1013">
        <f>IF(SUMIFS(T_PlannedOrders[EffectiveQty],T_PlannedOrders[Part Name],$A1003,T_PlannedOrders[WeekIndex],104)=0,"",SUMIFS(T_PlannedOrders[EffectiveQty],T_PlannedOrders[Part Name],$A1003,T_PlannedOrders[WeekIndex],104)&amp;" ("&amp;TEXT(SUMPRODUCT(MAX((T_PlannedOrders[Part Name]=$A1003)*(T_PlannedOrders[WeekIndex]=104)*(T_PlannedOrders[EffectiveQty]&gt;0)*T_PlannedOrders[Order_Month])),"m月")&amp;"発注)")</f>
        <v/>
      </c>
    </row>
    <row r="1014">
      <c r="B1014" s="9" t="inlineStr">
        <is>
          <t>合計在庫(週末時点,kg)</t>
        </is>
      </c>
      <c r="D1014">
        <f>'Grid_Stock'!B31</f>
        <v/>
      </c>
      <c r="E1014">
        <f>'Grid_Stock'!C31</f>
        <v/>
      </c>
      <c r="F1014">
        <f>'Grid_Stock'!D31</f>
        <v/>
      </c>
      <c r="G1014">
        <f>'Grid_Stock'!E31</f>
        <v/>
      </c>
      <c r="H1014">
        <f>'Grid_Stock'!F31</f>
        <v/>
      </c>
      <c r="I1014">
        <f>'Grid_Stock'!G31</f>
        <v/>
      </c>
      <c r="J1014">
        <f>'Grid_Stock'!H31</f>
        <v/>
      </c>
      <c r="K1014">
        <f>'Grid_Stock'!I31</f>
        <v/>
      </c>
      <c r="L1014">
        <f>'Grid_Stock'!J31</f>
        <v/>
      </c>
      <c r="M1014">
        <f>'Grid_Stock'!K31</f>
        <v/>
      </c>
      <c r="N1014">
        <f>'Grid_Stock'!L31</f>
        <v/>
      </c>
      <c r="O1014">
        <f>'Grid_Stock'!M31</f>
        <v/>
      </c>
      <c r="P1014">
        <f>'Grid_Stock'!N31</f>
        <v/>
      </c>
      <c r="Q1014">
        <f>'Grid_Stock'!O31</f>
        <v/>
      </c>
      <c r="R1014">
        <f>'Grid_Stock'!P31</f>
        <v/>
      </c>
      <c r="S1014">
        <f>'Grid_Stock'!Q31</f>
        <v/>
      </c>
      <c r="T1014">
        <f>'Grid_Stock'!R31</f>
        <v/>
      </c>
      <c r="U1014">
        <f>'Grid_Stock'!S31</f>
        <v/>
      </c>
      <c r="V1014">
        <f>'Grid_Stock'!T31</f>
        <v/>
      </c>
      <c r="W1014">
        <f>'Grid_Stock'!U31</f>
        <v/>
      </c>
      <c r="X1014">
        <f>'Grid_Stock'!V31</f>
        <v/>
      </c>
      <c r="Y1014">
        <f>'Grid_Stock'!W31</f>
        <v/>
      </c>
      <c r="Z1014">
        <f>'Grid_Stock'!X31</f>
        <v/>
      </c>
      <c r="AA1014">
        <f>'Grid_Stock'!Y31</f>
        <v/>
      </c>
      <c r="AB1014">
        <f>'Grid_Stock'!Z31</f>
        <v/>
      </c>
      <c r="AC1014">
        <f>'Grid_Stock'!AA31</f>
        <v/>
      </c>
      <c r="AD1014">
        <f>'Grid_Stock'!AB31</f>
        <v/>
      </c>
      <c r="AE1014">
        <f>'Grid_Stock'!AC31</f>
        <v/>
      </c>
      <c r="AF1014">
        <f>'Grid_Stock'!AD31</f>
        <v/>
      </c>
      <c r="AG1014">
        <f>'Grid_Stock'!AE31</f>
        <v/>
      </c>
      <c r="AH1014">
        <f>'Grid_Stock'!AF31</f>
        <v/>
      </c>
      <c r="AI1014">
        <f>'Grid_Stock'!AG31</f>
        <v/>
      </c>
      <c r="AJ1014">
        <f>'Grid_Stock'!AH31</f>
        <v/>
      </c>
      <c r="AK1014">
        <f>'Grid_Stock'!AI31</f>
        <v/>
      </c>
      <c r="AL1014">
        <f>'Grid_Stock'!AJ31</f>
        <v/>
      </c>
      <c r="AM1014">
        <f>'Grid_Stock'!AK31</f>
        <v/>
      </c>
      <c r="AN1014">
        <f>'Grid_Stock'!AL31</f>
        <v/>
      </c>
      <c r="AO1014">
        <f>'Grid_Stock'!AM31</f>
        <v/>
      </c>
      <c r="AP1014">
        <f>'Grid_Stock'!AN31</f>
        <v/>
      </c>
      <c r="AQ1014">
        <f>'Grid_Stock'!AO31</f>
        <v/>
      </c>
      <c r="AR1014">
        <f>'Grid_Stock'!AP31</f>
        <v/>
      </c>
      <c r="AS1014">
        <f>'Grid_Stock'!AQ31</f>
        <v/>
      </c>
      <c r="AT1014">
        <f>'Grid_Stock'!AR31</f>
        <v/>
      </c>
      <c r="AU1014">
        <f>'Grid_Stock'!AS31</f>
        <v/>
      </c>
      <c r="AV1014">
        <f>'Grid_Stock'!AT31</f>
        <v/>
      </c>
      <c r="AW1014">
        <f>'Grid_Stock'!AU31</f>
        <v/>
      </c>
      <c r="AX1014">
        <f>'Grid_Stock'!AV31</f>
        <v/>
      </c>
      <c r="AY1014">
        <f>'Grid_Stock'!AW31</f>
        <v/>
      </c>
      <c r="AZ1014">
        <f>'Grid_Stock'!AX31</f>
        <v/>
      </c>
      <c r="BA1014">
        <f>'Grid_Stock'!AY31</f>
        <v/>
      </c>
      <c r="BB1014">
        <f>'Grid_Stock'!AZ31</f>
        <v/>
      </c>
      <c r="BC1014">
        <f>'Grid_Stock'!BA31</f>
        <v/>
      </c>
      <c r="BD1014">
        <f>'Grid_Stock'!BB31</f>
        <v/>
      </c>
      <c r="BE1014">
        <f>'Grid_Stock'!BC31</f>
        <v/>
      </c>
      <c r="BF1014">
        <f>'Grid_Stock'!BD31</f>
        <v/>
      </c>
      <c r="BG1014">
        <f>'Grid_Stock'!BE31</f>
        <v/>
      </c>
      <c r="BH1014">
        <f>'Grid_Stock'!BF31</f>
        <v/>
      </c>
      <c r="BI1014">
        <f>'Grid_Stock'!BG31</f>
        <v/>
      </c>
      <c r="BJ1014">
        <f>'Grid_Stock'!BH31</f>
        <v/>
      </c>
      <c r="BK1014">
        <f>'Grid_Stock'!BI31</f>
        <v/>
      </c>
      <c r="BL1014">
        <f>'Grid_Stock'!BJ31</f>
        <v/>
      </c>
      <c r="BM1014">
        <f>'Grid_Stock'!BK31</f>
        <v/>
      </c>
      <c r="BN1014">
        <f>'Grid_Stock'!BL31</f>
        <v/>
      </c>
      <c r="BO1014">
        <f>'Grid_Stock'!BM31</f>
        <v/>
      </c>
      <c r="BP1014">
        <f>'Grid_Stock'!BN31</f>
        <v/>
      </c>
      <c r="BQ1014">
        <f>'Grid_Stock'!BO31</f>
        <v/>
      </c>
      <c r="BR1014">
        <f>'Grid_Stock'!BP31</f>
        <v/>
      </c>
      <c r="BS1014">
        <f>'Grid_Stock'!BQ31</f>
        <v/>
      </c>
      <c r="BT1014">
        <f>'Grid_Stock'!BR31</f>
        <v/>
      </c>
      <c r="BU1014">
        <f>'Grid_Stock'!BS31</f>
        <v/>
      </c>
      <c r="BV1014">
        <f>'Grid_Stock'!BT31</f>
        <v/>
      </c>
      <c r="BW1014">
        <f>'Grid_Stock'!BU31</f>
        <v/>
      </c>
      <c r="BX1014">
        <f>'Grid_Stock'!BV31</f>
        <v/>
      </c>
      <c r="BY1014">
        <f>'Grid_Stock'!BW31</f>
        <v/>
      </c>
      <c r="BZ1014">
        <f>'Grid_Stock'!BX31</f>
        <v/>
      </c>
      <c r="CA1014">
        <f>'Grid_Stock'!BY31</f>
        <v/>
      </c>
      <c r="CB1014">
        <f>'Grid_Stock'!BZ31</f>
        <v/>
      </c>
      <c r="CC1014">
        <f>'Grid_Stock'!CA31</f>
        <v/>
      </c>
      <c r="CD1014">
        <f>'Grid_Stock'!CB31</f>
        <v/>
      </c>
      <c r="CE1014">
        <f>'Grid_Stock'!CC31</f>
        <v/>
      </c>
      <c r="CF1014">
        <f>'Grid_Stock'!CD31</f>
        <v/>
      </c>
      <c r="CG1014">
        <f>'Grid_Stock'!CE31</f>
        <v/>
      </c>
      <c r="CH1014">
        <f>'Grid_Stock'!CF31</f>
        <v/>
      </c>
      <c r="CI1014">
        <f>'Grid_Stock'!CG31</f>
        <v/>
      </c>
      <c r="CJ1014">
        <f>'Grid_Stock'!CH31</f>
        <v/>
      </c>
      <c r="CK1014">
        <f>'Grid_Stock'!CI31</f>
        <v/>
      </c>
      <c r="CL1014">
        <f>'Grid_Stock'!CJ31</f>
        <v/>
      </c>
      <c r="CM1014">
        <f>'Grid_Stock'!CK31</f>
        <v/>
      </c>
      <c r="CN1014">
        <f>'Grid_Stock'!CL31</f>
        <v/>
      </c>
      <c r="CO1014">
        <f>'Grid_Stock'!CM31</f>
        <v/>
      </c>
      <c r="CP1014">
        <f>'Grid_Stock'!CN31</f>
        <v/>
      </c>
      <c r="CQ1014">
        <f>'Grid_Stock'!CO31</f>
        <v/>
      </c>
      <c r="CR1014">
        <f>'Grid_Stock'!CP31</f>
        <v/>
      </c>
      <c r="CS1014">
        <f>'Grid_Stock'!CQ31</f>
        <v/>
      </c>
      <c r="CT1014">
        <f>'Grid_Stock'!CR31</f>
        <v/>
      </c>
      <c r="CU1014">
        <f>'Grid_Stock'!CS31</f>
        <v/>
      </c>
      <c r="CV1014">
        <f>'Grid_Stock'!CT31</f>
        <v/>
      </c>
      <c r="CW1014">
        <f>'Grid_Stock'!CU31</f>
        <v/>
      </c>
      <c r="CX1014">
        <f>'Grid_Stock'!CV31</f>
        <v/>
      </c>
      <c r="CY1014">
        <f>'Grid_Stock'!CW31</f>
        <v/>
      </c>
      <c r="CZ1014">
        <f>'Grid_Stock'!CX31</f>
        <v/>
      </c>
      <c r="DA1014">
        <f>'Grid_Stock'!CY31</f>
        <v/>
      </c>
      <c r="DB1014">
        <f>'Grid_Stock'!CZ31</f>
        <v/>
      </c>
      <c r="DC1014">
        <f>'Grid_Stock'!DA31</f>
        <v/>
      </c>
    </row>
    <row r="1015">
      <c r="B1015" s="21" t="inlineStr">
        <is>
          <t>（発注の目安はDashboardの基準在庫[下限/上限]と色分けを参照）</t>
        </is>
      </c>
    </row>
    <row r="1017">
      <c r="A1017" s="19" t="inlineStr">
        <is>
          <t>CHEM-1770</t>
        </is>
      </c>
      <c r="B1017" s="19" t="inlineStr">
        <is>
          <t>RCT-39</t>
        </is>
      </c>
      <c r="C1017" s="20" t="n"/>
      <c r="D1017" s="19" t="n"/>
      <c r="E1017" s="19" t="n"/>
      <c r="F1017" s="19" t="n"/>
      <c r="G1017" s="19" t="n"/>
      <c r="H1017" s="19" t="n"/>
      <c r="I1017" s="19" t="n"/>
      <c r="J1017" s="19" t="n"/>
      <c r="K1017" s="19" t="n"/>
      <c r="L1017" s="19" t="n"/>
      <c r="M1017" s="19" t="n"/>
      <c r="N1017" s="19" t="n"/>
      <c r="O1017" s="19" t="n"/>
      <c r="P1017" s="19" t="n"/>
      <c r="Q1017" s="19" t="n"/>
      <c r="R1017" s="19" t="n"/>
      <c r="S1017" s="19" t="n"/>
      <c r="T1017" s="19" t="n"/>
      <c r="U1017" s="19" t="n"/>
      <c r="V1017" s="19" t="n"/>
      <c r="W1017" s="19" t="n"/>
      <c r="X1017" s="19" t="n"/>
      <c r="Y1017" s="19" t="n"/>
      <c r="Z1017" s="19" t="n"/>
      <c r="AA1017" s="19" t="n"/>
      <c r="AB1017" s="19" t="n"/>
      <c r="AC1017" s="19" t="n"/>
      <c r="AD1017" s="19" t="n"/>
      <c r="AE1017" s="19" t="n"/>
      <c r="AF1017" s="19" t="n"/>
      <c r="AG1017" s="19" t="n"/>
      <c r="AH1017" s="19" t="n"/>
      <c r="AI1017" s="19" t="n"/>
      <c r="AJ1017" s="19" t="n"/>
      <c r="AK1017" s="19" t="n"/>
      <c r="AL1017" s="19" t="n"/>
      <c r="AM1017" s="19" t="n"/>
      <c r="AN1017" s="19" t="n"/>
      <c r="AO1017" s="19" t="n"/>
      <c r="AP1017" s="19" t="n"/>
      <c r="AQ1017" s="19" t="n"/>
      <c r="AR1017" s="19" t="n"/>
      <c r="AS1017" s="19" t="n"/>
      <c r="AT1017" s="19" t="n"/>
      <c r="AU1017" s="19" t="n"/>
      <c r="AV1017" s="19" t="n"/>
      <c r="AW1017" s="19" t="n"/>
      <c r="AX1017" s="19" t="n"/>
      <c r="AY1017" s="19" t="n"/>
      <c r="AZ1017" s="19" t="n"/>
      <c r="BA1017" s="19" t="n"/>
      <c r="BB1017" s="19" t="n"/>
      <c r="BC1017" s="19" t="n"/>
      <c r="BD1017" s="19" t="n"/>
      <c r="BE1017" s="19" t="n"/>
      <c r="BF1017" s="19" t="n"/>
      <c r="BG1017" s="19" t="n"/>
      <c r="BH1017" s="19" t="n"/>
      <c r="BI1017" s="19" t="n"/>
      <c r="BJ1017" s="19" t="n"/>
      <c r="BK1017" s="19" t="n"/>
      <c r="BL1017" s="19" t="n"/>
      <c r="BM1017" s="19" t="n"/>
      <c r="BN1017" s="19" t="n"/>
      <c r="BO1017" s="19" t="n"/>
      <c r="BP1017" s="19" t="n"/>
      <c r="BQ1017" s="19" t="n"/>
      <c r="BR1017" s="19" t="n"/>
      <c r="BS1017" s="19" t="n"/>
      <c r="BT1017" s="19" t="n"/>
      <c r="BU1017" s="19" t="n"/>
      <c r="BV1017" s="19" t="n"/>
      <c r="BW1017" s="19" t="n"/>
      <c r="BX1017" s="19" t="n"/>
      <c r="BY1017" s="19" t="n"/>
      <c r="BZ1017" s="19" t="n"/>
      <c r="CA1017" s="19" t="n"/>
      <c r="CB1017" s="19" t="n"/>
      <c r="CC1017" s="19" t="n"/>
      <c r="CD1017" s="19" t="n"/>
      <c r="CE1017" s="19" t="n"/>
      <c r="CF1017" s="19" t="n"/>
      <c r="CG1017" s="19" t="n"/>
      <c r="CH1017" s="19" t="n"/>
      <c r="CI1017" s="19" t="n"/>
      <c r="CJ1017" s="19" t="n"/>
      <c r="CK1017" s="19" t="n"/>
      <c r="CL1017" s="19" t="n"/>
      <c r="CM1017" s="19" t="n"/>
      <c r="CN1017" s="19" t="n"/>
      <c r="CO1017" s="19" t="n"/>
      <c r="CP1017" s="19" t="n"/>
      <c r="CQ1017" s="19" t="n"/>
      <c r="CR1017" s="19" t="n"/>
      <c r="CS1017" s="19" t="n"/>
      <c r="CT1017" s="19" t="n"/>
      <c r="CU1017" s="19" t="n"/>
      <c r="CV1017" s="19" t="n"/>
      <c r="CW1017" s="19" t="n"/>
      <c r="CX1017" s="19" t="n"/>
      <c r="CY1017" s="19" t="n"/>
      <c r="CZ1017" s="19" t="n"/>
      <c r="DA1017" s="19" t="n"/>
      <c r="DB1017" s="19" t="n"/>
      <c r="DC1017" s="19" t="n"/>
    </row>
    <row r="1018">
      <c r="B1018" t="inlineStr">
        <is>
          <t>TPP-635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12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Name],$A1017)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No of times used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12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Name],$A1017)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s="9" t="inlineStr">
        <is>
          <t>合計使用量(kg)/週</t>
        </is>
      </c>
      <c r="D1022">
        <f>'Grid_Requirement'!B36</f>
        <v/>
      </c>
      <c r="E1022">
        <f>'Grid_Requirement'!C36</f>
        <v/>
      </c>
      <c r="F1022">
        <f>'Grid_Requirement'!D36</f>
        <v/>
      </c>
      <c r="G1022">
        <f>'Grid_Requirement'!E36</f>
        <v/>
      </c>
      <c r="H1022">
        <f>'Grid_Requirement'!F36</f>
        <v/>
      </c>
      <c r="I1022">
        <f>'Grid_Requirement'!G36</f>
        <v/>
      </c>
      <c r="J1022">
        <f>'Grid_Requirement'!H36</f>
        <v/>
      </c>
      <c r="K1022">
        <f>'Grid_Requirement'!I36</f>
        <v/>
      </c>
      <c r="L1022">
        <f>'Grid_Requirement'!J36</f>
        <v/>
      </c>
      <c r="M1022">
        <f>'Grid_Requirement'!K36</f>
        <v/>
      </c>
      <c r="N1022">
        <f>'Grid_Requirement'!L36</f>
        <v/>
      </c>
      <c r="O1022">
        <f>'Grid_Requirement'!M36</f>
        <v/>
      </c>
      <c r="P1022">
        <f>'Grid_Requirement'!N36</f>
        <v/>
      </c>
      <c r="Q1022">
        <f>'Grid_Requirement'!O36</f>
        <v/>
      </c>
      <c r="R1022">
        <f>'Grid_Requirement'!P36</f>
        <v/>
      </c>
      <c r="S1022">
        <f>'Grid_Requirement'!Q36</f>
        <v/>
      </c>
      <c r="T1022">
        <f>'Grid_Requirement'!R36</f>
        <v/>
      </c>
      <c r="U1022">
        <f>'Grid_Requirement'!S36</f>
        <v/>
      </c>
      <c r="V1022">
        <f>'Grid_Requirement'!T36</f>
        <v/>
      </c>
      <c r="W1022">
        <f>'Grid_Requirement'!U36</f>
        <v/>
      </c>
      <c r="X1022">
        <f>'Grid_Requirement'!V36</f>
        <v/>
      </c>
      <c r="Y1022">
        <f>'Grid_Requirement'!W36</f>
        <v/>
      </c>
      <c r="Z1022">
        <f>'Grid_Requirement'!X36</f>
        <v/>
      </c>
      <c r="AA1022">
        <f>'Grid_Requirement'!Y36</f>
        <v/>
      </c>
      <c r="AB1022">
        <f>'Grid_Requirement'!Z36</f>
        <v/>
      </c>
      <c r="AC1022">
        <f>'Grid_Requirement'!AA36</f>
        <v/>
      </c>
      <c r="AD1022">
        <f>'Grid_Requirement'!AB36</f>
        <v/>
      </c>
      <c r="AE1022">
        <f>'Grid_Requirement'!AC36</f>
        <v/>
      </c>
      <c r="AF1022">
        <f>'Grid_Requirement'!AD36</f>
        <v/>
      </c>
      <c r="AG1022">
        <f>'Grid_Requirement'!AE36</f>
        <v/>
      </c>
      <c r="AH1022">
        <f>'Grid_Requirement'!AF36</f>
        <v/>
      </c>
      <c r="AI1022">
        <f>'Grid_Requirement'!AG36</f>
        <v/>
      </c>
      <c r="AJ1022">
        <f>'Grid_Requirement'!AH36</f>
        <v/>
      </c>
      <c r="AK1022">
        <f>'Grid_Requirement'!AI36</f>
        <v/>
      </c>
      <c r="AL1022">
        <f>'Grid_Requirement'!AJ36</f>
        <v/>
      </c>
      <c r="AM1022">
        <f>'Grid_Requirement'!AK36</f>
        <v/>
      </c>
      <c r="AN1022">
        <f>'Grid_Requirement'!AL36</f>
        <v/>
      </c>
      <c r="AO1022">
        <f>'Grid_Requirement'!AM36</f>
        <v/>
      </c>
      <c r="AP1022">
        <f>'Grid_Requirement'!AN36</f>
        <v/>
      </c>
      <c r="AQ1022">
        <f>'Grid_Requirement'!AO36</f>
        <v/>
      </c>
      <c r="AR1022">
        <f>'Grid_Requirement'!AP36</f>
        <v/>
      </c>
      <c r="AS1022">
        <f>'Grid_Requirement'!AQ36</f>
        <v/>
      </c>
      <c r="AT1022">
        <f>'Grid_Requirement'!AR36</f>
        <v/>
      </c>
      <c r="AU1022">
        <f>'Grid_Requirement'!AS36</f>
        <v/>
      </c>
      <c r="AV1022">
        <f>'Grid_Requirement'!AT36</f>
        <v/>
      </c>
      <c r="AW1022">
        <f>'Grid_Requirement'!AU36</f>
        <v/>
      </c>
      <c r="AX1022">
        <f>'Grid_Requirement'!AV36</f>
        <v/>
      </c>
      <c r="AY1022">
        <f>'Grid_Requirement'!AW36</f>
        <v/>
      </c>
      <c r="AZ1022">
        <f>'Grid_Requirement'!AX36</f>
        <v/>
      </c>
      <c r="BA1022">
        <f>'Grid_Requirement'!AY36</f>
        <v/>
      </c>
      <c r="BB1022">
        <f>'Grid_Requirement'!AZ36</f>
        <v/>
      </c>
      <c r="BC1022">
        <f>'Grid_Requirement'!BA36</f>
        <v/>
      </c>
      <c r="BD1022">
        <f>'Grid_Requirement'!BB36</f>
        <v/>
      </c>
      <c r="BE1022">
        <f>'Grid_Requirement'!BC36</f>
        <v/>
      </c>
      <c r="BF1022">
        <f>'Grid_Requirement'!BD36</f>
        <v/>
      </c>
      <c r="BG1022">
        <f>'Grid_Requirement'!BE36</f>
        <v/>
      </c>
      <c r="BH1022">
        <f>'Grid_Requirement'!BF36</f>
        <v/>
      </c>
      <c r="BI1022">
        <f>'Grid_Requirement'!BG36</f>
        <v/>
      </c>
      <c r="BJ1022">
        <f>'Grid_Requirement'!BH36</f>
        <v/>
      </c>
      <c r="BK1022">
        <f>'Grid_Requirement'!BI36</f>
        <v/>
      </c>
      <c r="BL1022">
        <f>'Grid_Requirement'!BJ36</f>
        <v/>
      </c>
      <c r="BM1022">
        <f>'Grid_Requirement'!BK36</f>
        <v/>
      </c>
      <c r="BN1022">
        <f>'Grid_Requirement'!BL36</f>
        <v/>
      </c>
      <c r="BO1022">
        <f>'Grid_Requirement'!BM36</f>
        <v/>
      </c>
      <c r="BP1022">
        <f>'Grid_Requirement'!BN36</f>
        <v/>
      </c>
      <c r="BQ1022">
        <f>'Grid_Requirement'!BO36</f>
        <v/>
      </c>
      <c r="BR1022">
        <f>'Grid_Requirement'!BP36</f>
        <v/>
      </c>
      <c r="BS1022">
        <f>'Grid_Requirement'!BQ36</f>
        <v/>
      </c>
      <c r="BT1022">
        <f>'Grid_Requirement'!BR36</f>
        <v/>
      </c>
      <c r="BU1022">
        <f>'Grid_Requirement'!BS36</f>
        <v/>
      </c>
      <c r="BV1022">
        <f>'Grid_Requirement'!BT36</f>
        <v/>
      </c>
      <c r="BW1022">
        <f>'Grid_Requirement'!BU36</f>
        <v/>
      </c>
      <c r="BX1022">
        <f>'Grid_Requirement'!BV36</f>
        <v/>
      </c>
      <c r="BY1022">
        <f>'Grid_Requirement'!BW36</f>
        <v/>
      </c>
      <c r="BZ1022">
        <f>'Grid_Requirement'!BX36</f>
        <v/>
      </c>
      <c r="CA1022">
        <f>'Grid_Requirement'!BY36</f>
        <v/>
      </c>
      <c r="CB1022">
        <f>'Grid_Requirement'!BZ36</f>
        <v/>
      </c>
      <c r="CC1022">
        <f>'Grid_Requirement'!CA36</f>
        <v/>
      </c>
      <c r="CD1022">
        <f>'Grid_Requirement'!CB36</f>
        <v/>
      </c>
      <c r="CE1022">
        <f>'Grid_Requirement'!CC36</f>
        <v/>
      </c>
      <c r="CF1022">
        <f>'Grid_Requirement'!CD36</f>
        <v/>
      </c>
      <c r="CG1022">
        <f>'Grid_Requirement'!CE36</f>
        <v/>
      </c>
      <c r="CH1022">
        <f>'Grid_Requirement'!CF36</f>
        <v/>
      </c>
      <c r="CI1022">
        <f>'Grid_Requirement'!CG36</f>
        <v/>
      </c>
      <c r="CJ1022">
        <f>'Grid_Requirement'!CH36</f>
        <v/>
      </c>
      <c r="CK1022">
        <f>'Grid_Requirement'!CI36</f>
        <v/>
      </c>
      <c r="CL1022">
        <f>'Grid_Requirement'!CJ36</f>
        <v/>
      </c>
      <c r="CM1022">
        <f>'Grid_Requirement'!CK36</f>
        <v/>
      </c>
      <c r="CN1022">
        <f>'Grid_Requirement'!CL36</f>
        <v/>
      </c>
      <c r="CO1022">
        <f>'Grid_Requirement'!CM36</f>
        <v/>
      </c>
      <c r="CP1022">
        <f>'Grid_Requirement'!CN36</f>
        <v/>
      </c>
      <c r="CQ1022">
        <f>'Grid_Requirement'!CO36</f>
        <v/>
      </c>
      <c r="CR1022">
        <f>'Grid_Requirement'!CP36</f>
        <v/>
      </c>
      <c r="CS1022">
        <f>'Grid_Requirement'!CQ36</f>
        <v/>
      </c>
      <c r="CT1022">
        <f>'Grid_Requirement'!CR36</f>
        <v/>
      </c>
      <c r="CU1022">
        <f>'Grid_Requirement'!CS36</f>
        <v/>
      </c>
      <c r="CV1022">
        <f>'Grid_Requirement'!CT36</f>
        <v/>
      </c>
      <c r="CW1022">
        <f>'Grid_Requirement'!CU36</f>
        <v/>
      </c>
      <c r="CX1022">
        <f>'Grid_Requirement'!CV36</f>
        <v/>
      </c>
      <c r="CY1022">
        <f>'Grid_Requirement'!CW36</f>
        <v/>
      </c>
      <c r="CZ1022">
        <f>'Grid_Requirement'!CX36</f>
        <v/>
      </c>
      <c r="DA1022">
        <f>'Grid_Requirement'!CY36</f>
        <v/>
      </c>
      <c r="DB1022">
        <f>'Grid_Requirement'!CZ36</f>
        <v/>
      </c>
      <c r="DC1022">
        <f>'Grid_Requirement'!DA36</f>
        <v/>
      </c>
    </row>
    <row r="1023">
      <c r="B1023" t="inlineStr">
        <is>
          <t>TTAF在庫(実績,kg)</t>
        </is>
      </c>
      <c r="D1023">
        <f>'T_TTAFStock'!B40</f>
        <v/>
      </c>
      <c r="E1023">
        <f>'T_TTAFStock'!C40</f>
        <v/>
      </c>
      <c r="F1023">
        <f>'T_TTAFStock'!D40</f>
        <v/>
      </c>
      <c r="G1023">
        <f>'T_TTAFStock'!E40</f>
        <v/>
      </c>
      <c r="H1023">
        <f>'T_TTAFStock'!F40</f>
        <v/>
      </c>
      <c r="I1023">
        <f>'T_TTAFStock'!G40</f>
        <v/>
      </c>
      <c r="J1023">
        <f>'T_TTAFStock'!H40</f>
        <v/>
      </c>
      <c r="K1023">
        <f>'T_TTAFStock'!I40</f>
        <v/>
      </c>
      <c r="L1023">
        <f>'T_TTAFStock'!J40</f>
        <v/>
      </c>
      <c r="M1023">
        <f>'T_TTAFStock'!K40</f>
        <v/>
      </c>
      <c r="N1023">
        <f>'T_TTAFStock'!L40</f>
        <v/>
      </c>
      <c r="O1023">
        <f>'T_TTAFStock'!M40</f>
        <v/>
      </c>
      <c r="P1023">
        <f>'T_TTAFStock'!N40</f>
        <v/>
      </c>
      <c r="Q1023">
        <f>'T_TTAFStock'!O40</f>
        <v/>
      </c>
      <c r="R1023">
        <f>'T_TTAFStock'!P40</f>
        <v/>
      </c>
      <c r="S1023">
        <f>'T_TTAFStock'!Q40</f>
        <v/>
      </c>
      <c r="T1023">
        <f>'T_TTAFStock'!R40</f>
        <v/>
      </c>
      <c r="U1023">
        <f>'T_TTAFStock'!S40</f>
        <v/>
      </c>
      <c r="V1023">
        <f>'T_TTAFStock'!T40</f>
        <v/>
      </c>
      <c r="W1023">
        <f>'T_TTAFStock'!U40</f>
        <v/>
      </c>
      <c r="X1023">
        <f>'T_TTAFStock'!V40</f>
        <v/>
      </c>
      <c r="Y1023">
        <f>'T_TTAFStock'!W40</f>
        <v/>
      </c>
      <c r="Z1023">
        <f>'T_TTAFStock'!X40</f>
        <v/>
      </c>
      <c r="AA1023">
        <f>'T_TTAFStock'!Y40</f>
        <v/>
      </c>
      <c r="AB1023">
        <f>'T_TTAFStock'!Z40</f>
        <v/>
      </c>
      <c r="AC1023">
        <f>'T_TTAFStock'!AA40</f>
        <v/>
      </c>
      <c r="AD1023">
        <f>'T_TTAFStock'!AB40</f>
        <v/>
      </c>
      <c r="AE1023">
        <f>'T_TTAFStock'!AC40</f>
        <v/>
      </c>
      <c r="AF1023">
        <f>'T_TTAFStock'!AD40</f>
        <v/>
      </c>
      <c r="AG1023">
        <f>'T_TTAFStock'!AE40</f>
        <v/>
      </c>
      <c r="AH1023">
        <f>'T_TTAFStock'!AF40</f>
        <v/>
      </c>
      <c r="AI1023">
        <f>'T_TTAFStock'!AG40</f>
        <v/>
      </c>
      <c r="AJ1023">
        <f>'T_TTAFStock'!AH40</f>
        <v/>
      </c>
      <c r="AK1023">
        <f>'T_TTAFStock'!AI40</f>
        <v/>
      </c>
      <c r="AL1023">
        <f>'T_TTAFStock'!AJ40</f>
        <v/>
      </c>
      <c r="AM1023">
        <f>'T_TTAFStock'!AK40</f>
        <v/>
      </c>
      <c r="AN1023">
        <f>'T_TTAFStock'!AL40</f>
        <v/>
      </c>
      <c r="AO1023">
        <f>'T_TTAFStock'!AM40</f>
        <v/>
      </c>
      <c r="AP1023">
        <f>'T_TTAFStock'!AN40</f>
        <v/>
      </c>
      <c r="AQ1023">
        <f>'T_TTAFStock'!AO40</f>
        <v/>
      </c>
      <c r="AR1023">
        <f>'T_TTAFStock'!AP40</f>
        <v/>
      </c>
      <c r="AS1023">
        <f>'T_TTAFStock'!AQ40</f>
        <v/>
      </c>
      <c r="AT1023">
        <f>'T_TTAFStock'!AR40</f>
        <v/>
      </c>
      <c r="AU1023">
        <f>'T_TTAFStock'!AS40</f>
        <v/>
      </c>
      <c r="AV1023">
        <f>'T_TTAFStock'!AT40</f>
        <v/>
      </c>
      <c r="AW1023">
        <f>'T_TTAFStock'!AU40</f>
        <v/>
      </c>
      <c r="AX1023">
        <f>'T_TTAFStock'!AV40</f>
        <v/>
      </c>
      <c r="AY1023">
        <f>'T_TTAFStock'!AW40</f>
        <v/>
      </c>
      <c r="AZ1023">
        <f>'T_TTAFStock'!AX40</f>
        <v/>
      </c>
      <c r="BA1023">
        <f>'T_TTAFStock'!AY40</f>
        <v/>
      </c>
      <c r="BB1023">
        <f>'T_TTAFStock'!AZ40</f>
        <v/>
      </c>
      <c r="BC1023">
        <f>'T_TTAFStock'!BA40</f>
        <v/>
      </c>
      <c r="BD1023">
        <f>'T_TTAFStock'!BB40</f>
        <v/>
      </c>
      <c r="BE1023">
        <f>'T_TTAFStock'!BC40</f>
        <v/>
      </c>
      <c r="BF1023">
        <f>'T_TTAFStock'!BD40</f>
        <v/>
      </c>
      <c r="BG1023">
        <f>'T_TTAFStock'!BE40</f>
        <v/>
      </c>
      <c r="BH1023">
        <f>'T_TTAFStock'!BF40</f>
        <v/>
      </c>
      <c r="BI1023">
        <f>'T_TTAFStock'!BG40</f>
        <v/>
      </c>
      <c r="BJ1023">
        <f>'T_TTAFStock'!BH40</f>
        <v/>
      </c>
      <c r="BK1023">
        <f>'T_TTAFStock'!BI40</f>
        <v/>
      </c>
      <c r="BL1023">
        <f>'T_TTAFStock'!BJ40</f>
        <v/>
      </c>
      <c r="BM1023">
        <f>'T_TTAFStock'!BK40</f>
        <v/>
      </c>
      <c r="BN1023">
        <f>'T_TTAFStock'!BL40</f>
        <v/>
      </c>
      <c r="BO1023">
        <f>'T_TTAFStock'!BM40</f>
        <v/>
      </c>
      <c r="BP1023">
        <f>'T_TTAFStock'!BN40</f>
        <v/>
      </c>
      <c r="BQ1023">
        <f>'T_TTAFStock'!BO40</f>
        <v/>
      </c>
      <c r="BR1023">
        <f>'T_TTAFStock'!BP40</f>
        <v/>
      </c>
      <c r="BS1023">
        <f>'T_TTAFStock'!BQ40</f>
        <v/>
      </c>
      <c r="BT1023">
        <f>'T_TTAFStock'!BR40</f>
        <v/>
      </c>
      <c r="BU1023">
        <f>'T_TTAFStock'!BS40</f>
        <v/>
      </c>
      <c r="BV1023">
        <f>'T_TTAFStock'!BT40</f>
        <v/>
      </c>
      <c r="BW1023">
        <f>'T_TTAFStock'!BU40</f>
        <v/>
      </c>
      <c r="BX1023">
        <f>'T_TTAFStock'!BV40</f>
        <v/>
      </c>
      <c r="BY1023">
        <f>'T_TTAFStock'!BW40</f>
        <v/>
      </c>
      <c r="BZ1023">
        <f>'T_TTAFStock'!BX40</f>
        <v/>
      </c>
      <c r="CA1023">
        <f>'T_TTAFStock'!BY40</f>
        <v/>
      </c>
      <c r="CB1023">
        <f>'T_TTAFStock'!BZ40</f>
        <v/>
      </c>
      <c r="CC1023">
        <f>'T_TTAFStock'!CA40</f>
        <v/>
      </c>
      <c r="CD1023">
        <f>'T_TTAFStock'!CB40</f>
        <v/>
      </c>
      <c r="CE1023">
        <f>'T_TTAFStock'!CC40</f>
        <v/>
      </c>
      <c r="CF1023">
        <f>'T_TTAFStock'!CD40</f>
        <v/>
      </c>
      <c r="CG1023">
        <f>'T_TTAFStock'!CE40</f>
        <v/>
      </c>
      <c r="CH1023">
        <f>'T_TTAFStock'!CF40</f>
        <v/>
      </c>
      <c r="CI1023">
        <f>'T_TTAFStock'!CG40</f>
        <v/>
      </c>
      <c r="CJ1023">
        <f>'T_TTAFStock'!CH40</f>
        <v/>
      </c>
      <c r="CK1023">
        <f>'T_TTAFStock'!CI40</f>
        <v/>
      </c>
      <c r="CL1023">
        <f>'T_TTAFStock'!CJ40</f>
        <v/>
      </c>
      <c r="CM1023">
        <f>'T_TTAFStock'!CK40</f>
        <v/>
      </c>
      <c r="CN1023">
        <f>'T_TTAFStock'!CL40</f>
        <v/>
      </c>
      <c r="CO1023">
        <f>'T_TTAFStock'!CM40</f>
        <v/>
      </c>
      <c r="CP1023">
        <f>'T_TTAFStock'!CN40</f>
        <v/>
      </c>
      <c r="CQ1023">
        <f>'T_TTAFStock'!CO40</f>
        <v/>
      </c>
      <c r="CR1023">
        <f>'T_TTAFStock'!CP40</f>
        <v/>
      </c>
      <c r="CS1023">
        <f>'T_TTAFStock'!CQ40</f>
        <v/>
      </c>
      <c r="CT1023">
        <f>'T_TTAFStock'!CR40</f>
        <v/>
      </c>
      <c r="CU1023">
        <f>'T_TTAFStock'!CS40</f>
        <v/>
      </c>
      <c r="CV1023">
        <f>'T_TTAFStock'!CT40</f>
        <v/>
      </c>
      <c r="CW1023">
        <f>'T_TTAFStock'!CU40</f>
        <v/>
      </c>
      <c r="CX1023">
        <f>'T_TTAFStock'!CV40</f>
        <v/>
      </c>
      <c r="CY1023">
        <f>'T_TTAFStock'!CW40</f>
        <v/>
      </c>
      <c r="CZ1023">
        <f>'T_TTAFStock'!CX40</f>
        <v/>
      </c>
      <c r="DA1023">
        <f>'T_TTAFStock'!CY40</f>
        <v/>
      </c>
      <c r="DB1023">
        <f>'T_TTAFStock'!CZ40</f>
        <v/>
      </c>
      <c r="DC1023">
        <f>'T_TTAFStock'!DA40</f>
        <v/>
      </c>
    </row>
    <row r="1024">
      <c r="B1024" t="inlineStr">
        <is>
          <t>自社在庫(実績,kg)</t>
        </is>
      </c>
      <c r="D1024">
        <f>'T_SelfStock'!B40</f>
        <v/>
      </c>
      <c r="E1024">
        <f>'T_SelfStock'!C40</f>
        <v/>
      </c>
      <c r="F1024">
        <f>'T_SelfStock'!D40</f>
        <v/>
      </c>
      <c r="G1024">
        <f>'T_SelfStock'!E40</f>
        <v/>
      </c>
      <c r="H1024">
        <f>'T_SelfStock'!F40</f>
        <v/>
      </c>
      <c r="I1024">
        <f>'T_SelfStock'!G40</f>
        <v/>
      </c>
      <c r="J1024">
        <f>'T_SelfStock'!H40</f>
        <v/>
      </c>
      <c r="K1024">
        <f>'T_SelfStock'!I40</f>
        <v/>
      </c>
      <c r="L1024">
        <f>'T_SelfStock'!J40</f>
        <v/>
      </c>
      <c r="M1024">
        <f>'T_SelfStock'!K40</f>
        <v/>
      </c>
      <c r="N1024">
        <f>'T_SelfStock'!L40</f>
        <v/>
      </c>
      <c r="O1024">
        <f>'T_SelfStock'!M40</f>
        <v/>
      </c>
      <c r="P1024">
        <f>'T_SelfStock'!N40</f>
        <v/>
      </c>
      <c r="Q1024">
        <f>'T_SelfStock'!O40</f>
        <v/>
      </c>
      <c r="R1024">
        <f>'T_SelfStock'!P40</f>
        <v/>
      </c>
      <c r="S1024">
        <f>'T_SelfStock'!Q40</f>
        <v/>
      </c>
      <c r="T1024">
        <f>'T_SelfStock'!R40</f>
        <v/>
      </c>
      <c r="U1024">
        <f>'T_SelfStock'!S40</f>
        <v/>
      </c>
      <c r="V1024">
        <f>'T_SelfStock'!T40</f>
        <v/>
      </c>
      <c r="W1024">
        <f>'T_SelfStock'!U40</f>
        <v/>
      </c>
      <c r="X1024">
        <f>'T_SelfStock'!V40</f>
        <v/>
      </c>
      <c r="Y1024">
        <f>'T_SelfStock'!W40</f>
        <v/>
      </c>
      <c r="Z1024">
        <f>'T_SelfStock'!X40</f>
        <v/>
      </c>
      <c r="AA1024">
        <f>'T_SelfStock'!Y40</f>
        <v/>
      </c>
      <c r="AB1024">
        <f>'T_SelfStock'!Z40</f>
        <v/>
      </c>
      <c r="AC1024">
        <f>'T_SelfStock'!AA40</f>
        <v/>
      </c>
      <c r="AD1024">
        <f>'T_SelfStock'!AB40</f>
        <v/>
      </c>
      <c r="AE1024">
        <f>'T_SelfStock'!AC40</f>
        <v/>
      </c>
      <c r="AF1024">
        <f>'T_SelfStock'!AD40</f>
        <v/>
      </c>
      <c r="AG1024">
        <f>'T_SelfStock'!AE40</f>
        <v/>
      </c>
      <c r="AH1024">
        <f>'T_SelfStock'!AF40</f>
        <v/>
      </c>
      <c r="AI1024">
        <f>'T_SelfStock'!AG40</f>
        <v/>
      </c>
      <c r="AJ1024">
        <f>'T_SelfStock'!AH40</f>
        <v/>
      </c>
      <c r="AK1024">
        <f>'T_SelfStock'!AI40</f>
        <v/>
      </c>
      <c r="AL1024">
        <f>'T_SelfStock'!AJ40</f>
        <v/>
      </c>
      <c r="AM1024">
        <f>'T_SelfStock'!AK40</f>
        <v/>
      </c>
      <c r="AN1024">
        <f>'T_SelfStock'!AL40</f>
        <v/>
      </c>
      <c r="AO1024">
        <f>'T_SelfStock'!AM40</f>
        <v/>
      </c>
      <c r="AP1024">
        <f>'T_SelfStock'!AN40</f>
        <v/>
      </c>
      <c r="AQ1024">
        <f>'T_SelfStock'!AO40</f>
        <v/>
      </c>
      <c r="AR1024">
        <f>'T_SelfStock'!AP40</f>
        <v/>
      </c>
      <c r="AS1024">
        <f>'T_SelfStock'!AQ40</f>
        <v/>
      </c>
      <c r="AT1024">
        <f>'T_SelfStock'!AR40</f>
        <v/>
      </c>
      <c r="AU1024">
        <f>'T_SelfStock'!AS40</f>
        <v/>
      </c>
      <c r="AV1024">
        <f>'T_SelfStock'!AT40</f>
        <v/>
      </c>
      <c r="AW1024">
        <f>'T_SelfStock'!AU40</f>
        <v/>
      </c>
      <c r="AX1024">
        <f>'T_SelfStock'!AV40</f>
        <v/>
      </c>
      <c r="AY1024">
        <f>'T_SelfStock'!AW40</f>
        <v/>
      </c>
      <c r="AZ1024">
        <f>'T_SelfStock'!AX40</f>
        <v/>
      </c>
      <c r="BA1024">
        <f>'T_SelfStock'!AY40</f>
        <v/>
      </c>
      <c r="BB1024">
        <f>'T_SelfStock'!AZ40</f>
        <v/>
      </c>
      <c r="BC1024">
        <f>'T_SelfStock'!BA40</f>
        <v/>
      </c>
      <c r="BD1024">
        <f>'T_SelfStock'!BB40</f>
        <v/>
      </c>
      <c r="BE1024">
        <f>'T_SelfStock'!BC40</f>
        <v/>
      </c>
      <c r="BF1024">
        <f>'T_SelfStock'!BD40</f>
        <v/>
      </c>
      <c r="BG1024">
        <f>'T_SelfStock'!BE40</f>
        <v/>
      </c>
      <c r="BH1024">
        <f>'T_SelfStock'!BF40</f>
        <v/>
      </c>
      <c r="BI1024">
        <f>'T_SelfStock'!BG40</f>
        <v/>
      </c>
      <c r="BJ1024">
        <f>'T_SelfStock'!BH40</f>
        <v/>
      </c>
      <c r="BK1024">
        <f>'T_SelfStock'!BI40</f>
        <v/>
      </c>
      <c r="BL1024">
        <f>'T_SelfStock'!BJ40</f>
        <v/>
      </c>
      <c r="BM1024">
        <f>'T_SelfStock'!BK40</f>
        <v/>
      </c>
      <c r="BN1024">
        <f>'T_SelfStock'!BL40</f>
        <v/>
      </c>
      <c r="BO1024">
        <f>'T_SelfStock'!BM40</f>
        <v/>
      </c>
      <c r="BP1024">
        <f>'T_SelfStock'!BN40</f>
        <v/>
      </c>
      <c r="BQ1024">
        <f>'T_SelfStock'!BO40</f>
        <v/>
      </c>
      <c r="BR1024">
        <f>'T_SelfStock'!BP40</f>
        <v/>
      </c>
      <c r="BS1024">
        <f>'T_SelfStock'!BQ40</f>
        <v/>
      </c>
      <c r="BT1024">
        <f>'T_SelfStock'!BR40</f>
        <v/>
      </c>
      <c r="BU1024">
        <f>'T_SelfStock'!BS40</f>
        <v/>
      </c>
      <c r="BV1024">
        <f>'T_SelfStock'!BT40</f>
        <v/>
      </c>
      <c r="BW1024">
        <f>'T_SelfStock'!BU40</f>
        <v/>
      </c>
      <c r="BX1024">
        <f>'T_SelfStock'!BV40</f>
        <v/>
      </c>
      <c r="BY1024">
        <f>'T_SelfStock'!BW40</f>
        <v/>
      </c>
      <c r="BZ1024">
        <f>'T_SelfStock'!BX40</f>
        <v/>
      </c>
      <c r="CA1024">
        <f>'T_SelfStock'!BY40</f>
        <v/>
      </c>
      <c r="CB1024">
        <f>'T_SelfStock'!BZ40</f>
        <v/>
      </c>
      <c r="CC1024">
        <f>'T_SelfStock'!CA40</f>
        <v/>
      </c>
      <c r="CD1024">
        <f>'T_SelfStock'!CB40</f>
        <v/>
      </c>
      <c r="CE1024">
        <f>'T_SelfStock'!CC40</f>
        <v/>
      </c>
      <c r="CF1024">
        <f>'T_SelfStock'!CD40</f>
        <v/>
      </c>
      <c r="CG1024">
        <f>'T_SelfStock'!CE40</f>
        <v/>
      </c>
      <c r="CH1024">
        <f>'T_SelfStock'!CF40</f>
        <v/>
      </c>
      <c r="CI1024">
        <f>'T_SelfStock'!CG40</f>
        <v/>
      </c>
      <c r="CJ1024">
        <f>'T_SelfStock'!CH40</f>
        <v/>
      </c>
      <c r="CK1024">
        <f>'T_SelfStock'!CI40</f>
        <v/>
      </c>
      <c r="CL1024">
        <f>'T_SelfStock'!CJ40</f>
        <v/>
      </c>
      <c r="CM1024">
        <f>'T_SelfStock'!CK40</f>
        <v/>
      </c>
      <c r="CN1024">
        <f>'T_SelfStock'!CL40</f>
        <v/>
      </c>
      <c r="CO1024">
        <f>'T_SelfStock'!CM40</f>
        <v/>
      </c>
      <c r="CP1024">
        <f>'T_SelfStock'!CN40</f>
        <v/>
      </c>
      <c r="CQ1024">
        <f>'T_SelfStock'!CO40</f>
        <v/>
      </c>
      <c r="CR1024">
        <f>'T_SelfStock'!CP40</f>
        <v/>
      </c>
      <c r="CS1024">
        <f>'T_SelfStock'!CQ40</f>
        <v/>
      </c>
      <c r="CT1024">
        <f>'T_SelfStock'!CR40</f>
        <v/>
      </c>
      <c r="CU1024">
        <f>'T_SelfStock'!CS40</f>
        <v/>
      </c>
      <c r="CV1024">
        <f>'T_SelfStock'!CT40</f>
        <v/>
      </c>
      <c r="CW1024">
        <f>'T_SelfStock'!CU40</f>
        <v/>
      </c>
      <c r="CX1024">
        <f>'T_SelfStock'!CV40</f>
        <v/>
      </c>
      <c r="CY1024">
        <f>'T_SelfStock'!CW40</f>
        <v/>
      </c>
      <c r="CZ1024">
        <f>'T_SelfStock'!CX40</f>
        <v/>
      </c>
      <c r="DA1024">
        <f>'T_SelfStock'!CY40</f>
        <v/>
      </c>
      <c r="DB1024">
        <f>'T_SelfStock'!CZ40</f>
        <v/>
      </c>
      <c r="DC1024">
        <f>'T_SelfStock'!DA40</f>
        <v/>
      </c>
    </row>
    <row r="1025">
      <c r="B1025" t="inlineStr">
        <is>
          <t>Order(発注予定,kg)</t>
        </is>
      </c>
      <c r="D1025">
        <f>IF(SUMIFS(T_PlannedOrders[EffectiveQty],T_PlannedOrders[Part Name],$A1017,T_PlannedOrders[WeekIndex],1)=0,"",SUMIFS(T_PlannedOrders[EffectiveQty],T_PlannedOrders[Part Name],$A1017,T_PlannedOrders[WeekIndex],1)&amp;" ("&amp;TEXT(SUMPRODUCT(MAX((T_PlannedOrders[Part Name]=$A1017)*(T_PlannedOrders[WeekIndex]=1)*(T_PlannedOrders[EffectiveQty]&gt;0)*T_PlannedOrders[Order_Month])),"m月")&amp;"発注)")</f>
        <v/>
      </c>
      <c r="E1025">
        <f>IF(SUMIFS(T_PlannedOrders[EffectiveQty],T_PlannedOrders[Part Name],$A1017,T_PlannedOrders[WeekIndex],2)=0,"",SUMIFS(T_PlannedOrders[EffectiveQty],T_PlannedOrders[Part Name],$A1017,T_PlannedOrders[WeekIndex],2)&amp;" ("&amp;TEXT(SUMPRODUCT(MAX((T_PlannedOrders[Part Name]=$A1017)*(T_PlannedOrders[WeekIndex]=2)*(T_PlannedOrders[EffectiveQty]&gt;0)*T_PlannedOrders[Order_Month])),"m月")&amp;"発注)")</f>
        <v/>
      </c>
      <c r="F1025">
        <f>IF(SUMIFS(T_PlannedOrders[EffectiveQty],T_PlannedOrders[Part Name],$A1017,T_PlannedOrders[WeekIndex],3)=0,"",SUMIFS(T_PlannedOrders[EffectiveQty],T_PlannedOrders[Part Name],$A1017,T_PlannedOrders[WeekIndex],3)&amp;" ("&amp;TEXT(SUMPRODUCT(MAX((T_PlannedOrders[Part Name]=$A1017)*(T_PlannedOrders[WeekIndex]=3)*(T_PlannedOrders[EffectiveQty]&gt;0)*T_PlannedOrders[Order_Month])),"m月")&amp;"発注)")</f>
        <v/>
      </c>
      <c r="G1025">
        <f>IF(SUMIFS(T_PlannedOrders[EffectiveQty],T_PlannedOrders[Part Name],$A1017,T_PlannedOrders[WeekIndex],4)=0,"",SUMIFS(T_PlannedOrders[EffectiveQty],T_PlannedOrders[Part Name],$A1017,T_PlannedOrders[WeekIndex],4)&amp;" ("&amp;TEXT(SUMPRODUCT(MAX((T_PlannedOrders[Part Name]=$A1017)*(T_PlannedOrders[WeekIndex]=4)*(T_PlannedOrders[EffectiveQty]&gt;0)*T_PlannedOrders[Order_Month])),"m月")&amp;"発注)")</f>
        <v/>
      </c>
      <c r="H1025">
        <f>IF(SUMIFS(T_PlannedOrders[EffectiveQty],T_PlannedOrders[Part Name],$A1017,T_PlannedOrders[WeekIndex],5)=0,"",SUMIFS(T_PlannedOrders[EffectiveQty],T_PlannedOrders[Part Name],$A1017,T_PlannedOrders[WeekIndex],5)&amp;" ("&amp;TEXT(SUMPRODUCT(MAX((T_PlannedOrders[Part Name]=$A1017)*(T_PlannedOrders[WeekIndex]=5)*(T_PlannedOrders[EffectiveQty]&gt;0)*T_PlannedOrders[Order_Month])),"m月")&amp;"発注)")</f>
        <v/>
      </c>
      <c r="I1025">
        <f>IF(SUMIFS(T_PlannedOrders[EffectiveQty],T_PlannedOrders[Part Name],$A1017,T_PlannedOrders[WeekIndex],6)=0,"",SUMIFS(T_PlannedOrders[EffectiveQty],T_PlannedOrders[Part Name],$A1017,T_PlannedOrders[WeekIndex],6)&amp;" ("&amp;TEXT(SUMPRODUCT(MAX((T_PlannedOrders[Part Name]=$A1017)*(T_PlannedOrders[WeekIndex]=6)*(T_PlannedOrders[EffectiveQty]&gt;0)*T_PlannedOrders[Order_Month])),"m月")&amp;"発注)")</f>
        <v/>
      </c>
      <c r="J1025">
        <f>IF(SUMIFS(T_PlannedOrders[EffectiveQty],T_PlannedOrders[Part Name],$A1017,T_PlannedOrders[WeekIndex],7)=0,"",SUMIFS(T_PlannedOrders[EffectiveQty],T_PlannedOrders[Part Name],$A1017,T_PlannedOrders[WeekIndex],7)&amp;" ("&amp;TEXT(SUMPRODUCT(MAX((T_PlannedOrders[Part Name]=$A1017)*(T_PlannedOrders[WeekIndex]=7)*(T_PlannedOrders[EffectiveQty]&gt;0)*T_PlannedOrders[Order_Month])),"m月")&amp;"発注)")</f>
        <v/>
      </c>
      <c r="K1025">
        <f>IF(SUMIFS(T_PlannedOrders[EffectiveQty],T_PlannedOrders[Part Name],$A1017,T_PlannedOrders[WeekIndex],8)=0,"",SUMIFS(T_PlannedOrders[EffectiveQty],T_PlannedOrders[Part Name],$A1017,T_PlannedOrders[WeekIndex],8)&amp;" ("&amp;TEXT(SUMPRODUCT(MAX((T_PlannedOrders[Part Name]=$A1017)*(T_PlannedOrders[WeekIndex]=8)*(T_PlannedOrders[EffectiveQty]&gt;0)*T_PlannedOrders[Order_Month])),"m月")&amp;"発注)")</f>
        <v/>
      </c>
      <c r="L1025">
        <f>IF(SUMIFS(T_PlannedOrders[EffectiveQty],T_PlannedOrders[Part Name],$A1017,T_PlannedOrders[WeekIndex],9)=0,"",SUMIFS(T_PlannedOrders[EffectiveQty],T_PlannedOrders[Part Name],$A1017,T_PlannedOrders[WeekIndex],9)&amp;" ("&amp;TEXT(SUMPRODUCT(MAX((T_PlannedOrders[Part Name]=$A1017)*(T_PlannedOrders[WeekIndex]=9)*(T_PlannedOrders[EffectiveQty]&gt;0)*T_PlannedOrders[Order_Month])),"m月")&amp;"発注)")</f>
        <v/>
      </c>
      <c r="M1025">
        <f>IF(SUMIFS(T_PlannedOrders[EffectiveQty],T_PlannedOrders[Part Name],$A1017,T_PlannedOrders[WeekIndex],10)=0,"",SUMIFS(T_PlannedOrders[EffectiveQty],T_PlannedOrders[Part Name],$A1017,T_PlannedOrders[WeekIndex],10)&amp;" ("&amp;TEXT(SUMPRODUCT(MAX((T_PlannedOrders[Part Name]=$A1017)*(T_PlannedOrders[WeekIndex]=10)*(T_PlannedOrders[EffectiveQty]&gt;0)*T_PlannedOrders[Order_Month])),"m月")&amp;"発注)")</f>
        <v/>
      </c>
      <c r="N1025">
        <f>IF(SUMIFS(T_PlannedOrders[EffectiveQty],T_PlannedOrders[Part Name],$A1017,T_PlannedOrders[WeekIndex],11)=0,"",SUMIFS(T_PlannedOrders[EffectiveQty],T_PlannedOrders[Part Name],$A1017,T_PlannedOrders[WeekIndex],11)&amp;" ("&amp;TEXT(SUMPRODUCT(MAX((T_PlannedOrders[Part Name]=$A1017)*(T_PlannedOrders[WeekIndex]=11)*(T_PlannedOrders[EffectiveQty]&gt;0)*T_PlannedOrders[Order_Month])),"m月")&amp;"発注)")</f>
        <v/>
      </c>
      <c r="O1025">
        <f>IF(SUMIFS(T_PlannedOrders[EffectiveQty],T_PlannedOrders[Part Name],$A1017,T_PlannedOrders[WeekIndex],12)=0,"",SUMIFS(T_PlannedOrders[EffectiveQty],T_PlannedOrders[Part Name],$A1017,T_PlannedOrders[WeekIndex],12)&amp;" ("&amp;TEXT(SUMPRODUCT(MAX((T_PlannedOrders[Part Name]=$A1017)*(T_PlannedOrders[WeekIndex]=12)*(T_PlannedOrders[EffectiveQty]&gt;0)*T_PlannedOrders[Order_Month])),"m月")&amp;"発注)")</f>
        <v/>
      </c>
      <c r="P1025">
        <f>IF(SUMIFS(T_PlannedOrders[EffectiveQty],T_PlannedOrders[Part Name],$A1017,T_PlannedOrders[WeekIndex],13)=0,"",SUMIFS(T_PlannedOrders[EffectiveQty],T_PlannedOrders[Part Name],$A1017,T_PlannedOrders[WeekIndex],13)&amp;" ("&amp;TEXT(SUMPRODUCT(MAX((T_PlannedOrders[Part Name]=$A1017)*(T_PlannedOrders[WeekIndex]=13)*(T_PlannedOrders[EffectiveQty]&gt;0)*T_PlannedOrders[Order_Month])),"m月")&amp;"発注)")</f>
        <v/>
      </c>
      <c r="Q1025">
        <f>IF(SUMIFS(T_PlannedOrders[EffectiveQty],T_PlannedOrders[Part Name],$A1017,T_PlannedOrders[WeekIndex],14)=0,"",SUMIFS(T_PlannedOrders[EffectiveQty],T_PlannedOrders[Part Name],$A1017,T_PlannedOrders[WeekIndex],14)&amp;" ("&amp;TEXT(SUMPRODUCT(MAX((T_PlannedOrders[Part Name]=$A1017)*(T_PlannedOrders[WeekIndex]=14)*(T_PlannedOrders[EffectiveQty]&gt;0)*T_PlannedOrders[Order_Month])),"m月")&amp;"発注)")</f>
        <v/>
      </c>
      <c r="R1025">
        <f>IF(SUMIFS(T_PlannedOrders[EffectiveQty],T_PlannedOrders[Part Name],$A1017,T_PlannedOrders[WeekIndex],15)=0,"",SUMIFS(T_PlannedOrders[EffectiveQty],T_PlannedOrders[Part Name],$A1017,T_PlannedOrders[WeekIndex],15)&amp;" ("&amp;TEXT(SUMPRODUCT(MAX((T_PlannedOrders[Part Name]=$A1017)*(T_PlannedOrders[WeekIndex]=15)*(T_PlannedOrders[EffectiveQty]&gt;0)*T_PlannedOrders[Order_Month])),"m月")&amp;"発注)")</f>
        <v/>
      </c>
      <c r="S1025">
        <f>IF(SUMIFS(T_PlannedOrders[EffectiveQty],T_PlannedOrders[Part Name],$A1017,T_PlannedOrders[WeekIndex],16)=0,"",SUMIFS(T_PlannedOrders[EffectiveQty],T_PlannedOrders[Part Name],$A1017,T_PlannedOrders[WeekIndex],16)&amp;" ("&amp;TEXT(SUMPRODUCT(MAX((T_PlannedOrders[Part Name]=$A1017)*(T_PlannedOrders[WeekIndex]=16)*(T_PlannedOrders[EffectiveQty]&gt;0)*T_PlannedOrders[Order_Month])),"m月")&amp;"発注)")</f>
        <v/>
      </c>
      <c r="T1025">
        <f>IF(SUMIFS(T_PlannedOrders[EffectiveQty],T_PlannedOrders[Part Name],$A1017,T_PlannedOrders[WeekIndex],17)=0,"",SUMIFS(T_PlannedOrders[EffectiveQty],T_PlannedOrders[Part Name],$A1017,T_PlannedOrders[WeekIndex],17)&amp;" ("&amp;TEXT(SUMPRODUCT(MAX((T_PlannedOrders[Part Name]=$A1017)*(T_PlannedOrders[WeekIndex]=17)*(T_PlannedOrders[EffectiveQty]&gt;0)*T_PlannedOrders[Order_Month])),"m月")&amp;"発注)")</f>
        <v/>
      </c>
      <c r="U1025">
        <f>IF(SUMIFS(T_PlannedOrders[EffectiveQty],T_PlannedOrders[Part Name],$A1017,T_PlannedOrders[WeekIndex],18)=0,"",SUMIFS(T_PlannedOrders[EffectiveQty],T_PlannedOrders[Part Name],$A1017,T_PlannedOrders[WeekIndex],18)&amp;" ("&amp;TEXT(SUMPRODUCT(MAX((T_PlannedOrders[Part Name]=$A1017)*(T_PlannedOrders[WeekIndex]=18)*(T_PlannedOrders[EffectiveQty]&gt;0)*T_PlannedOrders[Order_Month])),"m月")&amp;"発注)")</f>
        <v/>
      </c>
      <c r="V1025">
        <f>IF(SUMIFS(T_PlannedOrders[EffectiveQty],T_PlannedOrders[Part Name],$A1017,T_PlannedOrders[WeekIndex],19)=0,"",SUMIFS(T_PlannedOrders[EffectiveQty],T_PlannedOrders[Part Name],$A1017,T_PlannedOrders[WeekIndex],19)&amp;" ("&amp;TEXT(SUMPRODUCT(MAX((T_PlannedOrders[Part Name]=$A1017)*(T_PlannedOrders[WeekIndex]=19)*(T_PlannedOrders[EffectiveQty]&gt;0)*T_PlannedOrders[Order_Month])),"m月")&amp;"発注)")</f>
        <v/>
      </c>
      <c r="W1025">
        <f>IF(SUMIFS(T_PlannedOrders[EffectiveQty],T_PlannedOrders[Part Name],$A1017,T_PlannedOrders[WeekIndex],20)=0,"",SUMIFS(T_PlannedOrders[EffectiveQty],T_PlannedOrders[Part Name],$A1017,T_PlannedOrders[WeekIndex],20)&amp;" ("&amp;TEXT(SUMPRODUCT(MAX((T_PlannedOrders[Part Name]=$A1017)*(T_PlannedOrders[WeekIndex]=20)*(T_PlannedOrders[EffectiveQty]&gt;0)*T_PlannedOrders[Order_Month])),"m月")&amp;"発注)")</f>
        <v/>
      </c>
      <c r="X1025">
        <f>IF(SUMIFS(T_PlannedOrders[EffectiveQty],T_PlannedOrders[Part Name],$A1017,T_PlannedOrders[WeekIndex],21)=0,"",SUMIFS(T_PlannedOrders[EffectiveQty],T_PlannedOrders[Part Name],$A1017,T_PlannedOrders[WeekIndex],21)&amp;" ("&amp;TEXT(SUMPRODUCT(MAX((T_PlannedOrders[Part Name]=$A1017)*(T_PlannedOrders[WeekIndex]=21)*(T_PlannedOrders[EffectiveQty]&gt;0)*T_PlannedOrders[Order_Month])),"m月")&amp;"発注)")</f>
        <v/>
      </c>
      <c r="Y1025">
        <f>IF(SUMIFS(T_PlannedOrders[EffectiveQty],T_PlannedOrders[Part Name],$A1017,T_PlannedOrders[WeekIndex],22)=0,"",SUMIFS(T_PlannedOrders[EffectiveQty],T_PlannedOrders[Part Name],$A1017,T_PlannedOrders[WeekIndex],22)&amp;" ("&amp;TEXT(SUMPRODUCT(MAX((T_PlannedOrders[Part Name]=$A1017)*(T_PlannedOrders[WeekIndex]=22)*(T_PlannedOrders[EffectiveQty]&gt;0)*T_PlannedOrders[Order_Month])),"m月")&amp;"発注)")</f>
        <v/>
      </c>
      <c r="Z1025">
        <f>IF(SUMIFS(T_PlannedOrders[EffectiveQty],T_PlannedOrders[Part Name],$A1017,T_PlannedOrders[WeekIndex],23)=0,"",SUMIFS(T_PlannedOrders[EffectiveQty],T_PlannedOrders[Part Name],$A1017,T_PlannedOrders[WeekIndex],23)&amp;" ("&amp;TEXT(SUMPRODUCT(MAX((T_PlannedOrders[Part Name]=$A1017)*(T_PlannedOrders[WeekIndex]=23)*(T_PlannedOrders[EffectiveQty]&gt;0)*T_PlannedOrders[Order_Month])),"m月")&amp;"発注)")</f>
        <v/>
      </c>
      <c r="AA1025">
        <f>IF(SUMIFS(T_PlannedOrders[EffectiveQty],T_PlannedOrders[Part Name],$A1017,T_PlannedOrders[WeekIndex],24)=0,"",SUMIFS(T_PlannedOrders[EffectiveQty],T_PlannedOrders[Part Name],$A1017,T_PlannedOrders[WeekIndex],24)&amp;" ("&amp;TEXT(SUMPRODUCT(MAX((T_PlannedOrders[Part Name]=$A1017)*(T_PlannedOrders[WeekIndex]=24)*(T_PlannedOrders[EffectiveQty]&gt;0)*T_PlannedOrders[Order_Month])),"m月")&amp;"発注)")</f>
        <v/>
      </c>
      <c r="AB1025">
        <f>IF(SUMIFS(T_PlannedOrders[EffectiveQty],T_PlannedOrders[Part Name],$A1017,T_PlannedOrders[WeekIndex],25)=0,"",SUMIFS(T_PlannedOrders[EffectiveQty],T_PlannedOrders[Part Name],$A1017,T_PlannedOrders[WeekIndex],25)&amp;" ("&amp;TEXT(SUMPRODUCT(MAX((T_PlannedOrders[Part Name]=$A1017)*(T_PlannedOrders[WeekIndex]=25)*(T_PlannedOrders[EffectiveQty]&gt;0)*T_PlannedOrders[Order_Month])),"m月")&amp;"発注)")</f>
        <v/>
      </c>
      <c r="AC1025">
        <f>IF(SUMIFS(T_PlannedOrders[EffectiveQty],T_PlannedOrders[Part Name],$A1017,T_PlannedOrders[WeekIndex],26)=0,"",SUMIFS(T_PlannedOrders[EffectiveQty],T_PlannedOrders[Part Name],$A1017,T_PlannedOrders[WeekIndex],26)&amp;" ("&amp;TEXT(SUMPRODUCT(MAX((T_PlannedOrders[Part Name]=$A1017)*(T_PlannedOrders[WeekIndex]=26)*(T_PlannedOrders[EffectiveQty]&gt;0)*T_PlannedOrders[Order_Month])),"m月")&amp;"発注)")</f>
        <v/>
      </c>
      <c r="AD1025">
        <f>IF(SUMIFS(T_PlannedOrders[EffectiveQty],T_PlannedOrders[Part Name],$A1017,T_PlannedOrders[WeekIndex],27)=0,"",SUMIFS(T_PlannedOrders[EffectiveQty],T_PlannedOrders[Part Name],$A1017,T_PlannedOrders[WeekIndex],27)&amp;" ("&amp;TEXT(SUMPRODUCT(MAX((T_PlannedOrders[Part Name]=$A1017)*(T_PlannedOrders[WeekIndex]=27)*(T_PlannedOrders[EffectiveQty]&gt;0)*T_PlannedOrders[Order_Month])),"m月")&amp;"発注)")</f>
        <v/>
      </c>
      <c r="AE1025">
        <f>IF(SUMIFS(T_PlannedOrders[EffectiveQty],T_PlannedOrders[Part Name],$A1017,T_PlannedOrders[WeekIndex],28)=0,"",SUMIFS(T_PlannedOrders[EffectiveQty],T_PlannedOrders[Part Name],$A1017,T_PlannedOrders[WeekIndex],28)&amp;" ("&amp;TEXT(SUMPRODUCT(MAX((T_PlannedOrders[Part Name]=$A1017)*(T_PlannedOrders[WeekIndex]=28)*(T_PlannedOrders[EffectiveQty]&gt;0)*T_PlannedOrders[Order_Month])),"m月")&amp;"発注)")</f>
        <v/>
      </c>
      <c r="AF1025">
        <f>IF(SUMIFS(T_PlannedOrders[EffectiveQty],T_PlannedOrders[Part Name],$A1017,T_PlannedOrders[WeekIndex],29)=0,"",SUMIFS(T_PlannedOrders[EffectiveQty],T_PlannedOrders[Part Name],$A1017,T_PlannedOrders[WeekIndex],29)&amp;" ("&amp;TEXT(SUMPRODUCT(MAX((T_PlannedOrders[Part Name]=$A1017)*(T_PlannedOrders[WeekIndex]=29)*(T_PlannedOrders[EffectiveQty]&gt;0)*T_PlannedOrders[Order_Month])),"m月")&amp;"発注)")</f>
        <v/>
      </c>
      <c r="AG1025">
        <f>IF(SUMIFS(T_PlannedOrders[EffectiveQty],T_PlannedOrders[Part Name],$A1017,T_PlannedOrders[WeekIndex],30)=0,"",SUMIFS(T_PlannedOrders[EffectiveQty],T_PlannedOrders[Part Name],$A1017,T_PlannedOrders[WeekIndex],30)&amp;" ("&amp;TEXT(SUMPRODUCT(MAX((T_PlannedOrders[Part Name]=$A1017)*(T_PlannedOrders[WeekIndex]=30)*(T_PlannedOrders[EffectiveQty]&gt;0)*T_PlannedOrders[Order_Month])),"m月")&amp;"発注)")</f>
        <v/>
      </c>
      <c r="AH1025">
        <f>IF(SUMIFS(T_PlannedOrders[EffectiveQty],T_PlannedOrders[Part Name],$A1017,T_PlannedOrders[WeekIndex],31)=0,"",SUMIFS(T_PlannedOrders[EffectiveQty],T_PlannedOrders[Part Name],$A1017,T_PlannedOrders[WeekIndex],31)&amp;" ("&amp;TEXT(SUMPRODUCT(MAX((T_PlannedOrders[Part Name]=$A1017)*(T_PlannedOrders[WeekIndex]=31)*(T_PlannedOrders[EffectiveQty]&gt;0)*T_PlannedOrders[Order_Month])),"m月")&amp;"発注)")</f>
        <v/>
      </c>
      <c r="AI1025">
        <f>IF(SUMIFS(T_PlannedOrders[EffectiveQty],T_PlannedOrders[Part Name],$A1017,T_PlannedOrders[WeekIndex],32)=0,"",SUMIFS(T_PlannedOrders[EffectiveQty],T_PlannedOrders[Part Name],$A1017,T_PlannedOrders[WeekIndex],32)&amp;" ("&amp;TEXT(SUMPRODUCT(MAX((T_PlannedOrders[Part Name]=$A1017)*(T_PlannedOrders[WeekIndex]=32)*(T_PlannedOrders[EffectiveQty]&gt;0)*T_PlannedOrders[Order_Month])),"m月")&amp;"発注)")</f>
        <v/>
      </c>
      <c r="AJ1025">
        <f>IF(SUMIFS(T_PlannedOrders[EffectiveQty],T_PlannedOrders[Part Name],$A1017,T_PlannedOrders[WeekIndex],33)=0,"",SUMIFS(T_PlannedOrders[EffectiveQty],T_PlannedOrders[Part Name],$A1017,T_PlannedOrders[WeekIndex],33)&amp;" ("&amp;TEXT(SUMPRODUCT(MAX((T_PlannedOrders[Part Name]=$A1017)*(T_PlannedOrders[WeekIndex]=33)*(T_PlannedOrders[EffectiveQty]&gt;0)*T_PlannedOrders[Order_Month])),"m月")&amp;"発注)")</f>
        <v/>
      </c>
      <c r="AK1025">
        <f>IF(SUMIFS(T_PlannedOrders[EffectiveQty],T_PlannedOrders[Part Name],$A1017,T_PlannedOrders[WeekIndex],34)=0,"",SUMIFS(T_PlannedOrders[EffectiveQty],T_PlannedOrders[Part Name],$A1017,T_PlannedOrders[WeekIndex],34)&amp;" ("&amp;TEXT(SUMPRODUCT(MAX((T_PlannedOrders[Part Name]=$A1017)*(T_PlannedOrders[WeekIndex]=34)*(T_PlannedOrders[EffectiveQty]&gt;0)*T_PlannedOrders[Order_Month])),"m月")&amp;"発注)")</f>
        <v/>
      </c>
      <c r="AL1025">
        <f>IF(SUMIFS(T_PlannedOrders[EffectiveQty],T_PlannedOrders[Part Name],$A1017,T_PlannedOrders[WeekIndex],35)=0,"",SUMIFS(T_PlannedOrders[EffectiveQty],T_PlannedOrders[Part Name],$A1017,T_PlannedOrders[WeekIndex],35)&amp;" ("&amp;TEXT(SUMPRODUCT(MAX((T_PlannedOrders[Part Name]=$A1017)*(T_PlannedOrders[WeekIndex]=35)*(T_PlannedOrders[EffectiveQty]&gt;0)*T_PlannedOrders[Order_Month])),"m月")&amp;"発注)")</f>
        <v/>
      </c>
      <c r="AM1025">
        <f>IF(SUMIFS(T_PlannedOrders[EffectiveQty],T_PlannedOrders[Part Name],$A1017,T_PlannedOrders[WeekIndex],36)=0,"",SUMIFS(T_PlannedOrders[EffectiveQty],T_PlannedOrders[Part Name],$A1017,T_PlannedOrders[WeekIndex],36)&amp;" ("&amp;TEXT(SUMPRODUCT(MAX((T_PlannedOrders[Part Name]=$A1017)*(T_PlannedOrders[WeekIndex]=36)*(T_PlannedOrders[EffectiveQty]&gt;0)*T_PlannedOrders[Order_Month])),"m月")&amp;"発注)")</f>
        <v/>
      </c>
      <c r="AN1025">
        <f>IF(SUMIFS(T_PlannedOrders[EffectiveQty],T_PlannedOrders[Part Name],$A1017,T_PlannedOrders[WeekIndex],37)=0,"",SUMIFS(T_PlannedOrders[EffectiveQty],T_PlannedOrders[Part Name],$A1017,T_PlannedOrders[WeekIndex],37)&amp;" ("&amp;TEXT(SUMPRODUCT(MAX((T_PlannedOrders[Part Name]=$A1017)*(T_PlannedOrders[WeekIndex]=37)*(T_PlannedOrders[EffectiveQty]&gt;0)*T_PlannedOrders[Order_Month])),"m月")&amp;"発注)")</f>
        <v/>
      </c>
      <c r="AO1025">
        <f>IF(SUMIFS(T_PlannedOrders[EffectiveQty],T_PlannedOrders[Part Name],$A1017,T_PlannedOrders[WeekIndex],38)=0,"",SUMIFS(T_PlannedOrders[EffectiveQty],T_PlannedOrders[Part Name],$A1017,T_PlannedOrders[WeekIndex],38)&amp;" ("&amp;TEXT(SUMPRODUCT(MAX((T_PlannedOrders[Part Name]=$A1017)*(T_PlannedOrders[WeekIndex]=38)*(T_PlannedOrders[EffectiveQty]&gt;0)*T_PlannedOrders[Order_Month])),"m月")&amp;"発注)")</f>
        <v/>
      </c>
      <c r="AP1025">
        <f>IF(SUMIFS(T_PlannedOrders[EffectiveQty],T_PlannedOrders[Part Name],$A1017,T_PlannedOrders[WeekIndex],39)=0,"",SUMIFS(T_PlannedOrders[EffectiveQty],T_PlannedOrders[Part Name],$A1017,T_PlannedOrders[WeekIndex],39)&amp;" ("&amp;TEXT(SUMPRODUCT(MAX((T_PlannedOrders[Part Name]=$A1017)*(T_PlannedOrders[WeekIndex]=39)*(T_PlannedOrders[EffectiveQty]&gt;0)*T_PlannedOrders[Order_Month])),"m月")&amp;"発注)")</f>
        <v/>
      </c>
      <c r="AQ1025">
        <f>IF(SUMIFS(T_PlannedOrders[EffectiveQty],T_PlannedOrders[Part Name],$A1017,T_PlannedOrders[WeekIndex],40)=0,"",SUMIFS(T_PlannedOrders[EffectiveQty],T_PlannedOrders[Part Name],$A1017,T_PlannedOrders[WeekIndex],40)&amp;" ("&amp;TEXT(SUMPRODUCT(MAX((T_PlannedOrders[Part Name]=$A1017)*(T_PlannedOrders[WeekIndex]=40)*(T_PlannedOrders[EffectiveQty]&gt;0)*T_PlannedOrders[Order_Month])),"m月")&amp;"発注)")</f>
        <v/>
      </c>
      <c r="AR1025">
        <f>IF(SUMIFS(T_PlannedOrders[EffectiveQty],T_PlannedOrders[Part Name],$A1017,T_PlannedOrders[WeekIndex],41)=0,"",SUMIFS(T_PlannedOrders[EffectiveQty],T_PlannedOrders[Part Name],$A1017,T_PlannedOrders[WeekIndex],41)&amp;" ("&amp;TEXT(SUMPRODUCT(MAX((T_PlannedOrders[Part Name]=$A1017)*(T_PlannedOrders[WeekIndex]=41)*(T_PlannedOrders[EffectiveQty]&gt;0)*T_PlannedOrders[Order_Month])),"m月")&amp;"発注)")</f>
        <v/>
      </c>
      <c r="AS1025">
        <f>IF(SUMIFS(T_PlannedOrders[EffectiveQty],T_PlannedOrders[Part Name],$A1017,T_PlannedOrders[WeekIndex],42)=0,"",SUMIFS(T_PlannedOrders[EffectiveQty],T_PlannedOrders[Part Name],$A1017,T_PlannedOrders[WeekIndex],42)&amp;" ("&amp;TEXT(SUMPRODUCT(MAX((T_PlannedOrders[Part Name]=$A1017)*(T_PlannedOrders[WeekIndex]=42)*(T_PlannedOrders[EffectiveQty]&gt;0)*T_PlannedOrders[Order_Month])),"m月")&amp;"発注)")</f>
        <v/>
      </c>
      <c r="AT1025">
        <f>IF(SUMIFS(T_PlannedOrders[EffectiveQty],T_PlannedOrders[Part Name],$A1017,T_PlannedOrders[WeekIndex],43)=0,"",SUMIFS(T_PlannedOrders[EffectiveQty],T_PlannedOrders[Part Name],$A1017,T_PlannedOrders[WeekIndex],43)&amp;" ("&amp;TEXT(SUMPRODUCT(MAX((T_PlannedOrders[Part Name]=$A1017)*(T_PlannedOrders[WeekIndex]=43)*(T_PlannedOrders[EffectiveQty]&gt;0)*T_PlannedOrders[Order_Month])),"m月")&amp;"発注)")</f>
        <v/>
      </c>
      <c r="AU1025">
        <f>IF(SUMIFS(T_PlannedOrders[EffectiveQty],T_PlannedOrders[Part Name],$A1017,T_PlannedOrders[WeekIndex],44)=0,"",SUMIFS(T_PlannedOrders[EffectiveQty],T_PlannedOrders[Part Name],$A1017,T_PlannedOrders[WeekIndex],44)&amp;" ("&amp;TEXT(SUMPRODUCT(MAX((T_PlannedOrders[Part Name]=$A1017)*(T_PlannedOrders[WeekIndex]=44)*(T_PlannedOrders[EffectiveQty]&gt;0)*T_PlannedOrders[Order_Month])),"m月")&amp;"発注)")</f>
        <v/>
      </c>
      <c r="AV1025">
        <f>IF(SUMIFS(T_PlannedOrders[EffectiveQty],T_PlannedOrders[Part Name],$A1017,T_PlannedOrders[WeekIndex],45)=0,"",SUMIFS(T_PlannedOrders[EffectiveQty],T_PlannedOrders[Part Name],$A1017,T_PlannedOrders[WeekIndex],45)&amp;" ("&amp;TEXT(SUMPRODUCT(MAX((T_PlannedOrders[Part Name]=$A1017)*(T_PlannedOrders[WeekIndex]=45)*(T_PlannedOrders[EffectiveQty]&gt;0)*T_PlannedOrders[Order_Month])),"m月")&amp;"発注)")</f>
        <v/>
      </c>
      <c r="AW1025">
        <f>IF(SUMIFS(T_PlannedOrders[EffectiveQty],T_PlannedOrders[Part Name],$A1017,T_PlannedOrders[WeekIndex],46)=0,"",SUMIFS(T_PlannedOrders[EffectiveQty],T_PlannedOrders[Part Name],$A1017,T_PlannedOrders[WeekIndex],46)&amp;" ("&amp;TEXT(SUMPRODUCT(MAX((T_PlannedOrders[Part Name]=$A1017)*(T_PlannedOrders[WeekIndex]=46)*(T_PlannedOrders[EffectiveQty]&gt;0)*T_PlannedOrders[Order_Month])),"m月")&amp;"発注)")</f>
        <v/>
      </c>
      <c r="AX1025">
        <f>IF(SUMIFS(T_PlannedOrders[EffectiveQty],T_PlannedOrders[Part Name],$A1017,T_PlannedOrders[WeekIndex],47)=0,"",SUMIFS(T_PlannedOrders[EffectiveQty],T_PlannedOrders[Part Name],$A1017,T_PlannedOrders[WeekIndex],47)&amp;" ("&amp;TEXT(SUMPRODUCT(MAX((T_PlannedOrders[Part Name]=$A1017)*(T_PlannedOrders[WeekIndex]=47)*(T_PlannedOrders[EffectiveQty]&gt;0)*T_PlannedOrders[Order_Month])),"m月")&amp;"発注)")</f>
        <v/>
      </c>
      <c r="AY1025">
        <f>IF(SUMIFS(T_PlannedOrders[EffectiveQty],T_PlannedOrders[Part Name],$A1017,T_PlannedOrders[WeekIndex],48)=0,"",SUMIFS(T_PlannedOrders[EffectiveQty],T_PlannedOrders[Part Name],$A1017,T_PlannedOrders[WeekIndex],48)&amp;" ("&amp;TEXT(SUMPRODUCT(MAX((T_PlannedOrders[Part Name]=$A1017)*(T_PlannedOrders[WeekIndex]=48)*(T_PlannedOrders[EffectiveQty]&gt;0)*T_PlannedOrders[Order_Month])),"m月")&amp;"発注)")</f>
        <v/>
      </c>
      <c r="AZ1025">
        <f>IF(SUMIFS(T_PlannedOrders[EffectiveQty],T_PlannedOrders[Part Name],$A1017,T_PlannedOrders[WeekIndex],49)=0,"",SUMIFS(T_PlannedOrders[EffectiveQty],T_PlannedOrders[Part Name],$A1017,T_PlannedOrders[WeekIndex],49)&amp;" ("&amp;TEXT(SUMPRODUCT(MAX((T_PlannedOrders[Part Name]=$A1017)*(T_PlannedOrders[WeekIndex]=49)*(T_PlannedOrders[EffectiveQty]&gt;0)*T_PlannedOrders[Order_Month])),"m月")&amp;"発注)")</f>
        <v/>
      </c>
      <c r="BA1025">
        <f>IF(SUMIFS(T_PlannedOrders[EffectiveQty],T_PlannedOrders[Part Name],$A1017,T_PlannedOrders[WeekIndex],50)=0,"",SUMIFS(T_PlannedOrders[EffectiveQty],T_PlannedOrders[Part Name],$A1017,T_PlannedOrders[WeekIndex],50)&amp;" ("&amp;TEXT(SUMPRODUCT(MAX((T_PlannedOrders[Part Name]=$A1017)*(T_PlannedOrders[WeekIndex]=50)*(T_PlannedOrders[EffectiveQty]&gt;0)*T_PlannedOrders[Order_Month])),"m月")&amp;"発注)")</f>
        <v/>
      </c>
      <c r="BB1025">
        <f>IF(SUMIFS(T_PlannedOrders[EffectiveQty],T_PlannedOrders[Part Name],$A1017,T_PlannedOrders[WeekIndex],51)=0,"",SUMIFS(T_PlannedOrders[EffectiveQty],T_PlannedOrders[Part Name],$A1017,T_PlannedOrders[WeekIndex],51)&amp;" ("&amp;TEXT(SUMPRODUCT(MAX((T_PlannedOrders[Part Name]=$A1017)*(T_PlannedOrders[WeekIndex]=51)*(T_PlannedOrders[EffectiveQty]&gt;0)*T_PlannedOrders[Order_Month])),"m月")&amp;"発注)")</f>
        <v/>
      </c>
      <c r="BC1025">
        <f>IF(SUMIFS(T_PlannedOrders[EffectiveQty],T_PlannedOrders[Part Name],$A1017,T_PlannedOrders[WeekIndex],52)=0,"",SUMIFS(T_PlannedOrders[EffectiveQty],T_PlannedOrders[Part Name],$A1017,T_PlannedOrders[WeekIndex],52)&amp;" ("&amp;TEXT(SUMPRODUCT(MAX((T_PlannedOrders[Part Name]=$A1017)*(T_PlannedOrders[WeekIndex]=52)*(T_PlannedOrders[EffectiveQty]&gt;0)*T_PlannedOrders[Order_Month])),"m月")&amp;"発注)")</f>
        <v/>
      </c>
      <c r="BD1025">
        <f>IF(SUMIFS(T_PlannedOrders[EffectiveQty],T_PlannedOrders[Part Name],$A1017,T_PlannedOrders[WeekIndex],53)=0,"",SUMIFS(T_PlannedOrders[EffectiveQty],T_PlannedOrders[Part Name],$A1017,T_PlannedOrders[WeekIndex],53)&amp;" ("&amp;TEXT(SUMPRODUCT(MAX((T_PlannedOrders[Part Name]=$A1017)*(T_PlannedOrders[WeekIndex]=53)*(T_PlannedOrders[EffectiveQty]&gt;0)*T_PlannedOrders[Order_Month])),"m月")&amp;"発注)")</f>
        <v/>
      </c>
      <c r="BE1025">
        <f>IF(SUMIFS(T_PlannedOrders[EffectiveQty],T_PlannedOrders[Part Name],$A1017,T_PlannedOrders[WeekIndex],54)=0,"",SUMIFS(T_PlannedOrders[EffectiveQty],T_PlannedOrders[Part Name],$A1017,T_PlannedOrders[WeekIndex],54)&amp;" ("&amp;TEXT(SUMPRODUCT(MAX((T_PlannedOrders[Part Name]=$A1017)*(T_PlannedOrders[WeekIndex]=54)*(T_PlannedOrders[EffectiveQty]&gt;0)*T_PlannedOrders[Order_Month])),"m月")&amp;"発注)")</f>
        <v/>
      </c>
      <c r="BF1025">
        <f>IF(SUMIFS(T_PlannedOrders[EffectiveQty],T_PlannedOrders[Part Name],$A1017,T_PlannedOrders[WeekIndex],55)=0,"",SUMIFS(T_PlannedOrders[EffectiveQty],T_PlannedOrders[Part Name],$A1017,T_PlannedOrders[WeekIndex],55)&amp;" ("&amp;TEXT(SUMPRODUCT(MAX((T_PlannedOrders[Part Name]=$A1017)*(T_PlannedOrders[WeekIndex]=55)*(T_PlannedOrders[EffectiveQty]&gt;0)*T_PlannedOrders[Order_Month])),"m月")&amp;"発注)")</f>
        <v/>
      </c>
      <c r="BG1025">
        <f>IF(SUMIFS(T_PlannedOrders[EffectiveQty],T_PlannedOrders[Part Name],$A1017,T_PlannedOrders[WeekIndex],56)=0,"",SUMIFS(T_PlannedOrders[EffectiveQty],T_PlannedOrders[Part Name],$A1017,T_PlannedOrders[WeekIndex],56)&amp;" ("&amp;TEXT(SUMPRODUCT(MAX((T_PlannedOrders[Part Name]=$A1017)*(T_PlannedOrders[WeekIndex]=56)*(T_PlannedOrders[EffectiveQty]&gt;0)*T_PlannedOrders[Order_Month])),"m月")&amp;"発注)")</f>
        <v/>
      </c>
      <c r="BH1025">
        <f>IF(SUMIFS(T_PlannedOrders[EffectiveQty],T_PlannedOrders[Part Name],$A1017,T_PlannedOrders[WeekIndex],57)=0,"",SUMIFS(T_PlannedOrders[EffectiveQty],T_PlannedOrders[Part Name],$A1017,T_PlannedOrders[WeekIndex],57)&amp;" ("&amp;TEXT(SUMPRODUCT(MAX((T_PlannedOrders[Part Name]=$A1017)*(T_PlannedOrders[WeekIndex]=57)*(T_PlannedOrders[EffectiveQty]&gt;0)*T_PlannedOrders[Order_Month])),"m月")&amp;"発注)")</f>
        <v/>
      </c>
      <c r="BI1025">
        <f>IF(SUMIFS(T_PlannedOrders[EffectiveQty],T_PlannedOrders[Part Name],$A1017,T_PlannedOrders[WeekIndex],58)=0,"",SUMIFS(T_PlannedOrders[EffectiveQty],T_PlannedOrders[Part Name],$A1017,T_PlannedOrders[WeekIndex],58)&amp;" ("&amp;TEXT(SUMPRODUCT(MAX((T_PlannedOrders[Part Name]=$A1017)*(T_PlannedOrders[WeekIndex]=58)*(T_PlannedOrders[EffectiveQty]&gt;0)*T_PlannedOrders[Order_Month])),"m月")&amp;"発注)")</f>
        <v/>
      </c>
      <c r="BJ1025">
        <f>IF(SUMIFS(T_PlannedOrders[EffectiveQty],T_PlannedOrders[Part Name],$A1017,T_PlannedOrders[WeekIndex],59)=0,"",SUMIFS(T_PlannedOrders[EffectiveQty],T_PlannedOrders[Part Name],$A1017,T_PlannedOrders[WeekIndex],59)&amp;" ("&amp;TEXT(SUMPRODUCT(MAX((T_PlannedOrders[Part Name]=$A1017)*(T_PlannedOrders[WeekIndex]=59)*(T_PlannedOrders[EffectiveQty]&gt;0)*T_PlannedOrders[Order_Month])),"m月")&amp;"発注)")</f>
        <v/>
      </c>
      <c r="BK1025">
        <f>IF(SUMIFS(T_PlannedOrders[EffectiveQty],T_PlannedOrders[Part Name],$A1017,T_PlannedOrders[WeekIndex],60)=0,"",SUMIFS(T_PlannedOrders[EffectiveQty],T_PlannedOrders[Part Name],$A1017,T_PlannedOrders[WeekIndex],60)&amp;" ("&amp;TEXT(SUMPRODUCT(MAX((T_PlannedOrders[Part Name]=$A1017)*(T_PlannedOrders[WeekIndex]=60)*(T_PlannedOrders[EffectiveQty]&gt;0)*T_PlannedOrders[Order_Month])),"m月")&amp;"発注)")</f>
        <v/>
      </c>
      <c r="BL1025">
        <f>IF(SUMIFS(T_PlannedOrders[EffectiveQty],T_PlannedOrders[Part Name],$A1017,T_PlannedOrders[WeekIndex],61)=0,"",SUMIFS(T_PlannedOrders[EffectiveQty],T_PlannedOrders[Part Name],$A1017,T_PlannedOrders[WeekIndex],61)&amp;" ("&amp;TEXT(SUMPRODUCT(MAX((T_PlannedOrders[Part Name]=$A1017)*(T_PlannedOrders[WeekIndex]=61)*(T_PlannedOrders[EffectiveQty]&gt;0)*T_PlannedOrders[Order_Month])),"m月")&amp;"発注)")</f>
        <v/>
      </c>
      <c r="BM1025">
        <f>IF(SUMIFS(T_PlannedOrders[EffectiveQty],T_PlannedOrders[Part Name],$A1017,T_PlannedOrders[WeekIndex],62)=0,"",SUMIFS(T_PlannedOrders[EffectiveQty],T_PlannedOrders[Part Name],$A1017,T_PlannedOrders[WeekIndex],62)&amp;" ("&amp;TEXT(SUMPRODUCT(MAX((T_PlannedOrders[Part Name]=$A1017)*(T_PlannedOrders[WeekIndex]=62)*(T_PlannedOrders[EffectiveQty]&gt;0)*T_PlannedOrders[Order_Month])),"m月")&amp;"発注)")</f>
        <v/>
      </c>
      <c r="BN1025">
        <f>IF(SUMIFS(T_PlannedOrders[EffectiveQty],T_PlannedOrders[Part Name],$A1017,T_PlannedOrders[WeekIndex],63)=0,"",SUMIFS(T_PlannedOrders[EffectiveQty],T_PlannedOrders[Part Name],$A1017,T_PlannedOrders[WeekIndex],63)&amp;" ("&amp;TEXT(SUMPRODUCT(MAX((T_PlannedOrders[Part Name]=$A1017)*(T_PlannedOrders[WeekIndex]=63)*(T_PlannedOrders[EffectiveQty]&gt;0)*T_PlannedOrders[Order_Month])),"m月")&amp;"発注)")</f>
        <v/>
      </c>
      <c r="BO1025">
        <f>IF(SUMIFS(T_PlannedOrders[EffectiveQty],T_PlannedOrders[Part Name],$A1017,T_PlannedOrders[WeekIndex],64)=0,"",SUMIFS(T_PlannedOrders[EffectiveQty],T_PlannedOrders[Part Name],$A1017,T_PlannedOrders[WeekIndex],64)&amp;" ("&amp;TEXT(SUMPRODUCT(MAX((T_PlannedOrders[Part Name]=$A1017)*(T_PlannedOrders[WeekIndex]=64)*(T_PlannedOrders[EffectiveQty]&gt;0)*T_PlannedOrders[Order_Month])),"m月")&amp;"発注)")</f>
        <v/>
      </c>
      <c r="BP1025">
        <f>IF(SUMIFS(T_PlannedOrders[EffectiveQty],T_PlannedOrders[Part Name],$A1017,T_PlannedOrders[WeekIndex],65)=0,"",SUMIFS(T_PlannedOrders[EffectiveQty],T_PlannedOrders[Part Name],$A1017,T_PlannedOrders[WeekIndex],65)&amp;" ("&amp;TEXT(SUMPRODUCT(MAX((T_PlannedOrders[Part Name]=$A1017)*(T_PlannedOrders[WeekIndex]=65)*(T_PlannedOrders[EffectiveQty]&gt;0)*T_PlannedOrders[Order_Month])),"m月")&amp;"発注)")</f>
        <v/>
      </c>
      <c r="BQ1025">
        <f>IF(SUMIFS(T_PlannedOrders[EffectiveQty],T_PlannedOrders[Part Name],$A1017,T_PlannedOrders[WeekIndex],66)=0,"",SUMIFS(T_PlannedOrders[EffectiveQty],T_PlannedOrders[Part Name],$A1017,T_PlannedOrders[WeekIndex],66)&amp;" ("&amp;TEXT(SUMPRODUCT(MAX((T_PlannedOrders[Part Name]=$A1017)*(T_PlannedOrders[WeekIndex]=66)*(T_PlannedOrders[EffectiveQty]&gt;0)*T_PlannedOrders[Order_Month])),"m月")&amp;"発注)")</f>
        <v/>
      </c>
      <c r="BR1025">
        <f>IF(SUMIFS(T_PlannedOrders[EffectiveQty],T_PlannedOrders[Part Name],$A1017,T_PlannedOrders[WeekIndex],67)=0,"",SUMIFS(T_PlannedOrders[EffectiveQty],T_PlannedOrders[Part Name],$A1017,T_PlannedOrders[WeekIndex],67)&amp;" ("&amp;TEXT(SUMPRODUCT(MAX((T_PlannedOrders[Part Name]=$A1017)*(T_PlannedOrders[WeekIndex]=67)*(T_PlannedOrders[EffectiveQty]&gt;0)*T_PlannedOrders[Order_Month])),"m月")&amp;"発注)")</f>
        <v/>
      </c>
      <c r="BS1025">
        <f>IF(SUMIFS(T_PlannedOrders[EffectiveQty],T_PlannedOrders[Part Name],$A1017,T_PlannedOrders[WeekIndex],68)=0,"",SUMIFS(T_PlannedOrders[EffectiveQty],T_PlannedOrders[Part Name],$A1017,T_PlannedOrders[WeekIndex],68)&amp;" ("&amp;TEXT(SUMPRODUCT(MAX((T_PlannedOrders[Part Name]=$A1017)*(T_PlannedOrders[WeekIndex]=68)*(T_PlannedOrders[EffectiveQty]&gt;0)*T_PlannedOrders[Order_Month])),"m月")&amp;"発注)")</f>
        <v/>
      </c>
      <c r="BT1025">
        <f>IF(SUMIFS(T_PlannedOrders[EffectiveQty],T_PlannedOrders[Part Name],$A1017,T_PlannedOrders[WeekIndex],69)=0,"",SUMIFS(T_PlannedOrders[EffectiveQty],T_PlannedOrders[Part Name],$A1017,T_PlannedOrders[WeekIndex],69)&amp;" ("&amp;TEXT(SUMPRODUCT(MAX((T_PlannedOrders[Part Name]=$A1017)*(T_PlannedOrders[WeekIndex]=69)*(T_PlannedOrders[EffectiveQty]&gt;0)*T_PlannedOrders[Order_Month])),"m月")&amp;"発注)")</f>
        <v/>
      </c>
      <c r="BU1025">
        <f>IF(SUMIFS(T_PlannedOrders[EffectiveQty],T_PlannedOrders[Part Name],$A1017,T_PlannedOrders[WeekIndex],70)=0,"",SUMIFS(T_PlannedOrders[EffectiveQty],T_PlannedOrders[Part Name],$A1017,T_PlannedOrders[WeekIndex],70)&amp;" ("&amp;TEXT(SUMPRODUCT(MAX((T_PlannedOrders[Part Name]=$A1017)*(T_PlannedOrders[WeekIndex]=70)*(T_PlannedOrders[EffectiveQty]&gt;0)*T_PlannedOrders[Order_Month])),"m月")&amp;"発注)")</f>
        <v/>
      </c>
      <c r="BV1025">
        <f>IF(SUMIFS(T_PlannedOrders[EffectiveQty],T_PlannedOrders[Part Name],$A1017,T_PlannedOrders[WeekIndex],71)=0,"",SUMIFS(T_PlannedOrders[EffectiveQty],T_PlannedOrders[Part Name],$A1017,T_PlannedOrders[WeekIndex],71)&amp;" ("&amp;TEXT(SUMPRODUCT(MAX((T_PlannedOrders[Part Name]=$A1017)*(T_PlannedOrders[WeekIndex]=71)*(T_PlannedOrders[EffectiveQty]&gt;0)*T_PlannedOrders[Order_Month])),"m月")&amp;"発注)")</f>
        <v/>
      </c>
      <c r="BW1025">
        <f>IF(SUMIFS(T_PlannedOrders[EffectiveQty],T_PlannedOrders[Part Name],$A1017,T_PlannedOrders[WeekIndex],72)=0,"",SUMIFS(T_PlannedOrders[EffectiveQty],T_PlannedOrders[Part Name],$A1017,T_PlannedOrders[WeekIndex],72)&amp;" ("&amp;TEXT(SUMPRODUCT(MAX((T_PlannedOrders[Part Name]=$A1017)*(T_PlannedOrders[WeekIndex]=72)*(T_PlannedOrders[EffectiveQty]&gt;0)*T_PlannedOrders[Order_Month])),"m月")&amp;"発注)")</f>
        <v/>
      </c>
      <c r="BX1025">
        <f>IF(SUMIFS(T_PlannedOrders[EffectiveQty],T_PlannedOrders[Part Name],$A1017,T_PlannedOrders[WeekIndex],73)=0,"",SUMIFS(T_PlannedOrders[EffectiveQty],T_PlannedOrders[Part Name],$A1017,T_PlannedOrders[WeekIndex],73)&amp;" ("&amp;TEXT(SUMPRODUCT(MAX((T_PlannedOrders[Part Name]=$A1017)*(T_PlannedOrders[WeekIndex]=73)*(T_PlannedOrders[EffectiveQty]&gt;0)*T_PlannedOrders[Order_Month])),"m月")&amp;"発注)")</f>
        <v/>
      </c>
      <c r="BY1025">
        <f>IF(SUMIFS(T_PlannedOrders[EffectiveQty],T_PlannedOrders[Part Name],$A1017,T_PlannedOrders[WeekIndex],74)=0,"",SUMIFS(T_PlannedOrders[EffectiveQty],T_PlannedOrders[Part Name],$A1017,T_PlannedOrders[WeekIndex],74)&amp;" ("&amp;TEXT(SUMPRODUCT(MAX((T_PlannedOrders[Part Name]=$A1017)*(T_PlannedOrders[WeekIndex]=74)*(T_PlannedOrders[EffectiveQty]&gt;0)*T_PlannedOrders[Order_Month])),"m月")&amp;"発注)")</f>
        <v/>
      </c>
      <c r="BZ1025">
        <f>IF(SUMIFS(T_PlannedOrders[EffectiveQty],T_PlannedOrders[Part Name],$A1017,T_PlannedOrders[WeekIndex],75)=0,"",SUMIFS(T_PlannedOrders[EffectiveQty],T_PlannedOrders[Part Name],$A1017,T_PlannedOrders[WeekIndex],75)&amp;" ("&amp;TEXT(SUMPRODUCT(MAX((T_PlannedOrders[Part Name]=$A1017)*(T_PlannedOrders[WeekIndex]=75)*(T_PlannedOrders[EffectiveQty]&gt;0)*T_PlannedOrders[Order_Month])),"m月")&amp;"発注)")</f>
        <v/>
      </c>
      <c r="CA1025">
        <f>IF(SUMIFS(T_PlannedOrders[EffectiveQty],T_PlannedOrders[Part Name],$A1017,T_PlannedOrders[WeekIndex],76)=0,"",SUMIFS(T_PlannedOrders[EffectiveQty],T_PlannedOrders[Part Name],$A1017,T_PlannedOrders[WeekIndex],76)&amp;" ("&amp;TEXT(SUMPRODUCT(MAX((T_PlannedOrders[Part Name]=$A1017)*(T_PlannedOrders[WeekIndex]=76)*(T_PlannedOrders[EffectiveQty]&gt;0)*T_PlannedOrders[Order_Month])),"m月")&amp;"発注)")</f>
        <v/>
      </c>
      <c r="CB1025">
        <f>IF(SUMIFS(T_PlannedOrders[EffectiveQty],T_PlannedOrders[Part Name],$A1017,T_PlannedOrders[WeekIndex],77)=0,"",SUMIFS(T_PlannedOrders[EffectiveQty],T_PlannedOrders[Part Name],$A1017,T_PlannedOrders[WeekIndex],77)&amp;" ("&amp;TEXT(SUMPRODUCT(MAX((T_PlannedOrders[Part Name]=$A1017)*(T_PlannedOrders[WeekIndex]=77)*(T_PlannedOrders[EffectiveQty]&gt;0)*T_PlannedOrders[Order_Month])),"m月")&amp;"発注)")</f>
        <v/>
      </c>
      <c r="CC1025">
        <f>IF(SUMIFS(T_PlannedOrders[EffectiveQty],T_PlannedOrders[Part Name],$A1017,T_PlannedOrders[WeekIndex],78)=0,"",SUMIFS(T_PlannedOrders[EffectiveQty],T_PlannedOrders[Part Name],$A1017,T_PlannedOrders[WeekIndex],78)&amp;" ("&amp;TEXT(SUMPRODUCT(MAX((T_PlannedOrders[Part Name]=$A1017)*(T_PlannedOrders[WeekIndex]=78)*(T_PlannedOrders[EffectiveQty]&gt;0)*T_PlannedOrders[Order_Month])),"m月")&amp;"発注)")</f>
        <v/>
      </c>
      <c r="CD1025">
        <f>IF(SUMIFS(T_PlannedOrders[EffectiveQty],T_PlannedOrders[Part Name],$A1017,T_PlannedOrders[WeekIndex],79)=0,"",SUMIFS(T_PlannedOrders[EffectiveQty],T_PlannedOrders[Part Name],$A1017,T_PlannedOrders[WeekIndex],79)&amp;" ("&amp;TEXT(SUMPRODUCT(MAX((T_PlannedOrders[Part Name]=$A1017)*(T_PlannedOrders[WeekIndex]=79)*(T_PlannedOrders[EffectiveQty]&gt;0)*T_PlannedOrders[Order_Month])),"m月")&amp;"発注)")</f>
        <v/>
      </c>
      <c r="CE1025">
        <f>IF(SUMIFS(T_PlannedOrders[EffectiveQty],T_PlannedOrders[Part Name],$A1017,T_PlannedOrders[WeekIndex],80)=0,"",SUMIFS(T_PlannedOrders[EffectiveQty],T_PlannedOrders[Part Name],$A1017,T_PlannedOrders[WeekIndex],80)&amp;" ("&amp;TEXT(SUMPRODUCT(MAX((T_PlannedOrders[Part Name]=$A1017)*(T_PlannedOrders[WeekIndex]=80)*(T_PlannedOrders[EffectiveQty]&gt;0)*T_PlannedOrders[Order_Month])),"m月")&amp;"発注)")</f>
        <v/>
      </c>
      <c r="CF1025">
        <f>IF(SUMIFS(T_PlannedOrders[EffectiveQty],T_PlannedOrders[Part Name],$A1017,T_PlannedOrders[WeekIndex],81)=0,"",SUMIFS(T_PlannedOrders[EffectiveQty],T_PlannedOrders[Part Name],$A1017,T_PlannedOrders[WeekIndex],81)&amp;" ("&amp;TEXT(SUMPRODUCT(MAX((T_PlannedOrders[Part Name]=$A1017)*(T_PlannedOrders[WeekIndex]=81)*(T_PlannedOrders[EffectiveQty]&gt;0)*T_PlannedOrders[Order_Month])),"m月")&amp;"発注)")</f>
        <v/>
      </c>
      <c r="CG1025">
        <f>IF(SUMIFS(T_PlannedOrders[EffectiveQty],T_PlannedOrders[Part Name],$A1017,T_PlannedOrders[WeekIndex],82)=0,"",SUMIFS(T_PlannedOrders[EffectiveQty],T_PlannedOrders[Part Name],$A1017,T_PlannedOrders[WeekIndex],82)&amp;" ("&amp;TEXT(SUMPRODUCT(MAX((T_PlannedOrders[Part Name]=$A1017)*(T_PlannedOrders[WeekIndex]=82)*(T_PlannedOrders[EffectiveQty]&gt;0)*T_PlannedOrders[Order_Month])),"m月")&amp;"発注)")</f>
        <v/>
      </c>
      <c r="CH1025">
        <f>IF(SUMIFS(T_PlannedOrders[EffectiveQty],T_PlannedOrders[Part Name],$A1017,T_PlannedOrders[WeekIndex],83)=0,"",SUMIFS(T_PlannedOrders[EffectiveQty],T_PlannedOrders[Part Name],$A1017,T_PlannedOrders[WeekIndex],83)&amp;" ("&amp;TEXT(SUMPRODUCT(MAX((T_PlannedOrders[Part Name]=$A1017)*(T_PlannedOrders[WeekIndex]=83)*(T_PlannedOrders[EffectiveQty]&gt;0)*T_PlannedOrders[Order_Month])),"m月")&amp;"発注)")</f>
        <v/>
      </c>
      <c r="CI1025">
        <f>IF(SUMIFS(T_PlannedOrders[EffectiveQty],T_PlannedOrders[Part Name],$A1017,T_PlannedOrders[WeekIndex],84)=0,"",SUMIFS(T_PlannedOrders[EffectiveQty],T_PlannedOrders[Part Name],$A1017,T_PlannedOrders[WeekIndex],84)&amp;" ("&amp;TEXT(SUMPRODUCT(MAX((T_PlannedOrders[Part Name]=$A1017)*(T_PlannedOrders[WeekIndex]=84)*(T_PlannedOrders[EffectiveQty]&gt;0)*T_PlannedOrders[Order_Month])),"m月")&amp;"発注)")</f>
        <v/>
      </c>
      <c r="CJ1025">
        <f>IF(SUMIFS(T_PlannedOrders[EffectiveQty],T_PlannedOrders[Part Name],$A1017,T_PlannedOrders[WeekIndex],85)=0,"",SUMIFS(T_PlannedOrders[EffectiveQty],T_PlannedOrders[Part Name],$A1017,T_PlannedOrders[WeekIndex],85)&amp;" ("&amp;TEXT(SUMPRODUCT(MAX((T_PlannedOrders[Part Name]=$A1017)*(T_PlannedOrders[WeekIndex]=85)*(T_PlannedOrders[EffectiveQty]&gt;0)*T_PlannedOrders[Order_Month])),"m月")&amp;"発注)")</f>
        <v/>
      </c>
      <c r="CK1025">
        <f>IF(SUMIFS(T_PlannedOrders[EffectiveQty],T_PlannedOrders[Part Name],$A1017,T_PlannedOrders[WeekIndex],86)=0,"",SUMIFS(T_PlannedOrders[EffectiveQty],T_PlannedOrders[Part Name],$A1017,T_PlannedOrders[WeekIndex],86)&amp;" ("&amp;TEXT(SUMPRODUCT(MAX((T_PlannedOrders[Part Name]=$A1017)*(T_PlannedOrders[WeekIndex]=86)*(T_PlannedOrders[EffectiveQty]&gt;0)*T_PlannedOrders[Order_Month])),"m月")&amp;"発注)")</f>
        <v/>
      </c>
      <c r="CL1025">
        <f>IF(SUMIFS(T_PlannedOrders[EffectiveQty],T_PlannedOrders[Part Name],$A1017,T_PlannedOrders[WeekIndex],87)=0,"",SUMIFS(T_PlannedOrders[EffectiveQty],T_PlannedOrders[Part Name],$A1017,T_PlannedOrders[WeekIndex],87)&amp;" ("&amp;TEXT(SUMPRODUCT(MAX((T_PlannedOrders[Part Name]=$A1017)*(T_PlannedOrders[WeekIndex]=87)*(T_PlannedOrders[EffectiveQty]&gt;0)*T_PlannedOrders[Order_Month])),"m月")&amp;"発注)")</f>
        <v/>
      </c>
      <c r="CM1025">
        <f>IF(SUMIFS(T_PlannedOrders[EffectiveQty],T_PlannedOrders[Part Name],$A1017,T_PlannedOrders[WeekIndex],88)=0,"",SUMIFS(T_PlannedOrders[EffectiveQty],T_PlannedOrders[Part Name],$A1017,T_PlannedOrders[WeekIndex],88)&amp;" ("&amp;TEXT(SUMPRODUCT(MAX((T_PlannedOrders[Part Name]=$A1017)*(T_PlannedOrders[WeekIndex]=88)*(T_PlannedOrders[EffectiveQty]&gt;0)*T_PlannedOrders[Order_Month])),"m月")&amp;"発注)")</f>
        <v/>
      </c>
      <c r="CN1025">
        <f>IF(SUMIFS(T_PlannedOrders[EffectiveQty],T_PlannedOrders[Part Name],$A1017,T_PlannedOrders[WeekIndex],89)=0,"",SUMIFS(T_PlannedOrders[EffectiveQty],T_PlannedOrders[Part Name],$A1017,T_PlannedOrders[WeekIndex],89)&amp;" ("&amp;TEXT(SUMPRODUCT(MAX((T_PlannedOrders[Part Name]=$A1017)*(T_PlannedOrders[WeekIndex]=89)*(T_PlannedOrders[EffectiveQty]&gt;0)*T_PlannedOrders[Order_Month])),"m月")&amp;"発注)")</f>
        <v/>
      </c>
      <c r="CO1025">
        <f>IF(SUMIFS(T_PlannedOrders[EffectiveQty],T_PlannedOrders[Part Name],$A1017,T_PlannedOrders[WeekIndex],90)=0,"",SUMIFS(T_PlannedOrders[EffectiveQty],T_PlannedOrders[Part Name],$A1017,T_PlannedOrders[WeekIndex],90)&amp;" ("&amp;TEXT(SUMPRODUCT(MAX((T_PlannedOrders[Part Name]=$A1017)*(T_PlannedOrders[WeekIndex]=90)*(T_PlannedOrders[EffectiveQty]&gt;0)*T_PlannedOrders[Order_Month])),"m月")&amp;"発注)")</f>
        <v/>
      </c>
      <c r="CP1025">
        <f>IF(SUMIFS(T_PlannedOrders[EffectiveQty],T_PlannedOrders[Part Name],$A1017,T_PlannedOrders[WeekIndex],91)=0,"",SUMIFS(T_PlannedOrders[EffectiveQty],T_PlannedOrders[Part Name],$A1017,T_PlannedOrders[WeekIndex],91)&amp;" ("&amp;TEXT(SUMPRODUCT(MAX((T_PlannedOrders[Part Name]=$A1017)*(T_PlannedOrders[WeekIndex]=91)*(T_PlannedOrders[EffectiveQty]&gt;0)*T_PlannedOrders[Order_Month])),"m月")&amp;"発注)")</f>
        <v/>
      </c>
      <c r="CQ1025">
        <f>IF(SUMIFS(T_PlannedOrders[EffectiveQty],T_PlannedOrders[Part Name],$A1017,T_PlannedOrders[WeekIndex],92)=0,"",SUMIFS(T_PlannedOrders[EffectiveQty],T_PlannedOrders[Part Name],$A1017,T_PlannedOrders[WeekIndex],92)&amp;" ("&amp;TEXT(SUMPRODUCT(MAX((T_PlannedOrders[Part Name]=$A1017)*(T_PlannedOrders[WeekIndex]=92)*(T_PlannedOrders[EffectiveQty]&gt;0)*T_PlannedOrders[Order_Month])),"m月")&amp;"発注)")</f>
        <v/>
      </c>
      <c r="CR1025">
        <f>IF(SUMIFS(T_PlannedOrders[EffectiveQty],T_PlannedOrders[Part Name],$A1017,T_PlannedOrders[WeekIndex],93)=0,"",SUMIFS(T_PlannedOrders[EffectiveQty],T_PlannedOrders[Part Name],$A1017,T_PlannedOrders[WeekIndex],93)&amp;" ("&amp;TEXT(SUMPRODUCT(MAX((T_PlannedOrders[Part Name]=$A1017)*(T_PlannedOrders[WeekIndex]=93)*(T_PlannedOrders[EffectiveQty]&gt;0)*T_PlannedOrders[Order_Month])),"m月")&amp;"発注)")</f>
        <v/>
      </c>
      <c r="CS1025">
        <f>IF(SUMIFS(T_PlannedOrders[EffectiveQty],T_PlannedOrders[Part Name],$A1017,T_PlannedOrders[WeekIndex],94)=0,"",SUMIFS(T_PlannedOrders[EffectiveQty],T_PlannedOrders[Part Name],$A1017,T_PlannedOrders[WeekIndex],94)&amp;" ("&amp;TEXT(SUMPRODUCT(MAX((T_PlannedOrders[Part Name]=$A1017)*(T_PlannedOrders[WeekIndex]=94)*(T_PlannedOrders[EffectiveQty]&gt;0)*T_PlannedOrders[Order_Month])),"m月")&amp;"発注)")</f>
        <v/>
      </c>
      <c r="CT1025">
        <f>IF(SUMIFS(T_PlannedOrders[EffectiveQty],T_PlannedOrders[Part Name],$A1017,T_PlannedOrders[WeekIndex],95)=0,"",SUMIFS(T_PlannedOrders[EffectiveQty],T_PlannedOrders[Part Name],$A1017,T_PlannedOrders[WeekIndex],95)&amp;" ("&amp;TEXT(SUMPRODUCT(MAX((T_PlannedOrders[Part Name]=$A1017)*(T_PlannedOrders[WeekIndex]=95)*(T_PlannedOrders[EffectiveQty]&gt;0)*T_PlannedOrders[Order_Month])),"m月")&amp;"発注)")</f>
        <v/>
      </c>
      <c r="CU1025">
        <f>IF(SUMIFS(T_PlannedOrders[EffectiveQty],T_PlannedOrders[Part Name],$A1017,T_PlannedOrders[WeekIndex],96)=0,"",SUMIFS(T_PlannedOrders[EffectiveQty],T_PlannedOrders[Part Name],$A1017,T_PlannedOrders[WeekIndex],96)&amp;" ("&amp;TEXT(SUMPRODUCT(MAX((T_PlannedOrders[Part Name]=$A1017)*(T_PlannedOrders[WeekIndex]=96)*(T_PlannedOrders[EffectiveQty]&gt;0)*T_PlannedOrders[Order_Month])),"m月")&amp;"発注)")</f>
        <v/>
      </c>
      <c r="CV1025">
        <f>IF(SUMIFS(T_PlannedOrders[EffectiveQty],T_PlannedOrders[Part Name],$A1017,T_PlannedOrders[WeekIndex],97)=0,"",SUMIFS(T_PlannedOrders[EffectiveQty],T_PlannedOrders[Part Name],$A1017,T_PlannedOrders[WeekIndex],97)&amp;" ("&amp;TEXT(SUMPRODUCT(MAX((T_PlannedOrders[Part Name]=$A1017)*(T_PlannedOrders[WeekIndex]=97)*(T_PlannedOrders[EffectiveQty]&gt;0)*T_PlannedOrders[Order_Month])),"m月")&amp;"発注)")</f>
        <v/>
      </c>
      <c r="CW1025">
        <f>IF(SUMIFS(T_PlannedOrders[EffectiveQty],T_PlannedOrders[Part Name],$A1017,T_PlannedOrders[WeekIndex],98)=0,"",SUMIFS(T_PlannedOrders[EffectiveQty],T_PlannedOrders[Part Name],$A1017,T_PlannedOrders[WeekIndex],98)&amp;" ("&amp;TEXT(SUMPRODUCT(MAX((T_PlannedOrders[Part Name]=$A1017)*(T_PlannedOrders[WeekIndex]=98)*(T_PlannedOrders[EffectiveQty]&gt;0)*T_PlannedOrders[Order_Month])),"m月")&amp;"発注)")</f>
        <v/>
      </c>
      <c r="CX1025">
        <f>IF(SUMIFS(T_PlannedOrders[EffectiveQty],T_PlannedOrders[Part Name],$A1017,T_PlannedOrders[WeekIndex],99)=0,"",SUMIFS(T_PlannedOrders[EffectiveQty],T_PlannedOrders[Part Name],$A1017,T_PlannedOrders[WeekIndex],99)&amp;" ("&amp;TEXT(SUMPRODUCT(MAX((T_PlannedOrders[Part Name]=$A1017)*(T_PlannedOrders[WeekIndex]=99)*(T_PlannedOrders[EffectiveQty]&gt;0)*T_PlannedOrders[Order_Month])),"m月")&amp;"発注)")</f>
        <v/>
      </c>
      <c r="CY1025">
        <f>IF(SUMIFS(T_PlannedOrders[EffectiveQty],T_PlannedOrders[Part Name],$A1017,T_PlannedOrders[WeekIndex],100)=0,"",SUMIFS(T_PlannedOrders[EffectiveQty],T_PlannedOrders[Part Name],$A1017,T_PlannedOrders[WeekIndex],100)&amp;" ("&amp;TEXT(SUMPRODUCT(MAX((T_PlannedOrders[Part Name]=$A1017)*(T_PlannedOrders[WeekIndex]=100)*(T_PlannedOrders[EffectiveQty]&gt;0)*T_PlannedOrders[Order_Month])),"m月")&amp;"発注)")</f>
        <v/>
      </c>
      <c r="CZ1025">
        <f>IF(SUMIFS(T_PlannedOrders[EffectiveQty],T_PlannedOrders[Part Name],$A1017,T_PlannedOrders[WeekIndex],101)=0,"",SUMIFS(T_PlannedOrders[EffectiveQty],T_PlannedOrders[Part Name],$A1017,T_PlannedOrders[WeekIndex],101)&amp;" ("&amp;TEXT(SUMPRODUCT(MAX((T_PlannedOrders[Part Name]=$A1017)*(T_PlannedOrders[WeekIndex]=101)*(T_PlannedOrders[EffectiveQty]&gt;0)*T_PlannedOrders[Order_Month])),"m月")&amp;"発注)")</f>
        <v/>
      </c>
      <c r="DA1025">
        <f>IF(SUMIFS(T_PlannedOrders[EffectiveQty],T_PlannedOrders[Part Name],$A1017,T_PlannedOrders[WeekIndex],102)=0,"",SUMIFS(T_PlannedOrders[EffectiveQty],T_PlannedOrders[Part Name],$A1017,T_PlannedOrders[WeekIndex],102)&amp;" ("&amp;TEXT(SUMPRODUCT(MAX((T_PlannedOrders[Part Name]=$A1017)*(T_PlannedOrders[WeekIndex]=102)*(T_PlannedOrders[EffectiveQty]&gt;0)*T_PlannedOrders[Order_Month])),"m月")&amp;"発注)")</f>
        <v/>
      </c>
      <c r="DB1025">
        <f>IF(SUMIFS(T_PlannedOrders[EffectiveQty],T_PlannedOrders[Part Name],$A1017,T_PlannedOrders[WeekIndex],103)=0,"",SUMIFS(T_PlannedOrders[EffectiveQty],T_PlannedOrders[Part Name],$A1017,T_PlannedOrders[WeekIndex],103)&amp;" ("&amp;TEXT(SUMPRODUCT(MAX((T_PlannedOrders[Part Name]=$A1017)*(T_PlannedOrders[WeekIndex]=103)*(T_PlannedOrders[EffectiveQty]&gt;0)*T_PlannedOrders[Order_Month])),"m月")&amp;"発注)")</f>
        <v/>
      </c>
      <c r="DC1025">
        <f>IF(SUMIFS(T_PlannedOrders[EffectiveQty],T_PlannedOrders[Part Name],$A1017,T_PlannedOrders[WeekIndex],104)=0,"",SUMIFS(T_PlannedOrders[EffectiveQty],T_PlannedOrders[Part Name],$A1017,T_PlannedOrders[WeekIndex],104)&amp;" ("&amp;TEXT(SUMPRODUCT(MAX((T_PlannedOrders[Part Name]=$A1017)*(T_PlannedOrders[WeekIndex]=104)*(T_PlannedOrders[EffectiveQty]&gt;0)*T_PlannedOrders[Order_Month])),"m月")&amp;"発注)")</f>
        <v/>
      </c>
    </row>
    <row r="1026">
      <c r="B1026" s="9" t="inlineStr">
        <is>
          <t>合計在庫(週末時点,kg)</t>
        </is>
      </c>
      <c r="D1026">
        <f>'Grid_Stock'!B36</f>
        <v/>
      </c>
      <c r="E1026">
        <f>'Grid_Stock'!C36</f>
        <v/>
      </c>
      <c r="F1026">
        <f>'Grid_Stock'!D36</f>
        <v/>
      </c>
      <c r="G1026">
        <f>'Grid_Stock'!E36</f>
        <v/>
      </c>
      <c r="H1026">
        <f>'Grid_Stock'!F36</f>
        <v/>
      </c>
      <c r="I1026">
        <f>'Grid_Stock'!G36</f>
        <v/>
      </c>
      <c r="J1026">
        <f>'Grid_Stock'!H36</f>
        <v/>
      </c>
      <c r="K1026">
        <f>'Grid_Stock'!I36</f>
        <v/>
      </c>
      <c r="L1026">
        <f>'Grid_Stock'!J36</f>
        <v/>
      </c>
      <c r="M1026">
        <f>'Grid_Stock'!K36</f>
        <v/>
      </c>
      <c r="N1026">
        <f>'Grid_Stock'!L36</f>
        <v/>
      </c>
      <c r="O1026">
        <f>'Grid_Stock'!M36</f>
        <v/>
      </c>
      <c r="P1026">
        <f>'Grid_Stock'!N36</f>
        <v/>
      </c>
      <c r="Q1026">
        <f>'Grid_Stock'!O36</f>
        <v/>
      </c>
      <c r="R1026">
        <f>'Grid_Stock'!P36</f>
        <v/>
      </c>
      <c r="S1026">
        <f>'Grid_Stock'!Q36</f>
        <v/>
      </c>
      <c r="T1026">
        <f>'Grid_Stock'!R36</f>
        <v/>
      </c>
      <c r="U1026">
        <f>'Grid_Stock'!S36</f>
        <v/>
      </c>
      <c r="V1026">
        <f>'Grid_Stock'!T36</f>
        <v/>
      </c>
      <c r="W1026">
        <f>'Grid_Stock'!U36</f>
        <v/>
      </c>
      <c r="X1026">
        <f>'Grid_Stock'!V36</f>
        <v/>
      </c>
      <c r="Y1026">
        <f>'Grid_Stock'!W36</f>
        <v/>
      </c>
      <c r="Z1026">
        <f>'Grid_Stock'!X36</f>
        <v/>
      </c>
      <c r="AA1026">
        <f>'Grid_Stock'!Y36</f>
        <v/>
      </c>
      <c r="AB1026">
        <f>'Grid_Stock'!Z36</f>
        <v/>
      </c>
      <c r="AC1026">
        <f>'Grid_Stock'!AA36</f>
        <v/>
      </c>
      <c r="AD1026">
        <f>'Grid_Stock'!AB36</f>
        <v/>
      </c>
      <c r="AE1026">
        <f>'Grid_Stock'!AC36</f>
        <v/>
      </c>
      <c r="AF1026">
        <f>'Grid_Stock'!AD36</f>
        <v/>
      </c>
      <c r="AG1026">
        <f>'Grid_Stock'!AE36</f>
        <v/>
      </c>
      <c r="AH1026">
        <f>'Grid_Stock'!AF36</f>
        <v/>
      </c>
      <c r="AI1026">
        <f>'Grid_Stock'!AG36</f>
        <v/>
      </c>
      <c r="AJ1026">
        <f>'Grid_Stock'!AH36</f>
        <v/>
      </c>
      <c r="AK1026">
        <f>'Grid_Stock'!AI36</f>
        <v/>
      </c>
      <c r="AL1026">
        <f>'Grid_Stock'!AJ36</f>
        <v/>
      </c>
      <c r="AM1026">
        <f>'Grid_Stock'!AK36</f>
        <v/>
      </c>
      <c r="AN1026">
        <f>'Grid_Stock'!AL36</f>
        <v/>
      </c>
      <c r="AO1026">
        <f>'Grid_Stock'!AM36</f>
        <v/>
      </c>
      <c r="AP1026">
        <f>'Grid_Stock'!AN36</f>
        <v/>
      </c>
      <c r="AQ1026">
        <f>'Grid_Stock'!AO36</f>
        <v/>
      </c>
      <c r="AR1026">
        <f>'Grid_Stock'!AP36</f>
        <v/>
      </c>
      <c r="AS1026">
        <f>'Grid_Stock'!AQ36</f>
        <v/>
      </c>
      <c r="AT1026">
        <f>'Grid_Stock'!AR36</f>
        <v/>
      </c>
      <c r="AU1026">
        <f>'Grid_Stock'!AS36</f>
        <v/>
      </c>
      <c r="AV1026">
        <f>'Grid_Stock'!AT36</f>
        <v/>
      </c>
      <c r="AW1026">
        <f>'Grid_Stock'!AU36</f>
        <v/>
      </c>
      <c r="AX1026">
        <f>'Grid_Stock'!AV36</f>
        <v/>
      </c>
      <c r="AY1026">
        <f>'Grid_Stock'!AW36</f>
        <v/>
      </c>
      <c r="AZ1026">
        <f>'Grid_Stock'!AX36</f>
        <v/>
      </c>
      <c r="BA1026">
        <f>'Grid_Stock'!AY36</f>
        <v/>
      </c>
      <c r="BB1026">
        <f>'Grid_Stock'!AZ36</f>
        <v/>
      </c>
      <c r="BC1026">
        <f>'Grid_Stock'!BA36</f>
        <v/>
      </c>
      <c r="BD1026">
        <f>'Grid_Stock'!BB36</f>
        <v/>
      </c>
      <c r="BE1026">
        <f>'Grid_Stock'!BC36</f>
        <v/>
      </c>
      <c r="BF1026">
        <f>'Grid_Stock'!BD36</f>
        <v/>
      </c>
      <c r="BG1026">
        <f>'Grid_Stock'!BE36</f>
        <v/>
      </c>
      <c r="BH1026">
        <f>'Grid_Stock'!BF36</f>
        <v/>
      </c>
      <c r="BI1026">
        <f>'Grid_Stock'!BG36</f>
        <v/>
      </c>
      <c r="BJ1026">
        <f>'Grid_Stock'!BH36</f>
        <v/>
      </c>
      <c r="BK1026">
        <f>'Grid_Stock'!BI36</f>
        <v/>
      </c>
      <c r="BL1026">
        <f>'Grid_Stock'!BJ36</f>
        <v/>
      </c>
      <c r="BM1026">
        <f>'Grid_Stock'!BK36</f>
        <v/>
      </c>
      <c r="BN1026">
        <f>'Grid_Stock'!BL36</f>
        <v/>
      </c>
      <c r="BO1026">
        <f>'Grid_Stock'!BM36</f>
        <v/>
      </c>
      <c r="BP1026">
        <f>'Grid_Stock'!BN36</f>
        <v/>
      </c>
      <c r="BQ1026">
        <f>'Grid_Stock'!BO36</f>
        <v/>
      </c>
      <c r="BR1026">
        <f>'Grid_Stock'!BP36</f>
        <v/>
      </c>
      <c r="BS1026">
        <f>'Grid_Stock'!BQ36</f>
        <v/>
      </c>
      <c r="BT1026">
        <f>'Grid_Stock'!BR36</f>
        <v/>
      </c>
      <c r="BU1026">
        <f>'Grid_Stock'!BS36</f>
        <v/>
      </c>
      <c r="BV1026">
        <f>'Grid_Stock'!BT36</f>
        <v/>
      </c>
      <c r="BW1026">
        <f>'Grid_Stock'!BU36</f>
        <v/>
      </c>
      <c r="BX1026">
        <f>'Grid_Stock'!BV36</f>
        <v/>
      </c>
      <c r="BY1026">
        <f>'Grid_Stock'!BW36</f>
        <v/>
      </c>
      <c r="BZ1026">
        <f>'Grid_Stock'!BX36</f>
        <v/>
      </c>
      <c r="CA1026">
        <f>'Grid_Stock'!BY36</f>
        <v/>
      </c>
      <c r="CB1026">
        <f>'Grid_Stock'!BZ36</f>
        <v/>
      </c>
      <c r="CC1026">
        <f>'Grid_Stock'!CA36</f>
        <v/>
      </c>
      <c r="CD1026">
        <f>'Grid_Stock'!CB36</f>
        <v/>
      </c>
      <c r="CE1026">
        <f>'Grid_Stock'!CC36</f>
        <v/>
      </c>
      <c r="CF1026">
        <f>'Grid_Stock'!CD36</f>
        <v/>
      </c>
      <c r="CG1026">
        <f>'Grid_Stock'!CE36</f>
        <v/>
      </c>
      <c r="CH1026">
        <f>'Grid_Stock'!CF36</f>
        <v/>
      </c>
      <c r="CI1026">
        <f>'Grid_Stock'!CG36</f>
        <v/>
      </c>
      <c r="CJ1026">
        <f>'Grid_Stock'!CH36</f>
        <v/>
      </c>
      <c r="CK1026">
        <f>'Grid_Stock'!CI36</f>
        <v/>
      </c>
      <c r="CL1026">
        <f>'Grid_Stock'!CJ36</f>
        <v/>
      </c>
      <c r="CM1026">
        <f>'Grid_Stock'!CK36</f>
        <v/>
      </c>
      <c r="CN1026">
        <f>'Grid_Stock'!CL36</f>
        <v/>
      </c>
      <c r="CO1026">
        <f>'Grid_Stock'!CM36</f>
        <v/>
      </c>
      <c r="CP1026">
        <f>'Grid_Stock'!CN36</f>
        <v/>
      </c>
      <c r="CQ1026">
        <f>'Grid_Stock'!CO36</f>
        <v/>
      </c>
      <c r="CR1026">
        <f>'Grid_Stock'!CP36</f>
        <v/>
      </c>
      <c r="CS1026">
        <f>'Grid_Stock'!CQ36</f>
        <v/>
      </c>
      <c r="CT1026">
        <f>'Grid_Stock'!CR36</f>
        <v/>
      </c>
      <c r="CU1026">
        <f>'Grid_Stock'!CS36</f>
        <v/>
      </c>
      <c r="CV1026">
        <f>'Grid_Stock'!CT36</f>
        <v/>
      </c>
      <c r="CW1026">
        <f>'Grid_Stock'!CU36</f>
        <v/>
      </c>
      <c r="CX1026">
        <f>'Grid_Stock'!CV36</f>
        <v/>
      </c>
      <c r="CY1026">
        <f>'Grid_Stock'!CW36</f>
        <v/>
      </c>
      <c r="CZ1026">
        <f>'Grid_Stock'!CX36</f>
        <v/>
      </c>
      <c r="DA1026">
        <f>'Grid_Stock'!CY36</f>
        <v/>
      </c>
      <c r="DB1026">
        <f>'Grid_Stock'!CZ36</f>
        <v/>
      </c>
      <c r="DC1026">
        <f>'Grid_Stock'!DA36</f>
        <v/>
      </c>
    </row>
    <row r="1027">
      <c r="B1027" s="21" t="inlineStr">
        <is>
          <t>（発注の目安はDashboardの基準在庫[下限/上限]と色分けを参照）</t>
        </is>
      </c>
    </row>
    <row r="1029">
      <c r="A1029" s="19" t="inlineStr">
        <is>
          <t>5SN</t>
        </is>
      </c>
      <c r="B1029" s="19" t="inlineStr">
        <is>
          <t>5SN</t>
        </is>
      </c>
      <c r="C1029" s="20" t="n"/>
      <c r="D1029" s="19" t="n"/>
      <c r="E1029" s="19" t="n"/>
      <c r="F1029" s="19" t="n"/>
      <c r="G1029" s="19" t="n"/>
      <c r="H1029" s="19" t="n"/>
      <c r="I1029" s="19" t="n"/>
      <c r="J1029" s="19" t="n"/>
      <c r="K1029" s="19" t="n"/>
      <c r="L1029" s="19" t="n"/>
      <c r="M1029" s="19" t="n"/>
      <c r="N1029" s="19" t="n"/>
      <c r="O1029" s="19" t="n"/>
      <c r="P1029" s="19" t="n"/>
      <c r="Q1029" s="19" t="n"/>
      <c r="R1029" s="19" t="n"/>
      <c r="S1029" s="19" t="n"/>
      <c r="T1029" s="19" t="n"/>
      <c r="U1029" s="19" t="n"/>
      <c r="V1029" s="19" t="n"/>
      <c r="W1029" s="19" t="n"/>
      <c r="X1029" s="19" t="n"/>
      <c r="Y1029" s="19" t="n"/>
      <c r="Z1029" s="19" t="n"/>
      <c r="AA1029" s="19" t="n"/>
      <c r="AB1029" s="19" t="n"/>
      <c r="AC1029" s="19" t="n"/>
      <c r="AD1029" s="19" t="n"/>
      <c r="AE1029" s="19" t="n"/>
      <c r="AF1029" s="19" t="n"/>
      <c r="AG1029" s="19" t="n"/>
      <c r="AH1029" s="19" t="n"/>
      <c r="AI1029" s="19" t="n"/>
      <c r="AJ1029" s="19" t="n"/>
      <c r="AK1029" s="19" t="n"/>
      <c r="AL1029" s="19" t="n"/>
      <c r="AM1029" s="19" t="n"/>
      <c r="AN1029" s="19" t="n"/>
      <c r="AO1029" s="19" t="n"/>
      <c r="AP1029" s="19" t="n"/>
      <c r="AQ1029" s="19" t="n"/>
      <c r="AR1029" s="19" t="n"/>
      <c r="AS1029" s="19" t="n"/>
      <c r="AT1029" s="19" t="n"/>
      <c r="AU1029" s="19" t="n"/>
      <c r="AV1029" s="19" t="n"/>
      <c r="AW1029" s="19" t="n"/>
      <c r="AX1029" s="19" t="n"/>
      <c r="AY1029" s="19" t="n"/>
      <c r="AZ1029" s="19" t="n"/>
      <c r="BA1029" s="19" t="n"/>
      <c r="BB1029" s="19" t="n"/>
      <c r="BC1029" s="19" t="n"/>
      <c r="BD1029" s="19" t="n"/>
      <c r="BE1029" s="19" t="n"/>
      <c r="BF1029" s="19" t="n"/>
      <c r="BG1029" s="19" t="n"/>
      <c r="BH1029" s="19" t="n"/>
      <c r="BI1029" s="19" t="n"/>
      <c r="BJ1029" s="19" t="n"/>
      <c r="BK1029" s="19" t="n"/>
      <c r="BL1029" s="19" t="n"/>
      <c r="BM1029" s="19" t="n"/>
      <c r="BN1029" s="19" t="n"/>
      <c r="BO1029" s="19" t="n"/>
      <c r="BP1029" s="19" t="n"/>
      <c r="BQ1029" s="19" t="n"/>
      <c r="BR1029" s="19" t="n"/>
      <c r="BS1029" s="19" t="n"/>
      <c r="BT1029" s="19" t="n"/>
      <c r="BU1029" s="19" t="n"/>
      <c r="BV1029" s="19" t="n"/>
      <c r="BW1029" s="19" t="n"/>
      <c r="BX1029" s="19" t="n"/>
      <c r="BY1029" s="19" t="n"/>
      <c r="BZ1029" s="19" t="n"/>
      <c r="CA1029" s="19" t="n"/>
      <c r="CB1029" s="19" t="n"/>
      <c r="CC1029" s="19" t="n"/>
      <c r="CD1029" s="19" t="n"/>
      <c r="CE1029" s="19" t="n"/>
      <c r="CF1029" s="19" t="n"/>
      <c r="CG1029" s="19" t="n"/>
      <c r="CH1029" s="19" t="n"/>
      <c r="CI1029" s="19" t="n"/>
      <c r="CJ1029" s="19" t="n"/>
      <c r="CK1029" s="19" t="n"/>
      <c r="CL1029" s="19" t="n"/>
      <c r="CM1029" s="19" t="n"/>
      <c r="CN1029" s="19" t="n"/>
      <c r="CO1029" s="19" t="n"/>
      <c r="CP1029" s="19" t="n"/>
      <c r="CQ1029" s="19" t="n"/>
      <c r="CR1029" s="19" t="n"/>
      <c r="CS1029" s="19" t="n"/>
      <c r="CT1029" s="19" t="n"/>
      <c r="CU1029" s="19" t="n"/>
      <c r="CV1029" s="19" t="n"/>
      <c r="CW1029" s="19" t="n"/>
      <c r="CX1029" s="19" t="n"/>
      <c r="CY1029" s="19" t="n"/>
      <c r="CZ1029" s="19" t="n"/>
      <c r="DA1029" s="19" t="n"/>
      <c r="DB1029" s="19" t="n"/>
      <c r="DC1029" s="19" t="n"/>
    </row>
    <row r="1030">
      <c r="B1030" t="inlineStr">
        <is>
          <t>0Q110</t>
        </is>
      </c>
      <c r="C1030" t="inlineStr">
        <is>
          <t>No. of batches</t>
        </is>
      </c>
      <c r="D1030">
        <f>IFERROR(INDEX(PP_Grid[#Data],$DD1030,2),0)</f>
        <v/>
      </c>
      <c r="E1030">
        <f>IFERROR(INDEX(PP_Grid[#Data],$DD1030,3),0)</f>
        <v/>
      </c>
      <c r="F1030">
        <f>IFERROR(INDEX(PP_Grid[#Data],$DD1030,4),0)</f>
        <v/>
      </c>
      <c r="G1030">
        <f>IFERROR(INDEX(PP_Grid[#Data],$DD1030,5),0)</f>
        <v/>
      </c>
      <c r="H1030">
        <f>IFERROR(INDEX(PP_Grid[#Data],$DD1030,6),0)</f>
        <v/>
      </c>
      <c r="I1030">
        <f>IFERROR(INDEX(PP_Grid[#Data],$DD1030,7),0)</f>
        <v/>
      </c>
      <c r="J1030">
        <f>IFERROR(INDEX(PP_Grid[#Data],$DD1030,8),0)</f>
        <v/>
      </c>
      <c r="K1030">
        <f>IFERROR(INDEX(PP_Grid[#Data],$DD1030,9),0)</f>
        <v/>
      </c>
      <c r="L1030">
        <f>IFERROR(INDEX(PP_Grid[#Data],$DD1030,10),0)</f>
        <v/>
      </c>
      <c r="M1030">
        <f>IFERROR(INDEX(PP_Grid[#Data],$DD1030,11),0)</f>
        <v/>
      </c>
      <c r="N1030">
        <f>IFERROR(INDEX(PP_Grid[#Data],$DD1030,12),0)</f>
        <v/>
      </c>
      <c r="O1030">
        <f>IFERROR(INDEX(PP_Grid[#Data],$DD1030,13),0)</f>
        <v/>
      </c>
      <c r="P1030">
        <f>IFERROR(INDEX(PP_Grid[#Data],$DD1030,14),0)</f>
        <v/>
      </c>
      <c r="Q1030">
        <f>IFERROR(INDEX(PP_Grid[#Data],$DD1030,15),0)</f>
        <v/>
      </c>
      <c r="R1030">
        <f>IFERROR(INDEX(PP_Grid[#Data],$DD1030,16),0)</f>
        <v/>
      </c>
      <c r="S1030">
        <f>IFERROR(INDEX(PP_Grid[#Data],$DD1030,17),0)</f>
        <v/>
      </c>
      <c r="T1030">
        <f>IFERROR(INDEX(PP_Grid[#Data],$DD1030,18),0)</f>
        <v/>
      </c>
      <c r="U1030">
        <f>IFERROR(INDEX(PP_Grid[#Data],$DD1030,19),0)</f>
        <v/>
      </c>
      <c r="V1030">
        <f>IFERROR(INDEX(PP_Grid[#Data],$DD1030,20),0)</f>
        <v/>
      </c>
      <c r="W1030">
        <f>IFERROR(INDEX(PP_Grid[#Data],$DD1030,21),0)</f>
        <v/>
      </c>
      <c r="X1030">
        <f>IFERROR(INDEX(PP_Grid[#Data],$DD1030,22),0)</f>
        <v/>
      </c>
      <c r="Y1030">
        <f>IFERROR(INDEX(PP_Grid[#Data],$DD1030,23),0)</f>
        <v/>
      </c>
      <c r="Z1030">
        <f>IFERROR(INDEX(PP_Grid[#Data],$DD1030,24),0)</f>
        <v/>
      </c>
      <c r="AA1030">
        <f>IFERROR(INDEX(PP_Grid[#Data],$DD1030,25),0)</f>
        <v/>
      </c>
      <c r="AB1030">
        <f>IFERROR(INDEX(PP_Grid[#Data],$DD1030,26),0)</f>
        <v/>
      </c>
      <c r="AC1030">
        <f>IFERROR(INDEX(PP_Grid[#Data],$DD1030,27),0)</f>
        <v/>
      </c>
      <c r="AD1030">
        <f>IFERROR(INDEX(PP_Grid[#Data],$DD1030,28),0)</f>
        <v/>
      </c>
      <c r="AE1030">
        <f>IFERROR(INDEX(PP_Grid[#Data],$DD1030,29),0)</f>
        <v/>
      </c>
      <c r="AF1030">
        <f>IFERROR(INDEX(PP_Grid[#Data],$DD1030,30),0)</f>
        <v/>
      </c>
      <c r="AG1030">
        <f>IFERROR(INDEX(PP_Grid[#Data],$DD1030,31),0)</f>
        <v/>
      </c>
      <c r="AH1030">
        <f>IFERROR(INDEX(PP_Grid[#Data],$DD1030,32),0)</f>
        <v/>
      </c>
      <c r="AI1030">
        <f>IFERROR(INDEX(PP_Grid[#Data],$DD1030,33),0)</f>
        <v/>
      </c>
      <c r="AJ1030">
        <f>IFERROR(INDEX(PP_Grid[#Data],$DD1030,34),0)</f>
        <v/>
      </c>
      <c r="AK1030">
        <f>IFERROR(INDEX(PP_Grid[#Data],$DD1030,35),0)</f>
        <v/>
      </c>
      <c r="AL1030">
        <f>IFERROR(INDEX(PP_Grid[#Data],$DD1030,36),0)</f>
        <v/>
      </c>
      <c r="AM1030">
        <f>IFERROR(INDEX(PP_Grid[#Data],$DD1030,37),0)</f>
        <v/>
      </c>
      <c r="AN1030">
        <f>IFERROR(INDEX(PP_Grid[#Data],$DD1030,38),0)</f>
        <v/>
      </c>
      <c r="AO1030">
        <f>IFERROR(INDEX(PP_Grid[#Data],$DD1030,39),0)</f>
        <v/>
      </c>
      <c r="AP1030">
        <f>IFERROR(INDEX(PP_Grid[#Data],$DD1030,40),0)</f>
        <v/>
      </c>
      <c r="AQ1030">
        <f>IFERROR(INDEX(PP_Grid[#Data],$DD1030,41),0)</f>
        <v/>
      </c>
      <c r="AR1030">
        <f>IFERROR(INDEX(PP_Grid[#Data],$DD1030,42),0)</f>
        <v/>
      </c>
      <c r="AS1030">
        <f>IFERROR(INDEX(PP_Grid[#Data],$DD1030,43),0)</f>
        <v/>
      </c>
      <c r="AT1030">
        <f>IFERROR(INDEX(PP_Grid[#Data],$DD1030,44),0)</f>
        <v/>
      </c>
      <c r="AU1030">
        <f>IFERROR(INDEX(PP_Grid[#Data],$DD1030,45),0)</f>
        <v/>
      </c>
      <c r="AV1030">
        <f>IFERROR(INDEX(PP_Grid[#Data],$DD1030,46),0)</f>
        <v/>
      </c>
      <c r="AW1030">
        <f>IFERROR(INDEX(PP_Grid[#Data],$DD1030,47),0)</f>
        <v/>
      </c>
      <c r="AX1030">
        <f>IFERROR(INDEX(PP_Grid[#Data],$DD1030,48),0)</f>
        <v/>
      </c>
      <c r="AY1030">
        <f>IFERROR(INDEX(PP_Grid[#Data],$DD1030,49),0)</f>
        <v/>
      </c>
      <c r="AZ1030">
        <f>IFERROR(INDEX(PP_Grid[#Data],$DD1030,50),0)</f>
        <v/>
      </c>
      <c r="BA1030">
        <f>IFERROR(INDEX(PP_Grid[#Data],$DD1030,51),0)</f>
        <v/>
      </c>
      <c r="BB1030">
        <f>IFERROR(INDEX(PP_Grid[#Data],$DD1030,52),0)</f>
        <v/>
      </c>
      <c r="BC1030">
        <f>IFERROR(INDEX(PP_Grid[#Data],$DD1030,53),0)</f>
        <v/>
      </c>
      <c r="BD1030">
        <f>IFERROR(INDEX(PP_Grid[#Data],$DD1030,54),0)</f>
        <v/>
      </c>
      <c r="BE1030">
        <f>IFERROR(INDEX(PP_Grid[#Data],$DD1030,55),0)</f>
        <v/>
      </c>
      <c r="BF1030">
        <f>IFERROR(INDEX(PP_Grid[#Data],$DD1030,56),0)</f>
        <v/>
      </c>
      <c r="BG1030">
        <f>IFERROR(INDEX(PP_Grid[#Data],$DD1030,57),0)</f>
        <v/>
      </c>
      <c r="BH1030">
        <f>IFERROR(INDEX(PP_Grid[#Data],$DD1030,58),0)</f>
        <v/>
      </c>
      <c r="BI1030">
        <f>IFERROR(INDEX(PP_Grid[#Data],$DD1030,59),0)</f>
        <v/>
      </c>
      <c r="BJ1030">
        <f>IFERROR(INDEX(PP_Grid[#Data],$DD1030,60),0)</f>
        <v/>
      </c>
      <c r="BK1030">
        <f>IFERROR(INDEX(PP_Grid[#Data],$DD1030,61),0)</f>
        <v/>
      </c>
      <c r="BL1030">
        <f>IFERROR(INDEX(PP_Grid[#Data],$DD1030,62),0)</f>
        <v/>
      </c>
      <c r="BM1030">
        <f>IFERROR(INDEX(PP_Grid[#Data],$DD1030,63),0)</f>
        <v/>
      </c>
      <c r="BN1030">
        <f>IFERROR(INDEX(PP_Grid[#Data],$DD1030,64),0)</f>
        <v/>
      </c>
      <c r="BO1030">
        <f>IFERROR(INDEX(PP_Grid[#Data],$DD1030,65),0)</f>
        <v/>
      </c>
      <c r="BP1030">
        <f>IFERROR(INDEX(PP_Grid[#Data],$DD1030,66),0)</f>
        <v/>
      </c>
      <c r="BQ1030">
        <f>IFERROR(INDEX(PP_Grid[#Data],$DD1030,67),0)</f>
        <v/>
      </c>
      <c r="BR1030">
        <f>IFERROR(INDEX(PP_Grid[#Data],$DD1030,68),0)</f>
        <v/>
      </c>
      <c r="BS1030">
        <f>IFERROR(INDEX(PP_Grid[#Data],$DD1030,69),0)</f>
        <v/>
      </c>
      <c r="BT1030">
        <f>IFERROR(INDEX(PP_Grid[#Data],$DD1030,70),0)</f>
        <v/>
      </c>
      <c r="BU1030">
        <f>IFERROR(INDEX(PP_Grid[#Data],$DD1030,71),0)</f>
        <v/>
      </c>
      <c r="BV1030">
        <f>IFERROR(INDEX(PP_Grid[#Data],$DD1030,72),0)</f>
        <v/>
      </c>
      <c r="BW1030">
        <f>IFERROR(INDEX(PP_Grid[#Data],$DD1030,73),0)</f>
        <v/>
      </c>
      <c r="BX1030">
        <f>IFERROR(INDEX(PP_Grid[#Data],$DD1030,74),0)</f>
        <v/>
      </c>
      <c r="BY1030">
        <f>IFERROR(INDEX(PP_Grid[#Data],$DD1030,75),0)</f>
        <v/>
      </c>
      <c r="BZ1030">
        <f>IFERROR(INDEX(PP_Grid[#Data],$DD1030,76),0)</f>
        <v/>
      </c>
      <c r="CA1030">
        <f>IFERROR(INDEX(PP_Grid[#Data],$DD1030,77),0)</f>
        <v/>
      </c>
      <c r="CB1030">
        <f>IFERROR(INDEX(PP_Grid[#Data],$DD1030,78),0)</f>
        <v/>
      </c>
      <c r="CC1030">
        <f>IFERROR(INDEX(PP_Grid[#Data],$DD1030,79),0)</f>
        <v/>
      </c>
      <c r="CD1030">
        <f>IFERROR(INDEX(PP_Grid[#Data],$DD1030,80),0)</f>
        <v/>
      </c>
      <c r="CE1030">
        <f>IFERROR(INDEX(PP_Grid[#Data],$DD1030,81),0)</f>
        <v/>
      </c>
      <c r="CF1030">
        <f>IFERROR(INDEX(PP_Grid[#Data],$DD1030,82),0)</f>
        <v/>
      </c>
      <c r="CG1030">
        <f>IFERROR(INDEX(PP_Grid[#Data],$DD1030,83),0)</f>
        <v/>
      </c>
      <c r="CH1030">
        <f>IFERROR(INDEX(PP_Grid[#Data],$DD1030,84),0)</f>
        <v/>
      </c>
      <c r="CI1030">
        <f>IFERROR(INDEX(PP_Grid[#Data],$DD1030,85),0)</f>
        <v/>
      </c>
      <c r="CJ1030">
        <f>IFERROR(INDEX(PP_Grid[#Data],$DD1030,86),0)</f>
        <v/>
      </c>
      <c r="CK1030">
        <f>IFERROR(INDEX(PP_Grid[#Data],$DD1030,87),0)</f>
        <v/>
      </c>
      <c r="CL1030">
        <f>IFERROR(INDEX(PP_Grid[#Data],$DD1030,88),0)</f>
        <v/>
      </c>
      <c r="CM1030">
        <f>IFERROR(INDEX(PP_Grid[#Data],$DD1030,89),0)</f>
        <v/>
      </c>
      <c r="CN1030">
        <f>IFERROR(INDEX(PP_Grid[#Data],$DD1030,90),0)</f>
        <v/>
      </c>
      <c r="CO1030">
        <f>IFERROR(INDEX(PP_Grid[#Data],$DD1030,91),0)</f>
        <v/>
      </c>
      <c r="CP1030">
        <f>IFERROR(INDEX(PP_Grid[#Data],$DD1030,92),0)</f>
        <v/>
      </c>
      <c r="CQ1030">
        <f>IFERROR(INDEX(PP_Grid[#Data],$DD1030,93),0)</f>
        <v/>
      </c>
      <c r="CR1030">
        <f>IFERROR(INDEX(PP_Grid[#Data],$DD1030,94),0)</f>
        <v/>
      </c>
      <c r="CS1030">
        <f>IFERROR(INDEX(PP_Grid[#Data],$DD1030,95),0)</f>
        <v/>
      </c>
      <c r="CT1030">
        <f>IFERROR(INDEX(PP_Grid[#Data],$DD1030,96),0)</f>
        <v/>
      </c>
      <c r="CU1030">
        <f>IFERROR(INDEX(PP_Grid[#Data],$DD1030,97),0)</f>
        <v/>
      </c>
      <c r="CV1030">
        <f>IFERROR(INDEX(PP_Grid[#Data],$DD1030,98),0)</f>
        <v/>
      </c>
      <c r="CW1030">
        <f>IFERROR(INDEX(PP_Grid[#Data],$DD1030,99),0)</f>
        <v/>
      </c>
      <c r="CX1030">
        <f>IFERROR(INDEX(PP_Grid[#Data],$DD1030,100),0)</f>
        <v/>
      </c>
      <c r="CY1030">
        <f>IFERROR(INDEX(PP_Grid[#Data],$DD1030,101),0)</f>
        <v/>
      </c>
      <c r="CZ1030">
        <f>IFERROR(INDEX(PP_Grid[#Data],$DD1030,102),0)</f>
        <v/>
      </c>
      <c r="DA1030">
        <f>IFERROR(INDEX(PP_Grid[#Data],$DD1030,103),0)</f>
        <v/>
      </c>
      <c r="DB1030">
        <f>IFERROR(INDEX(PP_Grid[#Data],$DD1030,104),0)</f>
        <v/>
      </c>
      <c r="DC1030">
        <f>IFERROR(INDEX(PP_Grid[#Data],$DD1030,105),0)</f>
        <v/>
      </c>
      <c r="DD1030" s="12">
        <f>IFERROR(MATCH($B1030,PP_Grid[Intermediate],0),99999)</f>
        <v/>
      </c>
    </row>
    <row r="1031">
      <c r="B1031" t="inlineStr">
        <is>
          <t>使用量(kg)</t>
        </is>
      </c>
      <c r="C1031">
        <f>SUMIFS(M_BOM[RM_Qty_Per_Batch],M_BOM[Intermediate],$B1030,M_BOM[Part Name],$A1029)</f>
        <v/>
      </c>
      <c r="D1031">
        <f>$C1031*D1030</f>
        <v/>
      </c>
      <c r="E1031">
        <f>$C1031*E1030</f>
        <v/>
      </c>
      <c r="F1031">
        <f>$C1031*F1030</f>
        <v/>
      </c>
      <c r="G1031">
        <f>$C1031*G1030</f>
        <v/>
      </c>
      <c r="H1031">
        <f>$C1031*H1030</f>
        <v/>
      </c>
      <c r="I1031">
        <f>$C1031*I1030</f>
        <v/>
      </c>
      <c r="J1031">
        <f>$C1031*J1030</f>
        <v/>
      </c>
      <c r="K1031">
        <f>$C1031*K1030</f>
        <v/>
      </c>
      <c r="L1031">
        <f>$C1031*L1030</f>
        <v/>
      </c>
      <c r="M1031">
        <f>$C1031*M1030</f>
        <v/>
      </c>
      <c r="N1031">
        <f>$C1031*N1030</f>
        <v/>
      </c>
      <c r="O1031">
        <f>$C1031*O1030</f>
        <v/>
      </c>
      <c r="P1031">
        <f>$C1031*P1030</f>
        <v/>
      </c>
      <c r="Q1031">
        <f>$C1031*Q1030</f>
        <v/>
      </c>
      <c r="R1031">
        <f>$C1031*R1030</f>
        <v/>
      </c>
      <c r="S1031">
        <f>$C1031*S1030</f>
        <v/>
      </c>
      <c r="T1031">
        <f>$C1031*T1030</f>
        <v/>
      </c>
      <c r="U1031">
        <f>$C1031*U1030</f>
        <v/>
      </c>
      <c r="V1031">
        <f>$C1031*V1030</f>
        <v/>
      </c>
      <c r="W1031">
        <f>$C1031*W1030</f>
        <v/>
      </c>
      <c r="X1031">
        <f>$C1031*X1030</f>
        <v/>
      </c>
      <c r="Y1031">
        <f>$C1031*Y1030</f>
        <v/>
      </c>
      <c r="Z1031">
        <f>$C1031*Z1030</f>
        <v/>
      </c>
      <c r="AA1031">
        <f>$C1031*AA1030</f>
        <v/>
      </c>
      <c r="AB1031">
        <f>$C1031*AB1030</f>
        <v/>
      </c>
      <c r="AC1031">
        <f>$C1031*AC1030</f>
        <v/>
      </c>
      <c r="AD1031">
        <f>$C1031*AD1030</f>
        <v/>
      </c>
      <c r="AE1031">
        <f>$C1031*AE1030</f>
        <v/>
      </c>
      <c r="AF1031">
        <f>$C1031*AF1030</f>
        <v/>
      </c>
      <c r="AG1031">
        <f>$C1031*AG1030</f>
        <v/>
      </c>
      <c r="AH1031">
        <f>$C1031*AH1030</f>
        <v/>
      </c>
      <c r="AI1031">
        <f>$C1031*AI1030</f>
        <v/>
      </c>
      <c r="AJ1031">
        <f>$C1031*AJ1030</f>
        <v/>
      </c>
      <c r="AK1031">
        <f>$C1031*AK1030</f>
        <v/>
      </c>
      <c r="AL1031">
        <f>$C1031*AL1030</f>
        <v/>
      </c>
      <c r="AM1031">
        <f>$C1031*AM1030</f>
        <v/>
      </c>
      <c r="AN1031">
        <f>$C1031*AN1030</f>
        <v/>
      </c>
      <c r="AO1031">
        <f>$C1031*AO1030</f>
        <v/>
      </c>
      <c r="AP1031">
        <f>$C1031*AP1030</f>
        <v/>
      </c>
      <c r="AQ1031">
        <f>$C1031*AQ1030</f>
        <v/>
      </c>
      <c r="AR1031">
        <f>$C1031*AR1030</f>
        <v/>
      </c>
      <c r="AS1031">
        <f>$C1031*AS1030</f>
        <v/>
      </c>
      <c r="AT1031">
        <f>$C1031*AT1030</f>
        <v/>
      </c>
      <c r="AU1031">
        <f>$C1031*AU1030</f>
        <v/>
      </c>
      <c r="AV1031">
        <f>$C1031*AV1030</f>
        <v/>
      </c>
      <c r="AW1031">
        <f>$C1031*AW1030</f>
        <v/>
      </c>
      <c r="AX1031">
        <f>$C1031*AX1030</f>
        <v/>
      </c>
      <c r="AY1031">
        <f>$C1031*AY1030</f>
        <v/>
      </c>
      <c r="AZ1031">
        <f>$C1031*AZ1030</f>
        <v/>
      </c>
      <c r="BA1031">
        <f>$C1031*BA1030</f>
        <v/>
      </c>
      <c r="BB1031">
        <f>$C1031*BB1030</f>
        <v/>
      </c>
      <c r="BC1031">
        <f>$C1031*BC1030</f>
        <v/>
      </c>
      <c r="BD1031">
        <f>$C1031*BD1030</f>
        <v/>
      </c>
      <c r="BE1031">
        <f>$C1031*BE1030</f>
        <v/>
      </c>
      <c r="BF1031">
        <f>$C1031*BF1030</f>
        <v/>
      </c>
      <c r="BG1031">
        <f>$C1031*BG1030</f>
        <v/>
      </c>
      <c r="BH1031">
        <f>$C1031*BH1030</f>
        <v/>
      </c>
      <c r="BI1031">
        <f>$C1031*BI1030</f>
        <v/>
      </c>
      <c r="BJ1031">
        <f>$C1031*BJ1030</f>
        <v/>
      </c>
      <c r="BK1031">
        <f>$C1031*BK1030</f>
        <v/>
      </c>
      <c r="BL1031">
        <f>$C1031*BL1030</f>
        <v/>
      </c>
      <c r="BM1031">
        <f>$C1031*BM1030</f>
        <v/>
      </c>
      <c r="BN1031">
        <f>$C1031*BN1030</f>
        <v/>
      </c>
      <c r="BO1031">
        <f>$C1031*BO1030</f>
        <v/>
      </c>
      <c r="BP1031">
        <f>$C1031*BP1030</f>
        <v/>
      </c>
      <c r="BQ1031">
        <f>$C1031*BQ1030</f>
        <v/>
      </c>
      <c r="BR1031">
        <f>$C1031*BR1030</f>
        <v/>
      </c>
      <c r="BS1031">
        <f>$C1031*BS1030</f>
        <v/>
      </c>
      <c r="BT1031">
        <f>$C1031*BT1030</f>
        <v/>
      </c>
      <c r="BU1031">
        <f>$C1031*BU1030</f>
        <v/>
      </c>
      <c r="BV1031">
        <f>$C1031*BV1030</f>
        <v/>
      </c>
      <c r="BW1031">
        <f>$C1031*BW1030</f>
        <v/>
      </c>
      <c r="BX1031">
        <f>$C1031*BX1030</f>
        <v/>
      </c>
      <c r="BY1031">
        <f>$C1031*BY1030</f>
        <v/>
      </c>
      <c r="BZ1031">
        <f>$C1031*BZ1030</f>
        <v/>
      </c>
      <c r="CA1031">
        <f>$C1031*CA1030</f>
        <v/>
      </c>
      <c r="CB1031">
        <f>$C1031*CB1030</f>
        <v/>
      </c>
      <c r="CC1031">
        <f>$C1031*CC1030</f>
        <v/>
      </c>
      <c r="CD1031">
        <f>$C1031*CD1030</f>
        <v/>
      </c>
      <c r="CE1031">
        <f>$C1031*CE1030</f>
        <v/>
      </c>
      <c r="CF1031">
        <f>$C1031*CF1030</f>
        <v/>
      </c>
      <c r="CG1031">
        <f>$C1031*CG1030</f>
        <v/>
      </c>
      <c r="CH1031">
        <f>$C1031*CH1030</f>
        <v/>
      </c>
      <c r="CI1031">
        <f>$C1031*CI1030</f>
        <v/>
      </c>
      <c r="CJ1031">
        <f>$C1031*CJ1030</f>
        <v/>
      </c>
      <c r="CK1031">
        <f>$C1031*CK1030</f>
        <v/>
      </c>
      <c r="CL1031">
        <f>$C1031*CL1030</f>
        <v/>
      </c>
      <c r="CM1031">
        <f>$C1031*CM1030</f>
        <v/>
      </c>
      <c r="CN1031">
        <f>$C1031*CN1030</f>
        <v/>
      </c>
      <c r="CO1031">
        <f>$C1031*CO1030</f>
        <v/>
      </c>
      <c r="CP1031">
        <f>$C1031*CP1030</f>
        <v/>
      </c>
      <c r="CQ1031">
        <f>$C1031*CQ1030</f>
        <v/>
      </c>
      <c r="CR1031">
        <f>$C1031*CR1030</f>
        <v/>
      </c>
      <c r="CS1031">
        <f>$C1031*CS1030</f>
        <v/>
      </c>
      <c r="CT1031">
        <f>$C1031*CT1030</f>
        <v/>
      </c>
      <c r="CU1031">
        <f>$C1031*CU1030</f>
        <v/>
      </c>
      <c r="CV1031">
        <f>$C1031*CV1030</f>
        <v/>
      </c>
      <c r="CW1031">
        <f>$C1031*CW1030</f>
        <v/>
      </c>
      <c r="CX1031">
        <f>$C1031*CX1030</f>
        <v/>
      </c>
      <c r="CY1031">
        <f>$C1031*CY1030</f>
        <v/>
      </c>
      <c r="CZ1031">
        <f>$C1031*CZ1030</f>
        <v/>
      </c>
      <c r="DA1031">
        <f>$C1031*DA1030</f>
        <v/>
      </c>
      <c r="DB1031">
        <f>$C1031*DB1030</f>
        <v/>
      </c>
      <c r="DC1031">
        <f>$C1031*DC1030</f>
        <v/>
      </c>
    </row>
    <row r="1032">
      <c r="B1032" s="9" t="inlineStr">
        <is>
          <t>合計使用量(kg)/週</t>
        </is>
      </c>
      <c r="D1032">
        <f>'Grid_Requirement'!B40</f>
        <v/>
      </c>
      <c r="E1032">
        <f>'Grid_Requirement'!C40</f>
        <v/>
      </c>
      <c r="F1032">
        <f>'Grid_Requirement'!D40</f>
        <v/>
      </c>
      <c r="G1032">
        <f>'Grid_Requirement'!E40</f>
        <v/>
      </c>
      <c r="H1032">
        <f>'Grid_Requirement'!F40</f>
        <v/>
      </c>
      <c r="I1032">
        <f>'Grid_Requirement'!G40</f>
        <v/>
      </c>
      <c r="J1032">
        <f>'Grid_Requirement'!H40</f>
        <v/>
      </c>
      <c r="K1032">
        <f>'Grid_Requirement'!I40</f>
        <v/>
      </c>
      <c r="L1032">
        <f>'Grid_Requirement'!J40</f>
        <v/>
      </c>
      <c r="M1032">
        <f>'Grid_Requirement'!K40</f>
        <v/>
      </c>
      <c r="N1032">
        <f>'Grid_Requirement'!L40</f>
        <v/>
      </c>
      <c r="O1032">
        <f>'Grid_Requirement'!M40</f>
        <v/>
      </c>
      <c r="P1032">
        <f>'Grid_Requirement'!N40</f>
        <v/>
      </c>
      <c r="Q1032">
        <f>'Grid_Requirement'!O40</f>
        <v/>
      </c>
      <c r="R1032">
        <f>'Grid_Requirement'!P40</f>
        <v/>
      </c>
      <c r="S1032">
        <f>'Grid_Requirement'!Q40</f>
        <v/>
      </c>
      <c r="T1032">
        <f>'Grid_Requirement'!R40</f>
        <v/>
      </c>
      <c r="U1032">
        <f>'Grid_Requirement'!S40</f>
        <v/>
      </c>
      <c r="V1032">
        <f>'Grid_Requirement'!T40</f>
        <v/>
      </c>
      <c r="W1032">
        <f>'Grid_Requirement'!U40</f>
        <v/>
      </c>
      <c r="X1032">
        <f>'Grid_Requirement'!V40</f>
        <v/>
      </c>
      <c r="Y1032">
        <f>'Grid_Requirement'!W40</f>
        <v/>
      </c>
      <c r="Z1032">
        <f>'Grid_Requirement'!X40</f>
        <v/>
      </c>
      <c r="AA1032">
        <f>'Grid_Requirement'!Y40</f>
        <v/>
      </c>
      <c r="AB1032">
        <f>'Grid_Requirement'!Z40</f>
        <v/>
      </c>
      <c r="AC1032">
        <f>'Grid_Requirement'!AA40</f>
        <v/>
      </c>
      <c r="AD1032">
        <f>'Grid_Requirement'!AB40</f>
        <v/>
      </c>
      <c r="AE1032">
        <f>'Grid_Requirement'!AC40</f>
        <v/>
      </c>
      <c r="AF1032">
        <f>'Grid_Requirement'!AD40</f>
        <v/>
      </c>
      <c r="AG1032">
        <f>'Grid_Requirement'!AE40</f>
        <v/>
      </c>
      <c r="AH1032">
        <f>'Grid_Requirement'!AF40</f>
        <v/>
      </c>
      <c r="AI1032">
        <f>'Grid_Requirement'!AG40</f>
        <v/>
      </c>
      <c r="AJ1032">
        <f>'Grid_Requirement'!AH40</f>
        <v/>
      </c>
      <c r="AK1032">
        <f>'Grid_Requirement'!AI40</f>
        <v/>
      </c>
      <c r="AL1032">
        <f>'Grid_Requirement'!AJ40</f>
        <v/>
      </c>
      <c r="AM1032">
        <f>'Grid_Requirement'!AK40</f>
        <v/>
      </c>
      <c r="AN1032">
        <f>'Grid_Requirement'!AL40</f>
        <v/>
      </c>
      <c r="AO1032">
        <f>'Grid_Requirement'!AM40</f>
        <v/>
      </c>
      <c r="AP1032">
        <f>'Grid_Requirement'!AN40</f>
        <v/>
      </c>
      <c r="AQ1032">
        <f>'Grid_Requirement'!AO40</f>
        <v/>
      </c>
      <c r="AR1032">
        <f>'Grid_Requirement'!AP40</f>
        <v/>
      </c>
      <c r="AS1032">
        <f>'Grid_Requirement'!AQ40</f>
        <v/>
      </c>
      <c r="AT1032">
        <f>'Grid_Requirement'!AR40</f>
        <v/>
      </c>
      <c r="AU1032">
        <f>'Grid_Requirement'!AS40</f>
        <v/>
      </c>
      <c r="AV1032">
        <f>'Grid_Requirement'!AT40</f>
        <v/>
      </c>
      <c r="AW1032">
        <f>'Grid_Requirement'!AU40</f>
        <v/>
      </c>
      <c r="AX1032">
        <f>'Grid_Requirement'!AV40</f>
        <v/>
      </c>
      <c r="AY1032">
        <f>'Grid_Requirement'!AW40</f>
        <v/>
      </c>
      <c r="AZ1032">
        <f>'Grid_Requirement'!AX40</f>
        <v/>
      </c>
      <c r="BA1032">
        <f>'Grid_Requirement'!AY40</f>
        <v/>
      </c>
      <c r="BB1032">
        <f>'Grid_Requirement'!AZ40</f>
        <v/>
      </c>
      <c r="BC1032">
        <f>'Grid_Requirement'!BA40</f>
        <v/>
      </c>
      <c r="BD1032">
        <f>'Grid_Requirement'!BB40</f>
        <v/>
      </c>
      <c r="BE1032">
        <f>'Grid_Requirement'!BC40</f>
        <v/>
      </c>
      <c r="BF1032">
        <f>'Grid_Requirement'!BD40</f>
        <v/>
      </c>
      <c r="BG1032">
        <f>'Grid_Requirement'!BE40</f>
        <v/>
      </c>
      <c r="BH1032">
        <f>'Grid_Requirement'!BF40</f>
        <v/>
      </c>
      <c r="BI1032">
        <f>'Grid_Requirement'!BG40</f>
        <v/>
      </c>
      <c r="BJ1032">
        <f>'Grid_Requirement'!BH40</f>
        <v/>
      </c>
      <c r="BK1032">
        <f>'Grid_Requirement'!BI40</f>
        <v/>
      </c>
      <c r="BL1032">
        <f>'Grid_Requirement'!BJ40</f>
        <v/>
      </c>
      <c r="BM1032">
        <f>'Grid_Requirement'!BK40</f>
        <v/>
      </c>
      <c r="BN1032">
        <f>'Grid_Requirement'!BL40</f>
        <v/>
      </c>
      <c r="BO1032">
        <f>'Grid_Requirement'!BM40</f>
        <v/>
      </c>
      <c r="BP1032">
        <f>'Grid_Requirement'!BN40</f>
        <v/>
      </c>
      <c r="BQ1032">
        <f>'Grid_Requirement'!BO40</f>
        <v/>
      </c>
      <c r="BR1032">
        <f>'Grid_Requirement'!BP40</f>
        <v/>
      </c>
      <c r="BS1032">
        <f>'Grid_Requirement'!BQ40</f>
        <v/>
      </c>
      <c r="BT1032">
        <f>'Grid_Requirement'!BR40</f>
        <v/>
      </c>
      <c r="BU1032">
        <f>'Grid_Requirement'!BS40</f>
        <v/>
      </c>
      <c r="BV1032">
        <f>'Grid_Requirement'!BT40</f>
        <v/>
      </c>
      <c r="BW1032">
        <f>'Grid_Requirement'!BU40</f>
        <v/>
      </c>
      <c r="BX1032">
        <f>'Grid_Requirement'!BV40</f>
        <v/>
      </c>
      <c r="BY1032">
        <f>'Grid_Requirement'!BW40</f>
        <v/>
      </c>
      <c r="BZ1032">
        <f>'Grid_Requirement'!BX40</f>
        <v/>
      </c>
      <c r="CA1032">
        <f>'Grid_Requirement'!BY40</f>
        <v/>
      </c>
      <c r="CB1032">
        <f>'Grid_Requirement'!BZ40</f>
        <v/>
      </c>
      <c r="CC1032">
        <f>'Grid_Requirement'!CA40</f>
        <v/>
      </c>
      <c r="CD1032">
        <f>'Grid_Requirement'!CB40</f>
        <v/>
      </c>
      <c r="CE1032">
        <f>'Grid_Requirement'!CC40</f>
        <v/>
      </c>
      <c r="CF1032">
        <f>'Grid_Requirement'!CD40</f>
        <v/>
      </c>
      <c r="CG1032">
        <f>'Grid_Requirement'!CE40</f>
        <v/>
      </c>
      <c r="CH1032">
        <f>'Grid_Requirement'!CF40</f>
        <v/>
      </c>
      <c r="CI1032">
        <f>'Grid_Requirement'!CG40</f>
        <v/>
      </c>
      <c r="CJ1032">
        <f>'Grid_Requirement'!CH40</f>
        <v/>
      </c>
      <c r="CK1032">
        <f>'Grid_Requirement'!CI40</f>
        <v/>
      </c>
      <c r="CL1032">
        <f>'Grid_Requirement'!CJ40</f>
        <v/>
      </c>
      <c r="CM1032">
        <f>'Grid_Requirement'!CK40</f>
        <v/>
      </c>
      <c r="CN1032">
        <f>'Grid_Requirement'!CL40</f>
        <v/>
      </c>
      <c r="CO1032">
        <f>'Grid_Requirement'!CM40</f>
        <v/>
      </c>
      <c r="CP1032">
        <f>'Grid_Requirement'!CN40</f>
        <v/>
      </c>
      <c r="CQ1032">
        <f>'Grid_Requirement'!CO40</f>
        <v/>
      </c>
      <c r="CR1032">
        <f>'Grid_Requirement'!CP40</f>
        <v/>
      </c>
      <c r="CS1032">
        <f>'Grid_Requirement'!CQ40</f>
        <v/>
      </c>
      <c r="CT1032">
        <f>'Grid_Requirement'!CR40</f>
        <v/>
      </c>
      <c r="CU1032">
        <f>'Grid_Requirement'!CS40</f>
        <v/>
      </c>
      <c r="CV1032">
        <f>'Grid_Requirement'!CT40</f>
        <v/>
      </c>
      <c r="CW1032">
        <f>'Grid_Requirement'!CU40</f>
        <v/>
      </c>
      <c r="CX1032">
        <f>'Grid_Requirement'!CV40</f>
        <v/>
      </c>
      <c r="CY1032">
        <f>'Grid_Requirement'!CW40</f>
        <v/>
      </c>
      <c r="CZ1032">
        <f>'Grid_Requirement'!CX40</f>
        <v/>
      </c>
      <c r="DA1032">
        <f>'Grid_Requirement'!CY40</f>
        <v/>
      </c>
      <c r="DB1032">
        <f>'Grid_Requirement'!CZ40</f>
        <v/>
      </c>
      <c r="DC1032">
        <f>'Grid_Requirement'!DA40</f>
        <v/>
      </c>
    </row>
    <row r="1033">
      <c r="B1033" t="inlineStr">
        <is>
          <t>TTAF在庫(実績,kg)</t>
        </is>
      </c>
      <c r="D1033">
        <f>'T_TTAFStock'!B44</f>
        <v/>
      </c>
      <c r="E1033">
        <f>'T_TTAFStock'!C44</f>
        <v/>
      </c>
      <c r="F1033">
        <f>'T_TTAFStock'!D44</f>
        <v/>
      </c>
      <c r="G1033">
        <f>'T_TTAFStock'!E44</f>
        <v/>
      </c>
      <c r="H1033">
        <f>'T_TTAFStock'!F44</f>
        <v/>
      </c>
      <c r="I1033">
        <f>'T_TTAFStock'!G44</f>
        <v/>
      </c>
      <c r="J1033">
        <f>'T_TTAFStock'!H44</f>
        <v/>
      </c>
      <c r="K1033">
        <f>'T_TTAFStock'!I44</f>
        <v/>
      </c>
      <c r="L1033">
        <f>'T_TTAFStock'!J44</f>
        <v/>
      </c>
      <c r="M1033">
        <f>'T_TTAFStock'!K44</f>
        <v/>
      </c>
      <c r="N1033">
        <f>'T_TTAFStock'!L44</f>
        <v/>
      </c>
      <c r="O1033">
        <f>'T_TTAFStock'!M44</f>
        <v/>
      </c>
      <c r="P1033">
        <f>'T_TTAFStock'!N44</f>
        <v/>
      </c>
      <c r="Q1033">
        <f>'T_TTAFStock'!O44</f>
        <v/>
      </c>
      <c r="R1033">
        <f>'T_TTAFStock'!P44</f>
        <v/>
      </c>
      <c r="S1033">
        <f>'T_TTAFStock'!Q44</f>
        <v/>
      </c>
      <c r="T1033">
        <f>'T_TTAFStock'!R44</f>
        <v/>
      </c>
      <c r="U1033">
        <f>'T_TTAFStock'!S44</f>
        <v/>
      </c>
      <c r="V1033">
        <f>'T_TTAFStock'!T44</f>
        <v/>
      </c>
      <c r="W1033">
        <f>'T_TTAFStock'!U44</f>
        <v/>
      </c>
      <c r="X1033">
        <f>'T_TTAFStock'!V44</f>
        <v/>
      </c>
      <c r="Y1033">
        <f>'T_TTAFStock'!W44</f>
        <v/>
      </c>
      <c r="Z1033">
        <f>'T_TTAFStock'!X44</f>
        <v/>
      </c>
      <c r="AA1033">
        <f>'T_TTAFStock'!Y44</f>
        <v/>
      </c>
      <c r="AB1033">
        <f>'T_TTAFStock'!Z44</f>
        <v/>
      </c>
      <c r="AC1033">
        <f>'T_TTAFStock'!AA44</f>
        <v/>
      </c>
      <c r="AD1033">
        <f>'T_TTAFStock'!AB44</f>
        <v/>
      </c>
      <c r="AE1033">
        <f>'T_TTAFStock'!AC44</f>
        <v/>
      </c>
      <c r="AF1033">
        <f>'T_TTAFStock'!AD44</f>
        <v/>
      </c>
      <c r="AG1033">
        <f>'T_TTAFStock'!AE44</f>
        <v/>
      </c>
      <c r="AH1033">
        <f>'T_TTAFStock'!AF44</f>
        <v/>
      </c>
      <c r="AI1033">
        <f>'T_TTAFStock'!AG44</f>
        <v/>
      </c>
      <c r="AJ1033">
        <f>'T_TTAFStock'!AH44</f>
        <v/>
      </c>
      <c r="AK1033">
        <f>'T_TTAFStock'!AI44</f>
        <v/>
      </c>
      <c r="AL1033">
        <f>'T_TTAFStock'!AJ44</f>
        <v/>
      </c>
      <c r="AM1033">
        <f>'T_TTAFStock'!AK44</f>
        <v/>
      </c>
      <c r="AN1033">
        <f>'T_TTAFStock'!AL44</f>
        <v/>
      </c>
      <c r="AO1033">
        <f>'T_TTAFStock'!AM44</f>
        <v/>
      </c>
      <c r="AP1033">
        <f>'T_TTAFStock'!AN44</f>
        <v/>
      </c>
      <c r="AQ1033">
        <f>'T_TTAFStock'!AO44</f>
        <v/>
      </c>
      <c r="AR1033">
        <f>'T_TTAFStock'!AP44</f>
        <v/>
      </c>
      <c r="AS1033">
        <f>'T_TTAFStock'!AQ44</f>
        <v/>
      </c>
      <c r="AT1033">
        <f>'T_TTAFStock'!AR44</f>
        <v/>
      </c>
      <c r="AU1033">
        <f>'T_TTAFStock'!AS44</f>
        <v/>
      </c>
      <c r="AV1033">
        <f>'T_TTAFStock'!AT44</f>
        <v/>
      </c>
      <c r="AW1033">
        <f>'T_TTAFStock'!AU44</f>
        <v/>
      </c>
      <c r="AX1033">
        <f>'T_TTAFStock'!AV44</f>
        <v/>
      </c>
      <c r="AY1033">
        <f>'T_TTAFStock'!AW44</f>
        <v/>
      </c>
      <c r="AZ1033">
        <f>'T_TTAFStock'!AX44</f>
        <v/>
      </c>
      <c r="BA1033">
        <f>'T_TTAFStock'!AY44</f>
        <v/>
      </c>
      <c r="BB1033">
        <f>'T_TTAFStock'!AZ44</f>
        <v/>
      </c>
      <c r="BC1033">
        <f>'T_TTAFStock'!BA44</f>
        <v/>
      </c>
      <c r="BD1033">
        <f>'T_TTAFStock'!BB44</f>
        <v/>
      </c>
      <c r="BE1033">
        <f>'T_TTAFStock'!BC44</f>
        <v/>
      </c>
      <c r="BF1033">
        <f>'T_TTAFStock'!BD44</f>
        <v/>
      </c>
      <c r="BG1033">
        <f>'T_TTAFStock'!BE44</f>
        <v/>
      </c>
      <c r="BH1033">
        <f>'T_TTAFStock'!BF44</f>
        <v/>
      </c>
      <c r="BI1033">
        <f>'T_TTAFStock'!BG44</f>
        <v/>
      </c>
      <c r="BJ1033">
        <f>'T_TTAFStock'!BH44</f>
        <v/>
      </c>
      <c r="BK1033">
        <f>'T_TTAFStock'!BI44</f>
        <v/>
      </c>
      <c r="BL1033">
        <f>'T_TTAFStock'!BJ44</f>
        <v/>
      </c>
      <c r="BM1033">
        <f>'T_TTAFStock'!BK44</f>
        <v/>
      </c>
      <c r="BN1033">
        <f>'T_TTAFStock'!BL44</f>
        <v/>
      </c>
      <c r="BO1033">
        <f>'T_TTAFStock'!BM44</f>
        <v/>
      </c>
      <c r="BP1033">
        <f>'T_TTAFStock'!BN44</f>
        <v/>
      </c>
      <c r="BQ1033">
        <f>'T_TTAFStock'!BO44</f>
        <v/>
      </c>
      <c r="BR1033">
        <f>'T_TTAFStock'!BP44</f>
        <v/>
      </c>
      <c r="BS1033">
        <f>'T_TTAFStock'!BQ44</f>
        <v/>
      </c>
      <c r="BT1033">
        <f>'T_TTAFStock'!BR44</f>
        <v/>
      </c>
      <c r="BU1033">
        <f>'T_TTAFStock'!BS44</f>
        <v/>
      </c>
      <c r="BV1033">
        <f>'T_TTAFStock'!BT44</f>
        <v/>
      </c>
      <c r="BW1033">
        <f>'T_TTAFStock'!BU44</f>
        <v/>
      </c>
      <c r="BX1033">
        <f>'T_TTAFStock'!BV44</f>
        <v/>
      </c>
      <c r="BY1033">
        <f>'T_TTAFStock'!BW44</f>
        <v/>
      </c>
      <c r="BZ1033">
        <f>'T_TTAFStock'!BX44</f>
        <v/>
      </c>
      <c r="CA1033">
        <f>'T_TTAFStock'!BY44</f>
        <v/>
      </c>
      <c r="CB1033">
        <f>'T_TTAFStock'!BZ44</f>
        <v/>
      </c>
      <c r="CC1033">
        <f>'T_TTAFStock'!CA44</f>
        <v/>
      </c>
      <c r="CD1033">
        <f>'T_TTAFStock'!CB44</f>
        <v/>
      </c>
      <c r="CE1033">
        <f>'T_TTAFStock'!CC44</f>
        <v/>
      </c>
      <c r="CF1033">
        <f>'T_TTAFStock'!CD44</f>
        <v/>
      </c>
      <c r="CG1033">
        <f>'T_TTAFStock'!CE44</f>
        <v/>
      </c>
      <c r="CH1033">
        <f>'T_TTAFStock'!CF44</f>
        <v/>
      </c>
      <c r="CI1033">
        <f>'T_TTAFStock'!CG44</f>
        <v/>
      </c>
      <c r="CJ1033">
        <f>'T_TTAFStock'!CH44</f>
        <v/>
      </c>
      <c r="CK1033">
        <f>'T_TTAFStock'!CI44</f>
        <v/>
      </c>
      <c r="CL1033">
        <f>'T_TTAFStock'!CJ44</f>
        <v/>
      </c>
      <c r="CM1033">
        <f>'T_TTAFStock'!CK44</f>
        <v/>
      </c>
      <c r="CN1033">
        <f>'T_TTAFStock'!CL44</f>
        <v/>
      </c>
      <c r="CO1033">
        <f>'T_TTAFStock'!CM44</f>
        <v/>
      </c>
      <c r="CP1033">
        <f>'T_TTAFStock'!CN44</f>
        <v/>
      </c>
      <c r="CQ1033">
        <f>'T_TTAFStock'!CO44</f>
        <v/>
      </c>
      <c r="CR1033">
        <f>'T_TTAFStock'!CP44</f>
        <v/>
      </c>
      <c r="CS1033">
        <f>'T_TTAFStock'!CQ44</f>
        <v/>
      </c>
      <c r="CT1033">
        <f>'T_TTAFStock'!CR44</f>
        <v/>
      </c>
      <c r="CU1033">
        <f>'T_TTAFStock'!CS44</f>
        <v/>
      </c>
      <c r="CV1033">
        <f>'T_TTAFStock'!CT44</f>
        <v/>
      </c>
      <c r="CW1033">
        <f>'T_TTAFStock'!CU44</f>
        <v/>
      </c>
      <c r="CX1033">
        <f>'T_TTAFStock'!CV44</f>
        <v/>
      </c>
      <c r="CY1033">
        <f>'T_TTAFStock'!CW44</f>
        <v/>
      </c>
      <c r="CZ1033">
        <f>'T_TTAFStock'!CX44</f>
        <v/>
      </c>
      <c r="DA1033">
        <f>'T_TTAFStock'!CY44</f>
        <v/>
      </c>
      <c r="DB1033">
        <f>'T_TTAFStock'!CZ44</f>
        <v/>
      </c>
      <c r="DC1033">
        <f>'T_TTAFStock'!DA44</f>
        <v/>
      </c>
    </row>
    <row r="1034">
      <c r="B1034" t="inlineStr">
        <is>
          <t>自社在庫(実績,kg)</t>
        </is>
      </c>
      <c r="D1034">
        <f>'T_SelfStock'!B44</f>
        <v/>
      </c>
      <c r="E1034">
        <f>'T_SelfStock'!C44</f>
        <v/>
      </c>
      <c r="F1034">
        <f>'T_SelfStock'!D44</f>
        <v/>
      </c>
      <c r="G1034">
        <f>'T_SelfStock'!E44</f>
        <v/>
      </c>
      <c r="H1034">
        <f>'T_SelfStock'!F44</f>
        <v/>
      </c>
      <c r="I1034">
        <f>'T_SelfStock'!G44</f>
        <v/>
      </c>
      <c r="J1034">
        <f>'T_SelfStock'!H44</f>
        <v/>
      </c>
      <c r="K1034">
        <f>'T_SelfStock'!I44</f>
        <v/>
      </c>
      <c r="L1034">
        <f>'T_SelfStock'!J44</f>
        <v/>
      </c>
      <c r="M1034">
        <f>'T_SelfStock'!K44</f>
        <v/>
      </c>
      <c r="N1034">
        <f>'T_SelfStock'!L44</f>
        <v/>
      </c>
      <c r="O1034">
        <f>'T_SelfStock'!M44</f>
        <v/>
      </c>
      <c r="P1034">
        <f>'T_SelfStock'!N44</f>
        <v/>
      </c>
      <c r="Q1034">
        <f>'T_SelfStock'!O44</f>
        <v/>
      </c>
      <c r="R1034">
        <f>'T_SelfStock'!P44</f>
        <v/>
      </c>
      <c r="S1034">
        <f>'T_SelfStock'!Q44</f>
        <v/>
      </c>
      <c r="T1034">
        <f>'T_SelfStock'!R44</f>
        <v/>
      </c>
      <c r="U1034">
        <f>'T_SelfStock'!S44</f>
        <v/>
      </c>
      <c r="V1034">
        <f>'T_SelfStock'!T44</f>
        <v/>
      </c>
      <c r="W1034">
        <f>'T_SelfStock'!U44</f>
        <v/>
      </c>
      <c r="X1034">
        <f>'T_SelfStock'!V44</f>
        <v/>
      </c>
      <c r="Y1034">
        <f>'T_SelfStock'!W44</f>
        <v/>
      </c>
      <c r="Z1034">
        <f>'T_SelfStock'!X44</f>
        <v/>
      </c>
      <c r="AA1034">
        <f>'T_SelfStock'!Y44</f>
        <v/>
      </c>
      <c r="AB1034">
        <f>'T_SelfStock'!Z44</f>
        <v/>
      </c>
      <c r="AC1034">
        <f>'T_SelfStock'!AA44</f>
        <v/>
      </c>
      <c r="AD1034">
        <f>'T_SelfStock'!AB44</f>
        <v/>
      </c>
      <c r="AE1034">
        <f>'T_SelfStock'!AC44</f>
        <v/>
      </c>
      <c r="AF1034">
        <f>'T_SelfStock'!AD44</f>
        <v/>
      </c>
      <c r="AG1034">
        <f>'T_SelfStock'!AE44</f>
        <v/>
      </c>
      <c r="AH1034">
        <f>'T_SelfStock'!AF44</f>
        <v/>
      </c>
      <c r="AI1034">
        <f>'T_SelfStock'!AG44</f>
        <v/>
      </c>
      <c r="AJ1034">
        <f>'T_SelfStock'!AH44</f>
        <v/>
      </c>
      <c r="AK1034">
        <f>'T_SelfStock'!AI44</f>
        <v/>
      </c>
      <c r="AL1034">
        <f>'T_SelfStock'!AJ44</f>
        <v/>
      </c>
      <c r="AM1034">
        <f>'T_SelfStock'!AK44</f>
        <v/>
      </c>
      <c r="AN1034">
        <f>'T_SelfStock'!AL44</f>
        <v/>
      </c>
      <c r="AO1034">
        <f>'T_SelfStock'!AM44</f>
        <v/>
      </c>
      <c r="AP1034">
        <f>'T_SelfStock'!AN44</f>
        <v/>
      </c>
      <c r="AQ1034">
        <f>'T_SelfStock'!AO44</f>
        <v/>
      </c>
      <c r="AR1034">
        <f>'T_SelfStock'!AP44</f>
        <v/>
      </c>
      <c r="AS1034">
        <f>'T_SelfStock'!AQ44</f>
        <v/>
      </c>
      <c r="AT1034">
        <f>'T_SelfStock'!AR44</f>
        <v/>
      </c>
      <c r="AU1034">
        <f>'T_SelfStock'!AS44</f>
        <v/>
      </c>
      <c r="AV1034">
        <f>'T_SelfStock'!AT44</f>
        <v/>
      </c>
      <c r="AW1034">
        <f>'T_SelfStock'!AU44</f>
        <v/>
      </c>
      <c r="AX1034">
        <f>'T_SelfStock'!AV44</f>
        <v/>
      </c>
      <c r="AY1034">
        <f>'T_SelfStock'!AW44</f>
        <v/>
      </c>
      <c r="AZ1034">
        <f>'T_SelfStock'!AX44</f>
        <v/>
      </c>
      <c r="BA1034">
        <f>'T_SelfStock'!AY44</f>
        <v/>
      </c>
      <c r="BB1034">
        <f>'T_SelfStock'!AZ44</f>
        <v/>
      </c>
      <c r="BC1034">
        <f>'T_SelfStock'!BA44</f>
        <v/>
      </c>
      <c r="BD1034">
        <f>'T_SelfStock'!BB44</f>
        <v/>
      </c>
      <c r="BE1034">
        <f>'T_SelfStock'!BC44</f>
        <v/>
      </c>
      <c r="BF1034">
        <f>'T_SelfStock'!BD44</f>
        <v/>
      </c>
      <c r="BG1034">
        <f>'T_SelfStock'!BE44</f>
        <v/>
      </c>
      <c r="BH1034">
        <f>'T_SelfStock'!BF44</f>
        <v/>
      </c>
      <c r="BI1034">
        <f>'T_SelfStock'!BG44</f>
        <v/>
      </c>
      <c r="BJ1034">
        <f>'T_SelfStock'!BH44</f>
        <v/>
      </c>
      <c r="BK1034">
        <f>'T_SelfStock'!BI44</f>
        <v/>
      </c>
      <c r="BL1034">
        <f>'T_SelfStock'!BJ44</f>
        <v/>
      </c>
      <c r="BM1034">
        <f>'T_SelfStock'!BK44</f>
        <v/>
      </c>
      <c r="BN1034">
        <f>'T_SelfStock'!BL44</f>
        <v/>
      </c>
      <c r="BO1034">
        <f>'T_SelfStock'!BM44</f>
        <v/>
      </c>
      <c r="BP1034">
        <f>'T_SelfStock'!BN44</f>
        <v/>
      </c>
      <c r="BQ1034">
        <f>'T_SelfStock'!BO44</f>
        <v/>
      </c>
      <c r="BR1034">
        <f>'T_SelfStock'!BP44</f>
        <v/>
      </c>
      <c r="BS1034">
        <f>'T_SelfStock'!BQ44</f>
        <v/>
      </c>
      <c r="BT1034">
        <f>'T_SelfStock'!BR44</f>
        <v/>
      </c>
      <c r="BU1034">
        <f>'T_SelfStock'!BS44</f>
        <v/>
      </c>
      <c r="BV1034">
        <f>'T_SelfStock'!BT44</f>
        <v/>
      </c>
      <c r="BW1034">
        <f>'T_SelfStock'!BU44</f>
        <v/>
      </c>
      <c r="BX1034">
        <f>'T_SelfStock'!BV44</f>
        <v/>
      </c>
      <c r="BY1034">
        <f>'T_SelfStock'!BW44</f>
        <v/>
      </c>
      <c r="BZ1034">
        <f>'T_SelfStock'!BX44</f>
        <v/>
      </c>
      <c r="CA1034">
        <f>'T_SelfStock'!BY44</f>
        <v/>
      </c>
      <c r="CB1034">
        <f>'T_SelfStock'!BZ44</f>
        <v/>
      </c>
      <c r="CC1034">
        <f>'T_SelfStock'!CA44</f>
        <v/>
      </c>
      <c r="CD1034">
        <f>'T_SelfStock'!CB44</f>
        <v/>
      </c>
      <c r="CE1034">
        <f>'T_SelfStock'!CC44</f>
        <v/>
      </c>
      <c r="CF1034">
        <f>'T_SelfStock'!CD44</f>
        <v/>
      </c>
      <c r="CG1034">
        <f>'T_SelfStock'!CE44</f>
        <v/>
      </c>
      <c r="CH1034">
        <f>'T_SelfStock'!CF44</f>
        <v/>
      </c>
      <c r="CI1034">
        <f>'T_SelfStock'!CG44</f>
        <v/>
      </c>
      <c r="CJ1034">
        <f>'T_SelfStock'!CH44</f>
        <v/>
      </c>
      <c r="CK1034">
        <f>'T_SelfStock'!CI44</f>
        <v/>
      </c>
      <c r="CL1034">
        <f>'T_SelfStock'!CJ44</f>
        <v/>
      </c>
      <c r="CM1034">
        <f>'T_SelfStock'!CK44</f>
        <v/>
      </c>
      <c r="CN1034">
        <f>'T_SelfStock'!CL44</f>
        <v/>
      </c>
      <c r="CO1034">
        <f>'T_SelfStock'!CM44</f>
        <v/>
      </c>
      <c r="CP1034">
        <f>'T_SelfStock'!CN44</f>
        <v/>
      </c>
      <c r="CQ1034">
        <f>'T_SelfStock'!CO44</f>
        <v/>
      </c>
      <c r="CR1034">
        <f>'T_SelfStock'!CP44</f>
        <v/>
      </c>
      <c r="CS1034">
        <f>'T_SelfStock'!CQ44</f>
        <v/>
      </c>
      <c r="CT1034">
        <f>'T_SelfStock'!CR44</f>
        <v/>
      </c>
      <c r="CU1034">
        <f>'T_SelfStock'!CS44</f>
        <v/>
      </c>
      <c r="CV1034">
        <f>'T_SelfStock'!CT44</f>
        <v/>
      </c>
      <c r="CW1034">
        <f>'T_SelfStock'!CU44</f>
        <v/>
      </c>
      <c r="CX1034">
        <f>'T_SelfStock'!CV44</f>
        <v/>
      </c>
      <c r="CY1034">
        <f>'T_SelfStock'!CW44</f>
        <v/>
      </c>
      <c r="CZ1034">
        <f>'T_SelfStock'!CX44</f>
        <v/>
      </c>
      <c r="DA1034">
        <f>'T_SelfStock'!CY44</f>
        <v/>
      </c>
      <c r="DB1034">
        <f>'T_SelfStock'!CZ44</f>
        <v/>
      </c>
      <c r="DC1034">
        <f>'T_SelfStock'!DA44</f>
        <v/>
      </c>
    </row>
    <row r="1035">
      <c r="B1035" t="inlineStr">
        <is>
          <t>Order(発注予定,kg)</t>
        </is>
      </c>
      <c r="D1035">
        <f>IF(SUMIFS(T_PlannedOrders[EffectiveQty],T_PlannedOrders[Part Name],$A1029,T_PlannedOrders[WeekIndex],1)=0,"",SUMIFS(T_PlannedOrders[EffectiveQty],T_PlannedOrders[Part Name],$A1029,T_PlannedOrders[WeekIndex],1)&amp;" ("&amp;TEXT(SUMPRODUCT(MAX((T_PlannedOrders[Part Name]=$A1029)*(T_PlannedOrders[WeekIndex]=1)*(T_PlannedOrders[EffectiveQty]&gt;0)*T_PlannedOrders[Order_Month])),"m月")&amp;"発注)")</f>
        <v/>
      </c>
      <c r="E1035">
        <f>IF(SUMIFS(T_PlannedOrders[EffectiveQty],T_PlannedOrders[Part Name],$A1029,T_PlannedOrders[WeekIndex],2)=0,"",SUMIFS(T_PlannedOrders[EffectiveQty],T_PlannedOrders[Part Name],$A1029,T_PlannedOrders[WeekIndex],2)&amp;" ("&amp;TEXT(SUMPRODUCT(MAX((T_PlannedOrders[Part Name]=$A1029)*(T_PlannedOrders[WeekIndex]=2)*(T_PlannedOrders[EffectiveQty]&gt;0)*T_PlannedOrders[Order_Month])),"m月")&amp;"発注)")</f>
        <v/>
      </c>
      <c r="F1035">
        <f>IF(SUMIFS(T_PlannedOrders[EffectiveQty],T_PlannedOrders[Part Name],$A1029,T_PlannedOrders[WeekIndex],3)=0,"",SUMIFS(T_PlannedOrders[EffectiveQty],T_PlannedOrders[Part Name],$A1029,T_PlannedOrders[WeekIndex],3)&amp;" ("&amp;TEXT(SUMPRODUCT(MAX((T_PlannedOrders[Part Name]=$A1029)*(T_PlannedOrders[WeekIndex]=3)*(T_PlannedOrders[EffectiveQty]&gt;0)*T_PlannedOrders[Order_Month])),"m月")&amp;"発注)")</f>
        <v/>
      </c>
      <c r="G1035">
        <f>IF(SUMIFS(T_PlannedOrders[EffectiveQty],T_PlannedOrders[Part Name],$A1029,T_PlannedOrders[WeekIndex],4)=0,"",SUMIFS(T_PlannedOrders[EffectiveQty],T_PlannedOrders[Part Name],$A1029,T_PlannedOrders[WeekIndex],4)&amp;" ("&amp;TEXT(SUMPRODUCT(MAX((T_PlannedOrders[Part Name]=$A1029)*(T_PlannedOrders[WeekIndex]=4)*(T_PlannedOrders[EffectiveQty]&gt;0)*T_PlannedOrders[Order_Month])),"m月")&amp;"発注)")</f>
        <v/>
      </c>
      <c r="H1035">
        <f>IF(SUMIFS(T_PlannedOrders[EffectiveQty],T_PlannedOrders[Part Name],$A1029,T_PlannedOrders[WeekIndex],5)=0,"",SUMIFS(T_PlannedOrders[EffectiveQty],T_PlannedOrders[Part Name],$A1029,T_PlannedOrders[WeekIndex],5)&amp;" ("&amp;TEXT(SUMPRODUCT(MAX((T_PlannedOrders[Part Name]=$A1029)*(T_PlannedOrders[WeekIndex]=5)*(T_PlannedOrders[EffectiveQty]&gt;0)*T_PlannedOrders[Order_Month])),"m月")&amp;"発注)")</f>
        <v/>
      </c>
      <c r="I1035">
        <f>IF(SUMIFS(T_PlannedOrders[EffectiveQty],T_PlannedOrders[Part Name],$A1029,T_PlannedOrders[WeekIndex],6)=0,"",SUMIFS(T_PlannedOrders[EffectiveQty],T_PlannedOrders[Part Name],$A1029,T_PlannedOrders[WeekIndex],6)&amp;" ("&amp;TEXT(SUMPRODUCT(MAX((T_PlannedOrders[Part Name]=$A1029)*(T_PlannedOrders[WeekIndex]=6)*(T_PlannedOrders[EffectiveQty]&gt;0)*T_PlannedOrders[Order_Month])),"m月")&amp;"発注)")</f>
        <v/>
      </c>
      <c r="J1035">
        <f>IF(SUMIFS(T_PlannedOrders[EffectiveQty],T_PlannedOrders[Part Name],$A1029,T_PlannedOrders[WeekIndex],7)=0,"",SUMIFS(T_PlannedOrders[EffectiveQty],T_PlannedOrders[Part Name],$A1029,T_PlannedOrders[WeekIndex],7)&amp;" ("&amp;TEXT(SUMPRODUCT(MAX((T_PlannedOrders[Part Name]=$A1029)*(T_PlannedOrders[WeekIndex]=7)*(T_PlannedOrders[EffectiveQty]&gt;0)*T_PlannedOrders[Order_Month])),"m月")&amp;"発注)")</f>
        <v/>
      </c>
      <c r="K1035">
        <f>IF(SUMIFS(T_PlannedOrders[EffectiveQty],T_PlannedOrders[Part Name],$A1029,T_PlannedOrders[WeekIndex],8)=0,"",SUMIFS(T_PlannedOrders[EffectiveQty],T_PlannedOrders[Part Name],$A1029,T_PlannedOrders[WeekIndex],8)&amp;" ("&amp;TEXT(SUMPRODUCT(MAX((T_PlannedOrders[Part Name]=$A1029)*(T_PlannedOrders[WeekIndex]=8)*(T_PlannedOrders[EffectiveQty]&gt;0)*T_PlannedOrders[Order_Month])),"m月")&amp;"発注)")</f>
        <v/>
      </c>
      <c r="L1035">
        <f>IF(SUMIFS(T_PlannedOrders[EffectiveQty],T_PlannedOrders[Part Name],$A1029,T_PlannedOrders[WeekIndex],9)=0,"",SUMIFS(T_PlannedOrders[EffectiveQty],T_PlannedOrders[Part Name],$A1029,T_PlannedOrders[WeekIndex],9)&amp;" ("&amp;TEXT(SUMPRODUCT(MAX((T_PlannedOrders[Part Name]=$A1029)*(T_PlannedOrders[WeekIndex]=9)*(T_PlannedOrders[EffectiveQty]&gt;0)*T_PlannedOrders[Order_Month])),"m月")&amp;"発注)")</f>
        <v/>
      </c>
      <c r="M1035">
        <f>IF(SUMIFS(T_PlannedOrders[EffectiveQty],T_PlannedOrders[Part Name],$A1029,T_PlannedOrders[WeekIndex],10)=0,"",SUMIFS(T_PlannedOrders[EffectiveQty],T_PlannedOrders[Part Name],$A1029,T_PlannedOrders[WeekIndex],10)&amp;" ("&amp;TEXT(SUMPRODUCT(MAX((T_PlannedOrders[Part Name]=$A1029)*(T_PlannedOrders[WeekIndex]=10)*(T_PlannedOrders[EffectiveQty]&gt;0)*T_PlannedOrders[Order_Month])),"m月")&amp;"発注)")</f>
        <v/>
      </c>
      <c r="N1035">
        <f>IF(SUMIFS(T_PlannedOrders[EffectiveQty],T_PlannedOrders[Part Name],$A1029,T_PlannedOrders[WeekIndex],11)=0,"",SUMIFS(T_PlannedOrders[EffectiveQty],T_PlannedOrders[Part Name],$A1029,T_PlannedOrders[WeekIndex],11)&amp;" ("&amp;TEXT(SUMPRODUCT(MAX((T_PlannedOrders[Part Name]=$A1029)*(T_PlannedOrders[WeekIndex]=11)*(T_PlannedOrders[EffectiveQty]&gt;0)*T_PlannedOrders[Order_Month])),"m月")&amp;"発注)")</f>
        <v/>
      </c>
      <c r="O1035">
        <f>IF(SUMIFS(T_PlannedOrders[EffectiveQty],T_PlannedOrders[Part Name],$A1029,T_PlannedOrders[WeekIndex],12)=0,"",SUMIFS(T_PlannedOrders[EffectiveQty],T_PlannedOrders[Part Name],$A1029,T_PlannedOrders[WeekIndex],12)&amp;" ("&amp;TEXT(SUMPRODUCT(MAX((T_PlannedOrders[Part Name]=$A1029)*(T_PlannedOrders[WeekIndex]=12)*(T_PlannedOrders[EffectiveQty]&gt;0)*T_PlannedOrders[Order_Month])),"m月")&amp;"発注)")</f>
        <v/>
      </c>
      <c r="P1035">
        <f>IF(SUMIFS(T_PlannedOrders[EffectiveQty],T_PlannedOrders[Part Name],$A1029,T_PlannedOrders[WeekIndex],13)=0,"",SUMIFS(T_PlannedOrders[EffectiveQty],T_PlannedOrders[Part Name],$A1029,T_PlannedOrders[WeekIndex],13)&amp;" ("&amp;TEXT(SUMPRODUCT(MAX((T_PlannedOrders[Part Name]=$A1029)*(T_PlannedOrders[WeekIndex]=13)*(T_PlannedOrders[EffectiveQty]&gt;0)*T_PlannedOrders[Order_Month])),"m月")&amp;"発注)")</f>
        <v/>
      </c>
      <c r="Q1035">
        <f>IF(SUMIFS(T_PlannedOrders[EffectiveQty],T_PlannedOrders[Part Name],$A1029,T_PlannedOrders[WeekIndex],14)=0,"",SUMIFS(T_PlannedOrders[EffectiveQty],T_PlannedOrders[Part Name],$A1029,T_PlannedOrders[WeekIndex],14)&amp;" ("&amp;TEXT(SUMPRODUCT(MAX((T_PlannedOrders[Part Name]=$A1029)*(T_PlannedOrders[WeekIndex]=14)*(T_PlannedOrders[EffectiveQty]&gt;0)*T_PlannedOrders[Order_Month])),"m月")&amp;"発注)")</f>
        <v/>
      </c>
      <c r="R1035">
        <f>IF(SUMIFS(T_PlannedOrders[EffectiveQty],T_PlannedOrders[Part Name],$A1029,T_PlannedOrders[WeekIndex],15)=0,"",SUMIFS(T_PlannedOrders[EffectiveQty],T_PlannedOrders[Part Name],$A1029,T_PlannedOrders[WeekIndex],15)&amp;" ("&amp;TEXT(SUMPRODUCT(MAX((T_PlannedOrders[Part Name]=$A1029)*(T_PlannedOrders[WeekIndex]=15)*(T_PlannedOrders[EffectiveQty]&gt;0)*T_PlannedOrders[Order_Month])),"m月")&amp;"発注)")</f>
        <v/>
      </c>
      <c r="S1035">
        <f>IF(SUMIFS(T_PlannedOrders[EffectiveQty],T_PlannedOrders[Part Name],$A1029,T_PlannedOrders[WeekIndex],16)=0,"",SUMIFS(T_PlannedOrders[EffectiveQty],T_PlannedOrders[Part Name],$A1029,T_PlannedOrders[WeekIndex],16)&amp;" ("&amp;TEXT(SUMPRODUCT(MAX((T_PlannedOrders[Part Name]=$A1029)*(T_PlannedOrders[WeekIndex]=16)*(T_PlannedOrders[EffectiveQty]&gt;0)*T_PlannedOrders[Order_Month])),"m月")&amp;"発注)")</f>
        <v/>
      </c>
      <c r="T1035">
        <f>IF(SUMIFS(T_PlannedOrders[EffectiveQty],T_PlannedOrders[Part Name],$A1029,T_PlannedOrders[WeekIndex],17)=0,"",SUMIFS(T_PlannedOrders[EffectiveQty],T_PlannedOrders[Part Name],$A1029,T_PlannedOrders[WeekIndex],17)&amp;" ("&amp;TEXT(SUMPRODUCT(MAX((T_PlannedOrders[Part Name]=$A1029)*(T_PlannedOrders[WeekIndex]=17)*(T_PlannedOrders[EffectiveQty]&gt;0)*T_PlannedOrders[Order_Month])),"m月")&amp;"発注)")</f>
        <v/>
      </c>
      <c r="U1035">
        <f>IF(SUMIFS(T_PlannedOrders[EffectiveQty],T_PlannedOrders[Part Name],$A1029,T_PlannedOrders[WeekIndex],18)=0,"",SUMIFS(T_PlannedOrders[EffectiveQty],T_PlannedOrders[Part Name],$A1029,T_PlannedOrders[WeekIndex],18)&amp;" ("&amp;TEXT(SUMPRODUCT(MAX((T_PlannedOrders[Part Name]=$A1029)*(T_PlannedOrders[WeekIndex]=18)*(T_PlannedOrders[EffectiveQty]&gt;0)*T_PlannedOrders[Order_Month])),"m月")&amp;"発注)")</f>
        <v/>
      </c>
      <c r="V1035">
        <f>IF(SUMIFS(T_PlannedOrders[EffectiveQty],T_PlannedOrders[Part Name],$A1029,T_PlannedOrders[WeekIndex],19)=0,"",SUMIFS(T_PlannedOrders[EffectiveQty],T_PlannedOrders[Part Name],$A1029,T_PlannedOrders[WeekIndex],19)&amp;" ("&amp;TEXT(SUMPRODUCT(MAX((T_PlannedOrders[Part Name]=$A1029)*(T_PlannedOrders[WeekIndex]=19)*(T_PlannedOrders[EffectiveQty]&gt;0)*T_PlannedOrders[Order_Month])),"m月")&amp;"発注)")</f>
        <v/>
      </c>
      <c r="W1035">
        <f>IF(SUMIFS(T_PlannedOrders[EffectiveQty],T_PlannedOrders[Part Name],$A1029,T_PlannedOrders[WeekIndex],20)=0,"",SUMIFS(T_PlannedOrders[EffectiveQty],T_PlannedOrders[Part Name],$A1029,T_PlannedOrders[WeekIndex],20)&amp;" ("&amp;TEXT(SUMPRODUCT(MAX((T_PlannedOrders[Part Name]=$A1029)*(T_PlannedOrders[WeekIndex]=20)*(T_PlannedOrders[EffectiveQty]&gt;0)*T_PlannedOrders[Order_Month])),"m月")&amp;"発注)")</f>
        <v/>
      </c>
      <c r="X1035">
        <f>IF(SUMIFS(T_PlannedOrders[EffectiveQty],T_PlannedOrders[Part Name],$A1029,T_PlannedOrders[WeekIndex],21)=0,"",SUMIFS(T_PlannedOrders[EffectiveQty],T_PlannedOrders[Part Name],$A1029,T_PlannedOrders[WeekIndex],21)&amp;" ("&amp;TEXT(SUMPRODUCT(MAX((T_PlannedOrders[Part Name]=$A1029)*(T_PlannedOrders[WeekIndex]=21)*(T_PlannedOrders[EffectiveQty]&gt;0)*T_PlannedOrders[Order_Month])),"m月")&amp;"発注)")</f>
        <v/>
      </c>
      <c r="Y1035">
        <f>IF(SUMIFS(T_PlannedOrders[EffectiveQty],T_PlannedOrders[Part Name],$A1029,T_PlannedOrders[WeekIndex],22)=0,"",SUMIFS(T_PlannedOrders[EffectiveQty],T_PlannedOrders[Part Name],$A1029,T_PlannedOrders[WeekIndex],22)&amp;" ("&amp;TEXT(SUMPRODUCT(MAX((T_PlannedOrders[Part Name]=$A1029)*(T_PlannedOrders[WeekIndex]=22)*(T_PlannedOrders[EffectiveQty]&gt;0)*T_PlannedOrders[Order_Month])),"m月")&amp;"発注)")</f>
        <v/>
      </c>
      <c r="Z1035">
        <f>IF(SUMIFS(T_PlannedOrders[EffectiveQty],T_PlannedOrders[Part Name],$A1029,T_PlannedOrders[WeekIndex],23)=0,"",SUMIFS(T_PlannedOrders[EffectiveQty],T_PlannedOrders[Part Name],$A1029,T_PlannedOrders[WeekIndex],23)&amp;" ("&amp;TEXT(SUMPRODUCT(MAX((T_PlannedOrders[Part Name]=$A1029)*(T_PlannedOrders[WeekIndex]=23)*(T_PlannedOrders[EffectiveQty]&gt;0)*T_PlannedOrders[Order_Month])),"m月")&amp;"発注)")</f>
        <v/>
      </c>
      <c r="AA1035">
        <f>IF(SUMIFS(T_PlannedOrders[EffectiveQty],T_PlannedOrders[Part Name],$A1029,T_PlannedOrders[WeekIndex],24)=0,"",SUMIFS(T_PlannedOrders[EffectiveQty],T_PlannedOrders[Part Name],$A1029,T_PlannedOrders[WeekIndex],24)&amp;" ("&amp;TEXT(SUMPRODUCT(MAX((T_PlannedOrders[Part Name]=$A1029)*(T_PlannedOrders[WeekIndex]=24)*(T_PlannedOrders[EffectiveQty]&gt;0)*T_PlannedOrders[Order_Month])),"m月")&amp;"発注)")</f>
        <v/>
      </c>
      <c r="AB1035">
        <f>IF(SUMIFS(T_PlannedOrders[EffectiveQty],T_PlannedOrders[Part Name],$A1029,T_PlannedOrders[WeekIndex],25)=0,"",SUMIFS(T_PlannedOrders[EffectiveQty],T_PlannedOrders[Part Name],$A1029,T_PlannedOrders[WeekIndex],25)&amp;" ("&amp;TEXT(SUMPRODUCT(MAX((T_PlannedOrders[Part Name]=$A1029)*(T_PlannedOrders[WeekIndex]=25)*(T_PlannedOrders[EffectiveQty]&gt;0)*T_PlannedOrders[Order_Month])),"m月")&amp;"発注)")</f>
        <v/>
      </c>
      <c r="AC1035">
        <f>IF(SUMIFS(T_PlannedOrders[EffectiveQty],T_PlannedOrders[Part Name],$A1029,T_PlannedOrders[WeekIndex],26)=0,"",SUMIFS(T_PlannedOrders[EffectiveQty],T_PlannedOrders[Part Name],$A1029,T_PlannedOrders[WeekIndex],26)&amp;" ("&amp;TEXT(SUMPRODUCT(MAX((T_PlannedOrders[Part Name]=$A1029)*(T_PlannedOrders[WeekIndex]=26)*(T_PlannedOrders[EffectiveQty]&gt;0)*T_PlannedOrders[Order_Month])),"m月")&amp;"発注)")</f>
        <v/>
      </c>
      <c r="AD1035">
        <f>IF(SUMIFS(T_PlannedOrders[EffectiveQty],T_PlannedOrders[Part Name],$A1029,T_PlannedOrders[WeekIndex],27)=0,"",SUMIFS(T_PlannedOrders[EffectiveQty],T_PlannedOrders[Part Name],$A1029,T_PlannedOrders[WeekIndex],27)&amp;" ("&amp;TEXT(SUMPRODUCT(MAX((T_PlannedOrders[Part Name]=$A1029)*(T_PlannedOrders[WeekIndex]=27)*(T_PlannedOrders[EffectiveQty]&gt;0)*T_PlannedOrders[Order_Month])),"m月")&amp;"発注)")</f>
        <v/>
      </c>
      <c r="AE1035">
        <f>IF(SUMIFS(T_PlannedOrders[EffectiveQty],T_PlannedOrders[Part Name],$A1029,T_PlannedOrders[WeekIndex],28)=0,"",SUMIFS(T_PlannedOrders[EffectiveQty],T_PlannedOrders[Part Name],$A1029,T_PlannedOrders[WeekIndex],28)&amp;" ("&amp;TEXT(SUMPRODUCT(MAX((T_PlannedOrders[Part Name]=$A1029)*(T_PlannedOrders[WeekIndex]=28)*(T_PlannedOrders[EffectiveQty]&gt;0)*T_PlannedOrders[Order_Month])),"m月")&amp;"発注)")</f>
        <v/>
      </c>
      <c r="AF1035">
        <f>IF(SUMIFS(T_PlannedOrders[EffectiveQty],T_PlannedOrders[Part Name],$A1029,T_PlannedOrders[WeekIndex],29)=0,"",SUMIFS(T_PlannedOrders[EffectiveQty],T_PlannedOrders[Part Name],$A1029,T_PlannedOrders[WeekIndex],29)&amp;" ("&amp;TEXT(SUMPRODUCT(MAX((T_PlannedOrders[Part Name]=$A1029)*(T_PlannedOrders[WeekIndex]=29)*(T_PlannedOrders[EffectiveQty]&gt;0)*T_PlannedOrders[Order_Month])),"m月")&amp;"発注)")</f>
        <v/>
      </c>
      <c r="AG1035">
        <f>IF(SUMIFS(T_PlannedOrders[EffectiveQty],T_PlannedOrders[Part Name],$A1029,T_PlannedOrders[WeekIndex],30)=0,"",SUMIFS(T_PlannedOrders[EffectiveQty],T_PlannedOrders[Part Name],$A1029,T_PlannedOrders[WeekIndex],30)&amp;" ("&amp;TEXT(SUMPRODUCT(MAX((T_PlannedOrders[Part Name]=$A1029)*(T_PlannedOrders[WeekIndex]=30)*(T_PlannedOrders[EffectiveQty]&gt;0)*T_PlannedOrders[Order_Month])),"m月")&amp;"発注)")</f>
        <v/>
      </c>
      <c r="AH1035">
        <f>IF(SUMIFS(T_PlannedOrders[EffectiveQty],T_PlannedOrders[Part Name],$A1029,T_PlannedOrders[WeekIndex],31)=0,"",SUMIFS(T_PlannedOrders[EffectiveQty],T_PlannedOrders[Part Name],$A1029,T_PlannedOrders[WeekIndex],31)&amp;" ("&amp;TEXT(SUMPRODUCT(MAX((T_PlannedOrders[Part Name]=$A1029)*(T_PlannedOrders[WeekIndex]=31)*(T_PlannedOrders[EffectiveQty]&gt;0)*T_PlannedOrders[Order_Month])),"m月")&amp;"発注)")</f>
        <v/>
      </c>
      <c r="AI1035">
        <f>IF(SUMIFS(T_PlannedOrders[EffectiveQty],T_PlannedOrders[Part Name],$A1029,T_PlannedOrders[WeekIndex],32)=0,"",SUMIFS(T_PlannedOrders[EffectiveQty],T_PlannedOrders[Part Name],$A1029,T_PlannedOrders[WeekIndex],32)&amp;" ("&amp;TEXT(SUMPRODUCT(MAX((T_PlannedOrders[Part Name]=$A1029)*(T_PlannedOrders[WeekIndex]=32)*(T_PlannedOrders[EffectiveQty]&gt;0)*T_PlannedOrders[Order_Month])),"m月")&amp;"発注)")</f>
        <v/>
      </c>
      <c r="AJ1035">
        <f>IF(SUMIFS(T_PlannedOrders[EffectiveQty],T_PlannedOrders[Part Name],$A1029,T_PlannedOrders[WeekIndex],33)=0,"",SUMIFS(T_PlannedOrders[EffectiveQty],T_PlannedOrders[Part Name],$A1029,T_PlannedOrders[WeekIndex],33)&amp;" ("&amp;TEXT(SUMPRODUCT(MAX((T_PlannedOrders[Part Name]=$A1029)*(T_PlannedOrders[WeekIndex]=33)*(T_PlannedOrders[EffectiveQty]&gt;0)*T_PlannedOrders[Order_Month])),"m月")&amp;"発注)")</f>
        <v/>
      </c>
      <c r="AK1035">
        <f>IF(SUMIFS(T_PlannedOrders[EffectiveQty],T_PlannedOrders[Part Name],$A1029,T_PlannedOrders[WeekIndex],34)=0,"",SUMIFS(T_PlannedOrders[EffectiveQty],T_PlannedOrders[Part Name],$A1029,T_PlannedOrders[WeekIndex],34)&amp;" ("&amp;TEXT(SUMPRODUCT(MAX((T_PlannedOrders[Part Name]=$A1029)*(T_PlannedOrders[WeekIndex]=34)*(T_PlannedOrders[EffectiveQty]&gt;0)*T_PlannedOrders[Order_Month])),"m月")&amp;"発注)")</f>
        <v/>
      </c>
      <c r="AL1035">
        <f>IF(SUMIFS(T_PlannedOrders[EffectiveQty],T_PlannedOrders[Part Name],$A1029,T_PlannedOrders[WeekIndex],35)=0,"",SUMIFS(T_PlannedOrders[EffectiveQty],T_PlannedOrders[Part Name],$A1029,T_PlannedOrders[WeekIndex],35)&amp;" ("&amp;TEXT(SUMPRODUCT(MAX((T_PlannedOrders[Part Name]=$A1029)*(T_PlannedOrders[WeekIndex]=35)*(T_PlannedOrders[EffectiveQty]&gt;0)*T_PlannedOrders[Order_Month])),"m月")&amp;"発注)")</f>
        <v/>
      </c>
      <c r="AM1035">
        <f>IF(SUMIFS(T_PlannedOrders[EffectiveQty],T_PlannedOrders[Part Name],$A1029,T_PlannedOrders[WeekIndex],36)=0,"",SUMIFS(T_PlannedOrders[EffectiveQty],T_PlannedOrders[Part Name],$A1029,T_PlannedOrders[WeekIndex],36)&amp;" ("&amp;TEXT(SUMPRODUCT(MAX((T_PlannedOrders[Part Name]=$A1029)*(T_PlannedOrders[WeekIndex]=36)*(T_PlannedOrders[EffectiveQty]&gt;0)*T_PlannedOrders[Order_Month])),"m月")&amp;"発注)")</f>
        <v/>
      </c>
      <c r="AN1035">
        <f>IF(SUMIFS(T_PlannedOrders[EffectiveQty],T_PlannedOrders[Part Name],$A1029,T_PlannedOrders[WeekIndex],37)=0,"",SUMIFS(T_PlannedOrders[EffectiveQty],T_PlannedOrders[Part Name],$A1029,T_PlannedOrders[WeekIndex],37)&amp;" ("&amp;TEXT(SUMPRODUCT(MAX((T_PlannedOrders[Part Name]=$A1029)*(T_PlannedOrders[WeekIndex]=37)*(T_PlannedOrders[EffectiveQty]&gt;0)*T_PlannedOrders[Order_Month])),"m月")&amp;"発注)")</f>
        <v/>
      </c>
      <c r="AO1035">
        <f>IF(SUMIFS(T_PlannedOrders[EffectiveQty],T_PlannedOrders[Part Name],$A1029,T_PlannedOrders[WeekIndex],38)=0,"",SUMIFS(T_PlannedOrders[EffectiveQty],T_PlannedOrders[Part Name],$A1029,T_PlannedOrders[WeekIndex],38)&amp;" ("&amp;TEXT(SUMPRODUCT(MAX((T_PlannedOrders[Part Name]=$A1029)*(T_PlannedOrders[WeekIndex]=38)*(T_PlannedOrders[EffectiveQty]&gt;0)*T_PlannedOrders[Order_Month])),"m月")&amp;"発注)")</f>
        <v/>
      </c>
      <c r="AP1035">
        <f>IF(SUMIFS(T_PlannedOrders[EffectiveQty],T_PlannedOrders[Part Name],$A1029,T_PlannedOrders[WeekIndex],39)=0,"",SUMIFS(T_PlannedOrders[EffectiveQty],T_PlannedOrders[Part Name],$A1029,T_PlannedOrders[WeekIndex],39)&amp;" ("&amp;TEXT(SUMPRODUCT(MAX((T_PlannedOrders[Part Name]=$A1029)*(T_PlannedOrders[WeekIndex]=39)*(T_PlannedOrders[EffectiveQty]&gt;0)*T_PlannedOrders[Order_Month])),"m月")&amp;"発注)")</f>
        <v/>
      </c>
      <c r="AQ1035">
        <f>IF(SUMIFS(T_PlannedOrders[EffectiveQty],T_PlannedOrders[Part Name],$A1029,T_PlannedOrders[WeekIndex],40)=0,"",SUMIFS(T_PlannedOrders[EffectiveQty],T_PlannedOrders[Part Name],$A1029,T_PlannedOrders[WeekIndex],40)&amp;" ("&amp;TEXT(SUMPRODUCT(MAX((T_PlannedOrders[Part Name]=$A1029)*(T_PlannedOrders[WeekIndex]=40)*(T_PlannedOrders[EffectiveQty]&gt;0)*T_PlannedOrders[Order_Month])),"m月")&amp;"発注)")</f>
        <v/>
      </c>
      <c r="AR1035">
        <f>IF(SUMIFS(T_PlannedOrders[EffectiveQty],T_PlannedOrders[Part Name],$A1029,T_PlannedOrders[WeekIndex],41)=0,"",SUMIFS(T_PlannedOrders[EffectiveQty],T_PlannedOrders[Part Name],$A1029,T_PlannedOrders[WeekIndex],41)&amp;" ("&amp;TEXT(SUMPRODUCT(MAX((T_PlannedOrders[Part Name]=$A1029)*(T_PlannedOrders[WeekIndex]=41)*(T_PlannedOrders[EffectiveQty]&gt;0)*T_PlannedOrders[Order_Month])),"m月")&amp;"発注)")</f>
        <v/>
      </c>
      <c r="AS1035">
        <f>IF(SUMIFS(T_PlannedOrders[EffectiveQty],T_PlannedOrders[Part Name],$A1029,T_PlannedOrders[WeekIndex],42)=0,"",SUMIFS(T_PlannedOrders[EffectiveQty],T_PlannedOrders[Part Name],$A1029,T_PlannedOrders[WeekIndex],42)&amp;" ("&amp;TEXT(SUMPRODUCT(MAX((T_PlannedOrders[Part Name]=$A1029)*(T_PlannedOrders[WeekIndex]=42)*(T_PlannedOrders[EffectiveQty]&gt;0)*T_PlannedOrders[Order_Month])),"m月")&amp;"発注)")</f>
        <v/>
      </c>
      <c r="AT1035">
        <f>IF(SUMIFS(T_PlannedOrders[EffectiveQty],T_PlannedOrders[Part Name],$A1029,T_PlannedOrders[WeekIndex],43)=0,"",SUMIFS(T_PlannedOrders[EffectiveQty],T_PlannedOrders[Part Name],$A1029,T_PlannedOrders[WeekIndex],43)&amp;" ("&amp;TEXT(SUMPRODUCT(MAX((T_PlannedOrders[Part Name]=$A1029)*(T_PlannedOrders[WeekIndex]=43)*(T_PlannedOrders[EffectiveQty]&gt;0)*T_PlannedOrders[Order_Month])),"m月")&amp;"発注)")</f>
        <v/>
      </c>
      <c r="AU1035">
        <f>IF(SUMIFS(T_PlannedOrders[EffectiveQty],T_PlannedOrders[Part Name],$A1029,T_PlannedOrders[WeekIndex],44)=0,"",SUMIFS(T_PlannedOrders[EffectiveQty],T_PlannedOrders[Part Name],$A1029,T_PlannedOrders[WeekIndex],44)&amp;" ("&amp;TEXT(SUMPRODUCT(MAX((T_PlannedOrders[Part Name]=$A1029)*(T_PlannedOrders[WeekIndex]=44)*(T_PlannedOrders[EffectiveQty]&gt;0)*T_PlannedOrders[Order_Month])),"m月")&amp;"発注)")</f>
        <v/>
      </c>
      <c r="AV1035">
        <f>IF(SUMIFS(T_PlannedOrders[EffectiveQty],T_PlannedOrders[Part Name],$A1029,T_PlannedOrders[WeekIndex],45)=0,"",SUMIFS(T_PlannedOrders[EffectiveQty],T_PlannedOrders[Part Name],$A1029,T_PlannedOrders[WeekIndex],45)&amp;" ("&amp;TEXT(SUMPRODUCT(MAX((T_PlannedOrders[Part Name]=$A1029)*(T_PlannedOrders[WeekIndex]=45)*(T_PlannedOrders[EffectiveQty]&gt;0)*T_PlannedOrders[Order_Month])),"m月")&amp;"発注)")</f>
        <v/>
      </c>
      <c r="AW1035">
        <f>IF(SUMIFS(T_PlannedOrders[EffectiveQty],T_PlannedOrders[Part Name],$A1029,T_PlannedOrders[WeekIndex],46)=0,"",SUMIFS(T_PlannedOrders[EffectiveQty],T_PlannedOrders[Part Name],$A1029,T_PlannedOrders[WeekIndex],46)&amp;" ("&amp;TEXT(SUMPRODUCT(MAX((T_PlannedOrders[Part Name]=$A1029)*(T_PlannedOrders[WeekIndex]=46)*(T_PlannedOrders[EffectiveQty]&gt;0)*T_PlannedOrders[Order_Month])),"m月")&amp;"発注)")</f>
        <v/>
      </c>
      <c r="AX1035">
        <f>IF(SUMIFS(T_PlannedOrders[EffectiveQty],T_PlannedOrders[Part Name],$A1029,T_PlannedOrders[WeekIndex],47)=0,"",SUMIFS(T_PlannedOrders[EffectiveQty],T_PlannedOrders[Part Name],$A1029,T_PlannedOrders[WeekIndex],47)&amp;" ("&amp;TEXT(SUMPRODUCT(MAX((T_PlannedOrders[Part Name]=$A1029)*(T_PlannedOrders[WeekIndex]=47)*(T_PlannedOrders[EffectiveQty]&gt;0)*T_PlannedOrders[Order_Month])),"m月")&amp;"発注)")</f>
        <v/>
      </c>
      <c r="AY1035">
        <f>IF(SUMIFS(T_PlannedOrders[EffectiveQty],T_PlannedOrders[Part Name],$A1029,T_PlannedOrders[WeekIndex],48)=0,"",SUMIFS(T_PlannedOrders[EffectiveQty],T_PlannedOrders[Part Name],$A1029,T_PlannedOrders[WeekIndex],48)&amp;" ("&amp;TEXT(SUMPRODUCT(MAX((T_PlannedOrders[Part Name]=$A1029)*(T_PlannedOrders[WeekIndex]=48)*(T_PlannedOrders[EffectiveQty]&gt;0)*T_PlannedOrders[Order_Month])),"m月")&amp;"発注)")</f>
        <v/>
      </c>
      <c r="AZ1035">
        <f>IF(SUMIFS(T_PlannedOrders[EffectiveQty],T_PlannedOrders[Part Name],$A1029,T_PlannedOrders[WeekIndex],49)=0,"",SUMIFS(T_PlannedOrders[EffectiveQty],T_PlannedOrders[Part Name],$A1029,T_PlannedOrders[WeekIndex],49)&amp;" ("&amp;TEXT(SUMPRODUCT(MAX((T_PlannedOrders[Part Name]=$A1029)*(T_PlannedOrders[WeekIndex]=49)*(T_PlannedOrders[EffectiveQty]&gt;0)*T_PlannedOrders[Order_Month])),"m月")&amp;"発注)")</f>
        <v/>
      </c>
      <c r="BA1035">
        <f>IF(SUMIFS(T_PlannedOrders[EffectiveQty],T_PlannedOrders[Part Name],$A1029,T_PlannedOrders[WeekIndex],50)=0,"",SUMIFS(T_PlannedOrders[EffectiveQty],T_PlannedOrders[Part Name],$A1029,T_PlannedOrders[WeekIndex],50)&amp;" ("&amp;TEXT(SUMPRODUCT(MAX((T_PlannedOrders[Part Name]=$A1029)*(T_PlannedOrders[WeekIndex]=50)*(T_PlannedOrders[EffectiveQty]&gt;0)*T_PlannedOrders[Order_Month])),"m月")&amp;"発注)")</f>
        <v/>
      </c>
      <c r="BB1035">
        <f>IF(SUMIFS(T_PlannedOrders[EffectiveQty],T_PlannedOrders[Part Name],$A1029,T_PlannedOrders[WeekIndex],51)=0,"",SUMIFS(T_PlannedOrders[EffectiveQty],T_PlannedOrders[Part Name],$A1029,T_PlannedOrders[WeekIndex],51)&amp;" ("&amp;TEXT(SUMPRODUCT(MAX((T_PlannedOrders[Part Name]=$A1029)*(T_PlannedOrders[WeekIndex]=51)*(T_PlannedOrders[EffectiveQty]&gt;0)*T_PlannedOrders[Order_Month])),"m月")&amp;"発注)")</f>
        <v/>
      </c>
      <c r="BC1035">
        <f>IF(SUMIFS(T_PlannedOrders[EffectiveQty],T_PlannedOrders[Part Name],$A1029,T_PlannedOrders[WeekIndex],52)=0,"",SUMIFS(T_PlannedOrders[EffectiveQty],T_PlannedOrders[Part Name],$A1029,T_PlannedOrders[WeekIndex],52)&amp;" ("&amp;TEXT(SUMPRODUCT(MAX((T_PlannedOrders[Part Name]=$A1029)*(T_PlannedOrders[WeekIndex]=52)*(T_PlannedOrders[EffectiveQty]&gt;0)*T_PlannedOrders[Order_Month])),"m月")&amp;"発注)")</f>
        <v/>
      </c>
      <c r="BD1035">
        <f>IF(SUMIFS(T_PlannedOrders[EffectiveQty],T_PlannedOrders[Part Name],$A1029,T_PlannedOrders[WeekIndex],53)=0,"",SUMIFS(T_PlannedOrders[EffectiveQty],T_PlannedOrders[Part Name],$A1029,T_PlannedOrders[WeekIndex],53)&amp;" ("&amp;TEXT(SUMPRODUCT(MAX((T_PlannedOrders[Part Name]=$A1029)*(T_PlannedOrders[WeekIndex]=53)*(T_PlannedOrders[EffectiveQty]&gt;0)*T_PlannedOrders[Order_Month])),"m月")&amp;"発注)")</f>
        <v/>
      </c>
      <c r="BE1035">
        <f>IF(SUMIFS(T_PlannedOrders[EffectiveQty],T_PlannedOrders[Part Name],$A1029,T_PlannedOrders[WeekIndex],54)=0,"",SUMIFS(T_PlannedOrders[EffectiveQty],T_PlannedOrders[Part Name],$A1029,T_PlannedOrders[WeekIndex],54)&amp;" ("&amp;TEXT(SUMPRODUCT(MAX((T_PlannedOrders[Part Name]=$A1029)*(T_PlannedOrders[WeekIndex]=54)*(T_PlannedOrders[EffectiveQty]&gt;0)*T_PlannedOrders[Order_Month])),"m月")&amp;"発注)")</f>
        <v/>
      </c>
      <c r="BF1035">
        <f>IF(SUMIFS(T_PlannedOrders[EffectiveQty],T_PlannedOrders[Part Name],$A1029,T_PlannedOrders[WeekIndex],55)=0,"",SUMIFS(T_PlannedOrders[EffectiveQty],T_PlannedOrders[Part Name],$A1029,T_PlannedOrders[WeekIndex],55)&amp;" ("&amp;TEXT(SUMPRODUCT(MAX((T_PlannedOrders[Part Name]=$A1029)*(T_PlannedOrders[WeekIndex]=55)*(T_PlannedOrders[EffectiveQty]&gt;0)*T_PlannedOrders[Order_Month])),"m月")&amp;"発注)")</f>
        <v/>
      </c>
      <c r="BG1035">
        <f>IF(SUMIFS(T_PlannedOrders[EffectiveQty],T_PlannedOrders[Part Name],$A1029,T_PlannedOrders[WeekIndex],56)=0,"",SUMIFS(T_PlannedOrders[EffectiveQty],T_PlannedOrders[Part Name],$A1029,T_PlannedOrders[WeekIndex],56)&amp;" ("&amp;TEXT(SUMPRODUCT(MAX((T_PlannedOrders[Part Name]=$A1029)*(T_PlannedOrders[WeekIndex]=56)*(T_PlannedOrders[EffectiveQty]&gt;0)*T_PlannedOrders[Order_Month])),"m月")&amp;"発注)")</f>
        <v/>
      </c>
      <c r="BH1035">
        <f>IF(SUMIFS(T_PlannedOrders[EffectiveQty],T_PlannedOrders[Part Name],$A1029,T_PlannedOrders[WeekIndex],57)=0,"",SUMIFS(T_PlannedOrders[EffectiveQty],T_PlannedOrders[Part Name],$A1029,T_PlannedOrders[WeekIndex],57)&amp;" ("&amp;TEXT(SUMPRODUCT(MAX((T_PlannedOrders[Part Name]=$A1029)*(T_PlannedOrders[WeekIndex]=57)*(T_PlannedOrders[EffectiveQty]&gt;0)*T_PlannedOrders[Order_Month])),"m月")&amp;"発注)")</f>
        <v/>
      </c>
      <c r="BI1035">
        <f>IF(SUMIFS(T_PlannedOrders[EffectiveQty],T_PlannedOrders[Part Name],$A1029,T_PlannedOrders[WeekIndex],58)=0,"",SUMIFS(T_PlannedOrders[EffectiveQty],T_PlannedOrders[Part Name],$A1029,T_PlannedOrders[WeekIndex],58)&amp;" ("&amp;TEXT(SUMPRODUCT(MAX((T_PlannedOrders[Part Name]=$A1029)*(T_PlannedOrders[WeekIndex]=58)*(T_PlannedOrders[EffectiveQty]&gt;0)*T_PlannedOrders[Order_Month])),"m月")&amp;"発注)")</f>
        <v/>
      </c>
      <c r="BJ1035">
        <f>IF(SUMIFS(T_PlannedOrders[EffectiveQty],T_PlannedOrders[Part Name],$A1029,T_PlannedOrders[WeekIndex],59)=0,"",SUMIFS(T_PlannedOrders[EffectiveQty],T_PlannedOrders[Part Name],$A1029,T_PlannedOrders[WeekIndex],59)&amp;" ("&amp;TEXT(SUMPRODUCT(MAX((T_PlannedOrders[Part Name]=$A1029)*(T_PlannedOrders[WeekIndex]=59)*(T_PlannedOrders[EffectiveQty]&gt;0)*T_PlannedOrders[Order_Month])),"m月")&amp;"発注)")</f>
        <v/>
      </c>
      <c r="BK1035">
        <f>IF(SUMIFS(T_PlannedOrders[EffectiveQty],T_PlannedOrders[Part Name],$A1029,T_PlannedOrders[WeekIndex],60)=0,"",SUMIFS(T_PlannedOrders[EffectiveQty],T_PlannedOrders[Part Name],$A1029,T_PlannedOrders[WeekIndex],60)&amp;" ("&amp;TEXT(SUMPRODUCT(MAX((T_PlannedOrders[Part Name]=$A1029)*(T_PlannedOrders[WeekIndex]=60)*(T_PlannedOrders[EffectiveQty]&gt;0)*T_PlannedOrders[Order_Month])),"m月")&amp;"発注)")</f>
        <v/>
      </c>
      <c r="BL1035">
        <f>IF(SUMIFS(T_PlannedOrders[EffectiveQty],T_PlannedOrders[Part Name],$A1029,T_PlannedOrders[WeekIndex],61)=0,"",SUMIFS(T_PlannedOrders[EffectiveQty],T_PlannedOrders[Part Name],$A1029,T_PlannedOrders[WeekIndex],61)&amp;" ("&amp;TEXT(SUMPRODUCT(MAX((T_PlannedOrders[Part Name]=$A1029)*(T_PlannedOrders[WeekIndex]=61)*(T_PlannedOrders[EffectiveQty]&gt;0)*T_PlannedOrders[Order_Month])),"m月")&amp;"発注)")</f>
        <v/>
      </c>
      <c r="BM1035">
        <f>IF(SUMIFS(T_PlannedOrders[EffectiveQty],T_PlannedOrders[Part Name],$A1029,T_PlannedOrders[WeekIndex],62)=0,"",SUMIFS(T_PlannedOrders[EffectiveQty],T_PlannedOrders[Part Name],$A1029,T_PlannedOrders[WeekIndex],62)&amp;" ("&amp;TEXT(SUMPRODUCT(MAX((T_PlannedOrders[Part Name]=$A1029)*(T_PlannedOrders[WeekIndex]=62)*(T_PlannedOrders[EffectiveQty]&gt;0)*T_PlannedOrders[Order_Month])),"m月")&amp;"発注)")</f>
        <v/>
      </c>
      <c r="BN1035">
        <f>IF(SUMIFS(T_PlannedOrders[EffectiveQty],T_PlannedOrders[Part Name],$A1029,T_PlannedOrders[WeekIndex],63)=0,"",SUMIFS(T_PlannedOrders[EffectiveQty],T_PlannedOrders[Part Name],$A1029,T_PlannedOrders[WeekIndex],63)&amp;" ("&amp;TEXT(SUMPRODUCT(MAX((T_PlannedOrders[Part Name]=$A1029)*(T_PlannedOrders[WeekIndex]=63)*(T_PlannedOrders[EffectiveQty]&gt;0)*T_PlannedOrders[Order_Month])),"m月")&amp;"発注)")</f>
        <v/>
      </c>
      <c r="BO1035">
        <f>IF(SUMIFS(T_PlannedOrders[EffectiveQty],T_PlannedOrders[Part Name],$A1029,T_PlannedOrders[WeekIndex],64)=0,"",SUMIFS(T_PlannedOrders[EffectiveQty],T_PlannedOrders[Part Name],$A1029,T_PlannedOrders[WeekIndex],64)&amp;" ("&amp;TEXT(SUMPRODUCT(MAX((T_PlannedOrders[Part Name]=$A1029)*(T_PlannedOrders[WeekIndex]=64)*(T_PlannedOrders[EffectiveQty]&gt;0)*T_PlannedOrders[Order_Month])),"m月")&amp;"発注)")</f>
        <v/>
      </c>
      <c r="BP1035">
        <f>IF(SUMIFS(T_PlannedOrders[EffectiveQty],T_PlannedOrders[Part Name],$A1029,T_PlannedOrders[WeekIndex],65)=0,"",SUMIFS(T_PlannedOrders[EffectiveQty],T_PlannedOrders[Part Name],$A1029,T_PlannedOrders[WeekIndex],65)&amp;" ("&amp;TEXT(SUMPRODUCT(MAX((T_PlannedOrders[Part Name]=$A1029)*(T_PlannedOrders[WeekIndex]=65)*(T_PlannedOrders[EffectiveQty]&gt;0)*T_PlannedOrders[Order_Month])),"m月")&amp;"発注)")</f>
        <v/>
      </c>
      <c r="BQ1035">
        <f>IF(SUMIFS(T_PlannedOrders[EffectiveQty],T_PlannedOrders[Part Name],$A1029,T_PlannedOrders[WeekIndex],66)=0,"",SUMIFS(T_PlannedOrders[EffectiveQty],T_PlannedOrders[Part Name],$A1029,T_PlannedOrders[WeekIndex],66)&amp;" ("&amp;TEXT(SUMPRODUCT(MAX((T_PlannedOrders[Part Name]=$A1029)*(T_PlannedOrders[WeekIndex]=66)*(T_PlannedOrders[EffectiveQty]&gt;0)*T_PlannedOrders[Order_Month])),"m月")&amp;"発注)")</f>
        <v/>
      </c>
      <c r="BR1035">
        <f>IF(SUMIFS(T_PlannedOrders[EffectiveQty],T_PlannedOrders[Part Name],$A1029,T_PlannedOrders[WeekIndex],67)=0,"",SUMIFS(T_PlannedOrders[EffectiveQty],T_PlannedOrders[Part Name],$A1029,T_PlannedOrders[WeekIndex],67)&amp;" ("&amp;TEXT(SUMPRODUCT(MAX((T_PlannedOrders[Part Name]=$A1029)*(T_PlannedOrders[WeekIndex]=67)*(T_PlannedOrders[EffectiveQty]&gt;0)*T_PlannedOrders[Order_Month])),"m月")&amp;"発注)")</f>
        <v/>
      </c>
      <c r="BS1035">
        <f>IF(SUMIFS(T_PlannedOrders[EffectiveQty],T_PlannedOrders[Part Name],$A1029,T_PlannedOrders[WeekIndex],68)=0,"",SUMIFS(T_PlannedOrders[EffectiveQty],T_PlannedOrders[Part Name],$A1029,T_PlannedOrders[WeekIndex],68)&amp;" ("&amp;TEXT(SUMPRODUCT(MAX((T_PlannedOrders[Part Name]=$A1029)*(T_PlannedOrders[WeekIndex]=68)*(T_PlannedOrders[EffectiveQty]&gt;0)*T_PlannedOrders[Order_Month])),"m月")&amp;"発注)")</f>
        <v/>
      </c>
      <c r="BT1035">
        <f>IF(SUMIFS(T_PlannedOrders[EffectiveQty],T_PlannedOrders[Part Name],$A1029,T_PlannedOrders[WeekIndex],69)=0,"",SUMIFS(T_PlannedOrders[EffectiveQty],T_PlannedOrders[Part Name],$A1029,T_PlannedOrders[WeekIndex],69)&amp;" ("&amp;TEXT(SUMPRODUCT(MAX((T_PlannedOrders[Part Name]=$A1029)*(T_PlannedOrders[WeekIndex]=69)*(T_PlannedOrders[EffectiveQty]&gt;0)*T_PlannedOrders[Order_Month])),"m月")&amp;"発注)")</f>
        <v/>
      </c>
      <c r="BU1035">
        <f>IF(SUMIFS(T_PlannedOrders[EffectiveQty],T_PlannedOrders[Part Name],$A1029,T_PlannedOrders[WeekIndex],70)=0,"",SUMIFS(T_PlannedOrders[EffectiveQty],T_PlannedOrders[Part Name],$A1029,T_PlannedOrders[WeekIndex],70)&amp;" ("&amp;TEXT(SUMPRODUCT(MAX((T_PlannedOrders[Part Name]=$A1029)*(T_PlannedOrders[WeekIndex]=70)*(T_PlannedOrders[EffectiveQty]&gt;0)*T_PlannedOrders[Order_Month])),"m月")&amp;"発注)")</f>
        <v/>
      </c>
      <c r="BV1035">
        <f>IF(SUMIFS(T_PlannedOrders[EffectiveQty],T_PlannedOrders[Part Name],$A1029,T_PlannedOrders[WeekIndex],71)=0,"",SUMIFS(T_PlannedOrders[EffectiveQty],T_PlannedOrders[Part Name],$A1029,T_PlannedOrders[WeekIndex],71)&amp;" ("&amp;TEXT(SUMPRODUCT(MAX((T_PlannedOrders[Part Name]=$A1029)*(T_PlannedOrders[WeekIndex]=71)*(T_PlannedOrders[EffectiveQty]&gt;0)*T_PlannedOrders[Order_Month])),"m月")&amp;"発注)")</f>
        <v/>
      </c>
      <c r="BW1035">
        <f>IF(SUMIFS(T_PlannedOrders[EffectiveQty],T_PlannedOrders[Part Name],$A1029,T_PlannedOrders[WeekIndex],72)=0,"",SUMIFS(T_PlannedOrders[EffectiveQty],T_PlannedOrders[Part Name],$A1029,T_PlannedOrders[WeekIndex],72)&amp;" ("&amp;TEXT(SUMPRODUCT(MAX((T_PlannedOrders[Part Name]=$A1029)*(T_PlannedOrders[WeekIndex]=72)*(T_PlannedOrders[EffectiveQty]&gt;0)*T_PlannedOrders[Order_Month])),"m月")&amp;"発注)")</f>
        <v/>
      </c>
      <c r="BX1035">
        <f>IF(SUMIFS(T_PlannedOrders[EffectiveQty],T_PlannedOrders[Part Name],$A1029,T_PlannedOrders[WeekIndex],73)=0,"",SUMIFS(T_PlannedOrders[EffectiveQty],T_PlannedOrders[Part Name],$A1029,T_PlannedOrders[WeekIndex],73)&amp;" ("&amp;TEXT(SUMPRODUCT(MAX((T_PlannedOrders[Part Name]=$A1029)*(T_PlannedOrders[WeekIndex]=73)*(T_PlannedOrders[EffectiveQty]&gt;0)*T_PlannedOrders[Order_Month])),"m月")&amp;"発注)")</f>
        <v/>
      </c>
      <c r="BY1035">
        <f>IF(SUMIFS(T_PlannedOrders[EffectiveQty],T_PlannedOrders[Part Name],$A1029,T_PlannedOrders[WeekIndex],74)=0,"",SUMIFS(T_PlannedOrders[EffectiveQty],T_PlannedOrders[Part Name],$A1029,T_PlannedOrders[WeekIndex],74)&amp;" ("&amp;TEXT(SUMPRODUCT(MAX((T_PlannedOrders[Part Name]=$A1029)*(T_PlannedOrders[WeekIndex]=74)*(T_PlannedOrders[EffectiveQty]&gt;0)*T_PlannedOrders[Order_Month])),"m月")&amp;"発注)")</f>
        <v/>
      </c>
      <c r="BZ1035">
        <f>IF(SUMIFS(T_PlannedOrders[EffectiveQty],T_PlannedOrders[Part Name],$A1029,T_PlannedOrders[WeekIndex],75)=0,"",SUMIFS(T_PlannedOrders[EffectiveQty],T_PlannedOrders[Part Name],$A1029,T_PlannedOrders[WeekIndex],75)&amp;" ("&amp;TEXT(SUMPRODUCT(MAX((T_PlannedOrders[Part Name]=$A1029)*(T_PlannedOrders[WeekIndex]=75)*(T_PlannedOrders[EffectiveQty]&gt;0)*T_PlannedOrders[Order_Month])),"m月")&amp;"発注)")</f>
        <v/>
      </c>
      <c r="CA1035">
        <f>IF(SUMIFS(T_PlannedOrders[EffectiveQty],T_PlannedOrders[Part Name],$A1029,T_PlannedOrders[WeekIndex],76)=0,"",SUMIFS(T_PlannedOrders[EffectiveQty],T_PlannedOrders[Part Name],$A1029,T_PlannedOrders[WeekIndex],76)&amp;" ("&amp;TEXT(SUMPRODUCT(MAX((T_PlannedOrders[Part Name]=$A1029)*(T_PlannedOrders[WeekIndex]=76)*(T_PlannedOrders[EffectiveQty]&gt;0)*T_PlannedOrders[Order_Month])),"m月")&amp;"発注)")</f>
        <v/>
      </c>
      <c r="CB1035">
        <f>IF(SUMIFS(T_PlannedOrders[EffectiveQty],T_PlannedOrders[Part Name],$A1029,T_PlannedOrders[WeekIndex],77)=0,"",SUMIFS(T_PlannedOrders[EffectiveQty],T_PlannedOrders[Part Name],$A1029,T_PlannedOrders[WeekIndex],77)&amp;" ("&amp;TEXT(SUMPRODUCT(MAX((T_PlannedOrders[Part Name]=$A1029)*(T_PlannedOrders[WeekIndex]=77)*(T_PlannedOrders[EffectiveQty]&gt;0)*T_PlannedOrders[Order_Month])),"m月")&amp;"発注)")</f>
        <v/>
      </c>
      <c r="CC1035">
        <f>IF(SUMIFS(T_PlannedOrders[EffectiveQty],T_PlannedOrders[Part Name],$A1029,T_PlannedOrders[WeekIndex],78)=0,"",SUMIFS(T_PlannedOrders[EffectiveQty],T_PlannedOrders[Part Name],$A1029,T_PlannedOrders[WeekIndex],78)&amp;" ("&amp;TEXT(SUMPRODUCT(MAX((T_PlannedOrders[Part Name]=$A1029)*(T_PlannedOrders[WeekIndex]=78)*(T_PlannedOrders[EffectiveQty]&gt;0)*T_PlannedOrders[Order_Month])),"m月")&amp;"発注)")</f>
        <v/>
      </c>
      <c r="CD1035">
        <f>IF(SUMIFS(T_PlannedOrders[EffectiveQty],T_PlannedOrders[Part Name],$A1029,T_PlannedOrders[WeekIndex],79)=0,"",SUMIFS(T_PlannedOrders[EffectiveQty],T_PlannedOrders[Part Name],$A1029,T_PlannedOrders[WeekIndex],79)&amp;" ("&amp;TEXT(SUMPRODUCT(MAX((T_PlannedOrders[Part Name]=$A1029)*(T_PlannedOrders[WeekIndex]=79)*(T_PlannedOrders[EffectiveQty]&gt;0)*T_PlannedOrders[Order_Month])),"m月")&amp;"発注)")</f>
        <v/>
      </c>
      <c r="CE1035">
        <f>IF(SUMIFS(T_PlannedOrders[EffectiveQty],T_PlannedOrders[Part Name],$A1029,T_PlannedOrders[WeekIndex],80)=0,"",SUMIFS(T_PlannedOrders[EffectiveQty],T_PlannedOrders[Part Name],$A1029,T_PlannedOrders[WeekIndex],80)&amp;" ("&amp;TEXT(SUMPRODUCT(MAX((T_PlannedOrders[Part Name]=$A1029)*(T_PlannedOrders[WeekIndex]=80)*(T_PlannedOrders[EffectiveQty]&gt;0)*T_PlannedOrders[Order_Month])),"m月")&amp;"発注)")</f>
        <v/>
      </c>
      <c r="CF1035">
        <f>IF(SUMIFS(T_PlannedOrders[EffectiveQty],T_PlannedOrders[Part Name],$A1029,T_PlannedOrders[WeekIndex],81)=0,"",SUMIFS(T_PlannedOrders[EffectiveQty],T_PlannedOrders[Part Name],$A1029,T_PlannedOrders[WeekIndex],81)&amp;" ("&amp;TEXT(SUMPRODUCT(MAX((T_PlannedOrders[Part Name]=$A1029)*(T_PlannedOrders[WeekIndex]=81)*(T_PlannedOrders[EffectiveQty]&gt;0)*T_PlannedOrders[Order_Month])),"m月")&amp;"発注)")</f>
        <v/>
      </c>
      <c r="CG1035">
        <f>IF(SUMIFS(T_PlannedOrders[EffectiveQty],T_PlannedOrders[Part Name],$A1029,T_PlannedOrders[WeekIndex],82)=0,"",SUMIFS(T_PlannedOrders[EffectiveQty],T_PlannedOrders[Part Name],$A1029,T_PlannedOrders[WeekIndex],82)&amp;" ("&amp;TEXT(SUMPRODUCT(MAX((T_PlannedOrders[Part Name]=$A1029)*(T_PlannedOrders[WeekIndex]=82)*(T_PlannedOrders[EffectiveQty]&gt;0)*T_PlannedOrders[Order_Month])),"m月")&amp;"発注)")</f>
        <v/>
      </c>
      <c r="CH1035">
        <f>IF(SUMIFS(T_PlannedOrders[EffectiveQty],T_PlannedOrders[Part Name],$A1029,T_PlannedOrders[WeekIndex],83)=0,"",SUMIFS(T_PlannedOrders[EffectiveQty],T_PlannedOrders[Part Name],$A1029,T_PlannedOrders[WeekIndex],83)&amp;" ("&amp;TEXT(SUMPRODUCT(MAX((T_PlannedOrders[Part Name]=$A1029)*(T_PlannedOrders[WeekIndex]=83)*(T_PlannedOrders[EffectiveQty]&gt;0)*T_PlannedOrders[Order_Month])),"m月")&amp;"発注)")</f>
        <v/>
      </c>
      <c r="CI1035">
        <f>IF(SUMIFS(T_PlannedOrders[EffectiveQty],T_PlannedOrders[Part Name],$A1029,T_PlannedOrders[WeekIndex],84)=0,"",SUMIFS(T_PlannedOrders[EffectiveQty],T_PlannedOrders[Part Name],$A1029,T_PlannedOrders[WeekIndex],84)&amp;" ("&amp;TEXT(SUMPRODUCT(MAX((T_PlannedOrders[Part Name]=$A1029)*(T_PlannedOrders[WeekIndex]=84)*(T_PlannedOrders[EffectiveQty]&gt;0)*T_PlannedOrders[Order_Month])),"m月")&amp;"発注)")</f>
        <v/>
      </c>
      <c r="CJ1035">
        <f>IF(SUMIFS(T_PlannedOrders[EffectiveQty],T_PlannedOrders[Part Name],$A1029,T_PlannedOrders[WeekIndex],85)=0,"",SUMIFS(T_PlannedOrders[EffectiveQty],T_PlannedOrders[Part Name],$A1029,T_PlannedOrders[WeekIndex],85)&amp;" ("&amp;TEXT(SUMPRODUCT(MAX((T_PlannedOrders[Part Name]=$A1029)*(T_PlannedOrders[WeekIndex]=85)*(T_PlannedOrders[EffectiveQty]&gt;0)*T_PlannedOrders[Order_Month])),"m月")&amp;"発注)")</f>
        <v/>
      </c>
      <c r="CK1035">
        <f>IF(SUMIFS(T_PlannedOrders[EffectiveQty],T_PlannedOrders[Part Name],$A1029,T_PlannedOrders[WeekIndex],86)=0,"",SUMIFS(T_PlannedOrders[EffectiveQty],T_PlannedOrders[Part Name],$A1029,T_PlannedOrders[WeekIndex],86)&amp;" ("&amp;TEXT(SUMPRODUCT(MAX((T_PlannedOrders[Part Name]=$A1029)*(T_PlannedOrders[WeekIndex]=86)*(T_PlannedOrders[EffectiveQty]&gt;0)*T_PlannedOrders[Order_Month])),"m月")&amp;"発注)")</f>
        <v/>
      </c>
      <c r="CL1035">
        <f>IF(SUMIFS(T_PlannedOrders[EffectiveQty],T_PlannedOrders[Part Name],$A1029,T_PlannedOrders[WeekIndex],87)=0,"",SUMIFS(T_PlannedOrders[EffectiveQty],T_PlannedOrders[Part Name],$A1029,T_PlannedOrders[WeekIndex],87)&amp;" ("&amp;TEXT(SUMPRODUCT(MAX((T_PlannedOrders[Part Name]=$A1029)*(T_PlannedOrders[WeekIndex]=87)*(T_PlannedOrders[EffectiveQty]&gt;0)*T_PlannedOrders[Order_Month])),"m月")&amp;"発注)")</f>
        <v/>
      </c>
      <c r="CM1035">
        <f>IF(SUMIFS(T_PlannedOrders[EffectiveQty],T_PlannedOrders[Part Name],$A1029,T_PlannedOrders[WeekIndex],88)=0,"",SUMIFS(T_PlannedOrders[EffectiveQty],T_PlannedOrders[Part Name],$A1029,T_PlannedOrders[WeekIndex],88)&amp;" ("&amp;TEXT(SUMPRODUCT(MAX((T_PlannedOrders[Part Name]=$A1029)*(T_PlannedOrders[WeekIndex]=88)*(T_PlannedOrders[EffectiveQty]&gt;0)*T_PlannedOrders[Order_Month])),"m月")&amp;"発注)")</f>
        <v/>
      </c>
      <c r="CN1035">
        <f>IF(SUMIFS(T_PlannedOrders[EffectiveQty],T_PlannedOrders[Part Name],$A1029,T_PlannedOrders[WeekIndex],89)=0,"",SUMIFS(T_PlannedOrders[EffectiveQty],T_PlannedOrders[Part Name],$A1029,T_PlannedOrders[WeekIndex],89)&amp;" ("&amp;TEXT(SUMPRODUCT(MAX((T_PlannedOrders[Part Name]=$A1029)*(T_PlannedOrders[WeekIndex]=89)*(T_PlannedOrders[EffectiveQty]&gt;0)*T_PlannedOrders[Order_Month])),"m月")&amp;"発注)")</f>
        <v/>
      </c>
      <c r="CO1035">
        <f>IF(SUMIFS(T_PlannedOrders[EffectiveQty],T_PlannedOrders[Part Name],$A1029,T_PlannedOrders[WeekIndex],90)=0,"",SUMIFS(T_PlannedOrders[EffectiveQty],T_PlannedOrders[Part Name],$A1029,T_PlannedOrders[WeekIndex],90)&amp;" ("&amp;TEXT(SUMPRODUCT(MAX((T_PlannedOrders[Part Name]=$A1029)*(T_PlannedOrders[WeekIndex]=90)*(T_PlannedOrders[EffectiveQty]&gt;0)*T_PlannedOrders[Order_Month])),"m月")&amp;"発注)")</f>
        <v/>
      </c>
      <c r="CP1035">
        <f>IF(SUMIFS(T_PlannedOrders[EffectiveQty],T_PlannedOrders[Part Name],$A1029,T_PlannedOrders[WeekIndex],91)=0,"",SUMIFS(T_PlannedOrders[EffectiveQty],T_PlannedOrders[Part Name],$A1029,T_PlannedOrders[WeekIndex],91)&amp;" ("&amp;TEXT(SUMPRODUCT(MAX((T_PlannedOrders[Part Name]=$A1029)*(T_PlannedOrders[WeekIndex]=91)*(T_PlannedOrders[EffectiveQty]&gt;0)*T_PlannedOrders[Order_Month])),"m月")&amp;"発注)")</f>
        <v/>
      </c>
      <c r="CQ1035">
        <f>IF(SUMIFS(T_PlannedOrders[EffectiveQty],T_PlannedOrders[Part Name],$A1029,T_PlannedOrders[WeekIndex],92)=0,"",SUMIFS(T_PlannedOrders[EffectiveQty],T_PlannedOrders[Part Name],$A1029,T_PlannedOrders[WeekIndex],92)&amp;" ("&amp;TEXT(SUMPRODUCT(MAX((T_PlannedOrders[Part Name]=$A1029)*(T_PlannedOrders[WeekIndex]=92)*(T_PlannedOrders[EffectiveQty]&gt;0)*T_PlannedOrders[Order_Month])),"m月")&amp;"発注)")</f>
        <v/>
      </c>
      <c r="CR1035">
        <f>IF(SUMIFS(T_PlannedOrders[EffectiveQty],T_PlannedOrders[Part Name],$A1029,T_PlannedOrders[WeekIndex],93)=0,"",SUMIFS(T_PlannedOrders[EffectiveQty],T_PlannedOrders[Part Name],$A1029,T_PlannedOrders[WeekIndex],93)&amp;" ("&amp;TEXT(SUMPRODUCT(MAX((T_PlannedOrders[Part Name]=$A1029)*(T_PlannedOrders[WeekIndex]=93)*(T_PlannedOrders[EffectiveQty]&gt;0)*T_PlannedOrders[Order_Month])),"m月")&amp;"発注)")</f>
        <v/>
      </c>
      <c r="CS1035">
        <f>IF(SUMIFS(T_PlannedOrders[EffectiveQty],T_PlannedOrders[Part Name],$A1029,T_PlannedOrders[WeekIndex],94)=0,"",SUMIFS(T_PlannedOrders[EffectiveQty],T_PlannedOrders[Part Name],$A1029,T_PlannedOrders[WeekIndex],94)&amp;" ("&amp;TEXT(SUMPRODUCT(MAX((T_PlannedOrders[Part Name]=$A1029)*(T_PlannedOrders[WeekIndex]=94)*(T_PlannedOrders[EffectiveQty]&gt;0)*T_PlannedOrders[Order_Month])),"m月")&amp;"発注)")</f>
        <v/>
      </c>
      <c r="CT1035">
        <f>IF(SUMIFS(T_PlannedOrders[EffectiveQty],T_PlannedOrders[Part Name],$A1029,T_PlannedOrders[WeekIndex],95)=0,"",SUMIFS(T_PlannedOrders[EffectiveQty],T_PlannedOrders[Part Name],$A1029,T_PlannedOrders[WeekIndex],95)&amp;" ("&amp;TEXT(SUMPRODUCT(MAX((T_PlannedOrders[Part Name]=$A1029)*(T_PlannedOrders[WeekIndex]=95)*(T_PlannedOrders[EffectiveQty]&gt;0)*T_PlannedOrders[Order_Month])),"m月")&amp;"発注)")</f>
        <v/>
      </c>
      <c r="CU1035">
        <f>IF(SUMIFS(T_PlannedOrders[EffectiveQty],T_PlannedOrders[Part Name],$A1029,T_PlannedOrders[WeekIndex],96)=0,"",SUMIFS(T_PlannedOrders[EffectiveQty],T_PlannedOrders[Part Name],$A1029,T_PlannedOrders[WeekIndex],96)&amp;" ("&amp;TEXT(SUMPRODUCT(MAX((T_PlannedOrders[Part Name]=$A1029)*(T_PlannedOrders[WeekIndex]=96)*(T_PlannedOrders[EffectiveQty]&gt;0)*T_PlannedOrders[Order_Month])),"m月")&amp;"発注)")</f>
        <v/>
      </c>
      <c r="CV1035">
        <f>IF(SUMIFS(T_PlannedOrders[EffectiveQty],T_PlannedOrders[Part Name],$A1029,T_PlannedOrders[WeekIndex],97)=0,"",SUMIFS(T_PlannedOrders[EffectiveQty],T_PlannedOrders[Part Name],$A1029,T_PlannedOrders[WeekIndex],97)&amp;" ("&amp;TEXT(SUMPRODUCT(MAX((T_PlannedOrders[Part Name]=$A1029)*(T_PlannedOrders[WeekIndex]=97)*(T_PlannedOrders[EffectiveQty]&gt;0)*T_PlannedOrders[Order_Month])),"m月")&amp;"発注)")</f>
        <v/>
      </c>
      <c r="CW1035">
        <f>IF(SUMIFS(T_PlannedOrders[EffectiveQty],T_PlannedOrders[Part Name],$A1029,T_PlannedOrders[WeekIndex],98)=0,"",SUMIFS(T_PlannedOrders[EffectiveQty],T_PlannedOrders[Part Name],$A1029,T_PlannedOrders[WeekIndex],98)&amp;" ("&amp;TEXT(SUMPRODUCT(MAX((T_PlannedOrders[Part Name]=$A1029)*(T_PlannedOrders[WeekIndex]=98)*(T_PlannedOrders[EffectiveQty]&gt;0)*T_PlannedOrders[Order_Month])),"m月")&amp;"発注)")</f>
        <v/>
      </c>
      <c r="CX1035">
        <f>IF(SUMIFS(T_PlannedOrders[EffectiveQty],T_PlannedOrders[Part Name],$A1029,T_PlannedOrders[WeekIndex],99)=0,"",SUMIFS(T_PlannedOrders[EffectiveQty],T_PlannedOrders[Part Name],$A1029,T_PlannedOrders[WeekIndex],99)&amp;" ("&amp;TEXT(SUMPRODUCT(MAX((T_PlannedOrders[Part Name]=$A1029)*(T_PlannedOrders[WeekIndex]=99)*(T_PlannedOrders[EffectiveQty]&gt;0)*T_PlannedOrders[Order_Month])),"m月")&amp;"発注)")</f>
        <v/>
      </c>
      <c r="CY1035">
        <f>IF(SUMIFS(T_PlannedOrders[EffectiveQty],T_PlannedOrders[Part Name],$A1029,T_PlannedOrders[WeekIndex],100)=0,"",SUMIFS(T_PlannedOrders[EffectiveQty],T_PlannedOrders[Part Name],$A1029,T_PlannedOrders[WeekIndex],100)&amp;" ("&amp;TEXT(SUMPRODUCT(MAX((T_PlannedOrders[Part Name]=$A1029)*(T_PlannedOrders[WeekIndex]=100)*(T_PlannedOrders[EffectiveQty]&gt;0)*T_PlannedOrders[Order_Month])),"m月")&amp;"発注)")</f>
        <v/>
      </c>
      <c r="CZ1035">
        <f>IF(SUMIFS(T_PlannedOrders[EffectiveQty],T_PlannedOrders[Part Name],$A1029,T_PlannedOrders[WeekIndex],101)=0,"",SUMIFS(T_PlannedOrders[EffectiveQty],T_PlannedOrders[Part Name],$A1029,T_PlannedOrders[WeekIndex],101)&amp;" ("&amp;TEXT(SUMPRODUCT(MAX((T_PlannedOrders[Part Name]=$A1029)*(T_PlannedOrders[WeekIndex]=101)*(T_PlannedOrders[EffectiveQty]&gt;0)*T_PlannedOrders[Order_Month])),"m月")&amp;"発注)")</f>
        <v/>
      </c>
      <c r="DA1035">
        <f>IF(SUMIFS(T_PlannedOrders[EffectiveQty],T_PlannedOrders[Part Name],$A1029,T_PlannedOrders[WeekIndex],102)=0,"",SUMIFS(T_PlannedOrders[EffectiveQty],T_PlannedOrders[Part Name],$A1029,T_PlannedOrders[WeekIndex],102)&amp;" ("&amp;TEXT(SUMPRODUCT(MAX((T_PlannedOrders[Part Name]=$A1029)*(T_PlannedOrders[WeekIndex]=102)*(T_PlannedOrders[EffectiveQty]&gt;0)*T_PlannedOrders[Order_Month])),"m月")&amp;"発注)")</f>
        <v/>
      </c>
      <c r="DB1035">
        <f>IF(SUMIFS(T_PlannedOrders[EffectiveQty],T_PlannedOrders[Part Name],$A1029,T_PlannedOrders[WeekIndex],103)=0,"",SUMIFS(T_PlannedOrders[EffectiveQty],T_PlannedOrders[Part Name],$A1029,T_PlannedOrders[WeekIndex],103)&amp;" ("&amp;TEXT(SUMPRODUCT(MAX((T_PlannedOrders[Part Name]=$A1029)*(T_PlannedOrders[WeekIndex]=103)*(T_PlannedOrders[EffectiveQty]&gt;0)*T_PlannedOrders[Order_Month])),"m月")&amp;"発注)")</f>
        <v/>
      </c>
      <c r="DC1035">
        <f>IF(SUMIFS(T_PlannedOrders[EffectiveQty],T_PlannedOrders[Part Name],$A1029,T_PlannedOrders[WeekIndex],104)=0,"",SUMIFS(T_PlannedOrders[EffectiveQty],T_PlannedOrders[Part Name],$A1029,T_PlannedOrders[WeekIndex],104)&amp;" ("&amp;TEXT(SUMPRODUCT(MAX((T_PlannedOrders[Part Name]=$A1029)*(T_PlannedOrders[WeekIndex]=104)*(T_PlannedOrders[EffectiveQty]&gt;0)*T_PlannedOrders[Order_Month])),"m月")&amp;"発注)")</f>
        <v/>
      </c>
    </row>
    <row r="1036">
      <c r="B1036" s="9" t="inlineStr">
        <is>
          <t>合計在庫(週末時点,kg)</t>
        </is>
      </c>
      <c r="D1036">
        <f>'Grid_Stock'!B40</f>
        <v/>
      </c>
      <c r="E1036">
        <f>'Grid_Stock'!C40</f>
        <v/>
      </c>
      <c r="F1036">
        <f>'Grid_Stock'!D40</f>
        <v/>
      </c>
      <c r="G1036">
        <f>'Grid_Stock'!E40</f>
        <v/>
      </c>
      <c r="H1036">
        <f>'Grid_Stock'!F40</f>
        <v/>
      </c>
      <c r="I1036">
        <f>'Grid_Stock'!G40</f>
        <v/>
      </c>
      <c r="J1036">
        <f>'Grid_Stock'!H40</f>
        <v/>
      </c>
      <c r="K1036">
        <f>'Grid_Stock'!I40</f>
        <v/>
      </c>
      <c r="L1036">
        <f>'Grid_Stock'!J40</f>
        <v/>
      </c>
      <c r="M1036">
        <f>'Grid_Stock'!K40</f>
        <v/>
      </c>
      <c r="N1036">
        <f>'Grid_Stock'!L40</f>
        <v/>
      </c>
      <c r="O1036">
        <f>'Grid_Stock'!M40</f>
        <v/>
      </c>
      <c r="P1036">
        <f>'Grid_Stock'!N40</f>
        <v/>
      </c>
      <c r="Q1036">
        <f>'Grid_Stock'!O40</f>
        <v/>
      </c>
      <c r="R1036">
        <f>'Grid_Stock'!P40</f>
        <v/>
      </c>
      <c r="S1036">
        <f>'Grid_Stock'!Q40</f>
        <v/>
      </c>
      <c r="T1036">
        <f>'Grid_Stock'!R40</f>
        <v/>
      </c>
      <c r="U1036">
        <f>'Grid_Stock'!S40</f>
        <v/>
      </c>
      <c r="V1036">
        <f>'Grid_Stock'!T40</f>
        <v/>
      </c>
      <c r="W1036">
        <f>'Grid_Stock'!U40</f>
        <v/>
      </c>
      <c r="X1036">
        <f>'Grid_Stock'!V40</f>
        <v/>
      </c>
      <c r="Y1036">
        <f>'Grid_Stock'!W40</f>
        <v/>
      </c>
      <c r="Z1036">
        <f>'Grid_Stock'!X40</f>
        <v/>
      </c>
      <c r="AA1036">
        <f>'Grid_Stock'!Y40</f>
        <v/>
      </c>
      <c r="AB1036">
        <f>'Grid_Stock'!Z40</f>
        <v/>
      </c>
      <c r="AC1036">
        <f>'Grid_Stock'!AA40</f>
        <v/>
      </c>
      <c r="AD1036">
        <f>'Grid_Stock'!AB40</f>
        <v/>
      </c>
      <c r="AE1036">
        <f>'Grid_Stock'!AC40</f>
        <v/>
      </c>
      <c r="AF1036">
        <f>'Grid_Stock'!AD40</f>
        <v/>
      </c>
      <c r="AG1036">
        <f>'Grid_Stock'!AE40</f>
        <v/>
      </c>
      <c r="AH1036">
        <f>'Grid_Stock'!AF40</f>
        <v/>
      </c>
      <c r="AI1036">
        <f>'Grid_Stock'!AG40</f>
        <v/>
      </c>
      <c r="AJ1036">
        <f>'Grid_Stock'!AH40</f>
        <v/>
      </c>
      <c r="AK1036">
        <f>'Grid_Stock'!AI40</f>
        <v/>
      </c>
      <c r="AL1036">
        <f>'Grid_Stock'!AJ40</f>
        <v/>
      </c>
      <c r="AM1036">
        <f>'Grid_Stock'!AK40</f>
        <v/>
      </c>
      <c r="AN1036">
        <f>'Grid_Stock'!AL40</f>
        <v/>
      </c>
      <c r="AO1036">
        <f>'Grid_Stock'!AM40</f>
        <v/>
      </c>
      <c r="AP1036">
        <f>'Grid_Stock'!AN40</f>
        <v/>
      </c>
      <c r="AQ1036">
        <f>'Grid_Stock'!AO40</f>
        <v/>
      </c>
      <c r="AR1036">
        <f>'Grid_Stock'!AP40</f>
        <v/>
      </c>
      <c r="AS1036">
        <f>'Grid_Stock'!AQ40</f>
        <v/>
      </c>
      <c r="AT1036">
        <f>'Grid_Stock'!AR40</f>
        <v/>
      </c>
      <c r="AU1036">
        <f>'Grid_Stock'!AS40</f>
        <v/>
      </c>
      <c r="AV1036">
        <f>'Grid_Stock'!AT40</f>
        <v/>
      </c>
      <c r="AW1036">
        <f>'Grid_Stock'!AU40</f>
        <v/>
      </c>
      <c r="AX1036">
        <f>'Grid_Stock'!AV40</f>
        <v/>
      </c>
      <c r="AY1036">
        <f>'Grid_Stock'!AW40</f>
        <v/>
      </c>
      <c r="AZ1036">
        <f>'Grid_Stock'!AX40</f>
        <v/>
      </c>
      <c r="BA1036">
        <f>'Grid_Stock'!AY40</f>
        <v/>
      </c>
      <c r="BB1036">
        <f>'Grid_Stock'!AZ40</f>
        <v/>
      </c>
      <c r="BC1036">
        <f>'Grid_Stock'!BA40</f>
        <v/>
      </c>
      <c r="BD1036">
        <f>'Grid_Stock'!BB40</f>
        <v/>
      </c>
      <c r="BE1036">
        <f>'Grid_Stock'!BC40</f>
        <v/>
      </c>
      <c r="BF1036">
        <f>'Grid_Stock'!BD40</f>
        <v/>
      </c>
      <c r="BG1036">
        <f>'Grid_Stock'!BE40</f>
        <v/>
      </c>
      <c r="BH1036">
        <f>'Grid_Stock'!BF40</f>
        <v/>
      </c>
      <c r="BI1036">
        <f>'Grid_Stock'!BG40</f>
        <v/>
      </c>
      <c r="BJ1036">
        <f>'Grid_Stock'!BH40</f>
        <v/>
      </c>
      <c r="BK1036">
        <f>'Grid_Stock'!BI40</f>
        <v/>
      </c>
      <c r="BL1036">
        <f>'Grid_Stock'!BJ40</f>
        <v/>
      </c>
      <c r="BM1036">
        <f>'Grid_Stock'!BK40</f>
        <v/>
      </c>
      <c r="BN1036">
        <f>'Grid_Stock'!BL40</f>
        <v/>
      </c>
      <c r="BO1036">
        <f>'Grid_Stock'!BM40</f>
        <v/>
      </c>
      <c r="BP1036">
        <f>'Grid_Stock'!BN40</f>
        <v/>
      </c>
      <c r="BQ1036">
        <f>'Grid_Stock'!BO40</f>
        <v/>
      </c>
      <c r="BR1036">
        <f>'Grid_Stock'!BP40</f>
        <v/>
      </c>
      <c r="BS1036">
        <f>'Grid_Stock'!BQ40</f>
        <v/>
      </c>
      <c r="BT1036">
        <f>'Grid_Stock'!BR40</f>
        <v/>
      </c>
      <c r="BU1036">
        <f>'Grid_Stock'!BS40</f>
        <v/>
      </c>
      <c r="BV1036">
        <f>'Grid_Stock'!BT40</f>
        <v/>
      </c>
      <c r="BW1036">
        <f>'Grid_Stock'!BU40</f>
        <v/>
      </c>
      <c r="BX1036">
        <f>'Grid_Stock'!BV40</f>
        <v/>
      </c>
      <c r="BY1036">
        <f>'Grid_Stock'!BW40</f>
        <v/>
      </c>
      <c r="BZ1036">
        <f>'Grid_Stock'!BX40</f>
        <v/>
      </c>
      <c r="CA1036">
        <f>'Grid_Stock'!BY40</f>
        <v/>
      </c>
      <c r="CB1036">
        <f>'Grid_Stock'!BZ40</f>
        <v/>
      </c>
      <c r="CC1036">
        <f>'Grid_Stock'!CA40</f>
        <v/>
      </c>
      <c r="CD1036">
        <f>'Grid_Stock'!CB40</f>
        <v/>
      </c>
      <c r="CE1036">
        <f>'Grid_Stock'!CC40</f>
        <v/>
      </c>
      <c r="CF1036">
        <f>'Grid_Stock'!CD40</f>
        <v/>
      </c>
      <c r="CG1036">
        <f>'Grid_Stock'!CE40</f>
        <v/>
      </c>
      <c r="CH1036">
        <f>'Grid_Stock'!CF40</f>
        <v/>
      </c>
      <c r="CI1036">
        <f>'Grid_Stock'!CG40</f>
        <v/>
      </c>
      <c r="CJ1036">
        <f>'Grid_Stock'!CH40</f>
        <v/>
      </c>
      <c r="CK1036">
        <f>'Grid_Stock'!CI40</f>
        <v/>
      </c>
      <c r="CL1036">
        <f>'Grid_Stock'!CJ40</f>
        <v/>
      </c>
      <c r="CM1036">
        <f>'Grid_Stock'!CK40</f>
        <v/>
      </c>
      <c r="CN1036">
        <f>'Grid_Stock'!CL40</f>
        <v/>
      </c>
      <c r="CO1036">
        <f>'Grid_Stock'!CM40</f>
        <v/>
      </c>
      <c r="CP1036">
        <f>'Grid_Stock'!CN40</f>
        <v/>
      </c>
      <c r="CQ1036">
        <f>'Grid_Stock'!CO40</f>
        <v/>
      </c>
      <c r="CR1036">
        <f>'Grid_Stock'!CP40</f>
        <v/>
      </c>
      <c r="CS1036">
        <f>'Grid_Stock'!CQ40</f>
        <v/>
      </c>
      <c r="CT1036">
        <f>'Grid_Stock'!CR40</f>
        <v/>
      </c>
      <c r="CU1036">
        <f>'Grid_Stock'!CS40</f>
        <v/>
      </c>
      <c r="CV1036">
        <f>'Grid_Stock'!CT40</f>
        <v/>
      </c>
      <c r="CW1036">
        <f>'Grid_Stock'!CU40</f>
        <v/>
      </c>
      <c r="CX1036">
        <f>'Grid_Stock'!CV40</f>
        <v/>
      </c>
      <c r="CY1036">
        <f>'Grid_Stock'!CW40</f>
        <v/>
      </c>
      <c r="CZ1036">
        <f>'Grid_Stock'!CX40</f>
        <v/>
      </c>
      <c r="DA1036">
        <f>'Grid_Stock'!CY40</f>
        <v/>
      </c>
      <c r="DB1036">
        <f>'Grid_Stock'!CZ40</f>
        <v/>
      </c>
      <c r="DC1036">
        <f>'Grid_Stock'!DA40</f>
        <v/>
      </c>
    </row>
    <row r="1037">
      <c r="B1037" s="21" t="inlineStr">
        <is>
          <t>（発注の目安はDashboardの基準在庫[下限/上限]と色分けを参照）</t>
        </is>
      </c>
    </row>
    <row r="1039">
      <c r="A1039" s="19" t="inlineStr">
        <is>
          <t>TDJ</t>
        </is>
      </c>
      <c r="B1039" s="19" t="inlineStr">
        <is>
          <t>(11R-08) TP156- 103-130*TG</t>
        </is>
      </c>
      <c r="C1039" s="20" t="n"/>
      <c r="D1039" s="19" t="n"/>
      <c r="E1039" s="19" t="n"/>
      <c r="F1039" s="19" t="n"/>
      <c r="G1039" s="19" t="n"/>
      <c r="H1039" s="19" t="n"/>
      <c r="I1039" s="19" t="n"/>
      <c r="J1039" s="19" t="n"/>
      <c r="K1039" s="19" t="n"/>
      <c r="L1039" s="19" t="n"/>
      <c r="M1039" s="19" t="n"/>
      <c r="N1039" s="19" t="n"/>
      <c r="O1039" s="19" t="n"/>
      <c r="P1039" s="19" t="n"/>
      <c r="Q1039" s="19" t="n"/>
      <c r="R1039" s="19" t="n"/>
      <c r="S1039" s="19" t="n"/>
      <c r="T1039" s="19" t="n"/>
      <c r="U1039" s="19" t="n"/>
      <c r="V1039" s="19" t="n"/>
      <c r="W1039" s="19" t="n"/>
      <c r="X1039" s="19" t="n"/>
      <c r="Y1039" s="19" t="n"/>
      <c r="Z1039" s="19" t="n"/>
      <c r="AA1039" s="19" t="n"/>
      <c r="AB1039" s="19" t="n"/>
      <c r="AC1039" s="19" t="n"/>
      <c r="AD1039" s="19" t="n"/>
      <c r="AE1039" s="19" t="n"/>
      <c r="AF1039" s="19" t="n"/>
      <c r="AG1039" s="19" t="n"/>
      <c r="AH1039" s="19" t="n"/>
      <c r="AI1039" s="19" t="n"/>
      <c r="AJ1039" s="19" t="n"/>
      <c r="AK1039" s="19" t="n"/>
      <c r="AL1039" s="19" t="n"/>
      <c r="AM1039" s="19" t="n"/>
      <c r="AN1039" s="19" t="n"/>
      <c r="AO1039" s="19" t="n"/>
      <c r="AP1039" s="19" t="n"/>
      <c r="AQ1039" s="19" t="n"/>
      <c r="AR1039" s="19" t="n"/>
      <c r="AS1039" s="19" t="n"/>
      <c r="AT1039" s="19" t="n"/>
      <c r="AU1039" s="19" t="n"/>
      <c r="AV1039" s="19" t="n"/>
      <c r="AW1039" s="19" t="n"/>
      <c r="AX1039" s="19" t="n"/>
      <c r="AY1039" s="19" t="n"/>
      <c r="AZ1039" s="19" t="n"/>
      <c r="BA1039" s="19" t="n"/>
      <c r="BB1039" s="19" t="n"/>
      <c r="BC1039" s="19" t="n"/>
      <c r="BD1039" s="19" t="n"/>
      <c r="BE1039" s="19" t="n"/>
      <c r="BF1039" s="19" t="n"/>
      <c r="BG1039" s="19" t="n"/>
      <c r="BH1039" s="19" t="n"/>
      <c r="BI1039" s="19" t="n"/>
      <c r="BJ1039" s="19" t="n"/>
      <c r="BK1039" s="19" t="n"/>
      <c r="BL1039" s="19" t="n"/>
      <c r="BM1039" s="19" t="n"/>
      <c r="BN1039" s="19" t="n"/>
      <c r="BO1039" s="19" t="n"/>
      <c r="BP1039" s="19" t="n"/>
      <c r="BQ1039" s="19" t="n"/>
      <c r="BR1039" s="19" t="n"/>
      <c r="BS1039" s="19" t="n"/>
      <c r="BT1039" s="19" t="n"/>
      <c r="BU1039" s="19" t="n"/>
      <c r="BV1039" s="19" t="n"/>
      <c r="BW1039" s="19" t="n"/>
      <c r="BX1039" s="19" t="n"/>
      <c r="BY1039" s="19" t="n"/>
      <c r="BZ1039" s="19" t="n"/>
      <c r="CA1039" s="19" t="n"/>
      <c r="CB1039" s="19" t="n"/>
      <c r="CC1039" s="19" t="n"/>
      <c r="CD1039" s="19" t="n"/>
      <c r="CE1039" s="19" t="n"/>
      <c r="CF1039" s="19" t="n"/>
      <c r="CG1039" s="19" t="n"/>
      <c r="CH1039" s="19" t="n"/>
      <c r="CI1039" s="19" t="n"/>
      <c r="CJ1039" s="19" t="n"/>
      <c r="CK1039" s="19" t="n"/>
      <c r="CL1039" s="19" t="n"/>
      <c r="CM1039" s="19" t="n"/>
      <c r="CN1039" s="19" t="n"/>
      <c r="CO1039" s="19" t="n"/>
      <c r="CP1039" s="19" t="n"/>
      <c r="CQ1039" s="19" t="n"/>
      <c r="CR1039" s="19" t="n"/>
      <c r="CS1039" s="19" t="n"/>
      <c r="CT1039" s="19" t="n"/>
      <c r="CU1039" s="19" t="n"/>
      <c r="CV1039" s="19" t="n"/>
      <c r="CW1039" s="19" t="n"/>
      <c r="CX1039" s="19" t="n"/>
      <c r="CY1039" s="19" t="n"/>
      <c r="CZ1039" s="19" t="n"/>
      <c r="DA1039" s="19" t="n"/>
      <c r="DB1039" s="19" t="n"/>
      <c r="DC1039" s="19" t="n"/>
    </row>
    <row r="1040">
      <c r="B1040" t="inlineStr">
        <is>
          <t>0TA30</t>
        </is>
      </c>
      <c r="C1040" t="inlineStr">
        <is>
          <t>No. of batches</t>
        </is>
      </c>
      <c r="D1040">
        <f>IFERROR(INDEX(PP_Grid[#Data],$DD1040,2),0)</f>
        <v/>
      </c>
      <c r="E1040">
        <f>IFERROR(INDEX(PP_Grid[#Data],$DD1040,3),0)</f>
        <v/>
      </c>
      <c r="F1040">
        <f>IFERROR(INDEX(PP_Grid[#Data],$DD1040,4),0)</f>
        <v/>
      </c>
      <c r="G1040">
        <f>IFERROR(INDEX(PP_Grid[#Data],$DD1040,5),0)</f>
        <v/>
      </c>
      <c r="H1040">
        <f>IFERROR(INDEX(PP_Grid[#Data],$DD1040,6),0)</f>
        <v/>
      </c>
      <c r="I1040">
        <f>IFERROR(INDEX(PP_Grid[#Data],$DD1040,7),0)</f>
        <v/>
      </c>
      <c r="J1040">
        <f>IFERROR(INDEX(PP_Grid[#Data],$DD1040,8),0)</f>
        <v/>
      </c>
      <c r="K1040">
        <f>IFERROR(INDEX(PP_Grid[#Data],$DD1040,9),0)</f>
        <v/>
      </c>
      <c r="L1040">
        <f>IFERROR(INDEX(PP_Grid[#Data],$DD1040,10),0)</f>
        <v/>
      </c>
      <c r="M1040">
        <f>IFERROR(INDEX(PP_Grid[#Data],$DD1040,11),0)</f>
        <v/>
      </c>
      <c r="N1040">
        <f>IFERROR(INDEX(PP_Grid[#Data],$DD1040,12),0)</f>
        <v/>
      </c>
      <c r="O1040">
        <f>IFERROR(INDEX(PP_Grid[#Data],$DD1040,13),0)</f>
        <v/>
      </c>
      <c r="P1040">
        <f>IFERROR(INDEX(PP_Grid[#Data],$DD1040,14),0)</f>
        <v/>
      </c>
      <c r="Q1040">
        <f>IFERROR(INDEX(PP_Grid[#Data],$DD1040,15),0)</f>
        <v/>
      </c>
      <c r="R1040">
        <f>IFERROR(INDEX(PP_Grid[#Data],$DD1040,16),0)</f>
        <v/>
      </c>
      <c r="S1040">
        <f>IFERROR(INDEX(PP_Grid[#Data],$DD1040,17),0)</f>
        <v/>
      </c>
      <c r="T1040">
        <f>IFERROR(INDEX(PP_Grid[#Data],$DD1040,18),0)</f>
        <v/>
      </c>
      <c r="U1040">
        <f>IFERROR(INDEX(PP_Grid[#Data],$DD1040,19),0)</f>
        <v/>
      </c>
      <c r="V1040">
        <f>IFERROR(INDEX(PP_Grid[#Data],$DD1040,20),0)</f>
        <v/>
      </c>
      <c r="W1040">
        <f>IFERROR(INDEX(PP_Grid[#Data],$DD1040,21),0)</f>
        <v/>
      </c>
      <c r="X1040">
        <f>IFERROR(INDEX(PP_Grid[#Data],$DD1040,22),0)</f>
        <v/>
      </c>
      <c r="Y1040">
        <f>IFERROR(INDEX(PP_Grid[#Data],$DD1040,23),0)</f>
        <v/>
      </c>
      <c r="Z1040">
        <f>IFERROR(INDEX(PP_Grid[#Data],$DD1040,24),0)</f>
        <v/>
      </c>
      <c r="AA1040">
        <f>IFERROR(INDEX(PP_Grid[#Data],$DD1040,25),0)</f>
        <v/>
      </c>
      <c r="AB1040">
        <f>IFERROR(INDEX(PP_Grid[#Data],$DD1040,26),0)</f>
        <v/>
      </c>
      <c r="AC1040">
        <f>IFERROR(INDEX(PP_Grid[#Data],$DD1040,27),0)</f>
        <v/>
      </c>
      <c r="AD1040">
        <f>IFERROR(INDEX(PP_Grid[#Data],$DD1040,28),0)</f>
        <v/>
      </c>
      <c r="AE1040">
        <f>IFERROR(INDEX(PP_Grid[#Data],$DD1040,29),0)</f>
        <v/>
      </c>
      <c r="AF1040">
        <f>IFERROR(INDEX(PP_Grid[#Data],$DD1040,30),0)</f>
        <v/>
      </c>
      <c r="AG1040">
        <f>IFERROR(INDEX(PP_Grid[#Data],$DD1040,31),0)</f>
        <v/>
      </c>
      <c r="AH1040">
        <f>IFERROR(INDEX(PP_Grid[#Data],$DD1040,32),0)</f>
        <v/>
      </c>
      <c r="AI1040">
        <f>IFERROR(INDEX(PP_Grid[#Data],$DD1040,33),0)</f>
        <v/>
      </c>
      <c r="AJ1040">
        <f>IFERROR(INDEX(PP_Grid[#Data],$DD1040,34),0)</f>
        <v/>
      </c>
      <c r="AK1040">
        <f>IFERROR(INDEX(PP_Grid[#Data],$DD1040,35),0)</f>
        <v/>
      </c>
      <c r="AL1040">
        <f>IFERROR(INDEX(PP_Grid[#Data],$DD1040,36),0)</f>
        <v/>
      </c>
      <c r="AM1040">
        <f>IFERROR(INDEX(PP_Grid[#Data],$DD1040,37),0)</f>
        <v/>
      </c>
      <c r="AN1040">
        <f>IFERROR(INDEX(PP_Grid[#Data],$DD1040,38),0)</f>
        <v/>
      </c>
      <c r="AO1040">
        <f>IFERROR(INDEX(PP_Grid[#Data],$DD1040,39),0)</f>
        <v/>
      </c>
      <c r="AP1040">
        <f>IFERROR(INDEX(PP_Grid[#Data],$DD1040,40),0)</f>
        <v/>
      </c>
      <c r="AQ1040">
        <f>IFERROR(INDEX(PP_Grid[#Data],$DD1040,41),0)</f>
        <v/>
      </c>
      <c r="AR1040">
        <f>IFERROR(INDEX(PP_Grid[#Data],$DD1040,42),0)</f>
        <v/>
      </c>
      <c r="AS1040">
        <f>IFERROR(INDEX(PP_Grid[#Data],$DD1040,43),0)</f>
        <v/>
      </c>
      <c r="AT1040">
        <f>IFERROR(INDEX(PP_Grid[#Data],$DD1040,44),0)</f>
        <v/>
      </c>
      <c r="AU1040">
        <f>IFERROR(INDEX(PP_Grid[#Data],$DD1040,45),0)</f>
        <v/>
      </c>
      <c r="AV1040">
        <f>IFERROR(INDEX(PP_Grid[#Data],$DD1040,46),0)</f>
        <v/>
      </c>
      <c r="AW1040">
        <f>IFERROR(INDEX(PP_Grid[#Data],$DD1040,47),0)</f>
        <v/>
      </c>
      <c r="AX1040">
        <f>IFERROR(INDEX(PP_Grid[#Data],$DD1040,48),0)</f>
        <v/>
      </c>
      <c r="AY1040">
        <f>IFERROR(INDEX(PP_Grid[#Data],$DD1040,49),0)</f>
        <v/>
      </c>
      <c r="AZ1040">
        <f>IFERROR(INDEX(PP_Grid[#Data],$DD1040,50),0)</f>
        <v/>
      </c>
      <c r="BA1040">
        <f>IFERROR(INDEX(PP_Grid[#Data],$DD1040,51),0)</f>
        <v/>
      </c>
      <c r="BB1040">
        <f>IFERROR(INDEX(PP_Grid[#Data],$DD1040,52),0)</f>
        <v/>
      </c>
      <c r="BC1040">
        <f>IFERROR(INDEX(PP_Grid[#Data],$DD1040,53),0)</f>
        <v/>
      </c>
      <c r="BD1040">
        <f>IFERROR(INDEX(PP_Grid[#Data],$DD1040,54),0)</f>
        <v/>
      </c>
      <c r="BE1040">
        <f>IFERROR(INDEX(PP_Grid[#Data],$DD1040,55),0)</f>
        <v/>
      </c>
      <c r="BF1040">
        <f>IFERROR(INDEX(PP_Grid[#Data],$DD1040,56),0)</f>
        <v/>
      </c>
      <c r="BG1040">
        <f>IFERROR(INDEX(PP_Grid[#Data],$DD1040,57),0)</f>
        <v/>
      </c>
      <c r="BH1040">
        <f>IFERROR(INDEX(PP_Grid[#Data],$DD1040,58),0)</f>
        <v/>
      </c>
      <c r="BI1040">
        <f>IFERROR(INDEX(PP_Grid[#Data],$DD1040,59),0)</f>
        <v/>
      </c>
      <c r="BJ1040">
        <f>IFERROR(INDEX(PP_Grid[#Data],$DD1040,60),0)</f>
        <v/>
      </c>
      <c r="BK1040">
        <f>IFERROR(INDEX(PP_Grid[#Data],$DD1040,61),0)</f>
        <v/>
      </c>
      <c r="BL1040">
        <f>IFERROR(INDEX(PP_Grid[#Data],$DD1040,62),0)</f>
        <v/>
      </c>
      <c r="BM1040">
        <f>IFERROR(INDEX(PP_Grid[#Data],$DD1040,63),0)</f>
        <v/>
      </c>
      <c r="BN1040">
        <f>IFERROR(INDEX(PP_Grid[#Data],$DD1040,64),0)</f>
        <v/>
      </c>
      <c r="BO1040">
        <f>IFERROR(INDEX(PP_Grid[#Data],$DD1040,65),0)</f>
        <v/>
      </c>
      <c r="BP1040">
        <f>IFERROR(INDEX(PP_Grid[#Data],$DD1040,66),0)</f>
        <v/>
      </c>
      <c r="BQ1040">
        <f>IFERROR(INDEX(PP_Grid[#Data],$DD1040,67),0)</f>
        <v/>
      </c>
      <c r="BR1040">
        <f>IFERROR(INDEX(PP_Grid[#Data],$DD1040,68),0)</f>
        <v/>
      </c>
      <c r="BS1040">
        <f>IFERROR(INDEX(PP_Grid[#Data],$DD1040,69),0)</f>
        <v/>
      </c>
      <c r="BT1040">
        <f>IFERROR(INDEX(PP_Grid[#Data],$DD1040,70),0)</f>
        <v/>
      </c>
      <c r="BU1040">
        <f>IFERROR(INDEX(PP_Grid[#Data],$DD1040,71),0)</f>
        <v/>
      </c>
      <c r="BV1040">
        <f>IFERROR(INDEX(PP_Grid[#Data],$DD1040,72),0)</f>
        <v/>
      </c>
      <c r="BW1040">
        <f>IFERROR(INDEX(PP_Grid[#Data],$DD1040,73),0)</f>
        <v/>
      </c>
      <c r="BX1040">
        <f>IFERROR(INDEX(PP_Grid[#Data],$DD1040,74),0)</f>
        <v/>
      </c>
      <c r="BY1040">
        <f>IFERROR(INDEX(PP_Grid[#Data],$DD1040,75),0)</f>
        <v/>
      </c>
      <c r="BZ1040">
        <f>IFERROR(INDEX(PP_Grid[#Data],$DD1040,76),0)</f>
        <v/>
      </c>
      <c r="CA1040">
        <f>IFERROR(INDEX(PP_Grid[#Data],$DD1040,77),0)</f>
        <v/>
      </c>
      <c r="CB1040">
        <f>IFERROR(INDEX(PP_Grid[#Data],$DD1040,78),0)</f>
        <v/>
      </c>
      <c r="CC1040">
        <f>IFERROR(INDEX(PP_Grid[#Data],$DD1040,79),0)</f>
        <v/>
      </c>
      <c r="CD1040">
        <f>IFERROR(INDEX(PP_Grid[#Data],$DD1040,80),0)</f>
        <v/>
      </c>
      <c r="CE1040">
        <f>IFERROR(INDEX(PP_Grid[#Data],$DD1040,81),0)</f>
        <v/>
      </c>
      <c r="CF1040">
        <f>IFERROR(INDEX(PP_Grid[#Data],$DD1040,82),0)</f>
        <v/>
      </c>
      <c r="CG1040">
        <f>IFERROR(INDEX(PP_Grid[#Data],$DD1040,83),0)</f>
        <v/>
      </c>
      <c r="CH1040">
        <f>IFERROR(INDEX(PP_Grid[#Data],$DD1040,84),0)</f>
        <v/>
      </c>
      <c r="CI1040">
        <f>IFERROR(INDEX(PP_Grid[#Data],$DD1040,85),0)</f>
        <v/>
      </c>
      <c r="CJ1040">
        <f>IFERROR(INDEX(PP_Grid[#Data],$DD1040,86),0)</f>
        <v/>
      </c>
      <c r="CK1040">
        <f>IFERROR(INDEX(PP_Grid[#Data],$DD1040,87),0)</f>
        <v/>
      </c>
      <c r="CL1040">
        <f>IFERROR(INDEX(PP_Grid[#Data],$DD1040,88),0)</f>
        <v/>
      </c>
      <c r="CM1040">
        <f>IFERROR(INDEX(PP_Grid[#Data],$DD1040,89),0)</f>
        <v/>
      </c>
      <c r="CN1040">
        <f>IFERROR(INDEX(PP_Grid[#Data],$DD1040,90),0)</f>
        <v/>
      </c>
      <c r="CO1040">
        <f>IFERROR(INDEX(PP_Grid[#Data],$DD1040,91),0)</f>
        <v/>
      </c>
      <c r="CP1040">
        <f>IFERROR(INDEX(PP_Grid[#Data],$DD1040,92),0)</f>
        <v/>
      </c>
      <c r="CQ1040">
        <f>IFERROR(INDEX(PP_Grid[#Data],$DD1040,93),0)</f>
        <v/>
      </c>
      <c r="CR1040">
        <f>IFERROR(INDEX(PP_Grid[#Data],$DD1040,94),0)</f>
        <v/>
      </c>
      <c r="CS1040">
        <f>IFERROR(INDEX(PP_Grid[#Data],$DD1040,95),0)</f>
        <v/>
      </c>
      <c r="CT1040">
        <f>IFERROR(INDEX(PP_Grid[#Data],$DD1040,96),0)</f>
        <v/>
      </c>
      <c r="CU1040">
        <f>IFERROR(INDEX(PP_Grid[#Data],$DD1040,97),0)</f>
        <v/>
      </c>
      <c r="CV1040">
        <f>IFERROR(INDEX(PP_Grid[#Data],$DD1040,98),0)</f>
        <v/>
      </c>
      <c r="CW1040">
        <f>IFERROR(INDEX(PP_Grid[#Data],$DD1040,99),0)</f>
        <v/>
      </c>
      <c r="CX1040">
        <f>IFERROR(INDEX(PP_Grid[#Data],$DD1040,100),0)</f>
        <v/>
      </c>
      <c r="CY1040">
        <f>IFERROR(INDEX(PP_Grid[#Data],$DD1040,101),0)</f>
        <v/>
      </c>
      <c r="CZ1040">
        <f>IFERROR(INDEX(PP_Grid[#Data],$DD1040,102),0)</f>
        <v/>
      </c>
      <c r="DA1040">
        <f>IFERROR(INDEX(PP_Grid[#Data],$DD1040,103),0)</f>
        <v/>
      </c>
      <c r="DB1040">
        <f>IFERROR(INDEX(PP_Grid[#Data],$DD1040,104),0)</f>
        <v/>
      </c>
      <c r="DC1040">
        <f>IFERROR(INDEX(PP_Grid[#Data],$DD1040,105),0)</f>
        <v/>
      </c>
      <c r="DD1040" s="12">
        <f>IFERROR(MATCH($B1040,PP_Grid[Intermediate],0),99999)</f>
        <v/>
      </c>
    </row>
    <row r="1041">
      <c r="B1041" t="inlineStr">
        <is>
          <t>使用量(kg)</t>
        </is>
      </c>
      <c r="C1041">
        <f>SUMIFS(M_BOM[RM_Qty_Per_Batch],M_BOM[Intermediate],$B1040,M_BOM[Part Name],$A1039)</f>
        <v/>
      </c>
      <c r="D1041">
        <f>$C1041*D1040</f>
        <v/>
      </c>
      <c r="E1041">
        <f>$C1041*E1040</f>
        <v/>
      </c>
      <c r="F1041">
        <f>$C1041*F1040</f>
        <v/>
      </c>
      <c r="G1041">
        <f>$C1041*G1040</f>
        <v/>
      </c>
      <c r="H1041">
        <f>$C1041*H1040</f>
        <v/>
      </c>
      <c r="I1041">
        <f>$C1041*I1040</f>
        <v/>
      </c>
      <c r="J1041">
        <f>$C1041*J1040</f>
        <v/>
      </c>
      <c r="K1041">
        <f>$C1041*K1040</f>
        <v/>
      </c>
      <c r="L1041">
        <f>$C1041*L1040</f>
        <v/>
      </c>
      <c r="M1041">
        <f>$C1041*M1040</f>
        <v/>
      </c>
      <c r="N1041">
        <f>$C1041*N1040</f>
        <v/>
      </c>
      <c r="O1041">
        <f>$C1041*O1040</f>
        <v/>
      </c>
      <c r="P1041">
        <f>$C1041*P1040</f>
        <v/>
      </c>
      <c r="Q1041">
        <f>$C1041*Q1040</f>
        <v/>
      </c>
      <c r="R1041">
        <f>$C1041*R1040</f>
        <v/>
      </c>
      <c r="S1041">
        <f>$C1041*S1040</f>
        <v/>
      </c>
      <c r="T1041">
        <f>$C1041*T1040</f>
        <v/>
      </c>
      <c r="U1041">
        <f>$C1041*U1040</f>
        <v/>
      </c>
      <c r="V1041">
        <f>$C1041*V1040</f>
        <v/>
      </c>
      <c r="W1041">
        <f>$C1041*W1040</f>
        <v/>
      </c>
      <c r="X1041">
        <f>$C1041*X1040</f>
        <v/>
      </c>
      <c r="Y1041">
        <f>$C1041*Y1040</f>
        <v/>
      </c>
      <c r="Z1041">
        <f>$C1041*Z1040</f>
        <v/>
      </c>
      <c r="AA1041">
        <f>$C1041*AA1040</f>
        <v/>
      </c>
      <c r="AB1041">
        <f>$C1041*AB1040</f>
        <v/>
      </c>
      <c r="AC1041">
        <f>$C1041*AC1040</f>
        <v/>
      </c>
      <c r="AD1041">
        <f>$C1041*AD1040</f>
        <v/>
      </c>
      <c r="AE1041">
        <f>$C1041*AE1040</f>
        <v/>
      </c>
      <c r="AF1041">
        <f>$C1041*AF1040</f>
        <v/>
      </c>
      <c r="AG1041">
        <f>$C1041*AG1040</f>
        <v/>
      </c>
      <c r="AH1041">
        <f>$C1041*AH1040</f>
        <v/>
      </c>
      <c r="AI1041">
        <f>$C1041*AI1040</f>
        <v/>
      </c>
      <c r="AJ1041">
        <f>$C1041*AJ1040</f>
        <v/>
      </c>
      <c r="AK1041">
        <f>$C1041*AK1040</f>
        <v/>
      </c>
      <c r="AL1041">
        <f>$C1041*AL1040</f>
        <v/>
      </c>
      <c r="AM1041">
        <f>$C1041*AM1040</f>
        <v/>
      </c>
      <c r="AN1041">
        <f>$C1041*AN1040</f>
        <v/>
      </c>
      <c r="AO1041">
        <f>$C1041*AO1040</f>
        <v/>
      </c>
      <c r="AP1041">
        <f>$C1041*AP1040</f>
        <v/>
      </c>
      <c r="AQ1041">
        <f>$C1041*AQ1040</f>
        <v/>
      </c>
      <c r="AR1041">
        <f>$C1041*AR1040</f>
        <v/>
      </c>
      <c r="AS1041">
        <f>$C1041*AS1040</f>
        <v/>
      </c>
      <c r="AT1041">
        <f>$C1041*AT1040</f>
        <v/>
      </c>
      <c r="AU1041">
        <f>$C1041*AU1040</f>
        <v/>
      </c>
      <c r="AV1041">
        <f>$C1041*AV1040</f>
        <v/>
      </c>
      <c r="AW1041">
        <f>$C1041*AW1040</f>
        <v/>
      </c>
      <c r="AX1041">
        <f>$C1041*AX1040</f>
        <v/>
      </c>
      <c r="AY1041">
        <f>$C1041*AY1040</f>
        <v/>
      </c>
      <c r="AZ1041">
        <f>$C1041*AZ1040</f>
        <v/>
      </c>
      <c r="BA1041">
        <f>$C1041*BA1040</f>
        <v/>
      </c>
      <c r="BB1041">
        <f>$C1041*BB1040</f>
        <v/>
      </c>
      <c r="BC1041">
        <f>$C1041*BC1040</f>
        <v/>
      </c>
      <c r="BD1041">
        <f>$C1041*BD1040</f>
        <v/>
      </c>
      <c r="BE1041">
        <f>$C1041*BE1040</f>
        <v/>
      </c>
      <c r="BF1041">
        <f>$C1041*BF1040</f>
        <v/>
      </c>
      <c r="BG1041">
        <f>$C1041*BG1040</f>
        <v/>
      </c>
      <c r="BH1041">
        <f>$C1041*BH1040</f>
        <v/>
      </c>
      <c r="BI1041">
        <f>$C1041*BI1040</f>
        <v/>
      </c>
      <c r="BJ1041">
        <f>$C1041*BJ1040</f>
        <v/>
      </c>
      <c r="BK1041">
        <f>$C1041*BK1040</f>
        <v/>
      </c>
      <c r="BL1041">
        <f>$C1041*BL1040</f>
        <v/>
      </c>
      <c r="BM1041">
        <f>$C1041*BM1040</f>
        <v/>
      </c>
      <c r="BN1041">
        <f>$C1041*BN1040</f>
        <v/>
      </c>
      <c r="BO1041">
        <f>$C1041*BO1040</f>
        <v/>
      </c>
      <c r="BP1041">
        <f>$C1041*BP1040</f>
        <v/>
      </c>
      <c r="BQ1041">
        <f>$C1041*BQ1040</f>
        <v/>
      </c>
      <c r="BR1041">
        <f>$C1041*BR1040</f>
        <v/>
      </c>
      <c r="BS1041">
        <f>$C1041*BS1040</f>
        <v/>
      </c>
      <c r="BT1041">
        <f>$C1041*BT1040</f>
        <v/>
      </c>
      <c r="BU1041">
        <f>$C1041*BU1040</f>
        <v/>
      </c>
      <c r="BV1041">
        <f>$C1041*BV1040</f>
        <v/>
      </c>
      <c r="BW1041">
        <f>$C1041*BW1040</f>
        <v/>
      </c>
      <c r="BX1041">
        <f>$C1041*BX1040</f>
        <v/>
      </c>
      <c r="BY1041">
        <f>$C1041*BY1040</f>
        <v/>
      </c>
      <c r="BZ1041">
        <f>$C1041*BZ1040</f>
        <v/>
      </c>
      <c r="CA1041">
        <f>$C1041*CA1040</f>
        <v/>
      </c>
      <c r="CB1041">
        <f>$C1041*CB1040</f>
        <v/>
      </c>
      <c r="CC1041">
        <f>$C1041*CC1040</f>
        <v/>
      </c>
      <c r="CD1041">
        <f>$C1041*CD1040</f>
        <v/>
      </c>
      <c r="CE1041">
        <f>$C1041*CE1040</f>
        <v/>
      </c>
      <c r="CF1041">
        <f>$C1041*CF1040</f>
        <v/>
      </c>
      <c r="CG1041">
        <f>$C1041*CG1040</f>
        <v/>
      </c>
      <c r="CH1041">
        <f>$C1041*CH1040</f>
        <v/>
      </c>
      <c r="CI1041">
        <f>$C1041*CI1040</f>
        <v/>
      </c>
      <c r="CJ1041">
        <f>$C1041*CJ1040</f>
        <v/>
      </c>
      <c r="CK1041">
        <f>$C1041*CK1040</f>
        <v/>
      </c>
      <c r="CL1041">
        <f>$C1041*CL1040</f>
        <v/>
      </c>
      <c r="CM1041">
        <f>$C1041*CM1040</f>
        <v/>
      </c>
      <c r="CN1041">
        <f>$C1041*CN1040</f>
        <v/>
      </c>
      <c r="CO1041">
        <f>$C1041*CO1040</f>
        <v/>
      </c>
      <c r="CP1041">
        <f>$C1041*CP1040</f>
        <v/>
      </c>
      <c r="CQ1041">
        <f>$C1041*CQ1040</f>
        <v/>
      </c>
      <c r="CR1041">
        <f>$C1041*CR1040</f>
        <v/>
      </c>
      <c r="CS1041">
        <f>$C1041*CS1040</f>
        <v/>
      </c>
      <c r="CT1041">
        <f>$C1041*CT1040</f>
        <v/>
      </c>
      <c r="CU1041">
        <f>$C1041*CU1040</f>
        <v/>
      </c>
      <c r="CV1041">
        <f>$C1041*CV1040</f>
        <v/>
      </c>
      <c r="CW1041">
        <f>$C1041*CW1040</f>
        <v/>
      </c>
      <c r="CX1041">
        <f>$C1041*CX1040</f>
        <v/>
      </c>
      <c r="CY1041">
        <f>$C1041*CY1040</f>
        <v/>
      </c>
      <c r="CZ1041">
        <f>$C1041*CZ1040</f>
        <v/>
      </c>
      <c r="DA1041">
        <f>$C1041*DA1040</f>
        <v/>
      </c>
      <c r="DB1041">
        <f>$C1041*DB1040</f>
        <v/>
      </c>
      <c r="DC1041">
        <f>$C1041*DC1040</f>
        <v/>
      </c>
    </row>
    <row r="1042">
      <c r="B1042" s="9" t="inlineStr">
        <is>
          <t>合計使用量(kg)/週</t>
        </is>
      </c>
      <c r="D1042">
        <f>'Grid_Requirement'!B30</f>
        <v/>
      </c>
      <c r="E1042">
        <f>'Grid_Requirement'!C30</f>
        <v/>
      </c>
      <c r="F1042">
        <f>'Grid_Requirement'!D30</f>
        <v/>
      </c>
      <c r="G1042">
        <f>'Grid_Requirement'!E30</f>
        <v/>
      </c>
      <c r="H1042">
        <f>'Grid_Requirement'!F30</f>
        <v/>
      </c>
      <c r="I1042">
        <f>'Grid_Requirement'!G30</f>
        <v/>
      </c>
      <c r="J1042">
        <f>'Grid_Requirement'!H30</f>
        <v/>
      </c>
      <c r="K1042">
        <f>'Grid_Requirement'!I30</f>
        <v/>
      </c>
      <c r="L1042">
        <f>'Grid_Requirement'!J30</f>
        <v/>
      </c>
      <c r="M1042">
        <f>'Grid_Requirement'!K30</f>
        <v/>
      </c>
      <c r="N1042">
        <f>'Grid_Requirement'!L30</f>
        <v/>
      </c>
      <c r="O1042">
        <f>'Grid_Requirement'!M30</f>
        <v/>
      </c>
      <c r="P1042">
        <f>'Grid_Requirement'!N30</f>
        <v/>
      </c>
      <c r="Q1042">
        <f>'Grid_Requirement'!O30</f>
        <v/>
      </c>
      <c r="R1042">
        <f>'Grid_Requirement'!P30</f>
        <v/>
      </c>
      <c r="S1042">
        <f>'Grid_Requirement'!Q30</f>
        <v/>
      </c>
      <c r="T1042">
        <f>'Grid_Requirement'!R30</f>
        <v/>
      </c>
      <c r="U1042">
        <f>'Grid_Requirement'!S30</f>
        <v/>
      </c>
      <c r="V1042">
        <f>'Grid_Requirement'!T30</f>
        <v/>
      </c>
      <c r="W1042">
        <f>'Grid_Requirement'!U30</f>
        <v/>
      </c>
      <c r="X1042">
        <f>'Grid_Requirement'!V30</f>
        <v/>
      </c>
      <c r="Y1042">
        <f>'Grid_Requirement'!W30</f>
        <v/>
      </c>
      <c r="Z1042">
        <f>'Grid_Requirement'!X30</f>
        <v/>
      </c>
      <c r="AA1042">
        <f>'Grid_Requirement'!Y30</f>
        <v/>
      </c>
      <c r="AB1042">
        <f>'Grid_Requirement'!Z30</f>
        <v/>
      </c>
      <c r="AC1042">
        <f>'Grid_Requirement'!AA30</f>
        <v/>
      </c>
      <c r="AD1042">
        <f>'Grid_Requirement'!AB30</f>
        <v/>
      </c>
      <c r="AE1042">
        <f>'Grid_Requirement'!AC30</f>
        <v/>
      </c>
      <c r="AF1042">
        <f>'Grid_Requirement'!AD30</f>
        <v/>
      </c>
      <c r="AG1042">
        <f>'Grid_Requirement'!AE30</f>
        <v/>
      </c>
      <c r="AH1042">
        <f>'Grid_Requirement'!AF30</f>
        <v/>
      </c>
      <c r="AI1042">
        <f>'Grid_Requirement'!AG30</f>
        <v/>
      </c>
      <c r="AJ1042">
        <f>'Grid_Requirement'!AH30</f>
        <v/>
      </c>
      <c r="AK1042">
        <f>'Grid_Requirement'!AI30</f>
        <v/>
      </c>
      <c r="AL1042">
        <f>'Grid_Requirement'!AJ30</f>
        <v/>
      </c>
      <c r="AM1042">
        <f>'Grid_Requirement'!AK30</f>
        <v/>
      </c>
      <c r="AN1042">
        <f>'Grid_Requirement'!AL30</f>
        <v/>
      </c>
      <c r="AO1042">
        <f>'Grid_Requirement'!AM30</f>
        <v/>
      </c>
      <c r="AP1042">
        <f>'Grid_Requirement'!AN30</f>
        <v/>
      </c>
      <c r="AQ1042">
        <f>'Grid_Requirement'!AO30</f>
        <v/>
      </c>
      <c r="AR1042">
        <f>'Grid_Requirement'!AP30</f>
        <v/>
      </c>
      <c r="AS1042">
        <f>'Grid_Requirement'!AQ30</f>
        <v/>
      </c>
      <c r="AT1042">
        <f>'Grid_Requirement'!AR30</f>
        <v/>
      </c>
      <c r="AU1042">
        <f>'Grid_Requirement'!AS30</f>
        <v/>
      </c>
      <c r="AV1042">
        <f>'Grid_Requirement'!AT30</f>
        <v/>
      </c>
      <c r="AW1042">
        <f>'Grid_Requirement'!AU30</f>
        <v/>
      </c>
      <c r="AX1042">
        <f>'Grid_Requirement'!AV30</f>
        <v/>
      </c>
      <c r="AY1042">
        <f>'Grid_Requirement'!AW30</f>
        <v/>
      </c>
      <c r="AZ1042">
        <f>'Grid_Requirement'!AX30</f>
        <v/>
      </c>
      <c r="BA1042">
        <f>'Grid_Requirement'!AY30</f>
        <v/>
      </c>
      <c r="BB1042">
        <f>'Grid_Requirement'!AZ30</f>
        <v/>
      </c>
      <c r="BC1042">
        <f>'Grid_Requirement'!BA30</f>
        <v/>
      </c>
      <c r="BD1042">
        <f>'Grid_Requirement'!BB30</f>
        <v/>
      </c>
      <c r="BE1042">
        <f>'Grid_Requirement'!BC30</f>
        <v/>
      </c>
      <c r="BF1042">
        <f>'Grid_Requirement'!BD30</f>
        <v/>
      </c>
      <c r="BG1042">
        <f>'Grid_Requirement'!BE30</f>
        <v/>
      </c>
      <c r="BH1042">
        <f>'Grid_Requirement'!BF30</f>
        <v/>
      </c>
      <c r="BI1042">
        <f>'Grid_Requirement'!BG30</f>
        <v/>
      </c>
      <c r="BJ1042">
        <f>'Grid_Requirement'!BH30</f>
        <v/>
      </c>
      <c r="BK1042">
        <f>'Grid_Requirement'!BI30</f>
        <v/>
      </c>
      <c r="BL1042">
        <f>'Grid_Requirement'!BJ30</f>
        <v/>
      </c>
      <c r="BM1042">
        <f>'Grid_Requirement'!BK30</f>
        <v/>
      </c>
      <c r="BN1042">
        <f>'Grid_Requirement'!BL30</f>
        <v/>
      </c>
      <c r="BO1042">
        <f>'Grid_Requirement'!BM30</f>
        <v/>
      </c>
      <c r="BP1042">
        <f>'Grid_Requirement'!BN30</f>
        <v/>
      </c>
      <c r="BQ1042">
        <f>'Grid_Requirement'!BO30</f>
        <v/>
      </c>
      <c r="BR1042">
        <f>'Grid_Requirement'!BP30</f>
        <v/>
      </c>
      <c r="BS1042">
        <f>'Grid_Requirement'!BQ30</f>
        <v/>
      </c>
      <c r="BT1042">
        <f>'Grid_Requirement'!BR30</f>
        <v/>
      </c>
      <c r="BU1042">
        <f>'Grid_Requirement'!BS30</f>
        <v/>
      </c>
      <c r="BV1042">
        <f>'Grid_Requirement'!BT30</f>
        <v/>
      </c>
      <c r="BW1042">
        <f>'Grid_Requirement'!BU30</f>
        <v/>
      </c>
      <c r="BX1042">
        <f>'Grid_Requirement'!BV30</f>
        <v/>
      </c>
      <c r="BY1042">
        <f>'Grid_Requirement'!BW30</f>
        <v/>
      </c>
      <c r="BZ1042">
        <f>'Grid_Requirement'!BX30</f>
        <v/>
      </c>
      <c r="CA1042">
        <f>'Grid_Requirement'!BY30</f>
        <v/>
      </c>
      <c r="CB1042">
        <f>'Grid_Requirement'!BZ30</f>
        <v/>
      </c>
      <c r="CC1042">
        <f>'Grid_Requirement'!CA30</f>
        <v/>
      </c>
      <c r="CD1042">
        <f>'Grid_Requirement'!CB30</f>
        <v/>
      </c>
      <c r="CE1042">
        <f>'Grid_Requirement'!CC30</f>
        <v/>
      </c>
      <c r="CF1042">
        <f>'Grid_Requirement'!CD30</f>
        <v/>
      </c>
      <c r="CG1042">
        <f>'Grid_Requirement'!CE30</f>
        <v/>
      </c>
      <c r="CH1042">
        <f>'Grid_Requirement'!CF30</f>
        <v/>
      </c>
      <c r="CI1042">
        <f>'Grid_Requirement'!CG30</f>
        <v/>
      </c>
      <c r="CJ1042">
        <f>'Grid_Requirement'!CH30</f>
        <v/>
      </c>
      <c r="CK1042">
        <f>'Grid_Requirement'!CI30</f>
        <v/>
      </c>
      <c r="CL1042">
        <f>'Grid_Requirement'!CJ30</f>
        <v/>
      </c>
      <c r="CM1042">
        <f>'Grid_Requirement'!CK30</f>
        <v/>
      </c>
      <c r="CN1042">
        <f>'Grid_Requirement'!CL30</f>
        <v/>
      </c>
      <c r="CO1042">
        <f>'Grid_Requirement'!CM30</f>
        <v/>
      </c>
      <c r="CP1042">
        <f>'Grid_Requirement'!CN30</f>
        <v/>
      </c>
      <c r="CQ1042">
        <f>'Grid_Requirement'!CO30</f>
        <v/>
      </c>
      <c r="CR1042">
        <f>'Grid_Requirement'!CP30</f>
        <v/>
      </c>
      <c r="CS1042">
        <f>'Grid_Requirement'!CQ30</f>
        <v/>
      </c>
      <c r="CT1042">
        <f>'Grid_Requirement'!CR30</f>
        <v/>
      </c>
      <c r="CU1042">
        <f>'Grid_Requirement'!CS30</f>
        <v/>
      </c>
      <c r="CV1042">
        <f>'Grid_Requirement'!CT30</f>
        <v/>
      </c>
      <c r="CW1042">
        <f>'Grid_Requirement'!CU30</f>
        <v/>
      </c>
      <c r="CX1042">
        <f>'Grid_Requirement'!CV30</f>
        <v/>
      </c>
      <c r="CY1042">
        <f>'Grid_Requirement'!CW30</f>
        <v/>
      </c>
      <c r="CZ1042">
        <f>'Grid_Requirement'!CX30</f>
        <v/>
      </c>
      <c r="DA1042">
        <f>'Grid_Requirement'!CY30</f>
        <v/>
      </c>
      <c r="DB1042">
        <f>'Grid_Requirement'!CZ30</f>
        <v/>
      </c>
      <c r="DC1042">
        <f>'Grid_Requirement'!DA30</f>
        <v/>
      </c>
    </row>
    <row r="1043">
      <c r="B1043" t="inlineStr">
        <is>
          <t>TTAF在庫(実績,kg)</t>
        </is>
      </c>
      <c r="D1043">
        <f>'T_TTAFStock'!B34</f>
        <v/>
      </c>
      <c r="E1043">
        <f>'T_TTAFStock'!C34</f>
        <v/>
      </c>
      <c r="F1043">
        <f>'T_TTAFStock'!D34</f>
        <v/>
      </c>
      <c r="G1043">
        <f>'T_TTAFStock'!E34</f>
        <v/>
      </c>
      <c r="H1043">
        <f>'T_TTAFStock'!F34</f>
        <v/>
      </c>
      <c r="I1043">
        <f>'T_TTAFStock'!G34</f>
        <v/>
      </c>
      <c r="J1043">
        <f>'T_TTAFStock'!H34</f>
        <v/>
      </c>
      <c r="K1043">
        <f>'T_TTAFStock'!I34</f>
        <v/>
      </c>
      <c r="L1043">
        <f>'T_TTAFStock'!J34</f>
        <v/>
      </c>
      <c r="M1043">
        <f>'T_TTAFStock'!K34</f>
        <v/>
      </c>
      <c r="N1043">
        <f>'T_TTAFStock'!L34</f>
        <v/>
      </c>
      <c r="O1043">
        <f>'T_TTAFStock'!M34</f>
        <v/>
      </c>
      <c r="P1043">
        <f>'T_TTAFStock'!N34</f>
        <v/>
      </c>
      <c r="Q1043">
        <f>'T_TTAFStock'!O34</f>
        <v/>
      </c>
      <c r="R1043">
        <f>'T_TTAFStock'!P34</f>
        <v/>
      </c>
      <c r="S1043">
        <f>'T_TTAFStock'!Q34</f>
        <v/>
      </c>
      <c r="T1043">
        <f>'T_TTAFStock'!R34</f>
        <v/>
      </c>
      <c r="U1043">
        <f>'T_TTAFStock'!S34</f>
        <v/>
      </c>
      <c r="V1043">
        <f>'T_TTAFStock'!T34</f>
        <v/>
      </c>
      <c r="W1043">
        <f>'T_TTAFStock'!U34</f>
        <v/>
      </c>
      <c r="X1043">
        <f>'T_TTAFStock'!V34</f>
        <v/>
      </c>
      <c r="Y1043">
        <f>'T_TTAFStock'!W34</f>
        <v/>
      </c>
      <c r="Z1043">
        <f>'T_TTAFStock'!X34</f>
        <v/>
      </c>
      <c r="AA1043">
        <f>'T_TTAFStock'!Y34</f>
        <v/>
      </c>
      <c r="AB1043">
        <f>'T_TTAFStock'!Z34</f>
        <v/>
      </c>
      <c r="AC1043">
        <f>'T_TTAFStock'!AA34</f>
        <v/>
      </c>
      <c r="AD1043">
        <f>'T_TTAFStock'!AB34</f>
        <v/>
      </c>
      <c r="AE1043">
        <f>'T_TTAFStock'!AC34</f>
        <v/>
      </c>
      <c r="AF1043">
        <f>'T_TTAFStock'!AD34</f>
        <v/>
      </c>
      <c r="AG1043">
        <f>'T_TTAFStock'!AE34</f>
        <v/>
      </c>
      <c r="AH1043">
        <f>'T_TTAFStock'!AF34</f>
        <v/>
      </c>
      <c r="AI1043">
        <f>'T_TTAFStock'!AG34</f>
        <v/>
      </c>
      <c r="AJ1043">
        <f>'T_TTAFStock'!AH34</f>
        <v/>
      </c>
      <c r="AK1043">
        <f>'T_TTAFStock'!AI34</f>
        <v/>
      </c>
      <c r="AL1043">
        <f>'T_TTAFStock'!AJ34</f>
        <v/>
      </c>
      <c r="AM1043">
        <f>'T_TTAFStock'!AK34</f>
        <v/>
      </c>
      <c r="AN1043">
        <f>'T_TTAFStock'!AL34</f>
        <v/>
      </c>
      <c r="AO1043">
        <f>'T_TTAFStock'!AM34</f>
        <v/>
      </c>
      <c r="AP1043">
        <f>'T_TTAFStock'!AN34</f>
        <v/>
      </c>
      <c r="AQ1043">
        <f>'T_TTAFStock'!AO34</f>
        <v/>
      </c>
      <c r="AR1043">
        <f>'T_TTAFStock'!AP34</f>
        <v/>
      </c>
      <c r="AS1043">
        <f>'T_TTAFStock'!AQ34</f>
        <v/>
      </c>
      <c r="AT1043">
        <f>'T_TTAFStock'!AR34</f>
        <v/>
      </c>
      <c r="AU1043">
        <f>'T_TTAFStock'!AS34</f>
        <v/>
      </c>
      <c r="AV1043">
        <f>'T_TTAFStock'!AT34</f>
        <v/>
      </c>
      <c r="AW1043">
        <f>'T_TTAFStock'!AU34</f>
        <v/>
      </c>
      <c r="AX1043">
        <f>'T_TTAFStock'!AV34</f>
        <v/>
      </c>
      <c r="AY1043">
        <f>'T_TTAFStock'!AW34</f>
        <v/>
      </c>
      <c r="AZ1043">
        <f>'T_TTAFStock'!AX34</f>
        <v/>
      </c>
      <c r="BA1043">
        <f>'T_TTAFStock'!AY34</f>
        <v/>
      </c>
      <c r="BB1043">
        <f>'T_TTAFStock'!AZ34</f>
        <v/>
      </c>
      <c r="BC1043">
        <f>'T_TTAFStock'!BA34</f>
        <v/>
      </c>
      <c r="BD1043">
        <f>'T_TTAFStock'!BB34</f>
        <v/>
      </c>
      <c r="BE1043">
        <f>'T_TTAFStock'!BC34</f>
        <v/>
      </c>
      <c r="BF1043">
        <f>'T_TTAFStock'!BD34</f>
        <v/>
      </c>
      <c r="BG1043">
        <f>'T_TTAFStock'!BE34</f>
        <v/>
      </c>
      <c r="BH1043">
        <f>'T_TTAFStock'!BF34</f>
        <v/>
      </c>
      <c r="BI1043">
        <f>'T_TTAFStock'!BG34</f>
        <v/>
      </c>
      <c r="BJ1043">
        <f>'T_TTAFStock'!BH34</f>
        <v/>
      </c>
      <c r="BK1043">
        <f>'T_TTAFStock'!BI34</f>
        <v/>
      </c>
      <c r="BL1043">
        <f>'T_TTAFStock'!BJ34</f>
        <v/>
      </c>
      <c r="BM1043">
        <f>'T_TTAFStock'!BK34</f>
        <v/>
      </c>
      <c r="BN1043">
        <f>'T_TTAFStock'!BL34</f>
        <v/>
      </c>
      <c r="BO1043">
        <f>'T_TTAFStock'!BM34</f>
        <v/>
      </c>
      <c r="BP1043">
        <f>'T_TTAFStock'!BN34</f>
        <v/>
      </c>
      <c r="BQ1043">
        <f>'T_TTAFStock'!BO34</f>
        <v/>
      </c>
      <c r="BR1043">
        <f>'T_TTAFStock'!BP34</f>
        <v/>
      </c>
      <c r="BS1043">
        <f>'T_TTAFStock'!BQ34</f>
        <v/>
      </c>
      <c r="BT1043">
        <f>'T_TTAFStock'!BR34</f>
        <v/>
      </c>
      <c r="BU1043">
        <f>'T_TTAFStock'!BS34</f>
        <v/>
      </c>
      <c r="BV1043">
        <f>'T_TTAFStock'!BT34</f>
        <v/>
      </c>
      <c r="BW1043">
        <f>'T_TTAFStock'!BU34</f>
        <v/>
      </c>
      <c r="BX1043">
        <f>'T_TTAFStock'!BV34</f>
        <v/>
      </c>
      <c r="BY1043">
        <f>'T_TTAFStock'!BW34</f>
        <v/>
      </c>
      <c r="BZ1043">
        <f>'T_TTAFStock'!BX34</f>
        <v/>
      </c>
      <c r="CA1043">
        <f>'T_TTAFStock'!BY34</f>
        <v/>
      </c>
      <c r="CB1043">
        <f>'T_TTAFStock'!BZ34</f>
        <v/>
      </c>
      <c r="CC1043">
        <f>'T_TTAFStock'!CA34</f>
        <v/>
      </c>
      <c r="CD1043">
        <f>'T_TTAFStock'!CB34</f>
        <v/>
      </c>
      <c r="CE1043">
        <f>'T_TTAFStock'!CC34</f>
        <v/>
      </c>
      <c r="CF1043">
        <f>'T_TTAFStock'!CD34</f>
        <v/>
      </c>
      <c r="CG1043">
        <f>'T_TTAFStock'!CE34</f>
        <v/>
      </c>
      <c r="CH1043">
        <f>'T_TTAFStock'!CF34</f>
        <v/>
      </c>
      <c r="CI1043">
        <f>'T_TTAFStock'!CG34</f>
        <v/>
      </c>
      <c r="CJ1043">
        <f>'T_TTAFStock'!CH34</f>
        <v/>
      </c>
      <c r="CK1043">
        <f>'T_TTAFStock'!CI34</f>
        <v/>
      </c>
      <c r="CL1043">
        <f>'T_TTAFStock'!CJ34</f>
        <v/>
      </c>
      <c r="CM1043">
        <f>'T_TTAFStock'!CK34</f>
        <v/>
      </c>
      <c r="CN1043">
        <f>'T_TTAFStock'!CL34</f>
        <v/>
      </c>
      <c r="CO1043">
        <f>'T_TTAFStock'!CM34</f>
        <v/>
      </c>
      <c r="CP1043">
        <f>'T_TTAFStock'!CN34</f>
        <v/>
      </c>
      <c r="CQ1043">
        <f>'T_TTAFStock'!CO34</f>
        <v/>
      </c>
      <c r="CR1043">
        <f>'T_TTAFStock'!CP34</f>
        <v/>
      </c>
      <c r="CS1043">
        <f>'T_TTAFStock'!CQ34</f>
        <v/>
      </c>
      <c r="CT1043">
        <f>'T_TTAFStock'!CR34</f>
        <v/>
      </c>
      <c r="CU1043">
        <f>'T_TTAFStock'!CS34</f>
        <v/>
      </c>
      <c r="CV1043">
        <f>'T_TTAFStock'!CT34</f>
        <v/>
      </c>
      <c r="CW1043">
        <f>'T_TTAFStock'!CU34</f>
        <v/>
      </c>
      <c r="CX1043">
        <f>'T_TTAFStock'!CV34</f>
        <v/>
      </c>
      <c r="CY1043">
        <f>'T_TTAFStock'!CW34</f>
        <v/>
      </c>
      <c r="CZ1043">
        <f>'T_TTAFStock'!CX34</f>
        <v/>
      </c>
      <c r="DA1043">
        <f>'T_TTAFStock'!CY34</f>
        <v/>
      </c>
      <c r="DB1043">
        <f>'T_TTAFStock'!CZ34</f>
        <v/>
      </c>
      <c r="DC1043">
        <f>'T_TTAFStock'!DA34</f>
        <v/>
      </c>
    </row>
    <row r="1044">
      <c r="B1044" t="inlineStr">
        <is>
          <t>自社在庫(実績,kg)</t>
        </is>
      </c>
      <c r="D1044">
        <f>'T_SelfStock'!B34</f>
        <v/>
      </c>
      <c r="E1044">
        <f>'T_SelfStock'!C34</f>
        <v/>
      </c>
      <c r="F1044">
        <f>'T_SelfStock'!D34</f>
        <v/>
      </c>
      <c r="G1044">
        <f>'T_SelfStock'!E34</f>
        <v/>
      </c>
      <c r="H1044">
        <f>'T_SelfStock'!F34</f>
        <v/>
      </c>
      <c r="I1044">
        <f>'T_SelfStock'!G34</f>
        <v/>
      </c>
      <c r="J1044">
        <f>'T_SelfStock'!H34</f>
        <v/>
      </c>
      <c r="K1044">
        <f>'T_SelfStock'!I34</f>
        <v/>
      </c>
      <c r="L1044">
        <f>'T_SelfStock'!J34</f>
        <v/>
      </c>
      <c r="M1044">
        <f>'T_SelfStock'!K34</f>
        <v/>
      </c>
      <c r="N1044">
        <f>'T_SelfStock'!L34</f>
        <v/>
      </c>
      <c r="O1044">
        <f>'T_SelfStock'!M34</f>
        <v/>
      </c>
      <c r="P1044">
        <f>'T_SelfStock'!N34</f>
        <v/>
      </c>
      <c r="Q1044">
        <f>'T_SelfStock'!O34</f>
        <v/>
      </c>
      <c r="R1044">
        <f>'T_SelfStock'!P34</f>
        <v/>
      </c>
      <c r="S1044">
        <f>'T_SelfStock'!Q34</f>
        <v/>
      </c>
      <c r="T1044">
        <f>'T_SelfStock'!R34</f>
        <v/>
      </c>
      <c r="U1044">
        <f>'T_SelfStock'!S34</f>
        <v/>
      </c>
      <c r="V1044">
        <f>'T_SelfStock'!T34</f>
        <v/>
      </c>
      <c r="W1044">
        <f>'T_SelfStock'!U34</f>
        <v/>
      </c>
      <c r="X1044">
        <f>'T_SelfStock'!V34</f>
        <v/>
      </c>
      <c r="Y1044">
        <f>'T_SelfStock'!W34</f>
        <v/>
      </c>
      <c r="Z1044">
        <f>'T_SelfStock'!X34</f>
        <v/>
      </c>
      <c r="AA1044">
        <f>'T_SelfStock'!Y34</f>
        <v/>
      </c>
      <c r="AB1044">
        <f>'T_SelfStock'!Z34</f>
        <v/>
      </c>
      <c r="AC1044">
        <f>'T_SelfStock'!AA34</f>
        <v/>
      </c>
      <c r="AD1044">
        <f>'T_SelfStock'!AB34</f>
        <v/>
      </c>
      <c r="AE1044">
        <f>'T_SelfStock'!AC34</f>
        <v/>
      </c>
      <c r="AF1044">
        <f>'T_SelfStock'!AD34</f>
        <v/>
      </c>
      <c r="AG1044">
        <f>'T_SelfStock'!AE34</f>
        <v/>
      </c>
      <c r="AH1044">
        <f>'T_SelfStock'!AF34</f>
        <v/>
      </c>
      <c r="AI1044">
        <f>'T_SelfStock'!AG34</f>
        <v/>
      </c>
      <c r="AJ1044">
        <f>'T_SelfStock'!AH34</f>
        <v/>
      </c>
      <c r="AK1044">
        <f>'T_SelfStock'!AI34</f>
        <v/>
      </c>
      <c r="AL1044">
        <f>'T_SelfStock'!AJ34</f>
        <v/>
      </c>
      <c r="AM1044">
        <f>'T_SelfStock'!AK34</f>
        <v/>
      </c>
      <c r="AN1044">
        <f>'T_SelfStock'!AL34</f>
        <v/>
      </c>
      <c r="AO1044">
        <f>'T_SelfStock'!AM34</f>
        <v/>
      </c>
      <c r="AP1044">
        <f>'T_SelfStock'!AN34</f>
        <v/>
      </c>
      <c r="AQ1044">
        <f>'T_SelfStock'!AO34</f>
        <v/>
      </c>
      <c r="AR1044">
        <f>'T_SelfStock'!AP34</f>
        <v/>
      </c>
      <c r="AS1044">
        <f>'T_SelfStock'!AQ34</f>
        <v/>
      </c>
      <c r="AT1044">
        <f>'T_SelfStock'!AR34</f>
        <v/>
      </c>
      <c r="AU1044">
        <f>'T_SelfStock'!AS34</f>
        <v/>
      </c>
      <c r="AV1044">
        <f>'T_SelfStock'!AT34</f>
        <v/>
      </c>
      <c r="AW1044">
        <f>'T_SelfStock'!AU34</f>
        <v/>
      </c>
      <c r="AX1044">
        <f>'T_SelfStock'!AV34</f>
        <v/>
      </c>
      <c r="AY1044">
        <f>'T_SelfStock'!AW34</f>
        <v/>
      </c>
      <c r="AZ1044">
        <f>'T_SelfStock'!AX34</f>
        <v/>
      </c>
      <c r="BA1044">
        <f>'T_SelfStock'!AY34</f>
        <v/>
      </c>
      <c r="BB1044">
        <f>'T_SelfStock'!AZ34</f>
        <v/>
      </c>
      <c r="BC1044">
        <f>'T_SelfStock'!BA34</f>
        <v/>
      </c>
      <c r="BD1044">
        <f>'T_SelfStock'!BB34</f>
        <v/>
      </c>
      <c r="BE1044">
        <f>'T_SelfStock'!BC34</f>
        <v/>
      </c>
      <c r="BF1044">
        <f>'T_SelfStock'!BD34</f>
        <v/>
      </c>
      <c r="BG1044">
        <f>'T_SelfStock'!BE34</f>
        <v/>
      </c>
      <c r="BH1044">
        <f>'T_SelfStock'!BF34</f>
        <v/>
      </c>
      <c r="BI1044">
        <f>'T_SelfStock'!BG34</f>
        <v/>
      </c>
      <c r="BJ1044">
        <f>'T_SelfStock'!BH34</f>
        <v/>
      </c>
      <c r="BK1044">
        <f>'T_SelfStock'!BI34</f>
        <v/>
      </c>
      <c r="BL1044">
        <f>'T_SelfStock'!BJ34</f>
        <v/>
      </c>
      <c r="BM1044">
        <f>'T_SelfStock'!BK34</f>
        <v/>
      </c>
      <c r="BN1044">
        <f>'T_SelfStock'!BL34</f>
        <v/>
      </c>
      <c r="BO1044">
        <f>'T_SelfStock'!BM34</f>
        <v/>
      </c>
      <c r="BP1044">
        <f>'T_SelfStock'!BN34</f>
        <v/>
      </c>
      <c r="BQ1044">
        <f>'T_SelfStock'!BO34</f>
        <v/>
      </c>
      <c r="BR1044">
        <f>'T_SelfStock'!BP34</f>
        <v/>
      </c>
      <c r="BS1044">
        <f>'T_SelfStock'!BQ34</f>
        <v/>
      </c>
      <c r="BT1044">
        <f>'T_SelfStock'!BR34</f>
        <v/>
      </c>
      <c r="BU1044">
        <f>'T_SelfStock'!BS34</f>
        <v/>
      </c>
      <c r="BV1044">
        <f>'T_SelfStock'!BT34</f>
        <v/>
      </c>
      <c r="BW1044">
        <f>'T_SelfStock'!BU34</f>
        <v/>
      </c>
      <c r="BX1044">
        <f>'T_SelfStock'!BV34</f>
        <v/>
      </c>
      <c r="BY1044">
        <f>'T_SelfStock'!BW34</f>
        <v/>
      </c>
      <c r="BZ1044">
        <f>'T_SelfStock'!BX34</f>
        <v/>
      </c>
      <c r="CA1044">
        <f>'T_SelfStock'!BY34</f>
        <v/>
      </c>
      <c r="CB1044">
        <f>'T_SelfStock'!BZ34</f>
        <v/>
      </c>
      <c r="CC1044">
        <f>'T_SelfStock'!CA34</f>
        <v/>
      </c>
      <c r="CD1044">
        <f>'T_SelfStock'!CB34</f>
        <v/>
      </c>
      <c r="CE1044">
        <f>'T_SelfStock'!CC34</f>
        <v/>
      </c>
      <c r="CF1044">
        <f>'T_SelfStock'!CD34</f>
        <v/>
      </c>
      <c r="CG1044">
        <f>'T_SelfStock'!CE34</f>
        <v/>
      </c>
      <c r="CH1044">
        <f>'T_SelfStock'!CF34</f>
        <v/>
      </c>
      <c r="CI1044">
        <f>'T_SelfStock'!CG34</f>
        <v/>
      </c>
      <c r="CJ1044">
        <f>'T_SelfStock'!CH34</f>
        <v/>
      </c>
      <c r="CK1044">
        <f>'T_SelfStock'!CI34</f>
        <v/>
      </c>
      <c r="CL1044">
        <f>'T_SelfStock'!CJ34</f>
        <v/>
      </c>
      <c r="CM1044">
        <f>'T_SelfStock'!CK34</f>
        <v/>
      </c>
      <c r="CN1044">
        <f>'T_SelfStock'!CL34</f>
        <v/>
      </c>
      <c r="CO1044">
        <f>'T_SelfStock'!CM34</f>
        <v/>
      </c>
      <c r="CP1044">
        <f>'T_SelfStock'!CN34</f>
        <v/>
      </c>
      <c r="CQ1044">
        <f>'T_SelfStock'!CO34</f>
        <v/>
      </c>
      <c r="CR1044">
        <f>'T_SelfStock'!CP34</f>
        <v/>
      </c>
      <c r="CS1044">
        <f>'T_SelfStock'!CQ34</f>
        <v/>
      </c>
      <c r="CT1044">
        <f>'T_SelfStock'!CR34</f>
        <v/>
      </c>
      <c r="CU1044">
        <f>'T_SelfStock'!CS34</f>
        <v/>
      </c>
      <c r="CV1044">
        <f>'T_SelfStock'!CT34</f>
        <v/>
      </c>
      <c r="CW1044">
        <f>'T_SelfStock'!CU34</f>
        <v/>
      </c>
      <c r="CX1044">
        <f>'T_SelfStock'!CV34</f>
        <v/>
      </c>
      <c r="CY1044">
        <f>'T_SelfStock'!CW34</f>
        <v/>
      </c>
      <c r="CZ1044">
        <f>'T_SelfStock'!CX34</f>
        <v/>
      </c>
      <c r="DA1044">
        <f>'T_SelfStock'!CY34</f>
        <v/>
      </c>
      <c r="DB1044">
        <f>'T_SelfStock'!CZ34</f>
        <v/>
      </c>
      <c r="DC1044">
        <f>'T_SelfStock'!DA34</f>
        <v/>
      </c>
    </row>
    <row r="1045">
      <c r="B1045" t="inlineStr">
        <is>
          <t>Order(発注予定,kg)</t>
        </is>
      </c>
      <c r="D1045">
        <f>IF(SUMIFS(T_PlannedOrders[EffectiveQty],T_PlannedOrders[Part Name],$A1039,T_PlannedOrders[WeekIndex],1)=0,"",SUMIFS(T_PlannedOrders[EffectiveQty],T_PlannedOrders[Part Name],$A1039,T_PlannedOrders[WeekIndex],1)&amp;" ("&amp;TEXT(SUMPRODUCT(MAX((T_PlannedOrders[Part Name]=$A1039)*(T_PlannedOrders[WeekIndex]=1)*(T_PlannedOrders[EffectiveQty]&gt;0)*T_PlannedOrders[Order_Month])),"m月")&amp;"発注)")</f>
        <v/>
      </c>
      <c r="E1045">
        <f>IF(SUMIFS(T_PlannedOrders[EffectiveQty],T_PlannedOrders[Part Name],$A1039,T_PlannedOrders[WeekIndex],2)=0,"",SUMIFS(T_PlannedOrders[EffectiveQty],T_PlannedOrders[Part Name],$A1039,T_PlannedOrders[WeekIndex],2)&amp;" ("&amp;TEXT(SUMPRODUCT(MAX((T_PlannedOrders[Part Name]=$A1039)*(T_PlannedOrders[WeekIndex]=2)*(T_PlannedOrders[EffectiveQty]&gt;0)*T_PlannedOrders[Order_Month])),"m月")&amp;"発注)")</f>
        <v/>
      </c>
      <c r="F1045">
        <f>IF(SUMIFS(T_PlannedOrders[EffectiveQty],T_PlannedOrders[Part Name],$A1039,T_PlannedOrders[WeekIndex],3)=0,"",SUMIFS(T_PlannedOrders[EffectiveQty],T_PlannedOrders[Part Name],$A1039,T_PlannedOrders[WeekIndex],3)&amp;" ("&amp;TEXT(SUMPRODUCT(MAX((T_PlannedOrders[Part Name]=$A1039)*(T_PlannedOrders[WeekIndex]=3)*(T_PlannedOrders[EffectiveQty]&gt;0)*T_PlannedOrders[Order_Month])),"m月")&amp;"発注)")</f>
        <v/>
      </c>
      <c r="G1045">
        <f>IF(SUMIFS(T_PlannedOrders[EffectiveQty],T_PlannedOrders[Part Name],$A1039,T_PlannedOrders[WeekIndex],4)=0,"",SUMIFS(T_PlannedOrders[EffectiveQty],T_PlannedOrders[Part Name],$A1039,T_PlannedOrders[WeekIndex],4)&amp;" ("&amp;TEXT(SUMPRODUCT(MAX((T_PlannedOrders[Part Name]=$A1039)*(T_PlannedOrders[WeekIndex]=4)*(T_PlannedOrders[EffectiveQty]&gt;0)*T_PlannedOrders[Order_Month])),"m月")&amp;"発注)")</f>
        <v/>
      </c>
      <c r="H1045">
        <f>IF(SUMIFS(T_PlannedOrders[EffectiveQty],T_PlannedOrders[Part Name],$A1039,T_PlannedOrders[WeekIndex],5)=0,"",SUMIFS(T_PlannedOrders[EffectiveQty],T_PlannedOrders[Part Name],$A1039,T_PlannedOrders[WeekIndex],5)&amp;" ("&amp;TEXT(SUMPRODUCT(MAX((T_PlannedOrders[Part Name]=$A1039)*(T_PlannedOrders[WeekIndex]=5)*(T_PlannedOrders[EffectiveQty]&gt;0)*T_PlannedOrders[Order_Month])),"m月")&amp;"発注)")</f>
        <v/>
      </c>
      <c r="I1045">
        <f>IF(SUMIFS(T_PlannedOrders[EffectiveQty],T_PlannedOrders[Part Name],$A1039,T_PlannedOrders[WeekIndex],6)=0,"",SUMIFS(T_PlannedOrders[EffectiveQty],T_PlannedOrders[Part Name],$A1039,T_PlannedOrders[WeekIndex],6)&amp;" ("&amp;TEXT(SUMPRODUCT(MAX((T_PlannedOrders[Part Name]=$A1039)*(T_PlannedOrders[WeekIndex]=6)*(T_PlannedOrders[EffectiveQty]&gt;0)*T_PlannedOrders[Order_Month])),"m月")&amp;"発注)")</f>
        <v/>
      </c>
      <c r="J1045">
        <f>IF(SUMIFS(T_PlannedOrders[EffectiveQty],T_PlannedOrders[Part Name],$A1039,T_PlannedOrders[WeekIndex],7)=0,"",SUMIFS(T_PlannedOrders[EffectiveQty],T_PlannedOrders[Part Name],$A1039,T_PlannedOrders[WeekIndex],7)&amp;" ("&amp;TEXT(SUMPRODUCT(MAX((T_PlannedOrders[Part Name]=$A1039)*(T_PlannedOrders[WeekIndex]=7)*(T_PlannedOrders[EffectiveQty]&gt;0)*T_PlannedOrders[Order_Month])),"m月")&amp;"発注)")</f>
        <v/>
      </c>
      <c r="K1045">
        <f>IF(SUMIFS(T_PlannedOrders[EffectiveQty],T_PlannedOrders[Part Name],$A1039,T_PlannedOrders[WeekIndex],8)=0,"",SUMIFS(T_PlannedOrders[EffectiveQty],T_PlannedOrders[Part Name],$A1039,T_PlannedOrders[WeekIndex],8)&amp;" ("&amp;TEXT(SUMPRODUCT(MAX((T_PlannedOrders[Part Name]=$A1039)*(T_PlannedOrders[WeekIndex]=8)*(T_PlannedOrders[EffectiveQty]&gt;0)*T_PlannedOrders[Order_Month])),"m月")&amp;"発注)")</f>
        <v/>
      </c>
      <c r="L1045">
        <f>IF(SUMIFS(T_PlannedOrders[EffectiveQty],T_PlannedOrders[Part Name],$A1039,T_PlannedOrders[WeekIndex],9)=0,"",SUMIFS(T_PlannedOrders[EffectiveQty],T_PlannedOrders[Part Name],$A1039,T_PlannedOrders[WeekIndex],9)&amp;" ("&amp;TEXT(SUMPRODUCT(MAX((T_PlannedOrders[Part Name]=$A1039)*(T_PlannedOrders[WeekIndex]=9)*(T_PlannedOrders[EffectiveQty]&gt;0)*T_PlannedOrders[Order_Month])),"m月")&amp;"発注)")</f>
        <v/>
      </c>
      <c r="M1045">
        <f>IF(SUMIFS(T_PlannedOrders[EffectiveQty],T_PlannedOrders[Part Name],$A1039,T_PlannedOrders[WeekIndex],10)=0,"",SUMIFS(T_PlannedOrders[EffectiveQty],T_PlannedOrders[Part Name],$A1039,T_PlannedOrders[WeekIndex],10)&amp;" ("&amp;TEXT(SUMPRODUCT(MAX((T_PlannedOrders[Part Name]=$A1039)*(T_PlannedOrders[WeekIndex]=10)*(T_PlannedOrders[EffectiveQty]&gt;0)*T_PlannedOrders[Order_Month])),"m月")&amp;"発注)")</f>
        <v/>
      </c>
      <c r="N1045">
        <f>IF(SUMIFS(T_PlannedOrders[EffectiveQty],T_PlannedOrders[Part Name],$A1039,T_PlannedOrders[WeekIndex],11)=0,"",SUMIFS(T_PlannedOrders[EffectiveQty],T_PlannedOrders[Part Name],$A1039,T_PlannedOrders[WeekIndex],11)&amp;" ("&amp;TEXT(SUMPRODUCT(MAX((T_PlannedOrders[Part Name]=$A1039)*(T_PlannedOrders[WeekIndex]=11)*(T_PlannedOrders[EffectiveQty]&gt;0)*T_PlannedOrders[Order_Month])),"m月")&amp;"発注)")</f>
        <v/>
      </c>
      <c r="O1045">
        <f>IF(SUMIFS(T_PlannedOrders[EffectiveQty],T_PlannedOrders[Part Name],$A1039,T_PlannedOrders[WeekIndex],12)=0,"",SUMIFS(T_PlannedOrders[EffectiveQty],T_PlannedOrders[Part Name],$A1039,T_PlannedOrders[WeekIndex],12)&amp;" ("&amp;TEXT(SUMPRODUCT(MAX((T_PlannedOrders[Part Name]=$A1039)*(T_PlannedOrders[WeekIndex]=12)*(T_PlannedOrders[EffectiveQty]&gt;0)*T_PlannedOrders[Order_Month])),"m月")&amp;"発注)")</f>
        <v/>
      </c>
      <c r="P1045">
        <f>IF(SUMIFS(T_PlannedOrders[EffectiveQty],T_PlannedOrders[Part Name],$A1039,T_PlannedOrders[WeekIndex],13)=0,"",SUMIFS(T_PlannedOrders[EffectiveQty],T_PlannedOrders[Part Name],$A1039,T_PlannedOrders[WeekIndex],13)&amp;" ("&amp;TEXT(SUMPRODUCT(MAX((T_PlannedOrders[Part Name]=$A1039)*(T_PlannedOrders[WeekIndex]=13)*(T_PlannedOrders[EffectiveQty]&gt;0)*T_PlannedOrders[Order_Month])),"m月")&amp;"発注)")</f>
        <v/>
      </c>
      <c r="Q1045">
        <f>IF(SUMIFS(T_PlannedOrders[EffectiveQty],T_PlannedOrders[Part Name],$A1039,T_PlannedOrders[WeekIndex],14)=0,"",SUMIFS(T_PlannedOrders[EffectiveQty],T_PlannedOrders[Part Name],$A1039,T_PlannedOrders[WeekIndex],14)&amp;" ("&amp;TEXT(SUMPRODUCT(MAX((T_PlannedOrders[Part Name]=$A1039)*(T_PlannedOrders[WeekIndex]=14)*(T_PlannedOrders[EffectiveQty]&gt;0)*T_PlannedOrders[Order_Month])),"m月")&amp;"発注)")</f>
        <v/>
      </c>
      <c r="R1045">
        <f>IF(SUMIFS(T_PlannedOrders[EffectiveQty],T_PlannedOrders[Part Name],$A1039,T_PlannedOrders[WeekIndex],15)=0,"",SUMIFS(T_PlannedOrders[EffectiveQty],T_PlannedOrders[Part Name],$A1039,T_PlannedOrders[WeekIndex],15)&amp;" ("&amp;TEXT(SUMPRODUCT(MAX((T_PlannedOrders[Part Name]=$A1039)*(T_PlannedOrders[WeekIndex]=15)*(T_PlannedOrders[EffectiveQty]&gt;0)*T_PlannedOrders[Order_Month])),"m月")&amp;"発注)")</f>
        <v/>
      </c>
      <c r="S1045">
        <f>IF(SUMIFS(T_PlannedOrders[EffectiveQty],T_PlannedOrders[Part Name],$A1039,T_PlannedOrders[WeekIndex],16)=0,"",SUMIFS(T_PlannedOrders[EffectiveQty],T_PlannedOrders[Part Name],$A1039,T_PlannedOrders[WeekIndex],16)&amp;" ("&amp;TEXT(SUMPRODUCT(MAX((T_PlannedOrders[Part Name]=$A1039)*(T_PlannedOrders[WeekIndex]=16)*(T_PlannedOrders[EffectiveQty]&gt;0)*T_PlannedOrders[Order_Month])),"m月")&amp;"発注)")</f>
        <v/>
      </c>
      <c r="T1045">
        <f>IF(SUMIFS(T_PlannedOrders[EffectiveQty],T_PlannedOrders[Part Name],$A1039,T_PlannedOrders[WeekIndex],17)=0,"",SUMIFS(T_PlannedOrders[EffectiveQty],T_PlannedOrders[Part Name],$A1039,T_PlannedOrders[WeekIndex],17)&amp;" ("&amp;TEXT(SUMPRODUCT(MAX((T_PlannedOrders[Part Name]=$A1039)*(T_PlannedOrders[WeekIndex]=17)*(T_PlannedOrders[EffectiveQty]&gt;0)*T_PlannedOrders[Order_Month])),"m月")&amp;"発注)")</f>
        <v/>
      </c>
      <c r="U1045">
        <f>IF(SUMIFS(T_PlannedOrders[EffectiveQty],T_PlannedOrders[Part Name],$A1039,T_PlannedOrders[WeekIndex],18)=0,"",SUMIFS(T_PlannedOrders[EffectiveQty],T_PlannedOrders[Part Name],$A1039,T_PlannedOrders[WeekIndex],18)&amp;" ("&amp;TEXT(SUMPRODUCT(MAX((T_PlannedOrders[Part Name]=$A1039)*(T_PlannedOrders[WeekIndex]=18)*(T_PlannedOrders[EffectiveQty]&gt;0)*T_PlannedOrders[Order_Month])),"m月")&amp;"発注)")</f>
        <v/>
      </c>
      <c r="V1045">
        <f>IF(SUMIFS(T_PlannedOrders[EffectiveQty],T_PlannedOrders[Part Name],$A1039,T_PlannedOrders[WeekIndex],19)=0,"",SUMIFS(T_PlannedOrders[EffectiveQty],T_PlannedOrders[Part Name],$A1039,T_PlannedOrders[WeekIndex],19)&amp;" ("&amp;TEXT(SUMPRODUCT(MAX((T_PlannedOrders[Part Name]=$A1039)*(T_PlannedOrders[WeekIndex]=19)*(T_PlannedOrders[EffectiveQty]&gt;0)*T_PlannedOrders[Order_Month])),"m月")&amp;"発注)")</f>
        <v/>
      </c>
      <c r="W1045">
        <f>IF(SUMIFS(T_PlannedOrders[EffectiveQty],T_PlannedOrders[Part Name],$A1039,T_PlannedOrders[WeekIndex],20)=0,"",SUMIFS(T_PlannedOrders[EffectiveQty],T_PlannedOrders[Part Name],$A1039,T_PlannedOrders[WeekIndex],20)&amp;" ("&amp;TEXT(SUMPRODUCT(MAX((T_PlannedOrders[Part Name]=$A1039)*(T_PlannedOrders[WeekIndex]=20)*(T_PlannedOrders[EffectiveQty]&gt;0)*T_PlannedOrders[Order_Month])),"m月")&amp;"発注)")</f>
        <v/>
      </c>
      <c r="X1045">
        <f>IF(SUMIFS(T_PlannedOrders[EffectiveQty],T_PlannedOrders[Part Name],$A1039,T_PlannedOrders[WeekIndex],21)=0,"",SUMIFS(T_PlannedOrders[EffectiveQty],T_PlannedOrders[Part Name],$A1039,T_PlannedOrders[WeekIndex],21)&amp;" ("&amp;TEXT(SUMPRODUCT(MAX((T_PlannedOrders[Part Name]=$A1039)*(T_PlannedOrders[WeekIndex]=21)*(T_PlannedOrders[EffectiveQty]&gt;0)*T_PlannedOrders[Order_Month])),"m月")&amp;"発注)")</f>
        <v/>
      </c>
      <c r="Y1045">
        <f>IF(SUMIFS(T_PlannedOrders[EffectiveQty],T_PlannedOrders[Part Name],$A1039,T_PlannedOrders[WeekIndex],22)=0,"",SUMIFS(T_PlannedOrders[EffectiveQty],T_PlannedOrders[Part Name],$A1039,T_PlannedOrders[WeekIndex],22)&amp;" ("&amp;TEXT(SUMPRODUCT(MAX((T_PlannedOrders[Part Name]=$A1039)*(T_PlannedOrders[WeekIndex]=22)*(T_PlannedOrders[EffectiveQty]&gt;0)*T_PlannedOrders[Order_Month])),"m月")&amp;"発注)")</f>
        <v/>
      </c>
      <c r="Z1045">
        <f>IF(SUMIFS(T_PlannedOrders[EffectiveQty],T_PlannedOrders[Part Name],$A1039,T_PlannedOrders[WeekIndex],23)=0,"",SUMIFS(T_PlannedOrders[EffectiveQty],T_PlannedOrders[Part Name],$A1039,T_PlannedOrders[WeekIndex],23)&amp;" ("&amp;TEXT(SUMPRODUCT(MAX((T_PlannedOrders[Part Name]=$A1039)*(T_PlannedOrders[WeekIndex]=23)*(T_PlannedOrders[EffectiveQty]&gt;0)*T_PlannedOrders[Order_Month])),"m月")&amp;"発注)")</f>
        <v/>
      </c>
      <c r="AA1045">
        <f>IF(SUMIFS(T_PlannedOrders[EffectiveQty],T_PlannedOrders[Part Name],$A1039,T_PlannedOrders[WeekIndex],24)=0,"",SUMIFS(T_PlannedOrders[EffectiveQty],T_PlannedOrders[Part Name],$A1039,T_PlannedOrders[WeekIndex],24)&amp;" ("&amp;TEXT(SUMPRODUCT(MAX((T_PlannedOrders[Part Name]=$A1039)*(T_PlannedOrders[WeekIndex]=24)*(T_PlannedOrders[EffectiveQty]&gt;0)*T_PlannedOrders[Order_Month])),"m月")&amp;"発注)")</f>
        <v/>
      </c>
      <c r="AB1045">
        <f>IF(SUMIFS(T_PlannedOrders[EffectiveQty],T_PlannedOrders[Part Name],$A1039,T_PlannedOrders[WeekIndex],25)=0,"",SUMIFS(T_PlannedOrders[EffectiveQty],T_PlannedOrders[Part Name],$A1039,T_PlannedOrders[WeekIndex],25)&amp;" ("&amp;TEXT(SUMPRODUCT(MAX((T_PlannedOrders[Part Name]=$A1039)*(T_PlannedOrders[WeekIndex]=25)*(T_PlannedOrders[EffectiveQty]&gt;0)*T_PlannedOrders[Order_Month])),"m月")&amp;"発注)")</f>
        <v/>
      </c>
      <c r="AC1045">
        <f>IF(SUMIFS(T_PlannedOrders[EffectiveQty],T_PlannedOrders[Part Name],$A1039,T_PlannedOrders[WeekIndex],26)=0,"",SUMIFS(T_PlannedOrders[EffectiveQty],T_PlannedOrders[Part Name],$A1039,T_PlannedOrders[WeekIndex],26)&amp;" ("&amp;TEXT(SUMPRODUCT(MAX((T_PlannedOrders[Part Name]=$A1039)*(T_PlannedOrders[WeekIndex]=26)*(T_PlannedOrders[EffectiveQty]&gt;0)*T_PlannedOrders[Order_Month])),"m月")&amp;"発注)")</f>
        <v/>
      </c>
      <c r="AD1045">
        <f>IF(SUMIFS(T_PlannedOrders[EffectiveQty],T_PlannedOrders[Part Name],$A1039,T_PlannedOrders[WeekIndex],27)=0,"",SUMIFS(T_PlannedOrders[EffectiveQty],T_PlannedOrders[Part Name],$A1039,T_PlannedOrders[WeekIndex],27)&amp;" ("&amp;TEXT(SUMPRODUCT(MAX((T_PlannedOrders[Part Name]=$A1039)*(T_PlannedOrders[WeekIndex]=27)*(T_PlannedOrders[EffectiveQty]&gt;0)*T_PlannedOrders[Order_Month])),"m月")&amp;"発注)")</f>
        <v/>
      </c>
      <c r="AE1045">
        <f>IF(SUMIFS(T_PlannedOrders[EffectiveQty],T_PlannedOrders[Part Name],$A1039,T_PlannedOrders[WeekIndex],28)=0,"",SUMIFS(T_PlannedOrders[EffectiveQty],T_PlannedOrders[Part Name],$A1039,T_PlannedOrders[WeekIndex],28)&amp;" ("&amp;TEXT(SUMPRODUCT(MAX((T_PlannedOrders[Part Name]=$A1039)*(T_PlannedOrders[WeekIndex]=28)*(T_PlannedOrders[EffectiveQty]&gt;0)*T_PlannedOrders[Order_Month])),"m月")&amp;"発注)")</f>
        <v/>
      </c>
      <c r="AF1045">
        <f>IF(SUMIFS(T_PlannedOrders[EffectiveQty],T_PlannedOrders[Part Name],$A1039,T_PlannedOrders[WeekIndex],29)=0,"",SUMIFS(T_PlannedOrders[EffectiveQty],T_PlannedOrders[Part Name],$A1039,T_PlannedOrders[WeekIndex],29)&amp;" ("&amp;TEXT(SUMPRODUCT(MAX((T_PlannedOrders[Part Name]=$A1039)*(T_PlannedOrders[WeekIndex]=29)*(T_PlannedOrders[EffectiveQty]&gt;0)*T_PlannedOrders[Order_Month])),"m月")&amp;"発注)")</f>
        <v/>
      </c>
      <c r="AG1045">
        <f>IF(SUMIFS(T_PlannedOrders[EffectiveQty],T_PlannedOrders[Part Name],$A1039,T_PlannedOrders[WeekIndex],30)=0,"",SUMIFS(T_PlannedOrders[EffectiveQty],T_PlannedOrders[Part Name],$A1039,T_PlannedOrders[WeekIndex],30)&amp;" ("&amp;TEXT(SUMPRODUCT(MAX((T_PlannedOrders[Part Name]=$A1039)*(T_PlannedOrders[WeekIndex]=30)*(T_PlannedOrders[EffectiveQty]&gt;0)*T_PlannedOrders[Order_Month])),"m月")&amp;"発注)")</f>
        <v/>
      </c>
      <c r="AH1045">
        <f>IF(SUMIFS(T_PlannedOrders[EffectiveQty],T_PlannedOrders[Part Name],$A1039,T_PlannedOrders[WeekIndex],31)=0,"",SUMIFS(T_PlannedOrders[EffectiveQty],T_PlannedOrders[Part Name],$A1039,T_PlannedOrders[WeekIndex],31)&amp;" ("&amp;TEXT(SUMPRODUCT(MAX((T_PlannedOrders[Part Name]=$A1039)*(T_PlannedOrders[WeekIndex]=31)*(T_PlannedOrders[EffectiveQty]&gt;0)*T_PlannedOrders[Order_Month])),"m月")&amp;"発注)")</f>
        <v/>
      </c>
      <c r="AI1045">
        <f>IF(SUMIFS(T_PlannedOrders[EffectiveQty],T_PlannedOrders[Part Name],$A1039,T_PlannedOrders[WeekIndex],32)=0,"",SUMIFS(T_PlannedOrders[EffectiveQty],T_PlannedOrders[Part Name],$A1039,T_PlannedOrders[WeekIndex],32)&amp;" ("&amp;TEXT(SUMPRODUCT(MAX((T_PlannedOrders[Part Name]=$A1039)*(T_PlannedOrders[WeekIndex]=32)*(T_PlannedOrders[EffectiveQty]&gt;0)*T_PlannedOrders[Order_Month])),"m月")&amp;"発注)")</f>
        <v/>
      </c>
      <c r="AJ1045">
        <f>IF(SUMIFS(T_PlannedOrders[EffectiveQty],T_PlannedOrders[Part Name],$A1039,T_PlannedOrders[WeekIndex],33)=0,"",SUMIFS(T_PlannedOrders[EffectiveQty],T_PlannedOrders[Part Name],$A1039,T_PlannedOrders[WeekIndex],33)&amp;" ("&amp;TEXT(SUMPRODUCT(MAX((T_PlannedOrders[Part Name]=$A1039)*(T_PlannedOrders[WeekIndex]=33)*(T_PlannedOrders[EffectiveQty]&gt;0)*T_PlannedOrders[Order_Month])),"m月")&amp;"発注)")</f>
        <v/>
      </c>
      <c r="AK1045">
        <f>IF(SUMIFS(T_PlannedOrders[EffectiveQty],T_PlannedOrders[Part Name],$A1039,T_PlannedOrders[WeekIndex],34)=0,"",SUMIFS(T_PlannedOrders[EffectiveQty],T_PlannedOrders[Part Name],$A1039,T_PlannedOrders[WeekIndex],34)&amp;" ("&amp;TEXT(SUMPRODUCT(MAX((T_PlannedOrders[Part Name]=$A1039)*(T_PlannedOrders[WeekIndex]=34)*(T_PlannedOrders[EffectiveQty]&gt;0)*T_PlannedOrders[Order_Month])),"m月")&amp;"発注)")</f>
        <v/>
      </c>
      <c r="AL1045">
        <f>IF(SUMIFS(T_PlannedOrders[EffectiveQty],T_PlannedOrders[Part Name],$A1039,T_PlannedOrders[WeekIndex],35)=0,"",SUMIFS(T_PlannedOrders[EffectiveQty],T_PlannedOrders[Part Name],$A1039,T_PlannedOrders[WeekIndex],35)&amp;" ("&amp;TEXT(SUMPRODUCT(MAX((T_PlannedOrders[Part Name]=$A1039)*(T_PlannedOrders[WeekIndex]=35)*(T_PlannedOrders[EffectiveQty]&gt;0)*T_PlannedOrders[Order_Month])),"m月")&amp;"発注)")</f>
        <v/>
      </c>
      <c r="AM1045">
        <f>IF(SUMIFS(T_PlannedOrders[EffectiveQty],T_PlannedOrders[Part Name],$A1039,T_PlannedOrders[WeekIndex],36)=0,"",SUMIFS(T_PlannedOrders[EffectiveQty],T_PlannedOrders[Part Name],$A1039,T_PlannedOrders[WeekIndex],36)&amp;" ("&amp;TEXT(SUMPRODUCT(MAX((T_PlannedOrders[Part Name]=$A1039)*(T_PlannedOrders[WeekIndex]=36)*(T_PlannedOrders[EffectiveQty]&gt;0)*T_PlannedOrders[Order_Month])),"m月")&amp;"発注)")</f>
        <v/>
      </c>
      <c r="AN1045">
        <f>IF(SUMIFS(T_PlannedOrders[EffectiveQty],T_PlannedOrders[Part Name],$A1039,T_PlannedOrders[WeekIndex],37)=0,"",SUMIFS(T_PlannedOrders[EffectiveQty],T_PlannedOrders[Part Name],$A1039,T_PlannedOrders[WeekIndex],37)&amp;" ("&amp;TEXT(SUMPRODUCT(MAX((T_PlannedOrders[Part Name]=$A1039)*(T_PlannedOrders[WeekIndex]=37)*(T_PlannedOrders[EffectiveQty]&gt;0)*T_PlannedOrders[Order_Month])),"m月")&amp;"発注)")</f>
        <v/>
      </c>
      <c r="AO1045">
        <f>IF(SUMIFS(T_PlannedOrders[EffectiveQty],T_PlannedOrders[Part Name],$A1039,T_PlannedOrders[WeekIndex],38)=0,"",SUMIFS(T_PlannedOrders[EffectiveQty],T_PlannedOrders[Part Name],$A1039,T_PlannedOrders[WeekIndex],38)&amp;" ("&amp;TEXT(SUMPRODUCT(MAX((T_PlannedOrders[Part Name]=$A1039)*(T_PlannedOrders[WeekIndex]=38)*(T_PlannedOrders[EffectiveQty]&gt;0)*T_PlannedOrders[Order_Month])),"m月")&amp;"発注)")</f>
        <v/>
      </c>
      <c r="AP1045">
        <f>IF(SUMIFS(T_PlannedOrders[EffectiveQty],T_PlannedOrders[Part Name],$A1039,T_PlannedOrders[WeekIndex],39)=0,"",SUMIFS(T_PlannedOrders[EffectiveQty],T_PlannedOrders[Part Name],$A1039,T_PlannedOrders[WeekIndex],39)&amp;" ("&amp;TEXT(SUMPRODUCT(MAX((T_PlannedOrders[Part Name]=$A1039)*(T_PlannedOrders[WeekIndex]=39)*(T_PlannedOrders[EffectiveQty]&gt;0)*T_PlannedOrders[Order_Month])),"m月")&amp;"発注)")</f>
        <v/>
      </c>
      <c r="AQ1045">
        <f>IF(SUMIFS(T_PlannedOrders[EffectiveQty],T_PlannedOrders[Part Name],$A1039,T_PlannedOrders[WeekIndex],40)=0,"",SUMIFS(T_PlannedOrders[EffectiveQty],T_PlannedOrders[Part Name],$A1039,T_PlannedOrders[WeekIndex],40)&amp;" ("&amp;TEXT(SUMPRODUCT(MAX((T_PlannedOrders[Part Name]=$A1039)*(T_PlannedOrders[WeekIndex]=40)*(T_PlannedOrders[EffectiveQty]&gt;0)*T_PlannedOrders[Order_Month])),"m月")&amp;"発注)")</f>
        <v/>
      </c>
      <c r="AR1045">
        <f>IF(SUMIFS(T_PlannedOrders[EffectiveQty],T_PlannedOrders[Part Name],$A1039,T_PlannedOrders[WeekIndex],41)=0,"",SUMIFS(T_PlannedOrders[EffectiveQty],T_PlannedOrders[Part Name],$A1039,T_PlannedOrders[WeekIndex],41)&amp;" ("&amp;TEXT(SUMPRODUCT(MAX((T_PlannedOrders[Part Name]=$A1039)*(T_PlannedOrders[WeekIndex]=41)*(T_PlannedOrders[EffectiveQty]&gt;0)*T_PlannedOrders[Order_Month])),"m月")&amp;"発注)")</f>
        <v/>
      </c>
      <c r="AS1045">
        <f>IF(SUMIFS(T_PlannedOrders[EffectiveQty],T_PlannedOrders[Part Name],$A1039,T_PlannedOrders[WeekIndex],42)=0,"",SUMIFS(T_PlannedOrders[EffectiveQty],T_PlannedOrders[Part Name],$A1039,T_PlannedOrders[WeekIndex],42)&amp;" ("&amp;TEXT(SUMPRODUCT(MAX((T_PlannedOrders[Part Name]=$A1039)*(T_PlannedOrders[WeekIndex]=42)*(T_PlannedOrders[EffectiveQty]&gt;0)*T_PlannedOrders[Order_Month])),"m月")&amp;"発注)")</f>
        <v/>
      </c>
      <c r="AT1045">
        <f>IF(SUMIFS(T_PlannedOrders[EffectiveQty],T_PlannedOrders[Part Name],$A1039,T_PlannedOrders[WeekIndex],43)=0,"",SUMIFS(T_PlannedOrders[EffectiveQty],T_PlannedOrders[Part Name],$A1039,T_PlannedOrders[WeekIndex],43)&amp;" ("&amp;TEXT(SUMPRODUCT(MAX((T_PlannedOrders[Part Name]=$A1039)*(T_PlannedOrders[WeekIndex]=43)*(T_PlannedOrders[EffectiveQty]&gt;0)*T_PlannedOrders[Order_Month])),"m月")&amp;"発注)")</f>
        <v/>
      </c>
      <c r="AU1045">
        <f>IF(SUMIFS(T_PlannedOrders[EffectiveQty],T_PlannedOrders[Part Name],$A1039,T_PlannedOrders[WeekIndex],44)=0,"",SUMIFS(T_PlannedOrders[EffectiveQty],T_PlannedOrders[Part Name],$A1039,T_PlannedOrders[WeekIndex],44)&amp;" ("&amp;TEXT(SUMPRODUCT(MAX((T_PlannedOrders[Part Name]=$A1039)*(T_PlannedOrders[WeekIndex]=44)*(T_PlannedOrders[EffectiveQty]&gt;0)*T_PlannedOrders[Order_Month])),"m月")&amp;"発注)")</f>
        <v/>
      </c>
      <c r="AV1045">
        <f>IF(SUMIFS(T_PlannedOrders[EffectiveQty],T_PlannedOrders[Part Name],$A1039,T_PlannedOrders[WeekIndex],45)=0,"",SUMIFS(T_PlannedOrders[EffectiveQty],T_PlannedOrders[Part Name],$A1039,T_PlannedOrders[WeekIndex],45)&amp;" ("&amp;TEXT(SUMPRODUCT(MAX((T_PlannedOrders[Part Name]=$A1039)*(T_PlannedOrders[WeekIndex]=45)*(T_PlannedOrders[EffectiveQty]&gt;0)*T_PlannedOrders[Order_Month])),"m月")&amp;"発注)")</f>
        <v/>
      </c>
      <c r="AW1045">
        <f>IF(SUMIFS(T_PlannedOrders[EffectiveQty],T_PlannedOrders[Part Name],$A1039,T_PlannedOrders[WeekIndex],46)=0,"",SUMIFS(T_PlannedOrders[EffectiveQty],T_PlannedOrders[Part Name],$A1039,T_PlannedOrders[WeekIndex],46)&amp;" ("&amp;TEXT(SUMPRODUCT(MAX((T_PlannedOrders[Part Name]=$A1039)*(T_PlannedOrders[WeekIndex]=46)*(T_PlannedOrders[EffectiveQty]&gt;0)*T_PlannedOrders[Order_Month])),"m月")&amp;"発注)")</f>
        <v/>
      </c>
      <c r="AX1045">
        <f>IF(SUMIFS(T_PlannedOrders[EffectiveQty],T_PlannedOrders[Part Name],$A1039,T_PlannedOrders[WeekIndex],47)=0,"",SUMIFS(T_PlannedOrders[EffectiveQty],T_PlannedOrders[Part Name],$A1039,T_PlannedOrders[WeekIndex],47)&amp;" ("&amp;TEXT(SUMPRODUCT(MAX((T_PlannedOrders[Part Name]=$A1039)*(T_PlannedOrders[WeekIndex]=47)*(T_PlannedOrders[EffectiveQty]&gt;0)*T_PlannedOrders[Order_Month])),"m月")&amp;"発注)")</f>
        <v/>
      </c>
      <c r="AY1045">
        <f>IF(SUMIFS(T_PlannedOrders[EffectiveQty],T_PlannedOrders[Part Name],$A1039,T_PlannedOrders[WeekIndex],48)=0,"",SUMIFS(T_PlannedOrders[EffectiveQty],T_PlannedOrders[Part Name],$A1039,T_PlannedOrders[WeekIndex],48)&amp;" ("&amp;TEXT(SUMPRODUCT(MAX((T_PlannedOrders[Part Name]=$A1039)*(T_PlannedOrders[WeekIndex]=48)*(T_PlannedOrders[EffectiveQty]&gt;0)*T_PlannedOrders[Order_Month])),"m月")&amp;"発注)")</f>
        <v/>
      </c>
      <c r="AZ1045">
        <f>IF(SUMIFS(T_PlannedOrders[EffectiveQty],T_PlannedOrders[Part Name],$A1039,T_PlannedOrders[WeekIndex],49)=0,"",SUMIFS(T_PlannedOrders[EffectiveQty],T_PlannedOrders[Part Name],$A1039,T_PlannedOrders[WeekIndex],49)&amp;" ("&amp;TEXT(SUMPRODUCT(MAX((T_PlannedOrders[Part Name]=$A1039)*(T_PlannedOrders[WeekIndex]=49)*(T_PlannedOrders[EffectiveQty]&gt;0)*T_PlannedOrders[Order_Month])),"m月")&amp;"発注)")</f>
        <v/>
      </c>
      <c r="BA1045">
        <f>IF(SUMIFS(T_PlannedOrders[EffectiveQty],T_PlannedOrders[Part Name],$A1039,T_PlannedOrders[WeekIndex],50)=0,"",SUMIFS(T_PlannedOrders[EffectiveQty],T_PlannedOrders[Part Name],$A1039,T_PlannedOrders[WeekIndex],50)&amp;" ("&amp;TEXT(SUMPRODUCT(MAX((T_PlannedOrders[Part Name]=$A1039)*(T_PlannedOrders[WeekIndex]=50)*(T_PlannedOrders[EffectiveQty]&gt;0)*T_PlannedOrders[Order_Month])),"m月")&amp;"発注)")</f>
        <v/>
      </c>
      <c r="BB1045">
        <f>IF(SUMIFS(T_PlannedOrders[EffectiveQty],T_PlannedOrders[Part Name],$A1039,T_PlannedOrders[WeekIndex],51)=0,"",SUMIFS(T_PlannedOrders[EffectiveQty],T_PlannedOrders[Part Name],$A1039,T_PlannedOrders[WeekIndex],51)&amp;" ("&amp;TEXT(SUMPRODUCT(MAX((T_PlannedOrders[Part Name]=$A1039)*(T_PlannedOrders[WeekIndex]=51)*(T_PlannedOrders[EffectiveQty]&gt;0)*T_PlannedOrders[Order_Month])),"m月")&amp;"発注)")</f>
        <v/>
      </c>
      <c r="BC1045">
        <f>IF(SUMIFS(T_PlannedOrders[EffectiveQty],T_PlannedOrders[Part Name],$A1039,T_PlannedOrders[WeekIndex],52)=0,"",SUMIFS(T_PlannedOrders[EffectiveQty],T_PlannedOrders[Part Name],$A1039,T_PlannedOrders[WeekIndex],52)&amp;" ("&amp;TEXT(SUMPRODUCT(MAX((T_PlannedOrders[Part Name]=$A1039)*(T_PlannedOrders[WeekIndex]=52)*(T_PlannedOrders[EffectiveQty]&gt;0)*T_PlannedOrders[Order_Month])),"m月")&amp;"発注)")</f>
        <v/>
      </c>
      <c r="BD1045">
        <f>IF(SUMIFS(T_PlannedOrders[EffectiveQty],T_PlannedOrders[Part Name],$A1039,T_PlannedOrders[WeekIndex],53)=0,"",SUMIFS(T_PlannedOrders[EffectiveQty],T_PlannedOrders[Part Name],$A1039,T_PlannedOrders[WeekIndex],53)&amp;" ("&amp;TEXT(SUMPRODUCT(MAX((T_PlannedOrders[Part Name]=$A1039)*(T_PlannedOrders[WeekIndex]=53)*(T_PlannedOrders[EffectiveQty]&gt;0)*T_PlannedOrders[Order_Month])),"m月")&amp;"発注)")</f>
        <v/>
      </c>
      <c r="BE1045">
        <f>IF(SUMIFS(T_PlannedOrders[EffectiveQty],T_PlannedOrders[Part Name],$A1039,T_PlannedOrders[WeekIndex],54)=0,"",SUMIFS(T_PlannedOrders[EffectiveQty],T_PlannedOrders[Part Name],$A1039,T_PlannedOrders[WeekIndex],54)&amp;" ("&amp;TEXT(SUMPRODUCT(MAX((T_PlannedOrders[Part Name]=$A1039)*(T_PlannedOrders[WeekIndex]=54)*(T_PlannedOrders[EffectiveQty]&gt;0)*T_PlannedOrders[Order_Month])),"m月")&amp;"発注)")</f>
        <v/>
      </c>
      <c r="BF1045">
        <f>IF(SUMIFS(T_PlannedOrders[EffectiveQty],T_PlannedOrders[Part Name],$A1039,T_PlannedOrders[WeekIndex],55)=0,"",SUMIFS(T_PlannedOrders[EffectiveQty],T_PlannedOrders[Part Name],$A1039,T_PlannedOrders[WeekIndex],55)&amp;" ("&amp;TEXT(SUMPRODUCT(MAX((T_PlannedOrders[Part Name]=$A1039)*(T_PlannedOrders[WeekIndex]=55)*(T_PlannedOrders[EffectiveQty]&gt;0)*T_PlannedOrders[Order_Month])),"m月")&amp;"発注)")</f>
        <v/>
      </c>
      <c r="BG1045">
        <f>IF(SUMIFS(T_PlannedOrders[EffectiveQty],T_PlannedOrders[Part Name],$A1039,T_PlannedOrders[WeekIndex],56)=0,"",SUMIFS(T_PlannedOrders[EffectiveQty],T_PlannedOrders[Part Name],$A1039,T_PlannedOrders[WeekIndex],56)&amp;" ("&amp;TEXT(SUMPRODUCT(MAX((T_PlannedOrders[Part Name]=$A1039)*(T_PlannedOrders[WeekIndex]=56)*(T_PlannedOrders[EffectiveQty]&gt;0)*T_PlannedOrders[Order_Month])),"m月")&amp;"発注)")</f>
        <v/>
      </c>
      <c r="BH1045">
        <f>IF(SUMIFS(T_PlannedOrders[EffectiveQty],T_PlannedOrders[Part Name],$A1039,T_PlannedOrders[WeekIndex],57)=0,"",SUMIFS(T_PlannedOrders[EffectiveQty],T_PlannedOrders[Part Name],$A1039,T_PlannedOrders[WeekIndex],57)&amp;" ("&amp;TEXT(SUMPRODUCT(MAX((T_PlannedOrders[Part Name]=$A1039)*(T_PlannedOrders[WeekIndex]=57)*(T_PlannedOrders[EffectiveQty]&gt;0)*T_PlannedOrders[Order_Month])),"m月")&amp;"発注)")</f>
        <v/>
      </c>
      <c r="BI1045">
        <f>IF(SUMIFS(T_PlannedOrders[EffectiveQty],T_PlannedOrders[Part Name],$A1039,T_PlannedOrders[WeekIndex],58)=0,"",SUMIFS(T_PlannedOrders[EffectiveQty],T_PlannedOrders[Part Name],$A1039,T_PlannedOrders[WeekIndex],58)&amp;" ("&amp;TEXT(SUMPRODUCT(MAX((T_PlannedOrders[Part Name]=$A1039)*(T_PlannedOrders[WeekIndex]=58)*(T_PlannedOrders[EffectiveQty]&gt;0)*T_PlannedOrders[Order_Month])),"m月")&amp;"発注)")</f>
        <v/>
      </c>
      <c r="BJ1045">
        <f>IF(SUMIFS(T_PlannedOrders[EffectiveQty],T_PlannedOrders[Part Name],$A1039,T_PlannedOrders[WeekIndex],59)=0,"",SUMIFS(T_PlannedOrders[EffectiveQty],T_PlannedOrders[Part Name],$A1039,T_PlannedOrders[WeekIndex],59)&amp;" ("&amp;TEXT(SUMPRODUCT(MAX((T_PlannedOrders[Part Name]=$A1039)*(T_PlannedOrders[WeekIndex]=59)*(T_PlannedOrders[EffectiveQty]&gt;0)*T_PlannedOrders[Order_Month])),"m月")&amp;"発注)")</f>
        <v/>
      </c>
      <c r="BK1045">
        <f>IF(SUMIFS(T_PlannedOrders[EffectiveQty],T_PlannedOrders[Part Name],$A1039,T_PlannedOrders[WeekIndex],60)=0,"",SUMIFS(T_PlannedOrders[EffectiveQty],T_PlannedOrders[Part Name],$A1039,T_PlannedOrders[WeekIndex],60)&amp;" ("&amp;TEXT(SUMPRODUCT(MAX((T_PlannedOrders[Part Name]=$A1039)*(T_PlannedOrders[WeekIndex]=60)*(T_PlannedOrders[EffectiveQty]&gt;0)*T_PlannedOrders[Order_Month])),"m月")&amp;"発注)")</f>
        <v/>
      </c>
      <c r="BL1045">
        <f>IF(SUMIFS(T_PlannedOrders[EffectiveQty],T_PlannedOrders[Part Name],$A1039,T_PlannedOrders[WeekIndex],61)=0,"",SUMIFS(T_PlannedOrders[EffectiveQty],T_PlannedOrders[Part Name],$A1039,T_PlannedOrders[WeekIndex],61)&amp;" ("&amp;TEXT(SUMPRODUCT(MAX((T_PlannedOrders[Part Name]=$A1039)*(T_PlannedOrders[WeekIndex]=61)*(T_PlannedOrders[EffectiveQty]&gt;0)*T_PlannedOrders[Order_Month])),"m月")&amp;"発注)")</f>
        <v/>
      </c>
      <c r="BM1045">
        <f>IF(SUMIFS(T_PlannedOrders[EffectiveQty],T_PlannedOrders[Part Name],$A1039,T_PlannedOrders[WeekIndex],62)=0,"",SUMIFS(T_PlannedOrders[EffectiveQty],T_PlannedOrders[Part Name],$A1039,T_PlannedOrders[WeekIndex],62)&amp;" ("&amp;TEXT(SUMPRODUCT(MAX((T_PlannedOrders[Part Name]=$A1039)*(T_PlannedOrders[WeekIndex]=62)*(T_PlannedOrders[EffectiveQty]&gt;0)*T_PlannedOrders[Order_Month])),"m月")&amp;"発注)")</f>
        <v/>
      </c>
      <c r="BN1045">
        <f>IF(SUMIFS(T_PlannedOrders[EffectiveQty],T_PlannedOrders[Part Name],$A1039,T_PlannedOrders[WeekIndex],63)=0,"",SUMIFS(T_PlannedOrders[EffectiveQty],T_PlannedOrders[Part Name],$A1039,T_PlannedOrders[WeekIndex],63)&amp;" ("&amp;TEXT(SUMPRODUCT(MAX((T_PlannedOrders[Part Name]=$A1039)*(T_PlannedOrders[WeekIndex]=63)*(T_PlannedOrders[EffectiveQty]&gt;0)*T_PlannedOrders[Order_Month])),"m月")&amp;"発注)")</f>
        <v/>
      </c>
      <c r="BO1045">
        <f>IF(SUMIFS(T_PlannedOrders[EffectiveQty],T_PlannedOrders[Part Name],$A1039,T_PlannedOrders[WeekIndex],64)=0,"",SUMIFS(T_PlannedOrders[EffectiveQty],T_PlannedOrders[Part Name],$A1039,T_PlannedOrders[WeekIndex],64)&amp;" ("&amp;TEXT(SUMPRODUCT(MAX((T_PlannedOrders[Part Name]=$A1039)*(T_PlannedOrders[WeekIndex]=64)*(T_PlannedOrders[EffectiveQty]&gt;0)*T_PlannedOrders[Order_Month])),"m月")&amp;"発注)")</f>
        <v/>
      </c>
      <c r="BP1045">
        <f>IF(SUMIFS(T_PlannedOrders[EffectiveQty],T_PlannedOrders[Part Name],$A1039,T_PlannedOrders[WeekIndex],65)=0,"",SUMIFS(T_PlannedOrders[EffectiveQty],T_PlannedOrders[Part Name],$A1039,T_PlannedOrders[WeekIndex],65)&amp;" ("&amp;TEXT(SUMPRODUCT(MAX((T_PlannedOrders[Part Name]=$A1039)*(T_PlannedOrders[WeekIndex]=65)*(T_PlannedOrders[EffectiveQty]&gt;0)*T_PlannedOrders[Order_Month])),"m月")&amp;"発注)")</f>
        <v/>
      </c>
      <c r="BQ1045">
        <f>IF(SUMIFS(T_PlannedOrders[EffectiveQty],T_PlannedOrders[Part Name],$A1039,T_PlannedOrders[WeekIndex],66)=0,"",SUMIFS(T_PlannedOrders[EffectiveQty],T_PlannedOrders[Part Name],$A1039,T_PlannedOrders[WeekIndex],66)&amp;" ("&amp;TEXT(SUMPRODUCT(MAX((T_PlannedOrders[Part Name]=$A1039)*(T_PlannedOrders[WeekIndex]=66)*(T_PlannedOrders[EffectiveQty]&gt;0)*T_PlannedOrders[Order_Month])),"m月")&amp;"発注)")</f>
        <v/>
      </c>
      <c r="BR1045">
        <f>IF(SUMIFS(T_PlannedOrders[EffectiveQty],T_PlannedOrders[Part Name],$A1039,T_PlannedOrders[WeekIndex],67)=0,"",SUMIFS(T_PlannedOrders[EffectiveQty],T_PlannedOrders[Part Name],$A1039,T_PlannedOrders[WeekIndex],67)&amp;" ("&amp;TEXT(SUMPRODUCT(MAX((T_PlannedOrders[Part Name]=$A1039)*(T_PlannedOrders[WeekIndex]=67)*(T_PlannedOrders[EffectiveQty]&gt;0)*T_PlannedOrders[Order_Month])),"m月")&amp;"発注)")</f>
        <v/>
      </c>
      <c r="BS1045">
        <f>IF(SUMIFS(T_PlannedOrders[EffectiveQty],T_PlannedOrders[Part Name],$A1039,T_PlannedOrders[WeekIndex],68)=0,"",SUMIFS(T_PlannedOrders[EffectiveQty],T_PlannedOrders[Part Name],$A1039,T_PlannedOrders[WeekIndex],68)&amp;" ("&amp;TEXT(SUMPRODUCT(MAX((T_PlannedOrders[Part Name]=$A1039)*(T_PlannedOrders[WeekIndex]=68)*(T_PlannedOrders[EffectiveQty]&gt;0)*T_PlannedOrders[Order_Month])),"m月")&amp;"発注)")</f>
        <v/>
      </c>
      <c r="BT1045">
        <f>IF(SUMIFS(T_PlannedOrders[EffectiveQty],T_PlannedOrders[Part Name],$A1039,T_PlannedOrders[WeekIndex],69)=0,"",SUMIFS(T_PlannedOrders[EffectiveQty],T_PlannedOrders[Part Name],$A1039,T_PlannedOrders[WeekIndex],69)&amp;" ("&amp;TEXT(SUMPRODUCT(MAX((T_PlannedOrders[Part Name]=$A1039)*(T_PlannedOrders[WeekIndex]=69)*(T_PlannedOrders[EffectiveQty]&gt;0)*T_PlannedOrders[Order_Month])),"m月")&amp;"発注)")</f>
        <v/>
      </c>
      <c r="BU1045">
        <f>IF(SUMIFS(T_PlannedOrders[EffectiveQty],T_PlannedOrders[Part Name],$A1039,T_PlannedOrders[WeekIndex],70)=0,"",SUMIFS(T_PlannedOrders[EffectiveQty],T_PlannedOrders[Part Name],$A1039,T_PlannedOrders[WeekIndex],70)&amp;" ("&amp;TEXT(SUMPRODUCT(MAX((T_PlannedOrders[Part Name]=$A1039)*(T_PlannedOrders[WeekIndex]=70)*(T_PlannedOrders[EffectiveQty]&gt;0)*T_PlannedOrders[Order_Month])),"m月")&amp;"発注)")</f>
        <v/>
      </c>
      <c r="BV1045">
        <f>IF(SUMIFS(T_PlannedOrders[EffectiveQty],T_PlannedOrders[Part Name],$A1039,T_PlannedOrders[WeekIndex],71)=0,"",SUMIFS(T_PlannedOrders[EffectiveQty],T_PlannedOrders[Part Name],$A1039,T_PlannedOrders[WeekIndex],71)&amp;" ("&amp;TEXT(SUMPRODUCT(MAX((T_PlannedOrders[Part Name]=$A1039)*(T_PlannedOrders[WeekIndex]=71)*(T_PlannedOrders[EffectiveQty]&gt;0)*T_PlannedOrders[Order_Month])),"m月")&amp;"発注)")</f>
        <v/>
      </c>
      <c r="BW1045">
        <f>IF(SUMIFS(T_PlannedOrders[EffectiveQty],T_PlannedOrders[Part Name],$A1039,T_PlannedOrders[WeekIndex],72)=0,"",SUMIFS(T_PlannedOrders[EffectiveQty],T_PlannedOrders[Part Name],$A1039,T_PlannedOrders[WeekIndex],72)&amp;" ("&amp;TEXT(SUMPRODUCT(MAX((T_PlannedOrders[Part Name]=$A1039)*(T_PlannedOrders[WeekIndex]=72)*(T_PlannedOrders[EffectiveQty]&gt;0)*T_PlannedOrders[Order_Month])),"m月")&amp;"発注)")</f>
        <v/>
      </c>
      <c r="BX1045">
        <f>IF(SUMIFS(T_PlannedOrders[EffectiveQty],T_PlannedOrders[Part Name],$A1039,T_PlannedOrders[WeekIndex],73)=0,"",SUMIFS(T_PlannedOrders[EffectiveQty],T_PlannedOrders[Part Name],$A1039,T_PlannedOrders[WeekIndex],73)&amp;" ("&amp;TEXT(SUMPRODUCT(MAX((T_PlannedOrders[Part Name]=$A1039)*(T_PlannedOrders[WeekIndex]=73)*(T_PlannedOrders[EffectiveQty]&gt;0)*T_PlannedOrders[Order_Month])),"m月")&amp;"発注)")</f>
        <v/>
      </c>
      <c r="BY1045">
        <f>IF(SUMIFS(T_PlannedOrders[EffectiveQty],T_PlannedOrders[Part Name],$A1039,T_PlannedOrders[WeekIndex],74)=0,"",SUMIFS(T_PlannedOrders[EffectiveQty],T_PlannedOrders[Part Name],$A1039,T_PlannedOrders[WeekIndex],74)&amp;" ("&amp;TEXT(SUMPRODUCT(MAX((T_PlannedOrders[Part Name]=$A1039)*(T_PlannedOrders[WeekIndex]=74)*(T_PlannedOrders[EffectiveQty]&gt;0)*T_PlannedOrders[Order_Month])),"m月")&amp;"発注)")</f>
        <v/>
      </c>
      <c r="BZ1045">
        <f>IF(SUMIFS(T_PlannedOrders[EffectiveQty],T_PlannedOrders[Part Name],$A1039,T_PlannedOrders[WeekIndex],75)=0,"",SUMIFS(T_PlannedOrders[EffectiveQty],T_PlannedOrders[Part Name],$A1039,T_PlannedOrders[WeekIndex],75)&amp;" ("&amp;TEXT(SUMPRODUCT(MAX((T_PlannedOrders[Part Name]=$A1039)*(T_PlannedOrders[WeekIndex]=75)*(T_PlannedOrders[EffectiveQty]&gt;0)*T_PlannedOrders[Order_Month])),"m月")&amp;"発注)")</f>
        <v/>
      </c>
      <c r="CA1045">
        <f>IF(SUMIFS(T_PlannedOrders[EffectiveQty],T_PlannedOrders[Part Name],$A1039,T_PlannedOrders[WeekIndex],76)=0,"",SUMIFS(T_PlannedOrders[EffectiveQty],T_PlannedOrders[Part Name],$A1039,T_PlannedOrders[WeekIndex],76)&amp;" ("&amp;TEXT(SUMPRODUCT(MAX((T_PlannedOrders[Part Name]=$A1039)*(T_PlannedOrders[WeekIndex]=76)*(T_PlannedOrders[EffectiveQty]&gt;0)*T_PlannedOrders[Order_Month])),"m月")&amp;"発注)")</f>
        <v/>
      </c>
      <c r="CB1045">
        <f>IF(SUMIFS(T_PlannedOrders[EffectiveQty],T_PlannedOrders[Part Name],$A1039,T_PlannedOrders[WeekIndex],77)=0,"",SUMIFS(T_PlannedOrders[EffectiveQty],T_PlannedOrders[Part Name],$A1039,T_PlannedOrders[WeekIndex],77)&amp;" ("&amp;TEXT(SUMPRODUCT(MAX((T_PlannedOrders[Part Name]=$A1039)*(T_PlannedOrders[WeekIndex]=77)*(T_PlannedOrders[EffectiveQty]&gt;0)*T_PlannedOrders[Order_Month])),"m月")&amp;"発注)")</f>
        <v/>
      </c>
      <c r="CC1045">
        <f>IF(SUMIFS(T_PlannedOrders[EffectiveQty],T_PlannedOrders[Part Name],$A1039,T_PlannedOrders[WeekIndex],78)=0,"",SUMIFS(T_PlannedOrders[EffectiveQty],T_PlannedOrders[Part Name],$A1039,T_PlannedOrders[WeekIndex],78)&amp;" ("&amp;TEXT(SUMPRODUCT(MAX((T_PlannedOrders[Part Name]=$A1039)*(T_PlannedOrders[WeekIndex]=78)*(T_PlannedOrders[EffectiveQty]&gt;0)*T_PlannedOrders[Order_Month])),"m月")&amp;"発注)")</f>
        <v/>
      </c>
      <c r="CD1045">
        <f>IF(SUMIFS(T_PlannedOrders[EffectiveQty],T_PlannedOrders[Part Name],$A1039,T_PlannedOrders[WeekIndex],79)=0,"",SUMIFS(T_PlannedOrders[EffectiveQty],T_PlannedOrders[Part Name],$A1039,T_PlannedOrders[WeekIndex],79)&amp;" ("&amp;TEXT(SUMPRODUCT(MAX((T_PlannedOrders[Part Name]=$A1039)*(T_PlannedOrders[WeekIndex]=79)*(T_PlannedOrders[EffectiveQty]&gt;0)*T_PlannedOrders[Order_Month])),"m月")&amp;"発注)")</f>
        <v/>
      </c>
      <c r="CE1045">
        <f>IF(SUMIFS(T_PlannedOrders[EffectiveQty],T_PlannedOrders[Part Name],$A1039,T_PlannedOrders[WeekIndex],80)=0,"",SUMIFS(T_PlannedOrders[EffectiveQty],T_PlannedOrders[Part Name],$A1039,T_PlannedOrders[WeekIndex],80)&amp;" ("&amp;TEXT(SUMPRODUCT(MAX((T_PlannedOrders[Part Name]=$A1039)*(T_PlannedOrders[WeekIndex]=80)*(T_PlannedOrders[EffectiveQty]&gt;0)*T_PlannedOrders[Order_Month])),"m月")&amp;"発注)")</f>
        <v/>
      </c>
      <c r="CF1045">
        <f>IF(SUMIFS(T_PlannedOrders[EffectiveQty],T_PlannedOrders[Part Name],$A1039,T_PlannedOrders[WeekIndex],81)=0,"",SUMIFS(T_PlannedOrders[EffectiveQty],T_PlannedOrders[Part Name],$A1039,T_PlannedOrders[WeekIndex],81)&amp;" ("&amp;TEXT(SUMPRODUCT(MAX((T_PlannedOrders[Part Name]=$A1039)*(T_PlannedOrders[WeekIndex]=81)*(T_PlannedOrders[EffectiveQty]&gt;0)*T_PlannedOrders[Order_Month])),"m月")&amp;"発注)")</f>
        <v/>
      </c>
      <c r="CG1045">
        <f>IF(SUMIFS(T_PlannedOrders[EffectiveQty],T_PlannedOrders[Part Name],$A1039,T_PlannedOrders[WeekIndex],82)=0,"",SUMIFS(T_PlannedOrders[EffectiveQty],T_PlannedOrders[Part Name],$A1039,T_PlannedOrders[WeekIndex],82)&amp;" ("&amp;TEXT(SUMPRODUCT(MAX((T_PlannedOrders[Part Name]=$A1039)*(T_PlannedOrders[WeekIndex]=82)*(T_PlannedOrders[EffectiveQty]&gt;0)*T_PlannedOrders[Order_Month])),"m月")&amp;"発注)")</f>
        <v/>
      </c>
      <c r="CH1045">
        <f>IF(SUMIFS(T_PlannedOrders[EffectiveQty],T_PlannedOrders[Part Name],$A1039,T_PlannedOrders[WeekIndex],83)=0,"",SUMIFS(T_PlannedOrders[EffectiveQty],T_PlannedOrders[Part Name],$A1039,T_PlannedOrders[WeekIndex],83)&amp;" ("&amp;TEXT(SUMPRODUCT(MAX((T_PlannedOrders[Part Name]=$A1039)*(T_PlannedOrders[WeekIndex]=83)*(T_PlannedOrders[EffectiveQty]&gt;0)*T_PlannedOrders[Order_Month])),"m月")&amp;"発注)")</f>
        <v/>
      </c>
      <c r="CI1045">
        <f>IF(SUMIFS(T_PlannedOrders[EffectiveQty],T_PlannedOrders[Part Name],$A1039,T_PlannedOrders[WeekIndex],84)=0,"",SUMIFS(T_PlannedOrders[EffectiveQty],T_PlannedOrders[Part Name],$A1039,T_PlannedOrders[WeekIndex],84)&amp;" ("&amp;TEXT(SUMPRODUCT(MAX((T_PlannedOrders[Part Name]=$A1039)*(T_PlannedOrders[WeekIndex]=84)*(T_PlannedOrders[EffectiveQty]&gt;0)*T_PlannedOrders[Order_Month])),"m月")&amp;"発注)")</f>
        <v/>
      </c>
      <c r="CJ1045">
        <f>IF(SUMIFS(T_PlannedOrders[EffectiveQty],T_PlannedOrders[Part Name],$A1039,T_PlannedOrders[WeekIndex],85)=0,"",SUMIFS(T_PlannedOrders[EffectiveQty],T_PlannedOrders[Part Name],$A1039,T_PlannedOrders[WeekIndex],85)&amp;" ("&amp;TEXT(SUMPRODUCT(MAX((T_PlannedOrders[Part Name]=$A1039)*(T_PlannedOrders[WeekIndex]=85)*(T_PlannedOrders[EffectiveQty]&gt;0)*T_PlannedOrders[Order_Month])),"m月")&amp;"発注)")</f>
        <v/>
      </c>
      <c r="CK1045">
        <f>IF(SUMIFS(T_PlannedOrders[EffectiveQty],T_PlannedOrders[Part Name],$A1039,T_PlannedOrders[WeekIndex],86)=0,"",SUMIFS(T_PlannedOrders[EffectiveQty],T_PlannedOrders[Part Name],$A1039,T_PlannedOrders[WeekIndex],86)&amp;" ("&amp;TEXT(SUMPRODUCT(MAX((T_PlannedOrders[Part Name]=$A1039)*(T_PlannedOrders[WeekIndex]=86)*(T_PlannedOrders[EffectiveQty]&gt;0)*T_PlannedOrders[Order_Month])),"m月")&amp;"発注)")</f>
        <v/>
      </c>
      <c r="CL1045">
        <f>IF(SUMIFS(T_PlannedOrders[EffectiveQty],T_PlannedOrders[Part Name],$A1039,T_PlannedOrders[WeekIndex],87)=0,"",SUMIFS(T_PlannedOrders[EffectiveQty],T_PlannedOrders[Part Name],$A1039,T_PlannedOrders[WeekIndex],87)&amp;" ("&amp;TEXT(SUMPRODUCT(MAX((T_PlannedOrders[Part Name]=$A1039)*(T_PlannedOrders[WeekIndex]=87)*(T_PlannedOrders[EffectiveQty]&gt;0)*T_PlannedOrders[Order_Month])),"m月")&amp;"発注)")</f>
        <v/>
      </c>
      <c r="CM1045">
        <f>IF(SUMIFS(T_PlannedOrders[EffectiveQty],T_PlannedOrders[Part Name],$A1039,T_PlannedOrders[WeekIndex],88)=0,"",SUMIFS(T_PlannedOrders[EffectiveQty],T_PlannedOrders[Part Name],$A1039,T_PlannedOrders[WeekIndex],88)&amp;" ("&amp;TEXT(SUMPRODUCT(MAX((T_PlannedOrders[Part Name]=$A1039)*(T_PlannedOrders[WeekIndex]=88)*(T_PlannedOrders[EffectiveQty]&gt;0)*T_PlannedOrders[Order_Month])),"m月")&amp;"発注)")</f>
        <v/>
      </c>
      <c r="CN1045">
        <f>IF(SUMIFS(T_PlannedOrders[EffectiveQty],T_PlannedOrders[Part Name],$A1039,T_PlannedOrders[WeekIndex],89)=0,"",SUMIFS(T_PlannedOrders[EffectiveQty],T_PlannedOrders[Part Name],$A1039,T_PlannedOrders[WeekIndex],89)&amp;" ("&amp;TEXT(SUMPRODUCT(MAX((T_PlannedOrders[Part Name]=$A1039)*(T_PlannedOrders[WeekIndex]=89)*(T_PlannedOrders[EffectiveQty]&gt;0)*T_PlannedOrders[Order_Month])),"m月")&amp;"発注)")</f>
        <v/>
      </c>
      <c r="CO1045">
        <f>IF(SUMIFS(T_PlannedOrders[EffectiveQty],T_PlannedOrders[Part Name],$A1039,T_PlannedOrders[WeekIndex],90)=0,"",SUMIFS(T_PlannedOrders[EffectiveQty],T_PlannedOrders[Part Name],$A1039,T_PlannedOrders[WeekIndex],90)&amp;" ("&amp;TEXT(SUMPRODUCT(MAX((T_PlannedOrders[Part Name]=$A1039)*(T_PlannedOrders[WeekIndex]=90)*(T_PlannedOrders[EffectiveQty]&gt;0)*T_PlannedOrders[Order_Month])),"m月")&amp;"発注)")</f>
        <v/>
      </c>
      <c r="CP1045">
        <f>IF(SUMIFS(T_PlannedOrders[EffectiveQty],T_PlannedOrders[Part Name],$A1039,T_PlannedOrders[WeekIndex],91)=0,"",SUMIFS(T_PlannedOrders[EffectiveQty],T_PlannedOrders[Part Name],$A1039,T_PlannedOrders[WeekIndex],91)&amp;" ("&amp;TEXT(SUMPRODUCT(MAX((T_PlannedOrders[Part Name]=$A1039)*(T_PlannedOrders[WeekIndex]=91)*(T_PlannedOrders[EffectiveQty]&gt;0)*T_PlannedOrders[Order_Month])),"m月")&amp;"発注)")</f>
        <v/>
      </c>
      <c r="CQ1045">
        <f>IF(SUMIFS(T_PlannedOrders[EffectiveQty],T_PlannedOrders[Part Name],$A1039,T_PlannedOrders[WeekIndex],92)=0,"",SUMIFS(T_PlannedOrders[EffectiveQty],T_PlannedOrders[Part Name],$A1039,T_PlannedOrders[WeekIndex],92)&amp;" ("&amp;TEXT(SUMPRODUCT(MAX((T_PlannedOrders[Part Name]=$A1039)*(T_PlannedOrders[WeekIndex]=92)*(T_PlannedOrders[EffectiveQty]&gt;0)*T_PlannedOrders[Order_Month])),"m月")&amp;"発注)")</f>
        <v/>
      </c>
      <c r="CR1045">
        <f>IF(SUMIFS(T_PlannedOrders[EffectiveQty],T_PlannedOrders[Part Name],$A1039,T_PlannedOrders[WeekIndex],93)=0,"",SUMIFS(T_PlannedOrders[EffectiveQty],T_PlannedOrders[Part Name],$A1039,T_PlannedOrders[WeekIndex],93)&amp;" ("&amp;TEXT(SUMPRODUCT(MAX((T_PlannedOrders[Part Name]=$A1039)*(T_PlannedOrders[WeekIndex]=93)*(T_PlannedOrders[EffectiveQty]&gt;0)*T_PlannedOrders[Order_Month])),"m月")&amp;"発注)")</f>
        <v/>
      </c>
      <c r="CS1045">
        <f>IF(SUMIFS(T_PlannedOrders[EffectiveQty],T_PlannedOrders[Part Name],$A1039,T_PlannedOrders[WeekIndex],94)=0,"",SUMIFS(T_PlannedOrders[EffectiveQty],T_PlannedOrders[Part Name],$A1039,T_PlannedOrders[WeekIndex],94)&amp;" ("&amp;TEXT(SUMPRODUCT(MAX((T_PlannedOrders[Part Name]=$A1039)*(T_PlannedOrders[WeekIndex]=94)*(T_PlannedOrders[EffectiveQty]&gt;0)*T_PlannedOrders[Order_Month])),"m月")&amp;"発注)")</f>
        <v/>
      </c>
      <c r="CT1045">
        <f>IF(SUMIFS(T_PlannedOrders[EffectiveQty],T_PlannedOrders[Part Name],$A1039,T_PlannedOrders[WeekIndex],95)=0,"",SUMIFS(T_PlannedOrders[EffectiveQty],T_PlannedOrders[Part Name],$A1039,T_PlannedOrders[WeekIndex],95)&amp;" ("&amp;TEXT(SUMPRODUCT(MAX((T_PlannedOrders[Part Name]=$A1039)*(T_PlannedOrders[WeekIndex]=95)*(T_PlannedOrders[EffectiveQty]&gt;0)*T_PlannedOrders[Order_Month])),"m月")&amp;"発注)")</f>
        <v/>
      </c>
      <c r="CU1045">
        <f>IF(SUMIFS(T_PlannedOrders[EffectiveQty],T_PlannedOrders[Part Name],$A1039,T_PlannedOrders[WeekIndex],96)=0,"",SUMIFS(T_PlannedOrders[EffectiveQty],T_PlannedOrders[Part Name],$A1039,T_PlannedOrders[WeekIndex],96)&amp;" ("&amp;TEXT(SUMPRODUCT(MAX((T_PlannedOrders[Part Name]=$A1039)*(T_PlannedOrders[WeekIndex]=96)*(T_PlannedOrders[EffectiveQty]&gt;0)*T_PlannedOrders[Order_Month])),"m月")&amp;"発注)")</f>
        <v/>
      </c>
      <c r="CV1045">
        <f>IF(SUMIFS(T_PlannedOrders[EffectiveQty],T_PlannedOrders[Part Name],$A1039,T_PlannedOrders[WeekIndex],97)=0,"",SUMIFS(T_PlannedOrders[EffectiveQty],T_PlannedOrders[Part Name],$A1039,T_PlannedOrders[WeekIndex],97)&amp;" ("&amp;TEXT(SUMPRODUCT(MAX((T_PlannedOrders[Part Name]=$A1039)*(T_PlannedOrders[WeekIndex]=97)*(T_PlannedOrders[EffectiveQty]&gt;0)*T_PlannedOrders[Order_Month])),"m月")&amp;"発注)")</f>
        <v/>
      </c>
      <c r="CW1045">
        <f>IF(SUMIFS(T_PlannedOrders[EffectiveQty],T_PlannedOrders[Part Name],$A1039,T_PlannedOrders[WeekIndex],98)=0,"",SUMIFS(T_PlannedOrders[EffectiveQty],T_PlannedOrders[Part Name],$A1039,T_PlannedOrders[WeekIndex],98)&amp;" ("&amp;TEXT(SUMPRODUCT(MAX((T_PlannedOrders[Part Name]=$A1039)*(T_PlannedOrders[WeekIndex]=98)*(T_PlannedOrders[EffectiveQty]&gt;0)*T_PlannedOrders[Order_Month])),"m月")&amp;"発注)")</f>
        <v/>
      </c>
      <c r="CX1045">
        <f>IF(SUMIFS(T_PlannedOrders[EffectiveQty],T_PlannedOrders[Part Name],$A1039,T_PlannedOrders[WeekIndex],99)=0,"",SUMIFS(T_PlannedOrders[EffectiveQty],T_PlannedOrders[Part Name],$A1039,T_PlannedOrders[WeekIndex],99)&amp;" ("&amp;TEXT(SUMPRODUCT(MAX((T_PlannedOrders[Part Name]=$A1039)*(T_PlannedOrders[WeekIndex]=99)*(T_PlannedOrders[EffectiveQty]&gt;0)*T_PlannedOrders[Order_Month])),"m月")&amp;"発注)")</f>
        <v/>
      </c>
      <c r="CY1045">
        <f>IF(SUMIFS(T_PlannedOrders[EffectiveQty],T_PlannedOrders[Part Name],$A1039,T_PlannedOrders[WeekIndex],100)=0,"",SUMIFS(T_PlannedOrders[EffectiveQty],T_PlannedOrders[Part Name],$A1039,T_PlannedOrders[WeekIndex],100)&amp;" ("&amp;TEXT(SUMPRODUCT(MAX((T_PlannedOrders[Part Name]=$A1039)*(T_PlannedOrders[WeekIndex]=100)*(T_PlannedOrders[EffectiveQty]&gt;0)*T_PlannedOrders[Order_Month])),"m月")&amp;"発注)")</f>
        <v/>
      </c>
      <c r="CZ1045">
        <f>IF(SUMIFS(T_PlannedOrders[EffectiveQty],T_PlannedOrders[Part Name],$A1039,T_PlannedOrders[WeekIndex],101)=0,"",SUMIFS(T_PlannedOrders[EffectiveQty],T_PlannedOrders[Part Name],$A1039,T_PlannedOrders[WeekIndex],101)&amp;" ("&amp;TEXT(SUMPRODUCT(MAX((T_PlannedOrders[Part Name]=$A1039)*(T_PlannedOrders[WeekIndex]=101)*(T_PlannedOrders[EffectiveQty]&gt;0)*T_PlannedOrders[Order_Month])),"m月")&amp;"発注)")</f>
        <v/>
      </c>
      <c r="DA1045">
        <f>IF(SUMIFS(T_PlannedOrders[EffectiveQty],T_PlannedOrders[Part Name],$A1039,T_PlannedOrders[WeekIndex],102)=0,"",SUMIFS(T_PlannedOrders[EffectiveQty],T_PlannedOrders[Part Name],$A1039,T_PlannedOrders[WeekIndex],102)&amp;" ("&amp;TEXT(SUMPRODUCT(MAX((T_PlannedOrders[Part Name]=$A1039)*(T_PlannedOrders[WeekIndex]=102)*(T_PlannedOrders[EffectiveQty]&gt;0)*T_PlannedOrders[Order_Month])),"m月")&amp;"発注)")</f>
        <v/>
      </c>
      <c r="DB1045">
        <f>IF(SUMIFS(T_PlannedOrders[EffectiveQty],T_PlannedOrders[Part Name],$A1039,T_PlannedOrders[WeekIndex],103)=0,"",SUMIFS(T_PlannedOrders[EffectiveQty],T_PlannedOrders[Part Name],$A1039,T_PlannedOrders[WeekIndex],103)&amp;" ("&amp;TEXT(SUMPRODUCT(MAX((T_PlannedOrders[Part Name]=$A1039)*(T_PlannedOrders[WeekIndex]=103)*(T_PlannedOrders[EffectiveQty]&gt;0)*T_PlannedOrders[Order_Month])),"m月")&amp;"発注)")</f>
        <v/>
      </c>
      <c r="DC1045">
        <f>IF(SUMIFS(T_PlannedOrders[EffectiveQty],T_PlannedOrders[Part Name],$A1039,T_PlannedOrders[WeekIndex],104)=0,"",SUMIFS(T_PlannedOrders[EffectiveQty],T_PlannedOrders[Part Name],$A1039,T_PlannedOrders[WeekIndex],104)&amp;" ("&amp;TEXT(SUMPRODUCT(MAX((T_PlannedOrders[Part Name]=$A1039)*(T_PlannedOrders[WeekIndex]=104)*(T_PlannedOrders[EffectiveQty]&gt;0)*T_PlannedOrders[Order_Month])),"m月")&amp;"発注)")</f>
        <v/>
      </c>
    </row>
    <row r="1046">
      <c r="B1046" s="9" t="inlineStr">
        <is>
          <t>合計在庫(週末時点,kg)</t>
        </is>
      </c>
      <c r="D1046">
        <f>'Grid_Stock'!B30</f>
        <v/>
      </c>
      <c r="E1046">
        <f>'Grid_Stock'!C30</f>
        <v/>
      </c>
      <c r="F1046">
        <f>'Grid_Stock'!D30</f>
        <v/>
      </c>
      <c r="G1046">
        <f>'Grid_Stock'!E30</f>
        <v/>
      </c>
      <c r="H1046">
        <f>'Grid_Stock'!F30</f>
        <v/>
      </c>
      <c r="I1046">
        <f>'Grid_Stock'!G30</f>
        <v/>
      </c>
      <c r="J1046">
        <f>'Grid_Stock'!H30</f>
        <v/>
      </c>
      <c r="K1046">
        <f>'Grid_Stock'!I30</f>
        <v/>
      </c>
      <c r="L1046">
        <f>'Grid_Stock'!J30</f>
        <v/>
      </c>
      <c r="M1046">
        <f>'Grid_Stock'!K30</f>
        <v/>
      </c>
      <c r="N1046">
        <f>'Grid_Stock'!L30</f>
        <v/>
      </c>
      <c r="O1046">
        <f>'Grid_Stock'!M30</f>
        <v/>
      </c>
      <c r="P1046">
        <f>'Grid_Stock'!N30</f>
        <v/>
      </c>
      <c r="Q1046">
        <f>'Grid_Stock'!O30</f>
        <v/>
      </c>
      <c r="R1046">
        <f>'Grid_Stock'!P30</f>
        <v/>
      </c>
      <c r="S1046">
        <f>'Grid_Stock'!Q30</f>
        <v/>
      </c>
      <c r="T1046">
        <f>'Grid_Stock'!R30</f>
        <v/>
      </c>
      <c r="U1046">
        <f>'Grid_Stock'!S30</f>
        <v/>
      </c>
      <c r="V1046">
        <f>'Grid_Stock'!T30</f>
        <v/>
      </c>
      <c r="W1046">
        <f>'Grid_Stock'!U30</f>
        <v/>
      </c>
      <c r="X1046">
        <f>'Grid_Stock'!V30</f>
        <v/>
      </c>
      <c r="Y1046">
        <f>'Grid_Stock'!W30</f>
        <v/>
      </c>
      <c r="Z1046">
        <f>'Grid_Stock'!X30</f>
        <v/>
      </c>
      <c r="AA1046">
        <f>'Grid_Stock'!Y30</f>
        <v/>
      </c>
      <c r="AB1046">
        <f>'Grid_Stock'!Z30</f>
        <v/>
      </c>
      <c r="AC1046">
        <f>'Grid_Stock'!AA30</f>
        <v/>
      </c>
      <c r="AD1046">
        <f>'Grid_Stock'!AB30</f>
        <v/>
      </c>
      <c r="AE1046">
        <f>'Grid_Stock'!AC30</f>
        <v/>
      </c>
      <c r="AF1046">
        <f>'Grid_Stock'!AD30</f>
        <v/>
      </c>
      <c r="AG1046">
        <f>'Grid_Stock'!AE30</f>
        <v/>
      </c>
      <c r="AH1046">
        <f>'Grid_Stock'!AF30</f>
        <v/>
      </c>
      <c r="AI1046">
        <f>'Grid_Stock'!AG30</f>
        <v/>
      </c>
      <c r="AJ1046">
        <f>'Grid_Stock'!AH30</f>
        <v/>
      </c>
      <c r="AK1046">
        <f>'Grid_Stock'!AI30</f>
        <v/>
      </c>
      <c r="AL1046">
        <f>'Grid_Stock'!AJ30</f>
        <v/>
      </c>
      <c r="AM1046">
        <f>'Grid_Stock'!AK30</f>
        <v/>
      </c>
      <c r="AN1046">
        <f>'Grid_Stock'!AL30</f>
        <v/>
      </c>
      <c r="AO1046">
        <f>'Grid_Stock'!AM30</f>
        <v/>
      </c>
      <c r="AP1046">
        <f>'Grid_Stock'!AN30</f>
        <v/>
      </c>
      <c r="AQ1046">
        <f>'Grid_Stock'!AO30</f>
        <v/>
      </c>
      <c r="AR1046">
        <f>'Grid_Stock'!AP30</f>
        <v/>
      </c>
      <c r="AS1046">
        <f>'Grid_Stock'!AQ30</f>
        <v/>
      </c>
      <c r="AT1046">
        <f>'Grid_Stock'!AR30</f>
        <v/>
      </c>
      <c r="AU1046">
        <f>'Grid_Stock'!AS30</f>
        <v/>
      </c>
      <c r="AV1046">
        <f>'Grid_Stock'!AT30</f>
        <v/>
      </c>
      <c r="AW1046">
        <f>'Grid_Stock'!AU30</f>
        <v/>
      </c>
      <c r="AX1046">
        <f>'Grid_Stock'!AV30</f>
        <v/>
      </c>
      <c r="AY1046">
        <f>'Grid_Stock'!AW30</f>
        <v/>
      </c>
      <c r="AZ1046">
        <f>'Grid_Stock'!AX30</f>
        <v/>
      </c>
      <c r="BA1046">
        <f>'Grid_Stock'!AY30</f>
        <v/>
      </c>
      <c r="BB1046">
        <f>'Grid_Stock'!AZ30</f>
        <v/>
      </c>
      <c r="BC1046">
        <f>'Grid_Stock'!BA30</f>
        <v/>
      </c>
      <c r="BD1046">
        <f>'Grid_Stock'!BB30</f>
        <v/>
      </c>
      <c r="BE1046">
        <f>'Grid_Stock'!BC30</f>
        <v/>
      </c>
      <c r="BF1046">
        <f>'Grid_Stock'!BD30</f>
        <v/>
      </c>
      <c r="BG1046">
        <f>'Grid_Stock'!BE30</f>
        <v/>
      </c>
      <c r="BH1046">
        <f>'Grid_Stock'!BF30</f>
        <v/>
      </c>
      <c r="BI1046">
        <f>'Grid_Stock'!BG30</f>
        <v/>
      </c>
      <c r="BJ1046">
        <f>'Grid_Stock'!BH30</f>
        <v/>
      </c>
      <c r="BK1046">
        <f>'Grid_Stock'!BI30</f>
        <v/>
      </c>
      <c r="BL1046">
        <f>'Grid_Stock'!BJ30</f>
        <v/>
      </c>
      <c r="BM1046">
        <f>'Grid_Stock'!BK30</f>
        <v/>
      </c>
      <c r="BN1046">
        <f>'Grid_Stock'!BL30</f>
        <v/>
      </c>
      <c r="BO1046">
        <f>'Grid_Stock'!BM30</f>
        <v/>
      </c>
      <c r="BP1046">
        <f>'Grid_Stock'!BN30</f>
        <v/>
      </c>
      <c r="BQ1046">
        <f>'Grid_Stock'!BO30</f>
        <v/>
      </c>
      <c r="BR1046">
        <f>'Grid_Stock'!BP30</f>
        <v/>
      </c>
      <c r="BS1046">
        <f>'Grid_Stock'!BQ30</f>
        <v/>
      </c>
      <c r="BT1046">
        <f>'Grid_Stock'!BR30</f>
        <v/>
      </c>
      <c r="BU1046">
        <f>'Grid_Stock'!BS30</f>
        <v/>
      </c>
      <c r="BV1046">
        <f>'Grid_Stock'!BT30</f>
        <v/>
      </c>
      <c r="BW1046">
        <f>'Grid_Stock'!BU30</f>
        <v/>
      </c>
      <c r="BX1046">
        <f>'Grid_Stock'!BV30</f>
        <v/>
      </c>
      <c r="BY1046">
        <f>'Grid_Stock'!BW30</f>
        <v/>
      </c>
      <c r="BZ1046">
        <f>'Grid_Stock'!BX30</f>
        <v/>
      </c>
      <c r="CA1046">
        <f>'Grid_Stock'!BY30</f>
        <v/>
      </c>
      <c r="CB1046">
        <f>'Grid_Stock'!BZ30</f>
        <v/>
      </c>
      <c r="CC1046">
        <f>'Grid_Stock'!CA30</f>
        <v/>
      </c>
      <c r="CD1046">
        <f>'Grid_Stock'!CB30</f>
        <v/>
      </c>
      <c r="CE1046">
        <f>'Grid_Stock'!CC30</f>
        <v/>
      </c>
      <c r="CF1046">
        <f>'Grid_Stock'!CD30</f>
        <v/>
      </c>
      <c r="CG1046">
        <f>'Grid_Stock'!CE30</f>
        <v/>
      </c>
      <c r="CH1046">
        <f>'Grid_Stock'!CF30</f>
        <v/>
      </c>
      <c r="CI1046">
        <f>'Grid_Stock'!CG30</f>
        <v/>
      </c>
      <c r="CJ1046">
        <f>'Grid_Stock'!CH30</f>
        <v/>
      </c>
      <c r="CK1046">
        <f>'Grid_Stock'!CI30</f>
        <v/>
      </c>
      <c r="CL1046">
        <f>'Grid_Stock'!CJ30</f>
        <v/>
      </c>
      <c r="CM1046">
        <f>'Grid_Stock'!CK30</f>
        <v/>
      </c>
      <c r="CN1046">
        <f>'Grid_Stock'!CL30</f>
        <v/>
      </c>
      <c r="CO1046">
        <f>'Grid_Stock'!CM30</f>
        <v/>
      </c>
      <c r="CP1046">
        <f>'Grid_Stock'!CN30</f>
        <v/>
      </c>
      <c r="CQ1046">
        <f>'Grid_Stock'!CO30</f>
        <v/>
      </c>
      <c r="CR1046">
        <f>'Grid_Stock'!CP30</f>
        <v/>
      </c>
      <c r="CS1046">
        <f>'Grid_Stock'!CQ30</f>
        <v/>
      </c>
      <c r="CT1046">
        <f>'Grid_Stock'!CR30</f>
        <v/>
      </c>
      <c r="CU1046">
        <f>'Grid_Stock'!CS30</f>
        <v/>
      </c>
      <c r="CV1046">
        <f>'Grid_Stock'!CT30</f>
        <v/>
      </c>
      <c r="CW1046">
        <f>'Grid_Stock'!CU30</f>
        <v/>
      </c>
      <c r="CX1046">
        <f>'Grid_Stock'!CV30</f>
        <v/>
      </c>
      <c r="CY1046">
        <f>'Grid_Stock'!CW30</f>
        <v/>
      </c>
      <c r="CZ1046">
        <f>'Grid_Stock'!CX30</f>
        <v/>
      </c>
      <c r="DA1046">
        <f>'Grid_Stock'!CY30</f>
        <v/>
      </c>
      <c r="DB1046">
        <f>'Grid_Stock'!CZ30</f>
        <v/>
      </c>
      <c r="DC1046">
        <f>'Grid_Stock'!DA30</f>
        <v/>
      </c>
    </row>
    <row r="1047">
      <c r="B1047" s="21" t="inlineStr">
        <is>
          <t>（発注の目安はDashboardの基準在庫[下限/上限]と色分けを参照）</t>
        </is>
      </c>
    </row>
    <row r="1049">
      <c r="A1049" s="19" t="inlineStr">
        <is>
          <t>CHEM-1020</t>
        </is>
      </c>
      <c r="B1049" s="19" t="inlineStr">
        <is>
          <t>Sodium Nitrite</t>
        </is>
      </c>
      <c r="C1049" s="20" t="n"/>
      <c r="D1049" s="19" t="n"/>
      <c r="E1049" s="19" t="n"/>
      <c r="F1049" s="19" t="n"/>
      <c r="G1049" s="19" t="n"/>
      <c r="H1049" s="19" t="n"/>
      <c r="I1049" s="19" t="n"/>
      <c r="J1049" s="19" t="n"/>
      <c r="K1049" s="19" t="n"/>
      <c r="L1049" s="19" t="n"/>
      <c r="M1049" s="19" t="n"/>
      <c r="N1049" s="19" t="n"/>
      <c r="O1049" s="19" t="n"/>
      <c r="P1049" s="19" t="n"/>
      <c r="Q1049" s="19" t="n"/>
      <c r="R1049" s="19" t="n"/>
      <c r="S1049" s="19" t="n"/>
      <c r="T1049" s="19" t="n"/>
      <c r="U1049" s="19" t="n"/>
      <c r="V1049" s="19" t="n"/>
      <c r="W1049" s="19" t="n"/>
      <c r="X1049" s="19" t="n"/>
      <c r="Y1049" s="19" t="n"/>
      <c r="Z1049" s="19" t="n"/>
      <c r="AA1049" s="19" t="n"/>
      <c r="AB1049" s="19" t="n"/>
      <c r="AC1049" s="19" t="n"/>
      <c r="AD1049" s="19" t="n"/>
      <c r="AE1049" s="19" t="n"/>
      <c r="AF1049" s="19" t="n"/>
      <c r="AG1049" s="19" t="n"/>
      <c r="AH1049" s="19" t="n"/>
      <c r="AI1049" s="19" t="n"/>
      <c r="AJ1049" s="19" t="n"/>
      <c r="AK1049" s="19" t="n"/>
      <c r="AL1049" s="19" t="n"/>
      <c r="AM1049" s="19" t="n"/>
      <c r="AN1049" s="19" t="n"/>
      <c r="AO1049" s="19" t="n"/>
      <c r="AP1049" s="19" t="n"/>
      <c r="AQ1049" s="19" t="n"/>
      <c r="AR1049" s="19" t="n"/>
      <c r="AS1049" s="19" t="n"/>
      <c r="AT1049" s="19" t="n"/>
      <c r="AU1049" s="19" t="n"/>
      <c r="AV1049" s="19" t="n"/>
      <c r="AW1049" s="19" t="n"/>
      <c r="AX1049" s="19" t="n"/>
      <c r="AY1049" s="19" t="n"/>
      <c r="AZ1049" s="19" t="n"/>
      <c r="BA1049" s="19" t="n"/>
      <c r="BB1049" s="19" t="n"/>
      <c r="BC1049" s="19" t="n"/>
      <c r="BD1049" s="19" t="n"/>
      <c r="BE1049" s="19" t="n"/>
      <c r="BF1049" s="19" t="n"/>
      <c r="BG1049" s="19" t="n"/>
      <c r="BH1049" s="19" t="n"/>
      <c r="BI1049" s="19" t="n"/>
      <c r="BJ1049" s="19" t="n"/>
      <c r="BK1049" s="19" t="n"/>
      <c r="BL1049" s="19" t="n"/>
      <c r="BM1049" s="19" t="n"/>
      <c r="BN1049" s="19" t="n"/>
      <c r="BO1049" s="19" t="n"/>
      <c r="BP1049" s="19" t="n"/>
      <c r="BQ1049" s="19" t="n"/>
      <c r="BR1049" s="19" t="n"/>
      <c r="BS1049" s="19" t="n"/>
      <c r="BT1049" s="19" t="n"/>
      <c r="BU1049" s="19" t="n"/>
      <c r="BV1049" s="19" t="n"/>
      <c r="BW1049" s="19" t="n"/>
      <c r="BX1049" s="19" t="n"/>
      <c r="BY1049" s="19" t="n"/>
      <c r="BZ1049" s="19" t="n"/>
      <c r="CA1049" s="19" t="n"/>
      <c r="CB1049" s="19" t="n"/>
      <c r="CC1049" s="19" t="n"/>
      <c r="CD1049" s="19" t="n"/>
      <c r="CE1049" s="19" t="n"/>
      <c r="CF1049" s="19" t="n"/>
      <c r="CG1049" s="19" t="n"/>
      <c r="CH1049" s="19" t="n"/>
      <c r="CI1049" s="19" t="n"/>
      <c r="CJ1049" s="19" t="n"/>
      <c r="CK1049" s="19" t="n"/>
      <c r="CL1049" s="19" t="n"/>
      <c r="CM1049" s="19" t="n"/>
      <c r="CN1049" s="19" t="n"/>
      <c r="CO1049" s="19" t="n"/>
      <c r="CP1049" s="19" t="n"/>
      <c r="CQ1049" s="19" t="n"/>
      <c r="CR1049" s="19" t="n"/>
      <c r="CS1049" s="19" t="n"/>
      <c r="CT1049" s="19" t="n"/>
      <c r="CU1049" s="19" t="n"/>
      <c r="CV1049" s="19" t="n"/>
      <c r="CW1049" s="19" t="n"/>
      <c r="CX1049" s="19" t="n"/>
      <c r="CY1049" s="19" t="n"/>
      <c r="CZ1049" s="19" t="n"/>
      <c r="DA1049" s="19" t="n"/>
      <c r="DB1049" s="19" t="n"/>
      <c r="DC1049" s="19" t="n"/>
    </row>
    <row r="1050">
      <c r="B1050" t="inlineStr">
        <is>
          <t>20p</t>
        </is>
      </c>
      <c r="C1050" t="inlineStr">
        <is>
          <t>No. of batches</t>
        </is>
      </c>
      <c r="D1050">
        <f>IFERROR(INDEX(PP_Grid[#Data],$DD1050,2),0)</f>
        <v/>
      </c>
      <c r="E1050">
        <f>IFERROR(INDEX(PP_Grid[#Data],$DD1050,3),0)</f>
        <v/>
      </c>
      <c r="F1050">
        <f>IFERROR(INDEX(PP_Grid[#Data],$DD1050,4),0)</f>
        <v/>
      </c>
      <c r="G1050">
        <f>IFERROR(INDEX(PP_Grid[#Data],$DD1050,5),0)</f>
        <v/>
      </c>
      <c r="H1050">
        <f>IFERROR(INDEX(PP_Grid[#Data],$DD1050,6),0)</f>
        <v/>
      </c>
      <c r="I1050">
        <f>IFERROR(INDEX(PP_Grid[#Data],$DD1050,7),0)</f>
        <v/>
      </c>
      <c r="J1050">
        <f>IFERROR(INDEX(PP_Grid[#Data],$DD1050,8),0)</f>
        <v/>
      </c>
      <c r="K1050">
        <f>IFERROR(INDEX(PP_Grid[#Data],$DD1050,9),0)</f>
        <v/>
      </c>
      <c r="L1050">
        <f>IFERROR(INDEX(PP_Grid[#Data],$DD1050,10),0)</f>
        <v/>
      </c>
      <c r="M1050">
        <f>IFERROR(INDEX(PP_Grid[#Data],$DD1050,11),0)</f>
        <v/>
      </c>
      <c r="N1050">
        <f>IFERROR(INDEX(PP_Grid[#Data],$DD1050,12),0)</f>
        <v/>
      </c>
      <c r="O1050">
        <f>IFERROR(INDEX(PP_Grid[#Data],$DD1050,13),0)</f>
        <v/>
      </c>
      <c r="P1050">
        <f>IFERROR(INDEX(PP_Grid[#Data],$DD1050,14),0)</f>
        <v/>
      </c>
      <c r="Q1050">
        <f>IFERROR(INDEX(PP_Grid[#Data],$DD1050,15),0)</f>
        <v/>
      </c>
      <c r="R1050">
        <f>IFERROR(INDEX(PP_Grid[#Data],$DD1050,16),0)</f>
        <v/>
      </c>
      <c r="S1050">
        <f>IFERROR(INDEX(PP_Grid[#Data],$DD1050,17),0)</f>
        <v/>
      </c>
      <c r="T1050">
        <f>IFERROR(INDEX(PP_Grid[#Data],$DD1050,18),0)</f>
        <v/>
      </c>
      <c r="U1050">
        <f>IFERROR(INDEX(PP_Grid[#Data],$DD1050,19),0)</f>
        <v/>
      </c>
      <c r="V1050">
        <f>IFERROR(INDEX(PP_Grid[#Data],$DD1050,20),0)</f>
        <v/>
      </c>
      <c r="W1050">
        <f>IFERROR(INDEX(PP_Grid[#Data],$DD1050,21),0)</f>
        <v/>
      </c>
      <c r="X1050">
        <f>IFERROR(INDEX(PP_Grid[#Data],$DD1050,22),0)</f>
        <v/>
      </c>
      <c r="Y1050">
        <f>IFERROR(INDEX(PP_Grid[#Data],$DD1050,23),0)</f>
        <v/>
      </c>
      <c r="Z1050">
        <f>IFERROR(INDEX(PP_Grid[#Data],$DD1050,24),0)</f>
        <v/>
      </c>
      <c r="AA1050">
        <f>IFERROR(INDEX(PP_Grid[#Data],$DD1050,25),0)</f>
        <v/>
      </c>
      <c r="AB1050">
        <f>IFERROR(INDEX(PP_Grid[#Data],$DD1050,26),0)</f>
        <v/>
      </c>
      <c r="AC1050">
        <f>IFERROR(INDEX(PP_Grid[#Data],$DD1050,27),0)</f>
        <v/>
      </c>
      <c r="AD1050">
        <f>IFERROR(INDEX(PP_Grid[#Data],$DD1050,28),0)</f>
        <v/>
      </c>
      <c r="AE1050">
        <f>IFERROR(INDEX(PP_Grid[#Data],$DD1050,29),0)</f>
        <v/>
      </c>
      <c r="AF1050">
        <f>IFERROR(INDEX(PP_Grid[#Data],$DD1050,30),0)</f>
        <v/>
      </c>
      <c r="AG1050">
        <f>IFERROR(INDEX(PP_Grid[#Data],$DD1050,31),0)</f>
        <v/>
      </c>
      <c r="AH1050">
        <f>IFERROR(INDEX(PP_Grid[#Data],$DD1050,32),0)</f>
        <v/>
      </c>
      <c r="AI1050">
        <f>IFERROR(INDEX(PP_Grid[#Data],$DD1050,33),0)</f>
        <v/>
      </c>
      <c r="AJ1050">
        <f>IFERROR(INDEX(PP_Grid[#Data],$DD1050,34),0)</f>
        <v/>
      </c>
      <c r="AK1050">
        <f>IFERROR(INDEX(PP_Grid[#Data],$DD1050,35),0)</f>
        <v/>
      </c>
      <c r="AL1050">
        <f>IFERROR(INDEX(PP_Grid[#Data],$DD1050,36),0)</f>
        <v/>
      </c>
      <c r="AM1050">
        <f>IFERROR(INDEX(PP_Grid[#Data],$DD1050,37),0)</f>
        <v/>
      </c>
      <c r="AN1050">
        <f>IFERROR(INDEX(PP_Grid[#Data],$DD1050,38),0)</f>
        <v/>
      </c>
      <c r="AO1050">
        <f>IFERROR(INDEX(PP_Grid[#Data],$DD1050,39),0)</f>
        <v/>
      </c>
      <c r="AP1050">
        <f>IFERROR(INDEX(PP_Grid[#Data],$DD1050,40),0)</f>
        <v/>
      </c>
      <c r="AQ1050">
        <f>IFERROR(INDEX(PP_Grid[#Data],$DD1050,41),0)</f>
        <v/>
      </c>
      <c r="AR1050">
        <f>IFERROR(INDEX(PP_Grid[#Data],$DD1050,42),0)</f>
        <v/>
      </c>
      <c r="AS1050">
        <f>IFERROR(INDEX(PP_Grid[#Data],$DD1050,43),0)</f>
        <v/>
      </c>
      <c r="AT1050">
        <f>IFERROR(INDEX(PP_Grid[#Data],$DD1050,44),0)</f>
        <v/>
      </c>
      <c r="AU1050">
        <f>IFERROR(INDEX(PP_Grid[#Data],$DD1050,45),0)</f>
        <v/>
      </c>
      <c r="AV1050">
        <f>IFERROR(INDEX(PP_Grid[#Data],$DD1050,46),0)</f>
        <v/>
      </c>
      <c r="AW1050">
        <f>IFERROR(INDEX(PP_Grid[#Data],$DD1050,47),0)</f>
        <v/>
      </c>
      <c r="AX1050">
        <f>IFERROR(INDEX(PP_Grid[#Data],$DD1050,48),0)</f>
        <v/>
      </c>
      <c r="AY1050">
        <f>IFERROR(INDEX(PP_Grid[#Data],$DD1050,49),0)</f>
        <v/>
      </c>
      <c r="AZ1050">
        <f>IFERROR(INDEX(PP_Grid[#Data],$DD1050,50),0)</f>
        <v/>
      </c>
      <c r="BA1050">
        <f>IFERROR(INDEX(PP_Grid[#Data],$DD1050,51),0)</f>
        <v/>
      </c>
      <c r="BB1050">
        <f>IFERROR(INDEX(PP_Grid[#Data],$DD1050,52),0)</f>
        <v/>
      </c>
      <c r="BC1050">
        <f>IFERROR(INDEX(PP_Grid[#Data],$DD1050,53),0)</f>
        <v/>
      </c>
      <c r="BD1050">
        <f>IFERROR(INDEX(PP_Grid[#Data],$DD1050,54),0)</f>
        <v/>
      </c>
      <c r="BE1050">
        <f>IFERROR(INDEX(PP_Grid[#Data],$DD1050,55),0)</f>
        <v/>
      </c>
      <c r="BF1050">
        <f>IFERROR(INDEX(PP_Grid[#Data],$DD1050,56),0)</f>
        <v/>
      </c>
      <c r="BG1050">
        <f>IFERROR(INDEX(PP_Grid[#Data],$DD1050,57),0)</f>
        <v/>
      </c>
      <c r="BH1050">
        <f>IFERROR(INDEX(PP_Grid[#Data],$DD1050,58),0)</f>
        <v/>
      </c>
      <c r="BI1050">
        <f>IFERROR(INDEX(PP_Grid[#Data],$DD1050,59),0)</f>
        <v/>
      </c>
      <c r="BJ1050">
        <f>IFERROR(INDEX(PP_Grid[#Data],$DD1050,60),0)</f>
        <v/>
      </c>
      <c r="BK1050">
        <f>IFERROR(INDEX(PP_Grid[#Data],$DD1050,61),0)</f>
        <v/>
      </c>
      <c r="BL1050">
        <f>IFERROR(INDEX(PP_Grid[#Data],$DD1050,62),0)</f>
        <v/>
      </c>
      <c r="BM1050">
        <f>IFERROR(INDEX(PP_Grid[#Data],$DD1050,63),0)</f>
        <v/>
      </c>
      <c r="BN1050">
        <f>IFERROR(INDEX(PP_Grid[#Data],$DD1050,64),0)</f>
        <v/>
      </c>
      <c r="BO1050">
        <f>IFERROR(INDEX(PP_Grid[#Data],$DD1050,65),0)</f>
        <v/>
      </c>
      <c r="BP1050">
        <f>IFERROR(INDEX(PP_Grid[#Data],$DD1050,66),0)</f>
        <v/>
      </c>
      <c r="BQ1050">
        <f>IFERROR(INDEX(PP_Grid[#Data],$DD1050,67),0)</f>
        <v/>
      </c>
      <c r="BR1050">
        <f>IFERROR(INDEX(PP_Grid[#Data],$DD1050,68),0)</f>
        <v/>
      </c>
      <c r="BS1050">
        <f>IFERROR(INDEX(PP_Grid[#Data],$DD1050,69),0)</f>
        <v/>
      </c>
      <c r="BT1050">
        <f>IFERROR(INDEX(PP_Grid[#Data],$DD1050,70),0)</f>
        <v/>
      </c>
      <c r="BU1050">
        <f>IFERROR(INDEX(PP_Grid[#Data],$DD1050,71),0)</f>
        <v/>
      </c>
      <c r="BV1050">
        <f>IFERROR(INDEX(PP_Grid[#Data],$DD1050,72),0)</f>
        <v/>
      </c>
      <c r="BW1050">
        <f>IFERROR(INDEX(PP_Grid[#Data],$DD1050,73),0)</f>
        <v/>
      </c>
      <c r="BX1050">
        <f>IFERROR(INDEX(PP_Grid[#Data],$DD1050,74),0)</f>
        <v/>
      </c>
      <c r="BY1050">
        <f>IFERROR(INDEX(PP_Grid[#Data],$DD1050,75),0)</f>
        <v/>
      </c>
      <c r="BZ1050">
        <f>IFERROR(INDEX(PP_Grid[#Data],$DD1050,76),0)</f>
        <v/>
      </c>
      <c r="CA1050">
        <f>IFERROR(INDEX(PP_Grid[#Data],$DD1050,77),0)</f>
        <v/>
      </c>
      <c r="CB1050">
        <f>IFERROR(INDEX(PP_Grid[#Data],$DD1050,78),0)</f>
        <v/>
      </c>
      <c r="CC1050">
        <f>IFERROR(INDEX(PP_Grid[#Data],$DD1050,79),0)</f>
        <v/>
      </c>
      <c r="CD1050">
        <f>IFERROR(INDEX(PP_Grid[#Data],$DD1050,80),0)</f>
        <v/>
      </c>
      <c r="CE1050">
        <f>IFERROR(INDEX(PP_Grid[#Data],$DD1050,81),0)</f>
        <v/>
      </c>
      <c r="CF1050">
        <f>IFERROR(INDEX(PP_Grid[#Data],$DD1050,82),0)</f>
        <v/>
      </c>
      <c r="CG1050">
        <f>IFERROR(INDEX(PP_Grid[#Data],$DD1050,83),0)</f>
        <v/>
      </c>
      <c r="CH1050">
        <f>IFERROR(INDEX(PP_Grid[#Data],$DD1050,84),0)</f>
        <v/>
      </c>
      <c r="CI1050">
        <f>IFERROR(INDEX(PP_Grid[#Data],$DD1050,85),0)</f>
        <v/>
      </c>
      <c r="CJ1050">
        <f>IFERROR(INDEX(PP_Grid[#Data],$DD1050,86),0)</f>
        <v/>
      </c>
      <c r="CK1050">
        <f>IFERROR(INDEX(PP_Grid[#Data],$DD1050,87),0)</f>
        <v/>
      </c>
      <c r="CL1050">
        <f>IFERROR(INDEX(PP_Grid[#Data],$DD1050,88),0)</f>
        <v/>
      </c>
      <c r="CM1050">
        <f>IFERROR(INDEX(PP_Grid[#Data],$DD1050,89),0)</f>
        <v/>
      </c>
      <c r="CN1050">
        <f>IFERROR(INDEX(PP_Grid[#Data],$DD1050,90),0)</f>
        <v/>
      </c>
      <c r="CO1050">
        <f>IFERROR(INDEX(PP_Grid[#Data],$DD1050,91),0)</f>
        <v/>
      </c>
      <c r="CP1050">
        <f>IFERROR(INDEX(PP_Grid[#Data],$DD1050,92),0)</f>
        <v/>
      </c>
      <c r="CQ1050">
        <f>IFERROR(INDEX(PP_Grid[#Data],$DD1050,93),0)</f>
        <v/>
      </c>
      <c r="CR1050">
        <f>IFERROR(INDEX(PP_Grid[#Data],$DD1050,94),0)</f>
        <v/>
      </c>
      <c r="CS1050">
        <f>IFERROR(INDEX(PP_Grid[#Data],$DD1050,95),0)</f>
        <v/>
      </c>
      <c r="CT1050">
        <f>IFERROR(INDEX(PP_Grid[#Data],$DD1050,96),0)</f>
        <v/>
      </c>
      <c r="CU1050">
        <f>IFERROR(INDEX(PP_Grid[#Data],$DD1050,97),0)</f>
        <v/>
      </c>
      <c r="CV1050">
        <f>IFERROR(INDEX(PP_Grid[#Data],$DD1050,98),0)</f>
        <v/>
      </c>
      <c r="CW1050">
        <f>IFERROR(INDEX(PP_Grid[#Data],$DD1050,99),0)</f>
        <v/>
      </c>
      <c r="CX1050">
        <f>IFERROR(INDEX(PP_Grid[#Data],$DD1050,100),0)</f>
        <v/>
      </c>
      <c r="CY1050">
        <f>IFERROR(INDEX(PP_Grid[#Data],$DD1050,101),0)</f>
        <v/>
      </c>
      <c r="CZ1050">
        <f>IFERROR(INDEX(PP_Grid[#Data],$DD1050,102),0)</f>
        <v/>
      </c>
      <c r="DA1050">
        <f>IFERROR(INDEX(PP_Grid[#Data],$DD1050,103),0)</f>
        <v/>
      </c>
      <c r="DB1050">
        <f>IFERROR(INDEX(PP_Grid[#Data],$DD1050,104),0)</f>
        <v/>
      </c>
      <c r="DC1050">
        <f>IFERROR(INDEX(PP_Grid[#Data],$DD1050,105),0)</f>
        <v/>
      </c>
      <c r="DD1050" s="12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SUMIFS(M_BOM[RM_Qty_Per_Batch],M_BOM[Intermediate],$B1050,M_BOM[Part Name],$A1049)</f>
        <v/>
      </c>
      <c r="D1051">
        <f>$C1051*D1050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</row>
    <row r="1052">
      <c r="B1052" s="9" t="inlineStr">
        <is>
          <t>合計使用量(kg)/週</t>
        </is>
      </c>
      <c r="D1052">
        <f>'Grid_Requirement'!B37</f>
        <v/>
      </c>
      <c r="E1052">
        <f>'Grid_Requirement'!C37</f>
        <v/>
      </c>
      <c r="F1052">
        <f>'Grid_Requirement'!D37</f>
        <v/>
      </c>
      <c r="G1052">
        <f>'Grid_Requirement'!E37</f>
        <v/>
      </c>
      <c r="H1052">
        <f>'Grid_Requirement'!F37</f>
        <v/>
      </c>
      <c r="I1052">
        <f>'Grid_Requirement'!G37</f>
        <v/>
      </c>
      <c r="J1052">
        <f>'Grid_Requirement'!H37</f>
        <v/>
      </c>
      <c r="K1052">
        <f>'Grid_Requirement'!I37</f>
        <v/>
      </c>
      <c r="L1052">
        <f>'Grid_Requirement'!J37</f>
        <v/>
      </c>
      <c r="M1052">
        <f>'Grid_Requirement'!K37</f>
        <v/>
      </c>
      <c r="N1052">
        <f>'Grid_Requirement'!L37</f>
        <v/>
      </c>
      <c r="O1052">
        <f>'Grid_Requirement'!M37</f>
        <v/>
      </c>
      <c r="P1052">
        <f>'Grid_Requirement'!N37</f>
        <v/>
      </c>
      <c r="Q1052">
        <f>'Grid_Requirement'!O37</f>
        <v/>
      </c>
      <c r="R1052">
        <f>'Grid_Requirement'!P37</f>
        <v/>
      </c>
      <c r="S1052">
        <f>'Grid_Requirement'!Q37</f>
        <v/>
      </c>
      <c r="T1052">
        <f>'Grid_Requirement'!R37</f>
        <v/>
      </c>
      <c r="U1052">
        <f>'Grid_Requirement'!S37</f>
        <v/>
      </c>
      <c r="V1052">
        <f>'Grid_Requirement'!T37</f>
        <v/>
      </c>
      <c r="W1052">
        <f>'Grid_Requirement'!U37</f>
        <v/>
      </c>
      <c r="X1052">
        <f>'Grid_Requirement'!V37</f>
        <v/>
      </c>
      <c r="Y1052">
        <f>'Grid_Requirement'!W37</f>
        <v/>
      </c>
      <c r="Z1052">
        <f>'Grid_Requirement'!X37</f>
        <v/>
      </c>
      <c r="AA1052">
        <f>'Grid_Requirement'!Y37</f>
        <v/>
      </c>
      <c r="AB1052">
        <f>'Grid_Requirement'!Z37</f>
        <v/>
      </c>
      <c r="AC1052">
        <f>'Grid_Requirement'!AA37</f>
        <v/>
      </c>
      <c r="AD1052">
        <f>'Grid_Requirement'!AB37</f>
        <v/>
      </c>
      <c r="AE1052">
        <f>'Grid_Requirement'!AC37</f>
        <v/>
      </c>
      <c r="AF1052">
        <f>'Grid_Requirement'!AD37</f>
        <v/>
      </c>
      <c r="AG1052">
        <f>'Grid_Requirement'!AE37</f>
        <v/>
      </c>
      <c r="AH1052">
        <f>'Grid_Requirement'!AF37</f>
        <v/>
      </c>
      <c r="AI1052">
        <f>'Grid_Requirement'!AG37</f>
        <v/>
      </c>
      <c r="AJ1052">
        <f>'Grid_Requirement'!AH37</f>
        <v/>
      </c>
      <c r="AK1052">
        <f>'Grid_Requirement'!AI37</f>
        <v/>
      </c>
      <c r="AL1052">
        <f>'Grid_Requirement'!AJ37</f>
        <v/>
      </c>
      <c r="AM1052">
        <f>'Grid_Requirement'!AK37</f>
        <v/>
      </c>
      <c r="AN1052">
        <f>'Grid_Requirement'!AL37</f>
        <v/>
      </c>
      <c r="AO1052">
        <f>'Grid_Requirement'!AM37</f>
        <v/>
      </c>
      <c r="AP1052">
        <f>'Grid_Requirement'!AN37</f>
        <v/>
      </c>
      <c r="AQ1052">
        <f>'Grid_Requirement'!AO37</f>
        <v/>
      </c>
      <c r="AR1052">
        <f>'Grid_Requirement'!AP37</f>
        <v/>
      </c>
      <c r="AS1052">
        <f>'Grid_Requirement'!AQ37</f>
        <v/>
      </c>
      <c r="AT1052">
        <f>'Grid_Requirement'!AR37</f>
        <v/>
      </c>
      <c r="AU1052">
        <f>'Grid_Requirement'!AS37</f>
        <v/>
      </c>
      <c r="AV1052">
        <f>'Grid_Requirement'!AT37</f>
        <v/>
      </c>
      <c r="AW1052">
        <f>'Grid_Requirement'!AU37</f>
        <v/>
      </c>
      <c r="AX1052">
        <f>'Grid_Requirement'!AV37</f>
        <v/>
      </c>
      <c r="AY1052">
        <f>'Grid_Requirement'!AW37</f>
        <v/>
      </c>
      <c r="AZ1052">
        <f>'Grid_Requirement'!AX37</f>
        <v/>
      </c>
      <c r="BA1052">
        <f>'Grid_Requirement'!AY37</f>
        <v/>
      </c>
      <c r="BB1052">
        <f>'Grid_Requirement'!AZ37</f>
        <v/>
      </c>
      <c r="BC1052">
        <f>'Grid_Requirement'!BA37</f>
        <v/>
      </c>
      <c r="BD1052">
        <f>'Grid_Requirement'!BB37</f>
        <v/>
      </c>
      <c r="BE1052">
        <f>'Grid_Requirement'!BC37</f>
        <v/>
      </c>
      <c r="BF1052">
        <f>'Grid_Requirement'!BD37</f>
        <v/>
      </c>
      <c r="BG1052">
        <f>'Grid_Requirement'!BE37</f>
        <v/>
      </c>
      <c r="BH1052">
        <f>'Grid_Requirement'!BF37</f>
        <v/>
      </c>
      <c r="BI1052">
        <f>'Grid_Requirement'!BG37</f>
        <v/>
      </c>
      <c r="BJ1052">
        <f>'Grid_Requirement'!BH37</f>
        <v/>
      </c>
      <c r="BK1052">
        <f>'Grid_Requirement'!BI37</f>
        <v/>
      </c>
      <c r="BL1052">
        <f>'Grid_Requirement'!BJ37</f>
        <v/>
      </c>
      <c r="BM1052">
        <f>'Grid_Requirement'!BK37</f>
        <v/>
      </c>
      <c r="BN1052">
        <f>'Grid_Requirement'!BL37</f>
        <v/>
      </c>
      <c r="BO1052">
        <f>'Grid_Requirement'!BM37</f>
        <v/>
      </c>
      <c r="BP1052">
        <f>'Grid_Requirement'!BN37</f>
        <v/>
      </c>
      <c r="BQ1052">
        <f>'Grid_Requirement'!BO37</f>
        <v/>
      </c>
      <c r="BR1052">
        <f>'Grid_Requirement'!BP37</f>
        <v/>
      </c>
      <c r="BS1052">
        <f>'Grid_Requirement'!BQ37</f>
        <v/>
      </c>
      <c r="BT1052">
        <f>'Grid_Requirement'!BR37</f>
        <v/>
      </c>
      <c r="BU1052">
        <f>'Grid_Requirement'!BS37</f>
        <v/>
      </c>
      <c r="BV1052">
        <f>'Grid_Requirement'!BT37</f>
        <v/>
      </c>
      <c r="BW1052">
        <f>'Grid_Requirement'!BU37</f>
        <v/>
      </c>
      <c r="BX1052">
        <f>'Grid_Requirement'!BV37</f>
        <v/>
      </c>
      <c r="BY1052">
        <f>'Grid_Requirement'!BW37</f>
        <v/>
      </c>
      <c r="BZ1052">
        <f>'Grid_Requirement'!BX37</f>
        <v/>
      </c>
      <c r="CA1052">
        <f>'Grid_Requirement'!BY37</f>
        <v/>
      </c>
      <c r="CB1052">
        <f>'Grid_Requirement'!BZ37</f>
        <v/>
      </c>
      <c r="CC1052">
        <f>'Grid_Requirement'!CA37</f>
        <v/>
      </c>
      <c r="CD1052">
        <f>'Grid_Requirement'!CB37</f>
        <v/>
      </c>
      <c r="CE1052">
        <f>'Grid_Requirement'!CC37</f>
        <v/>
      </c>
      <c r="CF1052">
        <f>'Grid_Requirement'!CD37</f>
        <v/>
      </c>
      <c r="CG1052">
        <f>'Grid_Requirement'!CE37</f>
        <v/>
      </c>
      <c r="CH1052">
        <f>'Grid_Requirement'!CF37</f>
        <v/>
      </c>
      <c r="CI1052">
        <f>'Grid_Requirement'!CG37</f>
        <v/>
      </c>
      <c r="CJ1052">
        <f>'Grid_Requirement'!CH37</f>
        <v/>
      </c>
      <c r="CK1052">
        <f>'Grid_Requirement'!CI37</f>
        <v/>
      </c>
      <c r="CL1052">
        <f>'Grid_Requirement'!CJ37</f>
        <v/>
      </c>
      <c r="CM1052">
        <f>'Grid_Requirement'!CK37</f>
        <v/>
      </c>
      <c r="CN1052">
        <f>'Grid_Requirement'!CL37</f>
        <v/>
      </c>
      <c r="CO1052">
        <f>'Grid_Requirement'!CM37</f>
        <v/>
      </c>
      <c r="CP1052">
        <f>'Grid_Requirement'!CN37</f>
        <v/>
      </c>
      <c r="CQ1052">
        <f>'Grid_Requirement'!CO37</f>
        <v/>
      </c>
      <c r="CR1052">
        <f>'Grid_Requirement'!CP37</f>
        <v/>
      </c>
      <c r="CS1052">
        <f>'Grid_Requirement'!CQ37</f>
        <v/>
      </c>
      <c r="CT1052">
        <f>'Grid_Requirement'!CR37</f>
        <v/>
      </c>
      <c r="CU1052">
        <f>'Grid_Requirement'!CS37</f>
        <v/>
      </c>
      <c r="CV1052">
        <f>'Grid_Requirement'!CT37</f>
        <v/>
      </c>
      <c r="CW1052">
        <f>'Grid_Requirement'!CU37</f>
        <v/>
      </c>
      <c r="CX1052">
        <f>'Grid_Requirement'!CV37</f>
        <v/>
      </c>
      <c r="CY1052">
        <f>'Grid_Requirement'!CW37</f>
        <v/>
      </c>
      <c r="CZ1052">
        <f>'Grid_Requirement'!CX37</f>
        <v/>
      </c>
      <c r="DA1052">
        <f>'Grid_Requirement'!CY37</f>
        <v/>
      </c>
      <c r="DB1052">
        <f>'Grid_Requirement'!CZ37</f>
        <v/>
      </c>
      <c r="DC1052">
        <f>'Grid_Requirement'!DA37</f>
        <v/>
      </c>
    </row>
    <row r="1053">
      <c r="B1053" t="inlineStr">
        <is>
          <t>TTAF在庫(実績,kg)</t>
        </is>
      </c>
      <c r="D1053">
        <f>'T_TTAFStock'!B41</f>
        <v/>
      </c>
      <c r="E1053">
        <f>'T_TTAFStock'!C41</f>
        <v/>
      </c>
      <c r="F1053">
        <f>'T_TTAFStock'!D41</f>
        <v/>
      </c>
      <c r="G1053">
        <f>'T_TTAFStock'!E41</f>
        <v/>
      </c>
      <c r="H1053">
        <f>'T_TTAFStock'!F41</f>
        <v/>
      </c>
      <c r="I1053">
        <f>'T_TTAFStock'!G41</f>
        <v/>
      </c>
      <c r="J1053">
        <f>'T_TTAFStock'!H41</f>
        <v/>
      </c>
      <c r="K1053">
        <f>'T_TTAFStock'!I41</f>
        <v/>
      </c>
      <c r="L1053">
        <f>'T_TTAFStock'!J41</f>
        <v/>
      </c>
      <c r="M1053">
        <f>'T_TTAFStock'!K41</f>
        <v/>
      </c>
      <c r="N1053">
        <f>'T_TTAFStock'!L41</f>
        <v/>
      </c>
      <c r="O1053">
        <f>'T_TTAFStock'!M41</f>
        <v/>
      </c>
      <c r="P1053">
        <f>'T_TTAFStock'!N41</f>
        <v/>
      </c>
      <c r="Q1053">
        <f>'T_TTAFStock'!O41</f>
        <v/>
      </c>
      <c r="R1053">
        <f>'T_TTAFStock'!P41</f>
        <v/>
      </c>
      <c r="S1053">
        <f>'T_TTAFStock'!Q41</f>
        <v/>
      </c>
      <c r="T1053">
        <f>'T_TTAFStock'!R41</f>
        <v/>
      </c>
      <c r="U1053">
        <f>'T_TTAFStock'!S41</f>
        <v/>
      </c>
      <c r="V1053">
        <f>'T_TTAFStock'!T41</f>
        <v/>
      </c>
      <c r="W1053">
        <f>'T_TTAFStock'!U41</f>
        <v/>
      </c>
      <c r="X1053">
        <f>'T_TTAFStock'!V41</f>
        <v/>
      </c>
      <c r="Y1053">
        <f>'T_TTAFStock'!W41</f>
        <v/>
      </c>
      <c r="Z1053">
        <f>'T_TTAFStock'!X41</f>
        <v/>
      </c>
      <c r="AA1053">
        <f>'T_TTAFStock'!Y41</f>
        <v/>
      </c>
      <c r="AB1053">
        <f>'T_TTAFStock'!Z41</f>
        <v/>
      </c>
      <c r="AC1053">
        <f>'T_TTAFStock'!AA41</f>
        <v/>
      </c>
      <c r="AD1053">
        <f>'T_TTAFStock'!AB41</f>
        <v/>
      </c>
      <c r="AE1053">
        <f>'T_TTAFStock'!AC41</f>
        <v/>
      </c>
      <c r="AF1053">
        <f>'T_TTAFStock'!AD41</f>
        <v/>
      </c>
      <c r="AG1053">
        <f>'T_TTAFStock'!AE41</f>
        <v/>
      </c>
      <c r="AH1053">
        <f>'T_TTAFStock'!AF41</f>
        <v/>
      </c>
      <c r="AI1053">
        <f>'T_TTAFStock'!AG41</f>
        <v/>
      </c>
      <c r="AJ1053">
        <f>'T_TTAFStock'!AH41</f>
        <v/>
      </c>
      <c r="AK1053">
        <f>'T_TTAFStock'!AI41</f>
        <v/>
      </c>
      <c r="AL1053">
        <f>'T_TTAFStock'!AJ41</f>
        <v/>
      </c>
      <c r="AM1053">
        <f>'T_TTAFStock'!AK41</f>
        <v/>
      </c>
      <c r="AN1053">
        <f>'T_TTAFStock'!AL41</f>
        <v/>
      </c>
      <c r="AO1053">
        <f>'T_TTAFStock'!AM41</f>
        <v/>
      </c>
      <c r="AP1053">
        <f>'T_TTAFStock'!AN41</f>
        <v/>
      </c>
      <c r="AQ1053">
        <f>'T_TTAFStock'!AO41</f>
        <v/>
      </c>
      <c r="AR1053">
        <f>'T_TTAFStock'!AP41</f>
        <v/>
      </c>
      <c r="AS1053">
        <f>'T_TTAFStock'!AQ41</f>
        <v/>
      </c>
      <c r="AT1053">
        <f>'T_TTAFStock'!AR41</f>
        <v/>
      </c>
      <c r="AU1053">
        <f>'T_TTAFStock'!AS41</f>
        <v/>
      </c>
      <c r="AV1053">
        <f>'T_TTAFStock'!AT41</f>
        <v/>
      </c>
      <c r="AW1053">
        <f>'T_TTAFStock'!AU41</f>
        <v/>
      </c>
      <c r="AX1053">
        <f>'T_TTAFStock'!AV41</f>
        <v/>
      </c>
      <c r="AY1053">
        <f>'T_TTAFStock'!AW41</f>
        <v/>
      </c>
      <c r="AZ1053">
        <f>'T_TTAFStock'!AX41</f>
        <v/>
      </c>
      <c r="BA1053">
        <f>'T_TTAFStock'!AY41</f>
        <v/>
      </c>
      <c r="BB1053">
        <f>'T_TTAFStock'!AZ41</f>
        <v/>
      </c>
      <c r="BC1053">
        <f>'T_TTAFStock'!BA41</f>
        <v/>
      </c>
      <c r="BD1053">
        <f>'T_TTAFStock'!BB41</f>
        <v/>
      </c>
      <c r="BE1053">
        <f>'T_TTAFStock'!BC41</f>
        <v/>
      </c>
      <c r="BF1053">
        <f>'T_TTAFStock'!BD41</f>
        <v/>
      </c>
      <c r="BG1053">
        <f>'T_TTAFStock'!BE41</f>
        <v/>
      </c>
      <c r="BH1053">
        <f>'T_TTAFStock'!BF41</f>
        <v/>
      </c>
      <c r="BI1053">
        <f>'T_TTAFStock'!BG41</f>
        <v/>
      </c>
      <c r="BJ1053">
        <f>'T_TTAFStock'!BH41</f>
        <v/>
      </c>
      <c r="BK1053">
        <f>'T_TTAFStock'!BI41</f>
        <v/>
      </c>
      <c r="BL1053">
        <f>'T_TTAFStock'!BJ41</f>
        <v/>
      </c>
      <c r="BM1053">
        <f>'T_TTAFStock'!BK41</f>
        <v/>
      </c>
      <c r="BN1053">
        <f>'T_TTAFStock'!BL41</f>
        <v/>
      </c>
      <c r="BO1053">
        <f>'T_TTAFStock'!BM41</f>
        <v/>
      </c>
      <c r="BP1053">
        <f>'T_TTAFStock'!BN41</f>
        <v/>
      </c>
      <c r="BQ1053">
        <f>'T_TTAFStock'!BO41</f>
        <v/>
      </c>
      <c r="BR1053">
        <f>'T_TTAFStock'!BP41</f>
        <v/>
      </c>
      <c r="BS1053">
        <f>'T_TTAFStock'!BQ41</f>
        <v/>
      </c>
      <c r="BT1053">
        <f>'T_TTAFStock'!BR41</f>
        <v/>
      </c>
      <c r="BU1053">
        <f>'T_TTAFStock'!BS41</f>
        <v/>
      </c>
      <c r="BV1053">
        <f>'T_TTAFStock'!BT41</f>
        <v/>
      </c>
      <c r="BW1053">
        <f>'T_TTAFStock'!BU41</f>
        <v/>
      </c>
      <c r="BX1053">
        <f>'T_TTAFStock'!BV41</f>
        <v/>
      </c>
      <c r="BY1053">
        <f>'T_TTAFStock'!BW41</f>
        <v/>
      </c>
      <c r="BZ1053">
        <f>'T_TTAFStock'!BX41</f>
        <v/>
      </c>
      <c r="CA1053">
        <f>'T_TTAFStock'!BY41</f>
        <v/>
      </c>
      <c r="CB1053">
        <f>'T_TTAFStock'!BZ41</f>
        <v/>
      </c>
      <c r="CC1053">
        <f>'T_TTAFStock'!CA41</f>
        <v/>
      </c>
      <c r="CD1053">
        <f>'T_TTAFStock'!CB41</f>
        <v/>
      </c>
      <c r="CE1053">
        <f>'T_TTAFStock'!CC41</f>
        <v/>
      </c>
      <c r="CF1053">
        <f>'T_TTAFStock'!CD41</f>
        <v/>
      </c>
      <c r="CG1053">
        <f>'T_TTAFStock'!CE41</f>
        <v/>
      </c>
      <c r="CH1053">
        <f>'T_TTAFStock'!CF41</f>
        <v/>
      </c>
      <c r="CI1053">
        <f>'T_TTAFStock'!CG41</f>
        <v/>
      </c>
      <c r="CJ1053">
        <f>'T_TTAFStock'!CH41</f>
        <v/>
      </c>
      <c r="CK1053">
        <f>'T_TTAFStock'!CI41</f>
        <v/>
      </c>
      <c r="CL1053">
        <f>'T_TTAFStock'!CJ41</f>
        <v/>
      </c>
      <c r="CM1053">
        <f>'T_TTAFStock'!CK41</f>
        <v/>
      </c>
      <c r="CN1053">
        <f>'T_TTAFStock'!CL41</f>
        <v/>
      </c>
      <c r="CO1053">
        <f>'T_TTAFStock'!CM41</f>
        <v/>
      </c>
      <c r="CP1053">
        <f>'T_TTAFStock'!CN41</f>
        <v/>
      </c>
      <c r="CQ1053">
        <f>'T_TTAFStock'!CO41</f>
        <v/>
      </c>
      <c r="CR1053">
        <f>'T_TTAFStock'!CP41</f>
        <v/>
      </c>
      <c r="CS1053">
        <f>'T_TTAFStock'!CQ41</f>
        <v/>
      </c>
      <c r="CT1053">
        <f>'T_TTAFStock'!CR41</f>
        <v/>
      </c>
      <c r="CU1053">
        <f>'T_TTAFStock'!CS41</f>
        <v/>
      </c>
      <c r="CV1053">
        <f>'T_TTAFStock'!CT41</f>
        <v/>
      </c>
      <c r="CW1053">
        <f>'T_TTAFStock'!CU41</f>
        <v/>
      </c>
      <c r="CX1053">
        <f>'T_TTAFStock'!CV41</f>
        <v/>
      </c>
      <c r="CY1053">
        <f>'T_TTAFStock'!CW41</f>
        <v/>
      </c>
      <c r="CZ1053">
        <f>'T_TTAFStock'!CX41</f>
        <v/>
      </c>
      <c r="DA1053">
        <f>'T_TTAFStock'!CY41</f>
        <v/>
      </c>
      <c r="DB1053">
        <f>'T_TTAFStock'!CZ41</f>
        <v/>
      </c>
      <c r="DC1053">
        <f>'T_TTAFStock'!DA41</f>
        <v/>
      </c>
    </row>
    <row r="1054">
      <c r="B1054" t="inlineStr">
        <is>
          <t>自社在庫(実績,kg)</t>
        </is>
      </c>
      <c r="D1054">
        <f>'T_SelfStock'!B41</f>
        <v/>
      </c>
      <c r="E1054">
        <f>'T_SelfStock'!C41</f>
        <v/>
      </c>
      <c r="F1054">
        <f>'T_SelfStock'!D41</f>
        <v/>
      </c>
      <c r="G1054">
        <f>'T_SelfStock'!E41</f>
        <v/>
      </c>
      <c r="H1054">
        <f>'T_SelfStock'!F41</f>
        <v/>
      </c>
      <c r="I1054">
        <f>'T_SelfStock'!G41</f>
        <v/>
      </c>
      <c r="J1054">
        <f>'T_SelfStock'!H41</f>
        <v/>
      </c>
      <c r="K1054">
        <f>'T_SelfStock'!I41</f>
        <v/>
      </c>
      <c r="L1054">
        <f>'T_SelfStock'!J41</f>
        <v/>
      </c>
      <c r="M1054">
        <f>'T_SelfStock'!K41</f>
        <v/>
      </c>
      <c r="N1054">
        <f>'T_SelfStock'!L41</f>
        <v/>
      </c>
      <c r="O1054">
        <f>'T_SelfStock'!M41</f>
        <v/>
      </c>
      <c r="P1054">
        <f>'T_SelfStock'!N41</f>
        <v/>
      </c>
      <c r="Q1054">
        <f>'T_SelfStock'!O41</f>
        <v/>
      </c>
      <c r="R1054">
        <f>'T_SelfStock'!P41</f>
        <v/>
      </c>
      <c r="S1054">
        <f>'T_SelfStock'!Q41</f>
        <v/>
      </c>
      <c r="T1054">
        <f>'T_SelfStock'!R41</f>
        <v/>
      </c>
      <c r="U1054">
        <f>'T_SelfStock'!S41</f>
        <v/>
      </c>
      <c r="V1054">
        <f>'T_SelfStock'!T41</f>
        <v/>
      </c>
      <c r="W1054">
        <f>'T_SelfStock'!U41</f>
        <v/>
      </c>
      <c r="X1054">
        <f>'T_SelfStock'!V41</f>
        <v/>
      </c>
      <c r="Y1054">
        <f>'T_SelfStock'!W41</f>
        <v/>
      </c>
      <c r="Z1054">
        <f>'T_SelfStock'!X41</f>
        <v/>
      </c>
      <c r="AA1054">
        <f>'T_SelfStock'!Y41</f>
        <v/>
      </c>
      <c r="AB1054">
        <f>'T_SelfStock'!Z41</f>
        <v/>
      </c>
      <c r="AC1054">
        <f>'T_SelfStock'!AA41</f>
        <v/>
      </c>
      <c r="AD1054">
        <f>'T_SelfStock'!AB41</f>
        <v/>
      </c>
      <c r="AE1054">
        <f>'T_SelfStock'!AC41</f>
        <v/>
      </c>
      <c r="AF1054">
        <f>'T_SelfStock'!AD41</f>
        <v/>
      </c>
      <c r="AG1054">
        <f>'T_SelfStock'!AE41</f>
        <v/>
      </c>
      <c r="AH1054">
        <f>'T_SelfStock'!AF41</f>
        <v/>
      </c>
      <c r="AI1054">
        <f>'T_SelfStock'!AG41</f>
        <v/>
      </c>
      <c r="AJ1054">
        <f>'T_SelfStock'!AH41</f>
        <v/>
      </c>
      <c r="AK1054">
        <f>'T_SelfStock'!AI41</f>
        <v/>
      </c>
      <c r="AL1054">
        <f>'T_SelfStock'!AJ41</f>
        <v/>
      </c>
      <c r="AM1054">
        <f>'T_SelfStock'!AK41</f>
        <v/>
      </c>
      <c r="AN1054">
        <f>'T_SelfStock'!AL41</f>
        <v/>
      </c>
      <c r="AO1054">
        <f>'T_SelfStock'!AM41</f>
        <v/>
      </c>
      <c r="AP1054">
        <f>'T_SelfStock'!AN41</f>
        <v/>
      </c>
      <c r="AQ1054">
        <f>'T_SelfStock'!AO41</f>
        <v/>
      </c>
      <c r="AR1054">
        <f>'T_SelfStock'!AP41</f>
        <v/>
      </c>
      <c r="AS1054">
        <f>'T_SelfStock'!AQ41</f>
        <v/>
      </c>
      <c r="AT1054">
        <f>'T_SelfStock'!AR41</f>
        <v/>
      </c>
      <c r="AU1054">
        <f>'T_SelfStock'!AS41</f>
        <v/>
      </c>
      <c r="AV1054">
        <f>'T_SelfStock'!AT41</f>
        <v/>
      </c>
      <c r="AW1054">
        <f>'T_SelfStock'!AU41</f>
        <v/>
      </c>
      <c r="AX1054">
        <f>'T_SelfStock'!AV41</f>
        <v/>
      </c>
      <c r="AY1054">
        <f>'T_SelfStock'!AW41</f>
        <v/>
      </c>
      <c r="AZ1054">
        <f>'T_SelfStock'!AX41</f>
        <v/>
      </c>
      <c r="BA1054">
        <f>'T_SelfStock'!AY41</f>
        <v/>
      </c>
      <c r="BB1054">
        <f>'T_SelfStock'!AZ41</f>
        <v/>
      </c>
      <c r="BC1054">
        <f>'T_SelfStock'!BA41</f>
        <v/>
      </c>
      <c r="BD1054">
        <f>'T_SelfStock'!BB41</f>
        <v/>
      </c>
      <c r="BE1054">
        <f>'T_SelfStock'!BC41</f>
        <v/>
      </c>
      <c r="BF1054">
        <f>'T_SelfStock'!BD41</f>
        <v/>
      </c>
      <c r="BG1054">
        <f>'T_SelfStock'!BE41</f>
        <v/>
      </c>
      <c r="BH1054">
        <f>'T_SelfStock'!BF41</f>
        <v/>
      </c>
      <c r="BI1054">
        <f>'T_SelfStock'!BG41</f>
        <v/>
      </c>
      <c r="BJ1054">
        <f>'T_SelfStock'!BH41</f>
        <v/>
      </c>
      <c r="BK1054">
        <f>'T_SelfStock'!BI41</f>
        <v/>
      </c>
      <c r="BL1054">
        <f>'T_SelfStock'!BJ41</f>
        <v/>
      </c>
      <c r="BM1054">
        <f>'T_SelfStock'!BK41</f>
        <v/>
      </c>
      <c r="BN1054">
        <f>'T_SelfStock'!BL41</f>
        <v/>
      </c>
      <c r="BO1054">
        <f>'T_SelfStock'!BM41</f>
        <v/>
      </c>
      <c r="BP1054">
        <f>'T_SelfStock'!BN41</f>
        <v/>
      </c>
      <c r="BQ1054">
        <f>'T_SelfStock'!BO41</f>
        <v/>
      </c>
      <c r="BR1054">
        <f>'T_SelfStock'!BP41</f>
        <v/>
      </c>
      <c r="BS1054">
        <f>'T_SelfStock'!BQ41</f>
        <v/>
      </c>
      <c r="BT1054">
        <f>'T_SelfStock'!BR41</f>
        <v/>
      </c>
      <c r="BU1054">
        <f>'T_SelfStock'!BS41</f>
        <v/>
      </c>
      <c r="BV1054">
        <f>'T_SelfStock'!BT41</f>
        <v/>
      </c>
      <c r="BW1054">
        <f>'T_SelfStock'!BU41</f>
        <v/>
      </c>
      <c r="BX1054">
        <f>'T_SelfStock'!BV41</f>
        <v/>
      </c>
      <c r="BY1054">
        <f>'T_SelfStock'!BW41</f>
        <v/>
      </c>
      <c r="BZ1054">
        <f>'T_SelfStock'!BX41</f>
        <v/>
      </c>
      <c r="CA1054">
        <f>'T_SelfStock'!BY41</f>
        <v/>
      </c>
      <c r="CB1054">
        <f>'T_SelfStock'!BZ41</f>
        <v/>
      </c>
      <c r="CC1054">
        <f>'T_SelfStock'!CA41</f>
        <v/>
      </c>
      <c r="CD1054">
        <f>'T_SelfStock'!CB41</f>
        <v/>
      </c>
      <c r="CE1054">
        <f>'T_SelfStock'!CC41</f>
        <v/>
      </c>
      <c r="CF1054">
        <f>'T_SelfStock'!CD41</f>
        <v/>
      </c>
      <c r="CG1054">
        <f>'T_SelfStock'!CE41</f>
        <v/>
      </c>
      <c r="CH1054">
        <f>'T_SelfStock'!CF41</f>
        <v/>
      </c>
      <c r="CI1054">
        <f>'T_SelfStock'!CG41</f>
        <v/>
      </c>
      <c r="CJ1054">
        <f>'T_SelfStock'!CH41</f>
        <v/>
      </c>
      <c r="CK1054">
        <f>'T_SelfStock'!CI41</f>
        <v/>
      </c>
      <c r="CL1054">
        <f>'T_SelfStock'!CJ41</f>
        <v/>
      </c>
      <c r="CM1054">
        <f>'T_SelfStock'!CK41</f>
        <v/>
      </c>
      <c r="CN1054">
        <f>'T_SelfStock'!CL41</f>
        <v/>
      </c>
      <c r="CO1054">
        <f>'T_SelfStock'!CM41</f>
        <v/>
      </c>
      <c r="CP1054">
        <f>'T_SelfStock'!CN41</f>
        <v/>
      </c>
      <c r="CQ1054">
        <f>'T_SelfStock'!CO41</f>
        <v/>
      </c>
      <c r="CR1054">
        <f>'T_SelfStock'!CP41</f>
        <v/>
      </c>
      <c r="CS1054">
        <f>'T_SelfStock'!CQ41</f>
        <v/>
      </c>
      <c r="CT1054">
        <f>'T_SelfStock'!CR41</f>
        <v/>
      </c>
      <c r="CU1054">
        <f>'T_SelfStock'!CS41</f>
        <v/>
      </c>
      <c r="CV1054">
        <f>'T_SelfStock'!CT41</f>
        <v/>
      </c>
      <c r="CW1054">
        <f>'T_SelfStock'!CU41</f>
        <v/>
      </c>
      <c r="CX1054">
        <f>'T_SelfStock'!CV41</f>
        <v/>
      </c>
      <c r="CY1054">
        <f>'T_SelfStock'!CW41</f>
        <v/>
      </c>
      <c r="CZ1054">
        <f>'T_SelfStock'!CX41</f>
        <v/>
      </c>
      <c r="DA1054">
        <f>'T_SelfStock'!CY41</f>
        <v/>
      </c>
      <c r="DB1054">
        <f>'T_SelfStock'!CZ41</f>
        <v/>
      </c>
      <c r="DC1054">
        <f>'T_SelfStock'!DA41</f>
        <v/>
      </c>
    </row>
    <row r="1055">
      <c r="B1055" t="inlineStr">
        <is>
          <t>Order(発注予定,kg)</t>
        </is>
      </c>
      <c r="D1055">
        <f>IF(SUMIFS(T_PlannedOrders[EffectiveQty],T_PlannedOrders[Part Name],$A1049,T_PlannedOrders[WeekIndex],1)=0,"",SUMIFS(T_PlannedOrders[EffectiveQty],T_PlannedOrders[Part Name],$A1049,T_PlannedOrders[WeekIndex],1)&amp;" ("&amp;TEXT(SUMPRODUCT(MAX((T_PlannedOrders[Part Name]=$A1049)*(T_PlannedOrders[WeekIndex]=1)*(T_PlannedOrders[EffectiveQty]&gt;0)*T_PlannedOrders[Order_Month])),"m月")&amp;"発注)")</f>
        <v/>
      </c>
      <c r="E1055">
        <f>IF(SUMIFS(T_PlannedOrders[EffectiveQty],T_PlannedOrders[Part Name],$A1049,T_PlannedOrders[WeekIndex],2)=0,"",SUMIFS(T_PlannedOrders[EffectiveQty],T_PlannedOrders[Part Name],$A1049,T_PlannedOrders[WeekIndex],2)&amp;" ("&amp;TEXT(SUMPRODUCT(MAX((T_PlannedOrders[Part Name]=$A1049)*(T_PlannedOrders[WeekIndex]=2)*(T_PlannedOrders[EffectiveQty]&gt;0)*T_PlannedOrders[Order_Month])),"m月")&amp;"発注)")</f>
        <v/>
      </c>
      <c r="F1055">
        <f>IF(SUMIFS(T_PlannedOrders[EffectiveQty],T_PlannedOrders[Part Name],$A1049,T_PlannedOrders[WeekIndex],3)=0,"",SUMIFS(T_PlannedOrders[EffectiveQty],T_PlannedOrders[Part Name],$A1049,T_PlannedOrders[WeekIndex],3)&amp;" ("&amp;TEXT(SUMPRODUCT(MAX((T_PlannedOrders[Part Name]=$A1049)*(T_PlannedOrders[WeekIndex]=3)*(T_PlannedOrders[EffectiveQty]&gt;0)*T_PlannedOrders[Order_Month])),"m月")&amp;"発注)")</f>
        <v/>
      </c>
      <c r="G1055">
        <f>IF(SUMIFS(T_PlannedOrders[EffectiveQty],T_PlannedOrders[Part Name],$A1049,T_PlannedOrders[WeekIndex],4)=0,"",SUMIFS(T_PlannedOrders[EffectiveQty],T_PlannedOrders[Part Name],$A1049,T_PlannedOrders[WeekIndex],4)&amp;" ("&amp;TEXT(SUMPRODUCT(MAX((T_PlannedOrders[Part Name]=$A1049)*(T_PlannedOrders[WeekIndex]=4)*(T_PlannedOrders[EffectiveQty]&gt;0)*T_PlannedOrders[Order_Month])),"m月")&amp;"発注)")</f>
        <v/>
      </c>
      <c r="H1055">
        <f>IF(SUMIFS(T_PlannedOrders[EffectiveQty],T_PlannedOrders[Part Name],$A1049,T_PlannedOrders[WeekIndex],5)=0,"",SUMIFS(T_PlannedOrders[EffectiveQty],T_PlannedOrders[Part Name],$A1049,T_PlannedOrders[WeekIndex],5)&amp;" ("&amp;TEXT(SUMPRODUCT(MAX((T_PlannedOrders[Part Name]=$A1049)*(T_PlannedOrders[WeekIndex]=5)*(T_PlannedOrders[EffectiveQty]&gt;0)*T_PlannedOrders[Order_Month])),"m月")&amp;"発注)")</f>
        <v/>
      </c>
      <c r="I1055">
        <f>IF(SUMIFS(T_PlannedOrders[EffectiveQty],T_PlannedOrders[Part Name],$A1049,T_PlannedOrders[WeekIndex],6)=0,"",SUMIFS(T_PlannedOrders[EffectiveQty],T_PlannedOrders[Part Name],$A1049,T_PlannedOrders[WeekIndex],6)&amp;" ("&amp;TEXT(SUMPRODUCT(MAX((T_PlannedOrders[Part Name]=$A1049)*(T_PlannedOrders[WeekIndex]=6)*(T_PlannedOrders[EffectiveQty]&gt;0)*T_PlannedOrders[Order_Month])),"m月")&amp;"発注)")</f>
        <v/>
      </c>
      <c r="J1055">
        <f>IF(SUMIFS(T_PlannedOrders[EffectiveQty],T_PlannedOrders[Part Name],$A1049,T_PlannedOrders[WeekIndex],7)=0,"",SUMIFS(T_PlannedOrders[EffectiveQty],T_PlannedOrders[Part Name],$A1049,T_PlannedOrders[WeekIndex],7)&amp;" ("&amp;TEXT(SUMPRODUCT(MAX((T_PlannedOrders[Part Name]=$A1049)*(T_PlannedOrders[WeekIndex]=7)*(T_PlannedOrders[EffectiveQty]&gt;0)*T_PlannedOrders[Order_Month])),"m月")&amp;"発注)")</f>
        <v/>
      </c>
      <c r="K1055">
        <f>IF(SUMIFS(T_PlannedOrders[EffectiveQty],T_PlannedOrders[Part Name],$A1049,T_PlannedOrders[WeekIndex],8)=0,"",SUMIFS(T_PlannedOrders[EffectiveQty],T_PlannedOrders[Part Name],$A1049,T_PlannedOrders[WeekIndex],8)&amp;" ("&amp;TEXT(SUMPRODUCT(MAX((T_PlannedOrders[Part Name]=$A1049)*(T_PlannedOrders[WeekIndex]=8)*(T_PlannedOrders[EffectiveQty]&gt;0)*T_PlannedOrders[Order_Month])),"m月")&amp;"発注)")</f>
        <v/>
      </c>
      <c r="L1055">
        <f>IF(SUMIFS(T_PlannedOrders[EffectiveQty],T_PlannedOrders[Part Name],$A1049,T_PlannedOrders[WeekIndex],9)=0,"",SUMIFS(T_PlannedOrders[EffectiveQty],T_PlannedOrders[Part Name],$A1049,T_PlannedOrders[WeekIndex],9)&amp;" ("&amp;TEXT(SUMPRODUCT(MAX((T_PlannedOrders[Part Name]=$A1049)*(T_PlannedOrders[WeekIndex]=9)*(T_PlannedOrders[EffectiveQty]&gt;0)*T_PlannedOrders[Order_Month])),"m月")&amp;"発注)")</f>
        <v/>
      </c>
      <c r="M1055">
        <f>IF(SUMIFS(T_PlannedOrders[EffectiveQty],T_PlannedOrders[Part Name],$A1049,T_PlannedOrders[WeekIndex],10)=0,"",SUMIFS(T_PlannedOrders[EffectiveQty],T_PlannedOrders[Part Name],$A1049,T_PlannedOrders[WeekIndex],10)&amp;" ("&amp;TEXT(SUMPRODUCT(MAX((T_PlannedOrders[Part Name]=$A1049)*(T_PlannedOrders[WeekIndex]=10)*(T_PlannedOrders[EffectiveQty]&gt;0)*T_PlannedOrders[Order_Month])),"m月")&amp;"発注)")</f>
        <v/>
      </c>
      <c r="N1055">
        <f>IF(SUMIFS(T_PlannedOrders[EffectiveQty],T_PlannedOrders[Part Name],$A1049,T_PlannedOrders[WeekIndex],11)=0,"",SUMIFS(T_PlannedOrders[EffectiveQty],T_PlannedOrders[Part Name],$A1049,T_PlannedOrders[WeekIndex],11)&amp;" ("&amp;TEXT(SUMPRODUCT(MAX((T_PlannedOrders[Part Name]=$A1049)*(T_PlannedOrders[WeekIndex]=11)*(T_PlannedOrders[EffectiveQty]&gt;0)*T_PlannedOrders[Order_Month])),"m月")&amp;"発注)")</f>
        <v/>
      </c>
      <c r="O1055">
        <f>IF(SUMIFS(T_PlannedOrders[EffectiveQty],T_PlannedOrders[Part Name],$A1049,T_PlannedOrders[WeekIndex],12)=0,"",SUMIFS(T_PlannedOrders[EffectiveQty],T_PlannedOrders[Part Name],$A1049,T_PlannedOrders[WeekIndex],12)&amp;" ("&amp;TEXT(SUMPRODUCT(MAX((T_PlannedOrders[Part Name]=$A1049)*(T_PlannedOrders[WeekIndex]=12)*(T_PlannedOrders[EffectiveQty]&gt;0)*T_PlannedOrders[Order_Month])),"m月")&amp;"発注)")</f>
        <v/>
      </c>
      <c r="P1055">
        <f>IF(SUMIFS(T_PlannedOrders[EffectiveQty],T_PlannedOrders[Part Name],$A1049,T_PlannedOrders[WeekIndex],13)=0,"",SUMIFS(T_PlannedOrders[EffectiveQty],T_PlannedOrders[Part Name],$A1049,T_PlannedOrders[WeekIndex],13)&amp;" ("&amp;TEXT(SUMPRODUCT(MAX((T_PlannedOrders[Part Name]=$A1049)*(T_PlannedOrders[WeekIndex]=13)*(T_PlannedOrders[EffectiveQty]&gt;0)*T_PlannedOrders[Order_Month])),"m月")&amp;"発注)")</f>
        <v/>
      </c>
      <c r="Q1055">
        <f>IF(SUMIFS(T_PlannedOrders[EffectiveQty],T_PlannedOrders[Part Name],$A1049,T_PlannedOrders[WeekIndex],14)=0,"",SUMIFS(T_PlannedOrders[EffectiveQty],T_PlannedOrders[Part Name],$A1049,T_PlannedOrders[WeekIndex],14)&amp;" ("&amp;TEXT(SUMPRODUCT(MAX((T_PlannedOrders[Part Name]=$A1049)*(T_PlannedOrders[WeekIndex]=14)*(T_PlannedOrders[EffectiveQty]&gt;0)*T_PlannedOrders[Order_Month])),"m月")&amp;"発注)")</f>
        <v/>
      </c>
      <c r="R1055">
        <f>IF(SUMIFS(T_PlannedOrders[EffectiveQty],T_PlannedOrders[Part Name],$A1049,T_PlannedOrders[WeekIndex],15)=0,"",SUMIFS(T_PlannedOrders[EffectiveQty],T_PlannedOrders[Part Name],$A1049,T_PlannedOrders[WeekIndex],15)&amp;" ("&amp;TEXT(SUMPRODUCT(MAX((T_PlannedOrders[Part Name]=$A1049)*(T_PlannedOrders[WeekIndex]=15)*(T_PlannedOrders[EffectiveQty]&gt;0)*T_PlannedOrders[Order_Month])),"m月")&amp;"発注)")</f>
        <v/>
      </c>
      <c r="S1055">
        <f>IF(SUMIFS(T_PlannedOrders[EffectiveQty],T_PlannedOrders[Part Name],$A1049,T_PlannedOrders[WeekIndex],16)=0,"",SUMIFS(T_PlannedOrders[EffectiveQty],T_PlannedOrders[Part Name],$A1049,T_PlannedOrders[WeekIndex],16)&amp;" ("&amp;TEXT(SUMPRODUCT(MAX((T_PlannedOrders[Part Name]=$A1049)*(T_PlannedOrders[WeekIndex]=16)*(T_PlannedOrders[EffectiveQty]&gt;0)*T_PlannedOrders[Order_Month])),"m月")&amp;"発注)")</f>
        <v/>
      </c>
      <c r="T1055">
        <f>IF(SUMIFS(T_PlannedOrders[EffectiveQty],T_PlannedOrders[Part Name],$A1049,T_PlannedOrders[WeekIndex],17)=0,"",SUMIFS(T_PlannedOrders[EffectiveQty],T_PlannedOrders[Part Name],$A1049,T_PlannedOrders[WeekIndex],17)&amp;" ("&amp;TEXT(SUMPRODUCT(MAX((T_PlannedOrders[Part Name]=$A1049)*(T_PlannedOrders[WeekIndex]=17)*(T_PlannedOrders[EffectiveQty]&gt;0)*T_PlannedOrders[Order_Month])),"m月")&amp;"発注)")</f>
        <v/>
      </c>
      <c r="U1055">
        <f>IF(SUMIFS(T_PlannedOrders[EffectiveQty],T_PlannedOrders[Part Name],$A1049,T_PlannedOrders[WeekIndex],18)=0,"",SUMIFS(T_PlannedOrders[EffectiveQty],T_PlannedOrders[Part Name],$A1049,T_PlannedOrders[WeekIndex],18)&amp;" ("&amp;TEXT(SUMPRODUCT(MAX((T_PlannedOrders[Part Name]=$A1049)*(T_PlannedOrders[WeekIndex]=18)*(T_PlannedOrders[EffectiveQty]&gt;0)*T_PlannedOrders[Order_Month])),"m月")&amp;"発注)")</f>
        <v/>
      </c>
      <c r="V1055">
        <f>IF(SUMIFS(T_PlannedOrders[EffectiveQty],T_PlannedOrders[Part Name],$A1049,T_PlannedOrders[WeekIndex],19)=0,"",SUMIFS(T_PlannedOrders[EffectiveQty],T_PlannedOrders[Part Name],$A1049,T_PlannedOrders[WeekIndex],19)&amp;" ("&amp;TEXT(SUMPRODUCT(MAX((T_PlannedOrders[Part Name]=$A1049)*(T_PlannedOrders[WeekIndex]=19)*(T_PlannedOrders[EffectiveQty]&gt;0)*T_PlannedOrders[Order_Month])),"m月")&amp;"発注)")</f>
        <v/>
      </c>
      <c r="W1055">
        <f>IF(SUMIFS(T_PlannedOrders[EffectiveQty],T_PlannedOrders[Part Name],$A1049,T_PlannedOrders[WeekIndex],20)=0,"",SUMIFS(T_PlannedOrders[EffectiveQty],T_PlannedOrders[Part Name],$A1049,T_PlannedOrders[WeekIndex],20)&amp;" ("&amp;TEXT(SUMPRODUCT(MAX((T_PlannedOrders[Part Name]=$A1049)*(T_PlannedOrders[WeekIndex]=20)*(T_PlannedOrders[EffectiveQty]&gt;0)*T_PlannedOrders[Order_Month])),"m月")&amp;"発注)")</f>
        <v/>
      </c>
      <c r="X1055">
        <f>IF(SUMIFS(T_PlannedOrders[EffectiveQty],T_PlannedOrders[Part Name],$A1049,T_PlannedOrders[WeekIndex],21)=0,"",SUMIFS(T_PlannedOrders[EffectiveQty],T_PlannedOrders[Part Name],$A1049,T_PlannedOrders[WeekIndex],21)&amp;" ("&amp;TEXT(SUMPRODUCT(MAX((T_PlannedOrders[Part Name]=$A1049)*(T_PlannedOrders[WeekIndex]=21)*(T_PlannedOrders[EffectiveQty]&gt;0)*T_PlannedOrders[Order_Month])),"m月")&amp;"発注)")</f>
        <v/>
      </c>
      <c r="Y1055">
        <f>IF(SUMIFS(T_PlannedOrders[EffectiveQty],T_PlannedOrders[Part Name],$A1049,T_PlannedOrders[WeekIndex],22)=0,"",SUMIFS(T_PlannedOrders[EffectiveQty],T_PlannedOrders[Part Name],$A1049,T_PlannedOrders[WeekIndex],22)&amp;" ("&amp;TEXT(SUMPRODUCT(MAX((T_PlannedOrders[Part Name]=$A1049)*(T_PlannedOrders[WeekIndex]=22)*(T_PlannedOrders[EffectiveQty]&gt;0)*T_PlannedOrders[Order_Month])),"m月")&amp;"発注)")</f>
        <v/>
      </c>
      <c r="Z1055">
        <f>IF(SUMIFS(T_PlannedOrders[EffectiveQty],T_PlannedOrders[Part Name],$A1049,T_PlannedOrders[WeekIndex],23)=0,"",SUMIFS(T_PlannedOrders[EffectiveQty],T_PlannedOrders[Part Name],$A1049,T_PlannedOrders[WeekIndex],23)&amp;" ("&amp;TEXT(SUMPRODUCT(MAX((T_PlannedOrders[Part Name]=$A1049)*(T_PlannedOrders[WeekIndex]=23)*(T_PlannedOrders[EffectiveQty]&gt;0)*T_PlannedOrders[Order_Month])),"m月")&amp;"発注)")</f>
        <v/>
      </c>
      <c r="AA1055">
        <f>IF(SUMIFS(T_PlannedOrders[EffectiveQty],T_PlannedOrders[Part Name],$A1049,T_PlannedOrders[WeekIndex],24)=0,"",SUMIFS(T_PlannedOrders[EffectiveQty],T_PlannedOrders[Part Name],$A1049,T_PlannedOrders[WeekIndex],24)&amp;" ("&amp;TEXT(SUMPRODUCT(MAX((T_PlannedOrders[Part Name]=$A1049)*(T_PlannedOrders[WeekIndex]=24)*(T_PlannedOrders[EffectiveQty]&gt;0)*T_PlannedOrders[Order_Month])),"m月")&amp;"発注)")</f>
        <v/>
      </c>
      <c r="AB1055">
        <f>IF(SUMIFS(T_PlannedOrders[EffectiveQty],T_PlannedOrders[Part Name],$A1049,T_PlannedOrders[WeekIndex],25)=0,"",SUMIFS(T_PlannedOrders[EffectiveQty],T_PlannedOrders[Part Name],$A1049,T_PlannedOrders[WeekIndex],25)&amp;" ("&amp;TEXT(SUMPRODUCT(MAX((T_PlannedOrders[Part Name]=$A1049)*(T_PlannedOrders[WeekIndex]=25)*(T_PlannedOrders[EffectiveQty]&gt;0)*T_PlannedOrders[Order_Month])),"m月")&amp;"発注)")</f>
        <v/>
      </c>
      <c r="AC1055">
        <f>IF(SUMIFS(T_PlannedOrders[EffectiveQty],T_PlannedOrders[Part Name],$A1049,T_PlannedOrders[WeekIndex],26)=0,"",SUMIFS(T_PlannedOrders[EffectiveQty],T_PlannedOrders[Part Name],$A1049,T_PlannedOrders[WeekIndex],26)&amp;" ("&amp;TEXT(SUMPRODUCT(MAX((T_PlannedOrders[Part Name]=$A1049)*(T_PlannedOrders[WeekIndex]=26)*(T_PlannedOrders[EffectiveQty]&gt;0)*T_PlannedOrders[Order_Month])),"m月")&amp;"発注)")</f>
        <v/>
      </c>
      <c r="AD1055">
        <f>IF(SUMIFS(T_PlannedOrders[EffectiveQty],T_PlannedOrders[Part Name],$A1049,T_PlannedOrders[WeekIndex],27)=0,"",SUMIFS(T_PlannedOrders[EffectiveQty],T_PlannedOrders[Part Name],$A1049,T_PlannedOrders[WeekIndex],27)&amp;" ("&amp;TEXT(SUMPRODUCT(MAX((T_PlannedOrders[Part Name]=$A1049)*(T_PlannedOrders[WeekIndex]=27)*(T_PlannedOrders[EffectiveQty]&gt;0)*T_PlannedOrders[Order_Month])),"m月")&amp;"発注)")</f>
        <v/>
      </c>
      <c r="AE1055">
        <f>IF(SUMIFS(T_PlannedOrders[EffectiveQty],T_PlannedOrders[Part Name],$A1049,T_PlannedOrders[WeekIndex],28)=0,"",SUMIFS(T_PlannedOrders[EffectiveQty],T_PlannedOrders[Part Name],$A1049,T_PlannedOrders[WeekIndex],28)&amp;" ("&amp;TEXT(SUMPRODUCT(MAX((T_PlannedOrders[Part Name]=$A1049)*(T_PlannedOrders[WeekIndex]=28)*(T_PlannedOrders[EffectiveQty]&gt;0)*T_PlannedOrders[Order_Month])),"m月")&amp;"発注)")</f>
        <v/>
      </c>
      <c r="AF1055">
        <f>IF(SUMIFS(T_PlannedOrders[EffectiveQty],T_PlannedOrders[Part Name],$A1049,T_PlannedOrders[WeekIndex],29)=0,"",SUMIFS(T_PlannedOrders[EffectiveQty],T_PlannedOrders[Part Name],$A1049,T_PlannedOrders[WeekIndex],29)&amp;" ("&amp;TEXT(SUMPRODUCT(MAX((T_PlannedOrders[Part Name]=$A1049)*(T_PlannedOrders[WeekIndex]=29)*(T_PlannedOrders[EffectiveQty]&gt;0)*T_PlannedOrders[Order_Month])),"m月")&amp;"発注)")</f>
        <v/>
      </c>
      <c r="AG1055">
        <f>IF(SUMIFS(T_PlannedOrders[EffectiveQty],T_PlannedOrders[Part Name],$A1049,T_PlannedOrders[WeekIndex],30)=0,"",SUMIFS(T_PlannedOrders[EffectiveQty],T_PlannedOrders[Part Name],$A1049,T_PlannedOrders[WeekIndex],30)&amp;" ("&amp;TEXT(SUMPRODUCT(MAX((T_PlannedOrders[Part Name]=$A1049)*(T_PlannedOrders[WeekIndex]=30)*(T_PlannedOrders[EffectiveQty]&gt;0)*T_PlannedOrders[Order_Month])),"m月")&amp;"発注)")</f>
        <v/>
      </c>
      <c r="AH1055">
        <f>IF(SUMIFS(T_PlannedOrders[EffectiveQty],T_PlannedOrders[Part Name],$A1049,T_PlannedOrders[WeekIndex],31)=0,"",SUMIFS(T_PlannedOrders[EffectiveQty],T_PlannedOrders[Part Name],$A1049,T_PlannedOrders[WeekIndex],31)&amp;" ("&amp;TEXT(SUMPRODUCT(MAX((T_PlannedOrders[Part Name]=$A1049)*(T_PlannedOrders[WeekIndex]=31)*(T_PlannedOrders[EffectiveQty]&gt;0)*T_PlannedOrders[Order_Month])),"m月")&amp;"発注)")</f>
        <v/>
      </c>
      <c r="AI1055">
        <f>IF(SUMIFS(T_PlannedOrders[EffectiveQty],T_PlannedOrders[Part Name],$A1049,T_PlannedOrders[WeekIndex],32)=0,"",SUMIFS(T_PlannedOrders[EffectiveQty],T_PlannedOrders[Part Name],$A1049,T_PlannedOrders[WeekIndex],32)&amp;" ("&amp;TEXT(SUMPRODUCT(MAX((T_PlannedOrders[Part Name]=$A1049)*(T_PlannedOrders[WeekIndex]=32)*(T_PlannedOrders[EffectiveQty]&gt;0)*T_PlannedOrders[Order_Month])),"m月")&amp;"発注)")</f>
        <v/>
      </c>
      <c r="AJ1055">
        <f>IF(SUMIFS(T_PlannedOrders[EffectiveQty],T_PlannedOrders[Part Name],$A1049,T_PlannedOrders[WeekIndex],33)=0,"",SUMIFS(T_PlannedOrders[EffectiveQty],T_PlannedOrders[Part Name],$A1049,T_PlannedOrders[WeekIndex],33)&amp;" ("&amp;TEXT(SUMPRODUCT(MAX((T_PlannedOrders[Part Name]=$A1049)*(T_PlannedOrders[WeekIndex]=33)*(T_PlannedOrders[EffectiveQty]&gt;0)*T_PlannedOrders[Order_Month])),"m月")&amp;"発注)")</f>
        <v/>
      </c>
      <c r="AK1055">
        <f>IF(SUMIFS(T_PlannedOrders[EffectiveQty],T_PlannedOrders[Part Name],$A1049,T_PlannedOrders[WeekIndex],34)=0,"",SUMIFS(T_PlannedOrders[EffectiveQty],T_PlannedOrders[Part Name],$A1049,T_PlannedOrders[WeekIndex],34)&amp;" ("&amp;TEXT(SUMPRODUCT(MAX((T_PlannedOrders[Part Name]=$A1049)*(T_PlannedOrders[WeekIndex]=34)*(T_PlannedOrders[EffectiveQty]&gt;0)*T_PlannedOrders[Order_Month])),"m月")&amp;"発注)")</f>
        <v/>
      </c>
      <c r="AL1055">
        <f>IF(SUMIFS(T_PlannedOrders[EffectiveQty],T_PlannedOrders[Part Name],$A1049,T_PlannedOrders[WeekIndex],35)=0,"",SUMIFS(T_PlannedOrders[EffectiveQty],T_PlannedOrders[Part Name],$A1049,T_PlannedOrders[WeekIndex],35)&amp;" ("&amp;TEXT(SUMPRODUCT(MAX((T_PlannedOrders[Part Name]=$A1049)*(T_PlannedOrders[WeekIndex]=35)*(T_PlannedOrders[EffectiveQty]&gt;0)*T_PlannedOrders[Order_Month])),"m月")&amp;"発注)")</f>
        <v/>
      </c>
      <c r="AM1055">
        <f>IF(SUMIFS(T_PlannedOrders[EffectiveQty],T_PlannedOrders[Part Name],$A1049,T_PlannedOrders[WeekIndex],36)=0,"",SUMIFS(T_PlannedOrders[EffectiveQty],T_PlannedOrders[Part Name],$A1049,T_PlannedOrders[WeekIndex],36)&amp;" ("&amp;TEXT(SUMPRODUCT(MAX((T_PlannedOrders[Part Name]=$A1049)*(T_PlannedOrders[WeekIndex]=36)*(T_PlannedOrders[EffectiveQty]&gt;0)*T_PlannedOrders[Order_Month])),"m月")&amp;"発注)")</f>
        <v/>
      </c>
      <c r="AN1055">
        <f>IF(SUMIFS(T_PlannedOrders[EffectiveQty],T_PlannedOrders[Part Name],$A1049,T_PlannedOrders[WeekIndex],37)=0,"",SUMIFS(T_PlannedOrders[EffectiveQty],T_PlannedOrders[Part Name],$A1049,T_PlannedOrders[WeekIndex],37)&amp;" ("&amp;TEXT(SUMPRODUCT(MAX((T_PlannedOrders[Part Name]=$A1049)*(T_PlannedOrders[WeekIndex]=37)*(T_PlannedOrders[EffectiveQty]&gt;0)*T_PlannedOrders[Order_Month])),"m月")&amp;"発注)")</f>
        <v/>
      </c>
      <c r="AO1055">
        <f>IF(SUMIFS(T_PlannedOrders[EffectiveQty],T_PlannedOrders[Part Name],$A1049,T_PlannedOrders[WeekIndex],38)=0,"",SUMIFS(T_PlannedOrders[EffectiveQty],T_PlannedOrders[Part Name],$A1049,T_PlannedOrders[WeekIndex],38)&amp;" ("&amp;TEXT(SUMPRODUCT(MAX((T_PlannedOrders[Part Name]=$A1049)*(T_PlannedOrders[WeekIndex]=38)*(T_PlannedOrders[EffectiveQty]&gt;0)*T_PlannedOrders[Order_Month])),"m月")&amp;"発注)")</f>
        <v/>
      </c>
      <c r="AP1055">
        <f>IF(SUMIFS(T_PlannedOrders[EffectiveQty],T_PlannedOrders[Part Name],$A1049,T_PlannedOrders[WeekIndex],39)=0,"",SUMIFS(T_PlannedOrders[EffectiveQty],T_PlannedOrders[Part Name],$A1049,T_PlannedOrders[WeekIndex],39)&amp;" ("&amp;TEXT(SUMPRODUCT(MAX((T_PlannedOrders[Part Name]=$A1049)*(T_PlannedOrders[WeekIndex]=39)*(T_PlannedOrders[EffectiveQty]&gt;0)*T_PlannedOrders[Order_Month])),"m月")&amp;"発注)")</f>
        <v/>
      </c>
      <c r="AQ1055">
        <f>IF(SUMIFS(T_PlannedOrders[EffectiveQty],T_PlannedOrders[Part Name],$A1049,T_PlannedOrders[WeekIndex],40)=0,"",SUMIFS(T_PlannedOrders[EffectiveQty],T_PlannedOrders[Part Name],$A1049,T_PlannedOrders[WeekIndex],40)&amp;" ("&amp;TEXT(SUMPRODUCT(MAX((T_PlannedOrders[Part Name]=$A1049)*(T_PlannedOrders[WeekIndex]=40)*(T_PlannedOrders[EffectiveQty]&gt;0)*T_PlannedOrders[Order_Month])),"m月")&amp;"発注)")</f>
        <v/>
      </c>
      <c r="AR1055">
        <f>IF(SUMIFS(T_PlannedOrders[EffectiveQty],T_PlannedOrders[Part Name],$A1049,T_PlannedOrders[WeekIndex],41)=0,"",SUMIFS(T_PlannedOrders[EffectiveQty],T_PlannedOrders[Part Name],$A1049,T_PlannedOrders[WeekIndex],41)&amp;" ("&amp;TEXT(SUMPRODUCT(MAX((T_PlannedOrders[Part Name]=$A1049)*(T_PlannedOrders[WeekIndex]=41)*(T_PlannedOrders[EffectiveQty]&gt;0)*T_PlannedOrders[Order_Month])),"m月")&amp;"発注)")</f>
        <v/>
      </c>
      <c r="AS1055">
        <f>IF(SUMIFS(T_PlannedOrders[EffectiveQty],T_PlannedOrders[Part Name],$A1049,T_PlannedOrders[WeekIndex],42)=0,"",SUMIFS(T_PlannedOrders[EffectiveQty],T_PlannedOrders[Part Name],$A1049,T_PlannedOrders[WeekIndex],42)&amp;" ("&amp;TEXT(SUMPRODUCT(MAX((T_PlannedOrders[Part Name]=$A1049)*(T_PlannedOrders[WeekIndex]=42)*(T_PlannedOrders[EffectiveQty]&gt;0)*T_PlannedOrders[Order_Month])),"m月")&amp;"発注)")</f>
        <v/>
      </c>
      <c r="AT1055">
        <f>IF(SUMIFS(T_PlannedOrders[EffectiveQty],T_PlannedOrders[Part Name],$A1049,T_PlannedOrders[WeekIndex],43)=0,"",SUMIFS(T_PlannedOrders[EffectiveQty],T_PlannedOrders[Part Name],$A1049,T_PlannedOrders[WeekIndex],43)&amp;" ("&amp;TEXT(SUMPRODUCT(MAX((T_PlannedOrders[Part Name]=$A1049)*(T_PlannedOrders[WeekIndex]=43)*(T_PlannedOrders[EffectiveQty]&gt;0)*T_PlannedOrders[Order_Month])),"m月")&amp;"発注)")</f>
        <v/>
      </c>
      <c r="AU1055">
        <f>IF(SUMIFS(T_PlannedOrders[EffectiveQty],T_PlannedOrders[Part Name],$A1049,T_PlannedOrders[WeekIndex],44)=0,"",SUMIFS(T_PlannedOrders[EffectiveQty],T_PlannedOrders[Part Name],$A1049,T_PlannedOrders[WeekIndex],44)&amp;" ("&amp;TEXT(SUMPRODUCT(MAX((T_PlannedOrders[Part Name]=$A1049)*(T_PlannedOrders[WeekIndex]=44)*(T_PlannedOrders[EffectiveQty]&gt;0)*T_PlannedOrders[Order_Month])),"m月")&amp;"発注)")</f>
        <v/>
      </c>
      <c r="AV1055">
        <f>IF(SUMIFS(T_PlannedOrders[EffectiveQty],T_PlannedOrders[Part Name],$A1049,T_PlannedOrders[WeekIndex],45)=0,"",SUMIFS(T_PlannedOrders[EffectiveQty],T_PlannedOrders[Part Name],$A1049,T_PlannedOrders[WeekIndex],45)&amp;" ("&amp;TEXT(SUMPRODUCT(MAX((T_PlannedOrders[Part Name]=$A1049)*(T_PlannedOrders[WeekIndex]=45)*(T_PlannedOrders[EffectiveQty]&gt;0)*T_PlannedOrders[Order_Month])),"m月")&amp;"発注)")</f>
        <v/>
      </c>
      <c r="AW1055">
        <f>IF(SUMIFS(T_PlannedOrders[EffectiveQty],T_PlannedOrders[Part Name],$A1049,T_PlannedOrders[WeekIndex],46)=0,"",SUMIFS(T_PlannedOrders[EffectiveQty],T_PlannedOrders[Part Name],$A1049,T_PlannedOrders[WeekIndex],46)&amp;" ("&amp;TEXT(SUMPRODUCT(MAX((T_PlannedOrders[Part Name]=$A1049)*(T_PlannedOrders[WeekIndex]=46)*(T_PlannedOrders[EffectiveQty]&gt;0)*T_PlannedOrders[Order_Month])),"m月")&amp;"発注)")</f>
        <v/>
      </c>
      <c r="AX1055">
        <f>IF(SUMIFS(T_PlannedOrders[EffectiveQty],T_PlannedOrders[Part Name],$A1049,T_PlannedOrders[WeekIndex],47)=0,"",SUMIFS(T_PlannedOrders[EffectiveQty],T_PlannedOrders[Part Name],$A1049,T_PlannedOrders[WeekIndex],47)&amp;" ("&amp;TEXT(SUMPRODUCT(MAX((T_PlannedOrders[Part Name]=$A1049)*(T_PlannedOrders[WeekIndex]=47)*(T_PlannedOrders[EffectiveQty]&gt;0)*T_PlannedOrders[Order_Month])),"m月")&amp;"発注)")</f>
        <v/>
      </c>
      <c r="AY1055">
        <f>IF(SUMIFS(T_PlannedOrders[EffectiveQty],T_PlannedOrders[Part Name],$A1049,T_PlannedOrders[WeekIndex],48)=0,"",SUMIFS(T_PlannedOrders[EffectiveQty],T_PlannedOrders[Part Name],$A1049,T_PlannedOrders[WeekIndex],48)&amp;" ("&amp;TEXT(SUMPRODUCT(MAX((T_PlannedOrders[Part Name]=$A1049)*(T_PlannedOrders[WeekIndex]=48)*(T_PlannedOrders[EffectiveQty]&gt;0)*T_PlannedOrders[Order_Month])),"m月")&amp;"発注)")</f>
        <v/>
      </c>
      <c r="AZ1055">
        <f>IF(SUMIFS(T_PlannedOrders[EffectiveQty],T_PlannedOrders[Part Name],$A1049,T_PlannedOrders[WeekIndex],49)=0,"",SUMIFS(T_PlannedOrders[EffectiveQty],T_PlannedOrders[Part Name],$A1049,T_PlannedOrders[WeekIndex],49)&amp;" ("&amp;TEXT(SUMPRODUCT(MAX((T_PlannedOrders[Part Name]=$A1049)*(T_PlannedOrders[WeekIndex]=49)*(T_PlannedOrders[EffectiveQty]&gt;0)*T_PlannedOrders[Order_Month])),"m月")&amp;"発注)")</f>
        <v/>
      </c>
      <c r="BA1055">
        <f>IF(SUMIFS(T_PlannedOrders[EffectiveQty],T_PlannedOrders[Part Name],$A1049,T_PlannedOrders[WeekIndex],50)=0,"",SUMIFS(T_PlannedOrders[EffectiveQty],T_PlannedOrders[Part Name],$A1049,T_PlannedOrders[WeekIndex],50)&amp;" ("&amp;TEXT(SUMPRODUCT(MAX((T_PlannedOrders[Part Name]=$A1049)*(T_PlannedOrders[WeekIndex]=50)*(T_PlannedOrders[EffectiveQty]&gt;0)*T_PlannedOrders[Order_Month])),"m月")&amp;"発注)")</f>
        <v/>
      </c>
      <c r="BB1055">
        <f>IF(SUMIFS(T_PlannedOrders[EffectiveQty],T_PlannedOrders[Part Name],$A1049,T_PlannedOrders[WeekIndex],51)=0,"",SUMIFS(T_PlannedOrders[EffectiveQty],T_PlannedOrders[Part Name],$A1049,T_PlannedOrders[WeekIndex],51)&amp;" ("&amp;TEXT(SUMPRODUCT(MAX((T_PlannedOrders[Part Name]=$A1049)*(T_PlannedOrders[WeekIndex]=51)*(T_PlannedOrders[EffectiveQty]&gt;0)*T_PlannedOrders[Order_Month])),"m月")&amp;"発注)")</f>
        <v/>
      </c>
      <c r="BC1055">
        <f>IF(SUMIFS(T_PlannedOrders[EffectiveQty],T_PlannedOrders[Part Name],$A1049,T_PlannedOrders[WeekIndex],52)=0,"",SUMIFS(T_PlannedOrders[EffectiveQty],T_PlannedOrders[Part Name],$A1049,T_PlannedOrders[WeekIndex],52)&amp;" ("&amp;TEXT(SUMPRODUCT(MAX((T_PlannedOrders[Part Name]=$A1049)*(T_PlannedOrders[WeekIndex]=52)*(T_PlannedOrders[EffectiveQty]&gt;0)*T_PlannedOrders[Order_Month])),"m月")&amp;"発注)")</f>
        <v/>
      </c>
      <c r="BD1055">
        <f>IF(SUMIFS(T_PlannedOrders[EffectiveQty],T_PlannedOrders[Part Name],$A1049,T_PlannedOrders[WeekIndex],53)=0,"",SUMIFS(T_PlannedOrders[EffectiveQty],T_PlannedOrders[Part Name],$A1049,T_PlannedOrders[WeekIndex],53)&amp;" ("&amp;TEXT(SUMPRODUCT(MAX((T_PlannedOrders[Part Name]=$A1049)*(T_PlannedOrders[WeekIndex]=53)*(T_PlannedOrders[EffectiveQty]&gt;0)*T_PlannedOrders[Order_Month])),"m月")&amp;"発注)")</f>
        <v/>
      </c>
      <c r="BE1055">
        <f>IF(SUMIFS(T_PlannedOrders[EffectiveQty],T_PlannedOrders[Part Name],$A1049,T_PlannedOrders[WeekIndex],54)=0,"",SUMIFS(T_PlannedOrders[EffectiveQty],T_PlannedOrders[Part Name],$A1049,T_PlannedOrders[WeekIndex],54)&amp;" ("&amp;TEXT(SUMPRODUCT(MAX((T_PlannedOrders[Part Name]=$A1049)*(T_PlannedOrders[WeekIndex]=54)*(T_PlannedOrders[EffectiveQty]&gt;0)*T_PlannedOrders[Order_Month])),"m月")&amp;"発注)")</f>
        <v/>
      </c>
      <c r="BF1055">
        <f>IF(SUMIFS(T_PlannedOrders[EffectiveQty],T_PlannedOrders[Part Name],$A1049,T_PlannedOrders[WeekIndex],55)=0,"",SUMIFS(T_PlannedOrders[EffectiveQty],T_PlannedOrders[Part Name],$A1049,T_PlannedOrders[WeekIndex],55)&amp;" ("&amp;TEXT(SUMPRODUCT(MAX((T_PlannedOrders[Part Name]=$A1049)*(T_PlannedOrders[WeekIndex]=55)*(T_PlannedOrders[EffectiveQty]&gt;0)*T_PlannedOrders[Order_Month])),"m月")&amp;"発注)")</f>
        <v/>
      </c>
      <c r="BG1055">
        <f>IF(SUMIFS(T_PlannedOrders[EffectiveQty],T_PlannedOrders[Part Name],$A1049,T_PlannedOrders[WeekIndex],56)=0,"",SUMIFS(T_PlannedOrders[EffectiveQty],T_PlannedOrders[Part Name],$A1049,T_PlannedOrders[WeekIndex],56)&amp;" ("&amp;TEXT(SUMPRODUCT(MAX((T_PlannedOrders[Part Name]=$A1049)*(T_PlannedOrders[WeekIndex]=56)*(T_PlannedOrders[EffectiveQty]&gt;0)*T_PlannedOrders[Order_Month])),"m月")&amp;"発注)")</f>
        <v/>
      </c>
      <c r="BH1055">
        <f>IF(SUMIFS(T_PlannedOrders[EffectiveQty],T_PlannedOrders[Part Name],$A1049,T_PlannedOrders[WeekIndex],57)=0,"",SUMIFS(T_PlannedOrders[EffectiveQty],T_PlannedOrders[Part Name],$A1049,T_PlannedOrders[WeekIndex],57)&amp;" ("&amp;TEXT(SUMPRODUCT(MAX((T_PlannedOrders[Part Name]=$A1049)*(T_PlannedOrders[WeekIndex]=57)*(T_PlannedOrders[EffectiveQty]&gt;0)*T_PlannedOrders[Order_Month])),"m月")&amp;"発注)")</f>
        <v/>
      </c>
      <c r="BI1055">
        <f>IF(SUMIFS(T_PlannedOrders[EffectiveQty],T_PlannedOrders[Part Name],$A1049,T_PlannedOrders[WeekIndex],58)=0,"",SUMIFS(T_PlannedOrders[EffectiveQty],T_PlannedOrders[Part Name],$A1049,T_PlannedOrders[WeekIndex],58)&amp;" ("&amp;TEXT(SUMPRODUCT(MAX((T_PlannedOrders[Part Name]=$A1049)*(T_PlannedOrders[WeekIndex]=58)*(T_PlannedOrders[EffectiveQty]&gt;0)*T_PlannedOrders[Order_Month])),"m月")&amp;"発注)")</f>
        <v/>
      </c>
      <c r="BJ1055">
        <f>IF(SUMIFS(T_PlannedOrders[EffectiveQty],T_PlannedOrders[Part Name],$A1049,T_PlannedOrders[WeekIndex],59)=0,"",SUMIFS(T_PlannedOrders[EffectiveQty],T_PlannedOrders[Part Name],$A1049,T_PlannedOrders[WeekIndex],59)&amp;" ("&amp;TEXT(SUMPRODUCT(MAX((T_PlannedOrders[Part Name]=$A1049)*(T_PlannedOrders[WeekIndex]=59)*(T_PlannedOrders[EffectiveQty]&gt;0)*T_PlannedOrders[Order_Month])),"m月")&amp;"発注)")</f>
        <v/>
      </c>
      <c r="BK1055">
        <f>IF(SUMIFS(T_PlannedOrders[EffectiveQty],T_PlannedOrders[Part Name],$A1049,T_PlannedOrders[WeekIndex],60)=0,"",SUMIFS(T_PlannedOrders[EffectiveQty],T_PlannedOrders[Part Name],$A1049,T_PlannedOrders[WeekIndex],60)&amp;" ("&amp;TEXT(SUMPRODUCT(MAX((T_PlannedOrders[Part Name]=$A1049)*(T_PlannedOrders[WeekIndex]=60)*(T_PlannedOrders[EffectiveQty]&gt;0)*T_PlannedOrders[Order_Month])),"m月")&amp;"発注)")</f>
        <v/>
      </c>
      <c r="BL1055">
        <f>IF(SUMIFS(T_PlannedOrders[EffectiveQty],T_PlannedOrders[Part Name],$A1049,T_PlannedOrders[WeekIndex],61)=0,"",SUMIFS(T_PlannedOrders[EffectiveQty],T_PlannedOrders[Part Name],$A1049,T_PlannedOrders[WeekIndex],61)&amp;" ("&amp;TEXT(SUMPRODUCT(MAX((T_PlannedOrders[Part Name]=$A1049)*(T_PlannedOrders[WeekIndex]=61)*(T_PlannedOrders[EffectiveQty]&gt;0)*T_PlannedOrders[Order_Month])),"m月")&amp;"発注)")</f>
        <v/>
      </c>
      <c r="BM1055">
        <f>IF(SUMIFS(T_PlannedOrders[EffectiveQty],T_PlannedOrders[Part Name],$A1049,T_PlannedOrders[WeekIndex],62)=0,"",SUMIFS(T_PlannedOrders[EffectiveQty],T_PlannedOrders[Part Name],$A1049,T_PlannedOrders[WeekIndex],62)&amp;" ("&amp;TEXT(SUMPRODUCT(MAX((T_PlannedOrders[Part Name]=$A1049)*(T_PlannedOrders[WeekIndex]=62)*(T_PlannedOrders[EffectiveQty]&gt;0)*T_PlannedOrders[Order_Month])),"m月")&amp;"発注)")</f>
        <v/>
      </c>
      <c r="BN1055">
        <f>IF(SUMIFS(T_PlannedOrders[EffectiveQty],T_PlannedOrders[Part Name],$A1049,T_PlannedOrders[WeekIndex],63)=0,"",SUMIFS(T_PlannedOrders[EffectiveQty],T_PlannedOrders[Part Name],$A1049,T_PlannedOrders[WeekIndex],63)&amp;" ("&amp;TEXT(SUMPRODUCT(MAX((T_PlannedOrders[Part Name]=$A1049)*(T_PlannedOrders[WeekIndex]=63)*(T_PlannedOrders[EffectiveQty]&gt;0)*T_PlannedOrders[Order_Month])),"m月")&amp;"発注)")</f>
        <v/>
      </c>
      <c r="BO1055">
        <f>IF(SUMIFS(T_PlannedOrders[EffectiveQty],T_PlannedOrders[Part Name],$A1049,T_PlannedOrders[WeekIndex],64)=0,"",SUMIFS(T_PlannedOrders[EffectiveQty],T_PlannedOrders[Part Name],$A1049,T_PlannedOrders[WeekIndex],64)&amp;" ("&amp;TEXT(SUMPRODUCT(MAX((T_PlannedOrders[Part Name]=$A1049)*(T_PlannedOrders[WeekIndex]=64)*(T_PlannedOrders[EffectiveQty]&gt;0)*T_PlannedOrders[Order_Month])),"m月")&amp;"発注)")</f>
        <v/>
      </c>
      <c r="BP1055">
        <f>IF(SUMIFS(T_PlannedOrders[EffectiveQty],T_PlannedOrders[Part Name],$A1049,T_PlannedOrders[WeekIndex],65)=0,"",SUMIFS(T_PlannedOrders[EffectiveQty],T_PlannedOrders[Part Name],$A1049,T_PlannedOrders[WeekIndex],65)&amp;" ("&amp;TEXT(SUMPRODUCT(MAX((T_PlannedOrders[Part Name]=$A1049)*(T_PlannedOrders[WeekIndex]=65)*(T_PlannedOrders[EffectiveQty]&gt;0)*T_PlannedOrders[Order_Month])),"m月")&amp;"発注)")</f>
        <v/>
      </c>
      <c r="BQ1055">
        <f>IF(SUMIFS(T_PlannedOrders[EffectiveQty],T_PlannedOrders[Part Name],$A1049,T_PlannedOrders[WeekIndex],66)=0,"",SUMIFS(T_PlannedOrders[EffectiveQty],T_PlannedOrders[Part Name],$A1049,T_PlannedOrders[WeekIndex],66)&amp;" ("&amp;TEXT(SUMPRODUCT(MAX((T_PlannedOrders[Part Name]=$A1049)*(T_PlannedOrders[WeekIndex]=66)*(T_PlannedOrders[EffectiveQty]&gt;0)*T_PlannedOrders[Order_Month])),"m月")&amp;"発注)")</f>
        <v/>
      </c>
      <c r="BR1055">
        <f>IF(SUMIFS(T_PlannedOrders[EffectiveQty],T_PlannedOrders[Part Name],$A1049,T_PlannedOrders[WeekIndex],67)=0,"",SUMIFS(T_PlannedOrders[EffectiveQty],T_PlannedOrders[Part Name],$A1049,T_PlannedOrders[WeekIndex],67)&amp;" ("&amp;TEXT(SUMPRODUCT(MAX((T_PlannedOrders[Part Name]=$A1049)*(T_PlannedOrders[WeekIndex]=67)*(T_PlannedOrders[EffectiveQty]&gt;0)*T_PlannedOrders[Order_Month])),"m月")&amp;"発注)")</f>
        <v/>
      </c>
      <c r="BS1055">
        <f>IF(SUMIFS(T_PlannedOrders[EffectiveQty],T_PlannedOrders[Part Name],$A1049,T_PlannedOrders[WeekIndex],68)=0,"",SUMIFS(T_PlannedOrders[EffectiveQty],T_PlannedOrders[Part Name],$A1049,T_PlannedOrders[WeekIndex],68)&amp;" ("&amp;TEXT(SUMPRODUCT(MAX((T_PlannedOrders[Part Name]=$A1049)*(T_PlannedOrders[WeekIndex]=68)*(T_PlannedOrders[EffectiveQty]&gt;0)*T_PlannedOrders[Order_Month])),"m月")&amp;"発注)")</f>
        <v/>
      </c>
      <c r="BT1055">
        <f>IF(SUMIFS(T_PlannedOrders[EffectiveQty],T_PlannedOrders[Part Name],$A1049,T_PlannedOrders[WeekIndex],69)=0,"",SUMIFS(T_PlannedOrders[EffectiveQty],T_PlannedOrders[Part Name],$A1049,T_PlannedOrders[WeekIndex],69)&amp;" ("&amp;TEXT(SUMPRODUCT(MAX((T_PlannedOrders[Part Name]=$A1049)*(T_PlannedOrders[WeekIndex]=69)*(T_PlannedOrders[EffectiveQty]&gt;0)*T_PlannedOrders[Order_Month])),"m月")&amp;"発注)")</f>
        <v/>
      </c>
      <c r="BU1055">
        <f>IF(SUMIFS(T_PlannedOrders[EffectiveQty],T_PlannedOrders[Part Name],$A1049,T_PlannedOrders[WeekIndex],70)=0,"",SUMIFS(T_PlannedOrders[EffectiveQty],T_PlannedOrders[Part Name],$A1049,T_PlannedOrders[WeekIndex],70)&amp;" ("&amp;TEXT(SUMPRODUCT(MAX((T_PlannedOrders[Part Name]=$A1049)*(T_PlannedOrders[WeekIndex]=70)*(T_PlannedOrders[EffectiveQty]&gt;0)*T_PlannedOrders[Order_Month])),"m月")&amp;"発注)")</f>
        <v/>
      </c>
      <c r="BV1055">
        <f>IF(SUMIFS(T_PlannedOrders[EffectiveQty],T_PlannedOrders[Part Name],$A1049,T_PlannedOrders[WeekIndex],71)=0,"",SUMIFS(T_PlannedOrders[EffectiveQty],T_PlannedOrders[Part Name],$A1049,T_PlannedOrders[WeekIndex],71)&amp;" ("&amp;TEXT(SUMPRODUCT(MAX((T_PlannedOrders[Part Name]=$A1049)*(T_PlannedOrders[WeekIndex]=71)*(T_PlannedOrders[EffectiveQty]&gt;0)*T_PlannedOrders[Order_Month])),"m月")&amp;"発注)")</f>
        <v/>
      </c>
      <c r="BW1055">
        <f>IF(SUMIFS(T_PlannedOrders[EffectiveQty],T_PlannedOrders[Part Name],$A1049,T_PlannedOrders[WeekIndex],72)=0,"",SUMIFS(T_PlannedOrders[EffectiveQty],T_PlannedOrders[Part Name],$A1049,T_PlannedOrders[WeekIndex],72)&amp;" ("&amp;TEXT(SUMPRODUCT(MAX((T_PlannedOrders[Part Name]=$A1049)*(T_PlannedOrders[WeekIndex]=72)*(T_PlannedOrders[EffectiveQty]&gt;0)*T_PlannedOrders[Order_Month])),"m月")&amp;"発注)")</f>
        <v/>
      </c>
      <c r="BX1055">
        <f>IF(SUMIFS(T_PlannedOrders[EffectiveQty],T_PlannedOrders[Part Name],$A1049,T_PlannedOrders[WeekIndex],73)=0,"",SUMIFS(T_PlannedOrders[EffectiveQty],T_PlannedOrders[Part Name],$A1049,T_PlannedOrders[WeekIndex],73)&amp;" ("&amp;TEXT(SUMPRODUCT(MAX((T_PlannedOrders[Part Name]=$A1049)*(T_PlannedOrders[WeekIndex]=73)*(T_PlannedOrders[EffectiveQty]&gt;0)*T_PlannedOrders[Order_Month])),"m月")&amp;"発注)")</f>
        <v/>
      </c>
      <c r="BY1055">
        <f>IF(SUMIFS(T_PlannedOrders[EffectiveQty],T_PlannedOrders[Part Name],$A1049,T_PlannedOrders[WeekIndex],74)=0,"",SUMIFS(T_PlannedOrders[EffectiveQty],T_PlannedOrders[Part Name],$A1049,T_PlannedOrders[WeekIndex],74)&amp;" ("&amp;TEXT(SUMPRODUCT(MAX((T_PlannedOrders[Part Name]=$A1049)*(T_PlannedOrders[WeekIndex]=74)*(T_PlannedOrders[EffectiveQty]&gt;0)*T_PlannedOrders[Order_Month])),"m月")&amp;"発注)")</f>
        <v/>
      </c>
      <c r="BZ1055">
        <f>IF(SUMIFS(T_PlannedOrders[EffectiveQty],T_PlannedOrders[Part Name],$A1049,T_PlannedOrders[WeekIndex],75)=0,"",SUMIFS(T_PlannedOrders[EffectiveQty],T_PlannedOrders[Part Name],$A1049,T_PlannedOrders[WeekIndex],75)&amp;" ("&amp;TEXT(SUMPRODUCT(MAX((T_PlannedOrders[Part Name]=$A1049)*(T_PlannedOrders[WeekIndex]=75)*(T_PlannedOrders[EffectiveQty]&gt;0)*T_PlannedOrders[Order_Month])),"m月")&amp;"発注)")</f>
        <v/>
      </c>
      <c r="CA1055">
        <f>IF(SUMIFS(T_PlannedOrders[EffectiveQty],T_PlannedOrders[Part Name],$A1049,T_PlannedOrders[WeekIndex],76)=0,"",SUMIFS(T_PlannedOrders[EffectiveQty],T_PlannedOrders[Part Name],$A1049,T_PlannedOrders[WeekIndex],76)&amp;" ("&amp;TEXT(SUMPRODUCT(MAX((T_PlannedOrders[Part Name]=$A1049)*(T_PlannedOrders[WeekIndex]=76)*(T_PlannedOrders[EffectiveQty]&gt;0)*T_PlannedOrders[Order_Month])),"m月")&amp;"発注)")</f>
        <v/>
      </c>
      <c r="CB1055">
        <f>IF(SUMIFS(T_PlannedOrders[EffectiveQty],T_PlannedOrders[Part Name],$A1049,T_PlannedOrders[WeekIndex],77)=0,"",SUMIFS(T_PlannedOrders[EffectiveQty],T_PlannedOrders[Part Name],$A1049,T_PlannedOrders[WeekIndex],77)&amp;" ("&amp;TEXT(SUMPRODUCT(MAX((T_PlannedOrders[Part Name]=$A1049)*(T_PlannedOrders[WeekIndex]=77)*(T_PlannedOrders[EffectiveQty]&gt;0)*T_PlannedOrders[Order_Month])),"m月")&amp;"発注)")</f>
        <v/>
      </c>
      <c r="CC1055">
        <f>IF(SUMIFS(T_PlannedOrders[EffectiveQty],T_PlannedOrders[Part Name],$A1049,T_PlannedOrders[WeekIndex],78)=0,"",SUMIFS(T_PlannedOrders[EffectiveQty],T_PlannedOrders[Part Name],$A1049,T_PlannedOrders[WeekIndex],78)&amp;" ("&amp;TEXT(SUMPRODUCT(MAX((T_PlannedOrders[Part Name]=$A1049)*(T_PlannedOrders[WeekIndex]=78)*(T_PlannedOrders[EffectiveQty]&gt;0)*T_PlannedOrders[Order_Month])),"m月")&amp;"発注)")</f>
        <v/>
      </c>
      <c r="CD1055">
        <f>IF(SUMIFS(T_PlannedOrders[EffectiveQty],T_PlannedOrders[Part Name],$A1049,T_PlannedOrders[WeekIndex],79)=0,"",SUMIFS(T_PlannedOrders[EffectiveQty],T_PlannedOrders[Part Name],$A1049,T_PlannedOrders[WeekIndex],79)&amp;" ("&amp;TEXT(SUMPRODUCT(MAX((T_PlannedOrders[Part Name]=$A1049)*(T_PlannedOrders[WeekIndex]=79)*(T_PlannedOrders[EffectiveQty]&gt;0)*T_PlannedOrders[Order_Month])),"m月")&amp;"発注)")</f>
        <v/>
      </c>
      <c r="CE1055">
        <f>IF(SUMIFS(T_PlannedOrders[EffectiveQty],T_PlannedOrders[Part Name],$A1049,T_PlannedOrders[WeekIndex],80)=0,"",SUMIFS(T_PlannedOrders[EffectiveQty],T_PlannedOrders[Part Name],$A1049,T_PlannedOrders[WeekIndex],80)&amp;" ("&amp;TEXT(SUMPRODUCT(MAX((T_PlannedOrders[Part Name]=$A1049)*(T_PlannedOrders[WeekIndex]=80)*(T_PlannedOrders[EffectiveQty]&gt;0)*T_PlannedOrders[Order_Month])),"m月")&amp;"発注)")</f>
        <v/>
      </c>
      <c r="CF1055">
        <f>IF(SUMIFS(T_PlannedOrders[EffectiveQty],T_PlannedOrders[Part Name],$A1049,T_PlannedOrders[WeekIndex],81)=0,"",SUMIFS(T_PlannedOrders[EffectiveQty],T_PlannedOrders[Part Name],$A1049,T_PlannedOrders[WeekIndex],81)&amp;" ("&amp;TEXT(SUMPRODUCT(MAX((T_PlannedOrders[Part Name]=$A1049)*(T_PlannedOrders[WeekIndex]=81)*(T_PlannedOrders[EffectiveQty]&gt;0)*T_PlannedOrders[Order_Month])),"m月")&amp;"発注)")</f>
        <v/>
      </c>
      <c r="CG1055">
        <f>IF(SUMIFS(T_PlannedOrders[EffectiveQty],T_PlannedOrders[Part Name],$A1049,T_PlannedOrders[WeekIndex],82)=0,"",SUMIFS(T_PlannedOrders[EffectiveQty],T_PlannedOrders[Part Name],$A1049,T_PlannedOrders[WeekIndex],82)&amp;" ("&amp;TEXT(SUMPRODUCT(MAX((T_PlannedOrders[Part Name]=$A1049)*(T_PlannedOrders[WeekIndex]=82)*(T_PlannedOrders[EffectiveQty]&gt;0)*T_PlannedOrders[Order_Month])),"m月")&amp;"発注)")</f>
        <v/>
      </c>
      <c r="CH1055">
        <f>IF(SUMIFS(T_PlannedOrders[EffectiveQty],T_PlannedOrders[Part Name],$A1049,T_PlannedOrders[WeekIndex],83)=0,"",SUMIFS(T_PlannedOrders[EffectiveQty],T_PlannedOrders[Part Name],$A1049,T_PlannedOrders[WeekIndex],83)&amp;" ("&amp;TEXT(SUMPRODUCT(MAX((T_PlannedOrders[Part Name]=$A1049)*(T_PlannedOrders[WeekIndex]=83)*(T_PlannedOrders[EffectiveQty]&gt;0)*T_PlannedOrders[Order_Month])),"m月")&amp;"発注)")</f>
        <v/>
      </c>
      <c r="CI1055">
        <f>IF(SUMIFS(T_PlannedOrders[EffectiveQty],T_PlannedOrders[Part Name],$A1049,T_PlannedOrders[WeekIndex],84)=0,"",SUMIFS(T_PlannedOrders[EffectiveQty],T_PlannedOrders[Part Name],$A1049,T_PlannedOrders[WeekIndex],84)&amp;" ("&amp;TEXT(SUMPRODUCT(MAX((T_PlannedOrders[Part Name]=$A1049)*(T_PlannedOrders[WeekIndex]=84)*(T_PlannedOrders[EffectiveQty]&gt;0)*T_PlannedOrders[Order_Month])),"m月")&amp;"発注)")</f>
        <v/>
      </c>
      <c r="CJ1055">
        <f>IF(SUMIFS(T_PlannedOrders[EffectiveQty],T_PlannedOrders[Part Name],$A1049,T_PlannedOrders[WeekIndex],85)=0,"",SUMIFS(T_PlannedOrders[EffectiveQty],T_PlannedOrders[Part Name],$A1049,T_PlannedOrders[WeekIndex],85)&amp;" ("&amp;TEXT(SUMPRODUCT(MAX((T_PlannedOrders[Part Name]=$A1049)*(T_PlannedOrders[WeekIndex]=85)*(T_PlannedOrders[EffectiveQty]&gt;0)*T_PlannedOrders[Order_Month])),"m月")&amp;"発注)")</f>
        <v/>
      </c>
      <c r="CK1055">
        <f>IF(SUMIFS(T_PlannedOrders[EffectiveQty],T_PlannedOrders[Part Name],$A1049,T_PlannedOrders[WeekIndex],86)=0,"",SUMIFS(T_PlannedOrders[EffectiveQty],T_PlannedOrders[Part Name],$A1049,T_PlannedOrders[WeekIndex],86)&amp;" ("&amp;TEXT(SUMPRODUCT(MAX((T_PlannedOrders[Part Name]=$A1049)*(T_PlannedOrders[WeekIndex]=86)*(T_PlannedOrders[EffectiveQty]&gt;0)*T_PlannedOrders[Order_Month])),"m月")&amp;"発注)")</f>
        <v/>
      </c>
      <c r="CL1055">
        <f>IF(SUMIFS(T_PlannedOrders[EffectiveQty],T_PlannedOrders[Part Name],$A1049,T_PlannedOrders[WeekIndex],87)=0,"",SUMIFS(T_PlannedOrders[EffectiveQty],T_PlannedOrders[Part Name],$A1049,T_PlannedOrders[WeekIndex],87)&amp;" ("&amp;TEXT(SUMPRODUCT(MAX((T_PlannedOrders[Part Name]=$A1049)*(T_PlannedOrders[WeekIndex]=87)*(T_PlannedOrders[EffectiveQty]&gt;0)*T_PlannedOrders[Order_Month])),"m月")&amp;"発注)")</f>
        <v/>
      </c>
      <c r="CM1055">
        <f>IF(SUMIFS(T_PlannedOrders[EffectiveQty],T_PlannedOrders[Part Name],$A1049,T_PlannedOrders[WeekIndex],88)=0,"",SUMIFS(T_PlannedOrders[EffectiveQty],T_PlannedOrders[Part Name],$A1049,T_PlannedOrders[WeekIndex],88)&amp;" ("&amp;TEXT(SUMPRODUCT(MAX((T_PlannedOrders[Part Name]=$A1049)*(T_PlannedOrders[WeekIndex]=88)*(T_PlannedOrders[EffectiveQty]&gt;0)*T_PlannedOrders[Order_Month])),"m月")&amp;"発注)")</f>
        <v/>
      </c>
      <c r="CN1055">
        <f>IF(SUMIFS(T_PlannedOrders[EffectiveQty],T_PlannedOrders[Part Name],$A1049,T_PlannedOrders[WeekIndex],89)=0,"",SUMIFS(T_PlannedOrders[EffectiveQty],T_PlannedOrders[Part Name],$A1049,T_PlannedOrders[WeekIndex],89)&amp;" ("&amp;TEXT(SUMPRODUCT(MAX((T_PlannedOrders[Part Name]=$A1049)*(T_PlannedOrders[WeekIndex]=89)*(T_PlannedOrders[EffectiveQty]&gt;0)*T_PlannedOrders[Order_Month])),"m月")&amp;"発注)")</f>
        <v/>
      </c>
      <c r="CO1055">
        <f>IF(SUMIFS(T_PlannedOrders[EffectiveQty],T_PlannedOrders[Part Name],$A1049,T_PlannedOrders[WeekIndex],90)=0,"",SUMIFS(T_PlannedOrders[EffectiveQty],T_PlannedOrders[Part Name],$A1049,T_PlannedOrders[WeekIndex],90)&amp;" ("&amp;TEXT(SUMPRODUCT(MAX((T_PlannedOrders[Part Name]=$A1049)*(T_PlannedOrders[WeekIndex]=90)*(T_PlannedOrders[EffectiveQty]&gt;0)*T_PlannedOrders[Order_Month])),"m月")&amp;"発注)")</f>
        <v/>
      </c>
      <c r="CP1055">
        <f>IF(SUMIFS(T_PlannedOrders[EffectiveQty],T_PlannedOrders[Part Name],$A1049,T_PlannedOrders[WeekIndex],91)=0,"",SUMIFS(T_PlannedOrders[EffectiveQty],T_PlannedOrders[Part Name],$A1049,T_PlannedOrders[WeekIndex],91)&amp;" ("&amp;TEXT(SUMPRODUCT(MAX((T_PlannedOrders[Part Name]=$A1049)*(T_PlannedOrders[WeekIndex]=91)*(T_PlannedOrders[EffectiveQty]&gt;0)*T_PlannedOrders[Order_Month])),"m月")&amp;"発注)")</f>
        <v/>
      </c>
      <c r="CQ1055">
        <f>IF(SUMIFS(T_PlannedOrders[EffectiveQty],T_PlannedOrders[Part Name],$A1049,T_PlannedOrders[WeekIndex],92)=0,"",SUMIFS(T_PlannedOrders[EffectiveQty],T_PlannedOrders[Part Name],$A1049,T_PlannedOrders[WeekIndex],92)&amp;" ("&amp;TEXT(SUMPRODUCT(MAX((T_PlannedOrders[Part Name]=$A1049)*(T_PlannedOrders[WeekIndex]=92)*(T_PlannedOrders[EffectiveQty]&gt;0)*T_PlannedOrders[Order_Month])),"m月")&amp;"発注)")</f>
        <v/>
      </c>
      <c r="CR1055">
        <f>IF(SUMIFS(T_PlannedOrders[EffectiveQty],T_PlannedOrders[Part Name],$A1049,T_PlannedOrders[WeekIndex],93)=0,"",SUMIFS(T_PlannedOrders[EffectiveQty],T_PlannedOrders[Part Name],$A1049,T_PlannedOrders[WeekIndex],93)&amp;" ("&amp;TEXT(SUMPRODUCT(MAX((T_PlannedOrders[Part Name]=$A1049)*(T_PlannedOrders[WeekIndex]=93)*(T_PlannedOrders[EffectiveQty]&gt;0)*T_PlannedOrders[Order_Month])),"m月")&amp;"発注)")</f>
        <v/>
      </c>
      <c r="CS1055">
        <f>IF(SUMIFS(T_PlannedOrders[EffectiveQty],T_PlannedOrders[Part Name],$A1049,T_PlannedOrders[WeekIndex],94)=0,"",SUMIFS(T_PlannedOrders[EffectiveQty],T_PlannedOrders[Part Name],$A1049,T_PlannedOrders[WeekIndex],94)&amp;" ("&amp;TEXT(SUMPRODUCT(MAX((T_PlannedOrders[Part Name]=$A1049)*(T_PlannedOrders[WeekIndex]=94)*(T_PlannedOrders[EffectiveQty]&gt;0)*T_PlannedOrders[Order_Month])),"m月")&amp;"発注)")</f>
        <v/>
      </c>
      <c r="CT1055">
        <f>IF(SUMIFS(T_PlannedOrders[EffectiveQty],T_PlannedOrders[Part Name],$A1049,T_PlannedOrders[WeekIndex],95)=0,"",SUMIFS(T_PlannedOrders[EffectiveQty],T_PlannedOrders[Part Name],$A1049,T_PlannedOrders[WeekIndex],95)&amp;" ("&amp;TEXT(SUMPRODUCT(MAX((T_PlannedOrders[Part Name]=$A1049)*(T_PlannedOrders[WeekIndex]=95)*(T_PlannedOrders[EffectiveQty]&gt;0)*T_PlannedOrders[Order_Month])),"m月")&amp;"発注)")</f>
        <v/>
      </c>
      <c r="CU1055">
        <f>IF(SUMIFS(T_PlannedOrders[EffectiveQty],T_PlannedOrders[Part Name],$A1049,T_PlannedOrders[WeekIndex],96)=0,"",SUMIFS(T_PlannedOrders[EffectiveQty],T_PlannedOrders[Part Name],$A1049,T_PlannedOrders[WeekIndex],96)&amp;" ("&amp;TEXT(SUMPRODUCT(MAX((T_PlannedOrders[Part Name]=$A1049)*(T_PlannedOrders[WeekIndex]=96)*(T_PlannedOrders[EffectiveQty]&gt;0)*T_PlannedOrders[Order_Month])),"m月")&amp;"発注)")</f>
        <v/>
      </c>
      <c r="CV1055">
        <f>IF(SUMIFS(T_PlannedOrders[EffectiveQty],T_PlannedOrders[Part Name],$A1049,T_PlannedOrders[WeekIndex],97)=0,"",SUMIFS(T_PlannedOrders[EffectiveQty],T_PlannedOrders[Part Name],$A1049,T_PlannedOrders[WeekIndex],97)&amp;" ("&amp;TEXT(SUMPRODUCT(MAX((T_PlannedOrders[Part Name]=$A1049)*(T_PlannedOrders[WeekIndex]=97)*(T_PlannedOrders[EffectiveQty]&gt;0)*T_PlannedOrders[Order_Month])),"m月")&amp;"発注)")</f>
        <v/>
      </c>
      <c r="CW1055">
        <f>IF(SUMIFS(T_PlannedOrders[EffectiveQty],T_PlannedOrders[Part Name],$A1049,T_PlannedOrders[WeekIndex],98)=0,"",SUMIFS(T_PlannedOrders[EffectiveQty],T_PlannedOrders[Part Name],$A1049,T_PlannedOrders[WeekIndex],98)&amp;" ("&amp;TEXT(SUMPRODUCT(MAX((T_PlannedOrders[Part Name]=$A1049)*(T_PlannedOrders[WeekIndex]=98)*(T_PlannedOrders[EffectiveQty]&gt;0)*T_PlannedOrders[Order_Month])),"m月")&amp;"発注)")</f>
        <v/>
      </c>
      <c r="CX1055">
        <f>IF(SUMIFS(T_PlannedOrders[EffectiveQty],T_PlannedOrders[Part Name],$A1049,T_PlannedOrders[WeekIndex],99)=0,"",SUMIFS(T_PlannedOrders[EffectiveQty],T_PlannedOrders[Part Name],$A1049,T_PlannedOrders[WeekIndex],99)&amp;" ("&amp;TEXT(SUMPRODUCT(MAX((T_PlannedOrders[Part Name]=$A1049)*(T_PlannedOrders[WeekIndex]=99)*(T_PlannedOrders[EffectiveQty]&gt;0)*T_PlannedOrders[Order_Month])),"m月")&amp;"発注)")</f>
        <v/>
      </c>
      <c r="CY1055">
        <f>IF(SUMIFS(T_PlannedOrders[EffectiveQty],T_PlannedOrders[Part Name],$A1049,T_PlannedOrders[WeekIndex],100)=0,"",SUMIFS(T_PlannedOrders[EffectiveQty],T_PlannedOrders[Part Name],$A1049,T_PlannedOrders[WeekIndex],100)&amp;" ("&amp;TEXT(SUMPRODUCT(MAX((T_PlannedOrders[Part Name]=$A1049)*(T_PlannedOrders[WeekIndex]=100)*(T_PlannedOrders[EffectiveQty]&gt;0)*T_PlannedOrders[Order_Month])),"m月")&amp;"発注)")</f>
        <v/>
      </c>
      <c r="CZ1055">
        <f>IF(SUMIFS(T_PlannedOrders[EffectiveQty],T_PlannedOrders[Part Name],$A1049,T_PlannedOrders[WeekIndex],101)=0,"",SUMIFS(T_PlannedOrders[EffectiveQty],T_PlannedOrders[Part Name],$A1049,T_PlannedOrders[WeekIndex],101)&amp;" ("&amp;TEXT(SUMPRODUCT(MAX((T_PlannedOrders[Part Name]=$A1049)*(T_PlannedOrders[WeekIndex]=101)*(T_PlannedOrders[EffectiveQty]&gt;0)*T_PlannedOrders[Order_Month])),"m月")&amp;"発注)")</f>
        <v/>
      </c>
      <c r="DA1055">
        <f>IF(SUMIFS(T_PlannedOrders[EffectiveQty],T_PlannedOrders[Part Name],$A1049,T_PlannedOrders[WeekIndex],102)=0,"",SUMIFS(T_PlannedOrders[EffectiveQty],T_PlannedOrders[Part Name],$A1049,T_PlannedOrders[WeekIndex],102)&amp;" ("&amp;TEXT(SUMPRODUCT(MAX((T_PlannedOrders[Part Name]=$A1049)*(T_PlannedOrders[WeekIndex]=102)*(T_PlannedOrders[EffectiveQty]&gt;0)*T_PlannedOrders[Order_Month])),"m月")&amp;"発注)")</f>
        <v/>
      </c>
      <c r="DB1055">
        <f>IF(SUMIFS(T_PlannedOrders[EffectiveQty],T_PlannedOrders[Part Name],$A1049,T_PlannedOrders[WeekIndex],103)=0,"",SUMIFS(T_PlannedOrders[EffectiveQty],T_PlannedOrders[Part Name],$A1049,T_PlannedOrders[WeekIndex],103)&amp;" ("&amp;TEXT(SUMPRODUCT(MAX((T_PlannedOrders[Part Name]=$A1049)*(T_PlannedOrders[WeekIndex]=103)*(T_PlannedOrders[EffectiveQty]&gt;0)*T_PlannedOrders[Order_Month])),"m月")&amp;"発注)")</f>
        <v/>
      </c>
      <c r="DC1055">
        <f>IF(SUMIFS(T_PlannedOrders[EffectiveQty],T_PlannedOrders[Part Name],$A1049,T_PlannedOrders[WeekIndex],104)=0,"",SUMIFS(T_PlannedOrders[EffectiveQty],T_PlannedOrders[Part Name],$A1049,T_PlannedOrders[WeekIndex],104)&amp;" ("&amp;TEXT(SUMPRODUCT(MAX((T_PlannedOrders[Part Name]=$A1049)*(T_PlannedOrders[WeekIndex]=104)*(T_PlannedOrders[EffectiveQty]&gt;0)*T_PlannedOrders[Order_Month])),"m月")&amp;"発注)")</f>
        <v/>
      </c>
    </row>
    <row r="1056">
      <c r="B1056" s="9" t="inlineStr">
        <is>
          <t>合計在庫(週末時点,kg)</t>
        </is>
      </c>
      <c r="D1056">
        <f>'Grid_Stock'!B37</f>
        <v/>
      </c>
      <c r="E1056">
        <f>'Grid_Stock'!C37</f>
        <v/>
      </c>
      <c r="F1056">
        <f>'Grid_Stock'!D37</f>
        <v/>
      </c>
      <c r="G1056">
        <f>'Grid_Stock'!E37</f>
        <v/>
      </c>
      <c r="H1056">
        <f>'Grid_Stock'!F37</f>
        <v/>
      </c>
      <c r="I1056">
        <f>'Grid_Stock'!G37</f>
        <v/>
      </c>
      <c r="J1056">
        <f>'Grid_Stock'!H37</f>
        <v/>
      </c>
      <c r="K1056">
        <f>'Grid_Stock'!I37</f>
        <v/>
      </c>
      <c r="L1056">
        <f>'Grid_Stock'!J37</f>
        <v/>
      </c>
      <c r="M1056">
        <f>'Grid_Stock'!K37</f>
        <v/>
      </c>
      <c r="N1056">
        <f>'Grid_Stock'!L37</f>
        <v/>
      </c>
      <c r="O1056">
        <f>'Grid_Stock'!M37</f>
        <v/>
      </c>
      <c r="P1056">
        <f>'Grid_Stock'!N37</f>
        <v/>
      </c>
      <c r="Q1056">
        <f>'Grid_Stock'!O37</f>
        <v/>
      </c>
      <c r="R1056">
        <f>'Grid_Stock'!P37</f>
        <v/>
      </c>
      <c r="S1056">
        <f>'Grid_Stock'!Q37</f>
        <v/>
      </c>
      <c r="T1056">
        <f>'Grid_Stock'!R37</f>
        <v/>
      </c>
      <c r="U1056">
        <f>'Grid_Stock'!S37</f>
        <v/>
      </c>
      <c r="V1056">
        <f>'Grid_Stock'!T37</f>
        <v/>
      </c>
      <c r="W1056">
        <f>'Grid_Stock'!U37</f>
        <v/>
      </c>
      <c r="X1056">
        <f>'Grid_Stock'!V37</f>
        <v/>
      </c>
      <c r="Y1056">
        <f>'Grid_Stock'!W37</f>
        <v/>
      </c>
      <c r="Z1056">
        <f>'Grid_Stock'!X37</f>
        <v/>
      </c>
      <c r="AA1056">
        <f>'Grid_Stock'!Y37</f>
        <v/>
      </c>
      <c r="AB1056">
        <f>'Grid_Stock'!Z37</f>
        <v/>
      </c>
      <c r="AC1056">
        <f>'Grid_Stock'!AA37</f>
        <v/>
      </c>
      <c r="AD1056">
        <f>'Grid_Stock'!AB37</f>
        <v/>
      </c>
      <c r="AE1056">
        <f>'Grid_Stock'!AC37</f>
        <v/>
      </c>
      <c r="AF1056">
        <f>'Grid_Stock'!AD37</f>
        <v/>
      </c>
      <c r="AG1056">
        <f>'Grid_Stock'!AE37</f>
        <v/>
      </c>
      <c r="AH1056">
        <f>'Grid_Stock'!AF37</f>
        <v/>
      </c>
      <c r="AI1056">
        <f>'Grid_Stock'!AG37</f>
        <v/>
      </c>
      <c r="AJ1056">
        <f>'Grid_Stock'!AH37</f>
        <v/>
      </c>
      <c r="AK1056">
        <f>'Grid_Stock'!AI37</f>
        <v/>
      </c>
      <c r="AL1056">
        <f>'Grid_Stock'!AJ37</f>
        <v/>
      </c>
      <c r="AM1056">
        <f>'Grid_Stock'!AK37</f>
        <v/>
      </c>
      <c r="AN1056">
        <f>'Grid_Stock'!AL37</f>
        <v/>
      </c>
      <c r="AO1056">
        <f>'Grid_Stock'!AM37</f>
        <v/>
      </c>
      <c r="AP1056">
        <f>'Grid_Stock'!AN37</f>
        <v/>
      </c>
      <c r="AQ1056">
        <f>'Grid_Stock'!AO37</f>
        <v/>
      </c>
      <c r="AR1056">
        <f>'Grid_Stock'!AP37</f>
        <v/>
      </c>
      <c r="AS1056">
        <f>'Grid_Stock'!AQ37</f>
        <v/>
      </c>
      <c r="AT1056">
        <f>'Grid_Stock'!AR37</f>
        <v/>
      </c>
      <c r="AU1056">
        <f>'Grid_Stock'!AS37</f>
        <v/>
      </c>
      <c r="AV1056">
        <f>'Grid_Stock'!AT37</f>
        <v/>
      </c>
      <c r="AW1056">
        <f>'Grid_Stock'!AU37</f>
        <v/>
      </c>
      <c r="AX1056">
        <f>'Grid_Stock'!AV37</f>
        <v/>
      </c>
      <c r="AY1056">
        <f>'Grid_Stock'!AW37</f>
        <v/>
      </c>
      <c r="AZ1056">
        <f>'Grid_Stock'!AX37</f>
        <v/>
      </c>
      <c r="BA1056">
        <f>'Grid_Stock'!AY37</f>
        <v/>
      </c>
      <c r="BB1056">
        <f>'Grid_Stock'!AZ37</f>
        <v/>
      </c>
      <c r="BC1056">
        <f>'Grid_Stock'!BA37</f>
        <v/>
      </c>
      <c r="BD1056">
        <f>'Grid_Stock'!BB37</f>
        <v/>
      </c>
      <c r="BE1056">
        <f>'Grid_Stock'!BC37</f>
        <v/>
      </c>
      <c r="BF1056">
        <f>'Grid_Stock'!BD37</f>
        <v/>
      </c>
      <c r="BG1056">
        <f>'Grid_Stock'!BE37</f>
        <v/>
      </c>
      <c r="BH1056">
        <f>'Grid_Stock'!BF37</f>
        <v/>
      </c>
      <c r="BI1056">
        <f>'Grid_Stock'!BG37</f>
        <v/>
      </c>
      <c r="BJ1056">
        <f>'Grid_Stock'!BH37</f>
        <v/>
      </c>
      <c r="BK1056">
        <f>'Grid_Stock'!BI37</f>
        <v/>
      </c>
      <c r="BL1056">
        <f>'Grid_Stock'!BJ37</f>
        <v/>
      </c>
      <c r="BM1056">
        <f>'Grid_Stock'!BK37</f>
        <v/>
      </c>
      <c r="BN1056">
        <f>'Grid_Stock'!BL37</f>
        <v/>
      </c>
      <c r="BO1056">
        <f>'Grid_Stock'!BM37</f>
        <v/>
      </c>
      <c r="BP1056">
        <f>'Grid_Stock'!BN37</f>
        <v/>
      </c>
      <c r="BQ1056">
        <f>'Grid_Stock'!BO37</f>
        <v/>
      </c>
      <c r="BR1056">
        <f>'Grid_Stock'!BP37</f>
        <v/>
      </c>
      <c r="BS1056">
        <f>'Grid_Stock'!BQ37</f>
        <v/>
      </c>
      <c r="BT1056">
        <f>'Grid_Stock'!BR37</f>
        <v/>
      </c>
      <c r="BU1056">
        <f>'Grid_Stock'!BS37</f>
        <v/>
      </c>
      <c r="BV1056">
        <f>'Grid_Stock'!BT37</f>
        <v/>
      </c>
      <c r="BW1056">
        <f>'Grid_Stock'!BU37</f>
        <v/>
      </c>
      <c r="BX1056">
        <f>'Grid_Stock'!BV37</f>
        <v/>
      </c>
      <c r="BY1056">
        <f>'Grid_Stock'!BW37</f>
        <v/>
      </c>
      <c r="BZ1056">
        <f>'Grid_Stock'!BX37</f>
        <v/>
      </c>
      <c r="CA1056">
        <f>'Grid_Stock'!BY37</f>
        <v/>
      </c>
      <c r="CB1056">
        <f>'Grid_Stock'!BZ37</f>
        <v/>
      </c>
      <c r="CC1056">
        <f>'Grid_Stock'!CA37</f>
        <v/>
      </c>
      <c r="CD1056">
        <f>'Grid_Stock'!CB37</f>
        <v/>
      </c>
      <c r="CE1056">
        <f>'Grid_Stock'!CC37</f>
        <v/>
      </c>
      <c r="CF1056">
        <f>'Grid_Stock'!CD37</f>
        <v/>
      </c>
      <c r="CG1056">
        <f>'Grid_Stock'!CE37</f>
        <v/>
      </c>
      <c r="CH1056">
        <f>'Grid_Stock'!CF37</f>
        <v/>
      </c>
      <c r="CI1056">
        <f>'Grid_Stock'!CG37</f>
        <v/>
      </c>
      <c r="CJ1056">
        <f>'Grid_Stock'!CH37</f>
        <v/>
      </c>
      <c r="CK1056">
        <f>'Grid_Stock'!CI37</f>
        <v/>
      </c>
      <c r="CL1056">
        <f>'Grid_Stock'!CJ37</f>
        <v/>
      </c>
      <c r="CM1056">
        <f>'Grid_Stock'!CK37</f>
        <v/>
      </c>
      <c r="CN1056">
        <f>'Grid_Stock'!CL37</f>
        <v/>
      </c>
      <c r="CO1056">
        <f>'Grid_Stock'!CM37</f>
        <v/>
      </c>
      <c r="CP1056">
        <f>'Grid_Stock'!CN37</f>
        <v/>
      </c>
      <c r="CQ1056">
        <f>'Grid_Stock'!CO37</f>
        <v/>
      </c>
      <c r="CR1056">
        <f>'Grid_Stock'!CP37</f>
        <v/>
      </c>
      <c r="CS1056">
        <f>'Grid_Stock'!CQ37</f>
        <v/>
      </c>
      <c r="CT1056">
        <f>'Grid_Stock'!CR37</f>
        <v/>
      </c>
      <c r="CU1056">
        <f>'Grid_Stock'!CS37</f>
        <v/>
      </c>
      <c r="CV1056">
        <f>'Grid_Stock'!CT37</f>
        <v/>
      </c>
      <c r="CW1056">
        <f>'Grid_Stock'!CU37</f>
        <v/>
      </c>
      <c r="CX1056">
        <f>'Grid_Stock'!CV37</f>
        <v/>
      </c>
      <c r="CY1056">
        <f>'Grid_Stock'!CW37</f>
        <v/>
      </c>
      <c r="CZ1056">
        <f>'Grid_Stock'!CX37</f>
        <v/>
      </c>
      <c r="DA1056">
        <f>'Grid_Stock'!CY37</f>
        <v/>
      </c>
      <c r="DB1056">
        <f>'Grid_Stock'!CZ37</f>
        <v/>
      </c>
      <c r="DC1056">
        <f>'Grid_Stock'!DA37</f>
        <v/>
      </c>
    </row>
    <row r="1057">
      <c r="B1057" s="21" t="inlineStr">
        <is>
          <t>（発注の目安はDashboardの基準在庫[下限/上限]と色分けを参照）</t>
        </is>
      </c>
    </row>
    <row r="1059">
      <c r="A1059" s="19" t="inlineStr">
        <is>
          <t>Ester Film</t>
        </is>
      </c>
      <c r="B1059" s="19" t="inlineStr">
        <is>
          <t>Ester Film</t>
        </is>
      </c>
      <c r="C1059" s="20" t="n"/>
      <c r="D1059" s="19" t="n"/>
      <c r="E1059" s="19" t="n"/>
      <c r="F1059" s="19" t="n"/>
      <c r="G1059" s="19" t="n"/>
      <c r="H1059" s="19" t="n"/>
      <c r="I1059" s="19" t="n"/>
      <c r="J1059" s="19" t="n"/>
      <c r="K1059" s="19" t="n"/>
      <c r="L1059" s="19" t="n"/>
      <c r="M1059" s="19" t="n"/>
      <c r="N1059" s="19" t="n"/>
      <c r="O1059" s="19" t="n"/>
      <c r="P1059" s="19" t="n"/>
      <c r="Q1059" s="19" t="n"/>
      <c r="R1059" s="19" t="n"/>
      <c r="S1059" s="19" t="n"/>
      <c r="T1059" s="19" t="n"/>
      <c r="U1059" s="19" t="n"/>
      <c r="V1059" s="19" t="n"/>
      <c r="W1059" s="19" t="n"/>
      <c r="X1059" s="19" t="n"/>
      <c r="Y1059" s="19" t="n"/>
      <c r="Z1059" s="19" t="n"/>
      <c r="AA1059" s="19" t="n"/>
      <c r="AB1059" s="19" t="n"/>
      <c r="AC1059" s="19" t="n"/>
      <c r="AD1059" s="19" t="n"/>
      <c r="AE1059" s="19" t="n"/>
      <c r="AF1059" s="19" t="n"/>
      <c r="AG1059" s="19" t="n"/>
      <c r="AH1059" s="19" t="n"/>
      <c r="AI1059" s="19" t="n"/>
      <c r="AJ1059" s="19" t="n"/>
      <c r="AK1059" s="19" t="n"/>
      <c r="AL1059" s="19" t="n"/>
      <c r="AM1059" s="19" t="n"/>
      <c r="AN1059" s="19" t="n"/>
      <c r="AO1059" s="19" t="n"/>
      <c r="AP1059" s="19" t="n"/>
      <c r="AQ1059" s="19" t="n"/>
      <c r="AR1059" s="19" t="n"/>
      <c r="AS1059" s="19" t="n"/>
      <c r="AT1059" s="19" t="n"/>
      <c r="AU1059" s="19" t="n"/>
      <c r="AV1059" s="19" t="n"/>
      <c r="AW1059" s="19" t="n"/>
      <c r="AX1059" s="19" t="n"/>
      <c r="AY1059" s="19" t="n"/>
      <c r="AZ1059" s="19" t="n"/>
      <c r="BA1059" s="19" t="n"/>
      <c r="BB1059" s="19" t="n"/>
      <c r="BC1059" s="19" t="n"/>
      <c r="BD1059" s="19" t="n"/>
      <c r="BE1059" s="19" t="n"/>
      <c r="BF1059" s="19" t="n"/>
      <c r="BG1059" s="19" t="n"/>
      <c r="BH1059" s="19" t="n"/>
      <c r="BI1059" s="19" t="n"/>
      <c r="BJ1059" s="19" t="n"/>
      <c r="BK1059" s="19" t="n"/>
      <c r="BL1059" s="19" t="n"/>
      <c r="BM1059" s="19" t="n"/>
      <c r="BN1059" s="19" t="n"/>
      <c r="BO1059" s="19" t="n"/>
      <c r="BP1059" s="19" t="n"/>
      <c r="BQ1059" s="19" t="n"/>
      <c r="BR1059" s="19" t="n"/>
      <c r="BS1059" s="19" t="n"/>
      <c r="BT1059" s="19" t="n"/>
      <c r="BU1059" s="19" t="n"/>
      <c r="BV1059" s="19" t="n"/>
      <c r="BW1059" s="19" t="n"/>
      <c r="BX1059" s="19" t="n"/>
      <c r="BY1059" s="19" t="n"/>
      <c r="BZ1059" s="19" t="n"/>
      <c r="CA1059" s="19" t="n"/>
      <c r="CB1059" s="19" t="n"/>
      <c r="CC1059" s="19" t="n"/>
      <c r="CD1059" s="19" t="n"/>
      <c r="CE1059" s="19" t="n"/>
      <c r="CF1059" s="19" t="n"/>
      <c r="CG1059" s="19" t="n"/>
      <c r="CH1059" s="19" t="n"/>
      <c r="CI1059" s="19" t="n"/>
      <c r="CJ1059" s="19" t="n"/>
      <c r="CK1059" s="19" t="n"/>
      <c r="CL1059" s="19" t="n"/>
      <c r="CM1059" s="19" t="n"/>
      <c r="CN1059" s="19" t="n"/>
      <c r="CO1059" s="19" t="n"/>
      <c r="CP1059" s="19" t="n"/>
      <c r="CQ1059" s="19" t="n"/>
      <c r="CR1059" s="19" t="n"/>
      <c r="CS1059" s="19" t="n"/>
      <c r="CT1059" s="19" t="n"/>
      <c r="CU1059" s="19" t="n"/>
      <c r="CV1059" s="19" t="n"/>
      <c r="CW1059" s="19" t="n"/>
      <c r="CX1059" s="19" t="n"/>
      <c r="CY1059" s="19" t="n"/>
      <c r="CZ1059" s="19" t="n"/>
      <c r="DA1059" s="19" t="n"/>
      <c r="DB1059" s="19" t="n"/>
      <c r="DC1059" s="19" t="n"/>
    </row>
    <row r="1060">
      <c r="B1060" t="inlineStr">
        <is>
          <t>Ester Film</t>
        </is>
      </c>
      <c r="C1060" t="inlineStr">
        <is>
          <t>No. of batches</t>
        </is>
      </c>
      <c r="D1060">
        <f>IFERROR(INDEX(PP_Grid[#Data],$DD1060,2),0)</f>
        <v/>
      </c>
      <c r="E1060">
        <f>IFERROR(INDEX(PP_Grid[#Data],$DD1060,3),0)</f>
        <v/>
      </c>
      <c r="F1060">
        <f>IFERROR(INDEX(PP_Grid[#Data],$DD1060,4),0)</f>
        <v/>
      </c>
      <c r="G1060">
        <f>IFERROR(INDEX(PP_Grid[#Data],$DD1060,5),0)</f>
        <v/>
      </c>
      <c r="H1060">
        <f>IFERROR(INDEX(PP_Grid[#Data],$DD1060,6),0)</f>
        <v/>
      </c>
      <c r="I1060">
        <f>IFERROR(INDEX(PP_Grid[#Data],$DD1060,7),0)</f>
        <v/>
      </c>
      <c r="J1060">
        <f>IFERROR(INDEX(PP_Grid[#Data],$DD1060,8),0)</f>
        <v/>
      </c>
      <c r="K1060">
        <f>IFERROR(INDEX(PP_Grid[#Data],$DD1060,9),0)</f>
        <v/>
      </c>
      <c r="L1060">
        <f>IFERROR(INDEX(PP_Grid[#Data],$DD1060,10),0)</f>
        <v/>
      </c>
      <c r="M1060">
        <f>IFERROR(INDEX(PP_Grid[#Data],$DD1060,11),0)</f>
        <v/>
      </c>
      <c r="N1060">
        <f>IFERROR(INDEX(PP_Grid[#Data],$DD1060,12),0)</f>
        <v/>
      </c>
      <c r="O1060">
        <f>IFERROR(INDEX(PP_Grid[#Data],$DD1060,13),0)</f>
        <v/>
      </c>
      <c r="P1060">
        <f>IFERROR(INDEX(PP_Grid[#Data],$DD1060,14),0)</f>
        <v/>
      </c>
      <c r="Q1060">
        <f>IFERROR(INDEX(PP_Grid[#Data],$DD1060,15),0)</f>
        <v/>
      </c>
      <c r="R1060">
        <f>IFERROR(INDEX(PP_Grid[#Data],$DD1060,16),0)</f>
        <v/>
      </c>
      <c r="S1060">
        <f>IFERROR(INDEX(PP_Grid[#Data],$DD1060,17),0)</f>
        <v/>
      </c>
      <c r="T1060">
        <f>IFERROR(INDEX(PP_Grid[#Data],$DD1060,18),0)</f>
        <v/>
      </c>
      <c r="U1060">
        <f>IFERROR(INDEX(PP_Grid[#Data],$DD1060,19),0)</f>
        <v/>
      </c>
      <c r="V1060">
        <f>IFERROR(INDEX(PP_Grid[#Data],$DD1060,20),0)</f>
        <v/>
      </c>
      <c r="W1060">
        <f>IFERROR(INDEX(PP_Grid[#Data],$DD1060,21),0)</f>
        <v/>
      </c>
      <c r="X1060">
        <f>IFERROR(INDEX(PP_Grid[#Data],$DD1060,22),0)</f>
        <v/>
      </c>
      <c r="Y1060">
        <f>IFERROR(INDEX(PP_Grid[#Data],$DD1060,23),0)</f>
        <v/>
      </c>
      <c r="Z1060">
        <f>IFERROR(INDEX(PP_Grid[#Data],$DD1060,24),0)</f>
        <v/>
      </c>
      <c r="AA1060">
        <f>IFERROR(INDEX(PP_Grid[#Data],$DD1060,25),0)</f>
        <v/>
      </c>
      <c r="AB1060">
        <f>IFERROR(INDEX(PP_Grid[#Data],$DD1060,26),0)</f>
        <v/>
      </c>
      <c r="AC1060">
        <f>IFERROR(INDEX(PP_Grid[#Data],$DD1060,27),0)</f>
        <v/>
      </c>
      <c r="AD1060">
        <f>IFERROR(INDEX(PP_Grid[#Data],$DD1060,28),0)</f>
        <v/>
      </c>
      <c r="AE1060">
        <f>IFERROR(INDEX(PP_Grid[#Data],$DD1060,29),0)</f>
        <v/>
      </c>
      <c r="AF1060">
        <f>IFERROR(INDEX(PP_Grid[#Data],$DD1060,30),0)</f>
        <v/>
      </c>
      <c r="AG1060">
        <f>IFERROR(INDEX(PP_Grid[#Data],$DD1060,31),0)</f>
        <v/>
      </c>
      <c r="AH1060">
        <f>IFERROR(INDEX(PP_Grid[#Data],$DD1060,32),0)</f>
        <v/>
      </c>
      <c r="AI1060">
        <f>IFERROR(INDEX(PP_Grid[#Data],$DD1060,33),0)</f>
        <v/>
      </c>
      <c r="AJ1060">
        <f>IFERROR(INDEX(PP_Grid[#Data],$DD1060,34),0)</f>
        <v/>
      </c>
      <c r="AK1060">
        <f>IFERROR(INDEX(PP_Grid[#Data],$DD1060,35),0)</f>
        <v/>
      </c>
      <c r="AL1060">
        <f>IFERROR(INDEX(PP_Grid[#Data],$DD1060,36),0)</f>
        <v/>
      </c>
      <c r="AM1060">
        <f>IFERROR(INDEX(PP_Grid[#Data],$DD1060,37),0)</f>
        <v/>
      </c>
      <c r="AN1060">
        <f>IFERROR(INDEX(PP_Grid[#Data],$DD1060,38),0)</f>
        <v/>
      </c>
      <c r="AO1060">
        <f>IFERROR(INDEX(PP_Grid[#Data],$DD1060,39),0)</f>
        <v/>
      </c>
      <c r="AP1060">
        <f>IFERROR(INDEX(PP_Grid[#Data],$DD1060,40),0)</f>
        <v/>
      </c>
      <c r="AQ1060">
        <f>IFERROR(INDEX(PP_Grid[#Data],$DD1060,41),0)</f>
        <v/>
      </c>
      <c r="AR1060">
        <f>IFERROR(INDEX(PP_Grid[#Data],$DD1060,42),0)</f>
        <v/>
      </c>
      <c r="AS1060">
        <f>IFERROR(INDEX(PP_Grid[#Data],$DD1060,43),0)</f>
        <v/>
      </c>
      <c r="AT1060">
        <f>IFERROR(INDEX(PP_Grid[#Data],$DD1060,44),0)</f>
        <v/>
      </c>
      <c r="AU1060">
        <f>IFERROR(INDEX(PP_Grid[#Data],$DD1060,45),0)</f>
        <v/>
      </c>
      <c r="AV1060">
        <f>IFERROR(INDEX(PP_Grid[#Data],$DD1060,46),0)</f>
        <v/>
      </c>
      <c r="AW1060">
        <f>IFERROR(INDEX(PP_Grid[#Data],$DD1060,47),0)</f>
        <v/>
      </c>
      <c r="AX1060">
        <f>IFERROR(INDEX(PP_Grid[#Data],$DD1060,48),0)</f>
        <v/>
      </c>
      <c r="AY1060">
        <f>IFERROR(INDEX(PP_Grid[#Data],$DD1060,49),0)</f>
        <v/>
      </c>
      <c r="AZ1060">
        <f>IFERROR(INDEX(PP_Grid[#Data],$DD1060,50),0)</f>
        <v/>
      </c>
      <c r="BA1060">
        <f>IFERROR(INDEX(PP_Grid[#Data],$DD1060,51),0)</f>
        <v/>
      </c>
      <c r="BB1060">
        <f>IFERROR(INDEX(PP_Grid[#Data],$DD1060,52),0)</f>
        <v/>
      </c>
      <c r="BC1060">
        <f>IFERROR(INDEX(PP_Grid[#Data],$DD1060,53),0)</f>
        <v/>
      </c>
      <c r="BD1060">
        <f>IFERROR(INDEX(PP_Grid[#Data],$DD1060,54),0)</f>
        <v/>
      </c>
      <c r="BE1060">
        <f>IFERROR(INDEX(PP_Grid[#Data],$DD1060,55),0)</f>
        <v/>
      </c>
      <c r="BF1060">
        <f>IFERROR(INDEX(PP_Grid[#Data],$DD1060,56),0)</f>
        <v/>
      </c>
      <c r="BG1060">
        <f>IFERROR(INDEX(PP_Grid[#Data],$DD1060,57),0)</f>
        <v/>
      </c>
      <c r="BH1060">
        <f>IFERROR(INDEX(PP_Grid[#Data],$DD1060,58),0)</f>
        <v/>
      </c>
      <c r="BI1060">
        <f>IFERROR(INDEX(PP_Grid[#Data],$DD1060,59),0)</f>
        <v/>
      </c>
      <c r="BJ1060">
        <f>IFERROR(INDEX(PP_Grid[#Data],$DD1060,60),0)</f>
        <v/>
      </c>
      <c r="BK1060">
        <f>IFERROR(INDEX(PP_Grid[#Data],$DD1060,61),0)</f>
        <v/>
      </c>
      <c r="BL1060">
        <f>IFERROR(INDEX(PP_Grid[#Data],$DD1060,62),0)</f>
        <v/>
      </c>
      <c r="BM1060">
        <f>IFERROR(INDEX(PP_Grid[#Data],$DD1060,63),0)</f>
        <v/>
      </c>
      <c r="BN1060">
        <f>IFERROR(INDEX(PP_Grid[#Data],$DD1060,64),0)</f>
        <v/>
      </c>
      <c r="BO1060">
        <f>IFERROR(INDEX(PP_Grid[#Data],$DD1060,65),0)</f>
        <v/>
      </c>
      <c r="BP1060">
        <f>IFERROR(INDEX(PP_Grid[#Data],$DD1060,66),0)</f>
        <v/>
      </c>
      <c r="BQ1060">
        <f>IFERROR(INDEX(PP_Grid[#Data],$DD1060,67),0)</f>
        <v/>
      </c>
      <c r="BR1060">
        <f>IFERROR(INDEX(PP_Grid[#Data],$DD1060,68),0)</f>
        <v/>
      </c>
      <c r="BS1060">
        <f>IFERROR(INDEX(PP_Grid[#Data],$DD1060,69),0)</f>
        <v/>
      </c>
      <c r="BT1060">
        <f>IFERROR(INDEX(PP_Grid[#Data],$DD1060,70),0)</f>
        <v/>
      </c>
      <c r="BU1060">
        <f>IFERROR(INDEX(PP_Grid[#Data],$DD1060,71),0)</f>
        <v/>
      </c>
      <c r="BV1060">
        <f>IFERROR(INDEX(PP_Grid[#Data],$DD1060,72),0)</f>
        <v/>
      </c>
      <c r="BW1060">
        <f>IFERROR(INDEX(PP_Grid[#Data],$DD1060,73),0)</f>
        <v/>
      </c>
      <c r="BX1060">
        <f>IFERROR(INDEX(PP_Grid[#Data],$DD1060,74),0)</f>
        <v/>
      </c>
      <c r="BY1060">
        <f>IFERROR(INDEX(PP_Grid[#Data],$DD1060,75),0)</f>
        <v/>
      </c>
      <c r="BZ1060">
        <f>IFERROR(INDEX(PP_Grid[#Data],$DD1060,76),0)</f>
        <v/>
      </c>
      <c r="CA1060">
        <f>IFERROR(INDEX(PP_Grid[#Data],$DD1060,77),0)</f>
        <v/>
      </c>
      <c r="CB1060">
        <f>IFERROR(INDEX(PP_Grid[#Data],$DD1060,78),0)</f>
        <v/>
      </c>
      <c r="CC1060">
        <f>IFERROR(INDEX(PP_Grid[#Data],$DD1060,79),0)</f>
        <v/>
      </c>
      <c r="CD1060">
        <f>IFERROR(INDEX(PP_Grid[#Data],$DD1060,80),0)</f>
        <v/>
      </c>
      <c r="CE1060">
        <f>IFERROR(INDEX(PP_Grid[#Data],$DD1060,81),0)</f>
        <v/>
      </c>
      <c r="CF1060">
        <f>IFERROR(INDEX(PP_Grid[#Data],$DD1060,82),0)</f>
        <v/>
      </c>
      <c r="CG1060">
        <f>IFERROR(INDEX(PP_Grid[#Data],$DD1060,83),0)</f>
        <v/>
      </c>
      <c r="CH1060">
        <f>IFERROR(INDEX(PP_Grid[#Data],$DD1060,84),0)</f>
        <v/>
      </c>
      <c r="CI1060">
        <f>IFERROR(INDEX(PP_Grid[#Data],$DD1060,85),0)</f>
        <v/>
      </c>
      <c r="CJ1060">
        <f>IFERROR(INDEX(PP_Grid[#Data],$DD1060,86),0)</f>
        <v/>
      </c>
      <c r="CK1060">
        <f>IFERROR(INDEX(PP_Grid[#Data],$DD1060,87),0)</f>
        <v/>
      </c>
      <c r="CL1060">
        <f>IFERROR(INDEX(PP_Grid[#Data],$DD1060,88),0)</f>
        <v/>
      </c>
      <c r="CM1060">
        <f>IFERROR(INDEX(PP_Grid[#Data],$DD1060,89),0)</f>
        <v/>
      </c>
      <c r="CN1060">
        <f>IFERROR(INDEX(PP_Grid[#Data],$DD1060,90),0)</f>
        <v/>
      </c>
      <c r="CO1060">
        <f>IFERROR(INDEX(PP_Grid[#Data],$DD1060,91),0)</f>
        <v/>
      </c>
      <c r="CP1060">
        <f>IFERROR(INDEX(PP_Grid[#Data],$DD1060,92),0)</f>
        <v/>
      </c>
      <c r="CQ1060">
        <f>IFERROR(INDEX(PP_Grid[#Data],$DD1060,93),0)</f>
        <v/>
      </c>
      <c r="CR1060">
        <f>IFERROR(INDEX(PP_Grid[#Data],$DD1060,94),0)</f>
        <v/>
      </c>
      <c r="CS1060">
        <f>IFERROR(INDEX(PP_Grid[#Data],$DD1060,95),0)</f>
        <v/>
      </c>
      <c r="CT1060">
        <f>IFERROR(INDEX(PP_Grid[#Data],$DD1060,96),0)</f>
        <v/>
      </c>
      <c r="CU1060">
        <f>IFERROR(INDEX(PP_Grid[#Data],$DD1060,97),0)</f>
        <v/>
      </c>
      <c r="CV1060">
        <f>IFERROR(INDEX(PP_Grid[#Data],$DD1060,98),0)</f>
        <v/>
      </c>
      <c r="CW1060">
        <f>IFERROR(INDEX(PP_Grid[#Data],$DD1060,99),0)</f>
        <v/>
      </c>
      <c r="CX1060">
        <f>IFERROR(INDEX(PP_Grid[#Data],$DD1060,100),0)</f>
        <v/>
      </c>
      <c r="CY1060">
        <f>IFERROR(INDEX(PP_Grid[#Data],$DD1060,101),0)</f>
        <v/>
      </c>
      <c r="CZ1060">
        <f>IFERROR(INDEX(PP_Grid[#Data],$DD1060,102),0)</f>
        <v/>
      </c>
      <c r="DA1060">
        <f>IFERROR(INDEX(PP_Grid[#Data],$DD1060,103),0)</f>
        <v/>
      </c>
      <c r="DB1060">
        <f>IFERROR(INDEX(PP_Grid[#Data],$DD1060,104),0)</f>
        <v/>
      </c>
      <c r="DC1060">
        <f>IFERROR(INDEX(PP_Grid[#Data],$DD1060,105),0)</f>
        <v/>
      </c>
      <c r="DD1060" s="12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SUMIFS(M_BOM[RM_Qty_Per_Batch],M_BOM[Intermediate],$B1060,M_BOM[Part Name],$A1059)</f>
        <v/>
      </c>
      <c r="D1061">
        <f>$C1061*D1060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</row>
    <row r="1062">
      <c r="B1062" s="9" t="inlineStr">
        <is>
          <t>合計使用量(kg)/週</t>
        </is>
      </c>
      <c r="D1062">
        <f>'Grid_Requirement'!B38</f>
        <v/>
      </c>
      <c r="E1062">
        <f>'Grid_Requirement'!C38</f>
        <v/>
      </c>
      <c r="F1062">
        <f>'Grid_Requirement'!D38</f>
        <v/>
      </c>
      <c r="G1062">
        <f>'Grid_Requirement'!E38</f>
        <v/>
      </c>
      <c r="H1062">
        <f>'Grid_Requirement'!F38</f>
        <v/>
      </c>
      <c r="I1062">
        <f>'Grid_Requirement'!G38</f>
        <v/>
      </c>
      <c r="J1062">
        <f>'Grid_Requirement'!H38</f>
        <v/>
      </c>
      <c r="K1062">
        <f>'Grid_Requirement'!I38</f>
        <v/>
      </c>
      <c r="L1062">
        <f>'Grid_Requirement'!J38</f>
        <v/>
      </c>
      <c r="M1062">
        <f>'Grid_Requirement'!K38</f>
        <v/>
      </c>
      <c r="N1062">
        <f>'Grid_Requirement'!L38</f>
        <v/>
      </c>
      <c r="O1062">
        <f>'Grid_Requirement'!M38</f>
        <v/>
      </c>
      <c r="P1062">
        <f>'Grid_Requirement'!N38</f>
        <v/>
      </c>
      <c r="Q1062">
        <f>'Grid_Requirement'!O38</f>
        <v/>
      </c>
      <c r="R1062">
        <f>'Grid_Requirement'!P38</f>
        <v/>
      </c>
      <c r="S1062">
        <f>'Grid_Requirement'!Q38</f>
        <v/>
      </c>
      <c r="T1062">
        <f>'Grid_Requirement'!R38</f>
        <v/>
      </c>
      <c r="U1062">
        <f>'Grid_Requirement'!S38</f>
        <v/>
      </c>
      <c r="V1062">
        <f>'Grid_Requirement'!T38</f>
        <v/>
      </c>
      <c r="W1062">
        <f>'Grid_Requirement'!U38</f>
        <v/>
      </c>
      <c r="X1062">
        <f>'Grid_Requirement'!V38</f>
        <v/>
      </c>
      <c r="Y1062">
        <f>'Grid_Requirement'!W38</f>
        <v/>
      </c>
      <c r="Z1062">
        <f>'Grid_Requirement'!X38</f>
        <v/>
      </c>
      <c r="AA1062">
        <f>'Grid_Requirement'!Y38</f>
        <v/>
      </c>
      <c r="AB1062">
        <f>'Grid_Requirement'!Z38</f>
        <v/>
      </c>
      <c r="AC1062">
        <f>'Grid_Requirement'!AA38</f>
        <v/>
      </c>
      <c r="AD1062">
        <f>'Grid_Requirement'!AB38</f>
        <v/>
      </c>
      <c r="AE1062">
        <f>'Grid_Requirement'!AC38</f>
        <v/>
      </c>
      <c r="AF1062">
        <f>'Grid_Requirement'!AD38</f>
        <v/>
      </c>
      <c r="AG1062">
        <f>'Grid_Requirement'!AE38</f>
        <v/>
      </c>
      <c r="AH1062">
        <f>'Grid_Requirement'!AF38</f>
        <v/>
      </c>
      <c r="AI1062">
        <f>'Grid_Requirement'!AG38</f>
        <v/>
      </c>
      <c r="AJ1062">
        <f>'Grid_Requirement'!AH38</f>
        <v/>
      </c>
      <c r="AK1062">
        <f>'Grid_Requirement'!AI38</f>
        <v/>
      </c>
      <c r="AL1062">
        <f>'Grid_Requirement'!AJ38</f>
        <v/>
      </c>
      <c r="AM1062">
        <f>'Grid_Requirement'!AK38</f>
        <v/>
      </c>
      <c r="AN1062">
        <f>'Grid_Requirement'!AL38</f>
        <v/>
      </c>
      <c r="AO1062">
        <f>'Grid_Requirement'!AM38</f>
        <v/>
      </c>
      <c r="AP1062">
        <f>'Grid_Requirement'!AN38</f>
        <v/>
      </c>
      <c r="AQ1062">
        <f>'Grid_Requirement'!AO38</f>
        <v/>
      </c>
      <c r="AR1062">
        <f>'Grid_Requirement'!AP38</f>
        <v/>
      </c>
      <c r="AS1062">
        <f>'Grid_Requirement'!AQ38</f>
        <v/>
      </c>
      <c r="AT1062">
        <f>'Grid_Requirement'!AR38</f>
        <v/>
      </c>
      <c r="AU1062">
        <f>'Grid_Requirement'!AS38</f>
        <v/>
      </c>
      <c r="AV1062">
        <f>'Grid_Requirement'!AT38</f>
        <v/>
      </c>
      <c r="AW1062">
        <f>'Grid_Requirement'!AU38</f>
        <v/>
      </c>
      <c r="AX1062">
        <f>'Grid_Requirement'!AV38</f>
        <v/>
      </c>
      <c r="AY1062">
        <f>'Grid_Requirement'!AW38</f>
        <v/>
      </c>
      <c r="AZ1062">
        <f>'Grid_Requirement'!AX38</f>
        <v/>
      </c>
      <c r="BA1062">
        <f>'Grid_Requirement'!AY38</f>
        <v/>
      </c>
      <c r="BB1062">
        <f>'Grid_Requirement'!AZ38</f>
        <v/>
      </c>
      <c r="BC1062">
        <f>'Grid_Requirement'!BA38</f>
        <v/>
      </c>
      <c r="BD1062">
        <f>'Grid_Requirement'!BB38</f>
        <v/>
      </c>
      <c r="BE1062">
        <f>'Grid_Requirement'!BC38</f>
        <v/>
      </c>
      <c r="BF1062">
        <f>'Grid_Requirement'!BD38</f>
        <v/>
      </c>
      <c r="BG1062">
        <f>'Grid_Requirement'!BE38</f>
        <v/>
      </c>
      <c r="BH1062">
        <f>'Grid_Requirement'!BF38</f>
        <v/>
      </c>
      <c r="BI1062">
        <f>'Grid_Requirement'!BG38</f>
        <v/>
      </c>
      <c r="BJ1062">
        <f>'Grid_Requirement'!BH38</f>
        <v/>
      </c>
      <c r="BK1062">
        <f>'Grid_Requirement'!BI38</f>
        <v/>
      </c>
      <c r="BL1062">
        <f>'Grid_Requirement'!BJ38</f>
        <v/>
      </c>
      <c r="BM1062">
        <f>'Grid_Requirement'!BK38</f>
        <v/>
      </c>
      <c r="BN1062">
        <f>'Grid_Requirement'!BL38</f>
        <v/>
      </c>
      <c r="BO1062">
        <f>'Grid_Requirement'!BM38</f>
        <v/>
      </c>
      <c r="BP1062">
        <f>'Grid_Requirement'!BN38</f>
        <v/>
      </c>
      <c r="BQ1062">
        <f>'Grid_Requirement'!BO38</f>
        <v/>
      </c>
      <c r="BR1062">
        <f>'Grid_Requirement'!BP38</f>
        <v/>
      </c>
      <c r="BS1062">
        <f>'Grid_Requirement'!BQ38</f>
        <v/>
      </c>
      <c r="BT1062">
        <f>'Grid_Requirement'!BR38</f>
        <v/>
      </c>
      <c r="BU1062">
        <f>'Grid_Requirement'!BS38</f>
        <v/>
      </c>
      <c r="BV1062">
        <f>'Grid_Requirement'!BT38</f>
        <v/>
      </c>
      <c r="BW1062">
        <f>'Grid_Requirement'!BU38</f>
        <v/>
      </c>
      <c r="BX1062">
        <f>'Grid_Requirement'!BV38</f>
        <v/>
      </c>
      <c r="BY1062">
        <f>'Grid_Requirement'!BW38</f>
        <v/>
      </c>
      <c r="BZ1062">
        <f>'Grid_Requirement'!BX38</f>
        <v/>
      </c>
      <c r="CA1062">
        <f>'Grid_Requirement'!BY38</f>
        <v/>
      </c>
      <c r="CB1062">
        <f>'Grid_Requirement'!BZ38</f>
        <v/>
      </c>
      <c r="CC1062">
        <f>'Grid_Requirement'!CA38</f>
        <v/>
      </c>
      <c r="CD1062">
        <f>'Grid_Requirement'!CB38</f>
        <v/>
      </c>
      <c r="CE1062">
        <f>'Grid_Requirement'!CC38</f>
        <v/>
      </c>
      <c r="CF1062">
        <f>'Grid_Requirement'!CD38</f>
        <v/>
      </c>
      <c r="CG1062">
        <f>'Grid_Requirement'!CE38</f>
        <v/>
      </c>
      <c r="CH1062">
        <f>'Grid_Requirement'!CF38</f>
        <v/>
      </c>
      <c r="CI1062">
        <f>'Grid_Requirement'!CG38</f>
        <v/>
      </c>
      <c r="CJ1062">
        <f>'Grid_Requirement'!CH38</f>
        <v/>
      </c>
      <c r="CK1062">
        <f>'Grid_Requirement'!CI38</f>
        <v/>
      </c>
      <c r="CL1062">
        <f>'Grid_Requirement'!CJ38</f>
        <v/>
      </c>
      <c r="CM1062">
        <f>'Grid_Requirement'!CK38</f>
        <v/>
      </c>
      <c r="CN1062">
        <f>'Grid_Requirement'!CL38</f>
        <v/>
      </c>
      <c r="CO1062">
        <f>'Grid_Requirement'!CM38</f>
        <v/>
      </c>
      <c r="CP1062">
        <f>'Grid_Requirement'!CN38</f>
        <v/>
      </c>
      <c r="CQ1062">
        <f>'Grid_Requirement'!CO38</f>
        <v/>
      </c>
      <c r="CR1062">
        <f>'Grid_Requirement'!CP38</f>
        <v/>
      </c>
      <c r="CS1062">
        <f>'Grid_Requirement'!CQ38</f>
        <v/>
      </c>
      <c r="CT1062">
        <f>'Grid_Requirement'!CR38</f>
        <v/>
      </c>
      <c r="CU1062">
        <f>'Grid_Requirement'!CS38</f>
        <v/>
      </c>
      <c r="CV1062">
        <f>'Grid_Requirement'!CT38</f>
        <v/>
      </c>
      <c r="CW1062">
        <f>'Grid_Requirement'!CU38</f>
        <v/>
      </c>
      <c r="CX1062">
        <f>'Grid_Requirement'!CV38</f>
        <v/>
      </c>
      <c r="CY1062">
        <f>'Grid_Requirement'!CW38</f>
        <v/>
      </c>
      <c r="CZ1062">
        <f>'Grid_Requirement'!CX38</f>
        <v/>
      </c>
      <c r="DA1062">
        <f>'Grid_Requirement'!CY38</f>
        <v/>
      </c>
      <c r="DB1062">
        <f>'Grid_Requirement'!CZ38</f>
        <v/>
      </c>
      <c r="DC1062">
        <f>'Grid_Requirement'!DA38</f>
        <v/>
      </c>
    </row>
    <row r="1063">
      <c r="B1063" t="inlineStr">
        <is>
          <t>TTAF在庫(実績,kg)</t>
        </is>
      </c>
      <c r="D1063">
        <f>'T_TTAFStock'!B42</f>
        <v/>
      </c>
      <c r="E1063">
        <f>'T_TTAFStock'!C42</f>
        <v/>
      </c>
      <c r="F1063">
        <f>'T_TTAFStock'!D42</f>
        <v/>
      </c>
      <c r="G1063">
        <f>'T_TTAFStock'!E42</f>
        <v/>
      </c>
      <c r="H1063">
        <f>'T_TTAFStock'!F42</f>
        <v/>
      </c>
      <c r="I1063">
        <f>'T_TTAFStock'!G42</f>
        <v/>
      </c>
      <c r="J1063">
        <f>'T_TTAFStock'!H42</f>
        <v/>
      </c>
      <c r="K1063">
        <f>'T_TTAFStock'!I42</f>
        <v/>
      </c>
      <c r="L1063">
        <f>'T_TTAFStock'!J42</f>
        <v/>
      </c>
      <c r="M1063">
        <f>'T_TTAFStock'!K42</f>
        <v/>
      </c>
      <c r="N1063">
        <f>'T_TTAFStock'!L42</f>
        <v/>
      </c>
      <c r="O1063">
        <f>'T_TTAFStock'!M42</f>
        <v/>
      </c>
      <c r="P1063">
        <f>'T_TTAFStock'!N42</f>
        <v/>
      </c>
      <c r="Q1063">
        <f>'T_TTAFStock'!O42</f>
        <v/>
      </c>
      <c r="R1063">
        <f>'T_TTAFStock'!P42</f>
        <v/>
      </c>
      <c r="S1063">
        <f>'T_TTAFStock'!Q42</f>
        <v/>
      </c>
      <c r="T1063">
        <f>'T_TTAFStock'!R42</f>
        <v/>
      </c>
      <c r="U1063">
        <f>'T_TTAFStock'!S42</f>
        <v/>
      </c>
      <c r="V1063">
        <f>'T_TTAFStock'!T42</f>
        <v/>
      </c>
      <c r="W1063">
        <f>'T_TTAFStock'!U42</f>
        <v/>
      </c>
      <c r="X1063">
        <f>'T_TTAFStock'!V42</f>
        <v/>
      </c>
      <c r="Y1063">
        <f>'T_TTAFStock'!W42</f>
        <v/>
      </c>
      <c r="Z1063">
        <f>'T_TTAFStock'!X42</f>
        <v/>
      </c>
      <c r="AA1063">
        <f>'T_TTAFStock'!Y42</f>
        <v/>
      </c>
      <c r="AB1063">
        <f>'T_TTAFStock'!Z42</f>
        <v/>
      </c>
      <c r="AC1063">
        <f>'T_TTAFStock'!AA42</f>
        <v/>
      </c>
      <c r="AD1063">
        <f>'T_TTAFStock'!AB42</f>
        <v/>
      </c>
      <c r="AE1063">
        <f>'T_TTAFStock'!AC42</f>
        <v/>
      </c>
      <c r="AF1063">
        <f>'T_TTAFStock'!AD42</f>
        <v/>
      </c>
      <c r="AG1063">
        <f>'T_TTAFStock'!AE42</f>
        <v/>
      </c>
      <c r="AH1063">
        <f>'T_TTAFStock'!AF42</f>
        <v/>
      </c>
      <c r="AI1063">
        <f>'T_TTAFStock'!AG42</f>
        <v/>
      </c>
      <c r="AJ1063">
        <f>'T_TTAFStock'!AH42</f>
        <v/>
      </c>
      <c r="AK1063">
        <f>'T_TTAFStock'!AI42</f>
        <v/>
      </c>
      <c r="AL1063">
        <f>'T_TTAFStock'!AJ42</f>
        <v/>
      </c>
      <c r="AM1063">
        <f>'T_TTAFStock'!AK42</f>
        <v/>
      </c>
      <c r="AN1063">
        <f>'T_TTAFStock'!AL42</f>
        <v/>
      </c>
      <c r="AO1063">
        <f>'T_TTAFStock'!AM42</f>
        <v/>
      </c>
      <c r="AP1063">
        <f>'T_TTAFStock'!AN42</f>
        <v/>
      </c>
      <c r="AQ1063">
        <f>'T_TTAFStock'!AO42</f>
        <v/>
      </c>
      <c r="AR1063">
        <f>'T_TTAFStock'!AP42</f>
        <v/>
      </c>
      <c r="AS1063">
        <f>'T_TTAFStock'!AQ42</f>
        <v/>
      </c>
      <c r="AT1063">
        <f>'T_TTAFStock'!AR42</f>
        <v/>
      </c>
      <c r="AU1063">
        <f>'T_TTAFStock'!AS42</f>
        <v/>
      </c>
      <c r="AV1063">
        <f>'T_TTAFStock'!AT42</f>
        <v/>
      </c>
      <c r="AW1063">
        <f>'T_TTAFStock'!AU42</f>
        <v/>
      </c>
      <c r="AX1063">
        <f>'T_TTAFStock'!AV42</f>
        <v/>
      </c>
      <c r="AY1063">
        <f>'T_TTAFStock'!AW42</f>
        <v/>
      </c>
      <c r="AZ1063">
        <f>'T_TTAFStock'!AX42</f>
        <v/>
      </c>
      <c r="BA1063">
        <f>'T_TTAFStock'!AY42</f>
        <v/>
      </c>
      <c r="BB1063">
        <f>'T_TTAFStock'!AZ42</f>
        <v/>
      </c>
      <c r="BC1063">
        <f>'T_TTAFStock'!BA42</f>
        <v/>
      </c>
      <c r="BD1063">
        <f>'T_TTAFStock'!BB42</f>
        <v/>
      </c>
      <c r="BE1063">
        <f>'T_TTAFStock'!BC42</f>
        <v/>
      </c>
      <c r="BF1063">
        <f>'T_TTAFStock'!BD42</f>
        <v/>
      </c>
      <c r="BG1063">
        <f>'T_TTAFStock'!BE42</f>
        <v/>
      </c>
      <c r="BH1063">
        <f>'T_TTAFStock'!BF42</f>
        <v/>
      </c>
      <c r="BI1063">
        <f>'T_TTAFStock'!BG42</f>
        <v/>
      </c>
      <c r="BJ1063">
        <f>'T_TTAFStock'!BH42</f>
        <v/>
      </c>
      <c r="BK1063">
        <f>'T_TTAFStock'!BI42</f>
        <v/>
      </c>
      <c r="BL1063">
        <f>'T_TTAFStock'!BJ42</f>
        <v/>
      </c>
      <c r="BM1063">
        <f>'T_TTAFStock'!BK42</f>
        <v/>
      </c>
      <c r="BN1063">
        <f>'T_TTAFStock'!BL42</f>
        <v/>
      </c>
      <c r="BO1063">
        <f>'T_TTAFStock'!BM42</f>
        <v/>
      </c>
      <c r="BP1063">
        <f>'T_TTAFStock'!BN42</f>
        <v/>
      </c>
      <c r="BQ1063">
        <f>'T_TTAFStock'!BO42</f>
        <v/>
      </c>
      <c r="BR1063">
        <f>'T_TTAFStock'!BP42</f>
        <v/>
      </c>
      <c r="BS1063">
        <f>'T_TTAFStock'!BQ42</f>
        <v/>
      </c>
      <c r="BT1063">
        <f>'T_TTAFStock'!BR42</f>
        <v/>
      </c>
      <c r="BU1063">
        <f>'T_TTAFStock'!BS42</f>
        <v/>
      </c>
      <c r="BV1063">
        <f>'T_TTAFStock'!BT42</f>
        <v/>
      </c>
      <c r="BW1063">
        <f>'T_TTAFStock'!BU42</f>
        <v/>
      </c>
      <c r="BX1063">
        <f>'T_TTAFStock'!BV42</f>
        <v/>
      </c>
      <c r="BY1063">
        <f>'T_TTAFStock'!BW42</f>
        <v/>
      </c>
      <c r="BZ1063">
        <f>'T_TTAFStock'!BX42</f>
        <v/>
      </c>
      <c r="CA1063">
        <f>'T_TTAFStock'!BY42</f>
        <v/>
      </c>
      <c r="CB1063">
        <f>'T_TTAFStock'!BZ42</f>
        <v/>
      </c>
      <c r="CC1063">
        <f>'T_TTAFStock'!CA42</f>
        <v/>
      </c>
      <c r="CD1063">
        <f>'T_TTAFStock'!CB42</f>
        <v/>
      </c>
      <c r="CE1063">
        <f>'T_TTAFStock'!CC42</f>
        <v/>
      </c>
      <c r="CF1063">
        <f>'T_TTAFStock'!CD42</f>
        <v/>
      </c>
      <c r="CG1063">
        <f>'T_TTAFStock'!CE42</f>
        <v/>
      </c>
      <c r="CH1063">
        <f>'T_TTAFStock'!CF42</f>
        <v/>
      </c>
      <c r="CI1063">
        <f>'T_TTAFStock'!CG42</f>
        <v/>
      </c>
      <c r="CJ1063">
        <f>'T_TTAFStock'!CH42</f>
        <v/>
      </c>
      <c r="CK1063">
        <f>'T_TTAFStock'!CI42</f>
        <v/>
      </c>
      <c r="CL1063">
        <f>'T_TTAFStock'!CJ42</f>
        <v/>
      </c>
      <c r="CM1063">
        <f>'T_TTAFStock'!CK42</f>
        <v/>
      </c>
      <c r="CN1063">
        <f>'T_TTAFStock'!CL42</f>
        <v/>
      </c>
      <c r="CO1063">
        <f>'T_TTAFStock'!CM42</f>
        <v/>
      </c>
      <c r="CP1063">
        <f>'T_TTAFStock'!CN42</f>
        <v/>
      </c>
      <c r="CQ1063">
        <f>'T_TTAFStock'!CO42</f>
        <v/>
      </c>
      <c r="CR1063">
        <f>'T_TTAFStock'!CP42</f>
        <v/>
      </c>
      <c r="CS1063">
        <f>'T_TTAFStock'!CQ42</f>
        <v/>
      </c>
      <c r="CT1063">
        <f>'T_TTAFStock'!CR42</f>
        <v/>
      </c>
      <c r="CU1063">
        <f>'T_TTAFStock'!CS42</f>
        <v/>
      </c>
      <c r="CV1063">
        <f>'T_TTAFStock'!CT42</f>
        <v/>
      </c>
      <c r="CW1063">
        <f>'T_TTAFStock'!CU42</f>
        <v/>
      </c>
      <c r="CX1063">
        <f>'T_TTAFStock'!CV42</f>
        <v/>
      </c>
      <c r="CY1063">
        <f>'T_TTAFStock'!CW42</f>
        <v/>
      </c>
      <c r="CZ1063">
        <f>'T_TTAFStock'!CX42</f>
        <v/>
      </c>
      <c r="DA1063">
        <f>'T_TTAFStock'!CY42</f>
        <v/>
      </c>
      <c r="DB1063">
        <f>'T_TTAFStock'!CZ42</f>
        <v/>
      </c>
      <c r="DC1063">
        <f>'T_TTAFStock'!DA42</f>
        <v/>
      </c>
    </row>
    <row r="1064">
      <c r="B1064" t="inlineStr">
        <is>
          <t>自社在庫(実績,kg)</t>
        </is>
      </c>
      <c r="D1064">
        <f>'T_SelfStock'!B42</f>
        <v/>
      </c>
      <c r="E1064">
        <f>'T_SelfStock'!C42</f>
        <v/>
      </c>
      <c r="F1064">
        <f>'T_SelfStock'!D42</f>
        <v/>
      </c>
      <c r="G1064">
        <f>'T_SelfStock'!E42</f>
        <v/>
      </c>
      <c r="H1064">
        <f>'T_SelfStock'!F42</f>
        <v/>
      </c>
      <c r="I1064">
        <f>'T_SelfStock'!G42</f>
        <v/>
      </c>
      <c r="J1064">
        <f>'T_SelfStock'!H42</f>
        <v/>
      </c>
      <c r="K1064">
        <f>'T_SelfStock'!I42</f>
        <v/>
      </c>
      <c r="L1064">
        <f>'T_SelfStock'!J42</f>
        <v/>
      </c>
      <c r="M1064">
        <f>'T_SelfStock'!K42</f>
        <v/>
      </c>
      <c r="N1064">
        <f>'T_SelfStock'!L42</f>
        <v/>
      </c>
      <c r="O1064">
        <f>'T_SelfStock'!M42</f>
        <v/>
      </c>
      <c r="P1064">
        <f>'T_SelfStock'!N42</f>
        <v/>
      </c>
      <c r="Q1064">
        <f>'T_SelfStock'!O42</f>
        <v/>
      </c>
      <c r="R1064">
        <f>'T_SelfStock'!P42</f>
        <v/>
      </c>
      <c r="S1064">
        <f>'T_SelfStock'!Q42</f>
        <v/>
      </c>
      <c r="T1064">
        <f>'T_SelfStock'!R42</f>
        <v/>
      </c>
      <c r="U1064">
        <f>'T_SelfStock'!S42</f>
        <v/>
      </c>
      <c r="V1064">
        <f>'T_SelfStock'!T42</f>
        <v/>
      </c>
      <c r="W1064">
        <f>'T_SelfStock'!U42</f>
        <v/>
      </c>
      <c r="X1064">
        <f>'T_SelfStock'!V42</f>
        <v/>
      </c>
      <c r="Y1064">
        <f>'T_SelfStock'!W42</f>
        <v/>
      </c>
      <c r="Z1064">
        <f>'T_SelfStock'!X42</f>
        <v/>
      </c>
      <c r="AA1064">
        <f>'T_SelfStock'!Y42</f>
        <v/>
      </c>
      <c r="AB1064">
        <f>'T_SelfStock'!Z42</f>
        <v/>
      </c>
      <c r="AC1064">
        <f>'T_SelfStock'!AA42</f>
        <v/>
      </c>
      <c r="AD1064">
        <f>'T_SelfStock'!AB42</f>
        <v/>
      </c>
      <c r="AE1064">
        <f>'T_SelfStock'!AC42</f>
        <v/>
      </c>
      <c r="AF1064">
        <f>'T_SelfStock'!AD42</f>
        <v/>
      </c>
      <c r="AG1064">
        <f>'T_SelfStock'!AE42</f>
        <v/>
      </c>
      <c r="AH1064">
        <f>'T_SelfStock'!AF42</f>
        <v/>
      </c>
      <c r="AI1064">
        <f>'T_SelfStock'!AG42</f>
        <v/>
      </c>
      <c r="AJ1064">
        <f>'T_SelfStock'!AH42</f>
        <v/>
      </c>
      <c r="AK1064">
        <f>'T_SelfStock'!AI42</f>
        <v/>
      </c>
      <c r="AL1064">
        <f>'T_SelfStock'!AJ42</f>
        <v/>
      </c>
      <c r="AM1064">
        <f>'T_SelfStock'!AK42</f>
        <v/>
      </c>
      <c r="AN1064">
        <f>'T_SelfStock'!AL42</f>
        <v/>
      </c>
      <c r="AO1064">
        <f>'T_SelfStock'!AM42</f>
        <v/>
      </c>
      <c r="AP1064">
        <f>'T_SelfStock'!AN42</f>
        <v/>
      </c>
      <c r="AQ1064">
        <f>'T_SelfStock'!AO42</f>
        <v/>
      </c>
      <c r="AR1064">
        <f>'T_SelfStock'!AP42</f>
        <v/>
      </c>
      <c r="AS1064">
        <f>'T_SelfStock'!AQ42</f>
        <v/>
      </c>
      <c r="AT1064">
        <f>'T_SelfStock'!AR42</f>
        <v/>
      </c>
      <c r="AU1064">
        <f>'T_SelfStock'!AS42</f>
        <v/>
      </c>
      <c r="AV1064">
        <f>'T_SelfStock'!AT42</f>
        <v/>
      </c>
      <c r="AW1064">
        <f>'T_SelfStock'!AU42</f>
        <v/>
      </c>
      <c r="AX1064">
        <f>'T_SelfStock'!AV42</f>
        <v/>
      </c>
      <c r="AY1064">
        <f>'T_SelfStock'!AW42</f>
        <v/>
      </c>
      <c r="AZ1064">
        <f>'T_SelfStock'!AX42</f>
        <v/>
      </c>
      <c r="BA1064">
        <f>'T_SelfStock'!AY42</f>
        <v/>
      </c>
      <c r="BB1064">
        <f>'T_SelfStock'!AZ42</f>
        <v/>
      </c>
      <c r="BC1064">
        <f>'T_SelfStock'!BA42</f>
        <v/>
      </c>
      <c r="BD1064">
        <f>'T_SelfStock'!BB42</f>
        <v/>
      </c>
      <c r="BE1064">
        <f>'T_SelfStock'!BC42</f>
        <v/>
      </c>
      <c r="BF1064">
        <f>'T_SelfStock'!BD42</f>
        <v/>
      </c>
      <c r="BG1064">
        <f>'T_SelfStock'!BE42</f>
        <v/>
      </c>
      <c r="BH1064">
        <f>'T_SelfStock'!BF42</f>
        <v/>
      </c>
      <c r="BI1064">
        <f>'T_SelfStock'!BG42</f>
        <v/>
      </c>
      <c r="BJ1064">
        <f>'T_SelfStock'!BH42</f>
        <v/>
      </c>
      <c r="BK1064">
        <f>'T_SelfStock'!BI42</f>
        <v/>
      </c>
      <c r="BL1064">
        <f>'T_SelfStock'!BJ42</f>
        <v/>
      </c>
      <c r="BM1064">
        <f>'T_SelfStock'!BK42</f>
        <v/>
      </c>
      <c r="BN1064">
        <f>'T_SelfStock'!BL42</f>
        <v/>
      </c>
      <c r="BO1064">
        <f>'T_SelfStock'!BM42</f>
        <v/>
      </c>
      <c r="BP1064">
        <f>'T_SelfStock'!BN42</f>
        <v/>
      </c>
      <c r="BQ1064">
        <f>'T_SelfStock'!BO42</f>
        <v/>
      </c>
      <c r="BR1064">
        <f>'T_SelfStock'!BP42</f>
        <v/>
      </c>
      <c r="BS1064">
        <f>'T_SelfStock'!BQ42</f>
        <v/>
      </c>
      <c r="BT1064">
        <f>'T_SelfStock'!BR42</f>
        <v/>
      </c>
      <c r="BU1064">
        <f>'T_SelfStock'!BS42</f>
        <v/>
      </c>
      <c r="BV1064">
        <f>'T_SelfStock'!BT42</f>
        <v/>
      </c>
      <c r="BW1064">
        <f>'T_SelfStock'!BU42</f>
        <v/>
      </c>
      <c r="BX1064">
        <f>'T_SelfStock'!BV42</f>
        <v/>
      </c>
      <c r="BY1064">
        <f>'T_SelfStock'!BW42</f>
        <v/>
      </c>
      <c r="BZ1064">
        <f>'T_SelfStock'!BX42</f>
        <v/>
      </c>
      <c r="CA1064">
        <f>'T_SelfStock'!BY42</f>
        <v/>
      </c>
      <c r="CB1064">
        <f>'T_SelfStock'!BZ42</f>
        <v/>
      </c>
      <c r="CC1064">
        <f>'T_SelfStock'!CA42</f>
        <v/>
      </c>
      <c r="CD1064">
        <f>'T_SelfStock'!CB42</f>
        <v/>
      </c>
      <c r="CE1064">
        <f>'T_SelfStock'!CC42</f>
        <v/>
      </c>
      <c r="CF1064">
        <f>'T_SelfStock'!CD42</f>
        <v/>
      </c>
      <c r="CG1064">
        <f>'T_SelfStock'!CE42</f>
        <v/>
      </c>
      <c r="CH1064">
        <f>'T_SelfStock'!CF42</f>
        <v/>
      </c>
      <c r="CI1064">
        <f>'T_SelfStock'!CG42</f>
        <v/>
      </c>
      <c r="CJ1064">
        <f>'T_SelfStock'!CH42</f>
        <v/>
      </c>
      <c r="CK1064">
        <f>'T_SelfStock'!CI42</f>
        <v/>
      </c>
      <c r="CL1064">
        <f>'T_SelfStock'!CJ42</f>
        <v/>
      </c>
      <c r="CM1064">
        <f>'T_SelfStock'!CK42</f>
        <v/>
      </c>
      <c r="CN1064">
        <f>'T_SelfStock'!CL42</f>
        <v/>
      </c>
      <c r="CO1064">
        <f>'T_SelfStock'!CM42</f>
        <v/>
      </c>
      <c r="CP1064">
        <f>'T_SelfStock'!CN42</f>
        <v/>
      </c>
      <c r="CQ1064">
        <f>'T_SelfStock'!CO42</f>
        <v/>
      </c>
      <c r="CR1064">
        <f>'T_SelfStock'!CP42</f>
        <v/>
      </c>
      <c r="CS1064">
        <f>'T_SelfStock'!CQ42</f>
        <v/>
      </c>
      <c r="CT1064">
        <f>'T_SelfStock'!CR42</f>
        <v/>
      </c>
      <c r="CU1064">
        <f>'T_SelfStock'!CS42</f>
        <v/>
      </c>
      <c r="CV1064">
        <f>'T_SelfStock'!CT42</f>
        <v/>
      </c>
      <c r="CW1064">
        <f>'T_SelfStock'!CU42</f>
        <v/>
      </c>
      <c r="CX1064">
        <f>'T_SelfStock'!CV42</f>
        <v/>
      </c>
      <c r="CY1064">
        <f>'T_SelfStock'!CW42</f>
        <v/>
      </c>
      <c r="CZ1064">
        <f>'T_SelfStock'!CX42</f>
        <v/>
      </c>
      <c r="DA1064">
        <f>'T_SelfStock'!CY42</f>
        <v/>
      </c>
      <c r="DB1064">
        <f>'T_SelfStock'!CZ42</f>
        <v/>
      </c>
      <c r="DC1064">
        <f>'T_SelfStock'!DA42</f>
        <v/>
      </c>
    </row>
    <row r="1065">
      <c r="B1065" t="inlineStr">
        <is>
          <t>Order(発注予定,kg)</t>
        </is>
      </c>
      <c r="D1065">
        <f>IF(SUMIFS(T_PlannedOrders[EffectiveQty],T_PlannedOrders[Part Name],$A1059,T_PlannedOrders[WeekIndex],1)=0,"",SUMIFS(T_PlannedOrders[EffectiveQty],T_PlannedOrders[Part Name],$A1059,T_PlannedOrders[WeekIndex],1)&amp;" ("&amp;TEXT(SUMPRODUCT(MAX((T_PlannedOrders[Part Name]=$A1059)*(T_PlannedOrders[WeekIndex]=1)*(T_PlannedOrders[EffectiveQty]&gt;0)*T_PlannedOrders[Order_Month])),"m月")&amp;"発注)")</f>
        <v/>
      </c>
      <c r="E1065">
        <f>IF(SUMIFS(T_PlannedOrders[EffectiveQty],T_PlannedOrders[Part Name],$A1059,T_PlannedOrders[WeekIndex],2)=0,"",SUMIFS(T_PlannedOrders[EffectiveQty],T_PlannedOrders[Part Name],$A1059,T_PlannedOrders[WeekIndex],2)&amp;" ("&amp;TEXT(SUMPRODUCT(MAX((T_PlannedOrders[Part Name]=$A1059)*(T_PlannedOrders[WeekIndex]=2)*(T_PlannedOrders[EffectiveQty]&gt;0)*T_PlannedOrders[Order_Month])),"m月")&amp;"発注)")</f>
        <v/>
      </c>
      <c r="F1065">
        <f>IF(SUMIFS(T_PlannedOrders[EffectiveQty],T_PlannedOrders[Part Name],$A1059,T_PlannedOrders[WeekIndex],3)=0,"",SUMIFS(T_PlannedOrders[EffectiveQty],T_PlannedOrders[Part Name],$A1059,T_PlannedOrders[WeekIndex],3)&amp;" ("&amp;TEXT(SUMPRODUCT(MAX((T_PlannedOrders[Part Name]=$A1059)*(T_PlannedOrders[WeekIndex]=3)*(T_PlannedOrders[EffectiveQty]&gt;0)*T_PlannedOrders[Order_Month])),"m月")&amp;"発注)")</f>
        <v/>
      </c>
      <c r="G1065">
        <f>IF(SUMIFS(T_PlannedOrders[EffectiveQty],T_PlannedOrders[Part Name],$A1059,T_PlannedOrders[WeekIndex],4)=0,"",SUMIFS(T_PlannedOrders[EffectiveQty],T_PlannedOrders[Part Name],$A1059,T_PlannedOrders[WeekIndex],4)&amp;" ("&amp;TEXT(SUMPRODUCT(MAX((T_PlannedOrders[Part Name]=$A1059)*(T_PlannedOrders[WeekIndex]=4)*(T_PlannedOrders[EffectiveQty]&gt;0)*T_PlannedOrders[Order_Month])),"m月")&amp;"発注)")</f>
        <v/>
      </c>
      <c r="H1065">
        <f>IF(SUMIFS(T_PlannedOrders[EffectiveQty],T_PlannedOrders[Part Name],$A1059,T_PlannedOrders[WeekIndex],5)=0,"",SUMIFS(T_PlannedOrders[EffectiveQty],T_PlannedOrders[Part Name],$A1059,T_PlannedOrders[WeekIndex],5)&amp;" ("&amp;TEXT(SUMPRODUCT(MAX((T_PlannedOrders[Part Name]=$A1059)*(T_PlannedOrders[WeekIndex]=5)*(T_PlannedOrders[EffectiveQty]&gt;0)*T_PlannedOrders[Order_Month])),"m月")&amp;"発注)")</f>
        <v/>
      </c>
      <c r="I1065">
        <f>IF(SUMIFS(T_PlannedOrders[EffectiveQty],T_PlannedOrders[Part Name],$A1059,T_PlannedOrders[WeekIndex],6)=0,"",SUMIFS(T_PlannedOrders[EffectiveQty],T_PlannedOrders[Part Name],$A1059,T_PlannedOrders[WeekIndex],6)&amp;" ("&amp;TEXT(SUMPRODUCT(MAX((T_PlannedOrders[Part Name]=$A1059)*(T_PlannedOrders[WeekIndex]=6)*(T_PlannedOrders[EffectiveQty]&gt;0)*T_PlannedOrders[Order_Month])),"m月")&amp;"発注)")</f>
        <v/>
      </c>
      <c r="J1065">
        <f>IF(SUMIFS(T_PlannedOrders[EffectiveQty],T_PlannedOrders[Part Name],$A1059,T_PlannedOrders[WeekIndex],7)=0,"",SUMIFS(T_PlannedOrders[EffectiveQty],T_PlannedOrders[Part Name],$A1059,T_PlannedOrders[WeekIndex],7)&amp;" ("&amp;TEXT(SUMPRODUCT(MAX((T_PlannedOrders[Part Name]=$A1059)*(T_PlannedOrders[WeekIndex]=7)*(T_PlannedOrders[EffectiveQty]&gt;0)*T_PlannedOrders[Order_Month])),"m月")&amp;"発注)")</f>
        <v/>
      </c>
      <c r="K1065">
        <f>IF(SUMIFS(T_PlannedOrders[EffectiveQty],T_PlannedOrders[Part Name],$A1059,T_PlannedOrders[WeekIndex],8)=0,"",SUMIFS(T_PlannedOrders[EffectiveQty],T_PlannedOrders[Part Name],$A1059,T_PlannedOrders[WeekIndex],8)&amp;" ("&amp;TEXT(SUMPRODUCT(MAX((T_PlannedOrders[Part Name]=$A1059)*(T_PlannedOrders[WeekIndex]=8)*(T_PlannedOrders[EffectiveQty]&gt;0)*T_PlannedOrders[Order_Month])),"m月")&amp;"発注)")</f>
        <v/>
      </c>
      <c r="L1065">
        <f>IF(SUMIFS(T_PlannedOrders[EffectiveQty],T_PlannedOrders[Part Name],$A1059,T_PlannedOrders[WeekIndex],9)=0,"",SUMIFS(T_PlannedOrders[EffectiveQty],T_PlannedOrders[Part Name],$A1059,T_PlannedOrders[WeekIndex],9)&amp;" ("&amp;TEXT(SUMPRODUCT(MAX((T_PlannedOrders[Part Name]=$A1059)*(T_PlannedOrders[WeekIndex]=9)*(T_PlannedOrders[EffectiveQty]&gt;0)*T_PlannedOrders[Order_Month])),"m月")&amp;"発注)")</f>
        <v/>
      </c>
      <c r="M1065">
        <f>IF(SUMIFS(T_PlannedOrders[EffectiveQty],T_PlannedOrders[Part Name],$A1059,T_PlannedOrders[WeekIndex],10)=0,"",SUMIFS(T_PlannedOrders[EffectiveQty],T_PlannedOrders[Part Name],$A1059,T_PlannedOrders[WeekIndex],10)&amp;" ("&amp;TEXT(SUMPRODUCT(MAX((T_PlannedOrders[Part Name]=$A1059)*(T_PlannedOrders[WeekIndex]=10)*(T_PlannedOrders[EffectiveQty]&gt;0)*T_PlannedOrders[Order_Month])),"m月")&amp;"発注)")</f>
        <v/>
      </c>
      <c r="N1065">
        <f>IF(SUMIFS(T_PlannedOrders[EffectiveQty],T_PlannedOrders[Part Name],$A1059,T_PlannedOrders[WeekIndex],11)=0,"",SUMIFS(T_PlannedOrders[EffectiveQty],T_PlannedOrders[Part Name],$A1059,T_PlannedOrders[WeekIndex],11)&amp;" ("&amp;TEXT(SUMPRODUCT(MAX((T_PlannedOrders[Part Name]=$A1059)*(T_PlannedOrders[WeekIndex]=11)*(T_PlannedOrders[EffectiveQty]&gt;0)*T_PlannedOrders[Order_Month])),"m月")&amp;"発注)")</f>
        <v/>
      </c>
      <c r="O1065">
        <f>IF(SUMIFS(T_PlannedOrders[EffectiveQty],T_PlannedOrders[Part Name],$A1059,T_PlannedOrders[WeekIndex],12)=0,"",SUMIFS(T_PlannedOrders[EffectiveQty],T_PlannedOrders[Part Name],$A1059,T_PlannedOrders[WeekIndex],12)&amp;" ("&amp;TEXT(SUMPRODUCT(MAX((T_PlannedOrders[Part Name]=$A1059)*(T_PlannedOrders[WeekIndex]=12)*(T_PlannedOrders[EffectiveQty]&gt;0)*T_PlannedOrders[Order_Month])),"m月")&amp;"発注)")</f>
        <v/>
      </c>
      <c r="P1065">
        <f>IF(SUMIFS(T_PlannedOrders[EffectiveQty],T_PlannedOrders[Part Name],$A1059,T_PlannedOrders[WeekIndex],13)=0,"",SUMIFS(T_PlannedOrders[EffectiveQty],T_PlannedOrders[Part Name],$A1059,T_PlannedOrders[WeekIndex],13)&amp;" ("&amp;TEXT(SUMPRODUCT(MAX((T_PlannedOrders[Part Name]=$A1059)*(T_PlannedOrders[WeekIndex]=13)*(T_PlannedOrders[EffectiveQty]&gt;0)*T_PlannedOrders[Order_Month])),"m月")&amp;"発注)")</f>
        <v/>
      </c>
      <c r="Q1065">
        <f>IF(SUMIFS(T_PlannedOrders[EffectiveQty],T_PlannedOrders[Part Name],$A1059,T_PlannedOrders[WeekIndex],14)=0,"",SUMIFS(T_PlannedOrders[EffectiveQty],T_PlannedOrders[Part Name],$A1059,T_PlannedOrders[WeekIndex],14)&amp;" ("&amp;TEXT(SUMPRODUCT(MAX((T_PlannedOrders[Part Name]=$A1059)*(T_PlannedOrders[WeekIndex]=14)*(T_PlannedOrders[EffectiveQty]&gt;0)*T_PlannedOrders[Order_Month])),"m月")&amp;"発注)")</f>
        <v/>
      </c>
      <c r="R1065">
        <f>IF(SUMIFS(T_PlannedOrders[EffectiveQty],T_PlannedOrders[Part Name],$A1059,T_PlannedOrders[WeekIndex],15)=0,"",SUMIFS(T_PlannedOrders[EffectiveQty],T_PlannedOrders[Part Name],$A1059,T_PlannedOrders[WeekIndex],15)&amp;" ("&amp;TEXT(SUMPRODUCT(MAX((T_PlannedOrders[Part Name]=$A1059)*(T_PlannedOrders[WeekIndex]=15)*(T_PlannedOrders[EffectiveQty]&gt;0)*T_PlannedOrders[Order_Month])),"m月")&amp;"発注)")</f>
        <v/>
      </c>
      <c r="S1065">
        <f>IF(SUMIFS(T_PlannedOrders[EffectiveQty],T_PlannedOrders[Part Name],$A1059,T_PlannedOrders[WeekIndex],16)=0,"",SUMIFS(T_PlannedOrders[EffectiveQty],T_PlannedOrders[Part Name],$A1059,T_PlannedOrders[WeekIndex],16)&amp;" ("&amp;TEXT(SUMPRODUCT(MAX((T_PlannedOrders[Part Name]=$A1059)*(T_PlannedOrders[WeekIndex]=16)*(T_PlannedOrders[EffectiveQty]&gt;0)*T_PlannedOrders[Order_Month])),"m月")&amp;"発注)")</f>
        <v/>
      </c>
      <c r="T1065">
        <f>IF(SUMIFS(T_PlannedOrders[EffectiveQty],T_PlannedOrders[Part Name],$A1059,T_PlannedOrders[WeekIndex],17)=0,"",SUMIFS(T_PlannedOrders[EffectiveQty],T_PlannedOrders[Part Name],$A1059,T_PlannedOrders[WeekIndex],17)&amp;" ("&amp;TEXT(SUMPRODUCT(MAX((T_PlannedOrders[Part Name]=$A1059)*(T_PlannedOrders[WeekIndex]=17)*(T_PlannedOrders[EffectiveQty]&gt;0)*T_PlannedOrders[Order_Month])),"m月")&amp;"発注)")</f>
        <v/>
      </c>
      <c r="U1065">
        <f>IF(SUMIFS(T_PlannedOrders[EffectiveQty],T_PlannedOrders[Part Name],$A1059,T_PlannedOrders[WeekIndex],18)=0,"",SUMIFS(T_PlannedOrders[EffectiveQty],T_PlannedOrders[Part Name],$A1059,T_PlannedOrders[WeekIndex],18)&amp;" ("&amp;TEXT(SUMPRODUCT(MAX((T_PlannedOrders[Part Name]=$A1059)*(T_PlannedOrders[WeekIndex]=18)*(T_PlannedOrders[EffectiveQty]&gt;0)*T_PlannedOrders[Order_Month])),"m月")&amp;"発注)")</f>
        <v/>
      </c>
      <c r="V1065">
        <f>IF(SUMIFS(T_PlannedOrders[EffectiveQty],T_PlannedOrders[Part Name],$A1059,T_PlannedOrders[WeekIndex],19)=0,"",SUMIFS(T_PlannedOrders[EffectiveQty],T_PlannedOrders[Part Name],$A1059,T_PlannedOrders[WeekIndex],19)&amp;" ("&amp;TEXT(SUMPRODUCT(MAX((T_PlannedOrders[Part Name]=$A1059)*(T_PlannedOrders[WeekIndex]=19)*(T_PlannedOrders[EffectiveQty]&gt;0)*T_PlannedOrders[Order_Month])),"m月")&amp;"発注)")</f>
        <v/>
      </c>
      <c r="W1065">
        <f>IF(SUMIFS(T_PlannedOrders[EffectiveQty],T_PlannedOrders[Part Name],$A1059,T_PlannedOrders[WeekIndex],20)=0,"",SUMIFS(T_PlannedOrders[EffectiveQty],T_PlannedOrders[Part Name],$A1059,T_PlannedOrders[WeekIndex],20)&amp;" ("&amp;TEXT(SUMPRODUCT(MAX((T_PlannedOrders[Part Name]=$A1059)*(T_PlannedOrders[WeekIndex]=20)*(T_PlannedOrders[EffectiveQty]&gt;0)*T_PlannedOrders[Order_Month])),"m月")&amp;"発注)")</f>
        <v/>
      </c>
      <c r="X1065">
        <f>IF(SUMIFS(T_PlannedOrders[EffectiveQty],T_PlannedOrders[Part Name],$A1059,T_PlannedOrders[WeekIndex],21)=0,"",SUMIFS(T_PlannedOrders[EffectiveQty],T_PlannedOrders[Part Name],$A1059,T_PlannedOrders[WeekIndex],21)&amp;" ("&amp;TEXT(SUMPRODUCT(MAX((T_PlannedOrders[Part Name]=$A1059)*(T_PlannedOrders[WeekIndex]=21)*(T_PlannedOrders[EffectiveQty]&gt;0)*T_PlannedOrders[Order_Month])),"m月")&amp;"発注)")</f>
        <v/>
      </c>
      <c r="Y1065">
        <f>IF(SUMIFS(T_PlannedOrders[EffectiveQty],T_PlannedOrders[Part Name],$A1059,T_PlannedOrders[WeekIndex],22)=0,"",SUMIFS(T_PlannedOrders[EffectiveQty],T_PlannedOrders[Part Name],$A1059,T_PlannedOrders[WeekIndex],22)&amp;" ("&amp;TEXT(SUMPRODUCT(MAX((T_PlannedOrders[Part Name]=$A1059)*(T_PlannedOrders[WeekIndex]=22)*(T_PlannedOrders[EffectiveQty]&gt;0)*T_PlannedOrders[Order_Month])),"m月")&amp;"発注)")</f>
        <v/>
      </c>
      <c r="Z1065">
        <f>IF(SUMIFS(T_PlannedOrders[EffectiveQty],T_PlannedOrders[Part Name],$A1059,T_PlannedOrders[WeekIndex],23)=0,"",SUMIFS(T_PlannedOrders[EffectiveQty],T_PlannedOrders[Part Name],$A1059,T_PlannedOrders[WeekIndex],23)&amp;" ("&amp;TEXT(SUMPRODUCT(MAX((T_PlannedOrders[Part Name]=$A1059)*(T_PlannedOrders[WeekIndex]=23)*(T_PlannedOrders[EffectiveQty]&gt;0)*T_PlannedOrders[Order_Month])),"m月")&amp;"発注)")</f>
        <v/>
      </c>
      <c r="AA1065">
        <f>IF(SUMIFS(T_PlannedOrders[EffectiveQty],T_PlannedOrders[Part Name],$A1059,T_PlannedOrders[WeekIndex],24)=0,"",SUMIFS(T_PlannedOrders[EffectiveQty],T_PlannedOrders[Part Name],$A1059,T_PlannedOrders[WeekIndex],24)&amp;" ("&amp;TEXT(SUMPRODUCT(MAX((T_PlannedOrders[Part Name]=$A1059)*(T_PlannedOrders[WeekIndex]=24)*(T_PlannedOrders[EffectiveQty]&gt;0)*T_PlannedOrders[Order_Month])),"m月")&amp;"発注)")</f>
        <v/>
      </c>
      <c r="AB1065">
        <f>IF(SUMIFS(T_PlannedOrders[EffectiveQty],T_PlannedOrders[Part Name],$A1059,T_PlannedOrders[WeekIndex],25)=0,"",SUMIFS(T_PlannedOrders[EffectiveQty],T_PlannedOrders[Part Name],$A1059,T_PlannedOrders[WeekIndex],25)&amp;" ("&amp;TEXT(SUMPRODUCT(MAX((T_PlannedOrders[Part Name]=$A1059)*(T_PlannedOrders[WeekIndex]=25)*(T_PlannedOrders[EffectiveQty]&gt;0)*T_PlannedOrders[Order_Month])),"m月")&amp;"発注)")</f>
        <v/>
      </c>
      <c r="AC1065">
        <f>IF(SUMIFS(T_PlannedOrders[EffectiveQty],T_PlannedOrders[Part Name],$A1059,T_PlannedOrders[WeekIndex],26)=0,"",SUMIFS(T_PlannedOrders[EffectiveQty],T_PlannedOrders[Part Name],$A1059,T_PlannedOrders[WeekIndex],26)&amp;" ("&amp;TEXT(SUMPRODUCT(MAX((T_PlannedOrders[Part Name]=$A1059)*(T_PlannedOrders[WeekIndex]=26)*(T_PlannedOrders[EffectiveQty]&gt;0)*T_PlannedOrders[Order_Month])),"m月")&amp;"発注)")</f>
        <v/>
      </c>
      <c r="AD1065">
        <f>IF(SUMIFS(T_PlannedOrders[EffectiveQty],T_PlannedOrders[Part Name],$A1059,T_PlannedOrders[WeekIndex],27)=0,"",SUMIFS(T_PlannedOrders[EffectiveQty],T_PlannedOrders[Part Name],$A1059,T_PlannedOrders[WeekIndex],27)&amp;" ("&amp;TEXT(SUMPRODUCT(MAX((T_PlannedOrders[Part Name]=$A1059)*(T_PlannedOrders[WeekIndex]=27)*(T_PlannedOrders[EffectiveQty]&gt;0)*T_PlannedOrders[Order_Month])),"m月")&amp;"発注)")</f>
        <v/>
      </c>
      <c r="AE1065">
        <f>IF(SUMIFS(T_PlannedOrders[EffectiveQty],T_PlannedOrders[Part Name],$A1059,T_PlannedOrders[WeekIndex],28)=0,"",SUMIFS(T_PlannedOrders[EffectiveQty],T_PlannedOrders[Part Name],$A1059,T_PlannedOrders[WeekIndex],28)&amp;" ("&amp;TEXT(SUMPRODUCT(MAX((T_PlannedOrders[Part Name]=$A1059)*(T_PlannedOrders[WeekIndex]=28)*(T_PlannedOrders[EffectiveQty]&gt;0)*T_PlannedOrders[Order_Month])),"m月")&amp;"発注)")</f>
        <v/>
      </c>
      <c r="AF1065">
        <f>IF(SUMIFS(T_PlannedOrders[EffectiveQty],T_PlannedOrders[Part Name],$A1059,T_PlannedOrders[WeekIndex],29)=0,"",SUMIFS(T_PlannedOrders[EffectiveQty],T_PlannedOrders[Part Name],$A1059,T_PlannedOrders[WeekIndex],29)&amp;" ("&amp;TEXT(SUMPRODUCT(MAX((T_PlannedOrders[Part Name]=$A1059)*(T_PlannedOrders[WeekIndex]=29)*(T_PlannedOrders[EffectiveQty]&gt;0)*T_PlannedOrders[Order_Month])),"m月")&amp;"発注)")</f>
        <v/>
      </c>
      <c r="AG1065">
        <f>IF(SUMIFS(T_PlannedOrders[EffectiveQty],T_PlannedOrders[Part Name],$A1059,T_PlannedOrders[WeekIndex],30)=0,"",SUMIFS(T_PlannedOrders[EffectiveQty],T_PlannedOrders[Part Name],$A1059,T_PlannedOrders[WeekIndex],30)&amp;" ("&amp;TEXT(SUMPRODUCT(MAX((T_PlannedOrders[Part Name]=$A1059)*(T_PlannedOrders[WeekIndex]=30)*(T_PlannedOrders[EffectiveQty]&gt;0)*T_PlannedOrders[Order_Month])),"m月")&amp;"発注)")</f>
        <v/>
      </c>
      <c r="AH1065">
        <f>IF(SUMIFS(T_PlannedOrders[EffectiveQty],T_PlannedOrders[Part Name],$A1059,T_PlannedOrders[WeekIndex],31)=0,"",SUMIFS(T_PlannedOrders[EffectiveQty],T_PlannedOrders[Part Name],$A1059,T_PlannedOrders[WeekIndex],31)&amp;" ("&amp;TEXT(SUMPRODUCT(MAX((T_PlannedOrders[Part Name]=$A1059)*(T_PlannedOrders[WeekIndex]=31)*(T_PlannedOrders[EffectiveQty]&gt;0)*T_PlannedOrders[Order_Month])),"m月")&amp;"発注)")</f>
        <v/>
      </c>
      <c r="AI1065">
        <f>IF(SUMIFS(T_PlannedOrders[EffectiveQty],T_PlannedOrders[Part Name],$A1059,T_PlannedOrders[WeekIndex],32)=0,"",SUMIFS(T_PlannedOrders[EffectiveQty],T_PlannedOrders[Part Name],$A1059,T_PlannedOrders[WeekIndex],32)&amp;" ("&amp;TEXT(SUMPRODUCT(MAX((T_PlannedOrders[Part Name]=$A1059)*(T_PlannedOrders[WeekIndex]=32)*(T_PlannedOrders[EffectiveQty]&gt;0)*T_PlannedOrders[Order_Month])),"m月")&amp;"発注)")</f>
        <v/>
      </c>
      <c r="AJ1065">
        <f>IF(SUMIFS(T_PlannedOrders[EffectiveQty],T_PlannedOrders[Part Name],$A1059,T_PlannedOrders[WeekIndex],33)=0,"",SUMIFS(T_PlannedOrders[EffectiveQty],T_PlannedOrders[Part Name],$A1059,T_PlannedOrders[WeekIndex],33)&amp;" ("&amp;TEXT(SUMPRODUCT(MAX((T_PlannedOrders[Part Name]=$A1059)*(T_PlannedOrders[WeekIndex]=33)*(T_PlannedOrders[EffectiveQty]&gt;0)*T_PlannedOrders[Order_Month])),"m月")&amp;"発注)")</f>
        <v/>
      </c>
      <c r="AK1065">
        <f>IF(SUMIFS(T_PlannedOrders[EffectiveQty],T_PlannedOrders[Part Name],$A1059,T_PlannedOrders[WeekIndex],34)=0,"",SUMIFS(T_PlannedOrders[EffectiveQty],T_PlannedOrders[Part Name],$A1059,T_PlannedOrders[WeekIndex],34)&amp;" ("&amp;TEXT(SUMPRODUCT(MAX((T_PlannedOrders[Part Name]=$A1059)*(T_PlannedOrders[WeekIndex]=34)*(T_PlannedOrders[EffectiveQty]&gt;0)*T_PlannedOrders[Order_Month])),"m月")&amp;"発注)")</f>
        <v/>
      </c>
      <c r="AL1065">
        <f>IF(SUMIFS(T_PlannedOrders[EffectiveQty],T_PlannedOrders[Part Name],$A1059,T_PlannedOrders[WeekIndex],35)=0,"",SUMIFS(T_PlannedOrders[EffectiveQty],T_PlannedOrders[Part Name],$A1059,T_PlannedOrders[WeekIndex],35)&amp;" ("&amp;TEXT(SUMPRODUCT(MAX((T_PlannedOrders[Part Name]=$A1059)*(T_PlannedOrders[WeekIndex]=35)*(T_PlannedOrders[EffectiveQty]&gt;0)*T_PlannedOrders[Order_Month])),"m月")&amp;"発注)")</f>
        <v/>
      </c>
      <c r="AM1065">
        <f>IF(SUMIFS(T_PlannedOrders[EffectiveQty],T_PlannedOrders[Part Name],$A1059,T_PlannedOrders[WeekIndex],36)=0,"",SUMIFS(T_PlannedOrders[EffectiveQty],T_PlannedOrders[Part Name],$A1059,T_PlannedOrders[WeekIndex],36)&amp;" ("&amp;TEXT(SUMPRODUCT(MAX((T_PlannedOrders[Part Name]=$A1059)*(T_PlannedOrders[WeekIndex]=36)*(T_PlannedOrders[EffectiveQty]&gt;0)*T_PlannedOrders[Order_Month])),"m月")&amp;"発注)")</f>
        <v/>
      </c>
      <c r="AN1065">
        <f>IF(SUMIFS(T_PlannedOrders[EffectiveQty],T_PlannedOrders[Part Name],$A1059,T_PlannedOrders[WeekIndex],37)=0,"",SUMIFS(T_PlannedOrders[EffectiveQty],T_PlannedOrders[Part Name],$A1059,T_PlannedOrders[WeekIndex],37)&amp;" ("&amp;TEXT(SUMPRODUCT(MAX((T_PlannedOrders[Part Name]=$A1059)*(T_PlannedOrders[WeekIndex]=37)*(T_PlannedOrders[EffectiveQty]&gt;0)*T_PlannedOrders[Order_Month])),"m月")&amp;"発注)")</f>
        <v/>
      </c>
      <c r="AO1065">
        <f>IF(SUMIFS(T_PlannedOrders[EffectiveQty],T_PlannedOrders[Part Name],$A1059,T_PlannedOrders[WeekIndex],38)=0,"",SUMIFS(T_PlannedOrders[EffectiveQty],T_PlannedOrders[Part Name],$A1059,T_PlannedOrders[WeekIndex],38)&amp;" ("&amp;TEXT(SUMPRODUCT(MAX((T_PlannedOrders[Part Name]=$A1059)*(T_PlannedOrders[WeekIndex]=38)*(T_PlannedOrders[EffectiveQty]&gt;0)*T_PlannedOrders[Order_Month])),"m月")&amp;"発注)")</f>
        <v/>
      </c>
      <c r="AP1065">
        <f>IF(SUMIFS(T_PlannedOrders[EffectiveQty],T_PlannedOrders[Part Name],$A1059,T_PlannedOrders[WeekIndex],39)=0,"",SUMIFS(T_PlannedOrders[EffectiveQty],T_PlannedOrders[Part Name],$A1059,T_PlannedOrders[WeekIndex],39)&amp;" ("&amp;TEXT(SUMPRODUCT(MAX((T_PlannedOrders[Part Name]=$A1059)*(T_PlannedOrders[WeekIndex]=39)*(T_PlannedOrders[EffectiveQty]&gt;0)*T_PlannedOrders[Order_Month])),"m月")&amp;"発注)")</f>
        <v/>
      </c>
      <c r="AQ1065">
        <f>IF(SUMIFS(T_PlannedOrders[EffectiveQty],T_PlannedOrders[Part Name],$A1059,T_PlannedOrders[WeekIndex],40)=0,"",SUMIFS(T_PlannedOrders[EffectiveQty],T_PlannedOrders[Part Name],$A1059,T_PlannedOrders[WeekIndex],40)&amp;" ("&amp;TEXT(SUMPRODUCT(MAX((T_PlannedOrders[Part Name]=$A1059)*(T_PlannedOrders[WeekIndex]=40)*(T_PlannedOrders[EffectiveQty]&gt;0)*T_PlannedOrders[Order_Month])),"m月")&amp;"発注)")</f>
        <v/>
      </c>
      <c r="AR1065">
        <f>IF(SUMIFS(T_PlannedOrders[EffectiveQty],T_PlannedOrders[Part Name],$A1059,T_PlannedOrders[WeekIndex],41)=0,"",SUMIFS(T_PlannedOrders[EffectiveQty],T_PlannedOrders[Part Name],$A1059,T_PlannedOrders[WeekIndex],41)&amp;" ("&amp;TEXT(SUMPRODUCT(MAX((T_PlannedOrders[Part Name]=$A1059)*(T_PlannedOrders[WeekIndex]=41)*(T_PlannedOrders[EffectiveQty]&gt;0)*T_PlannedOrders[Order_Month])),"m月")&amp;"発注)")</f>
        <v/>
      </c>
      <c r="AS1065">
        <f>IF(SUMIFS(T_PlannedOrders[EffectiveQty],T_PlannedOrders[Part Name],$A1059,T_PlannedOrders[WeekIndex],42)=0,"",SUMIFS(T_PlannedOrders[EffectiveQty],T_PlannedOrders[Part Name],$A1059,T_PlannedOrders[WeekIndex],42)&amp;" ("&amp;TEXT(SUMPRODUCT(MAX((T_PlannedOrders[Part Name]=$A1059)*(T_PlannedOrders[WeekIndex]=42)*(T_PlannedOrders[EffectiveQty]&gt;0)*T_PlannedOrders[Order_Month])),"m月")&amp;"発注)")</f>
        <v/>
      </c>
      <c r="AT1065">
        <f>IF(SUMIFS(T_PlannedOrders[EffectiveQty],T_PlannedOrders[Part Name],$A1059,T_PlannedOrders[WeekIndex],43)=0,"",SUMIFS(T_PlannedOrders[EffectiveQty],T_PlannedOrders[Part Name],$A1059,T_PlannedOrders[WeekIndex],43)&amp;" ("&amp;TEXT(SUMPRODUCT(MAX((T_PlannedOrders[Part Name]=$A1059)*(T_PlannedOrders[WeekIndex]=43)*(T_PlannedOrders[EffectiveQty]&gt;0)*T_PlannedOrders[Order_Month])),"m月")&amp;"発注)")</f>
        <v/>
      </c>
      <c r="AU1065">
        <f>IF(SUMIFS(T_PlannedOrders[EffectiveQty],T_PlannedOrders[Part Name],$A1059,T_PlannedOrders[WeekIndex],44)=0,"",SUMIFS(T_PlannedOrders[EffectiveQty],T_PlannedOrders[Part Name],$A1059,T_PlannedOrders[WeekIndex],44)&amp;" ("&amp;TEXT(SUMPRODUCT(MAX((T_PlannedOrders[Part Name]=$A1059)*(T_PlannedOrders[WeekIndex]=44)*(T_PlannedOrders[EffectiveQty]&gt;0)*T_PlannedOrders[Order_Month])),"m月")&amp;"発注)")</f>
        <v/>
      </c>
      <c r="AV1065">
        <f>IF(SUMIFS(T_PlannedOrders[EffectiveQty],T_PlannedOrders[Part Name],$A1059,T_PlannedOrders[WeekIndex],45)=0,"",SUMIFS(T_PlannedOrders[EffectiveQty],T_PlannedOrders[Part Name],$A1059,T_PlannedOrders[WeekIndex],45)&amp;" ("&amp;TEXT(SUMPRODUCT(MAX((T_PlannedOrders[Part Name]=$A1059)*(T_PlannedOrders[WeekIndex]=45)*(T_PlannedOrders[EffectiveQty]&gt;0)*T_PlannedOrders[Order_Month])),"m月")&amp;"発注)")</f>
        <v/>
      </c>
      <c r="AW1065">
        <f>IF(SUMIFS(T_PlannedOrders[EffectiveQty],T_PlannedOrders[Part Name],$A1059,T_PlannedOrders[WeekIndex],46)=0,"",SUMIFS(T_PlannedOrders[EffectiveQty],T_PlannedOrders[Part Name],$A1059,T_PlannedOrders[WeekIndex],46)&amp;" ("&amp;TEXT(SUMPRODUCT(MAX((T_PlannedOrders[Part Name]=$A1059)*(T_PlannedOrders[WeekIndex]=46)*(T_PlannedOrders[EffectiveQty]&gt;0)*T_PlannedOrders[Order_Month])),"m月")&amp;"発注)")</f>
        <v/>
      </c>
      <c r="AX1065">
        <f>IF(SUMIFS(T_PlannedOrders[EffectiveQty],T_PlannedOrders[Part Name],$A1059,T_PlannedOrders[WeekIndex],47)=0,"",SUMIFS(T_PlannedOrders[EffectiveQty],T_PlannedOrders[Part Name],$A1059,T_PlannedOrders[WeekIndex],47)&amp;" ("&amp;TEXT(SUMPRODUCT(MAX((T_PlannedOrders[Part Name]=$A1059)*(T_PlannedOrders[WeekIndex]=47)*(T_PlannedOrders[EffectiveQty]&gt;0)*T_PlannedOrders[Order_Month])),"m月")&amp;"発注)")</f>
        <v/>
      </c>
      <c r="AY1065">
        <f>IF(SUMIFS(T_PlannedOrders[EffectiveQty],T_PlannedOrders[Part Name],$A1059,T_PlannedOrders[WeekIndex],48)=0,"",SUMIFS(T_PlannedOrders[EffectiveQty],T_PlannedOrders[Part Name],$A1059,T_PlannedOrders[WeekIndex],48)&amp;" ("&amp;TEXT(SUMPRODUCT(MAX((T_PlannedOrders[Part Name]=$A1059)*(T_PlannedOrders[WeekIndex]=48)*(T_PlannedOrders[EffectiveQty]&gt;0)*T_PlannedOrders[Order_Month])),"m月")&amp;"発注)")</f>
        <v/>
      </c>
      <c r="AZ1065">
        <f>IF(SUMIFS(T_PlannedOrders[EffectiveQty],T_PlannedOrders[Part Name],$A1059,T_PlannedOrders[WeekIndex],49)=0,"",SUMIFS(T_PlannedOrders[EffectiveQty],T_PlannedOrders[Part Name],$A1059,T_PlannedOrders[WeekIndex],49)&amp;" ("&amp;TEXT(SUMPRODUCT(MAX((T_PlannedOrders[Part Name]=$A1059)*(T_PlannedOrders[WeekIndex]=49)*(T_PlannedOrders[EffectiveQty]&gt;0)*T_PlannedOrders[Order_Month])),"m月")&amp;"発注)")</f>
        <v/>
      </c>
      <c r="BA1065">
        <f>IF(SUMIFS(T_PlannedOrders[EffectiveQty],T_PlannedOrders[Part Name],$A1059,T_PlannedOrders[WeekIndex],50)=0,"",SUMIFS(T_PlannedOrders[EffectiveQty],T_PlannedOrders[Part Name],$A1059,T_PlannedOrders[WeekIndex],50)&amp;" ("&amp;TEXT(SUMPRODUCT(MAX((T_PlannedOrders[Part Name]=$A1059)*(T_PlannedOrders[WeekIndex]=50)*(T_PlannedOrders[EffectiveQty]&gt;0)*T_PlannedOrders[Order_Month])),"m月")&amp;"発注)")</f>
        <v/>
      </c>
      <c r="BB1065">
        <f>IF(SUMIFS(T_PlannedOrders[EffectiveQty],T_PlannedOrders[Part Name],$A1059,T_PlannedOrders[WeekIndex],51)=0,"",SUMIFS(T_PlannedOrders[EffectiveQty],T_PlannedOrders[Part Name],$A1059,T_PlannedOrders[WeekIndex],51)&amp;" ("&amp;TEXT(SUMPRODUCT(MAX((T_PlannedOrders[Part Name]=$A1059)*(T_PlannedOrders[WeekIndex]=51)*(T_PlannedOrders[EffectiveQty]&gt;0)*T_PlannedOrders[Order_Month])),"m月")&amp;"発注)")</f>
        <v/>
      </c>
      <c r="BC1065">
        <f>IF(SUMIFS(T_PlannedOrders[EffectiveQty],T_PlannedOrders[Part Name],$A1059,T_PlannedOrders[WeekIndex],52)=0,"",SUMIFS(T_PlannedOrders[EffectiveQty],T_PlannedOrders[Part Name],$A1059,T_PlannedOrders[WeekIndex],52)&amp;" ("&amp;TEXT(SUMPRODUCT(MAX((T_PlannedOrders[Part Name]=$A1059)*(T_PlannedOrders[WeekIndex]=52)*(T_PlannedOrders[EffectiveQty]&gt;0)*T_PlannedOrders[Order_Month])),"m月")&amp;"発注)")</f>
        <v/>
      </c>
      <c r="BD1065">
        <f>IF(SUMIFS(T_PlannedOrders[EffectiveQty],T_PlannedOrders[Part Name],$A1059,T_PlannedOrders[WeekIndex],53)=0,"",SUMIFS(T_PlannedOrders[EffectiveQty],T_PlannedOrders[Part Name],$A1059,T_PlannedOrders[WeekIndex],53)&amp;" ("&amp;TEXT(SUMPRODUCT(MAX((T_PlannedOrders[Part Name]=$A1059)*(T_PlannedOrders[WeekIndex]=53)*(T_PlannedOrders[EffectiveQty]&gt;0)*T_PlannedOrders[Order_Month])),"m月")&amp;"発注)")</f>
        <v/>
      </c>
      <c r="BE1065">
        <f>IF(SUMIFS(T_PlannedOrders[EffectiveQty],T_PlannedOrders[Part Name],$A1059,T_PlannedOrders[WeekIndex],54)=0,"",SUMIFS(T_PlannedOrders[EffectiveQty],T_PlannedOrders[Part Name],$A1059,T_PlannedOrders[WeekIndex],54)&amp;" ("&amp;TEXT(SUMPRODUCT(MAX((T_PlannedOrders[Part Name]=$A1059)*(T_PlannedOrders[WeekIndex]=54)*(T_PlannedOrders[EffectiveQty]&gt;0)*T_PlannedOrders[Order_Month])),"m月")&amp;"発注)")</f>
        <v/>
      </c>
      <c r="BF1065">
        <f>IF(SUMIFS(T_PlannedOrders[EffectiveQty],T_PlannedOrders[Part Name],$A1059,T_PlannedOrders[WeekIndex],55)=0,"",SUMIFS(T_PlannedOrders[EffectiveQty],T_PlannedOrders[Part Name],$A1059,T_PlannedOrders[WeekIndex],55)&amp;" ("&amp;TEXT(SUMPRODUCT(MAX((T_PlannedOrders[Part Name]=$A1059)*(T_PlannedOrders[WeekIndex]=55)*(T_PlannedOrders[EffectiveQty]&gt;0)*T_PlannedOrders[Order_Month])),"m月")&amp;"発注)")</f>
        <v/>
      </c>
      <c r="BG1065">
        <f>IF(SUMIFS(T_PlannedOrders[EffectiveQty],T_PlannedOrders[Part Name],$A1059,T_PlannedOrders[WeekIndex],56)=0,"",SUMIFS(T_PlannedOrders[EffectiveQty],T_PlannedOrders[Part Name],$A1059,T_PlannedOrders[WeekIndex],56)&amp;" ("&amp;TEXT(SUMPRODUCT(MAX((T_PlannedOrders[Part Name]=$A1059)*(T_PlannedOrders[WeekIndex]=56)*(T_PlannedOrders[EffectiveQty]&gt;0)*T_PlannedOrders[Order_Month])),"m月")&amp;"発注)")</f>
        <v/>
      </c>
      <c r="BH1065">
        <f>IF(SUMIFS(T_PlannedOrders[EffectiveQty],T_PlannedOrders[Part Name],$A1059,T_PlannedOrders[WeekIndex],57)=0,"",SUMIFS(T_PlannedOrders[EffectiveQty],T_PlannedOrders[Part Name],$A1059,T_PlannedOrders[WeekIndex],57)&amp;" ("&amp;TEXT(SUMPRODUCT(MAX((T_PlannedOrders[Part Name]=$A1059)*(T_PlannedOrders[WeekIndex]=57)*(T_PlannedOrders[EffectiveQty]&gt;0)*T_PlannedOrders[Order_Month])),"m月")&amp;"発注)")</f>
        <v/>
      </c>
      <c r="BI1065">
        <f>IF(SUMIFS(T_PlannedOrders[EffectiveQty],T_PlannedOrders[Part Name],$A1059,T_PlannedOrders[WeekIndex],58)=0,"",SUMIFS(T_PlannedOrders[EffectiveQty],T_PlannedOrders[Part Name],$A1059,T_PlannedOrders[WeekIndex],58)&amp;" ("&amp;TEXT(SUMPRODUCT(MAX((T_PlannedOrders[Part Name]=$A1059)*(T_PlannedOrders[WeekIndex]=58)*(T_PlannedOrders[EffectiveQty]&gt;0)*T_PlannedOrders[Order_Month])),"m月")&amp;"発注)")</f>
        <v/>
      </c>
      <c r="BJ1065">
        <f>IF(SUMIFS(T_PlannedOrders[EffectiveQty],T_PlannedOrders[Part Name],$A1059,T_PlannedOrders[WeekIndex],59)=0,"",SUMIFS(T_PlannedOrders[EffectiveQty],T_PlannedOrders[Part Name],$A1059,T_PlannedOrders[WeekIndex],59)&amp;" ("&amp;TEXT(SUMPRODUCT(MAX((T_PlannedOrders[Part Name]=$A1059)*(T_PlannedOrders[WeekIndex]=59)*(T_PlannedOrders[EffectiveQty]&gt;0)*T_PlannedOrders[Order_Month])),"m月")&amp;"発注)")</f>
        <v/>
      </c>
      <c r="BK1065">
        <f>IF(SUMIFS(T_PlannedOrders[EffectiveQty],T_PlannedOrders[Part Name],$A1059,T_PlannedOrders[WeekIndex],60)=0,"",SUMIFS(T_PlannedOrders[EffectiveQty],T_PlannedOrders[Part Name],$A1059,T_PlannedOrders[WeekIndex],60)&amp;" ("&amp;TEXT(SUMPRODUCT(MAX((T_PlannedOrders[Part Name]=$A1059)*(T_PlannedOrders[WeekIndex]=60)*(T_PlannedOrders[EffectiveQty]&gt;0)*T_PlannedOrders[Order_Month])),"m月")&amp;"発注)")</f>
        <v/>
      </c>
      <c r="BL1065">
        <f>IF(SUMIFS(T_PlannedOrders[EffectiveQty],T_PlannedOrders[Part Name],$A1059,T_PlannedOrders[WeekIndex],61)=0,"",SUMIFS(T_PlannedOrders[EffectiveQty],T_PlannedOrders[Part Name],$A1059,T_PlannedOrders[WeekIndex],61)&amp;" ("&amp;TEXT(SUMPRODUCT(MAX((T_PlannedOrders[Part Name]=$A1059)*(T_PlannedOrders[WeekIndex]=61)*(T_PlannedOrders[EffectiveQty]&gt;0)*T_PlannedOrders[Order_Month])),"m月")&amp;"発注)")</f>
        <v/>
      </c>
      <c r="BM1065">
        <f>IF(SUMIFS(T_PlannedOrders[EffectiveQty],T_PlannedOrders[Part Name],$A1059,T_PlannedOrders[WeekIndex],62)=0,"",SUMIFS(T_PlannedOrders[EffectiveQty],T_PlannedOrders[Part Name],$A1059,T_PlannedOrders[WeekIndex],62)&amp;" ("&amp;TEXT(SUMPRODUCT(MAX((T_PlannedOrders[Part Name]=$A1059)*(T_PlannedOrders[WeekIndex]=62)*(T_PlannedOrders[EffectiveQty]&gt;0)*T_PlannedOrders[Order_Month])),"m月")&amp;"発注)")</f>
        <v/>
      </c>
      <c r="BN1065">
        <f>IF(SUMIFS(T_PlannedOrders[EffectiveQty],T_PlannedOrders[Part Name],$A1059,T_PlannedOrders[WeekIndex],63)=0,"",SUMIFS(T_PlannedOrders[EffectiveQty],T_PlannedOrders[Part Name],$A1059,T_PlannedOrders[WeekIndex],63)&amp;" ("&amp;TEXT(SUMPRODUCT(MAX((T_PlannedOrders[Part Name]=$A1059)*(T_PlannedOrders[WeekIndex]=63)*(T_PlannedOrders[EffectiveQty]&gt;0)*T_PlannedOrders[Order_Month])),"m月")&amp;"発注)")</f>
        <v/>
      </c>
      <c r="BO1065">
        <f>IF(SUMIFS(T_PlannedOrders[EffectiveQty],T_PlannedOrders[Part Name],$A1059,T_PlannedOrders[WeekIndex],64)=0,"",SUMIFS(T_PlannedOrders[EffectiveQty],T_PlannedOrders[Part Name],$A1059,T_PlannedOrders[WeekIndex],64)&amp;" ("&amp;TEXT(SUMPRODUCT(MAX((T_PlannedOrders[Part Name]=$A1059)*(T_PlannedOrders[WeekIndex]=64)*(T_PlannedOrders[EffectiveQty]&gt;0)*T_PlannedOrders[Order_Month])),"m月")&amp;"発注)")</f>
        <v/>
      </c>
      <c r="BP1065">
        <f>IF(SUMIFS(T_PlannedOrders[EffectiveQty],T_PlannedOrders[Part Name],$A1059,T_PlannedOrders[WeekIndex],65)=0,"",SUMIFS(T_PlannedOrders[EffectiveQty],T_PlannedOrders[Part Name],$A1059,T_PlannedOrders[WeekIndex],65)&amp;" ("&amp;TEXT(SUMPRODUCT(MAX((T_PlannedOrders[Part Name]=$A1059)*(T_PlannedOrders[WeekIndex]=65)*(T_PlannedOrders[EffectiveQty]&gt;0)*T_PlannedOrders[Order_Month])),"m月")&amp;"発注)")</f>
        <v/>
      </c>
      <c r="BQ1065">
        <f>IF(SUMIFS(T_PlannedOrders[EffectiveQty],T_PlannedOrders[Part Name],$A1059,T_PlannedOrders[WeekIndex],66)=0,"",SUMIFS(T_PlannedOrders[EffectiveQty],T_PlannedOrders[Part Name],$A1059,T_PlannedOrders[WeekIndex],66)&amp;" ("&amp;TEXT(SUMPRODUCT(MAX((T_PlannedOrders[Part Name]=$A1059)*(T_PlannedOrders[WeekIndex]=66)*(T_PlannedOrders[EffectiveQty]&gt;0)*T_PlannedOrders[Order_Month])),"m月")&amp;"発注)")</f>
        <v/>
      </c>
      <c r="BR1065">
        <f>IF(SUMIFS(T_PlannedOrders[EffectiveQty],T_PlannedOrders[Part Name],$A1059,T_PlannedOrders[WeekIndex],67)=0,"",SUMIFS(T_PlannedOrders[EffectiveQty],T_PlannedOrders[Part Name],$A1059,T_PlannedOrders[WeekIndex],67)&amp;" ("&amp;TEXT(SUMPRODUCT(MAX((T_PlannedOrders[Part Name]=$A1059)*(T_PlannedOrders[WeekIndex]=67)*(T_PlannedOrders[EffectiveQty]&gt;0)*T_PlannedOrders[Order_Month])),"m月")&amp;"発注)")</f>
        <v/>
      </c>
      <c r="BS1065">
        <f>IF(SUMIFS(T_PlannedOrders[EffectiveQty],T_PlannedOrders[Part Name],$A1059,T_PlannedOrders[WeekIndex],68)=0,"",SUMIFS(T_PlannedOrders[EffectiveQty],T_PlannedOrders[Part Name],$A1059,T_PlannedOrders[WeekIndex],68)&amp;" ("&amp;TEXT(SUMPRODUCT(MAX((T_PlannedOrders[Part Name]=$A1059)*(T_PlannedOrders[WeekIndex]=68)*(T_PlannedOrders[EffectiveQty]&gt;0)*T_PlannedOrders[Order_Month])),"m月")&amp;"発注)")</f>
        <v/>
      </c>
      <c r="BT1065">
        <f>IF(SUMIFS(T_PlannedOrders[EffectiveQty],T_PlannedOrders[Part Name],$A1059,T_PlannedOrders[WeekIndex],69)=0,"",SUMIFS(T_PlannedOrders[EffectiveQty],T_PlannedOrders[Part Name],$A1059,T_PlannedOrders[WeekIndex],69)&amp;" ("&amp;TEXT(SUMPRODUCT(MAX((T_PlannedOrders[Part Name]=$A1059)*(T_PlannedOrders[WeekIndex]=69)*(T_PlannedOrders[EffectiveQty]&gt;0)*T_PlannedOrders[Order_Month])),"m月")&amp;"発注)")</f>
        <v/>
      </c>
      <c r="BU1065">
        <f>IF(SUMIFS(T_PlannedOrders[EffectiveQty],T_PlannedOrders[Part Name],$A1059,T_PlannedOrders[WeekIndex],70)=0,"",SUMIFS(T_PlannedOrders[EffectiveQty],T_PlannedOrders[Part Name],$A1059,T_PlannedOrders[WeekIndex],70)&amp;" ("&amp;TEXT(SUMPRODUCT(MAX((T_PlannedOrders[Part Name]=$A1059)*(T_PlannedOrders[WeekIndex]=70)*(T_PlannedOrders[EffectiveQty]&gt;0)*T_PlannedOrders[Order_Month])),"m月")&amp;"発注)")</f>
        <v/>
      </c>
      <c r="BV1065">
        <f>IF(SUMIFS(T_PlannedOrders[EffectiveQty],T_PlannedOrders[Part Name],$A1059,T_PlannedOrders[WeekIndex],71)=0,"",SUMIFS(T_PlannedOrders[EffectiveQty],T_PlannedOrders[Part Name],$A1059,T_PlannedOrders[WeekIndex],71)&amp;" ("&amp;TEXT(SUMPRODUCT(MAX((T_PlannedOrders[Part Name]=$A1059)*(T_PlannedOrders[WeekIndex]=71)*(T_PlannedOrders[EffectiveQty]&gt;0)*T_PlannedOrders[Order_Month])),"m月")&amp;"発注)")</f>
        <v/>
      </c>
      <c r="BW1065">
        <f>IF(SUMIFS(T_PlannedOrders[EffectiveQty],T_PlannedOrders[Part Name],$A1059,T_PlannedOrders[WeekIndex],72)=0,"",SUMIFS(T_PlannedOrders[EffectiveQty],T_PlannedOrders[Part Name],$A1059,T_PlannedOrders[WeekIndex],72)&amp;" ("&amp;TEXT(SUMPRODUCT(MAX((T_PlannedOrders[Part Name]=$A1059)*(T_PlannedOrders[WeekIndex]=72)*(T_PlannedOrders[EffectiveQty]&gt;0)*T_PlannedOrders[Order_Month])),"m月")&amp;"発注)")</f>
        <v/>
      </c>
      <c r="BX1065">
        <f>IF(SUMIFS(T_PlannedOrders[EffectiveQty],T_PlannedOrders[Part Name],$A1059,T_PlannedOrders[WeekIndex],73)=0,"",SUMIFS(T_PlannedOrders[EffectiveQty],T_PlannedOrders[Part Name],$A1059,T_PlannedOrders[WeekIndex],73)&amp;" ("&amp;TEXT(SUMPRODUCT(MAX((T_PlannedOrders[Part Name]=$A1059)*(T_PlannedOrders[WeekIndex]=73)*(T_PlannedOrders[EffectiveQty]&gt;0)*T_PlannedOrders[Order_Month])),"m月")&amp;"発注)")</f>
        <v/>
      </c>
      <c r="BY1065">
        <f>IF(SUMIFS(T_PlannedOrders[EffectiveQty],T_PlannedOrders[Part Name],$A1059,T_PlannedOrders[WeekIndex],74)=0,"",SUMIFS(T_PlannedOrders[EffectiveQty],T_PlannedOrders[Part Name],$A1059,T_PlannedOrders[WeekIndex],74)&amp;" ("&amp;TEXT(SUMPRODUCT(MAX((T_PlannedOrders[Part Name]=$A1059)*(T_PlannedOrders[WeekIndex]=74)*(T_PlannedOrders[EffectiveQty]&gt;0)*T_PlannedOrders[Order_Month])),"m月")&amp;"発注)")</f>
        <v/>
      </c>
      <c r="BZ1065">
        <f>IF(SUMIFS(T_PlannedOrders[EffectiveQty],T_PlannedOrders[Part Name],$A1059,T_PlannedOrders[WeekIndex],75)=0,"",SUMIFS(T_PlannedOrders[EffectiveQty],T_PlannedOrders[Part Name],$A1059,T_PlannedOrders[WeekIndex],75)&amp;" ("&amp;TEXT(SUMPRODUCT(MAX((T_PlannedOrders[Part Name]=$A1059)*(T_PlannedOrders[WeekIndex]=75)*(T_PlannedOrders[EffectiveQty]&gt;0)*T_PlannedOrders[Order_Month])),"m月")&amp;"発注)")</f>
        <v/>
      </c>
      <c r="CA1065">
        <f>IF(SUMIFS(T_PlannedOrders[EffectiveQty],T_PlannedOrders[Part Name],$A1059,T_PlannedOrders[WeekIndex],76)=0,"",SUMIFS(T_PlannedOrders[EffectiveQty],T_PlannedOrders[Part Name],$A1059,T_PlannedOrders[WeekIndex],76)&amp;" ("&amp;TEXT(SUMPRODUCT(MAX((T_PlannedOrders[Part Name]=$A1059)*(T_PlannedOrders[WeekIndex]=76)*(T_PlannedOrders[EffectiveQty]&gt;0)*T_PlannedOrders[Order_Month])),"m月")&amp;"発注)")</f>
        <v/>
      </c>
      <c r="CB1065">
        <f>IF(SUMIFS(T_PlannedOrders[EffectiveQty],T_PlannedOrders[Part Name],$A1059,T_PlannedOrders[WeekIndex],77)=0,"",SUMIFS(T_PlannedOrders[EffectiveQty],T_PlannedOrders[Part Name],$A1059,T_PlannedOrders[WeekIndex],77)&amp;" ("&amp;TEXT(SUMPRODUCT(MAX((T_PlannedOrders[Part Name]=$A1059)*(T_PlannedOrders[WeekIndex]=77)*(T_PlannedOrders[EffectiveQty]&gt;0)*T_PlannedOrders[Order_Month])),"m月")&amp;"発注)")</f>
        <v/>
      </c>
      <c r="CC1065">
        <f>IF(SUMIFS(T_PlannedOrders[EffectiveQty],T_PlannedOrders[Part Name],$A1059,T_PlannedOrders[WeekIndex],78)=0,"",SUMIFS(T_PlannedOrders[EffectiveQty],T_PlannedOrders[Part Name],$A1059,T_PlannedOrders[WeekIndex],78)&amp;" ("&amp;TEXT(SUMPRODUCT(MAX((T_PlannedOrders[Part Name]=$A1059)*(T_PlannedOrders[WeekIndex]=78)*(T_PlannedOrders[EffectiveQty]&gt;0)*T_PlannedOrders[Order_Month])),"m月")&amp;"発注)")</f>
        <v/>
      </c>
      <c r="CD1065">
        <f>IF(SUMIFS(T_PlannedOrders[EffectiveQty],T_PlannedOrders[Part Name],$A1059,T_PlannedOrders[WeekIndex],79)=0,"",SUMIFS(T_PlannedOrders[EffectiveQty],T_PlannedOrders[Part Name],$A1059,T_PlannedOrders[WeekIndex],79)&amp;" ("&amp;TEXT(SUMPRODUCT(MAX((T_PlannedOrders[Part Name]=$A1059)*(T_PlannedOrders[WeekIndex]=79)*(T_PlannedOrders[EffectiveQty]&gt;0)*T_PlannedOrders[Order_Month])),"m月")&amp;"発注)")</f>
        <v/>
      </c>
      <c r="CE1065">
        <f>IF(SUMIFS(T_PlannedOrders[EffectiveQty],T_PlannedOrders[Part Name],$A1059,T_PlannedOrders[WeekIndex],80)=0,"",SUMIFS(T_PlannedOrders[EffectiveQty],T_PlannedOrders[Part Name],$A1059,T_PlannedOrders[WeekIndex],80)&amp;" ("&amp;TEXT(SUMPRODUCT(MAX((T_PlannedOrders[Part Name]=$A1059)*(T_PlannedOrders[WeekIndex]=80)*(T_PlannedOrders[EffectiveQty]&gt;0)*T_PlannedOrders[Order_Month])),"m月")&amp;"発注)")</f>
        <v/>
      </c>
      <c r="CF1065">
        <f>IF(SUMIFS(T_PlannedOrders[EffectiveQty],T_PlannedOrders[Part Name],$A1059,T_PlannedOrders[WeekIndex],81)=0,"",SUMIFS(T_PlannedOrders[EffectiveQty],T_PlannedOrders[Part Name],$A1059,T_PlannedOrders[WeekIndex],81)&amp;" ("&amp;TEXT(SUMPRODUCT(MAX((T_PlannedOrders[Part Name]=$A1059)*(T_PlannedOrders[WeekIndex]=81)*(T_PlannedOrders[EffectiveQty]&gt;0)*T_PlannedOrders[Order_Month])),"m月")&amp;"発注)")</f>
        <v/>
      </c>
      <c r="CG1065">
        <f>IF(SUMIFS(T_PlannedOrders[EffectiveQty],T_PlannedOrders[Part Name],$A1059,T_PlannedOrders[WeekIndex],82)=0,"",SUMIFS(T_PlannedOrders[EffectiveQty],T_PlannedOrders[Part Name],$A1059,T_PlannedOrders[WeekIndex],82)&amp;" ("&amp;TEXT(SUMPRODUCT(MAX((T_PlannedOrders[Part Name]=$A1059)*(T_PlannedOrders[WeekIndex]=82)*(T_PlannedOrders[EffectiveQty]&gt;0)*T_PlannedOrders[Order_Month])),"m月")&amp;"発注)")</f>
        <v/>
      </c>
      <c r="CH1065">
        <f>IF(SUMIFS(T_PlannedOrders[EffectiveQty],T_PlannedOrders[Part Name],$A1059,T_PlannedOrders[WeekIndex],83)=0,"",SUMIFS(T_PlannedOrders[EffectiveQty],T_PlannedOrders[Part Name],$A1059,T_PlannedOrders[WeekIndex],83)&amp;" ("&amp;TEXT(SUMPRODUCT(MAX((T_PlannedOrders[Part Name]=$A1059)*(T_PlannedOrders[WeekIndex]=83)*(T_PlannedOrders[EffectiveQty]&gt;0)*T_PlannedOrders[Order_Month])),"m月")&amp;"発注)")</f>
        <v/>
      </c>
      <c r="CI1065">
        <f>IF(SUMIFS(T_PlannedOrders[EffectiveQty],T_PlannedOrders[Part Name],$A1059,T_PlannedOrders[WeekIndex],84)=0,"",SUMIFS(T_PlannedOrders[EffectiveQty],T_PlannedOrders[Part Name],$A1059,T_PlannedOrders[WeekIndex],84)&amp;" ("&amp;TEXT(SUMPRODUCT(MAX((T_PlannedOrders[Part Name]=$A1059)*(T_PlannedOrders[WeekIndex]=84)*(T_PlannedOrders[EffectiveQty]&gt;0)*T_PlannedOrders[Order_Month])),"m月")&amp;"発注)")</f>
        <v/>
      </c>
      <c r="CJ1065">
        <f>IF(SUMIFS(T_PlannedOrders[EffectiveQty],T_PlannedOrders[Part Name],$A1059,T_PlannedOrders[WeekIndex],85)=0,"",SUMIFS(T_PlannedOrders[EffectiveQty],T_PlannedOrders[Part Name],$A1059,T_PlannedOrders[WeekIndex],85)&amp;" ("&amp;TEXT(SUMPRODUCT(MAX((T_PlannedOrders[Part Name]=$A1059)*(T_PlannedOrders[WeekIndex]=85)*(T_PlannedOrders[EffectiveQty]&gt;0)*T_PlannedOrders[Order_Month])),"m月")&amp;"発注)")</f>
        <v/>
      </c>
      <c r="CK1065">
        <f>IF(SUMIFS(T_PlannedOrders[EffectiveQty],T_PlannedOrders[Part Name],$A1059,T_PlannedOrders[WeekIndex],86)=0,"",SUMIFS(T_PlannedOrders[EffectiveQty],T_PlannedOrders[Part Name],$A1059,T_PlannedOrders[WeekIndex],86)&amp;" ("&amp;TEXT(SUMPRODUCT(MAX((T_PlannedOrders[Part Name]=$A1059)*(T_PlannedOrders[WeekIndex]=86)*(T_PlannedOrders[EffectiveQty]&gt;0)*T_PlannedOrders[Order_Month])),"m月")&amp;"発注)")</f>
        <v/>
      </c>
      <c r="CL1065">
        <f>IF(SUMIFS(T_PlannedOrders[EffectiveQty],T_PlannedOrders[Part Name],$A1059,T_PlannedOrders[WeekIndex],87)=0,"",SUMIFS(T_PlannedOrders[EffectiveQty],T_PlannedOrders[Part Name],$A1059,T_PlannedOrders[WeekIndex],87)&amp;" ("&amp;TEXT(SUMPRODUCT(MAX((T_PlannedOrders[Part Name]=$A1059)*(T_PlannedOrders[WeekIndex]=87)*(T_PlannedOrders[EffectiveQty]&gt;0)*T_PlannedOrders[Order_Month])),"m月")&amp;"発注)")</f>
        <v/>
      </c>
      <c r="CM1065">
        <f>IF(SUMIFS(T_PlannedOrders[EffectiveQty],T_PlannedOrders[Part Name],$A1059,T_PlannedOrders[WeekIndex],88)=0,"",SUMIFS(T_PlannedOrders[EffectiveQty],T_PlannedOrders[Part Name],$A1059,T_PlannedOrders[WeekIndex],88)&amp;" ("&amp;TEXT(SUMPRODUCT(MAX((T_PlannedOrders[Part Name]=$A1059)*(T_PlannedOrders[WeekIndex]=88)*(T_PlannedOrders[EffectiveQty]&gt;0)*T_PlannedOrders[Order_Month])),"m月")&amp;"発注)")</f>
        <v/>
      </c>
      <c r="CN1065">
        <f>IF(SUMIFS(T_PlannedOrders[EffectiveQty],T_PlannedOrders[Part Name],$A1059,T_PlannedOrders[WeekIndex],89)=0,"",SUMIFS(T_PlannedOrders[EffectiveQty],T_PlannedOrders[Part Name],$A1059,T_PlannedOrders[WeekIndex],89)&amp;" ("&amp;TEXT(SUMPRODUCT(MAX((T_PlannedOrders[Part Name]=$A1059)*(T_PlannedOrders[WeekIndex]=89)*(T_PlannedOrders[EffectiveQty]&gt;0)*T_PlannedOrders[Order_Month])),"m月")&amp;"発注)")</f>
        <v/>
      </c>
      <c r="CO1065">
        <f>IF(SUMIFS(T_PlannedOrders[EffectiveQty],T_PlannedOrders[Part Name],$A1059,T_PlannedOrders[WeekIndex],90)=0,"",SUMIFS(T_PlannedOrders[EffectiveQty],T_PlannedOrders[Part Name],$A1059,T_PlannedOrders[WeekIndex],90)&amp;" ("&amp;TEXT(SUMPRODUCT(MAX((T_PlannedOrders[Part Name]=$A1059)*(T_PlannedOrders[WeekIndex]=90)*(T_PlannedOrders[EffectiveQty]&gt;0)*T_PlannedOrders[Order_Month])),"m月")&amp;"発注)")</f>
        <v/>
      </c>
      <c r="CP1065">
        <f>IF(SUMIFS(T_PlannedOrders[EffectiveQty],T_PlannedOrders[Part Name],$A1059,T_PlannedOrders[WeekIndex],91)=0,"",SUMIFS(T_PlannedOrders[EffectiveQty],T_PlannedOrders[Part Name],$A1059,T_PlannedOrders[WeekIndex],91)&amp;" ("&amp;TEXT(SUMPRODUCT(MAX((T_PlannedOrders[Part Name]=$A1059)*(T_PlannedOrders[WeekIndex]=91)*(T_PlannedOrders[EffectiveQty]&gt;0)*T_PlannedOrders[Order_Month])),"m月")&amp;"発注)")</f>
        <v/>
      </c>
      <c r="CQ1065">
        <f>IF(SUMIFS(T_PlannedOrders[EffectiveQty],T_PlannedOrders[Part Name],$A1059,T_PlannedOrders[WeekIndex],92)=0,"",SUMIFS(T_PlannedOrders[EffectiveQty],T_PlannedOrders[Part Name],$A1059,T_PlannedOrders[WeekIndex],92)&amp;" ("&amp;TEXT(SUMPRODUCT(MAX((T_PlannedOrders[Part Name]=$A1059)*(T_PlannedOrders[WeekIndex]=92)*(T_PlannedOrders[EffectiveQty]&gt;0)*T_PlannedOrders[Order_Month])),"m月")&amp;"発注)")</f>
        <v/>
      </c>
      <c r="CR1065">
        <f>IF(SUMIFS(T_PlannedOrders[EffectiveQty],T_PlannedOrders[Part Name],$A1059,T_PlannedOrders[WeekIndex],93)=0,"",SUMIFS(T_PlannedOrders[EffectiveQty],T_PlannedOrders[Part Name],$A1059,T_PlannedOrders[WeekIndex],93)&amp;" ("&amp;TEXT(SUMPRODUCT(MAX((T_PlannedOrders[Part Name]=$A1059)*(T_PlannedOrders[WeekIndex]=93)*(T_PlannedOrders[EffectiveQty]&gt;0)*T_PlannedOrders[Order_Month])),"m月")&amp;"発注)")</f>
        <v/>
      </c>
      <c r="CS1065">
        <f>IF(SUMIFS(T_PlannedOrders[EffectiveQty],T_PlannedOrders[Part Name],$A1059,T_PlannedOrders[WeekIndex],94)=0,"",SUMIFS(T_PlannedOrders[EffectiveQty],T_PlannedOrders[Part Name],$A1059,T_PlannedOrders[WeekIndex],94)&amp;" ("&amp;TEXT(SUMPRODUCT(MAX((T_PlannedOrders[Part Name]=$A1059)*(T_PlannedOrders[WeekIndex]=94)*(T_PlannedOrders[EffectiveQty]&gt;0)*T_PlannedOrders[Order_Month])),"m月")&amp;"発注)")</f>
        <v/>
      </c>
      <c r="CT1065">
        <f>IF(SUMIFS(T_PlannedOrders[EffectiveQty],T_PlannedOrders[Part Name],$A1059,T_PlannedOrders[WeekIndex],95)=0,"",SUMIFS(T_PlannedOrders[EffectiveQty],T_PlannedOrders[Part Name],$A1059,T_PlannedOrders[WeekIndex],95)&amp;" ("&amp;TEXT(SUMPRODUCT(MAX((T_PlannedOrders[Part Name]=$A1059)*(T_PlannedOrders[WeekIndex]=95)*(T_PlannedOrders[EffectiveQty]&gt;0)*T_PlannedOrders[Order_Month])),"m月")&amp;"発注)")</f>
        <v/>
      </c>
      <c r="CU1065">
        <f>IF(SUMIFS(T_PlannedOrders[EffectiveQty],T_PlannedOrders[Part Name],$A1059,T_PlannedOrders[WeekIndex],96)=0,"",SUMIFS(T_PlannedOrders[EffectiveQty],T_PlannedOrders[Part Name],$A1059,T_PlannedOrders[WeekIndex],96)&amp;" ("&amp;TEXT(SUMPRODUCT(MAX((T_PlannedOrders[Part Name]=$A1059)*(T_PlannedOrders[WeekIndex]=96)*(T_PlannedOrders[EffectiveQty]&gt;0)*T_PlannedOrders[Order_Month])),"m月")&amp;"発注)")</f>
        <v/>
      </c>
      <c r="CV1065">
        <f>IF(SUMIFS(T_PlannedOrders[EffectiveQty],T_PlannedOrders[Part Name],$A1059,T_PlannedOrders[WeekIndex],97)=0,"",SUMIFS(T_PlannedOrders[EffectiveQty],T_PlannedOrders[Part Name],$A1059,T_PlannedOrders[WeekIndex],97)&amp;" ("&amp;TEXT(SUMPRODUCT(MAX((T_PlannedOrders[Part Name]=$A1059)*(T_PlannedOrders[WeekIndex]=97)*(T_PlannedOrders[EffectiveQty]&gt;0)*T_PlannedOrders[Order_Month])),"m月")&amp;"発注)")</f>
        <v/>
      </c>
      <c r="CW1065">
        <f>IF(SUMIFS(T_PlannedOrders[EffectiveQty],T_PlannedOrders[Part Name],$A1059,T_PlannedOrders[WeekIndex],98)=0,"",SUMIFS(T_PlannedOrders[EffectiveQty],T_PlannedOrders[Part Name],$A1059,T_PlannedOrders[WeekIndex],98)&amp;" ("&amp;TEXT(SUMPRODUCT(MAX((T_PlannedOrders[Part Name]=$A1059)*(T_PlannedOrders[WeekIndex]=98)*(T_PlannedOrders[EffectiveQty]&gt;0)*T_PlannedOrders[Order_Month])),"m月")&amp;"発注)")</f>
        <v/>
      </c>
      <c r="CX1065">
        <f>IF(SUMIFS(T_PlannedOrders[EffectiveQty],T_PlannedOrders[Part Name],$A1059,T_PlannedOrders[WeekIndex],99)=0,"",SUMIFS(T_PlannedOrders[EffectiveQty],T_PlannedOrders[Part Name],$A1059,T_PlannedOrders[WeekIndex],99)&amp;" ("&amp;TEXT(SUMPRODUCT(MAX((T_PlannedOrders[Part Name]=$A1059)*(T_PlannedOrders[WeekIndex]=99)*(T_PlannedOrders[EffectiveQty]&gt;0)*T_PlannedOrders[Order_Month])),"m月")&amp;"発注)")</f>
        <v/>
      </c>
      <c r="CY1065">
        <f>IF(SUMIFS(T_PlannedOrders[EffectiveQty],T_PlannedOrders[Part Name],$A1059,T_PlannedOrders[WeekIndex],100)=0,"",SUMIFS(T_PlannedOrders[EffectiveQty],T_PlannedOrders[Part Name],$A1059,T_PlannedOrders[WeekIndex],100)&amp;" ("&amp;TEXT(SUMPRODUCT(MAX((T_PlannedOrders[Part Name]=$A1059)*(T_PlannedOrders[WeekIndex]=100)*(T_PlannedOrders[EffectiveQty]&gt;0)*T_PlannedOrders[Order_Month])),"m月")&amp;"発注)")</f>
        <v/>
      </c>
      <c r="CZ1065">
        <f>IF(SUMIFS(T_PlannedOrders[EffectiveQty],T_PlannedOrders[Part Name],$A1059,T_PlannedOrders[WeekIndex],101)=0,"",SUMIFS(T_PlannedOrders[EffectiveQty],T_PlannedOrders[Part Name],$A1059,T_PlannedOrders[WeekIndex],101)&amp;" ("&amp;TEXT(SUMPRODUCT(MAX((T_PlannedOrders[Part Name]=$A1059)*(T_PlannedOrders[WeekIndex]=101)*(T_PlannedOrders[EffectiveQty]&gt;0)*T_PlannedOrders[Order_Month])),"m月")&amp;"発注)")</f>
        <v/>
      </c>
      <c r="DA1065">
        <f>IF(SUMIFS(T_PlannedOrders[EffectiveQty],T_PlannedOrders[Part Name],$A1059,T_PlannedOrders[WeekIndex],102)=0,"",SUMIFS(T_PlannedOrders[EffectiveQty],T_PlannedOrders[Part Name],$A1059,T_PlannedOrders[WeekIndex],102)&amp;" ("&amp;TEXT(SUMPRODUCT(MAX((T_PlannedOrders[Part Name]=$A1059)*(T_PlannedOrders[WeekIndex]=102)*(T_PlannedOrders[EffectiveQty]&gt;0)*T_PlannedOrders[Order_Month])),"m月")&amp;"発注)")</f>
        <v/>
      </c>
      <c r="DB1065">
        <f>IF(SUMIFS(T_PlannedOrders[EffectiveQty],T_PlannedOrders[Part Name],$A1059,T_PlannedOrders[WeekIndex],103)=0,"",SUMIFS(T_PlannedOrders[EffectiveQty],T_PlannedOrders[Part Name],$A1059,T_PlannedOrders[WeekIndex],103)&amp;" ("&amp;TEXT(SUMPRODUCT(MAX((T_PlannedOrders[Part Name]=$A1059)*(T_PlannedOrders[WeekIndex]=103)*(T_PlannedOrders[EffectiveQty]&gt;0)*T_PlannedOrders[Order_Month])),"m月")&amp;"発注)")</f>
        <v/>
      </c>
      <c r="DC1065">
        <f>IF(SUMIFS(T_PlannedOrders[EffectiveQty],T_PlannedOrders[Part Name],$A1059,T_PlannedOrders[WeekIndex],104)=0,"",SUMIFS(T_PlannedOrders[EffectiveQty],T_PlannedOrders[Part Name],$A1059,T_PlannedOrders[WeekIndex],104)&amp;" ("&amp;TEXT(SUMPRODUCT(MAX((T_PlannedOrders[Part Name]=$A1059)*(T_PlannedOrders[WeekIndex]=104)*(T_PlannedOrders[EffectiveQty]&gt;0)*T_PlannedOrders[Order_Month])),"m月")&amp;"発注)")</f>
        <v/>
      </c>
    </row>
    <row r="1066">
      <c r="B1066" s="9" t="inlineStr">
        <is>
          <t>合計在庫(週末時点,kg)</t>
        </is>
      </c>
      <c r="D1066">
        <f>'Grid_Stock'!B38</f>
        <v/>
      </c>
      <c r="E1066">
        <f>'Grid_Stock'!C38</f>
        <v/>
      </c>
      <c r="F1066">
        <f>'Grid_Stock'!D38</f>
        <v/>
      </c>
      <c r="G1066">
        <f>'Grid_Stock'!E38</f>
        <v/>
      </c>
      <c r="H1066">
        <f>'Grid_Stock'!F38</f>
        <v/>
      </c>
      <c r="I1066">
        <f>'Grid_Stock'!G38</f>
        <v/>
      </c>
      <c r="J1066">
        <f>'Grid_Stock'!H38</f>
        <v/>
      </c>
      <c r="K1066">
        <f>'Grid_Stock'!I38</f>
        <v/>
      </c>
      <c r="L1066">
        <f>'Grid_Stock'!J38</f>
        <v/>
      </c>
      <c r="M1066">
        <f>'Grid_Stock'!K38</f>
        <v/>
      </c>
      <c r="N1066">
        <f>'Grid_Stock'!L38</f>
        <v/>
      </c>
      <c r="O1066">
        <f>'Grid_Stock'!M38</f>
        <v/>
      </c>
      <c r="P1066">
        <f>'Grid_Stock'!N38</f>
        <v/>
      </c>
      <c r="Q1066">
        <f>'Grid_Stock'!O38</f>
        <v/>
      </c>
      <c r="R1066">
        <f>'Grid_Stock'!P38</f>
        <v/>
      </c>
      <c r="S1066">
        <f>'Grid_Stock'!Q38</f>
        <v/>
      </c>
      <c r="T1066">
        <f>'Grid_Stock'!R38</f>
        <v/>
      </c>
      <c r="U1066">
        <f>'Grid_Stock'!S38</f>
        <v/>
      </c>
      <c r="V1066">
        <f>'Grid_Stock'!T38</f>
        <v/>
      </c>
      <c r="W1066">
        <f>'Grid_Stock'!U38</f>
        <v/>
      </c>
      <c r="X1066">
        <f>'Grid_Stock'!V38</f>
        <v/>
      </c>
      <c r="Y1066">
        <f>'Grid_Stock'!W38</f>
        <v/>
      </c>
      <c r="Z1066">
        <f>'Grid_Stock'!X38</f>
        <v/>
      </c>
      <c r="AA1066">
        <f>'Grid_Stock'!Y38</f>
        <v/>
      </c>
      <c r="AB1066">
        <f>'Grid_Stock'!Z38</f>
        <v/>
      </c>
      <c r="AC1066">
        <f>'Grid_Stock'!AA38</f>
        <v/>
      </c>
      <c r="AD1066">
        <f>'Grid_Stock'!AB38</f>
        <v/>
      </c>
      <c r="AE1066">
        <f>'Grid_Stock'!AC38</f>
        <v/>
      </c>
      <c r="AF1066">
        <f>'Grid_Stock'!AD38</f>
        <v/>
      </c>
      <c r="AG1066">
        <f>'Grid_Stock'!AE38</f>
        <v/>
      </c>
      <c r="AH1066">
        <f>'Grid_Stock'!AF38</f>
        <v/>
      </c>
      <c r="AI1066">
        <f>'Grid_Stock'!AG38</f>
        <v/>
      </c>
      <c r="AJ1066">
        <f>'Grid_Stock'!AH38</f>
        <v/>
      </c>
      <c r="AK1066">
        <f>'Grid_Stock'!AI38</f>
        <v/>
      </c>
      <c r="AL1066">
        <f>'Grid_Stock'!AJ38</f>
        <v/>
      </c>
      <c r="AM1066">
        <f>'Grid_Stock'!AK38</f>
        <v/>
      </c>
      <c r="AN1066">
        <f>'Grid_Stock'!AL38</f>
        <v/>
      </c>
      <c r="AO1066">
        <f>'Grid_Stock'!AM38</f>
        <v/>
      </c>
      <c r="AP1066">
        <f>'Grid_Stock'!AN38</f>
        <v/>
      </c>
      <c r="AQ1066">
        <f>'Grid_Stock'!AO38</f>
        <v/>
      </c>
      <c r="AR1066">
        <f>'Grid_Stock'!AP38</f>
        <v/>
      </c>
      <c r="AS1066">
        <f>'Grid_Stock'!AQ38</f>
        <v/>
      </c>
      <c r="AT1066">
        <f>'Grid_Stock'!AR38</f>
        <v/>
      </c>
      <c r="AU1066">
        <f>'Grid_Stock'!AS38</f>
        <v/>
      </c>
      <c r="AV1066">
        <f>'Grid_Stock'!AT38</f>
        <v/>
      </c>
      <c r="AW1066">
        <f>'Grid_Stock'!AU38</f>
        <v/>
      </c>
      <c r="AX1066">
        <f>'Grid_Stock'!AV38</f>
        <v/>
      </c>
      <c r="AY1066">
        <f>'Grid_Stock'!AW38</f>
        <v/>
      </c>
      <c r="AZ1066">
        <f>'Grid_Stock'!AX38</f>
        <v/>
      </c>
      <c r="BA1066">
        <f>'Grid_Stock'!AY38</f>
        <v/>
      </c>
      <c r="BB1066">
        <f>'Grid_Stock'!AZ38</f>
        <v/>
      </c>
      <c r="BC1066">
        <f>'Grid_Stock'!BA38</f>
        <v/>
      </c>
      <c r="BD1066">
        <f>'Grid_Stock'!BB38</f>
        <v/>
      </c>
      <c r="BE1066">
        <f>'Grid_Stock'!BC38</f>
        <v/>
      </c>
      <c r="BF1066">
        <f>'Grid_Stock'!BD38</f>
        <v/>
      </c>
      <c r="BG1066">
        <f>'Grid_Stock'!BE38</f>
        <v/>
      </c>
      <c r="BH1066">
        <f>'Grid_Stock'!BF38</f>
        <v/>
      </c>
      <c r="BI1066">
        <f>'Grid_Stock'!BG38</f>
        <v/>
      </c>
      <c r="BJ1066">
        <f>'Grid_Stock'!BH38</f>
        <v/>
      </c>
      <c r="BK1066">
        <f>'Grid_Stock'!BI38</f>
        <v/>
      </c>
      <c r="BL1066">
        <f>'Grid_Stock'!BJ38</f>
        <v/>
      </c>
      <c r="BM1066">
        <f>'Grid_Stock'!BK38</f>
        <v/>
      </c>
      <c r="BN1066">
        <f>'Grid_Stock'!BL38</f>
        <v/>
      </c>
      <c r="BO1066">
        <f>'Grid_Stock'!BM38</f>
        <v/>
      </c>
      <c r="BP1066">
        <f>'Grid_Stock'!BN38</f>
        <v/>
      </c>
      <c r="BQ1066">
        <f>'Grid_Stock'!BO38</f>
        <v/>
      </c>
      <c r="BR1066">
        <f>'Grid_Stock'!BP38</f>
        <v/>
      </c>
      <c r="BS1066">
        <f>'Grid_Stock'!BQ38</f>
        <v/>
      </c>
      <c r="BT1066">
        <f>'Grid_Stock'!BR38</f>
        <v/>
      </c>
      <c r="BU1066">
        <f>'Grid_Stock'!BS38</f>
        <v/>
      </c>
      <c r="BV1066">
        <f>'Grid_Stock'!BT38</f>
        <v/>
      </c>
      <c r="BW1066">
        <f>'Grid_Stock'!BU38</f>
        <v/>
      </c>
      <c r="BX1066">
        <f>'Grid_Stock'!BV38</f>
        <v/>
      </c>
      <c r="BY1066">
        <f>'Grid_Stock'!BW38</f>
        <v/>
      </c>
      <c r="BZ1066">
        <f>'Grid_Stock'!BX38</f>
        <v/>
      </c>
      <c r="CA1066">
        <f>'Grid_Stock'!BY38</f>
        <v/>
      </c>
      <c r="CB1066">
        <f>'Grid_Stock'!BZ38</f>
        <v/>
      </c>
      <c r="CC1066">
        <f>'Grid_Stock'!CA38</f>
        <v/>
      </c>
      <c r="CD1066">
        <f>'Grid_Stock'!CB38</f>
        <v/>
      </c>
      <c r="CE1066">
        <f>'Grid_Stock'!CC38</f>
        <v/>
      </c>
      <c r="CF1066">
        <f>'Grid_Stock'!CD38</f>
        <v/>
      </c>
      <c r="CG1066">
        <f>'Grid_Stock'!CE38</f>
        <v/>
      </c>
      <c r="CH1066">
        <f>'Grid_Stock'!CF38</f>
        <v/>
      </c>
      <c r="CI1066">
        <f>'Grid_Stock'!CG38</f>
        <v/>
      </c>
      <c r="CJ1066">
        <f>'Grid_Stock'!CH38</f>
        <v/>
      </c>
      <c r="CK1066">
        <f>'Grid_Stock'!CI38</f>
        <v/>
      </c>
      <c r="CL1066">
        <f>'Grid_Stock'!CJ38</f>
        <v/>
      </c>
      <c r="CM1066">
        <f>'Grid_Stock'!CK38</f>
        <v/>
      </c>
      <c r="CN1066">
        <f>'Grid_Stock'!CL38</f>
        <v/>
      </c>
      <c r="CO1066">
        <f>'Grid_Stock'!CM38</f>
        <v/>
      </c>
      <c r="CP1066">
        <f>'Grid_Stock'!CN38</f>
        <v/>
      </c>
      <c r="CQ1066">
        <f>'Grid_Stock'!CO38</f>
        <v/>
      </c>
      <c r="CR1066">
        <f>'Grid_Stock'!CP38</f>
        <v/>
      </c>
      <c r="CS1066">
        <f>'Grid_Stock'!CQ38</f>
        <v/>
      </c>
      <c r="CT1066">
        <f>'Grid_Stock'!CR38</f>
        <v/>
      </c>
      <c r="CU1066">
        <f>'Grid_Stock'!CS38</f>
        <v/>
      </c>
      <c r="CV1066">
        <f>'Grid_Stock'!CT38</f>
        <v/>
      </c>
      <c r="CW1066">
        <f>'Grid_Stock'!CU38</f>
        <v/>
      </c>
      <c r="CX1066">
        <f>'Grid_Stock'!CV38</f>
        <v/>
      </c>
      <c r="CY1066">
        <f>'Grid_Stock'!CW38</f>
        <v/>
      </c>
      <c r="CZ1066">
        <f>'Grid_Stock'!CX38</f>
        <v/>
      </c>
      <c r="DA1066">
        <f>'Grid_Stock'!CY38</f>
        <v/>
      </c>
      <c r="DB1066">
        <f>'Grid_Stock'!CZ38</f>
        <v/>
      </c>
      <c r="DC1066">
        <f>'Grid_Stock'!DA38</f>
        <v/>
      </c>
    </row>
    <row r="1067">
      <c r="B1067" s="21" t="inlineStr">
        <is>
          <t>（発注の目安はDashboardの基準在庫[下限/上限]と色分けを参照）</t>
        </is>
      </c>
    </row>
    <row r="1069">
      <c r="A1069" s="19" t="inlineStr">
        <is>
          <t>3TP</t>
        </is>
      </c>
      <c r="B1069" s="19" t="inlineStr">
        <is>
          <t>3TP</t>
        </is>
      </c>
      <c r="C1069" s="20" t="n"/>
      <c r="D1069" s="19" t="n"/>
      <c r="E1069" s="19" t="n"/>
      <c r="F1069" s="19" t="n"/>
      <c r="G1069" s="19" t="n"/>
      <c r="H1069" s="19" t="n"/>
      <c r="I1069" s="19" t="n"/>
      <c r="J1069" s="19" t="n"/>
      <c r="K1069" s="19" t="n"/>
      <c r="L1069" s="19" t="n"/>
      <c r="M1069" s="19" t="n"/>
      <c r="N1069" s="19" t="n"/>
      <c r="O1069" s="19" t="n"/>
      <c r="P1069" s="19" t="n"/>
      <c r="Q1069" s="19" t="n"/>
      <c r="R1069" s="19" t="n"/>
      <c r="S1069" s="19" t="n"/>
      <c r="T1069" s="19" t="n"/>
      <c r="U1069" s="19" t="n"/>
      <c r="V1069" s="19" t="n"/>
      <c r="W1069" s="19" t="n"/>
      <c r="X1069" s="19" t="n"/>
      <c r="Y1069" s="19" t="n"/>
      <c r="Z1069" s="19" t="n"/>
      <c r="AA1069" s="19" t="n"/>
      <c r="AB1069" s="19" t="n"/>
      <c r="AC1069" s="19" t="n"/>
      <c r="AD1069" s="19" t="n"/>
      <c r="AE1069" s="19" t="n"/>
      <c r="AF1069" s="19" t="n"/>
      <c r="AG1069" s="19" t="n"/>
      <c r="AH1069" s="19" t="n"/>
      <c r="AI1069" s="19" t="n"/>
      <c r="AJ1069" s="19" t="n"/>
      <c r="AK1069" s="19" t="n"/>
      <c r="AL1069" s="19" t="n"/>
      <c r="AM1069" s="19" t="n"/>
      <c r="AN1069" s="19" t="n"/>
      <c r="AO1069" s="19" t="n"/>
      <c r="AP1069" s="19" t="n"/>
      <c r="AQ1069" s="19" t="n"/>
      <c r="AR1069" s="19" t="n"/>
      <c r="AS1069" s="19" t="n"/>
      <c r="AT1069" s="19" t="n"/>
      <c r="AU1069" s="19" t="n"/>
      <c r="AV1069" s="19" t="n"/>
      <c r="AW1069" s="19" t="n"/>
      <c r="AX1069" s="19" t="n"/>
      <c r="AY1069" s="19" t="n"/>
      <c r="AZ1069" s="19" t="n"/>
      <c r="BA1069" s="19" t="n"/>
      <c r="BB1069" s="19" t="n"/>
      <c r="BC1069" s="19" t="n"/>
      <c r="BD1069" s="19" t="n"/>
      <c r="BE1069" s="19" t="n"/>
      <c r="BF1069" s="19" t="n"/>
      <c r="BG1069" s="19" t="n"/>
      <c r="BH1069" s="19" t="n"/>
      <c r="BI1069" s="19" t="n"/>
      <c r="BJ1069" s="19" t="n"/>
      <c r="BK1069" s="19" t="n"/>
      <c r="BL1069" s="19" t="n"/>
      <c r="BM1069" s="19" t="n"/>
      <c r="BN1069" s="19" t="n"/>
      <c r="BO1069" s="19" t="n"/>
      <c r="BP1069" s="19" t="n"/>
      <c r="BQ1069" s="19" t="n"/>
      <c r="BR1069" s="19" t="n"/>
      <c r="BS1069" s="19" t="n"/>
      <c r="BT1069" s="19" t="n"/>
      <c r="BU1069" s="19" t="n"/>
      <c r="BV1069" s="19" t="n"/>
      <c r="BW1069" s="19" t="n"/>
      <c r="BX1069" s="19" t="n"/>
      <c r="BY1069" s="19" t="n"/>
      <c r="BZ1069" s="19" t="n"/>
      <c r="CA1069" s="19" t="n"/>
      <c r="CB1069" s="19" t="n"/>
      <c r="CC1069" s="19" t="n"/>
      <c r="CD1069" s="19" t="n"/>
      <c r="CE1069" s="19" t="n"/>
      <c r="CF1069" s="19" t="n"/>
      <c r="CG1069" s="19" t="n"/>
      <c r="CH1069" s="19" t="n"/>
      <c r="CI1069" s="19" t="n"/>
      <c r="CJ1069" s="19" t="n"/>
      <c r="CK1069" s="19" t="n"/>
      <c r="CL1069" s="19" t="n"/>
      <c r="CM1069" s="19" t="n"/>
      <c r="CN1069" s="19" t="n"/>
      <c r="CO1069" s="19" t="n"/>
      <c r="CP1069" s="19" t="n"/>
      <c r="CQ1069" s="19" t="n"/>
      <c r="CR1069" s="19" t="n"/>
      <c r="CS1069" s="19" t="n"/>
      <c r="CT1069" s="19" t="n"/>
      <c r="CU1069" s="19" t="n"/>
      <c r="CV1069" s="19" t="n"/>
      <c r="CW1069" s="19" t="n"/>
      <c r="CX1069" s="19" t="n"/>
      <c r="CY1069" s="19" t="n"/>
      <c r="CZ1069" s="19" t="n"/>
      <c r="DA1069" s="19" t="n"/>
      <c r="DB1069" s="19" t="n"/>
      <c r="DC1069" s="19" t="n"/>
    </row>
    <row r="1070">
      <c r="B1070" t="inlineStr">
        <is>
          <t>F2290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12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s="9" t="inlineStr">
        <is>
          <t>合計使用量(kg)/週</t>
        </is>
      </c>
      <c r="D1072">
        <f>'Grid_Requirement'!B44</f>
        <v/>
      </c>
      <c r="E1072">
        <f>'Grid_Requirement'!C44</f>
        <v/>
      </c>
      <c r="F1072">
        <f>'Grid_Requirement'!D44</f>
        <v/>
      </c>
      <c r="G1072">
        <f>'Grid_Requirement'!E44</f>
        <v/>
      </c>
      <c r="H1072">
        <f>'Grid_Requirement'!F44</f>
        <v/>
      </c>
      <c r="I1072">
        <f>'Grid_Requirement'!G44</f>
        <v/>
      </c>
      <c r="J1072">
        <f>'Grid_Requirement'!H44</f>
        <v/>
      </c>
      <c r="K1072">
        <f>'Grid_Requirement'!I44</f>
        <v/>
      </c>
      <c r="L1072">
        <f>'Grid_Requirement'!J44</f>
        <v/>
      </c>
      <c r="M1072">
        <f>'Grid_Requirement'!K44</f>
        <v/>
      </c>
      <c r="N1072">
        <f>'Grid_Requirement'!L44</f>
        <v/>
      </c>
      <c r="O1072">
        <f>'Grid_Requirement'!M44</f>
        <v/>
      </c>
      <c r="P1072">
        <f>'Grid_Requirement'!N44</f>
        <v/>
      </c>
      <c r="Q1072">
        <f>'Grid_Requirement'!O44</f>
        <v/>
      </c>
      <c r="R1072">
        <f>'Grid_Requirement'!P44</f>
        <v/>
      </c>
      <c r="S1072">
        <f>'Grid_Requirement'!Q44</f>
        <v/>
      </c>
      <c r="T1072">
        <f>'Grid_Requirement'!R44</f>
        <v/>
      </c>
      <c r="U1072">
        <f>'Grid_Requirement'!S44</f>
        <v/>
      </c>
      <c r="V1072">
        <f>'Grid_Requirement'!T44</f>
        <v/>
      </c>
      <c r="W1072">
        <f>'Grid_Requirement'!U44</f>
        <v/>
      </c>
      <c r="X1072">
        <f>'Grid_Requirement'!V44</f>
        <v/>
      </c>
      <c r="Y1072">
        <f>'Grid_Requirement'!W44</f>
        <v/>
      </c>
      <c r="Z1072">
        <f>'Grid_Requirement'!X44</f>
        <v/>
      </c>
      <c r="AA1072">
        <f>'Grid_Requirement'!Y44</f>
        <v/>
      </c>
      <c r="AB1072">
        <f>'Grid_Requirement'!Z44</f>
        <v/>
      </c>
      <c r="AC1072">
        <f>'Grid_Requirement'!AA44</f>
        <v/>
      </c>
      <c r="AD1072">
        <f>'Grid_Requirement'!AB44</f>
        <v/>
      </c>
      <c r="AE1072">
        <f>'Grid_Requirement'!AC44</f>
        <v/>
      </c>
      <c r="AF1072">
        <f>'Grid_Requirement'!AD44</f>
        <v/>
      </c>
      <c r="AG1072">
        <f>'Grid_Requirement'!AE44</f>
        <v/>
      </c>
      <c r="AH1072">
        <f>'Grid_Requirement'!AF44</f>
        <v/>
      </c>
      <c r="AI1072">
        <f>'Grid_Requirement'!AG44</f>
        <v/>
      </c>
      <c r="AJ1072">
        <f>'Grid_Requirement'!AH44</f>
        <v/>
      </c>
      <c r="AK1072">
        <f>'Grid_Requirement'!AI44</f>
        <v/>
      </c>
      <c r="AL1072">
        <f>'Grid_Requirement'!AJ44</f>
        <v/>
      </c>
      <c r="AM1072">
        <f>'Grid_Requirement'!AK44</f>
        <v/>
      </c>
      <c r="AN1072">
        <f>'Grid_Requirement'!AL44</f>
        <v/>
      </c>
      <c r="AO1072">
        <f>'Grid_Requirement'!AM44</f>
        <v/>
      </c>
      <c r="AP1072">
        <f>'Grid_Requirement'!AN44</f>
        <v/>
      </c>
      <c r="AQ1072">
        <f>'Grid_Requirement'!AO44</f>
        <v/>
      </c>
      <c r="AR1072">
        <f>'Grid_Requirement'!AP44</f>
        <v/>
      </c>
      <c r="AS1072">
        <f>'Grid_Requirement'!AQ44</f>
        <v/>
      </c>
      <c r="AT1072">
        <f>'Grid_Requirement'!AR44</f>
        <v/>
      </c>
      <c r="AU1072">
        <f>'Grid_Requirement'!AS44</f>
        <v/>
      </c>
      <c r="AV1072">
        <f>'Grid_Requirement'!AT44</f>
        <v/>
      </c>
      <c r="AW1072">
        <f>'Grid_Requirement'!AU44</f>
        <v/>
      </c>
      <c r="AX1072">
        <f>'Grid_Requirement'!AV44</f>
        <v/>
      </c>
      <c r="AY1072">
        <f>'Grid_Requirement'!AW44</f>
        <v/>
      </c>
      <c r="AZ1072">
        <f>'Grid_Requirement'!AX44</f>
        <v/>
      </c>
      <c r="BA1072">
        <f>'Grid_Requirement'!AY44</f>
        <v/>
      </c>
      <c r="BB1072">
        <f>'Grid_Requirement'!AZ44</f>
        <v/>
      </c>
      <c r="BC1072">
        <f>'Grid_Requirement'!BA44</f>
        <v/>
      </c>
      <c r="BD1072">
        <f>'Grid_Requirement'!BB44</f>
        <v/>
      </c>
      <c r="BE1072">
        <f>'Grid_Requirement'!BC44</f>
        <v/>
      </c>
      <c r="BF1072">
        <f>'Grid_Requirement'!BD44</f>
        <v/>
      </c>
      <c r="BG1072">
        <f>'Grid_Requirement'!BE44</f>
        <v/>
      </c>
      <c r="BH1072">
        <f>'Grid_Requirement'!BF44</f>
        <v/>
      </c>
      <c r="BI1072">
        <f>'Grid_Requirement'!BG44</f>
        <v/>
      </c>
      <c r="BJ1072">
        <f>'Grid_Requirement'!BH44</f>
        <v/>
      </c>
      <c r="BK1072">
        <f>'Grid_Requirement'!BI44</f>
        <v/>
      </c>
      <c r="BL1072">
        <f>'Grid_Requirement'!BJ44</f>
        <v/>
      </c>
      <c r="BM1072">
        <f>'Grid_Requirement'!BK44</f>
        <v/>
      </c>
      <c r="BN1072">
        <f>'Grid_Requirement'!BL44</f>
        <v/>
      </c>
      <c r="BO1072">
        <f>'Grid_Requirement'!BM44</f>
        <v/>
      </c>
      <c r="BP1072">
        <f>'Grid_Requirement'!BN44</f>
        <v/>
      </c>
      <c r="BQ1072">
        <f>'Grid_Requirement'!BO44</f>
        <v/>
      </c>
      <c r="BR1072">
        <f>'Grid_Requirement'!BP44</f>
        <v/>
      </c>
      <c r="BS1072">
        <f>'Grid_Requirement'!BQ44</f>
        <v/>
      </c>
      <c r="BT1072">
        <f>'Grid_Requirement'!BR44</f>
        <v/>
      </c>
      <c r="BU1072">
        <f>'Grid_Requirement'!BS44</f>
        <v/>
      </c>
      <c r="BV1072">
        <f>'Grid_Requirement'!BT44</f>
        <v/>
      </c>
      <c r="BW1072">
        <f>'Grid_Requirement'!BU44</f>
        <v/>
      </c>
      <c r="BX1072">
        <f>'Grid_Requirement'!BV44</f>
        <v/>
      </c>
      <c r="BY1072">
        <f>'Grid_Requirement'!BW44</f>
        <v/>
      </c>
      <c r="BZ1072">
        <f>'Grid_Requirement'!BX44</f>
        <v/>
      </c>
      <c r="CA1072">
        <f>'Grid_Requirement'!BY44</f>
        <v/>
      </c>
      <c r="CB1072">
        <f>'Grid_Requirement'!BZ44</f>
        <v/>
      </c>
      <c r="CC1072">
        <f>'Grid_Requirement'!CA44</f>
        <v/>
      </c>
      <c r="CD1072">
        <f>'Grid_Requirement'!CB44</f>
        <v/>
      </c>
      <c r="CE1072">
        <f>'Grid_Requirement'!CC44</f>
        <v/>
      </c>
      <c r="CF1072">
        <f>'Grid_Requirement'!CD44</f>
        <v/>
      </c>
      <c r="CG1072">
        <f>'Grid_Requirement'!CE44</f>
        <v/>
      </c>
      <c r="CH1072">
        <f>'Grid_Requirement'!CF44</f>
        <v/>
      </c>
      <c r="CI1072">
        <f>'Grid_Requirement'!CG44</f>
        <v/>
      </c>
      <c r="CJ1072">
        <f>'Grid_Requirement'!CH44</f>
        <v/>
      </c>
      <c r="CK1072">
        <f>'Grid_Requirement'!CI44</f>
        <v/>
      </c>
      <c r="CL1072">
        <f>'Grid_Requirement'!CJ44</f>
        <v/>
      </c>
      <c r="CM1072">
        <f>'Grid_Requirement'!CK44</f>
        <v/>
      </c>
      <c r="CN1072">
        <f>'Grid_Requirement'!CL44</f>
        <v/>
      </c>
      <c r="CO1072">
        <f>'Grid_Requirement'!CM44</f>
        <v/>
      </c>
      <c r="CP1072">
        <f>'Grid_Requirement'!CN44</f>
        <v/>
      </c>
      <c r="CQ1072">
        <f>'Grid_Requirement'!CO44</f>
        <v/>
      </c>
      <c r="CR1072">
        <f>'Grid_Requirement'!CP44</f>
        <v/>
      </c>
      <c r="CS1072">
        <f>'Grid_Requirement'!CQ44</f>
        <v/>
      </c>
      <c r="CT1072">
        <f>'Grid_Requirement'!CR44</f>
        <v/>
      </c>
      <c r="CU1072">
        <f>'Grid_Requirement'!CS44</f>
        <v/>
      </c>
      <c r="CV1072">
        <f>'Grid_Requirement'!CT44</f>
        <v/>
      </c>
      <c r="CW1072">
        <f>'Grid_Requirement'!CU44</f>
        <v/>
      </c>
      <c r="CX1072">
        <f>'Grid_Requirement'!CV44</f>
        <v/>
      </c>
      <c r="CY1072">
        <f>'Grid_Requirement'!CW44</f>
        <v/>
      </c>
      <c r="CZ1072">
        <f>'Grid_Requirement'!CX44</f>
        <v/>
      </c>
      <c r="DA1072">
        <f>'Grid_Requirement'!CY44</f>
        <v/>
      </c>
      <c r="DB1072">
        <f>'Grid_Requirement'!CZ44</f>
        <v/>
      </c>
      <c r="DC1072">
        <f>'Grid_Requirement'!DA44</f>
        <v/>
      </c>
    </row>
    <row r="1073">
      <c r="B1073" t="inlineStr">
        <is>
          <t>TTAF在庫(実績,kg)</t>
        </is>
      </c>
      <c r="D1073">
        <f>'T_TTAFStock'!B48</f>
        <v/>
      </c>
      <c r="E1073">
        <f>'T_TTAFStock'!C48</f>
        <v/>
      </c>
      <c r="F1073">
        <f>'T_TTAFStock'!D48</f>
        <v/>
      </c>
      <c r="G1073">
        <f>'T_TTAFStock'!E48</f>
        <v/>
      </c>
      <c r="H1073">
        <f>'T_TTAFStock'!F48</f>
        <v/>
      </c>
      <c r="I1073">
        <f>'T_TTAFStock'!G48</f>
        <v/>
      </c>
      <c r="J1073">
        <f>'T_TTAFStock'!H48</f>
        <v/>
      </c>
      <c r="K1073">
        <f>'T_TTAFStock'!I48</f>
        <v/>
      </c>
      <c r="L1073">
        <f>'T_TTAFStock'!J48</f>
        <v/>
      </c>
      <c r="M1073">
        <f>'T_TTAFStock'!K48</f>
        <v/>
      </c>
      <c r="N1073">
        <f>'T_TTAFStock'!L48</f>
        <v/>
      </c>
      <c r="O1073">
        <f>'T_TTAFStock'!M48</f>
        <v/>
      </c>
      <c r="P1073">
        <f>'T_TTAFStock'!N48</f>
        <v/>
      </c>
      <c r="Q1073">
        <f>'T_TTAFStock'!O48</f>
        <v/>
      </c>
      <c r="R1073">
        <f>'T_TTAFStock'!P48</f>
        <v/>
      </c>
      <c r="S1073">
        <f>'T_TTAFStock'!Q48</f>
        <v/>
      </c>
      <c r="T1073">
        <f>'T_TTAFStock'!R48</f>
        <v/>
      </c>
      <c r="U1073">
        <f>'T_TTAFStock'!S48</f>
        <v/>
      </c>
      <c r="V1073">
        <f>'T_TTAFStock'!T48</f>
        <v/>
      </c>
      <c r="W1073">
        <f>'T_TTAFStock'!U48</f>
        <v/>
      </c>
      <c r="X1073">
        <f>'T_TTAFStock'!V48</f>
        <v/>
      </c>
      <c r="Y1073">
        <f>'T_TTAFStock'!W48</f>
        <v/>
      </c>
      <c r="Z1073">
        <f>'T_TTAFStock'!X48</f>
        <v/>
      </c>
      <c r="AA1073">
        <f>'T_TTAFStock'!Y48</f>
        <v/>
      </c>
      <c r="AB1073">
        <f>'T_TTAFStock'!Z48</f>
        <v/>
      </c>
      <c r="AC1073">
        <f>'T_TTAFStock'!AA48</f>
        <v/>
      </c>
      <c r="AD1073">
        <f>'T_TTAFStock'!AB48</f>
        <v/>
      </c>
      <c r="AE1073">
        <f>'T_TTAFStock'!AC48</f>
        <v/>
      </c>
      <c r="AF1073">
        <f>'T_TTAFStock'!AD48</f>
        <v/>
      </c>
      <c r="AG1073">
        <f>'T_TTAFStock'!AE48</f>
        <v/>
      </c>
      <c r="AH1073">
        <f>'T_TTAFStock'!AF48</f>
        <v/>
      </c>
      <c r="AI1073">
        <f>'T_TTAFStock'!AG48</f>
        <v/>
      </c>
      <c r="AJ1073">
        <f>'T_TTAFStock'!AH48</f>
        <v/>
      </c>
      <c r="AK1073">
        <f>'T_TTAFStock'!AI48</f>
        <v/>
      </c>
      <c r="AL1073">
        <f>'T_TTAFStock'!AJ48</f>
        <v/>
      </c>
      <c r="AM1073">
        <f>'T_TTAFStock'!AK48</f>
        <v/>
      </c>
      <c r="AN1073">
        <f>'T_TTAFStock'!AL48</f>
        <v/>
      </c>
      <c r="AO1073">
        <f>'T_TTAFStock'!AM48</f>
        <v/>
      </c>
      <c r="AP1073">
        <f>'T_TTAFStock'!AN48</f>
        <v/>
      </c>
      <c r="AQ1073">
        <f>'T_TTAFStock'!AO48</f>
        <v/>
      </c>
      <c r="AR1073">
        <f>'T_TTAFStock'!AP48</f>
        <v/>
      </c>
      <c r="AS1073">
        <f>'T_TTAFStock'!AQ48</f>
        <v/>
      </c>
      <c r="AT1073">
        <f>'T_TTAFStock'!AR48</f>
        <v/>
      </c>
      <c r="AU1073">
        <f>'T_TTAFStock'!AS48</f>
        <v/>
      </c>
      <c r="AV1073">
        <f>'T_TTAFStock'!AT48</f>
        <v/>
      </c>
      <c r="AW1073">
        <f>'T_TTAFStock'!AU48</f>
        <v/>
      </c>
      <c r="AX1073">
        <f>'T_TTAFStock'!AV48</f>
        <v/>
      </c>
      <c r="AY1073">
        <f>'T_TTAFStock'!AW48</f>
        <v/>
      </c>
      <c r="AZ1073">
        <f>'T_TTAFStock'!AX48</f>
        <v/>
      </c>
      <c r="BA1073">
        <f>'T_TTAFStock'!AY48</f>
        <v/>
      </c>
      <c r="BB1073">
        <f>'T_TTAFStock'!AZ48</f>
        <v/>
      </c>
      <c r="BC1073">
        <f>'T_TTAFStock'!BA48</f>
        <v/>
      </c>
      <c r="BD1073">
        <f>'T_TTAFStock'!BB48</f>
        <v/>
      </c>
      <c r="BE1073">
        <f>'T_TTAFStock'!BC48</f>
        <v/>
      </c>
      <c r="BF1073">
        <f>'T_TTAFStock'!BD48</f>
        <v/>
      </c>
      <c r="BG1073">
        <f>'T_TTAFStock'!BE48</f>
        <v/>
      </c>
      <c r="BH1073">
        <f>'T_TTAFStock'!BF48</f>
        <v/>
      </c>
      <c r="BI1073">
        <f>'T_TTAFStock'!BG48</f>
        <v/>
      </c>
      <c r="BJ1073">
        <f>'T_TTAFStock'!BH48</f>
        <v/>
      </c>
      <c r="BK1073">
        <f>'T_TTAFStock'!BI48</f>
        <v/>
      </c>
      <c r="BL1073">
        <f>'T_TTAFStock'!BJ48</f>
        <v/>
      </c>
      <c r="BM1073">
        <f>'T_TTAFStock'!BK48</f>
        <v/>
      </c>
      <c r="BN1073">
        <f>'T_TTAFStock'!BL48</f>
        <v/>
      </c>
      <c r="BO1073">
        <f>'T_TTAFStock'!BM48</f>
        <v/>
      </c>
      <c r="BP1073">
        <f>'T_TTAFStock'!BN48</f>
        <v/>
      </c>
      <c r="BQ1073">
        <f>'T_TTAFStock'!BO48</f>
        <v/>
      </c>
      <c r="BR1073">
        <f>'T_TTAFStock'!BP48</f>
        <v/>
      </c>
      <c r="BS1073">
        <f>'T_TTAFStock'!BQ48</f>
        <v/>
      </c>
      <c r="BT1073">
        <f>'T_TTAFStock'!BR48</f>
        <v/>
      </c>
      <c r="BU1073">
        <f>'T_TTAFStock'!BS48</f>
        <v/>
      </c>
      <c r="BV1073">
        <f>'T_TTAFStock'!BT48</f>
        <v/>
      </c>
      <c r="BW1073">
        <f>'T_TTAFStock'!BU48</f>
        <v/>
      </c>
      <c r="BX1073">
        <f>'T_TTAFStock'!BV48</f>
        <v/>
      </c>
      <c r="BY1073">
        <f>'T_TTAFStock'!BW48</f>
        <v/>
      </c>
      <c r="BZ1073">
        <f>'T_TTAFStock'!BX48</f>
        <v/>
      </c>
      <c r="CA1073">
        <f>'T_TTAFStock'!BY48</f>
        <v/>
      </c>
      <c r="CB1073">
        <f>'T_TTAFStock'!BZ48</f>
        <v/>
      </c>
      <c r="CC1073">
        <f>'T_TTAFStock'!CA48</f>
        <v/>
      </c>
      <c r="CD1073">
        <f>'T_TTAFStock'!CB48</f>
        <v/>
      </c>
      <c r="CE1073">
        <f>'T_TTAFStock'!CC48</f>
        <v/>
      </c>
      <c r="CF1073">
        <f>'T_TTAFStock'!CD48</f>
        <v/>
      </c>
      <c r="CG1073">
        <f>'T_TTAFStock'!CE48</f>
        <v/>
      </c>
      <c r="CH1073">
        <f>'T_TTAFStock'!CF48</f>
        <v/>
      </c>
      <c r="CI1073">
        <f>'T_TTAFStock'!CG48</f>
        <v/>
      </c>
      <c r="CJ1073">
        <f>'T_TTAFStock'!CH48</f>
        <v/>
      </c>
      <c r="CK1073">
        <f>'T_TTAFStock'!CI48</f>
        <v/>
      </c>
      <c r="CL1073">
        <f>'T_TTAFStock'!CJ48</f>
        <v/>
      </c>
      <c r="CM1073">
        <f>'T_TTAFStock'!CK48</f>
        <v/>
      </c>
      <c r="CN1073">
        <f>'T_TTAFStock'!CL48</f>
        <v/>
      </c>
      <c r="CO1073">
        <f>'T_TTAFStock'!CM48</f>
        <v/>
      </c>
      <c r="CP1073">
        <f>'T_TTAFStock'!CN48</f>
        <v/>
      </c>
      <c r="CQ1073">
        <f>'T_TTAFStock'!CO48</f>
        <v/>
      </c>
      <c r="CR1073">
        <f>'T_TTAFStock'!CP48</f>
        <v/>
      </c>
      <c r="CS1073">
        <f>'T_TTAFStock'!CQ48</f>
        <v/>
      </c>
      <c r="CT1073">
        <f>'T_TTAFStock'!CR48</f>
        <v/>
      </c>
      <c r="CU1073">
        <f>'T_TTAFStock'!CS48</f>
        <v/>
      </c>
      <c r="CV1073">
        <f>'T_TTAFStock'!CT48</f>
        <v/>
      </c>
      <c r="CW1073">
        <f>'T_TTAFStock'!CU48</f>
        <v/>
      </c>
      <c r="CX1073">
        <f>'T_TTAFStock'!CV48</f>
        <v/>
      </c>
      <c r="CY1073">
        <f>'T_TTAFStock'!CW48</f>
        <v/>
      </c>
      <c r="CZ1073">
        <f>'T_TTAFStock'!CX48</f>
        <v/>
      </c>
      <c r="DA1073">
        <f>'T_TTAFStock'!CY48</f>
        <v/>
      </c>
      <c r="DB1073">
        <f>'T_TTAFStock'!CZ48</f>
        <v/>
      </c>
      <c r="DC1073">
        <f>'T_TTAFStock'!DA48</f>
        <v/>
      </c>
    </row>
    <row r="1074">
      <c r="B1074" t="inlineStr">
        <is>
          <t>自社在庫(実績,kg)</t>
        </is>
      </c>
      <c r="D1074">
        <f>'T_SelfStock'!B48</f>
        <v/>
      </c>
      <c r="E1074">
        <f>'T_SelfStock'!C48</f>
        <v/>
      </c>
      <c r="F1074">
        <f>'T_SelfStock'!D48</f>
        <v/>
      </c>
      <c r="G1074">
        <f>'T_SelfStock'!E48</f>
        <v/>
      </c>
      <c r="H1074">
        <f>'T_SelfStock'!F48</f>
        <v/>
      </c>
      <c r="I1074">
        <f>'T_SelfStock'!G48</f>
        <v/>
      </c>
      <c r="J1074">
        <f>'T_SelfStock'!H48</f>
        <v/>
      </c>
      <c r="K1074">
        <f>'T_SelfStock'!I48</f>
        <v/>
      </c>
      <c r="L1074">
        <f>'T_SelfStock'!J48</f>
        <v/>
      </c>
      <c r="M1074">
        <f>'T_SelfStock'!K48</f>
        <v/>
      </c>
      <c r="N1074">
        <f>'T_SelfStock'!L48</f>
        <v/>
      </c>
      <c r="O1074">
        <f>'T_SelfStock'!M48</f>
        <v/>
      </c>
      <c r="P1074">
        <f>'T_SelfStock'!N48</f>
        <v/>
      </c>
      <c r="Q1074">
        <f>'T_SelfStock'!O48</f>
        <v/>
      </c>
      <c r="R1074">
        <f>'T_SelfStock'!P48</f>
        <v/>
      </c>
      <c r="S1074">
        <f>'T_SelfStock'!Q48</f>
        <v/>
      </c>
      <c r="T1074">
        <f>'T_SelfStock'!R48</f>
        <v/>
      </c>
      <c r="U1074">
        <f>'T_SelfStock'!S48</f>
        <v/>
      </c>
      <c r="V1074">
        <f>'T_SelfStock'!T48</f>
        <v/>
      </c>
      <c r="W1074">
        <f>'T_SelfStock'!U48</f>
        <v/>
      </c>
      <c r="X1074">
        <f>'T_SelfStock'!V48</f>
        <v/>
      </c>
      <c r="Y1074">
        <f>'T_SelfStock'!W48</f>
        <v/>
      </c>
      <c r="Z1074">
        <f>'T_SelfStock'!X48</f>
        <v/>
      </c>
      <c r="AA1074">
        <f>'T_SelfStock'!Y48</f>
        <v/>
      </c>
      <c r="AB1074">
        <f>'T_SelfStock'!Z48</f>
        <v/>
      </c>
      <c r="AC1074">
        <f>'T_SelfStock'!AA48</f>
        <v/>
      </c>
      <c r="AD1074">
        <f>'T_SelfStock'!AB48</f>
        <v/>
      </c>
      <c r="AE1074">
        <f>'T_SelfStock'!AC48</f>
        <v/>
      </c>
      <c r="AF1074">
        <f>'T_SelfStock'!AD48</f>
        <v/>
      </c>
      <c r="AG1074">
        <f>'T_SelfStock'!AE48</f>
        <v/>
      </c>
      <c r="AH1074">
        <f>'T_SelfStock'!AF48</f>
        <v/>
      </c>
      <c r="AI1074">
        <f>'T_SelfStock'!AG48</f>
        <v/>
      </c>
      <c r="AJ1074">
        <f>'T_SelfStock'!AH48</f>
        <v/>
      </c>
      <c r="AK1074">
        <f>'T_SelfStock'!AI48</f>
        <v/>
      </c>
      <c r="AL1074">
        <f>'T_SelfStock'!AJ48</f>
        <v/>
      </c>
      <c r="AM1074">
        <f>'T_SelfStock'!AK48</f>
        <v/>
      </c>
      <c r="AN1074">
        <f>'T_SelfStock'!AL48</f>
        <v/>
      </c>
      <c r="AO1074">
        <f>'T_SelfStock'!AM48</f>
        <v/>
      </c>
      <c r="AP1074">
        <f>'T_SelfStock'!AN48</f>
        <v/>
      </c>
      <c r="AQ1074">
        <f>'T_SelfStock'!AO48</f>
        <v/>
      </c>
      <c r="AR1074">
        <f>'T_SelfStock'!AP48</f>
        <v/>
      </c>
      <c r="AS1074">
        <f>'T_SelfStock'!AQ48</f>
        <v/>
      </c>
      <c r="AT1074">
        <f>'T_SelfStock'!AR48</f>
        <v/>
      </c>
      <c r="AU1074">
        <f>'T_SelfStock'!AS48</f>
        <v/>
      </c>
      <c r="AV1074">
        <f>'T_SelfStock'!AT48</f>
        <v/>
      </c>
      <c r="AW1074">
        <f>'T_SelfStock'!AU48</f>
        <v/>
      </c>
      <c r="AX1074">
        <f>'T_SelfStock'!AV48</f>
        <v/>
      </c>
      <c r="AY1074">
        <f>'T_SelfStock'!AW48</f>
        <v/>
      </c>
      <c r="AZ1074">
        <f>'T_SelfStock'!AX48</f>
        <v/>
      </c>
      <c r="BA1074">
        <f>'T_SelfStock'!AY48</f>
        <v/>
      </c>
      <c r="BB1074">
        <f>'T_SelfStock'!AZ48</f>
        <v/>
      </c>
      <c r="BC1074">
        <f>'T_SelfStock'!BA48</f>
        <v/>
      </c>
      <c r="BD1074">
        <f>'T_SelfStock'!BB48</f>
        <v/>
      </c>
      <c r="BE1074">
        <f>'T_SelfStock'!BC48</f>
        <v/>
      </c>
      <c r="BF1074">
        <f>'T_SelfStock'!BD48</f>
        <v/>
      </c>
      <c r="BG1074">
        <f>'T_SelfStock'!BE48</f>
        <v/>
      </c>
      <c r="BH1074">
        <f>'T_SelfStock'!BF48</f>
        <v/>
      </c>
      <c r="BI1074">
        <f>'T_SelfStock'!BG48</f>
        <v/>
      </c>
      <c r="BJ1074">
        <f>'T_SelfStock'!BH48</f>
        <v/>
      </c>
      <c r="BK1074">
        <f>'T_SelfStock'!BI48</f>
        <v/>
      </c>
      <c r="BL1074">
        <f>'T_SelfStock'!BJ48</f>
        <v/>
      </c>
      <c r="BM1074">
        <f>'T_SelfStock'!BK48</f>
        <v/>
      </c>
      <c r="BN1074">
        <f>'T_SelfStock'!BL48</f>
        <v/>
      </c>
      <c r="BO1074">
        <f>'T_SelfStock'!BM48</f>
        <v/>
      </c>
      <c r="BP1074">
        <f>'T_SelfStock'!BN48</f>
        <v/>
      </c>
      <c r="BQ1074">
        <f>'T_SelfStock'!BO48</f>
        <v/>
      </c>
      <c r="BR1074">
        <f>'T_SelfStock'!BP48</f>
        <v/>
      </c>
      <c r="BS1074">
        <f>'T_SelfStock'!BQ48</f>
        <v/>
      </c>
      <c r="BT1074">
        <f>'T_SelfStock'!BR48</f>
        <v/>
      </c>
      <c r="BU1074">
        <f>'T_SelfStock'!BS48</f>
        <v/>
      </c>
      <c r="BV1074">
        <f>'T_SelfStock'!BT48</f>
        <v/>
      </c>
      <c r="BW1074">
        <f>'T_SelfStock'!BU48</f>
        <v/>
      </c>
      <c r="BX1074">
        <f>'T_SelfStock'!BV48</f>
        <v/>
      </c>
      <c r="BY1074">
        <f>'T_SelfStock'!BW48</f>
        <v/>
      </c>
      <c r="BZ1074">
        <f>'T_SelfStock'!BX48</f>
        <v/>
      </c>
      <c r="CA1074">
        <f>'T_SelfStock'!BY48</f>
        <v/>
      </c>
      <c r="CB1074">
        <f>'T_SelfStock'!BZ48</f>
        <v/>
      </c>
      <c r="CC1074">
        <f>'T_SelfStock'!CA48</f>
        <v/>
      </c>
      <c r="CD1074">
        <f>'T_SelfStock'!CB48</f>
        <v/>
      </c>
      <c r="CE1074">
        <f>'T_SelfStock'!CC48</f>
        <v/>
      </c>
      <c r="CF1074">
        <f>'T_SelfStock'!CD48</f>
        <v/>
      </c>
      <c r="CG1074">
        <f>'T_SelfStock'!CE48</f>
        <v/>
      </c>
      <c r="CH1074">
        <f>'T_SelfStock'!CF48</f>
        <v/>
      </c>
      <c r="CI1074">
        <f>'T_SelfStock'!CG48</f>
        <v/>
      </c>
      <c r="CJ1074">
        <f>'T_SelfStock'!CH48</f>
        <v/>
      </c>
      <c r="CK1074">
        <f>'T_SelfStock'!CI48</f>
        <v/>
      </c>
      <c r="CL1074">
        <f>'T_SelfStock'!CJ48</f>
        <v/>
      </c>
      <c r="CM1074">
        <f>'T_SelfStock'!CK48</f>
        <v/>
      </c>
      <c r="CN1074">
        <f>'T_SelfStock'!CL48</f>
        <v/>
      </c>
      <c r="CO1074">
        <f>'T_SelfStock'!CM48</f>
        <v/>
      </c>
      <c r="CP1074">
        <f>'T_SelfStock'!CN48</f>
        <v/>
      </c>
      <c r="CQ1074">
        <f>'T_SelfStock'!CO48</f>
        <v/>
      </c>
      <c r="CR1074">
        <f>'T_SelfStock'!CP48</f>
        <v/>
      </c>
      <c r="CS1074">
        <f>'T_SelfStock'!CQ48</f>
        <v/>
      </c>
      <c r="CT1074">
        <f>'T_SelfStock'!CR48</f>
        <v/>
      </c>
      <c r="CU1074">
        <f>'T_SelfStock'!CS48</f>
        <v/>
      </c>
      <c r="CV1074">
        <f>'T_SelfStock'!CT48</f>
        <v/>
      </c>
      <c r="CW1074">
        <f>'T_SelfStock'!CU48</f>
        <v/>
      </c>
      <c r="CX1074">
        <f>'T_SelfStock'!CV48</f>
        <v/>
      </c>
      <c r="CY1074">
        <f>'T_SelfStock'!CW48</f>
        <v/>
      </c>
      <c r="CZ1074">
        <f>'T_SelfStock'!CX48</f>
        <v/>
      </c>
      <c r="DA1074">
        <f>'T_SelfStock'!CY48</f>
        <v/>
      </c>
      <c r="DB1074">
        <f>'T_SelfStock'!CZ48</f>
        <v/>
      </c>
      <c r="DC1074">
        <f>'T_SelfStock'!DA48</f>
        <v/>
      </c>
    </row>
    <row r="1075">
      <c r="B1075" t="inlineStr">
        <is>
          <t>Order(発注予定,kg)</t>
        </is>
      </c>
      <c r="D1075">
        <f>IF(SUMIFS(T_PlannedOrders[EffectiveQty],T_PlannedOrders[Part Name],$A1069,T_PlannedOrders[WeekIndex],1)=0,"",SUMIFS(T_PlannedOrders[EffectiveQty],T_PlannedOrders[Part Name],$A1069,T_PlannedOrders[WeekIndex],1)&amp;" ("&amp;TEXT(SUMPRODUCT(MAX((T_PlannedOrders[Part Name]=$A1069)*(T_PlannedOrders[WeekIndex]=1)*(T_PlannedOrders[EffectiveQty]&gt;0)*T_PlannedOrders[Order_Month])),"m月")&amp;"発注)")</f>
        <v/>
      </c>
      <c r="E1075">
        <f>IF(SUMIFS(T_PlannedOrders[EffectiveQty],T_PlannedOrders[Part Name],$A1069,T_PlannedOrders[WeekIndex],2)=0,"",SUMIFS(T_PlannedOrders[EffectiveQty],T_PlannedOrders[Part Name],$A1069,T_PlannedOrders[WeekIndex],2)&amp;" ("&amp;TEXT(SUMPRODUCT(MAX((T_PlannedOrders[Part Name]=$A1069)*(T_PlannedOrders[WeekIndex]=2)*(T_PlannedOrders[EffectiveQty]&gt;0)*T_PlannedOrders[Order_Month])),"m月")&amp;"発注)")</f>
        <v/>
      </c>
      <c r="F1075">
        <f>IF(SUMIFS(T_PlannedOrders[EffectiveQty],T_PlannedOrders[Part Name],$A1069,T_PlannedOrders[WeekIndex],3)=0,"",SUMIFS(T_PlannedOrders[EffectiveQty],T_PlannedOrders[Part Name],$A1069,T_PlannedOrders[WeekIndex],3)&amp;" ("&amp;TEXT(SUMPRODUCT(MAX((T_PlannedOrders[Part Name]=$A1069)*(T_PlannedOrders[WeekIndex]=3)*(T_PlannedOrders[EffectiveQty]&gt;0)*T_PlannedOrders[Order_Month])),"m月")&amp;"発注)")</f>
        <v/>
      </c>
      <c r="G1075">
        <f>IF(SUMIFS(T_PlannedOrders[EffectiveQty],T_PlannedOrders[Part Name],$A1069,T_PlannedOrders[WeekIndex],4)=0,"",SUMIFS(T_PlannedOrders[EffectiveQty],T_PlannedOrders[Part Name],$A1069,T_PlannedOrders[WeekIndex],4)&amp;" ("&amp;TEXT(SUMPRODUCT(MAX((T_PlannedOrders[Part Name]=$A1069)*(T_PlannedOrders[WeekIndex]=4)*(T_PlannedOrders[EffectiveQty]&gt;0)*T_PlannedOrders[Order_Month])),"m月")&amp;"発注)")</f>
        <v/>
      </c>
      <c r="H1075">
        <f>IF(SUMIFS(T_PlannedOrders[EffectiveQty],T_PlannedOrders[Part Name],$A1069,T_PlannedOrders[WeekIndex],5)=0,"",SUMIFS(T_PlannedOrders[EffectiveQty],T_PlannedOrders[Part Name],$A1069,T_PlannedOrders[WeekIndex],5)&amp;" ("&amp;TEXT(SUMPRODUCT(MAX((T_PlannedOrders[Part Name]=$A1069)*(T_PlannedOrders[WeekIndex]=5)*(T_PlannedOrders[EffectiveQty]&gt;0)*T_PlannedOrders[Order_Month])),"m月")&amp;"発注)")</f>
        <v/>
      </c>
      <c r="I1075">
        <f>IF(SUMIFS(T_PlannedOrders[EffectiveQty],T_PlannedOrders[Part Name],$A1069,T_PlannedOrders[WeekIndex],6)=0,"",SUMIFS(T_PlannedOrders[EffectiveQty],T_PlannedOrders[Part Name],$A1069,T_PlannedOrders[WeekIndex],6)&amp;" ("&amp;TEXT(SUMPRODUCT(MAX((T_PlannedOrders[Part Name]=$A1069)*(T_PlannedOrders[WeekIndex]=6)*(T_PlannedOrders[EffectiveQty]&gt;0)*T_PlannedOrders[Order_Month])),"m月")&amp;"発注)")</f>
        <v/>
      </c>
      <c r="J1075">
        <f>IF(SUMIFS(T_PlannedOrders[EffectiveQty],T_PlannedOrders[Part Name],$A1069,T_PlannedOrders[WeekIndex],7)=0,"",SUMIFS(T_PlannedOrders[EffectiveQty],T_PlannedOrders[Part Name],$A1069,T_PlannedOrders[WeekIndex],7)&amp;" ("&amp;TEXT(SUMPRODUCT(MAX((T_PlannedOrders[Part Name]=$A1069)*(T_PlannedOrders[WeekIndex]=7)*(T_PlannedOrders[EffectiveQty]&gt;0)*T_PlannedOrders[Order_Month])),"m月")&amp;"発注)")</f>
        <v/>
      </c>
      <c r="K1075">
        <f>IF(SUMIFS(T_PlannedOrders[EffectiveQty],T_PlannedOrders[Part Name],$A1069,T_PlannedOrders[WeekIndex],8)=0,"",SUMIFS(T_PlannedOrders[EffectiveQty],T_PlannedOrders[Part Name],$A1069,T_PlannedOrders[WeekIndex],8)&amp;" ("&amp;TEXT(SUMPRODUCT(MAX((T_PlannedOrders[Part Name]=$A1069)*(T_PlannedOrders[WeekIndex]=8)*(T_PlannedOrders[EffectiveQty]&gt;0)*T_PlannedOrders[Order_Month])),"m月")&amp;"発注)")</f>
        <v/>
      </c>
      <c r="L1075">
        <f>IF(SUMIFS(T_PlannedOrders[EffectiveQty],T_PlannedOrders[Part Name],$A1069,T_PlannedOrders[WeekIndex],9)=0,"",SUMIFS(T_PlannedOrders[EffectiveQty],T_PlannedOrders[Part Name],$A1069,T_PlannedOrders[WeekIndex],9)&amp;" ("&amp;TEXT(SUMPRODUCT(MAX((T_PlannedOrders[Part Name]=$A1069)*(T_PlannedOrders[WeekIndex]=9)*(T_PlannedOrders[EffectiveQty]&gt;0)*T_PlannedOrders[Order_Month])),"m月")&amp;"発注)")</f>
        <v/>
      </c>
      <c r="M1075">
        <f>IF(SUMIFS(T_PlannedOrders[EffectiveQty],T_PlannedOrders[Part Name],$A1069,T_PlannedOrders[WeekIndex],10)=0,"",SUMIFS(T_PlannedOrders[EffectiveQty],T_PlannedOrders[Part Name],$A1069,T_PlannedOrders[WeekIndex],10)&amp;" ("&amp;TEXT(SUMPRODUCT(MAX((T_PlannedOrders[Part Name]=$A1069)*(T_PlannedOrders[WeekIndex]=10)*(T_PlannedOrders[EffectiveQty]&gt;0)*T_PlannedOrders[Order_Month])),"m月")&amp;"発注)")</f>
        <v/>
      </c>
      <c r="N1075">
        <f>IF(SUMIFS(T_PlannedOrders[EffectiveQty],T_PlannedOrders[Part Name],$A1069,T_PlannedOrders[WeekIndex],11)=0,"",SUMIFS(T_PlannedOrders[EffectiveQty],T_PlannedOrders[Part Name],$A1069,T_PlannedOrders[WeekIndex],11)&amp;" ("&amp;TEXT(SUMPRODUCT(MAX((T_PlannedOrders[Part Name]=$A1069)*(T_PlannedOrders[WeekIndex]=11)*(T_PlannedOrders[EffectiveQty]&gt;0)*T_PlannedOrders[Order_Month])),"m月")&amp;"発注)")</f>
        <v/>
      </c>
      <c r="O1075">
        <f>IF(SUMIFS(T_PlannedOrders[EffectiveQty],T_PlannedOrders[Part Name],$A1069,T_PlannedOrders[WeekIndex],12)=0,"",SUMIFS(T_PlannedOrders[EffectiveQty],T_PlannedOrders[Part Name],$A1069,T_PlannedOrders[WeekIndex],12)&amp;" ("&amp;TEXT(SUMPRODUCT(MAX((T_PlannedOrders[Part Name]=$A1069)*(T_PlannedOrders[WeekIndex]=12)*(T_PlannedOrders[EffectiveQty]&gt;0)*T_PlannedOrders[Order_Month])),"m月")&amp;"発注)")</f>
        <v/>
      </c>
      <c r="P1075">
        <f>IF(SUMIFS(T_PlannedOrders[EffectiveQty],T_PlannedOrders[Part Name],$A1069,T_PlannedOrders[WeekIndex],13)=0,"",SUMIFS(T_PlannedOrders[EffectiveQty],T_PlannedOrders[Part Name],$A1069,T_PlannedOrders[WeekIndex],13)&amp;" ("&amp;TEXT(SUMPRODUCT(MAX((T_PlannedOrders[Part Name]=$A1069)*(T_PlannedOrders[WeekIndex]=13)*(T_PlannedOrders[EffectiveQty]&gt;0)*T_PlannedOrders[Order_Month])),"m月")&amp;"発注)")</f>
        <v/>
      </c>
      <c r="Q1075">
        <f>IF(SUMIFS(T_PlannedOrders[EffectiveQty],T_PlannedOrders[Part Name],$A1069,T_PlannedOrders[WeekIndex],14)=0,"",SUMIFS(T_PlannedOrders[EffectiveQty],T_PlannedOrders[Part Name],$A1069,T_PlannedOrders[WeekIndex],14)&amp;" ("&amp;TEXT(SUMPRODUCT(MAX((T_PlannedOrders[Part Name]=$A1069)*(T_PlannedOrders[WeekIndex]=14)*(T_PlannedOrders[EffectiveQty]&gt;0)*T_PlannedOrders[Order_Month])),"m月")&amp;"発注)")</f>
        <v/>
      </c>
      <c r="R1075">
        <f>IF(SUMIFS(T_PlannedOrders[EffectiveQty],T_PlannedOrders[Part Name],$A1069,T_PlannedOrders[WeekIndex],15)=0,"",SUMIFS(T_PlannedOrders[EffectiveQty],T_PlannedOrders[Part Name],$A1069,T_PlannedOrders[WeekIndex],15)&amp;" ("&amp;TEXT(SUMPRODUCT(MAX((T_PlannedOrders[Part Name]=$A1069)*(T_PlannedOrders[WeekIndex]=15)*(T_PlannedOrders[EffectiveQty]&gt;0)*T_PlannedOrders[Order_Month])),"m月")&amp;"発注)")</f>
        <v/>
      </c>
      <c r="S1075">
        <f>IF(SUMIFS(T_PlannedOrders[EffectiveQty],T_PlannedOrders[Part Name],$A1069,T_PlannedOrders[WeekIndex],16)=0,"",SUMIFS(T_PlannedOrders[EffectiveQty],T_PlannedOrders[Part Name],$A1069,T_PlannedOrders[WeekIndex],16)&amp;" ("&amp;TEXT(SUMPRODUCT(MAX((T_PlannedOrders[Part Name]=$A1069)*(T_PlannedOrders[WeekIndex]=16)*(T_PlannedOrders[EffectiveQty]&gt;0)*T_PlannedOrders[Order_Month])),"m月")&amp;"発注)")</f>
        <v/>
      </c>
      <c r="T1075">
        <f>IF(SUMIFS(T_PlannedOrders[EffectiveQty],T_PlannedOrders[Part Name],$A1069,T_PlannedOrders[WeekIndex],17)=0,"",SUMIFS(T_PlannedOrders[EffectiveQty],T_PlannedOrders[Part Name],$A1069,T_PlannedOrders[WeekIndex],17)&amp;" ("&amp;TEXT(SUMPRODUCT(MAX((T_PlannedOrders[Part Name]=$A1069)*(T_PlannedOrders[WeekIndex]=17)*(T_PlannedOrders[EffectiveQty]&gt;0)*T_PlannedOrders[Order_Month])),"m月")&amp;"発注)")</f>
        <v/>
      </c>
      <c r="U1075">
        <f>IF(SUMIFS(T_PlannedOrders[EffectiveQty],T_PlannedOrders[Part Name],$A1069,T_PlannedOrders[WeekIndex],18)=0,"",SUMIFS(T_PlannedOrders[EffectiveQty],T_PlannedOrders[Part Name],$A1069,T_PlannedOrders[WeekIndex],18)&amp;" ("&amp;TEXT(SUMPRODUCT(MAX((T_PlannedOrders[Part Name]=$A1069)*(T_PlannedOrders[WeekIndex]=18)*(T_PlannedOrders[EffectiveQty]&gt;0)*T_PlannedOrders[Order_Month])),"m月")&amp;"発注)")</f>
        <v/>
      </c>
      <c r="V1075">
        <f>IF(SUMIFS(T_PlannedOrders[EffectiveQty],T_PlannedOrders[Part Name],$A1069,T_PlannedOrders[WeekIndex],19)=0,"",SUMIFS(T_PlannedOrders[EffectiveQty],T_PlannedOrders[Part Name],$A1069,T_PlannedOrders[WeekIndex],19)&amp;" ("&amp;TEXT(SUMPRODUCT(MAX((T_PlannedOrders[Part Name]=$A1069)*(T_PlannedOrders[WeekIndex]=19)*(T_PlannedOrders[EffectiveQty]&gt;0)*T_PlannedOrders[Order_Month])),"m月")&amp;"発注)")</f>
        <v/>
      </c>
      <c r="W1075">
        <f>IF(SUMIFS(T_PlannedOrders[EffectiveQty],T_PlannedOrders[Part Name],$A1069,T_PlannedOrders[WeekIndex],20)=0,"",SUMIFS(T_PlannedOrders[EffectiveQty],T_PlannedOrders[Part Name],$A1069,T_PlannedOrders[WeekIndex],20)&amp;" ("&amp;TEXT(SUMPRODUCT(MAX((T_PlannedOrders[Part Name]=$A1069)*(T_PlannedOrders[WeekIndex]=20)*(T_PlannedOrders[EffectiveQty]&gt;0)*T_PlannedOrders[Order_Month])),"m月")&amp;"発注)")</f>
        <v/>
      </c>
      <c r="X1075">
        <f>IF(SUMIFS(T_PlannedOrders[EffectiveQty],T_PlannedOrders[Part Name],$A1069,T_PlannedOrders[WeekIndex],21)=0,"",SUMIFS(T_PlannedOrders[EffectiveQty],T_PlannedOrders[Part Name],$A1069,T_PlannedOrders[WeekIndex],21)&amp;" ("&amp;TEXT(SUMPRODUCT(MAX((T_PlannedOrders[Part Name]=$A1069)*(T_PlannedOrders[WeekIndex]=21)*(T_PlannedOrders[EffectiveQty]&gt;0)*T_PlannedOrders[Order_Month])),"m月")&amp;"発注)")</f>
        <v/>
      </c>
      <c r="Y1075">
        <f>IF(SUMIFS(T_PlannedOrders[EffectiveQty],T_PlannedOrders[Part Name],$A1069,T_PlannedOrders[WeekIndex],22)=0,"",SUMIFS(T_PlannedOrders[EffectiveQty],T_PlannedOrders[Part Name],$A1069,T_PlannedOrders[WeekIndex],22)&amp;" ("&amp;TEXT(SUMPRODUCT(MAX((T_PlannedOrders[Part Name]=$A1069)*(T_PlannedOrders[WeekIndex]=22)*(T_PlannedOrders[EffectiveQty]&gt;0)*T_PlannedOrders[Order_Month])),"m月")&amp;"発注)")</f>
        <v/>
      </c>
      <c r="Z1075">
        <f>IF(SUMIFS(T_PlannedOrders[EffectiveQty],T_PlannedOrders[Part Name],$A1069,T_PlannedOrders[WeekIndex],23)=0,"",SUMIFS(T_PlannedOrders[EffectiveQty],T_PlannedOrders[Part Name],$A1069,T_PlannedOrders[WeekIndex],23)&amp;" ("&amp;TEXT(SUMPRODUCT(MAX((T_PlannedOrders[Part Name]=$A1069)*(T_PlannedOrders[WeekIndex]=23)*(T_PlannedOrders[EffectiveQty]&gt;0)*T_PlannedOrders[Order_Month])),"m月")&amp;"発注)")</f>
        <v/>
      </c>
      <c r="AA1075">
        <f>IF(SUMIFS(T_PlannedOrders[EffectiveQty],T_PlannedOrders[Part Name],$A1069,T_PlannedOrders[WeekIndex],24)=0,"",SUMIFS(T_PlannedOrders[EffectiveQty],T_PlannedOrders[Part Name],$A1069,T_PlannedOrders[WeekIndex],24)&amp;" ("&amp;TEXT(SUMPRODUCT(MAX((T_PlannedOrders[Part Name]=$A1069)*(T_PlannedOrders[WeekIndex]=24)*(T_PlannedOrders[EffectiveQty]&gt;0)*T_PlannedOrders[Order_Month])),"m月")&amp;"発注)")</f>
        <v/>
      </c>
      <c r="AB1075">
        <f>IF(SUMIFS(T_PlannedOrders[EffectiveQty],T_PlannedOrders[Part Name],$A1069,T_PlannedOrders[WeekIndex],25)=0,"",SUMIFS(T_PlannedOrders[EffectiveQty],T_PlannedOrders[Part Name],$A1069,T_PlannedOrders[WeekIndex],25)&amp;" ("&amp;TEXT(SUMPRODUCT(MAX((T_PlannedOrders[Part Name]=$A1069)*(T_PlannedOrders[WeekIndex]=25)*(T_PlannedOrders[EffectiveQty]&gt;0)*T_PlannedOrders[Order_Month])),"m月")&amp;"発注)")</f>
        <v/>
      </c>
      <c r="AC1075">
        <f>IF(SUMIFS(T_PlannedOrders[EffectiveQty],T_PlannedOrders[Part Name],$A1069,T_PlannedOrders[WeekIndex],26)=0,"",SUMIFS(T_PlannedOrders[EffectiveQty],T_PlannedOrders[Part Name],$A1069,T_PlannedOrders[WeekIndex],26)&amp;" ("&amp;TEXT(SUMPRODUCT(MAX((T_PlannedOrders[Part Name]=$A1069)*(T_PlannedOrders[WeekIndex]=26)*(T_PlannedOrders[EffectiveQty]&gt;0)*T_PlannedOrders[Order_Month])),"m月")&amp;"発注)")</f>
        <v/>
      </c>
      <c r="AD1075">
        <f>IF(SUMIFS(T_PlannedOrders[EffectiveQty],T_PlannedOrders[Part Name],$A1069,T_PlannedOrders[WeekIndex],27)=0,"",SUMIFS(T_PlannedOrders[EffectiveQty],T_PlannedOrders[Part Name],$A1069,T_PlannedOrders[WeekIndex],27)&amp;" ("&amp;TEXT(SUMPRODUCT(MAX((T_PlannedOrders[Part Name]=$A1069)*(T_PlannedOrders[WeekIndex]=27)*(T_PlannedOrders[EffectiveQty]&gt;0)*T_PlannedOrders[Order_Month])),"m月")&amp;"発注)")</f>
        <v/>
      </c>
      <c r="AE1075">
        <f>IF(SUMIFS(T_PlannedOrders[EffectiveQty],T_PlannedOrders[Part Name],$A1069,T_PlannedOrders[WeekIndex],28)=0,"",SUMIFS(T_PlannedOrders[EffectiveQty],T_PlannedOrders[Part Name],$A1069,T_PlannedOrders[WeekIndex],28)&amp;" ("&amp;TEXT(SUMPRODUCT(MAX((T_PlannedOrders[Part Name]=$A1069)*(T_PlannedOrders[WeekIndex]=28)*(T_PlannedOrders[EffectiveQty]&gt;0)*T_PlannedOrders[Order_Month])),"m月")&amp;"発注)")</f>
        <v/>
      </c>
      <c r="AF1075">
        <f>IF(SUMIFS(T_PlannedOrders[EffectiveQty],T_PlannedOrders[Part Name],$A1069,T_PlannedOrders[WeekIndex],29)=0,"",SUMIFS(T_PlannedOrders[EffectiveQty],T_PlannedOrders[Part Name],$A1069,T_PlannedOrders[WeekIndex],29)&amp;" ("&amp;TEXT(SUMPRODUCT(MAX((T_PlannedOrders[Part Name]=$A1069)*(T_PlannedOrders[WeekIndex]=29)*(T_PlannedOrders[EffectiveQty]&gt;0)*T_PlannedOrders[Order_Month])),"m月")&amp;"発注)")</f>
        <v/>
      </c>
      <c r="AG1075">
        <f>IF(SUMIFS(T_PlannedOrders[EffectiveQty],T_PlannedOrders[Part Name],$A1069,T_PlannedOrders[WeekIndex],30)=0,"",SUMIFS(T_PlannedOrders[EffectiveQty],T_PlannedOrders[Part Name],$A1069,T_PlannedOrders[WeekIndex],30)&amp;" ("&amp;TEXT(SUMPRODUCT(MAX((T_PlannedOrders[Part Name]=$A1069)*(T_PlannedOrders[WeekIndex]=30)*(T_PlannedOrders[EffectiveQty]&gt;0)*T_PlannedOrders[Order_Month])),"m月")&amp;"発注)")</f>
        <v/>
      </c>
      <c r="AH1075">
        <f>IF(SUMIFS(T_PlannedOrders[EffectiveQty],T_PlannedOrders[Part Name],$A1069,T_PlannedOrders[WeekIndex],31)=0,"",SUMIFS(T_PlannedOrders[EffectiveQty],T_PlannedOrders[Part Name],$A1069,T_PlannedOrders[WeekIndex],31)&amp;" ("&amp;TEXT(SUMPRODUCT(MAX((T_PlannedOrders[Part Name]=$A1069)*(T_PlannedOrders[WeekIndex]=31)*(T_PlannedOrders[EffectiveQty]&gt;0)*T_PlannedOrders[Order_Month])),"m月")&amp;"発注)")</f>
        <v/>
      </c>
      <c r="AI1075">
        <f>IF(SUMIFS(T_PlannedOrders[EffectiveQty],T_PlannedOrders[Part Name],$A1069,T_PlannedOrders[WeekIndex],32)=0,"",SUMIFS(T_PlannedOrders[EffectiveQty],T_PlannedOrders[Part Name],$A1069,T_PlannedOrders[WeekIndex],32)&amp;" ("&amp;TEXT(SUMPRODUCT(MAX((T_PlannedOrders[Part Name]=$A1069)*(T_PlannedOrders[WeekIndex]=32)*(T_PlannedOrders[EffectiveQty]&gt;0)*T_PlannedOrders[Order_Month])),"m月")&amp;"発注)")</f>
        <v/>
      </c>
      <c r="AJ1075">
        <f>IF(SUMIFS(T_PlannedOrders[EffectiveQty],T_PlannedOrders[Part Name],$A1069,T_PlannedOrders[WeekIndex],33)=0,"",SUMIFS(T_PlannedOrders[EffectiveQty],T_PlannedOrders[Part Name],$A1069,T_PlannedOrders[WeekIndex],33)&amp;" ("&amp;TEXT(SUMPRODUCT(MAX((T_PlannedOrders[Part Name]=$A1069)*(T_PlannedOrders[WeekIndex]=33)*(T_PlannedOrders[EffectiveQty]&gt;0)*T_PlannedOrders[Order_Month])),"m月")&amp;"発注)")</f>
        <v/>
      </c>
      <c r="AK1075">
        <f>IF(SUMIFS(T_PlannedOrders[EffectiveQty],T_PlannedOrders[Part Name],$A1069,T_PlannedOrders[WeekIndex],34)=0,"",SUMIFS(T_PlannedOrders[EffectiveQty],T_PlannedOrders[Part Name],$A1069,T_PlannedOrders[WeekIndex],34)&amp;" ("&amp;TEXT(SUMPRODUCT(MAX((T_PlannedOrders[Part Name]=$A1069)*(T_PlannedOrders[WeekIndex]=34)*(T_PlannedOrders[EffectiveQty]&gt;0)*T_PlannedOrders[Order_Month])),"m月")&amp;"発注)")</f>
        <v/>
      </c>
      <c r="AL1075">
        <f>IF(SUMIFS(T_PlannedOrders[EffectiveQty],T_PlannedOrders[Part Name],$A1069,T_PlannedOrders[WeekIndex],35)=0,"",SUMIFS(T_PlannedOrders[EffectiveQty],T_PlannedOrders[Part Name],$A1069,T_PlannedOrders[WeekIndex],35)&amp;" ("&amp;TEXT(SUMPRODUCT(MAX((T_PlannedOrders[Part Name]=$A1069)*(T_PlannedOrders[WeekIndex]=35)*(T_PlannedOrders[EffectiveQty]&gt;0)*T_PlannedOrders[Order_Month])),"m月")&amp;"発注)")</f>
        <v/>
      </c>
      <c r="AM1075">
        <f>IF(SUMIFS(T_PlannedOrders[EffectiveQty],T_PlannedOrders[Part Name],$A1069,T_PlannedOrders[WeekIndex],36)=0,"",SUMIFS(T_PlannedOrders[EffectiveQty],T_PlannedOrders[Part Name],$A1069,T_PlannedOrders[WeekIndex],36)&amp;" ("&amp;TEXT(SUMPRODUCT(MAX((T_PlannedOrders[Part Name]=$A1069)*(T_PlannedOrders[WeekIndex]=36)*(T_PlannedOrders[EffectiveQty]&gt;0)*T_PlannedOrders[Order_Month])),"m月")&amp;"発注)")</f>
        <v/>
      </c>
      <c r="AN1075">
        <f>IF(SUMIFS(T_PlannedOrders[EffectiveQty],T_PlannedOrders[Part Name],$A1069,T_PlannedOrders[WeekIndex],37)=0,"",SUMIFS(T_PlannedOrders[EffectiveQty],T_PlannedOrders[Part Name],$A1069,T_PlannedOrders[WeekIndex],37)&amp;" ("&amp;TEXT(SUMPRODUCT(MAX((T_PlannedOrders[Part Name]=$A1069)*(T_PlannedOrders[WeekIndex]=37)*(T_PlannedOrders[EffectiveQty]&gt;0)*T_PlannedOrders[Order_Month])),"m月")&amp;"発注)")</f>
        <v/>
      </c>
      <c r="AO1075">
        <f>IF(SUMIFS(T_PlannedOrders[EffectiveQty],T_PlannedOrders[Part Name],$A1069,T_PlannedOrders[WeekIndex],38)=0,"",SUMIFS(T_PlannedOrders[EffectiveQty],T_PlannedOrders[Part Name],$A1069,T_PlannedOrders[WeekIndex],38)&amp;" ("&amp;TEXT(SUMPRODUCT(MAX((T_PlannedOrders[Part Name]=$A1069)*(T_PlannedOrders[WeekIndex]=38)*(T_PlannedOrders[EffectiveQty]&gt;0)*T_PlannedOrders[Order_Month])),"m月")&amp;"発注)")</f>
        <v/>
      </c>
      <c r="AP1075">
        <f>IF(SUMIFS(T_PlannedOrders[EffectiveQty],T_PlannedOrders[Part Name],$A1069,T_PlannedOrders[WeekIndex],39)=0,"",SUMIFS(T_PlannedOrders[EffectiveQty],T_PlannedOrders[Part Name],$A1069,T_PlannedOrders[WeekIndex],39)&amp;" ("&amp;TEXT(SUMPRODUCT(MAX((T_PlannedOrders[Part Name]=$A1069)*(T_PlannedOrders[WeekIndex]=39)*(T_PlannedOrders[EffectiveQty]&gt;0)*T_PlannedOrders[Order_Month])),"m月")&amp;"発注)")</f>
        <v/>
      </c>
      <c r="AQ1075">
        <f>IF(SUMIFS(T_PlannedOrders[EffectiveQty],T_PlannedOrders[Part Name],$A1069,T_PlannedOrders[WeekIndex],40)=0,"",SUMIFS(T_PlannedOrders[EffectiveQty],T_PlannedOrders[Part Name],$A1069,T_PlannedOrders[WeekIndex],40)&amp;" ("&amp;TEXT(SUMPRODUCT(MAX((T_PlannedOrders[Part Name]=$A1069)*(T_PlannedOrders[WeekIndex]=40)*(T_PlannedOrders[EffectiveQty]&gt;0)*T_PlannedOrders[Order_Month])),"m月")&amp;"発注)")</f>
        <v/>
      </c>
      <c r="AR1075">
        <f>IF(SUMIFS(T_PlannedOrders[EffectiveQty],T_PlannedOrders[Part Name],$A1069,T_PlannedOrders[WeekIndex],41)=0,"",SUMIFS(T_PlannedOrders[EffectiveQty],T_PlannedOrders[Part Name],$A1069,T_PlannedOrders[WeekIndex],41)&amp;" ("&amp;TEXT(SUMPRODUCT(MAX((T_PlannedOrders[Part Name]=$A1069)*(T_PlannedOrders[WeekIndex]=41)*(T_PlannedOrders[EffectiveQty]&gt;0)*T_PlannedOrders[Order_Month])),"m月")&amp;"発注)")</f>
        <v/>
      </c>
      <c r="AS1075">
        <f>IF(SUMIFS(T_PlannedOrders[EffectiveQty],T_PlannedOrders[Part Name],$A1069,T_PlannedOrders[WeekIndex],42)=0,"",SUMIFS(T_PlannedOrders[EffectiveQty],T_PlannedOrders[Part Name],$A1069,T_PlannedOrders[WeekIndex],42)&amp;" ("&amp;TEXT(SUMPRODUCT(MAX((T_PlannedOrders[Part Name]=$A1069)*(T_PlannedOrders[WeekIndex]=42)*(T_PlannedOrders[EffectiveQty]&gt;0)*T_PlannedOrders[Order_Month])),"m月")&amp;"発注)")</f>
        <v/>
      </c>
      <c r="AT1075">
        <f>IF(SUMIFS(T_PlannedOrders[EffectiveQty],T_PlannedOrders[Part Name],$A1069,T_PlannedOrders[WeekIndex],43)=0,"",SUMIFS(T_PlannedOrders[EffectiveQty],T_PlannedOrders[Part Name],$A1069,T_PlannedOrders[WeekIndex],43)&amp;" ("&amp;TEXT(SUMPRODUCT(MAX((T_PlannedOrders[Part Name]=$A1069)*(T_PlannedOrders[WeekIndex]=43)*(T_PlannedOrders[EffectiveQty]&gt;0)*T_PlannedOrders[Order_Month])),"m月")&amp;"発注)")</f>
        <v/>
      </c>
      <c r="AU1075">
        <f>IF(SUMIFS(T_PlannedOrders[EffectiveQty],T_PlannedOrders[Part Name],$A1069,T_PlannedOrders[WeekIndex],44)=0,"",SUMIFS(T_PlannedOrders[EffectiveQty],T_PlannedOrders[Part Name],$A1069,T_PlannedOrders[WeekIndex],44)&amp;" ("&amp;TEXT(SUMPRODUCT(MAX((T_PlannedOrders[Part Name]=$A1069)*(T_PlannedOrders[WeekIndex]=44)*(T_PlannedOrders[EffectiveQty]&gt;0)*T_PlannedOrders[Order_Month])),"m月")&amp;"発注)")</f>
        <v/>
      </c>
      <c r="AV1075">
        <f>IF(SUMIFS(T_PlannedOrders[EffectiveQty],T_PlannedOrders[Part Name],$A1069,T_PlannedOrders[WeekIndex],45)=0,"",SUMIFS(T_PlannedOrders[EffectiveQty],T_PlannedOrders[Part Name],$A1069,T_PlannedOrders[WeekIndex],45)&amp;" ("&amp;TEXT(SUMPRODUCT(MAX((T_PlannedOrders[Part Name]=$A1069)*(T_PlannedOrders[WeekIndex]=45)*(T_PlannedOrders[EffectiveQty]&gt;0)*T_PlannedOrders[Order_Month])),"m月")&amp;"発注)")</f>
        <v/>
      </c>
      <c r="AW1075">
        <f>IF(SUMIFS(T_PlannedOrders[EffectiveQty],T_PlannedOrders[Part Name],$A1069,T_PlannedOrders[WeekIndex],46)=0,"",SUMIFS(T_PlannedOrders[EffectiveQty],T_PlannedOrders[Part Name],$A1069,T_PlannedOrders[WeekIndex],46)&amp;" ("&amp;TEXT(SUMPRODUCT(MAX((T_PlannedOrders[Part Name]=$A1069)*(T_PlannedOrders[WeekIndex]=46)*(T_PlannedOrders[EffectiveQty]&gt;0)*T_PlannedOrders[Order_Month])),"m月")&amp;"発注)")</f>
        <v/>
      </c>
      <c r="AX1075">
        <f>IF(SUMIFS(T_PlannedOrders[EffectiveQty],T_PlannedOrders[Part Name],$A1069,T_PlannedOrders[WeekIndex],47)=0,"",SUMIFS(T_PlannedOrders[EffectiveQty],T_PlannedOrders[Part Name],$A1069,T_PlannedOrders[WeekIndex],47)&amp;" ("&amp;TEXT(SUMPRODUCT(MAX((T_PlannedOrders[Part Name]=$A1069)*(T_PlannedOrders[WeekIndex]=47)*(T_PlannedOrders[EffectiveQty]&gt;0)*T_PlannedOrders[Order_Month])),"m月")&amp;"発注)")</f>
        <v/>
      </c>
      <c r="AY1075">
        <f>IF(SUMIFS(T_PlannedOrders[EffectiveQty],T_PlannedOrders[Part Name],$A1069,T_PlannedOrders[WeekIndex],48)=0,"",SUMIFS(T_PlannedOrders[EffectiveQty],T_PlannedOrders[Part Name],$A1069,T_PlannedOrders[WeekIndex],48)&amp;" ("&amp;TEXT(SUMPRODUCT(MAX((T_PlannedOrders[Part Name]=$A1069)*(T_PlannedOrders[WeekIndex]=48)*(T_PlannedOrders[EffectiveQty]&gt;0)*T_PlannedOrders[Order_Month])),"m月")&amp;"発注)")</f>
        <v/>
      </c>
      <c r="AZ1075">
        <f>IF(SUMIFS(T_PlannedOrders[EffectiveQty],T_PlannedOrders[Part Name],$A1069,T_PlannedOrders[WeekIndex],49)=0,"",SUMIFS(T_PlannedOrders[EffectiveQty],T_PlannedOrders[Part Name],$A1069,T_PlannedOrders[WeekIndex],49)&amp;" ("&amp;TEXT(SUMPRODUCT(MAX((T_PlannedOrders[Part Name]=$A1069)*(T_PlannedOrders[WeekIndex]=49)*(T_PlannedOrders[EffectiveQty]&gt;0)*T_PlannedOrders[Order_Month])),"m月")&amp;"発注)")</f>
        <v/>
      </c>
      <c r="BA1075">
        <f>IF(SUMIFS(T_PlannedOrders[EffectiveQty],T_PlannedOrders[Part Name],$A1069,T_PlannedOrders[WeekIndex],50)=0,"",SUMIFS(T_PlannedOrders[EffectiveQty],T_PlannedOrders[Part Name],$A1069,T_PlannedOrders[WeekIndex],50)&amp;" ("&amp;TEXT(SUMPRODUCT(MAX((T_PlannedOrders[Part Name]=$A1069)*(T_PlannedOrders[WeekIndex]=50)*(T_PlannedOrders[EffectiveQty]&gt;0)*T_PlannedOrders[Order_Month])),"m月")&amp;"発注)")</f>
        <v/>
      </c>
      <c r="BB1075">
        <f>IF(SUMIFS(T_PlannedOrders[EffectiveQty],T_PlannedOrders[Part Name],$A1069,T_PlannedOrders[WeekIndex],51)=0,"",SUMIFS(T_PlannedOrders[EffectiveQty],T_PlannedOrders[Part Name],$A1069,T_PlannedOrders[WeekIndex],51)&amp;" ("&amp;TEXT(SUMPRODUCT(MAX((T_PlannedOrders[Part Name]=$A1069)*(T_PlannedOrders[WeekIndex]=51)*(T_PlannedOrders[EffectiveQty]&gt;0)*T_PlannedOrders[Order_Month])),"m月")&amp;"発注)")</f>
        <v/>
      </c>
      <c r="BC1075">
        <f>IF(SUMIFS(T_PlannedOrders[EffectiveQty],T_PlannedOrders[Part Name],$A1069,T_PlannedOrders[WeekIndex],52)=0,"",SUMIFS(T_PlannedOrders[EffectiveQty],T_PlannedOrders[Part Name],$A1069,T_PlannedOrders[WeekIndex],52)&amp;" ("&amp;TEXT(SUMPRODUCT(MAX((T_PlannedOrders[Part Name]=$A1069)*(T_PlannedOrders[WeekIndex]=52)*(T_PlannedOrders[EffectiveQty]&gt;0)*T_PlannedOrders[Order_Month])),"m月")&amp;"発注)")</f>
        <v/>
      </c>
      <c r="BD1075">
        <f>IF(SUMIFS(T_PlannedOrders[EffectiveQty],T_PlannedOrders[Part Name],$A1069,T_PlannedOrders[WeekIndex],53)=0,"",SUMIFS(T_PlannedOrders[EffectiveQty],T_PlannedOrders[Part Name],$A1069,T_PlannedOrders[WeekIndex],53)&amp;" ("&amp;TEXT(SUMPRODUCT(MAX((T_PlannedOrders[Part Name]=$A1069)*(T_PlannedOrders[WeekIndex]=53)*(T_PlannedOrders[EffectiveQty]&gt;0)*T_PlannedOrders[Order_Month])),"m月")&amp;"発注)")</f>
        <v/>
      </c>
      <c r="BE1075">
        <f>IF(SUMIFS(T_PlannedOrders[EffectiveQty],T_PlannedOrders[Part Name],$A1069,T_PlannedOrders[WeekIndex],54)=0,"",SUMIFS(T_PlannedOrders[EffectiveQty],T_PlannedOrders[Part Name],$A1069,T_PlannedOrders[WeekIndex],54)&amp;" ("&amp;TEXT(SUMPRODUCT(MAX((T_PlannedOrders[Part Name]=$A1069)*(T_PlannedOrders[WeekIndex]=54)*(T_PlannedOrders[EffectiveQty]&gt;0)*T_PlannedOrders[Order_Month])),"m月")&amp;"発注)")</f>
        <v/>
      </c>
      <c r="BF1075">
        <f>IF(SUMIFS(T_PlannedOrders[EffectiveQty],T_PlannedOrders[Part Name],$A1069,T_PlannedOrders[WeekIndex],55)=0,"",SUMIFS(T_PlannedOrders[EffectiveQty],T_PlannedOrders[Part Name],$A1069,T_PlannedOrders[WeekIndex],55)&amp;" ("&amp;TEXT(SUMPRODUCT(MAX((T_PlannedOrders[Part Name]=$A1069)*(T_PlannedOrders[WeekIndex]=55)*(T_PlannedOrders[EffectiveQty]&gt;0)*T_PlannedOrders[Order_Month])),"m月")&amp;"発注)")</f>
        <v/>
      </c>
      <c r="BG1075">
        <f>IF(SUMIFS(T_PlannedOrders[EffectiveQty],T_PlannedOrders[Part Name],$A1069,T_PlannedOrders[WeekIndex],56)=0,"",SUMIFS(T_PlannedOrders[EffectiveQty],T_PlannedOrders[Part Name],$A1069,T_PlannedOrders[WeekIndex],56)&amp;" ("&amp;TEXT(SUMPRODUCT(MAX((T_PlannedOrders[Part Name]=$A1069)*(T_PlannedOrders[WeekIndex]=56)*(T_PlannedOrders[EffectiveQty]&gt;0)*T_PlannedOrders[Order_Month])),"m月")&amp;"発注)")</f>
        <v/>
      </c>
      <c r="BH1075">
        <f>IF(SUMIFS(T_PlannedOrders[EffectiveQty],T_PlannedOrders[Part Name],$A1069,T_PlannedOrders[WeekIndex],57)=0,"",SUMIFS(T_PlannedOrders[EffectiveQty],T_PlannedOrders[Part Name],$A1069,T_PlannedOrders[WeekIndex],57)&amp;" ("&amp;TEXT(SUMPRODUCT(MAX((T_PlannedOrders[Part Name]=$A1069)*(T_PlannedOrders[WeekIndex]=57)*(T_PlannedOrders[EffectiveQty]&gt;0)*T_PlannedOrders[Order_Month])),"m月")&amp;"発注)")</f>
        <v/>
      </c>
      <c r="BI1075">
        <f>IF(SUMIFS(T_PlannedOrders[EffectiveQty],T_PlannedOrders[Part Name],$A1069,T_PlannedOrders[WeekIndex],58)=0,"",SUMIFS(T_PlannedOrders[EffectiveQty],T_PlannedOrders[Part Name],$A1069,T_PlannedOrders[WeekIndex],58)&amp;" ("&amp;TEXT(SUMPRODUCT(MAX((T_PlannedOrders[Part Name]=$A1069)*(T_PlannedOrders[WeekIndex]=58)*(T_PlannedOrders[EffectiveQty]&gt;0)*T_PlannedOrders[Order_Month])),"m月")&amp;"発注)")</f>
        <v/>
      </c>
      <c r="BJ1075">
        <f>IF(SUMIFS(T_PlannedOrders[EffectiveQty],T_PlannedOrders[Part Name],$A1069,T_PlannedOrders[WeekIndex],59)=0,"",SUMIFS(T_PlannedOrders[EffectiveQty],T_PlannedOrders[Part Name],$A1069,T_PlannedOrders[WeekIndex],59)&amp;" ("&amp;TEXT(SUMPRODUCT(MAX((T_PlannedOrders[Part Name]=$A1069)*(T_PlannedOrders[WeekIndex]=59)*(T_PlannedOrders[EffectiveQty]&gt;0)*T_PlannedOrders[Order_Month])),"m月")&amp;"発注)")</f>
        <v/>
      </c>
      <c r="BK1075">
        <f>IF(SUMIFS(T_PlannedOrders[EffectiveQty],T_PlannedOrders[Part Name],$A1069,T_PlannedOrders[WeekIndex],60)=0,"",SUMIFS(T_PlannedOrders[EffectiveQty],T_PlannedOrders[Part Name],$A1069,T_PlannedOrders[WeekIndex],60)&amp;" ("&amp;TEXT(SUMPRODUCT(MAX((T_PlannedOrders[Part Name]=$A1069)*(T_PlannedOrders[WeekIndex]=60)*(T_PlannedOrders[EffectiveQty]&gt;0)*T_PlannedOrders[Order_Month])),"m月")&amp;"発注)")</f>
        <v/>
      </c>
      <c r="BL1075">
        <f>IF(SUMIFS(T_PlannedOrders[EffectiveQty],T_PlannedOrders[Part Name],$A1069,T_PlannedOrders[WeekIndex],61)=0,"",SUMIFS(T_PlannedOrders[EffectiveQty],T_PlannedOrders[Part Name],$A1069,T_PlannedOrders[WeekIndex],61)&amp;" ("&amp;TEXT(SUMPRODUCT(MAX((T_PlannedOrders[Part Name]=$A1069)*(T_PlannedOrders[WeekIndex]=61)*(T_PlannedOrders[EffectiveQty]&gt;0)*T_PlannedOrders[Order_Month])),"m月")&amp;"発注)")</f>
        <v/>
      </c>
      <c r="BM1075">
        <f>IF(SUMIFS(T_PlannedOrders[EffectiveQty],T_PlannedOrders[Part Name],$A1069,T_PlannedOrders[WeekIndex],62)=0,"",SUMIFS(T_PlannedOrders[EffectiveQty],T_PlannedOrders[Part Name],$A1069,T_PlannedOrders[WeekIndex],62)&amp;" ("&amp;TEXT(SUMPRODUCT(MAX((T_PlannedOrders[Part Name]=$A1069)*(T_PlannedOrders[WeekIndex]=62)*(T_PlannedOrders[EffectiveQty]&gt;0)*T_PlannedOrders[Order_Month])),"m月")&amp;"発注)")</f>
        <v/>
      </c>
      <c r="BN1075">
        <f>IF(SUMIFS(T_PlannedOrders[EffectiveQty],T_PlannedOrders[Part Name],$A1069,T_PlannedOrders[WeekIndex],63)=0,"",SUMIFS(T_PlannedOrders[EffectiveQty],T_PlannedOrders[Part Name],$A1069,T_PlannedOrders[WeekIndex],63)&amp;" ("&amp;TEXT(SUMPRODUCT(MAX((T_PlannedOrders[Part Name]=$A1069)*(T_PlannedOrders[WeekIndex]=63)*(T_PlannedOrders[EffectiveQty]&gt;0)*T_PlannedOrders[Order_Month])),"m月")&amp;"発注)")</f>
        <v/>
      </c>
      <c r="BO1075">
        <f>IF(SUMIFS(T_PlannedOrders[EffectiveQty],T_PlannedOrders[Part Name],$A1069,T_PlannedOrders[WeekIndex],64)=0,"",SUMIFS(T_PlannedOrders[EffectiveQty],T_PlannedOrders[Part Name],$A1069,T_PlannedOrders[WeekIndex],64)&amp;" ("&amp;TEXT(SUMPRODUCT(MAX((T_PlannedOrders[Part Name]=$A1069)*(T_PlannedOrders[WeekIndex]=64)*(T_PlannedOrders[EffectiveQty]&gt;0)*T_PlannedOrders[Order_Month])),"m月")&amp;"発注)")</f>
        <v/>
      </c>
      <c r="BP1075">
        <f>IF(SUMIFS(T_PlannedOrders[EffectiveQty],T_PlannedOrders[Part Name],$A1069,T_PlannedOrders[WeekIndex],65)=0,"",SUMIFS(T_PlannedOrders[EffectiveQty],T_PlannedOrders[Part Name],$A1069,T_PlannedOrders[WeekIndex],65)&amp;" ("&amp;TEXT(SUMPRODUCT(MAX((T_PlannedOrders[Part Name]=$A1069)*(T_PlannedOrders[WeekIndex]=65)*(T_PlannedOrders[EffectiveQty]&gt;0)*T_PlannedOrders[Order_Month])),"m月")&amp;"発注)")</f>
        <v/>
      </c>
      <c r="BQ1075">
        <f>IF(SUMIFS(T_PlannedOrders[EffectiveQty],T_PlannedOrders[Part Name],$A1069,T_PlannedOrders[WeekIndex],66)=0,"",SUMIFS(T_PlannedOrders[EffectiveQty],T_PlannedOrders[Part Name],$A1069,T_PlannedOrders[WeekIndex],66)&amp;" ("&amp;TEXT(SUMPRODUCT(MAX((T_PlannedOrders[Part Name]=$A1069)*(T_PlannedOrders[WeekIndex]=66)*(T_PlannedOrders[EffectiveQty]&gt;0)*T_PlannedOrders[Order_Month])),"m月")&amp;"発注)")</f>
        <v/>
      </c>
      <c r="BR1075">
        <f>IF(SUMIFS(T_PlannedOrders[EffectiveQty],T_PlannedOrders[Part Name],$A1069,T_PlannedOrders[WeekIndex],67)=0,"",SUMIFS(T_PlannedOrders[EffectiveQty],T_PlannedOrders[Part Name],$A1069,T_PlannedOrders[WeekIndex],67)&amp;" ("&amp;TEXT(SUMPRODUCT(MAX((T_PlannedOrders[Part Name]=$A1069)*(T_PlannedOrders[WeekIndex]=67)*(T_PlannedOrders[EffectiveQty]&gt;0)*T_PlannedOrders[Order_Month])),"m月")&amp;"発注)")</f>
        <v/>
      </c>
      <c r="BS1075">
        <f>IF(SUMIFS(T_PlannedOrders[EffectiveQty],T_PlannedOrders[Part Name],$A1069,T_PlannedOrders[WeekIndex],68)=0,"",SUMIFS(T_PlannedOrders[EffectiveQty],T_PlannedOrders[Part Name],$A1069,T_PlannedOrders[WeekIndex],68)&amp;" ("&amp;TEXT(SUMPRODUCT(MAX((T_PlannedOrders[Part Name]=$A1069)*(T_PlannedOrders[WeekIndex]=68)*(T_PlannedOrders[EffectiveQty]&gt;0)*T_PlannedOrders[Order_Month])),"m月")&amp;"発注)")</f>
        <v/>
      </c>
      <c r="BT1075">
        <f>IF(SUMIFS(T_PlannedOrders[EffectiveQty],T_PlannedOrders[Part Name],$A1069,T_PlannedOrders[WeekIndex],69)=0,"",SUMIFS(T_PlannedOrders[EffectiveQty],T_PlannedOrders[Part Name],$A1069,T_PlannedOrders[WeekIndex],69)&amp;" ("&amp;TEXT(SUMPRODUCT(MAX((T_PlannedOrders[Part Name]=$A1069)*(T_PlannedOrders[WeekIndex]=69)*(T_PlannedOrders[EffectiveQty]&gt;0)*T_PlannedOrders[Order_Month])),"m月")&amp;"発注)")</f>
        <v/>
      </c>
      <c r="BU1075">
        <f>IF(SUMIFS(T_PlannedOrders[EffectiveQty],T_PlannedOrders[Part Name],$A1069,T_PlannedOrders[WeekIndex],70)=0,"",SUMIFS(T_PlannedOrders[EffectiveQty],T_PlannedOrders[Part Name],$A1069,T_PlannedOrders[WeekIndex],70)&amp;" ("&amp;TEXT(SUMPRODUCT(MAX((T_PlannedOrders[Part Name]=$A1069)*(T_PlannedOrders[WeekIndex]=70)*(T_PlannedOrders[EffectiveQty]&gt;0)*T_PlannedOrders[Order_Month])),"m月")&amp;"発注)")</f>
        <v/>
      </c>
      <c r="BV1075">
        <f>IF(SUMIFS(T_PlannedOrders[EffectiveQty],T_PlannedOrders[Part Name],$A1069,T_PlannedOrders[WeekIndex],71)=0,"",SUMIFS(T_PlannedOrders[EffectiveQty],T_PlannedOrders[Part Name],$A1069,T_PlannedOrders[WeekIndex],71)&amp;" ("&amp;TEXT(SUMPRODUCT(MAX((T_PlannedOrders[Part Name]=$A1069)*(T_PlannedOrders[WeekIndex]=71)*(T_PlannedOrders[EffectiveQty]&gt;0)*T_PlannedOrders[Order_Month])),"m月")&amp;"発注)")</f>
        <v/>
      </c>
      <c r="BW1075">
        <f>IF(SUMIFS(T_PlannedOrders[EffectiveQty],T_PlannedOrders[Part Name],$A1069,T_PlannedOrders[WeekIndex],72)=0,"",SUMIFS(T_PlannedOrders[EffectiveQty],T_PlannedOrders[Part Name],$A1069,T_PlannedOrders[WeekIndex],72)&amp;" ("&amp;TEXT(SUMPRODUCT(MAX((T_PlannedOrders[Part Name]=$A1069)*(T_PlannedOrders[WeekIndex]=72)*(T_PlannedOrders[EffectiveQty]&gt;0)*T_PlannedOrders[Order_Month])),"m月")&amp;"発注)")</f>
        <v/>
      </c>
      <c r="BX1075">
        <f>IF(SUMIFS(T_PlannedOrders[EffectiveQty],T_PlannedOrders[Part Name],$A1069,T_PlannedOrders[WeekIndex],73)=0,"",SUMIFS(T_PlannedOrders[EffectiveQty],T_PlannedOrders[Part Name],$A1069,T_PlannedOrders[WeekIndex],73)&amp;" ("&amp;TEXT(SUMPRODUCT(MAX((T_PlannedOrders[Part Name]=$A1069)*(T_PlannedOrders[WeekIndex]=73)*(T_PlannedOrders[EffectiveQty]&gt;0)*T_PlannedOrders[Order_Month])),"m月")&amp;"発注)")</f>
        <v/>
      </c>
      <c r="BY1075">
        <f>IF(SUMIFS(T_PlannedOrders[EffectiveQty],T_PlannedOrders[Part Name],$A1069,T_PlannedOrders[WeekIndex],74)=0,"",SUMIFS(T_PlannedOrders[EffectiveQty],T_PlannedOrders[Part Name],$A1069,T_PlannedOrders[WeekIndex],74)&amp;" ("&amp;TEXT(SUMPRODUCT(MAX((T_PlannedOrders[Part Name]=$A1069)*(T_PlannedOrders[WeekIndex]=74)*(T_PlannedOrders[EffectiveQty]&gt;0)*T_PlannedOrders[Order_Month])),"m月")&amp;"発注)")</f>
        <v/>
      </c>
      <c r="BZ1075">
        <f>IF(SUMIFS(T_PlannedOrders[EffectiveQty],T_PlannedOrders[Part Name],$A1069,T_PlannedOrders[WeekIndex],75)=0,"",SUMIFS(T_PlannedOrders[EffectiveQty],T_PlannedOrders[Part Name],$A1069,T_PlannedOrders[WeekIndex],75)&amp;" ("&amp;TEXT(SUMPRODUCT(MAX((T_PlannedOrders[Part Name]=$A1069)*(T_PlannedOrders[WeekIndex]=75)*(T_PlannedOrders[EffectiveQty]&gt;0)*T_PlannedOrders[Order_Month])),"m月")&amp;"発注)")</f>
        <v/>
      </c>
      <c r="CA1075">
        <f>IF(SUMIFS(T_PlannedOrders[EffectiveQty],T_PlannedOrders[Part Name],$A1069,T_PlannedOrders[WeekIndex],76)=0,"",SUMIFS(T_PlannedOrders[EffectiveQty],T_PlannedOrders[Part Name],$A1069,T_PlannedOrders[WeekIndex],76)&amp;" ("&amp;TEXT(SUMPRODUCT(MAX((T_PlannedOrders[Part Name]=$A1069)*(T_PlannedOrders[WeekIndex]=76)*(T_PlannedOrders[EffectiveQty]&gt;0)*T_PlannedOrders[Order_Month])),"m月")&amp;"発注)")</f>
        <v/>
      </c>
      <c r="CB1075">
        <f>IF(SUMIFS(T_PlannedOrders[EffectiveQty],T_PlannedOrders[Part Name],$A1069,T_PlannedOrders[WeekIndex],77)=0,"",SUMIFS(T_PlannedOrders[EffectiveQty],T_PlannedOrders[Part Name],$A1069,T_PlannedOrders[WeekIndex],77)&amp;" ("&amp;TEXT(SUMPRODUCT(MAX((T_PlannedOrders[Part Name]=$A1069)*(T_PlannedOrders[WeekIndex]=77)*(T_PlannedOrders[EffectiveQty]&gt;0)*T_PlannedOrders[Order_Month])),"m月")&amp;"発注)")</f>
        <v/>
      </c>
      <c r="CC1075">
        <f>IF(SUMIFS(T_PlannedOrders[EffectiveQty],T_PlannedOrders[Part Name],$A1069,T_PlannedOrders[WeekIndex],78)=0,"",SUMIFS(T_PlannedOrders[EffectiveQty],T_PlannedOrders[Part Name],$A1069,T_PlannedOrders[WeekIndex],78)&amp;" ("&amp;TEXT(SUMPRODUCT(MAX((T_PlannedOrders[Part Name]=$A1069)*(T_PlannedOrders[WeekIndex]=78)*(T_PlannedOrders[EffectiveQty]&gt;0)*T_PlannedOrders[Order_Month])),"m月")&amp;"発注)")</f>
        <v/>
      </c>
      <c r="CD1075">
        <f>IF(SUMIFS(T_PlannedOrders[EffectiveQty],T_PlannedOrders[Part Name],$A1069,T_PlannedOrders[WeekIndex],79)=0,"",SUMIFS(T_PlannedOrders[EffectiveQty],T_PlannedOrders[Part Name],$A1069,T_PlannedOrders[WeekIndex],79)&amp;" ("&amp;TEXT(SUMPRODUCT(MAX((T_PlannedOrders[Part Name]=$A1069)*(T_PlannedOrders[WeekIndex]=79)*(T_PlannedOrders[EffectiveQty]&gt;0)*T_PlannedOrders[Order_Month])),"m月")&amp;"発注)")</f>
        <v/>
      </c>
      <c r="CE1075">
        <f>IF(SUMIFS(T_PlannedOrders[EffectiveQty],T_PlannedOrders[Part Name],$A1069,T_PlannedOrders[WeekIndex],80)=0,"",SUMIFS(T_PlannedOrders[EffectiveQty],T_PlannedOrders[Part Name],$A1069,T_PlannedOrders[WeekIndex],80)&amp;" ("&amp;TEXT(SUMPRODUCT(MAX((T_PlannedOrders[Part Name]=$A1069)*(T_PlannedOrders[WeekIndex]=80)*(T_PlannedOrders[EffectiveQty]&gt;0)*T_PlannedOrders[Order_Month])),"m月")&amp;"発注)")</f>
        <v/>
      </c>
      <c r="CF1075">
        <f>IF(SUMIFS(T_PlannedOrders[EffectiveQty],T_PlannedOrders[Part Name],$A1069,T_PlannedOrders[WeekIndex],81)=0,"",SUMIFS(T_PlannedOrders[EffectiveQty],T_PlannedOrders[Part Name],$A1069,T_PlannedOrders[WeekIndex],81)&amp;" ("&amp;TEXT(SUMPRODUCT(MAX((T_PlannedOrders[Part Name]=$A1069)*(T_PlannedOrders[WeekIndex]=81)*(T_PlannedOrders[EffectiveQty]&gt;0)*T_PlannedOrders[Order_Month])),"m月")&amp;"発注)")</f>
        <v/>
      </c>
      <c r="CG1075">
        <f>IF(SUMIFS(T_PlannedOrders[EffectiveQty],T_PlannedOrders[Part Name],$A1069,T_PlannedOrders[WeekIndex],82)=0,"",SUMIFS(T_PlannedOrders[EffectiveQty],T_PlannedOrders[Part Name],$A1069,T_PlannedOrders[WeekIndex],82)&amp;" ("&amp;TEXT(SUMPRODUCT(MAX((T_PlannedOrders[Part Name]=$A1069)*(T_PlannedOrders[WeekIndex]=82)*(T_PlannedOrders[EffectiveQty]&gt;0)*T_PlannedOrders[Order_Month])),"m月")&amp;"発注)")</f>
        <v/>
      </c>
      <c r="CH1075">
        <f>IF(SUMIFS(T_PlannedOrders[EffectiveQty],T_PlannedOrders[Part Name],$A1069,T_PlannedOrders[WeekIndex],83)=0,"",SUMIFS(T_PlannedOrders[EffectiveQty],T_PlannedOrders[Part Name],$A1069,T_PlannedOrders[WeekIndex],83)&amp;" ("&amp;TEXT(SUMPRODUCT(MAX((T_PlannedOrders[Part Name]=$A1069)*(T_PlannedOrders[WeekIndex]=83)*(T_PlannedOrders[EffectiveQty]&gt;0)*T_PlannedOrders[Order_Month])),"m月")&amp;"発注)")</f>
        <v/>
      </c>
      <c r="CI1075">
        <f>IF(SUMIFS(T_PlannedOrders[EffectiveQty],T_PlannedOrders[Part Name],$A1069,T_PlannedOrders[WeekIndex],84)=0,"",SUMIFS(T_PlannedOrders[EffectiveQty],T_PlannedOrders[Part Name],$A1069,T_PlannedOrders[WeekIndex],84)&amp;" ("&amp;TEXT(SUMPRODUCT(MAX((T_PlannedOrders[Part Name]=$A1069)*(T_PlannedOrders[WeekIndex]=84)*(T_PlannedOrders[EffectiveQty]&gt;0)*T_PlannedOrders[Order_Month])),"m月")&amp;"発注)")</f>
        <v/>
      </c>
      <c r="CJ1075">
        <f>IF(SUMIFS(T_PlannedOrders[EffectiveQty],T_PlannedOrders[Part Name],$A1069,T_PlannedOrders[WeekIndex],85)=0,"",SUMIFS(T_PlannedOrders[EffectiveQty],T_PlannedOrders[Part Name],$A1069,T_PlannedOrders[WeekIndex],85)&amp;" ("&amp;TEXT(SUMPRODUCT(MAX((T_PlannedOrders[Part Name]=$A1069)*(T_PlannedOrders[WeekIndex]=85)*(T_PlannedOrders[EffectiveQty]&gt;0)*T_PlannedOrders[Order_Month])),"m月")&amp;"発注)")</f>
        <v/>
      </c>
      <c r="CK1075">
        <f>IF(SUMIFS(T_PlannedOrders[EffectiveQty],T_PlannedOrders[Part Name],$A1069,T_PlannedOrders[WeekIndex],86)=0,"",SUMIFS(T_PlannedOrders[EffectiveQty],T_PlannedOrders[Part Name],$A1069,T_PlannedOrders[WeekIndex],86)&amp;" ("&amp;TEXT(SUMPRODUCT(MAX((T_PlannedOrders[Part Name]=$A1069)*(T_PlannedOrders[WeekIndex]=86)*(T_PlannedOrders[EffectiveQty]&gt;0)*T_PlannedOrders[Order_Month])),"m月")&amp;"発注)")</f>
        <v/>
      </c>
      <c r="CL1075">
        <f>IF(SUMIFS(T_PlannedOrders[EffectiveQty],T_PlannedOrders[Part Name],$A1069,T_PlannedOrders[WeekIndex],87)=0,"",SUMIFS(T_PlannedOrders[EffectiveQty],T_PlannedOrders[Part Name],$A1069,T_PlannedOrders[WeekIndex],87)&amp;" ("&amp;TEXT(SUMPRODUCT(MAX((T_PlannedOrders[Part Name]=$A1069)*(T_PlannedOrders[WeekIndex]=87)*(T_PlannedOrders[EffectiveQty]&gt;0)*T_PlannedOrders[Order_Month])),"m月")&amp;"発注)")</f>
        <v/>
      </c>
      <c r="CM1075">
        <f>IF(SUMIFS(T_PlannedOrders[EffectiveQty],T_PlannedOrders[Part Name],$A1069,T_PlannedOrders[WeekIndex],88)=0,"",SUMIFS(T_PlannedOrders[EffectiveQty],T_PlannedOrders[Part Name],$A1069,T_PlannedOrders[WeekIndex],88)&amp;" ("&amp;TEXT(SUMPRODUCT(MAX((T_PlannedOrders[Part Name]=$A1069)*(T_PlannedOrders[WeekIndex]=88)*(T_PlannedOrders[EffectiveQty]&gt;0)*T_PlannedOrders[Order_Month])),"m月")&amp;"発注)")</f>
        <v/>
      </c>
      <c r="CN1075">
        <f>IF(SUMIFS(T_PlannedOrders[EffectiveQty],T_PlannedOrders[Part Name],$A1069,T_PlannedOrders[WeekIndex],89)=0,"",SUMIFS(T_PlannedOrders[EffectiveQty],T_PlannedOrders[Part Name],$A1069,T_PlannedOrders[WeekIndex],89)&amp;" ("&amp;TEXT(SUMPRODUCT(MAX((T_PlannedOrders[Part Name]=$A1069)*(T_PlannedOrders[WeekIndex]=89)*(T_PlannedOrders[EffectiveQty]&gt;0)*T_PlannedOrders[Order_Month])),"m月")&amp;"発注)")</f>
        <v/>
      </c>
      <c r="CO1075">
        <f>IF(SUMIFS(T_PlannedOrders[EffectiveQty],T_PlannedOrders[Part Name],$A1069,T_PlannedOrders[WeekIndex],90)=0,"",SUMIFS(T_PlannedOrders[EffectiveQty],T_PlannedOrders[Part Name],$A1069,T_PlannedOrders[WeekIndex],90)&amp;" ("&amp;TEXT(SUMPRODUCT(MAX((T_PlannedOrders[Part Name]=$A1069)*(T_PlannedOrders[WeekIndex]=90)*(T_PlannedOrders[EffectiveQty]&gt;0)*T_PlannedOrders[Order_Month])),"m月")&amp;"発注)")</f>
        <v/>
      </c>
      <c r="CP1075">
        <f>IF(SUMIFS(T_PlannedOrders[EffectiveQty],T_PlannedOrders[Part Name],$A1069,T_PlannedOrders[WeekIndex],91)=0,"",SUMIFS(T_PlannedOrders[EffectiveQty],T_PlannedOrders[Part Name],$A1069,T_PlannedOrders[WeekIndex],91)&amp;" ("&amp;TEXT(SUMPRODUCT(MAX((T_PlannedOrders[Part Name]=$A1069)*(T_PlannedOrders[WeekIndex]=91)*(T_PlannedOrders[EffectiveQty]&gt;0)*T_PlannedOrders[Order_Month])),"m月")&amp;"発注)")</f>
        <v/>
      </c>
      <c r="CQ1075">
        <f>IF(SUMIFS(T_PlannedOrders[EffectiveQty],T_PlannedOrders[Part Name],$A1069,T_PlannedOrders[WeekIndex],92)=0,"",SUMIFS(T_PlannedOrders[EffectiveQty],T_PlannedOrders[Part Name],$A1069,T_PlannedOrders[WeekIndex],92)&amp;" ("&amp;TEXT(SUMPRODUCT(MAX((T_PlannedOrders[Part Name]=$A1069)*(T_PlannedOrders[WeekIndex]=92)*(T_PlannedOrders[EffectiveQty]&gt;0)*T_PlannedOrders[Order_Month])),"m月")&amp;"発注)")</f>
        <v/>
      </c>
      <c r="CR1075">
        <f>IF(SUMIFS(T_PlannedOrders[EffectiveQty],T_PlannedOrders[Part Name],$A1069,T_PlannedOrders[WeekIndex],93)=0,"",SUMIFS(T_PlannedOrders[EffectiveQty],T_PlannedOrders[Part Name],$A1069,T_PlannedOrders[WeekIndex],93)&amp;" ("&amp;TEXT(SUMPRODUCT(MAX((T_PlannedOrders[Part Name]=$A1069)*(T_PlannedOrders[WeekIndex]=93)*(T_PlannedOrders[EffectiveQty]&gt;0)*T_PlannedOrders[Order_Month])),"m月")&amp;"発注)")</f>
        <v/>
      </c>
      <c r="CS1075">
        <f>IF(SUMIFS(T_PlannedOrders[EffectiveQty],T_PlannedOrders[Part Name],$A1069,T_PlannedOrders[WeekIndex],94)=0,"",SUMIFS(T_PlannedOrders[EffectiveQty],T_PlannedOrders[Part Name],$A1069,T_PlannedOrders[WeekIndex],94)&amp;" ("&amp;TEXT(SUMPRODUCT(MAX((T_PlannedOrders[Part Name]=$A1069)*(T_PlannedOrders[WeekIndex]=94)*(T_PlannedOrders[EffectiveQty]&gt;0)*T_PlannedOrders[Order_Month])),"m月")&amp;"発注)")</f>
        <v/>
      </c>
      <c r="CT1075">
        <f>IF(SUMIFS(T_PlannedOrders[EffectiveQty],T_PlannedOrders[Part Name],$A1069,T_PlannedOrders[WeekIndex],95)=0,"",SUMIFS(T_PlannedOrders[EffectiveQty],T_PlannedOrders[Part Name],$A1069,T_PlannedOrders[WeekIndex],95)&amp;" ("&amp;TEXT(SUMPRODUCT(MAX((T_PlannedOrders[Part Name]=$A1069)*(T_PlannedOrders[WeekIndex]=95)*(T_PlannedOrders[EffectiveQty]&gt;0)*T_PlannedOrders[Order_Month])),"m月")&amp;"発注)")</f>
        <v/>
      </c>
      <c r="CU1075">
        <f>IF(SUMIFS(T_PlannedOrders[EffectiveQty],T_PlannedOrders[Part Name],$A1069,T_PlannedOrders[WeekIndex],96)=0,"",SUMIFS(T_PlannedOrders[EffectiveQty],T_PlannedOrders[Part Name],$A1069,T_PlannedOrders[WeekIndex],96)&amp;" ("&amp;TEXT(SUMPRODUCT(MAX((T_PlannedOrders[Part Name]=$A1069)*(T_PlannedOrders[WeekIndex]=96)*(T_PlannedOrders[EffectiveQty]&gt;0)*T_PlannedOrders[Order_Month])),"m月")&amp;"発注)")</f>
        <v/>
      </c>
      <c r="CV1075">
        <f>IF(SUMIFS(T_PlannedOrders[EffectiveQty],T_PlannedOrders[Part Name],$A1069,T_PlannedOrders[WeekIndex],97)=0,"",SUMIFS(T_PlannedOrders[EffectiveQty],T_PlannedOrders[Part Name],$A1069,T_PlannedOrders[WeekIndex],97)&amp;" ("&amp;TEXT(SUMPRODUCT(MAX((T_PlannedOrders[Part Name]=$A1069)*(T_PlannedOrders[WeekIndex]=97)*(T_PlannedOrders[EffectiveQty]&gt;0)*T_PlannedOrders[Order_Month])),"m月")&amp;"発注)")</f>
        <v/>
      </c>
      <c r="CW1075">
        <f>IF(SUMIFS(T_PlannedOrders[EffectiveQty],T_PlannedOrders[Part Name],$A1069,T_PlannedOrders[WeekIndex],98)=0,"",SUMIFS(T_PlannedOrders[EffectiveQty],T_PlannedOrders[Part Name],$A1069,T_PlannedOrders[WeekIndex],98)&amp;" ("&amp;TEXT(SUMPRODUCT(MAX((T_PlannedOrders[Part Name]=$A1069)*(T_PlannedOrders[WeekIndex]=98)*(T_PlannedOrders[EffectiveQty]&gt;0)*T_PlannedOrders[Order_Month])),"m月")&amp;"発注)")</f>
        <v/>
      </c>
      <c r="CX1075">
        <f>IF(SUMIFS(T_PlannedOrders[EffectiveQty],T_PlannedOrders[Part Name],$A1069,T_PlannedOrders[WeekIndex],99)=0,"",SUMIFS(T_PlannedOrders[EffectiveQty],T_PlannedOrders[Part Name],$A1069,T_PlannedOrders[WeekIndex],99)&amp;" ("&amp;TEXT(SUMPRODUCT(MAX((T_PlannedOrders[Part Name]=$A1069)*(T_PlannedOrders[WeekIndex]=99)*(T_PlannedOrders[EffectiveQty]&gt;0)*T_PlannedOrders[Order_Month])),"m月")&amp;"発注)")</f>
        <v/>
      </c>
      <c r="CY1075">
        <f>IF(SUMIFS(T_PlannedOrders[EffectiveQty],T_PlannedOrders[Part Name],$A1069,T_PlannedOrders[WeekIndex],100)=0,"",SUMIFS(T_PlannedOrders[EffectiveQty],T_PlannedOrders[Part Name],$A1069,T_PlannedOrders[WeekIndex],100)&amp;" ("&amp;TEXT(SUMPRODUCT(MAX((T_PlannedOrders[Part Name]=$A1069)*(T_PlannedOrders[WeekIndex]=100)*(T_PlannedOrders[EffectiveQty]&gt;0)*T_PlannedOrders[Order_Month])),"m月")&amp;"発注)")</f>
        <v/>
      </c>
      <c r="CZ1075">
        <f>IF(SUMIFS(T_PlannedOrders[EffectiveQty],T_PlannedOrders[Part Name],$A1069,T_PlannedOrders[WeekIndex],101)=0,"",SUMIFS(T_PlannedOrders[EffectiveQty],T_PlannedOrders[Part Name],$A1069,T_PlannedOrders[WeekIndex],101)&amp;" ("&amp;TEXT(SUMPRODUCT(MAX((T_PlannedOrders[Part Name]=$A1069)*(T_PlannedOrders[WeekIndex]=101)*(T_PlannedOrders[EffectiveQty]&gt;0)*T_PlannedOrders[Order_Month])),"m月")&amp;"発注)")</f>
        <v/>
      </c>
      <c r="DA1075">
        <f>IF(SUMIFS(T_PlannedOrders[EffectiveQty],T_PlannedOrders[Part Name],$A1069,T_PlannedOrders[WeekIndex],102)=0,"",SUMIFS(T_PlannedOrders[EffectiveQty],T_PlannedOrders[Part Name],$A1069,T_PlannedOrders[WeekIndex],102)&amp;" ("&amp;TEXT(SUMPRODUCT(MAX((T_PlannedOrders[Part Name]=$A1069)*(T_PlannedOrders[WeekIndex]=102)*(T_PlannedOrders[EffectiveQty]&gt;0)*T_PlannedOrders[Order_Month])),"m月")&amp;"発注)")</f>
        <v/>
      </c>
      <c r="DB1075">
        <f>IF(SUMIFS(T_PlannedOrders[EffectiveQty],T_PlannedOrders[Part Name],$A1069,T_PlannedOrders[WeekIndex],103)=0,"",SUMIFS(T_PlannedOrders[EffectiveQty],T_PlannedOrders[Part Name],$A1069,T_PlannedOrders[WeekIndex],103)&amp;" ("&amp;TEXT(SUMPRODUCT(MAX((T_PlannedOrders[Part Name]=$A1069)*(T_PlannedOrders[WeekIndex]=103)*(T_PlannedOrders[EffectiveQty]&gt;0)*T_PlannedOrders[Order_Month])),"m月")&amp;"発注)")</f>
        <v/>
      </c>
      <c r="DC1075">
        <f>IF(SUMIFS(T_PlannedOrders[EffectiveQty],T_PlannedOrders[Part Name],$A1069,T_PlannedOrders[WeekIndex],104)=0,"",SUMIFS(T_PlannedOrders[EffectiveQty],T_PlannedOrders[Part Name],$A1069,T_PlannedOrders[WeekIndex],104)&amp;" ("&amp;TEXT(SUMPRODUCT(MAX((T_PlannedOrders[Part Name]=$A1069)*(T_PlannedOrders[WeekIndex]=104)*(T_PlannedOrders[EffectiveQty]&gt;0)*T_PlannedOrders[Order_Month])),"m月")&amp;"発注)")</f>
        <v/>
      </c>
    </row>
    <row r="1076">
      <c r="B1076" s="9" t="inlineStr">
        <is>
          <t>合計在庫(週末時点,kg)</t>
        </is>
      </c>
      <c r="D1076">
        <f>'Grid_Stock'!B44</f>
        <v/>
      </c>
      <c r="E1076">
        <f>'Grid_Stock'!C44</f>
        <v/>
      </c>
      <c r="F1076">
        <f>'Grid_Stock'!D44</f>
        <v/>
      </c>
      <c r="G1076">
        <f>'Grid_Stock'!E44</f>
        <v/>
      </c>
      <c r="H1076">
        <f>'Grid_Stock'!F44</f>
        <v/>
      </c>
      <c r="I1076">
        <f>'Grid_Stock'!G44</f>
        <v/>
      </c>
      <c r="J1076">
        <f>'Grid_Stock'!H44</f>
        <v/>
      </c>
      <c r="K1076">
        <f>'Grid_Stock'!I44</f>
        <v/>
      </c>
      <c r="L1076">
        <f>'Grid_Stock'!J44</f>
        <v/>
      </c>
      <c r="M1076">
        <f>'Grid_Stock'!K44</f>
        <v/>
      </c>
      <c r="N1076">
        <f>'Grid_Stock'!L44</f>
        <v/>
      </c>
      <c r="O1076">
        <f>'Grid_Stock'!M44</f>
        <v/>
      </c>
      <c r="P1076">
        <f>'Grid_Stock'!N44</f>
        <v/>
      </c>
      <c r="Q1076">
        <f>'Grid_Stock'!O44</f>
        <v/>
      </c>
      <c r="R1076">
        <f>'Grid_Stock'!P44</f>
        <v/>
      </c>
      <c r="S1076">
        <f>'Grid_Stock'!Q44</f>
        <v/>
      </c>
      <c r="T1076">
        <f>'Grid_Stock'!R44</f>
        <v/>
      </c>
      <c r="U1076">
        <f>'Grid_Stock'!S44</f>
        <v/>
      </c>
      <c r="V1076">
        <f>'Grid_Stock'!T44</f>
        <v/>
      </c>
      <c r="W1076">
        <f>'Grid_Stock'!U44</f>
        <v/>
      </c>
      <c r="X1076">
        <f>'Grid_Stock'!V44</f>
        <v/>
      </c>
      <c r="Y1076">
        <f>'Grid_Stock'!W44</f>
        <v/>
      </c>
      <c r="Z1076">
        <f>'Grid_Stock'!X44</f>
        <v/>
      </c>
      <c r="AA1076">
        <f>'Grid_Stock'!Y44</f>
        <v/>
      </c>
      <c r="AB1076">
        <f>'Grid_Stock'!Z44</f>
        <v/>
      </c>
      <c r="AC1076">
        <f>'Grid_Stock'!AA44</f>
        <v/>
      </c>
      <c r="AD1076">
        <f>'Grid_Stock'!AB44</f>
        <v/>
      </c>
      <c r="AE1076">
        <f>'Grid_Stock'!AC44</f>
        <v/>
      </c>
      <c r="AF1076">
        <f>'Grid_Stock'!AD44</f>
        <v/>
      </c>
      <c r="AG1076">
        <f>'Grid_Stock'!AE44</f>
        <v/>
      </c>
      <c r="AH1076">
        <f>'Grid_Stock'!AF44</f>
        <v/>
      </c>
      <c r="AI1076">
        <f>'Grid_Stock'!AG44</f>
        <v/>
      </c>
      <c r="AJ1076">
        <f>'Grid_Stock'!AH44</f>
        <v/>
      </c>
      <c r="AK1076">
        <f>'Grid_Stock'!AI44</f>
        <v/>
      </c>
      <c r="AL1076">
        <f>'Grid_Stock'!AJ44</f>
        <v/>
      </c>
      <c r="AM1076">
        <f>'Grid_Stock'!AK44</f>
        <v/>
      </c>
      <c r="AN1076">
        <f>'Grid_Stock'!AL44</f>
        <v/>
      </c>
      <c r="AO1076">
        <f>'Grid_Stock'!AM44</f>
        <v/>
      </c>
      <c r="AP1076">
        <f>'Grid_Stock'!AN44</f>
        <v/>
      </c>
      <c r="AQ1076">
        <f>'Grid_Stock'!AO44</f>
        <v/>
      </c>
      <c r="AR1076">
        <f>'Grid_Stock'!AP44</f>
        <v/>
      </c>
      <c r="AS1076">
        <f>'Grid_Stock'!AQ44</f>
        <v/>
      </c>
      <c r="AT1076">
        <f>'Grid_Stock'!AR44</f>
        <v/>
      </c>
      <c r="AU1076">
        <f>'Grid_Stock'!AS44</f>
        <v/>
      </c>
      <c r="AV1076">
        <f>'Grid_Stock'!AT44</f>
        <v/>
      </c>
      <c r="AW1076">
        <f>'Grid_Stock'!AU44</f>
        <v/>
      </c>
      <c r="AX1076">
        <f>'Grid_Stock'!AV44</f>
        <v/>
      </c>
      <c r="AY1076">
        <f>'Grid_Stock'!AW44</f>
        <v/>
      </c>
      <c r="AZ1076">
        <f>'Grid_Stock'!AX44</f>
        <v/>
      </c>
      <c r="BA1076">
        <f>'Grid_Stock'!AY44</f>
        <v/>
      </c>
      <c r="BB1076">
        <f>'Grid_Stock'!AZ44</f>
        <v/>
      </c>
      <c r="BC1076">
        <f>'Grid_Stock'!BA44</f>
        <v/>
      </c>
      <c r="BD1076">
        <f>'Grid_Stock'!BB44</f>
        <v/>
      </c>
      <c r="BE1076">
        <f>'Grid_Stock'!BC44</f>
        <v/>
      </c>
      <c r="BF1076">
        <f>'Grid_Stock'!BD44</f>
        <v/>
      </c>
      <c r="BG1076">
        <f>'Grid_Stock'!BE44</f>
        <v/>
      </c>
      <c r="BH1076">
        <f>'Grid_Stock'!BF44</f>
        <v/>
      </c>
      <c r="BI1076">
        <f>'Grid_Stock'!BG44</f>
        <v/>
      </c>
      <c r="BJ1076">
        <f>'Grid_Stock'!BH44</f>
        <v/>
      </c>
      <c r="BK1076">
        <f>'Grid_Stock'!BI44</f>
        <v/>
      </c>
      <c r="BL1076">
        <f>'Grid_Stock'!BJ44</f>
        <v/>
      </c>
      <c r="BM1076">
        <f>'Grid_Stock'!BK44</f>
        <v/>
      </c>
      <c r="BN1076">
        <f>'Grid_Stock'!BL44</f>
        <v/>
      </c>
      <c r="BO1076">
        <f>'Grid_Stock'!BM44</f>
        <v/>
      </c>
      <c r="BP1076">
        <f>'Grid_Stock'!BN44</f>
        <v/>
      </c>
      <c r="BQ1076">
        <f>'Grid_Stock'!BO44</f>
        <v/>
      </c>
      <c r="BR1076">
        <f>'Grid_Stock'!BP44</f>
        <v/>
      </c>
      <c r="BS1076">
        <f>'Grid_Stock'!BQ44</f>
        <v/>
      </c>
      <c r="BT1076">
        <f>'Grid_Stock'!BR44</f>
        <v/>
      </c>
      <c r="BU1076">
        <f>'Grid_Stock'!BS44</f>
        <v/>
      </c>
      <c r="BV1076">
        <f>'Grid_Stock'!BT44</f>
        <v/>
      </c>
      <c r="BW1076">
        <f>'Grid_Stock'!BU44</f>
        <v/>
      </c>
      <c r="BX1076">
        <f>'Grid_Stock'!BV44</f>
        <v/>
      </c>
      <c r="BY1076">
        <f>'Grid_Stock'!BW44</f>
        <v/>
      </c>
      <c r="BZ1076">
        <f>'Grid_Stock'!BX44</f>
        <v/>
      </c>
      <c r="CA1076">
        <f>'Grid_Stock'!BY44</f>
        <v/>
      </c>
      <c r="CB1076">
        <f>'Grid_Stock'!BZ44</f>
        <v/>
      </c>
      <c r="CC1076">
        <f>'Grid_Stock'!CA44</f>
        <v/>
      </c>
      <c r="CD1076">
        <f>'Grid_Stock'!CB44</f>
        <v/>
      </c>
      <c r="CE1076">
        <f>'Grid_Stock'!CC44</f>
        <v/>
      </c>
      <c r="CF1076">
        <f>'Grid_Stock'!CD44</f>
        <v/>
      </c>
      <c r="CG1076">
        <f>'Grid_Stock'!CE44</f>
        <v/>
      </c>
      <c r="CH1076">
        <f>'Grid_Stock'!CF44</f>
        <v/>
      </c>
      <c r="CI1076">
        <f>'Grid_Stock'!CG44</f>
        <v/>
      </c>
      <c r="CJ1076">
        <f>'Grid_Stock'!CH44</f>
        <v/>
      </c>
      <c r="CK1076">
        <f>'Grid_Stock'!CI44</f>
        <v/>
      </c>
      <c r="CL1076">
        <f>'Grid_Stock'!CJ44</f>
        <v/>
      </c>
      <c r="CM1076">
        <f>'Grid_Stock'!CK44</f>
        <v/>
      </c>
      <c r="CN1076">
        <f>'Grid_Stock'!CL44</f>
        <v/>
      </c>
      <c r="CO1076">
        <f>'Grid_Stock'!CM44</f>
        <v/>
      </c>
      <c r="CP1076">
        <f>'Grid_Stock'!CN44</f>
        <v/>
      </c>
      <c r="CQ1076">
        <f>'Grid_Stock'!CO44</f>
        <v/>
      </c>
      <c r="CR1076">
        <f>'Grid_Stock'!CP44</f>
        <v/>
      </c>
      <c r="CS1076">
        <f>'Grid_Stock'!CQ44</f>
        <v/>
      </c>
      <c r="CT1076">
        <f>'Grid_Stock'!CR44</f>
        <v/>
      </c>
      <c r="CU1076">
        <f>'Grid_Stock'!CS44</f>
        <v/>
      </c>
      <c r="CV1076">
        <f>'Grid_Stock'!CT44</f>
        <v/>
      </c>
      <c r="CW1076">
        <f>'Grid_Stock'!CU44</f>
        <v/>
      </c>
      <c r="CX1076">
        <f>'Grid_Stock'!CV44</f>
        <v/>
      </c>
      <c r="CY1076">
        <f>'Grid_Stock'!CW44</f>
        <v/>
      </c>
      <c r="CZ1076">
        <f>'Grid_Stock'!CX44</f>
        <v/>
      </c>
      <c r="DA1076">
        <f>'Grid_Stock'!CY44</f>
        <v/>
      </c>
      <c r="DB1076">
        <f>'Grid_Stock'!CZ44</f>
        <v/>
      </c>
      <c r="DC1076">
        <f>'Grid_Stock'!DA44</f>
        <v/>
      </c>
    </row>
    <row r="1077">
      <c r="B1077" s="21" t="inlineStr">
        <is>
          <t>（発注の目安はDashboardの基準在庫[下限/上限]と色分けを参照）</t>
        </is>
      </c>
    </row>
    <row r="1079">
      <c r="A1079" s="19" t="inlineStr">
        <is>
          <t>9RN</t>
        </is>
      </c>
      <c r="B1079" s="19" t="inlineStr">
        <is>
          <t>N30S89R11WF7  4FK13117080</t>
        </is>
      </c>
      <c r="C1079" s="20" t="n"/>
      <c r="D1079" s="19" t="n"/>
      <c r="E1079" s="19" t="n"/>
      <c r="F1079" s="19" t="n"/>
      <c r="G1079" s="19" t="n"/>
      <c r="H1079" s="19" t="n"/>
      <c r="I1079" s="19" t="n"/>
      <c r="J1079" s="19" t="n"/>
      <c r="K1079" s="19" t="n"/>
      <c r="L1079" s="19" t="n"/>
      <c r="M1079" s="19" t="n"/>
      <c r="N1079" s="19" t="n"/>
      <c r="O1079" s="19" t="n"/>
      <c r="P1079" s="19" t="n"/>
      <c r="Q1079" s="19" t="n"/>
      <c r="R1079" s="19" t="n"/>
      <c r="S1079" s="19" t="n"/>
      <c r="T1079" s="19" t="n"/>
      <c r="U1079" s="19" t="n"/>
      <c r="V1079" s="19" t="n"/>
      <c r="W1079" s="19" t="n"/>
      <c r="X1079" s="19" t="n"/>
      <c r="Y1079" s="19" t="n"/>
      <c r="Z1079" s="19" t="n"/>
      <c r="AA1079" s="19" t="n"/>
      <c r="AB1079" s="19" t="n"/>
      <c r="AC1079" s="19" t="n"/>
      <c r="AD1079" s="19" t="n"/>
      <c r="AE1079" s="19" t="n"/>
      <c r="AF1079" s="19" t="n"/>
      <c r="AG1079" s="19" t="n"/>
      <c r="AH1079" s="19" t="n"/>
      <c r="AI1079" s="19" t="n"/>
      <c r="AJ1079" s="19" t="n"/>
      <c r="AK1079" s="19" t="n"/>
      <c r="AL1079" s="19" t="n"/>
      <c r="AM1079" s="19" t="n"/>
      <c r="AN1079" s="19" t="n"/>
      <c r="AO1079" s="19" t="n"/>
      <c r="AP1079" s="19" t="n"/>
      <c r="AQ1079" s="19" t="n"/>
      <c r="AR1079" s="19" t="n"/>
      <c r="AS1079" s="19" t="n"/>
      <c r="AT1079" s="19" t="n"/>
      <c r="AU1079" s="19" t="n"/>
      <c r="AV1079" s="19" t="n"/>
      <c r="AW1079" s="19" t="n"/>
      <c r="AX1079" s="19" t="n"/>
      <c r="AY1079" s="19" t="n"/>
      <c r="AZ1079" s="19" t="n"/>
      <c r="BA1079" s="19" t="n"/>
      <c r="BB1079" s="19" t="n"/>
      <c r="BC1079" s="19" t="n"/>
      <c r="BD1079" s="19" t="n"/>
      <c r="BE1079" s="19" t="n"/>
      <c r="BF1079" s="19" t="n"/>
      <c r="BG1079" s="19" t="n"/>
      <c r="BH1079" s="19" t="n"/>
      <c r="BI1079" s="19" t="n"/>
      <c r="BJ1079" s="19" t="n"/>
      <c r="BK1079" s="19" t="n"/>
      <c r="BL1079" s="19" t="n"/>
      <c r="BM1079" s="19" t="n"/>
      <c r="BN1079" s="19" t="n"/>
      <c r="BO1079" s="19" t="n"/>
      <c r="BP1079" s="19" t="n"/>
      <c r="BQ1079" s="19" t="n"/>
      <c r="BR1079" s="19" t="n"/>
      <c r="BS1079" s="19" t="n"/>
      <c r="BT1079" s="19" t="n"/>
      <c r="BU1079" s="19" t="n"/>
      <c r="BV1079" s="19" t="n"/>
      <c r="BW1079" s="19" t="n"/>
      <c r="BX1079" s="19" t="n"/>
      <c r="BY1079" s="19" t="n"/>
      <c r="BZ1079" s="19" t="n"/>
      <c r="CA1079" s="19" t="n"/>
      <c r="CB1079" s="19" t="n"/>
      <c r="CC1079" s="19" t="n"/>
      <c r="CD1079" s="19" t="n"/>
      <c r="CE1079" s="19" t="n"/>
      <c r="CF1079" s="19" t="n"/>
      <c r="CG1079" s="19" t="n"/>
      <c r="CH1079" s="19" t="n"/>
      <c r="CI1079" s="19" t="n"/>
      <c r="CJ1079" s="19" t="n"/>
      <c r="CK1079" s="19" t="n"/>
      <c r="CL1079" s="19" t="n"/>
      <c r="CM1079" s="19" t="n"/>
      <c r="CN1079" s="19" t="n"/>
      <c r="CO1079" s="19" t="n"/>
      <c r="CP1079" s="19" t="n"/>
      <c r="CQ1079" s="19" t="n"/>
      <c r="CR1079" s="19" t="n"/>
      <c r="CS1079" s="19" t="n"/>
      <c r="CT1079" s="19" t="n"/>
      <c r="CU1079" s="19" t="n"/>
      <c r="CV1079" s="19" t="n"/>
      <c r="CW1079" s="19" t="n"/>
      <c r="CX1079" s="19" t="n"/>
      <c r="CY1079" s="19" t="n"/>
      <c r="CZ1079" s="19" t="n"/>
      <c r="DA1079" s="19" t="n"/>
      <c r="DB1079" s="19" t="n"/>
      <c r="DC1079" s="19" t="n"/>
    </row>
    <row r="1080">
      <c r="B1080" t="inlineStr">
        <is>
          <t>K0050</t>
        </is>
      </c>
      <c r="C1080" t="inlineStr">
        <is>
          <t>No. of batches</t>
        </is>
      </c>
      <c r="D1080">
        <f>IFERROR(INDEX(PP_Grid[#Data],$DD1080,2),0)</f>
        <v/>
      </c>
      <c r="E1080">
        <f>IFERROR(INDEX(PP_Grid[#Data],$DD1080,3),0)</f>
        <v/>
      </c>
      <c r="F1080">
        <f>IFERROR(INDEX(PP_Grid[#Data],$DD1080,4),0)</f>
        <v/>
      </c>
      <c r="G1080">
        <f>IFERROR(INDEX(PP_Grid[#Data],$DD1080,5),0)</f>
        <v/>
      </c>
      <c r="H1080">
        <f>IFERROR(INDEX(PP_Grid[#Data],$DD1080,6),0)</f>
        <v/>
      </c>
      <c r="I1080">
        <f>IFERROR(INDEX(PP_Grid[#Data],$DD1080,7),0)</f>
        <v/>
      </c>
      <c r="J1080">
        <f>IFERROR(INDEX(PP_Grid[#Data],$DD1080,8),0)</f>
        <v/>
      </c>
      <c r="K1080">
        <f>IFERROR(INDEX(PP_Grid[#Data],$DD1080,9),0)</f>
        <v/>
      </c>
      <c r="L1080">
        <f>IFERROR(INDEX(PP_Grid[#Data],$DD1080,10),0)</f>
        <v/>
      </c>
      <c r="M1080">
        <f>IFERROR(INDEX(PP_Grid[#Data],$DD1080,11),0)</f>
        <v/>
      </c>
      <c r="N1080">
        <f>IFERROR(INDEX(PP_Grid[#Data],$DD1080,12),0)</f>
        <v/>
      </c>
      <c r="O1080">
        <f>IFERROR(INDEX(PP_Grid[#Data],$DD1080,13),0)</f>
        <v/>
      </c>
      <c r="P1080">
        <f>IFERROR(INDEX(PP_Grid[#Data],$DD1080,14),0)</f>
        <v/>
      </c>
      <c r="Q1080">
        <f>IFERROR(INDEX(PP_Grid[#Data],$DD1080,15),0)</f>
        <v/>
      </c>
      <c r="R1080">
        <f>IFERROR(INDEX(PP_Grid[#Data],$DD1080,16),0)</f>
        <v/>
      </c>
      <c r="S1080">
        <f>IFERROR(INDEX(PP_Grid[#Data],$DD1080,17),0)</f>
        <v/>
      </c>
      <c r="T1080">
        <f>IFERROR(INDEX(PP_Grid[#Data],$DD1080,18),0)</f>
        <v/>
      </c>
      <c r="U1080">
        <f>IFERROR(INDEX(PP_Grid[#Data],$DD1080,19),0)</f>
        <v/>
      </c>
      <c r="V1080">
        <f>IFERROR(INDEX(PP_Grid[#Data],$DD1080,20),0)</f>
        <v/>
      </c>
      <c r="W1080">
        <f>IFERROR(INDEX(PP_Grid[#Data],$DD1080,21),0)</f>
        <v/>
      </c>
      <c r="X1080">
        <f>IFERROR(INDEX(PP_Grid[#Data],$DD1080,22),0)</f>
        <v/>
      </c>
      <c r="Y1080">
        <f>IFERROR(INDEX(PP_Grid[#Data],$DD1080,23),0)</f>
        <v/>
      </c>
      <c r="Z1080">
        <f>IFERROR(INDEX(PP_Grid[#Data],$DD1080,24),0)</f>
        <v/>
      </c>
      <c r="AA1080">
        <f>IFERROR(INDEX(PP_Grid[#Data],$DD1080,25),0)</f>
        <v/>
      </c>
      <c r="AB1080">
        <f>IFERROR(INDEX(PP_Grid[#Data],$DD1080,26),0)</f>
        <v/>
      </c>
      <c r="AC1080">
        <f>IFERROR(INDEX(PP_Grid[#Data],$DD1080,27),0)</f>
        <v/>
      </c>
      <c r="AD1080">
        <f>IFERROR(INDEX(PP_Grid[#Data],$DD1080,28),0)</f>
        <v/>
      </c>
      <c r="AE1080">
        <f>IFERROR(INDEX(PP_Grid[#Data],$DD1080,29),0)</f>
        <v/>
      </c>
      <c r="AF1080">
        <f>IFERROR(INDEX(PP_Grid[#Data],$DD1080,30),0)</f>
        <v/>
      </c>
      <c r="AG1080">
        <f>IFERROR(INDEX(PP_Grid[#Data],$DD1080,31),0)</f>
        <v/>
      </c>
      <c r="AH1080">
        <f>IFERROR(INDEX(PP_Grid[#Data],$DD1080,32),0)</f>
        <v/>
      </c>
      <c r="AI1080">
        <f>IFERROR(INDEX(PP_Grid[#Data],$DD1080,33),0)</f>
        <v/>
      </c>
      <c r="AJ1080">
        <f>IFERROR(INDEX(PP_Grid[#Data],$DD1080,34),0)</f>
        <v/>
      </c>
      <c r="AK1080">
        <f>IFERROR(INDEX(PP_Grid[#Data],$DD1080,35),0)</f>
        <v/>
      </c>
      <c r="AL1080">
        <f>IFERROR(INDEX(PP_Grid[#Data],$DD1080,36),0)</f>
        <v/>
      </c>
      <c r="AM1080">
        <f>IFERROR(INDEX(PP_Grid[#Data],$DD1080,37),0)</f>
        <v/>
      </c>
      <c r="AN1080">
        <f>IFERROR(INDEX(PP_Grid[#Data],$DD1080,38),0)</f>
        <v/>
      </c>
      <c r="AO1080">
        <f>IFERROR(INDEX(PP_Grid[#Data],$DD1080,39),0)</f>
        <v/>
      </c>
      <c r="AP1080">
        <f>IFERROR(INDEX(PP_Grid[#Data],$DD1080,40),0)</f>
        <v/>
      </c>
      <c r="AQ1080">
        <f>IFERROR(INDEX(PP_Grid[#Data],$DD1080,41),0)</f>
        <v/>
      </c>
      <c r="AR1080">
        <f>IFERROR(INDEX(PP_Grid[#Data],$DD1080,42),0)</f>
        <v/>
      </c>
      <c r="AS1080">
        <f>IFERROR(INDEX(PP_Grid[#Data],$DD1080,43),0)</f>
        <v/>
      </c>
      <c r="AT1080">
        <f>IFERROR(INDEX(PP_Grid[#Data],$DD1080,44),0)</f>
        <v/>
      </c>
      <c r="AU1080">
        <f>IFERROR(INDEX(PP_Grid[#Data],$DD1080,45),0)</f>
        <v/>
      </c>
      <c r="AV1080">
        <f>IFERROR(INDEX(PP_Grid[#Data],$DD1080,46),0)</f>
        <v/>
      </c>
      <c r="AW1080">
        <f>IFERROR(INDEX(PP_Grid[#Data],$DD1080,47),0)</f>
        <v/>
      </c>
      <c r="AX1080">
        <f>IFERROR(INDEX(PP_Grid[#Data],$DD1080,48),0)</f>
        <v/>
      </c>
      <c r="AY1080">
        <f>IFERROR(INDEX(PP_Grid[#Data],$DD1080,49),0)</f>
        <v/>
      </c>
      <c r="AZ1080">
        <f>IFERROR(INDEX(PP_Grid[#Data],$DD1080,50),0)</f>
        <v/>
      </c>
      <c r="BA1080">
        <f>IFERROR(INDEX(PP_Grid[#Data],$DD1080,51),0)</f>
        <v/>
      </c>
      <c r="BB1080">
        <f>IFERROR(INDEX(PP_Grid[#Data],$DD1080,52),0)</f>
        <v/>
      </c>
      <c r="BC1080">
        <f>IFERROR(INDEX(PP_Grid[#Data],$DD1080,53),0)</f>
        <v/>
      </c>
      <c r="BD1080">
        <f>IFERROR(INDEX(PP_Grid[#Data],$DD1080,54),0)</f>
        <v/>
      </c>
      <c r="BE1080">
        <f>IFERROR(INDEX(PP_Grid[#Data],$DD1080,55),0)</f>
        <v/>
      </c>
      <c r="BF1080">
        <f>IFERROR(INDEX(PP_Grid[#Data],$DD1080,56),0)</f>
        <v/>
      </c>
      <c r="BG1080">
        <f>IFERROR(INDEX(PP_Grid[#Data],$DD1080,57),0)</f>
        <v/>
      </c>
      <c r="BH1080">
        <f>IFERROR(INDEX(PP_Grid[#Data],$DD1080,58),0)</f>
        <v/>
      </c>
      <c r="BI1080">
        <f>IFERROR(INDEX(PP_Grid[#Data],$DD1080,59),0)</f>
        <v/>
      </c>
      <c r="BJ1080">
        <f>IFERROR(INDEX(PP_Grid[#Data],$DD1080,60),0)</f>
        <v/>
      </c>
      <c r="BK1080">
        <f>IFERROR(INDEX(PP_Grid[#Data],$DD1080,61),0)</f>
        <v/>
      </c>
      <c r="BL1080">
        <f>IFERROR(INDEX(PP_Grid[#Data],$DD1080,62),0)</f>
        <v/>
      </c>
      <c r="BM1080">
        <f>IFERROR(INDEX(PP_Grid[#Data],$DD1080,63),0)</f>
        <v/>
      </c>
      <c r="BN1080">
        <f>IFERROR(INDEX(PP_Grid[#Data],$DD1080,64),0)</f>
        <v/>
      </c>
      <c r="BO1080">
        <f>IFERROR(INDEX(PP_Grid[#Data],$DD1080,65),0)</f>
        <v/>
      </c>
      <c r="BP1080">
        <f>IFERROR(INDEX(PP_Grid[#Data],$DD1080,66),0)</f>
        <v/>
      </c>
      <c r="BQ1080">
        <f>IFERROR(INDEX(PP_Grid[#Data],$DD1080,67),0)</f>
        <v/>
      </c>
      <c r="BR1080">
        <f>IFERROR(INDEX(PP_Grid[#Data],$DD1080,68),0)</f>
        <v/>
      </c>
      <c r="BS1080">
        <f>IFERROR(INDEX(PP_Grid[#Data],$DD1080,69),0)</f>
        <v/>
      </c>
      <c r="BT1080">
        <f>IFERROR(INDEX(PP_Grid[#Data],$DD1080,70),0)</f>
        <v/>
      </c>
      <c r="BU1080">
        <f>IFERROR(INDEX(PP_Grid[#Data],$DD1080,71),0)</f>
        <v/>
      </c>
      <c r="BV1080">
        <f>IFERROR(INDEX(PP_Grid[#Data],$DD1080,72),0)</f>
        <v/>
      </c>
      <c r="BW1080">
        <f>IFERROR(INDEX(PP_Grid[#Data],$DD1080,73),0)</f>
        <v/>
      </c>
      <c r="BX1080">
        <f>IFERROR(INDEX(PP_Grid[#Data],$DD1080,74),0)</f>
        <v/>
      </c>
      <c r="BY1080">
        <f>IFERROR(INDEX(PP_Grid[#Data],$DD1080,75),0)</f>
        <v/>
      </c>
      <c r="BZ1080">
        <f>IFERROR(INDEX(PP_Grid[#Data],$DD1080,76),0)</f>
        <v/>
      </c>
      <c r="CA1080">
        <f>IFERROR(INDEX(PP_Grid[#Data],$DD1080,77),0)</f>
        <v/>
      </c>
      <c r="CB1080">
        <f>IFERROR(INDEX(PP_Grid[#Data],$DD1080,78),0)</f>
        <v/>
      </c>
      <c r="CC1080">
        <f>IFERROR(INDEX(PP_Grid[#Data],$DD1080,79),0)</f>
        <v/>
      </c>
      <c r="CD1080">
        <f>IFERROR(INDEX(PP_Grid[#Data],$DD1080,80),0)</f>
        <v/>
      </c>
      <c r="CE1080">
        <f>IFERROR(INDEX(PP_Grid[#Data],$DD1080,81),0)</f>
        <v/>
      </c>
      <c r="CF1080">
        <f>IFERROR(INDEX(PP_Grid[#Data],$DD1080,82),0)</f>
        <v/>
      </c>
      <c r="CG1080">
        <f>IFERROR(INDEX(PP_Grid[#Data],$DD1080,83),0)</f>
        <v/>
      </c>
      <c r="CH1080">
        <f>IFERROR(INDEX(PP_Grid[#Data],$DD1080,84),0)</f>
        <v/>
      </c>
      <c r="CI1080">
        <f>IFERROR(INDEX(PP_Grid[#Data],$DD1080,85),0)</f>
        <v/>
      </c>
      <c r="CJ1080">
        <f>IFERROR(INDEX(PP_Grid[#Data],$DD1080,86),0)</f>
        <v/>
      </c>
      <c r="CK1080">
        <f>IFERROR(INDEX(PP_Grid[#Data],$DD1080,87),0)</f>
        <v/>
      </c>
      <c r="CL1080">
        <f>IFERROR(INDEX(PP_Grid[#Data],$DD1080,88),0)</f>
        <v/>
      </c>
      <c r="CM1080">
        <f>IFERROR(INDEX(PP_Grid[#Data],$DD1080,89),0)</f>
        <v/>
      </c>
      <c r="CN1080">
        <f>IFERROR(INDEX(PP_Grid[#Data],$DD1080,90),0)</f>
        <v/>
      </c>
      <c r="CO1080">
        <f>IFERROR(INDEX(PP_Grid[#Data],$DD1080,91),0)</f>
        <v/>
      </c>
      <c r="CP1080">
        <f>IFERROR(INDEX(PP_Grid[#Data],$DD1080,92),0)</f>
        <v/>
      </c>
      <c r="CQ1080">
        <f>IFERROR(INDEX(PP_Grid[#Data],$DD1080,93),0)</f>
        <v/>
      </c>
      <c r="CR1080">
        <f>IFERROR(INDEX(PP_Grid[#Data],$DD1080,94),0)</f>
        <v/>
      </c>
      <c r="CS1080">
        <f>IFERROR(INDEX(PP_Grid[#Data],$DD1080,95),0)</f>
        <v/>
      </c>
      <c r="CT1080">
        <f>IFERROR(INDEX(PP_Grid[#Data],$DD1080,96),0)</f>
        <v/>
      </c>
      <c r="CU1080">
        <f>IFERROR(INDEX(PP_Grid[#Data],$DD1080,97),0)</f>
        <v/>
      </c>
      <c r="CV1080">
        <f>IFERROR(INDEX(PP_Grid[#Data],$DD1080,98),0)</f>
        <v/>
      </c>
      <c r="CW1080">
        <f>IFERROR(INDEX(PP_Grid[#Data],$DD1080,99),0)</f>
        <v/>
      </c>
      <c r="CX1080">
        <f>IFERROR(INDEX(PP_Grid[#Data],$DD1080,100),0)</f>
        <v/>
      </c>
      <c r="CY1080">
        <f>IFERROR(INDEX(PP_Grid[#Data],$DD1080,101),0)</f>
        <v/>
      </c>
      <c r="CZ1080">
        <f>IFERROR(INDEX(PP_Grid[#Data],$DD1080,102),0)</f>
        <v/>
      </c>
      <c r="DA1080">
        <f>IFERROR(INDEX(PP_Grid[#Data],$DD1080,103),0)</f>
        <v/>
      </c>
      <c r="DB1080">
        <f>IFERROR(INDEX(PP_Grid[#Data],$DD1080,104),0)</f>
        <v/>
      </c>
      <c r="DC1080">
        <f>IFERROR(INDEX(PP_Grid[#Data],$DD1080,105),0)</f>
        <v/>
      </c>
      <c r="DD1080" s="12">
        <f>IFERROR(MATCH($B1080,PP_Grid[Intermediate],0),99999)</f>
        <v/>
      </c>
    </row>
    <row r="1081">
      <c r="B1081" t="inlineStr">
        <is>
          <t>使用量(kg)</t>
        </is>
      </c>
      <c r="C1081">
        <f>SUMIFS(M_BOM[RM_Qty_Per_Batch],M_BOM[Intermediate],$B1080,M_BOM[Part Name],$A1079)</f>
        <v/>
      </c>
      <c r="D1081">
        <f>$C1081*D1080</f>
        <v/>
      </c>
      <c r="E1081">
        <f>$C1081*E1080</f>
        <v/>
      </c>
      <c r="F1081">
        <f>$C1081*F1080</f>
        <v/>
      </c>
      <c r="G1081">
        <f>$C1081*G1080</f>
        <v/>
      </c>
      <c r="H1081">
        <f>$C1081*H1080</f>
        <v/>
      </c>
      <c r="I1081">
        <f>$C1081*I1080</f>
        <v/>
      </c>
      <c r="J1081">
        <f>$C1081*J1080</f>
        <v/>
      </c>
      <c r="K1081">
        <f>$C1081*K1080</f>
        <v/>
      </c>
      <c r="L1081">
        <f>$C1081*L1080</f>
        <v/>
      </c>
      <c r="M1081">
        <f>$C1081*M1080</f>
        <v/>
      </c>
      <c r="N1081">
        <f>$C1081*N1080</f>
        <v/>
      </c>
      <c r="O1081">
        <f>$C1081*O1080</f>
        <v/>
      </c>
      <c r="P1081">
        <f>$C1081*P1080</f>
        <v/>
      </c>
      <c r="Q1081">
        <f>$C1081*Q1080</f>
        <v/>
      </c>
      <c r="R1081">
        <f>$C1081*R1080</f>
        <v/>
      </c>
      <c r="S1081">
        <f>$C1081*S1080</f>
        <v/>
      </c>
      <c r="T1081">
        <f>$C1081*T1080</f>
        <v/>
      </c>
      <c r="U1081">
        <f>$C1081*U1080</f>
        <v/>
      </c>
      <c r="V1081">
        <f>$C1081*V1080</f>
        <v/>
      </c>
      <c r="W1081">
        <f>$C1081*W1080</f>
        <v/>
      </c>
      <c r="X1081">
        <f>$C1081*X1080</f>
        <v/>
      </c>
      <c r="Y1081">
        <f>$C1081*Y1080</f>
        <v/>
      </c>
      <c r="Z1081">
        <f>$C1081*Z1080</f>
        <v/>
      </c>
      <c r="AA1081">
        <f>$C1081*AA1080</f>
        <v/>
      </c>
      <c r="AB1081">
        <f>$C1081*AB1080</f>
        <v/>
      </c>
      <c r="AC1081">
        <f>$C1081*AC1080</f>
        <v/>
      </c>
      <c r="AD1081">
        <f>$C1081*AD1080</f>
        <v/>
      </c>
      <c r="AE1081">
        <f>$C1081*AE1080</f>
        <v/>
      </c>
      <c r="AF1081">
        <f>$C1081*AF1080</f>
        <v/>
      </c>
      <c r="AG1081">
        <f>$C1081*AG1080</f>
        <v/>
      </c>
      <c r="AH1081">
        <f>$C1081*AH1080</f>
        <v/>
      </c>
      <c r="AI1081">
        <f>$C1081*AI1080</f>
        <v/>
      </c>
      <c r="AJ1081">
        <f>$C1081*AJ1080</f>
        <v/>
      </c>
      <c r="AK1081">
        <f>$C1081*AK1080</f>
        <v/>
      </c>
      <c r="AL1081">
        <f>$C1081*AL1080</f>
        <v/>
      </c>
      <c r="AM1081">
        <f>$C1081*AM1080</f>
        <v/>
      </c>
      <c r="AN1081">
        <f>$C1081*AN1080</f>
        <v/>
      </c>
      <c r="AO1081">
        <f>$C1081*AO1080</f>
        <v/>
      </c>
      <c r="AP1081">
        <f>$C1081*AP1080</f>
        <v/>
      </c>
      <c r="AQ1081">
        <f>$C1081*AQ1080</f>
        <v/>
      </c>
      <c r="AR1081">
        <f>$C1081*AR1080</f>
        <v/>
      </c>
      <c r="AS1081">
        <f>$C1081*AS1080</f>
        <v/>
      </c>
      <c r="AT1081">
        <f>$C1081*AT1080</f>
        <v/>
      </c>
      <c r="AU1081">
        <f>$C1081*AU1080</f>
        <v/>
      </c>
      <c r="AV1081">
        <f>$C1081*AV1080</f>
        <v/>
      </c>
      <c r="AW1081">
        <f>$C1081*AW1080</f>
        <v/>
      </c>
      <c r="AX1081">
        <f>$C1081*AX1080</f>
        <v/>
      </c>
      <c r="AY1081">
        <f>$C1081*AY1080</f>
        <v/>
      </c>
      <c r="AZ1081">
        <f>$C1081*AZ1080</f>
        <v/>
      </c>
      <c r="BA1081">
        <f>$C1081*BA1080</f>
        <v/>
      </c>
      <c r="BB1081">
        <f>$C1081*BB1080</f>
        <v/>
      </c>
      <c r="BC1081">
        <f>$C1081*BC1080</f>
        <v/>
      </c>
      <c r="BD1081">
        <f>$C1081*BD1080</f>
        <v/>
      </c>
      <c r="BE1081">
        <f>$C1081*BE1080</f>
        <v/>
      </c>
      <c r="BF1081">
        <f>$C1081*BF1080</f>
        <v/>
      </c>
      <c r="BG1081">
        <f>$C1081*BG1080</f>
        <v/>
      </c>
      <c r="BH1081">
        <f>$C1081*BH1080</f>
        <v/>
      </c>
      <c r="BI1081">
        <f>$C1081*BI1080</f>
        <v/>
      </c>
      <c r="BJ1081">
        <f>$C1081*BJ1080</f>
        <v/>
      </c>
      <c r="BK1081">
        <f>$C1081*BK1080</f>
        <v/>
      </c>
      <c r="BL1081">
        <f>$C1081*BL1080</f>
        <v/>
      </c>
      <c r="BM1081">
        <f>$C1081*BM1080</f>
        <v/>
      </c>
      <c r="BN1081">
        <f>$C1081*BN1080</f>
        <v/>
      </c>
      <c r="BO1081">
        <f>$C1081*BO1080</f>
        <v/>
      </c>
      <c r="BP1081">
        <f>$C1081*BP1080</f>
        <v/>
      </c>
      <c r="BQ1081">
        <f>$C1081*BQ1080</f>
        <v/>
      </c>
      <c r="BR1081">
        <f>$C1081*BR1080</f>
        <v/>
      </c>
      <c r="BS1081">
        <f>$C1081*BS1080</f>
        <v/>
      </c>
      <c r="BT1081">
        <f>$C1081*BT1080</f>
        <v/>
      </c>
      <c r="BU1081">
        <f>$C1081*BU1080</f>
        <v/>
      </c>
      <c r="BV1081">
        <f>$C1081*BV1080</f>
        <v/>
      </c>
      <c r="BW1081">
        <f>$C1081*BW1080</f>
        <v/>
      </c>
      <c r="BX1081">
        <f>$C1081*BX1080</f>
        <v/>
      </c>
      <c r="BY1081">
        <f>$C1081*BY1080</f>
        <v/>
      </c>
      <c r="BZ1081">
        <f>$C1081*BZ1080</f>
        <v/>
      </c>
      <c r="CA1081">
        <f>$C1081*CA1080</f>
        <v/>
      </c>
      <c r="CB1081">
        <f>$C1081*CB1080</f>
        <v/>
      </c>
      <c r="CC1081">
        <f>$C1081*CC1080</f>
        <v/>
      </c>
      <c r="CD1081">
        <f>$C1081*CD1080</f>
        <v/>
      </c>
      <c r="CE1081">
        <f>$C1081*CE1080</f>
        <v/>
      </c>
      <c r="CF1081">
        <f>$C1081*CF1080</f>
        <v/>
      </c>
      <c r="CG1081">
        <f>$C1081*CG1080</f>
        <v/>
      </c>
      <c r="CH1081">
        <f>$C1081*CH1080</f>
        <v/>
      </c>
      <c r="CI1081">
        <f>$C1081*CI1080</f>
        <v/>
      </c>
      <c r="CJ1081">
        <f>$C1081*CJ1080</f>
        <v/>
      </c>
      <c r="CK1081">
        <f>$C1081*CK1080</f>
        <v/>
      </c>
      <c r="CL1081">
        <f>$C1081*CL1080</f>
        <v/>
      </c>
      <c r="CM1081">
        <f>$C1081*CM1080</f>
        <v/>
      </c>
      <c r="CN1081">
        <f>$C1081*CN1080</f>
        <v/>
      </c>
      <c r="CO1081">
        <f>$C1081*CO1080</f>
        <v/>
      </c>
      <c r="CP1081">
        <f>$C1081*CP1080</f>
        <v/>
      </c>
      <c r="CQ1081">
        <f>$C1081*CQ1080</f>
        <v/>
      </c>
      <c r="CR1081">
        <f>$C1081*CR1080</f>
        <v/>
      </c>
      <c r="CS1081">
        <f>$C1081*CS1080</f>
        <v/>
      </c>
      <c r="CT1081">
        <f>$C1081*CT1080</f>
        <v/>
      </c>
      <c r="CU1081">
        <f>$C1081*CU1080</f>
        <v/>
      </c>
      <c r="CV1081">
        <f>$C1081*CV1080</f>
        <v/>
      </c>
      <c r="CW1081">
        <f>$C1081*CW1080</f>
        <v/>
      </c>
      <c r="CX1081">
        <f>$C1081*CX1080</f>
        <v/>
      </c>
      <c r="CY1081">
        <f>$C1081*CY1080</f>
        <v/>
      </c>
      <c r="CZ1081">
        <f>$C1081*CZ1080</f>
        <v/>
      </c>
      <c r="DA1081">
        <f>$C1081*DA1080</f>
        <v/>
      </c>
      <c r="DB1081">
        <f>$C1081*DB1080</f>
        <v/>
      </c>
      <c r="DC1081">
        <f>$C1081*DC1080</f>
        <v/>
      </c>
    </row>
    <row r="1082">
      <c r="B1082" s="9" t="inlineStr">
        <is>
          <t>合計使用量(kg)/週</t>
        </is>
      </c>
      <c r="D1082">
        <f>'Grid_Requirement'!B14</f>
        <v/>
      </c>
      <c r="E1082">
        <f>'Grid_Requirement'!C14</f>
        <v/>
      </c>
      <c r="F1082">
        <f>'Grid_Requirement'!D14</f>
        <v/>
      </c>
      <c r="G1082">
        <f>'Grid_Requirement'!E14</f>
        <v/>
      </c>
      <c r="H1082">
        <f>'Grid_Requirement'!F14</f>
        <v/>
      </c>
      <c r="I1082">
        <f>'Grid_Requirement'!G14</f>
        <v/>
      </c>
      <c r="J1082">
        <f>'Grid_Requirement'!H14</f>
        <v/>
      </c>
      <c r="K1082">
        <f>'Grid_Requirement'!I14</f>
        <v/>
      </c>
      <c r="L1082">
        <f>'Grid_Requirement'!J14</f>
        <v/>
      </c>
      <c r="M1082">
        <f>'Grid_Requirement'!K14</f>
        <v/>
      </c>
      <c r="N1082">
        <f>'Grid_Requirement'!L14</f>
        <v/>
      </c>
      <c r="O1082">
        <f>'Grid_Requirement'!M14</f>
        <v/>
      </c>
      <c r="P1082">
        <f>'Grid_Requirement'!N14</f>
        <v/>
      </c>
      <c r="Q1082">
        <f>'Grid_Requirement'!O14</f>
        <v/>
      </c>
      <c r="R1082">
        <f>'Grid_Requirement'!P14</f>
        <v/>
      </c>
      <c r="S1082">
        <f>'Grid_Requirement'!Q14</f>
        <v/>
      </c>
      <c r="T1082">
        <f>'Grid_Requirement'!R14</f>
        <v/>
      </c>
      <c r="U1082">
        <f>'Grid_Requirement'!S14</f>
        <v/>
      </c>
      <c r="V1082">
        <f>'Grid_Requirement'!T14</f>
        <v/>
      </c>
      <c r="W1082">
        <f>'Grid_Requirement'!U14</f>
        <v/>
      </c>
      <c r="X1082">
        <f>'Grid_Requirement'!V14</f>
        <v/>
      </c>
      <c r="Y1082">
        <f>'Grid_Requirement'!W14</f>
        <v/>
      </c>
      <c r="Z1082">
        <f>'Grid_Requirement'!X14</f>
        <v/>
      </c>
      <c r="AA1082">
        <f>'Grid_Requirement'!Y14</f>
        <v/>
      </c>
      <c r="AB1082">
        <f>'Grid_Requirement'!Z14</f>
        <v/>
      </c>
      <c r="AC1082">
        <f>'Grid_Requirement'!AA14</f>
        <v/>
      </c>
      <c r="AD1082">
        <f>'Grid_Requirement'!AB14</f>
        <v/>
      </c>
      <c r="AE1082">
        <f>'Grid_Requirement'!AC14</f>
        <v/>
      </c>
      <c r="AF1082">
        <f>'Grid_Requirement'!AD14</f>
        <v/>
      </c>
      <c r="AG1082">
        <f>'Grid_Requirement'!AE14</f>
        <v/>
      </c>
      <c r="AH1082">
        <f>'Grid_Requirement'!AF14</f>
        <v/>
      </c>
      <c r="AI1082">
        <f>'Grid_Requirement'!AG14</f>
        <v/>
      </c>
      <c r="AJ1082">
        <f>'Grid_Requirement'!AH14</f>
        <v/>
      </c>
      <c r="AK1082">
        <f>'Grid_Requirement'!AI14</f>
        <v/>
      </c>
      <c r="AL1082">
        <f>'Grid_Requirement'!AJ14</f>
        <v/>
      </c>
      <c r="AM1082">
        <f>'Grid_Requirement'!AK14</f>
        <v/>
      </c>
      <c r="AN1082">
        <f>'Grid_Requirement'!AL14</f>
        <v/>
      </c>
      <c r="AO1082">
        <f>'Grid_Requirement'!AM14</f>
        <v/>
      </c>
      <c r="AP1082">
        <f>'Grid_Requirement'!AN14</f>
        <v/>
      </c>
      <c r="AQ1082">
        <f>'Grid_Requirement'!AO14</f>
        <v/>
      </c>
      <c r="AR1082">
        <f>'Grid_Requirement'!AP14</f>
        <v/>
      </c>
      <c r="AS1082">
        <f>'Grid_Requirement'!AQ14</f>
        <v/>
      </c>
      <c r="AT1082">
        <f>'Grid_Requirement'!AR14</f>
        <v/>
      </c>
      <c r="AU1082">
        <f>'Grid_Requirement'!AS14</f>
        <v/>
      </c>
      <c r="AV1082">
        <f>'Grid_Requirement'!AT14</f>
        <v/>
      </c>
      <c r="AW1082">
        <f>'Grid_Requirement'!AU14</f>
        <v/>
      </c>
      <c r="AX1082">
        <f>'Grid_Requirement'!AV14</f>
        <v/>
      </c>
      <c r="AY1082">
        <f>'Grid_Requirement'!AW14</f>
        <v/>
      </c>
      <c r="AZ1082">
        <f>'Grid_Requirement'!AX14</f>
        <v/>
      </c>
      <c r="BA1082">
        <f>'Grid_Requirement'!AY14</f>
        <v/>
      </c>
      <c r="BB1082">
        <f>'Grid_Requirement'!AZ14</f>
        <v/>
      </c>
      <c r="BC1082">
        <f>'Grid_Requirement'!BA14</f>
        <v/>
      </c>
      <c r="BD1082">
        <f>'Grid_Requirement'!BB14</f>
        <v/>
      </c>
      <c r="BE1082">
        <f>'Grid_Requirement'!BC14</f>
        <v/>
      </c>
      <c r="BF1082">
        <f>'Grid_Requirement'!BD14</f>
        <v/>
      </c>
      <c r="BG1082">
        <f>'Grid_Requirement'!BE14</f>
        <v/>
      </c>
      <c r="BH1082">
        <f>'Grid_Requirement'!BF14</f>
        <v/>
      </c>
      <c r="BI1082">
        <f>'Grid_Requirement'!BG14</f>
        <v/>
      </c>
      <c r="BJ1082">
        <f>'Grid_Requirement'!BH14</f>
        <v/>
      </c>
      <c r="BK1082">
        <f>'Grid_Requirement'!BI14</f>
        <v/>
      </c>
      <c r="BL1082">
        <f>'Grid_Requirement'!BJ14</f>
        <v/>
      </c>
      <c r="BM1082">
        <f>'Grid_Requirement'!BK14</f>
        <v/>
      </c>
      <c r="BN1082">
        <f>'Grid_Requirement'!BL14</f>
        <v/>
      </c>
      <c r="BO1082">
        <f>'Grid_Requirement'!BM14</f>
        <v/>
      </c>
      <c r="BP1082">
        <f>'Grid_Requirement'!BN14</f>
        <v/>
      </c>
      <c r="BQ1082">
        <f>'Grid_Requirement'!BO14</f>
        <v/>
      </c>
      <c r="BR1082">
        <f>'Grid_Requirement'!BP14</f>
        <v/>
      </c>
      <c r="BS1082">
        <f>'Grid_Requirement'!BQ14</f>
        <v/>
      </c>
      <c r="BT1082">
        <f>'Grid_Requirement'!BR14</f>
        <v/>
      </c>
      <c r="BU1082">
        <f>'Grid_Requirement'!BS14</f>
        <v/>
      </c>
      <c r="BV1082">
        <f>'Grid_Requirement'!BT14</f>
        <v/>
      </c>
      <c r="BW1082">
        <f>'Grid_Requirement'!BU14</f>
        <v/>
      </c>
      <c r="BX1082">
        <f>'Grid_Requirement'!BV14</f>
        <v/>
      </c>
      <c r="BY1082">
        <f>'Grid_Requirement'!BW14</f>
        <v/>
      </c>
      <c r="BZ1082">
        <f>'Grid_Requirement'!BX14</f>
        <v/>
      </c>
      <c r="CA1082">
        <f>'Grid_Requirement'!BY14</f>
        <v/>
      </c>
      <c r="CB1082">
        <f>'Grid_Requirement'!BZ14</f>
        <v/>
      </c>
      <c r="CC1082">
        <f>'Grid_Requirement'!CA14</f>
        <v/>
      </c>
      <c r="CD1082">
        <f>'Grid_Requirement'!CB14</f>
        <v/>
      </c>
      <c r="CE1082">
        <f>'Grid_Requirement'!CC14</f>
        <v/>
      </c>
      <c r="CF1082">
        <f>'Grid_Requirement'!CD14</f>
        <v/>
      </c>
      <c r="CG1082">
        <f>'Grid_Requirement'!CE14</f>
        <v/>
      </c>
      <c r="CH1082">
        <f>'Grid_Requirement'!CF14</f>
        <v/>
      </c>
      <c r="CI1082">
        <f>'Grid_Requirement'!CG14</f>
        <v/>
      </c>
      <c r="CJ1082">
        <f>'Grid_Requirement'!CH14</f>
        <v/>
      </c>
      <c r="CK1082">
        <f>'Grid_Requirement'!CI14</f>
        <v/>
      </c>
      <c r="CL1082">
        <f>'Grid_Requirement'!CJ14</f>
        <v/>
      </c>
      <c r="CM1082">
        <f>'Grid_Requirement'!CK14</f>
        <v/>
      </c>
      <c r="CN1082">
        <f>'Grid_Requirement'!CL14</f>
        <v/>
      </c>
      <c r="CO1082">
        <f>'Grid_Requirement'!CM14</f>
        <v/>
      </c>
      <c r="CP1082">
        <f>'Grid_Requirement'!CN14</f>
        <v/>
      </c>
      <c r="CQ1082">
        <f>'Grid_Requirement'!CO14</f>
        <v/>
      </c>
      <c r="CR1082">
        <f>'Grid_Requirement'!CP14</f>
        <v/>
      </c>
      <c r="CS1082">
        <f>'Grid_Requirement'!CQ14</f>
        <v/>
      </c>
      <c r="CT1082">
        <f>'Grid_Requirement'!CR14</f>
        <v/>
      </c>
      <c r="CU1082">
        <f>'Grid_Requirement'!CS14</f>
        <v/>
      </c>
      <c r="CV1082">
        <f>'Grid_Requirement'!CT14</f>
        <v/>
      </c>
      <c r="CW1082">
        <f>'Grid_Requirement'!CU14</f>
        <v/>
      </c>
      <c r="CX1082">
        <f>'Grid_Requirement'!CV14</f>
        <v/>
      </c>
      <c r="CY1082">
        <f>'Grid_Requirement'!CW14</f>
        <v/>
      </c>
      <c r="CZ1082">
        <f>'Grid_Requirement'!CX14</f>
        <v/>
      </c>
      <c r="DA1082">
        <f>'Grid_Requirement'!CY14</f>
        <v/>
      </c>
      <c r="DB1082">
        <f>'Grid_Requirement'!CZ14</f>
        <v/>
      </c>
      <c r="DC1082">
        <f>'Grid_Requirement'!DA14</f>
        <v/>
      </c>
    </row>
    <row r="1083">
      <c r="B1083" t="inlineStr">
        <is>
          <t>TTAF在庫(実績,kg)</t>
        </is>
      </c>
      <c r="D1083">
        <f>'T_TTAFStock'!B18</f>
        <v/>
      </c>
      <c r="E1083">
        <f>'T_TTAFStock'!C18</f>
        <v/>
      </c>
      <c r="F1083">
        <f>'T_TTAFStock'!D18</f>
        <v/>
      </c>
      <c r="G1083">
        <f>'T_TTAFStock'!E18</f>
        <v/>
      </c>
      <c r="H1083">
        <f>'T_TTAFStock'!F18</f>
        <v/>
      </c>
      <c r="I1083">
        <f>'T_TTAFStock'!G18</f>
        <v/>
      </c>
      <c r="J1083">
        <f>'T_TTAFStock'!H18</f>
        <v/>
      </c>
      <c r="K1083">
        <f>'T_TTAFStock'!I18</f>
        <v/>
      </c>
      <c r="L1083">
        <f>'T_TTAFStock'!J18</f>
        <v/>
      </c>
      <c r="M1083">
        <f>'T_TTAFStock'!K18</f>
        <v/>
      </c>
      <c r="N1083">
        <f>'T_TTAFStock'!L18</f>
        <v/>
      </c>
      <c r="O1083">
        <f>'T_TTAFStock'!M18</f>
        <v/>
      </c>
      <c r="P1083">
        <f>'T_TTAFStock'!N18</f>
        <v/>
      </c>
      <c r="Q1083">
        <f>'T_TTAFStock'!O18</f>
        <v/>
      </c>
      <c r="R1083">
        <f>'T_TTAFStock'!P18</f>
        <v/>
      </c>
      <c r="S1083">
        <f>'T_TTAFStock'!Q18</f>
        <v/>
      </c>
      <c r="T1083">
        <f>'T_TTAFStock'!R18</f>
        <v/>
      </c>
      <c r="U1083">
        <f>'T_TTAFStock'!S18</f>
        <v/>
      </c>
      <c r="V1083">
        <f>'T_TTAFStock'!T18</f>
        <v/>
      </c>
      <c r="W1083">
        <f>'T_TTAFStock'!U18</f>
        <v/>
      </c>
      <c r="X1083">
        <f>'T_TTAFStock'!V18</f>
        <v/>
      </c>
      <c r="Y1083">
        <f>'T_TTAFStock'!W18</f>
        <v/>
      </c>
      <c r="Z1083">
        <f>'T_TTAFStock'!X18</f>
        <v/>
      </c>
      <c r="AA1083">
        <f>'T_TTAFStock'!Y18</f>
        <v/>
      </c>
      <c r="AB1083">
        <f>'T_TTAFStock'!Z18</f>
        <v/>
      </c>
      <c r="AC1083">
        <f>'T_TTAFStock'!AA18</f>
        <v/>
      </c>
      <c r="AD1083">
        <f>'T_TTAFStock'!AB18</f>
        <v/>
      </c>
      <c r="AE1083">
        <f>'T_TTAFStock'!AC18</f>
        <v/>
      </c>
      <c r="AF1083">
        <f>'T_TTAFStock'!AD18</f>
        <v/>
      </c>
      <c r="AG1083">
        <f>'T_TTAFStock'!AE18</f>
        <v/>
      </c>
      <c r="AH1083">
        <f>'T_TTAFStock'!AF18</f>
        <v/>
      </c>
      <c r="AI1083">
        <f>'T_TTAFStock'!AG18</f>
        <v/>
      </c>
      <c r="AJ1083">
        <f>'T_TTAFStock'!AH18</f>
        <v/>
      </c>
      <c r="AK1083">
        <f>'T_TTAFStock'!AI18</f>
        <v/>
      </c>
      <c r="AL1083">
        <f>'T_TTAFStock'!AJ18</f>
        <v/>
      </c>
      <c r="AM1083">
        <f>'T_TTAFStock'!AK18</f>
        <v/>
      </c>
      <c r="AN1083">
        <f>'T_TTAFStock'!AL18</f>
        <v/>
      </c>
      <c r="AO1083">
        <f>'T_TTAFStock'!AM18</f>
        <v/>
      </c>
      <c r="AP1083">
        <f>'T_TTAFStock'!AN18</f>
        <v/>
      </c>
      <c r="AQ1083">
        <f>'T_TTAFStock'!AO18</f>
        <v/>
      </c>
      <c r="AR1083">
        <f>'T_TTAFStock'!AP18</f>
        <v/>
      </c>
      <c r="AS1083">
        <f>'T_TTAFStock'!AQ18</f>
        <v/>
      </c>
      <c r="AT1083">
        <f>'T_TTAFStock'!AR18</f>
        <v/>
      </c>
      <c r="AU1083">
        <f>'T_TTAFStock'!AS18</f>
        <v/>
      </c>
      <c r="AV1083">
        <f>'T_TTAFStock'!AT18</f>
        <v/>
      </c>
      <c r="AW1083">
        <f>'T_TTAFStock'!AU18</f>
        <v/>
      </c>
      <c r="AX1083">
        <f>'T_TTAFStock'!AV18</f>
        <v/>
      </c>
      <c r="AY1083">
        <f>'T_TTAFStock'!AW18</f>
        <v/>
      </c>
      <c r="AZ1083">
        <f>'T_TTAFStock'!AX18</f>
        <v/>
      </c>
      <c r="BA1083">
        <f>'T_TTAFStock'!AY18</f>
        <v/>
      </c>
      <c r="BB1083">
        <f>'T_TTAFStock'!AZ18</f>
        <v/>
      </c>
      <c r="BC1083">
        <f>'T_TTAFStock'!BA18</f>
        <v/>
      </c>
      <c r="BD1083">
        <f>'T_TTAFStock'!BB18</f>
        <v/>
      </c>
      <c r="BE1083">
        <f>'T_TTAFStock'!BC18</f>
        <v/>
      </c>
      <c r="BF1083">
        <f>'T_TTAFStock'!BD18</f>
        <v/>
      </c>
      <c r="BG1083">
        <f>'T_TTAFStock'!BE18</f>
        <v/>
      </c>
      <c r="BH1083">
        <f>'T_TTAFStock'!BF18</f>
        <v/>
      </c>
      <c r="BI1083">
        <f>'T_TTAFStock'!BG18</f>
        <v/>
      </c>
      <c r="BJ1083">
        <f>'T_TTAFStock'!BH18</f>
        <v/>
      </c>
      <c r="BK1083">
        <f>'T_TTAFStock'!BI18</f>
        <v/>
      </c>
      <c r="BL1083">
        <f>'T_TTAFStock'!BJ18</f>
        <v/>
      </c>
      <c r="BM1083">
        <f>'T_TTAFStock'!BK18</f>
        <v/>
      </c>
      <c r="BN1083">
        <f>'T_TTAFStock'!BL18</f>
        <v/>
      </c>
      <c r="BO1083">
        <f>'T_TTAFStock'!BM18</f>
        <v/>
      </c>
      <c r="BP1083">
        <f>'T_TTAFStock'!BN18</f>
        <v/>
      </c>
      <c r="BQ1083">
        <f>'T_TTAFStock'!BO18</f>
        <v/>
      </c>
      <c r="BR1083">
        <f>'T_TTAFStock'!BP18</f>
        <v/>
      </c>
      <c r="BS1083">
        <f>'T_TTAFStock'!BQ18</f>
        <v/>
      </c>
      <c r="BT1083">
        <f>'T_TTAFStock'!BR18</f>
        <v/>
      </c>
      <c r="BU1083">
        <f>'T_TTAFStock'!BS18</f>
        <v/>
      </c>
      <c r="BV1083">
        <f>'T_TTAFStock'!BT18</f>
        <v/>
      </c>
      <c r="BW1083">
        <f>'T_TTAFStock'!BU18</f>
        <v/>
      </c>
      <c r="BX1083">
        <f>'T_TTAFStock'!BV18</f>
        <v/>
      </c>
      <c r="BY1083">
        <f>'T_TTAFStock'!BW18</f>
        <v/>
      </c>
      <c r="BZ1083">
        <f>'T_TTAFStock'!BX18</f>
        <v/>
      </c>
      <c r="CA1083">
        <f>'T_TTAFStock'!BY18</f>
        <v/>
      </c>
      <c r="CB1083">
        <f>'T_TTAFStock'!BZ18</f>
        <v/>
      </c>
      <c r="CC1083">
        <f>'T_TTAFStock'!CA18</f>
        <v/>
      </c>
      <c r="CD1083">
        <f>'T_TTAFStock'!CB18</f>
        <v/>
      </c>
      <c r="CE1083">
        <f>'T_TTAFStock'!CC18</f>
        <v/>
      </c>
      <c r="CF1083">
        <f>'T_TTAFStock'!CD18</f>
        <v/>
      </c>
      <c r="CG1083">
        <f>'T_TTAFStock'!CE18</f>
        <v/>
      </c>
      <c r="CH1083">
        <f>'T_TTAFStock'!CF18</f>
        <v/>
      </c>
      <c r="CI1083">
        <f>'T_TTAFStock'!CG18</f>
        <v/>
      </c>
      <c r="CJ1083">
        <f>'T_TTAFStock'!CH18</f>
        <v/>
      </c>
      <c r="CK1083">
        <f>'T_TTAFStock'!CI18</f>
        <v/>
      </c>
      <c r="CL1083">
        <f>'T_TTAFStock'!CJ18</f>
        <v/>
      </c>
      <c r="CM1083">
        <f>'T_TTAFStock'!CK18</f>
        <v/>
      </c>
      <c r="CN1083">
        <f>'T_TTAFStock'!CL18</f>
        <v/>
      </c>
      <c r="CO1083">
        <f>'T_TTAFStock'!CM18</f>
        <v/>
      </c>
      <c r="CP1083">
        <f>'T_TTAFStock'!CN18</f>
        <v/>
      </c>
      <c r="CQ1083">
        <f>'T_TTAFStock'!CO18</f>
        <v/>
      </c>
      <c r="CR1083">
        <f>'T_TTAFStock'!CP18</f>
        <v/>
      </c>
      <c r="CS1083">
        <f>'T_TTAFStock'!CQ18</f>
        <v/>
      </c>
      <c r="CT1083">
        <f>'T_TTAFStock'!CR18</f>
        <v/>
      </c>
      <c r="CU1083">
        <f>'T_TTAFStock'!CS18</f>
        <v/>
      </c>
      <c r="CV1083">
        <f>'T_TTAFStock'!CT18</f>
        <v/>
      </c>
      <c r="CW1083">
        <f>'T_TTAFStock'!CU18</f>
        <v/>
      </c>
      <c r="CX1083">
        <f>'T_TTAFStock'!CV18</f>
        <v/>
      </c>
      <c r="CY1083">
        <f>'T_TTAFStock'!CW18</f>
        <v/>
      </c>
      <c r="CZ1083">
        <f>'T_TTAFStock'!CX18</f>
        <v/>
      </c>
      <c r="DA1083">
        <f>'T_TTAFStock'!CY18</f>
        <v/>
      </c>
      <c r="DB1083">
        <f>'T_TTAFStock'!CZ18</f>
        <v/>
      </c>
      <c r="DC1083">
        <f>'T_TTAFStock'!DA18</f>
        <v/>
      </c>
    </row>
    <row r="1084">
      <c r="B1084" t="inlineStr">
        <is>
          <t>自社在庫(実績,kg)</t>
        </is>
      </c>
      <c r="D1084">
        <f>'T_SelfStock'!B18</f>
        <v/>
      </c>
      <c r="E1084">
        <f>'T_SelfStock'!C18</f>
        <v/>
      </c>
      <c r="F1084">
        <f>'T_SelfStock'!D18</f>
        <v/>
      </c>
      <c r="G1084">
        <f>'T_SelfStock'!E18</f>
        <v/>
      </c>
      <c r="H1084">
        <f>'T_SelfStock'!F18</f>
        <v/>
      </c>
      <c r="I1084">
        <f>'T_SelfStock'!G18</f>
        <v/>
      </c>
      <c r="J1084">
        <f>'T_SelfStock'!H18</f>
        <v/>
      </c>
      <c r="K1084">
        <f>'T_SelfStock'!I18</f>
        <v/>
      </c>
      <c r="L1084">
        <f>'T_SelfStock'!J18</f>
        <v/>
      </c>
      <c r="M1084">
        <f>'T_SelfStock'!K18</f>
        <v/>
      </c>
      <c r="N1084">
        <f>'T_SelfStock'!L18</f>
        <v/>
      </c>
      <c r="O1084">
        <f>'T_SelfStock'!M18</f>
        <v/>
      </c>
      <c r="P1084">
        <f>'T_SelfStock'!N18</f>
        <v/>
      </c>
      <c r="Q1084">
        <f>'T_SelfStock'!O18</f>
        <v/>
      </c>
      <c r="R1084">
        <f>'T_SelfStock'!P18</f>
        <v/>
      </c>
      <c r="S1084">
        <f>'T_SelfStock'!Q18</f>
        <v/>
      </c>
      <c r="T1084">
        <f>'T_SelfStock'!R18</f>
        <v/>
      </c>
      <c r="U1084">
        <f>'T_SelfStock'!S18</f>
        <v/>
      </c>
      <c r="V1084">
        <f>'T_SelfStock'!T18</f>
        <v/>
      </c>
      <c r="W1084">
        <f>'T_SelfStock'!U18</f>
        <v/>
      </c>
      <c r="X1084">
        <f>'T_SelfStock'!V18</f>
        <v/>
      </c>
      <c r="Y1084">
        <f>'T_SelfStock'!W18</f>
        <v/>
      </c>
      <c r="Z1084">
        <f>'T_SelfStock'!X18</f>
        <v/>
      </c>
      <c r="AA1084">
        <f>'T_SelfStock'!Y18</f>
        <v/>
      </c>
      <c r="AB1084">
        <f>'T_SelfStock'!Z18</f>
        <v/>
      </c>
      <c r="AC1084">
        <f>'T_SelfStock'!AA18</f>
        <v/>
      </c>
      <c r="AD1084">
        <f>'T_SelfStock'!AB18</f>
        <v/>
      </c>
      <c r="AE1084">
        <f>'T_SelfStock'!AC18</f>
        <v/>
      </c>
      <c r="AF1084">
        <f>'T_SelfStock'!AD18</f>
        <v/>
      </c>
      <c r="AG1084">
        <f>'T_SelfStock'!AE18</f>
        <v/>
      </c>
      <c r="AH1084">
        <f>'T_SelfStock'!AF18</f>
        <v/>
      </c>
      <c r="AI1084">
        <f>'T_SelfStock'!AG18</f>
        <v/>
      </c>
      <c r="AJ1084">
        <f>'T_SelfStock'!AH18</f>
        <v/>
      </c>
      <c r="AK1084">
        <f>'T_SelfStock'!AI18</f>
        <v/>
      </c>
      <c r="AL1084">
        <f>'T_SelfStock'!AJ18</f>
        <v/>
      </c>
      <c r="AM1084">
        <f>'T_SelfStock'!AK18</f>
        <v/>
      </c>
      <c r="AN1084">
        <f>'T_SelfStock'!AL18</f>
        <v/>
      </c>
      <c r="AO1084">
        <f>'T_SelfStock'!AM18</f>
        <v/>
      </c>
      <c r="AP1084">
        <f>'T_SelfStock'!AN18</f>
        <v/>
      </c>
      <c r="AQ1084">
        <f>'T_SelfStock'!AO18</f>
        <v/>
      </c>
      <c r="AR1084">
        <f>'T_SelfStock'!AP18</f>
        <v/>
      </c>
      <c r="AS1084">
        <f>'T_SelfStock'!AQ18</f>
        <v/>
      </c>
      <c r="AT1084">
        <f>'T_SelfStock'!AR18</f>
        <v/>
      </c>
      <c r="AU1084">
        <f>'T_SelfStock'!AS18</f>
        <v/>
      </c>
      <c r="AV1084">
        <f>'T_SelfStock'!AT18</f>
        <v/>
      </c>
      <c r="AW1084">
        <f>'T_SelfStock'!AU18</f>
        <v/>
      </c>
      <c r="AX1084">
        <f>'T_SelfStock'!AV18</f>
        <v/>
      </c>
      <c r="AY1084">
        <f>'T_SelfStock'!AW18</f>
        <v/>
      </c>
      <c r="AZ1084">
        <f>'T_SelfStock'!AX18</f>
        <v/>
      </c>
      <c r="BA1084">
        <f>'T_SelfStock'!AY18</f>
        <v/>
      </c>
      <c r="BB1084">
        <f>'T_SelfStock'!AZ18</f>
        <v/>
      </c>
      <c r="BC1084">
        <f>'T_SelfStock'!BA18</f>
        <v/>
      </c>
      <c r="BD1084">
        <f>'T_SelfStock'!BB18</f>
        <v/>
      </c>
      <c r="BE1084">
        <f>'T_SelfStock'!BC18</f>
        <v/>
      </c>
      <c r="BF1084">
        <f>'T_SelfStock'!BD18</f>
        <v/>
      </c>
      <c r="BG1084">
        <f>'T_SelfStock'!BE18</f>
        <v/>
      </c>
      <c r="BH1084">
        <f>'T_SelfStock'!BF18</f>
        <v/>
      </c>
      <c r="BI1084">
        <f>'T_SelfStock'!BG18</f>
        <v/>
      </c>
      <c r="BJ1084">
        <f>'T_SelfStock'!BH18</f>
        <v/>
      </c>
      <c r="BK1084">
        <f>'T_SelfStock'!BI18</f>
        <v/>
      </c>
      <c r="BL1084">
        <f>'T_SelfStock'!BJ18</f>
        <v/>
      </c>
      <c r="BM1084">
        <f>'T_SelfStock'!BK18</f>
        <v/>
      </c>
      <c r="BN1084">
        <f>'T_SelfStock'!BL18</f>
        <v/>
      </c>
      <c r="BO1084">
        <f>'T_SelfStock'!BM18</f>
        <v/>
      </c>
      <c r="BP1084">
        <f>'T_SelfStock'!BN18</f>
        <v/>
      </c>
      <c r="BQ1084">
        <f>'T_SelfStock'!BO18</f>
        <v/>
      </c>
      <c r="BR1084">
        <f>'T_SelfStock'!BP18</f>
        <v/>
      </c>
      <c r="BS1084">
        <f>'T_SelfStock'!BQ18</f>
        <v/>
      </c>
      <c r="BT1084">
        <f>'T_SelfStock'!BR18</f>
        <v/>
      </c>
      <c r="BU1084">
        <f>'T_SelfStock'!BS18</f>
        <v/>
      </c>
      <c r="BV1084">
        <f>'T_SelfStock'!BT18</f>
        <v/>
      </c>
      <c r="BW1084">
        <f>'T_SelfStock'!BU18</f>
        <v/>
      </c>
      <c r="BX1084">
        <f>'T_SelfStock'!BV18</f>
        <v/>
      </c>
      <c r="BY1084">
        <f>'T_SelfStock'!BW18</f>
        <v/>
      </c>
      <c r="BZ1084">
        <f>'T_SelfStock'!BX18</f>
        <v/>
      </c>
      <c r="CA1084">
        <f>'T_SelfStock'!BY18</f>
        <v/>
      </c>
      <c r="CB1084">
        <f>'T_SelfStock'!BZ18</f>
        <v/>
      </c>
      <c r="CC1084">
        <f>'T_SelfStock'!CA18</f>
        <v/>
      </c>
      <c r="CD1084">
        <f>'T_SelfStock'!CB18</f>
        <v/>
      </c>
      <c r="CE1084">
        <f>'T_SelfStock'!CC18</f>
        <v/>
      </c>
      <c r="CF1084">
        <f>'T_SelfStock'!CD18</f>
        <v/>
      </c>
      <c r="CG1084">
        <f>'T_SelfStock'!CE18</f>
        <v/>
      </c>
      <c r="CH1084">
        <f>'T_SelfStock'!CF18</f>
        <v/>
      </c>
      <c r="CI1084">
        <f>'T_SelfStock'!CG18</f>
        <v/>
      </c>
      <c r="CJ1084">
        <f>'T_SelfStock'!CH18</f>
        <v/>
      </c>
      <c r="CK1084">
        <f>'T_SelfStock'!CI18</f>
        <v/>
      </c>
      <c r="CL1084">
        <f>'T_SelfStock'!CJ18</f>
        <v/>
      </c>
      <c r="CM1084">
        <f>'T_SelfStock'!CK18</f>
        <v/>
      </c>
      <c r="CN1084">
        <f>'T_SelfStock'!CL18</f>
        <v/>
      </c>
      <c r="CO1084">
        <f>'T_SelfStock'!CM18</f>
        <v/>
      </c>
      <c r="CP1084">
        <f>'T_SelfStock'!CN18</f>
        <v/>
      </c>
      <c r="CQ1084">
        <f>'T_SelfStock'!CO18</f>
        <v/>
      </c>
      <c r="CR1084">
        <f>'T_SelfStock'!CP18</f>
        <v/>
      </c>
      <c r="CS1084">
        <f>'T_SelfStock'!CQ18</f>
        <v/>
      </c>
      <c r="CT1084">
        <f>'T_SelfStock'!CR18</f>
        <v/>
      </c>
      <c r="CU1084">
        <f>'T_SelfStock'!CS18</f>
        <v/>
      </c>
      <c r="CV1084">
        <f>'T_SelfStock'!CT18</f>
        <v/>
      </c>
      <c r="CW1084">
        <f>'T_SelfStock'!CU18</f>
        <v/>
      </c>
      <c r="CX1084">
        <f>'T_SelfStock'!CV18</f>
        <v/>
      </c>
      <c r="CY1084">
        <f>'T_SelfStock'!CW18</f>
        <v/>
      </c>
      <c r="CZ1084">
        <f>'T_SelfStock'!CX18</f>
        <v/>
      </c>
      <c r="DA1084">
        <f>'T_SelfStock'!CY18</f>
        <v/>
      </c>
      <c r="DB1084">
        <f>'T_SelfStock'!CZ18</f>
        <v/>
      </c>
      <c r="DC1084">
        <f>'T_SelfStock'!DA18</f>
        <v/>
      </c>
    </row>
    <row r="1085">
      <c r="B1085" t="inlineStr">
        <is>
          <t>Order(発注予定,kg)</t>
        </is>
      </c>
      <c r="D1085">
        <f>IF(SUMIFS(T_PlannedOrders[EffectiveQty],T_PlannedOrders[Part Name],$A1079,T_PlannedOrders[WeekIndex],1)=0,"",SUMIFS(T_PlannedOrders[EffectiveQty],T_PlannedOrders[Part Name],$A1079,T_PlannedOrders[WeekIndex],1)&amp;" ("&amp;TEXT(SUMPRODUCT(MAX((T_PlannedOrders[Part Name]=$A1079)*(T_PlannedOrders[WeekIndex]=1)*(T_PlannedOrders[EffectiveQty]&gt;0)*T_PlannedOrders[Order_Month])),"m月")&amp;"発注)")</f>
        <v/>
      </c>
      <c r="E1085">
        <f>IF(SUMIFS(T_PlannedOrders[EffectiveQty],T_PlannedOrders[Part Name],$A1079,T_PlannedOrders[WeekIndex],2)=0,"",SUMIFS(T_PlannedOrders[EffectiveQty],T_PlannedOrders[Part Name],$A1079,T_PlannedOrders[WeekIndex],2)&amp;" ("&amp;TEXT(SUMPRODUCT(MAX((T_PlannedOrders[Part Name]=$A1079)*(T_PlannedOrders[WeekIndex]=2)*(T_PlannedOrders[EffectiveQty]&gt;0)*T_PlannedOrders[Order_Month])),"m月")&amp;"発注)")</f>
        <v/>
      </c>
      <c r="F1085">
        <f>IF(SUMIFS(T_PlannedOrders[EffectiveQty],T_PlannedOrders[Part Name],$A1079,T_PlannedOrders[WeekIndex],3)=0,"",SUMIFS(T_PlannedOrders[EffectiveQty],T_PlannedOrders[Part Name],$A1079,T_PlannedOrders[WeekIndex],3)&amp;" ("&amp;TEXT(SUMPRODUCT(MAX((T_PlannedOrders[Part Name]=$A1079)*(T_PlannedOrders[WeekIndex]=3)*(T_PlannedOrders[EffectiveQty]&gt;0)*T_PlannedOrders[Order_Month])),"m月")&amp;"発注)")</f>
        <v/>
      </c>
      <c r="G1085">
        <f>IF(SUMIFS(T_PlannedOrders[EffectiveQty],T_PlannedOrders[Part Name],$A1079,T_PlannedOrders[WeekIndex],4)=0,"",SUMIFS(T_PlannedOrders[EffectiveQty],T_PlannedOrders[Part Name],$A1079,T_PlannedOrders[WeekIndex],4)&amp;" ("&amp;TEXT(SUMPRODUCT(MAX((T_PlannedOrders[Part Name]=$A1079)*(T_PlannedOrders[WeekIndex]=4)*(T_PlannedOrders[EffectiveQty]&gt;0)*T_PlannedOrders[Order_Month])),"m月")&amp;"発注)")</f>
        <v/>
      </c>
      <c r="H1085">
        <f>IF(SUMIFS(T_PlannedOrders[EffectiveQty],T_PlannedOrders[Part Name],$A1079,T_PlannedOrders[WeekIndex],5)=0,"",SUMIFS(T_PlannedOrders[EffectiveQty],T_PlannedOrders[Part Name],$A1079,T_PlannedOrders[WeekIndex],5)&amp;" ("&amp;TEXT(SUMPRODUCT(MAX((T_PlannedOrders[Part Name]=$A1079)*(T_PlannedOrders[WeekIndex]=5)*(T_PlannedOrders[EffectiveQty]&gt;0)*T_PlannedOrders[Order_Month])),"m月")&amp;"発注)")</f>
        <v/>
      </c>
      <c r="I1085">
        <f>IF(SUMIFS(T_PlannedOrders[EffectiveQty],T_PlannedOrders[Part Name],$A1079,T_PlannedOrders[WeekIndex],6)=0,"",SUMIFS(T_PlannedOrders[EffectiveQty],T_PlannedOrders[Part Name],$A1079,T_PlannedOrders[WeekIndex],6)&amp;" ("&amp;TEXT(SUMPRODUCT(MAX((T_PlannedOrders[Part Name]=$A1079)*(T_PlannedOrders[WeekIndex]=6)*(T_PlannedOrders[EffectiveQty]&gt;0)*T_PlannedOrders[Order_Month])),"m月")&amp;"発注)")</f>
        <v/>
      </c>
      <c r="J1085">
        <f>IF(SUMIFS(T_PlannedOrders[EffectiveQty],T_PlannedOrders[Part Name],$A1079,T_PlannedOrders[WeekIndex],7)=0,"",SUMIFS(T_PlannedOrders[EffectiveQty],T_PlannedOrders[Part Name],$A1079,T_PlannedOrders[WeekIndex],7)&amp;" ("&amp;TEXT(SUMPRODUCT(MAX((T_PlannedOrders[Part Name]=$A1079)*(T_PlannedOrders[WeekIndex]=7)*(T_PlannedOrders[EffectiveQty]&gt;0)*T_PlannedOrders[Order_Month])),"m月")&amp;"発注)")</f>
        <v/>
      </c>
      <c r="K1085">
        <f>IF(SUMIFS(T_PlannedOrders[EffectiveQty],T_PlannedOrders[Part Name],$A1079,T_PlannedOrders[WeekIndex],8)=0,"",SUMIFS(T_PlannedOrders[EffectiveQty],T_PlannedOrders[Part Name],$A1079,T_PlannedOrders[WeekIndex],8)&amp;" ("&amp;TEXT(SUMPRODUCT(MAX((T_PlannedOrders[Part Name]=$A1079)*(T_PlannedOrders[WeekIndex]=8)*(T_PlannedOrders[EffectiveQty]&gt;0)*T_PlannedOrders[Order_Month])),"m月")&amp;"発注)")</f>
        <v/>
      </c>
      <c r="L1085">
        <f>IF(SUMIFS(T_PlannedOrders[EffectiveQty],T_PlannedOrders[Part Name],$A1079,T_PlannedOrders[WeekIndex],9)=0,"",SUMIFS(T_PlannedOrders[EffectiveQty],T_PlannedOrders[Part Name],$A1079,T_PlannedOrders[WeekIndex],9)&amp;" ("&amp;TEXT(SUMPRODUCT(MAX((T_PlannedOrders[Part Name]=$A1079)*(T_PlannedOrders[WeekIndex]=9)*(T_PlannedOrders[EffectiveQty]&gt;0)*T_PlannedOrders[Order_Month])),"m月")&amp;"発注)")</f>
        <v/>
      </c>
      <c r="M1085">
        <f>IF(SUMIFS(T_PlannedOrders[EffectiveQty],T_PlannedOrders[Part Name],$A1079,T_PlannedOrders[WeekIndex],10)=0,"",SUMIFS(T_PlannedOrders[EffectiveQty],T_PlannedOrders[Part Name],$A1079,T_PlannedOrders[WeekIndex],10)&amp;" ("&amp;TEXT(SUMPRODUCT(MAX((T_PlannedOrders[Part Name]=$A1079)*(T_PlannedOrders[WeekIndex]=10)*(T_PlannedOrders[EffectiveQty]&gt;0)*T_PlannedOrders[Order_Month])),"m月")&amp;"発注)")</f>
        <v/>
      </c>
      <c r="N1085">
        <f>IF(SUMIFS(T_PlannedOrders[EffectiveQty],T_PlannedOrders[Part Name],$A1079,T_PlannedOrders[WeekIndex],11)=0,"",SUMIFS(T_PlannedOrders[EffectiveQty],T_PlannedOrders[Part Name],$A1079,T_PlannedOrders[WeekIndex],11)&amp;" ("&amp;TEXT(SUMPRODUCT(MAX((T_PlannedOrders[Part Name]=$A1079)*(T_PlannedOrders[WeekIndex]=11)*(T_PlannedOrders[EffectiveQty]&gt;0)*T_PlannedOrders[Order_Month])),"m月")&amp;"発注)")</f>
        <v/>
      </c>
      <c r="O1085">
        <f>IF(SUMIFS(T_PlannedOrders[EffectiveQty],T_PlannedOrders[Part Name],$A1079,T_PlannedOrders[WeekIndex],12)=0,"",SUMIFS(T_PlannedOrders[EffectiveQty],T_PlannedOrders[Part Name],$A1079,T_PlannedOrders[WeekIndex],12)&amp;" ("&amp;TEXT(SUMPRODUCT(MAX((T_PlannedOrders[Part Name]=$A1079)*(T_PlannedOrders[WeekIndex]=12)*(T_PlannedOrders[EffectiveQty]&gt;0)*T_PlannedOrders[Order_Month])),"m月")&amp;"発注)")</f>
        <v/>
      </c>
      <c r="P1085">
        <f>IF(SUMIFS(T_PlannedOrders[EffectiveQty],T_PlannedOrders[Part Name],$A1079,T_PlannedOrders[WeekIndex],13)=0,"",SUMIFS(T_PlannedOrders[EffectiveQty],T_PlannedOrders[Part Name],$A1079,T_PlannedOrders[WeekIndex],13)&amp;" ("&amp;TEXT(SUMPRODUCT(MAX((T_PlannedOrders[Part Name]=$A1079)*(T_PlannedOrders[WeekIndex]=13)*(T_PlannedOrders[EffectiveQty]&gt;0)*T_PlannedOrders[Order_Month])),"m月")&amp;"発注)")</f>
        <v/>
      </c>
      <c r="Q1085">
        <f>IF(SUMIFS(T_PlannedOrders[EffectiveQty],T_PlannedOrders[Part Name],$A1079,T_PlannedOrders[WeekIndex],14)=0,"",SUMIFS(T_PlannedOrders[EffectiveQty],T_PlannedOrders[Part Name],$A1079,T_PlannedOrders[WeekIndex],14)&amp;" ("&amp;TEXT(SUMPRODUCT(MAX((T_PlannedOrders[Part Name]=$A1079)*(T_PlannedOrders[WeekIndex]=14)*(T_PlannedOrders[EffectiveQty]&gt;0)*T_PlannedOrders[Order_Month])),"m月")&amp;"発注)")</f>
        <v/>
      </c>
      <c r="R1085">
        <f>IF(SUMIFS(T_PlannedOrders[EffectiveQty],T_PlannedOrders[Part Name],$A1079,T_PlannedOrders[WeekIndex],15)=0,"",SUMIFS(T_PlannedOrders[EffectiveQty],T_PlannedOrders[Part Name],$A1079,T_PlannedOrders[WeekIndex],15)&amp;" ("&amp;TEXT(SUMPRODUCT(MAX((T_PlannedOrders[Part Name]=$A1079)*(T_PlannedOrders[WeekIndex]=15)*(T_PlannedOrders[EffectiveQty]&gt;0)*T_PlannedOrders[Order_Month])),"m月")&amp;"発注)")</f>
        <v/>
      </c>
      <c r="S1085">
        <f>IF(SUMIFS(T_PlannedOrders[EffectiveQty],T_PlannedOrders[Part Name],$A1079,T_PlannedOrders[WeekIndex],16)=0,"",SUMIFS(T_PlannedOrders[EffectiveQty],T_PlannedOrders[Part Name],$A1079,T_PlannedOrders[WeekIndex],16)&amp;" ("&amp;TEXT(SUMPRODUCT(MAX((T_PlannedOrders[Part Name]=$A1079)*(T_PlannedOrders[WeekIndex]=16)*(T_PlannedOrders[EffectiveQty]&gt;0)*T_PlannedOrders[Order_Month])),"m月")&amp;"発注)")</f>
        <v/>
      </c>
      <c r="T1085">
        <f>IF(SUMIFS(T_PlannedOrders[EffectiveQty],T_PlannedOrders[Part Name],$A1079,T_PlannedOrders[WeekIndex],17)=0,"",SUMIFS(T_PlannedOrders[EffectiveQty],T_PlannedOrders[Part Name],$A1079,T_PlannedOrders[WeekIndex],17)&amp;" ("&amp;TEXT(SUMPRODUCT(MAX((T_PlannedOrders[Part Name]=$A1079)*(T_PlannedOrders[WeekIndex]=17)*(T_PlannedOrders[EffectiveQty]&gt;0)*T_PlannedOrders[Order_Month])),"m月")&amp;"発注)")</f>
        <v/>
      </c>
      <c r="U1085">
        <f>IF(SUMIFS(T_PlannedOrders[EffectiveQty],T_PlannedOrders[Part Name],$A1079,T_PlannedOrders[WeekIndex],18)=0,"",SUMIFS(T_PlannedOrders[EffectiveQty],T_PlannedOrders[Part Name],$A1079,T_PlannedOrders[WeekIndex],18)&amp;" ("&amp;TEXT(SUMPRODUCT(MAX((T_PlannedOrders[Part Name]=$A1079)*(T_PlannedOrders[WeekIndex]=18)*(T_PlannedOrders[EffectiveQty]&gt;0)*T_PlannedOrders[Order_Month])),"m月")&amp;"発注)")</f>
        <v/>
      </c>
      <c r="V1085">
        <f>IF(SUMIFS(T_PlannedOrders[EffectiveQty],T_PlannedOrders[Part Name],$A1079,T_PlannedOrders[WeekIndex],19)=0,"",SUMIFS(T_PlannedOrders[EffectiveQty],T_PlannedOrders[Part Name],$A1079,T_PlannedOrders[WeekIndex],19)&amp;" ("&amp;TEXT(SUMPRODUCT(MAX((T_PlannedOrders[Part Name]=$A1079)*(T_PlannedOrders[WeekIndex]=19)*(T_PlannedOrders[EffectiveQty]&gt;0)*T_PlannedOrders[Order_Month])),"m月")&amp;"発注)")</f>
        <v/>
      </c>
      <c r="W1085">
        <f>IF(SUMIFS(T_PlannedOrders[EffectiveQty],T_PlannedOrders[Part Name],$A1079,T_PlannedOrders[WeekIndex],20)=0,"",SUMIFS(T_PlannedOrders[EffectiveQty],T_PlannedOrders[Part Name],$A1079,T_PlannedOrders[WeekIndex],20)&amp;" ("&amp;TEXT(SUMPRODUCT(MAX((T_PlannedOrders[Part Name]=$A1079)*(T_PlannedOrders[WeekIndex]=20)*(T_PlannedOrders[EffectiveQty]&gt;0)*T_PlannedOrders[Order_Month])),"m月")&amp;"発注)")</f>
        <v/>
      </c>
      <c r="X1085">
        <f>IF(SUMIFS(T_PlannedOrders[EffectiveQty],T_PlannedOrders[Part Name],$A1079,T_PlannedOrders[WeekIndex],21)=0,"",SUMIFS(T_PlannedOrders[EffectiveQty],T_PlannedOrders[Part Name],$A1079,T_PlannedOrders[WeekIndex],21)&amp;" ("&amp;TEXT(SUMPRODUCT(MAX((T_PlannedOrders[Part Name]=$A1079)*(T_PlannedOrders[WeekIndex]=21)*(T_PlannedOrders[EffectiveQty]&gt;0)*T_PlannedOrders[Order_Month])),"m月")&amp;"発注)")</f>
        <v/>
      </c>
      <c r="Y1085">
        <f>IF(SUMIFS(T_PlannedOrders[EffectiveQty],T_PlannedOrders[Part Name],$A1079,T_PlannedOrders[WeekIndex],22)=0,"",SUMIFS(T_PlannedOrders[EffectiveQty],T_PlannedOrders[Part Name],$A1079,T_PlannedOrders[WeekIndex],22)&amp;" ("&amp;TEXT(SUMPRODUCT(MAX((T_PlannedOrders[Part Name]=$A1079)*(T_PlannedOrders[WeekIndex]=22)*(T_PlannedOrders[EffectiveQty]&gt;0)*T_PlannedOrders[Order_Month])),"m月")&amp;"発注)")</f>
        <v/>
      </c>
      <c r="Z1085">
        <f>IF(SUMIFS(T_PlannedOrders[EffectiveQty],T_PlannedOrders[Part Name],$A1079,T_PlannedOrders[WeekIndex],23)=0,"",SUMIFS(T_PlannedOrders[EffectiveQty],T_PlannedOrders[Part Name],$A1079,T_PlannedOrders[WeekIndex],23)&amp;" ("&amp;TEXT(SUMPRODUCT(MAX((T_PlannedOrders[Part Name]=$A1079)*(T_PlannedOrders[WeekIndex]=23)*(T_PlannedOrders[EffectiveQty]&gt;0)*T_PlannedOrders[Order_Month])),"m月")&amp;"発注)")</f>
        <v/>
      </c>
      <c r="AA1085">
        <f>IF(SUMIFS(T_PlannedOrders[EffectiveQty],T_PlannedOrders[Part Name],$A1079,T_PlannedOrders[WeekIndex],24)=0,"",SUMIFS(T_PlannedOrders[EffectiveQty],T_PlannedOrders[Part Name],$A1079,T_PlannedOrders[WeekIndex],24)&amp;" ("&amp;TEXT(SUMPRODUCT(MAX((T_PlannedOrders[Part Name]=$A1079)*(T_PlannedOrders[WeekIndex]=24)*(T_PlannedOrders[EffectiveQty]&gt;0)*T_PlannedOrders[Order_Month])),"m月")&amp;"発注)")</f>
        <v/>
      </c>
      <c r="AB1085">
        <f>IF(SUMIFS(T_PlannedOrders[EffectiveQty],T_PlannedOrders[Part Name],$A1079,T_PlannedOrders[WeekIndex],25)=0,"",SUMIFS(T_PlannedOrders[EffectiveQty],T_PlannedOrders[Part Name],$A1079,T_PlannedOrders[WeekIndex],25)&amp;" ("&amp;TEXT(SUMPRODUCT(MAX((T_PlannedOrders[Part Name]=$A1079)*(T_PlannedOrders[WeekIndex]=25)*(T_PlannedOrders[EffectiveQty]&gt;0)*T_PlannedOrders[Order_Month])),"m月")&amp;"発注)")</f>
        <v/>
      </c>
      <c r="AC1085">
        <f>IF(SUMIFS(T_PlannedOrders[EffectiveQty],T_PlannedOrders[Part Name],$A1079,T_PlannedOrders[WeekIndex],26)=0,"",SUMIFS(T_PlannedOrders[EffectiveQty],T_PlannedOrders[Part Name],$A1079,T_PlannedOrders[WeekIndex],26)&amp;" ("&amp;TEXT(SUMPRODUCT(MAX((T_PlannedOrders[Part Name]=$A1079)*(T_PlannedOrders[WeekIndex]=26)*(T_PlannedOrders[EffectiveQty]&gt;0)*T_PlannedOrders[Order_Month])),"m月")&amp;"発注)")</f>
        <v/>
      </c>
      <c r="AD1085">
        <f>IF(SUMIFS(T_PlannedOrders[EffectiveQty],T_PlannedOrders[Part Name],$A1079,T_PlannedOrders[WeekIndex],27)=0,"",SUMIFS(T_PlannedOrders[EffectiveQty],T_PlannedOrders[Part Name],$A1079,T_PlannedOrders[WeekIndex],27)&amp;" ("&amp;TEXT(SUMPRODUCT(MAX((T_PlannedOrders[Part Name]=$A1079)*(T_PlannedOrders[WeekIndex]=27)*(T_PlannedOrders[EffectiveQty]&gt;0)*T_PlannedOrders[Order_Month])),"m月")&amp;"発注)")</f>
        <v/>
      </c>
      <c r="AE1085">
        <f>IF(SUMIFS(T_PlannedOrders[EffectiveQty],T_PlannedOrders[Part Name],$A1079,T_PlannedOrders[WeekIndex],28)=0,"",SUMIFS(T_PlannedOrders[EffectiveQty],T_PlannedOrders[Part Name],$A1079,T_PlannedOrders[WeekIndex],28)&amp;" ("&amp;TEXT(SUMPRODUCT(MAX((T_PlannedOrders[Part Name]=$A1079)*(T_PlannedOrders[WeekIndex]=28)*(T_PlannedOrders[EffectiveQty]&gt;0)*T_PlannedOrders[Order_Month])),"m月")&amp;"発注)")</f>
        <v/>
      </c>
      <c r="AF1085">
        <f>IF(SUMIFS(T_PlannedOrders[EffectiveQty],T_PlannedOrders[Part Name],$A1079,T_PlannedOrders[WeekIndex],29)=0,"",SUMIFS(T_PlannedOrders[EffectiveQty],T_PlannedOrders[Part Name],$A1079,T_PlannedOrders[WeekIndex],29)&amp;" ("&amp;TEXT(SUMPRODUCT(MAX((T_PlannedOrders[Part Name]=$A1079)*(T_PlannedOrders[WeekIndex]=29)*(T_PlannedOrders[EffectiveQty]&gt;0)*T_PlannedOrders[Order_Month])),"m月")&amp;"発注)")</f>
        <v/>
      </c>
      <c r="AG1085">
        <f>IF(SUMIFS(T_PlannedOrders[EffectiveQty],T_PlannedOrders[Part Name],$A1079,T_PlannedOrders[WeekIndex],30)=0,"",SUMIFS(T_PlannedOrders[EffectiveQty],T_PlannedOrders[Part Name],$A1079,T_PlannedOrders[WeekIndex],30)&amp;" ("&amp;TEXT(SUMPRODUCT(MAX((T_PlannedOrders[Part Name]=$A1079)*(T_PlannedOrders[WeekIndex]=30)*(T_PlannedOrders[EffectiveQty]&gt;0)*T_PlannedOrders[Order_Month])),"m月")&amp;"発注)")</f>
        <v/>
      </c>
      <c r="AH1085">
        <f>IF(SUMIFS(T_PlannedOrders[EffectiveQty],T_PlannedOrders[Part Name],$A1079,T_PlannedOrders[WeekIndex],31)=0,"",SUMIFS(T_PlannedOrders[EffectiveQty],T_PlannedOrders[Part Name],$A1079,T_PlannedOrders[WeekIndex],31)&amp;" ("&amp;TEXT(SUMPRODUCT(MAX((T_PlannedOrders[Part Name]=$A1079)*(T_PlannedOrders[WeekIndex]=31)*(T_PlannedOrders[EffectiveQty]&gt;0)*T_PlannedOrders[Order_Month])),"m月")&amp;"発注)")</f>
        <v/>
      </c>
      <c r="AI1085">
        <f>IF(SUMIFS(T_PlannedOrders[EffectiveQty],T_PlannedOrders[Part Name],$A1079,T_PlannedOrders[WeekIndex],32)=0,"",SUMIFS(T_PlannedOrders[EffectiveQty],T_PlannedOrders[Part Name],$A1079,T_PlannedOrders[WeekIndex],32)&amp;" ("&amp;TEXT(SUMPRODUCT(MAX((T_PlannedOrders[Part Name]=$A1079)*(T_PlannedOrders[WeekIndex]=32)*(T_PlannedOrders[EffectiveQty]&gt;0)*T_PlannedOrders[Order_Month])),"m月")&amp;"発注)")</f>
        <v/>
      </c>
      <c r="AJ1085">
        <f>IF(SUMIFS(T_PlannedOrders[EffectiveQty],T_PlannedOrders[Part Name],$A1079,T_PlannedOrders[WeekIndex],33)=0,"",SUMIFS(T_PlannedOrders[EffectiveQty],T_PlannedOrders[Part Name],$A1079,T_PlannedOrders[WeekIndex],33)&amp;" ("&amp;TEXT(SUMPRODUCT(MAX((T_PlannedOrders[Part Name]=$A1079)*(T_PlannedOrders[WeekIndex]=33)*(T_PlannedOrders[EffectiveQty]&gt;0)*T_PlannedOrders[Order_Month])),"m月")&amp;"発注)")</f>
        <v/>
      </c>
      <c r="AK1085">
        <f>IF(SUMIFS(T_PlannedOrders[EffectiveQty],T_PlannedOrders[Part Name],$A1079,T_PlannedOrders[WeekIndex],34)=0,"",SUMIFS(T_PlannedOrders[EffectiveQty],T_PlannedOrders[Part Name],$A1079,T_PlannedOrders[WeekIndex],34)&amp;" ("&amp;TEXT(SUMPRODUCT(MAX((T_PlannedOrders[Part Name]=$A1079)*(T_PlannedOrders[WeekIndex]=34)*(T_PlannedOrders[EffectiveQty]&gt;0)*T_PlannedOrders[Order_Month])),"m月")&amp;"発注)")</f>
        <v/>
      </c>
      <c r="AL1085">
        <f>IF(SUMIFS(T_PlannedOrders[EffectiveQty],T_PlannedOrders[Part Name],$A1079,T_PlannedOrders[WeekIndex],35)=0,"",SUMIFS(T_PlannedOrders[EffectiveQty],T_PlannedOrders[Part Name],$A1079,T_PlannedOrders[WeekIndex],35)&amp;" ("&amp;TEXT(SUMPRODUCT(MAX((T_PlannedOrders[Part Name]=$A1079)*(T_PlannedOrders[WeekIndex]=35)*(T_PlannedOrders[EffectiveQty]&gt;0)*T_PlannedOrders[Order_Month])),"m月")&amp;"発注)")</f>
        <v/>
      </c>
      <c r="AM1085">
        <f>IF(SUMIFS(T_PlannedOrders[EffectiveQty],T_PlannedOrders[Part Name],$A1079,T_PlannedOrders[WeekIndex],36)=0,"",SUMIFS(T_PlannedOrders[EffectiveQty],T_PlannedOrders[Part Name],$A1079,T_PlannedOrders[WeekIndex],36)&amp;" ("&amp;TEXT(SUMPRODUCT(MAX((T_PlannedOrders[Part Name]=$A1079)*(T_PlannedOrders[WeekIndex]=36)*(T_PlannedOrders[EffectiveQty]&gt;0)*T_PlannedOrders[Order_Month])),"m月")&amp;"発注)")</f>
        <v/>
      </c>
      <c r="AN1085">
        <f>IF(SUMIFS(T_PlannedOrders[EffectiveQty],T_PlannedOrders[Part Name],$A1079,T_PlannedOrders[WeekIndex],37)=0,"",SUMIFS(T_PlannedOrders[EffectiveQty],T_PlannedOrders[Part Name],$A1079,T_PlannedOrders[WeekIndex],37)&amp;" ("&amp;TEXT(SUMPRODUCT(MAX((T_PlannedOrders[Part Name]=$A1079)*(T_PlannedOrders[WeekIndex]=37)*(T_PlannedOrders[EffectiveQty]&gt;0)*T_PlannedOrders[Order_Month])),"m月")&amp;"発注)")</f>
        <v/>
      </c>
      <c r="AO1085">
        <f>IF(SUMIFS(T_PlannedOrders[EffectiveQty],T_PlannedOrders[Part Name],$A1079,T_PlannedOrders[WeekIndex],38)=0,"",SUMIFS(T_PlannedOrders[EffectiveQty],T_PlannedOrders[Part Name],$A1079,T_PlannedOrders[WeekIndex],38)&amp;" ("&amp;TEXT(SUMPRODUCT(MAX((T_PlannedOrders[Part Name]=$A1079)*(T_PlannedOrders[WeekIndex]=38)*(T_PlannedOrders[EffectiveQty]&gt;0)*T_PlannedOrders[Order_Month])),"m月")&amp;"発注)")</f>
        <v/>
      </c>
      <c r="AP1085">
        <f>IF(SUMIFS(T_PlannedOrders[EffectiveQty],T_PlannedOrders[Part Name],$A1079,T_PlannedOrders[WeekIndex],39)=0,"",SUMIFS(T_PlannedOrders[EffectiveQty],T_PlannedOrders[Part Name],$A1079,T_PlannedOrders[WeekIndex],39)&amp;" ("&amp;TEXT(SUMPRODUCT(MAX((T_PlannedOrders[Part Name]=$A1079)*(T_PlannedOrders[WeekIndex]=39)*(T_PlannedOrders[EffectiveQty]&gt;0)*T_PlannedOrders[Order_Month])),"m月")&amp;"発注)")</f>
        <v/>
      </c>
      <c r="AQ1085">
        <f>IF(SUMIFS(T_PlannedOrders[EffectiveQty],T_PlannedOrders[Part Name],$A1079,T_PlannedOrders[WeekIndex],40)=0,"",SUMIFS(T_PlannedOrders[EffectiveQty],T_PlannedOrders[Part Name],$A1079,T_PlannedOrders[WeekIndex],40)&amp;" ("&amp;TEXT(SUMPRODUCT(MAX((T_PlannedOrders[Part Name]=$A1079)*(T_PlannedOrders[WeekIndex]=40)*(T_PlannedOrders[EffectiveQty]&gt;0)*T_PlannedOrders[Order_Month])),"m月")&amp;"発注)")</f>
        <v/>
      </c>
      <c r="AR1085">
        <f>IF(SUMIFS(T_PlannedOrders[EffectiveQty],T_PlannedOrders[Part Name],$A1079,T_PlannedOrders[WeekIndex],41)=0,"",SUMIFS(T_PlannedOrders[EffectiveQty],T_PlannedOrders[Part Name],$A1079,T_PlannedOrders[WeekIndex],41)&amp;" ("&amp;TEXT(SUMPRODUCT(MAX((T_PlannedOrders[Part Name]=$A1079)*(T_PlannedOrders[WeekIndex]=41)*(T_PlannedOrders[EffectiveQty]&gt;0)*T_PlannedOrders[Order_Month])),"m月")&amp;"発注)")</f>
        <v/>
      </c>
      <c r="AS1085">
        <f>IF(SUMIFS(T_PlannedOrders[EffectiveQty],T_PlannedOrders[Part Name],$A1079,T_PlannedOrders[WeekIndex],42)=0,"",SUMIFS(T_PlannedOrders[EffectiveQty],T_PlannedOrders[Part Name],$A1079,T_PlannedOrders[WeekIndex],42)&amp;" ("&amp;TEXT(SUMPRODUCT(MAX((T_PlannedOrders[Part Name]=$A1079)*(T_PlannedOrders[WeekIndex]=42)*(T_PlannedOrders[EffectiveQty]&gt;0)*T_PlannedOrders[Order_Month])),"m月")&amp;"発注)")</f>
        <v/>
      </c>
      <c r="AT1085">
        <f>IF(SUMIFS(T_PlannedOrders[EffectiveQty],T_PlannedOrders[Part Name],$A1079,T_PlannedOrders[WeekIndex],43)=0,"",SUMIFS(T_PlannedOrders[EffectiveQty],T_PlannedOrders[Part Name],$A1079,T_PlannedOrders[WeekIndex],43)&amp;" ("&amp;TEXT(SUMPRODUCT(MAX((T_PlannedOrders[Part Name]=$A1079)*(T_PlannedOrders[WeekIndex]=43)*(T_PlannedOrders[EffectiveQty]&gt;0)*T_PlannedOrders[Order_Month])),"m月")&amp;"発注)")</f>
        <v/>
      </c>
      <c r="AU1085">
        <f>IF(SUMIFS(T_PlannedOrders[EffectiveQty],T_PlannedOrders[Part Name],$A1079,T_PlannedOrders[WeekIndex],44)=0,"",SUMIFS(T_PlannedOrders[EffectiveQty],T_PlannedOrders[Part Name],$A1079,T_PlannedOrders[WeekIndex],44)&amp;" ("&amp;TEXT(SUMPRODUCT(MAX((T_PlannedOrders[Part Name]=$A1079)*(T_PlannedOrders[WeekIndex]=44)*(T_PlannedOrders[EffectiveQty]&gt;0)*T_PlannedOrders[Order_Month])),"m月")&amp;"発注)")</f>
        <v/>
      </c>
      <c r="AV1085">
        <f>IF(SUMIFS(T_PlannedOrders[EffectiveQty],T_PlannedOrders[Part Name],$A1079,T_PlannedOrders[WeekIndex],45)=0,"",SUMIFS(T_PlannedOrders[EffectiveQty],T_PlannedOrders[Part Name],$A1079,T_PlannedOrders[WeekIndex],45)&amp;" ("&amp;TEXT(SUMPRODUCT(MAX((T_PlannedOrders[Part Name]=$A1079)*(T_PlannedOrders[WeekIndex]=45)*(T_PlannedOrders[EffectiveQty]&gt;0)*T_PlannedOrders[Order_Month])),"m月")&amp;"発注)")</f>
        <v/>
      </c>
      <c r="AW1085">
        <f>IF(SUMIFS(T_PlannedOrders[EffectiveQty],T_PlannedOrders[Part Name],$A1079,T_PlannedOrders[WeekIndex],46)=0,"",SUMIFS(T_PlannedOrders[EffectiveQty],T_PlannedOrders[Part Name],$A1079,T_PlannedOrders[WeekIndex],46)&amp;" ("&amp;TEXT(SUMPRODUCT(MAX((T_PlannedOrders[Part Name]=$A1079)*(T_PlannedOrders[WeekIndex]=46)*(T_PlannedOrders[EffectiveQty]&gt;0)*T_PlannedOrders[Order_Month])),"m月")&amp;"発注)")</f>
        <v/>
      </c>
      <c r="AX1085">
        <f>IF(SUMIFS(T_PlannedOrders[EffectiveQty],T_PlannedOrders[Part Name],$A1079,T_PlannedOrders[WeekIndex],47)=0,"",SUMIFS(T_PlannedOrders[EffectiveQty],T_PlannedOrders[Part Name],$A1079,T_PlannedOrders[WeekIndex],47)&amp;" ("&amp;TEXT(SUMPRODUCT(MAX((T_PlannedOrders[Part Name]=$A1079)*(T_PlannedOrders[WeekIndex]=47)*(T_PlannedOrders[EffectiveQty]&gt;0)*T_PlannedOrders[Order_Month])),"m月")&amp;"発注)")</f>
        <v/>
      </c>
      <c r="AY1085">
        <f>IF(SUMIFS(T_PlannedOrders[EffectiveQty],T_PlannedOrders[Part Name],$A1079,T_PlannedOrders[WeekIndex],48)=0,"",SUMIFS(T_PlannedOrders[EffectiveQty],T_PlannedOrders[Part Name],$A1079,T_PlannedOrders[WeekIndex],48)&amp;" ("&amp;TEXT(SUMPRODUCT(MAX((T_PlannedOrders[Part Name]=$A1079)*(T_PlannedOrders[WeekIndex]=48)*(T_PlannedOrders[EffectiveQty]&gt;0)*T_PlannedOrders[Order_Month])),"m月")&amp;"発注)")</f>
        <v/>
      </c>
      <c r="AZ1085">
        <f>IF(SUMIFS(T_PlannedOrders[EffectiveQty],T_PlannedOrders[Part Name],$A1079,T_PlannedOrders[WeekIndex],49)=0,"",SUMIFS(T_PlannedOrders[EffectiveQty],T_PlannedOrders[Part Name],$A1079,T_PlannedOrders[WeekIndex],49)&amp;" ("&amp;TEXT(SUMPRODUCT(MAX((T_PlannedOrders[Part Name]=$A1079)*(T_PlannedOrders[WeekIndex]=49)*(T_PlannedOrders[EffectiveQty]&gt;0)*T_PlannedOrders[Order_Month])),"m月")&amp;"発注)")</f>
        <v/>
      </c>
      <c r="BA1085">
        <f>IF(SUMIFS(T_PlannedOrders[EffectiveQty],T_PlannedOrders[Part Name],$A1079,T_PlannedOrders[WeekIndex],50)=0,"",SUMIFS(T_PlannedOrders[EffectiveQty],T_PlannedOrders[Part Name],$A1079,T_PlannedOrders[WeekIndex],50)&amp;" ("&amp;TEXT(SUMPRODUCT(MAX((T_PlannedOrders[Part Name]=$A1079)*(T_PlannedOrders[WeekIndex]=50)*(T_PlannedOrders[EffectiveQty]&gt;0)*T_PlannedOrders[Order_Month])),"m月")&amp;"発注)")</f>
        <v/>
      </c>
      <c r="BB1085">
        <f>IF(SUMIFS(T_PlannedOrders[EffectiveQty],T_PlannedOrders[Part Name],$A1079,T_PlannedOrders[WeekIndex],51)=0,"",SUMIFS(T_PlannedOrders[EffectiveQty],T_PlannedOrders[Part Name],$A1079,T_PlannedOrders[WeekIndex],51)&amp;" ("&amp;TEXT(SUMPRODUCT(MAX((T_PlannedOrders[Part Name]=$A1079)*(T_PlannedOrders[WeekIndex]=51)*(T_PlannedOrders[EffectiveQty]&gt;0)*T_PlannedOrders[Order_Month])),"m月")&amp;"発注)")</f>
        <v/>
      </c>
      <c r="BC1085">
        <f>IF(SUMIFS(T_PlannedOrders[EffectiveQty],T_PlannedOrders[Part Name],$A1079,T_PlannedOrders[WeekIndex],52)=0,"",SUMIFS(T_PlannedOrders[EffectiveQty],T_PlannedOrders[Part Name],$A1079,T_PlannedOrders[WeekIndex],52)&amp;" ("&amp;TEXT(SUMPRODUCT(MAX((T_PlannedOrders[Part Name]=$A1079)*(T_PlannedOrders[WeekIndex]=52)*(T_PlannedOrders[EffectiveQty]&gt;0)*T_PlannedOrders[Order_Month])),"m月")&amp;"発注)")</f>
        <v/>
      </c>
      <c r="BD1085">
        <f>IF(SUMIFS(T_PlannedOrders[EffectiveQty],T_PlannedOrders[Part Name],$A1079,T_PlannedOrders[WeekIndex],53)=0,"",SUMIFS(T_PlannedOrders[EffectiveQty],T_PlannedOrders[Part Name],$A1079,T_PlannedOrders[WeekIndex],53)&amp;" ("&amp;TEXT(SUMPRODUCT(MAX((T_PlannedOrders[Part Name]=$A1079)*(T_PlannedOrders[WeekIndex]=53)*(T_PlannedOrders[EffectiveQty]&gt;0)*T_PlannedOrders[Order_Month])),"m月")&amp;"発注)")</f>
        <v/>
      </c>
      <c r="BE1085">
        <f>IF(SUMIFS(T_PlannedOrders[EffectiveQty],T_PlannedOrders[Part Name],$A1079,T_PlannedOrders[WeekIndex],54)=0,"",SUMIFS(T_PlannedOrders[EffectiveQty],T_PlannedOrders[Part Name],$A1079,T_PlannedOrders[WeekIndex],54)&amp;" ("&amp;TEXT(SUMPRODUCT(MAX((T_PlannedOrders[Part Name]=$A1079)*(T_PlannedOrders[WeekIndex]=54)*(T_PlannedOrders[EffectiveQty]&gt;0)*T_PlannedOrders[Order_Month])),"m月")&amp;"発注)")</f>
        <v/>
      </c>
      <c r="BF1085">
        <f>IF(SUMIFS(T_PlannedOrders[EffectiveQty],T_PlannedOrders[Part Name],$A1079,T_PlannedOrders[WeekIndex],55)=0,"",SUMIFS(T_PlannedOrders[EffectiveQty],T_PlannedOrders[Part Name],$A1079,T_PlannedOrders[WeekIndex],55)&amp;" ("&amp;TEXT(SUMPRODUCT(MAX((T_PlannedOrders[Part Name]=$A1079)*(T_PlannedOrders[WeekIndex]=55)*(T_PlannedOrders[EffectiveQty]&gt;0)*T_PlannedOrders[Order_Month])),"m月")&amp;"発注)")</f>
        <v/>
      </c>
      <c r="BG1085">
        <f>IF(SUMIFS(T_PlannedOrders[EffectiveQty],T_PlannedOrders[Part Name],$A1079,T_PlannedOrders[WeekIndex],56)=0,"",SUMIFS(T_PlannedOrders[EffectiveQty],T_PlannedOrders[Part Name],$A1079,T_PlannedOrders[WeekIndex],56)&amp;" ("&amp;TEXT(SUMPRODUCT(MAX((T_PlannedOrders[Part Name]=$A1079)*(T_PlannedOrders[WeekIndex]=56)*(T_PlannedOrders[EffectiveQty]&gt;0)*T_PlannedOrders[Order_Month])),"m月")&amp;"発注)")</f>
        <v/>
      </c>
      <c r="BH1085">
        <f>IF(SUMIFS(T_PlannedOrders[EffectiveQty],T_PlannedOrders[Part Name],$A1079,T_PlannedOrders[WeekIndex],57)=0,"",SUMIFS(T_PlannedOrders[EffectiveQty],T_PlannedOrders[Part Name],$A1079,T_PlannedOrders[WeekIndex],57)&amp;" ("&amp;TEXT(SUMPRODUCT(MAX((T_PlannedOrders[Part Name]=$A1079)*(T_PlannedOrders[WeekIndex]=57)*(T_PlannedOrders[EffectiveQty]&gt;0)*T_PlannedOrders[Order_Month])),"m月")&amp;"発注)")</f>
        <v/>
      </c>
      <c r="BI1085">
        <f>IF(SUMIFS(T_PlannedOrders[EffectiveQty],T_PlannedOrders[Part Name],$A1079,T_PlannedOrders[WeekIndex],58)=0,"",SUMIFS(T_PlannedOrders[EffectiveQty],T_PlannedOrders[Part Name],$A1079,T_PlannedOrders[WeekIndex],58)&amp;" ("&amp;TEXT(SUMPRODUCT(MAX((T_PlannedOrders[Part Name]=$A1079)*(T_PlannedOrders[WeekIndex]=58)*(T_PlannedOrders[EffectiveQty]&gt;0)*T_PlannedOrders[Order_Month])),"m月")&amp;"発注)")</f>
        <v/>
      </c>
      <c r="BJ1085">
        <f>IF(SUMIFS(T_PlannedOrders[EffectiveQty],T_PlannedOrders[Part Name],$A1079,T_PlannedOrders[WeekIndex],59)=0,"",SUMIFS(T_PlannedOrders[EffectiveQty],T_PlannedOrders[Part Name],$A1079,T_PlannedOrders[WeekIndex],59)&amp;" ("&amp;TEXT(SUMPRODUCT(MAX((T_PlannedOrders[Part Name]=$A1079)*(T_PlannedOrders[WeekIndex]=59)*(T_PlannedOrders[EffectiveQty]&gt;0)*T_PlannedOrders[Order_Month])),"m月")&amp;"発注)")</f>
        <v/>
      </c>
      <c r="BK1085">
        <f>IF(SUMIFS(T_PlannedOrders[EffectiveQty],T_PlannedOrders[Part Name],$A1079,T_PlannedOrders[WeekIndex],60)=0,"",SUMIFS(T_PlannedOrders[EffectiveQty],T_PlannedOrders[Part Name],$A1079,T_PlannedOrders[WeekIndex],60)&amp;" ("&amp;TEXT(SUMPRODUCT(MAX((T_PlannedOrders[Part Name]=$A1079)*(T_PlannedOrders[WeekIndex]=60)*(T_PlannedOrders[EffectiveQty]&gt;0)*T_PlannedOrders[Order_Month])),"m月")&amp;"発注)")</f>
        <v/>
      </c>
      <c r="BL1085">
        <f>IF(SUMIFS(T_PlannedOrders[EffectiveQty],T_PlannedOrders[Part Name],$A1079,T_PlannedOrders[WeekIndex],61)=0,"",SUMIFS(T_PlannedOrders[EffectiveQty],T_PlannedOrders[Part Name],$A1079,T_PlannedOrders[WeekIndex],61)&amp;" ("&amp;TEXT(SUMPRODUCT(MAX((T_PlannedOrders[Part Name]=$A1079)*(T_PlannedOrders[WeekIndex]=61)*(T_PlannedOrders[EffectiveQty]&gt;0)*T_PlannedOrders[Order_Month])),"m月")&amp;"発注)")</f>
        <v/>
      </c>
      <c r="BM1085">
        <f>IF(SUMIFS(T_PlannedOrders[EffectiveQty],T_PlannedOrders[Part Name],$A1079,T_PlannedOrders[WeekIndex],62)=0,"",SUMIFS(T_PlannedOrders[EffectiveQty],T_PlannedOrders[Part Name],$A1079,T_PlannedOrders[WeekIndex],62)&amp;" ("&amp;TEXT(SUMPRODUCT(MAX((T_PlannedOrders[Part Name]=$A1079)*(T_PlannedOrders[WeekIndex]=62)*(T_PlannedOrders[EffectiveQty]&gt;0)*T_PlannedOrders[Order_Month])),"m月")&amp;"発注)")</f>
        <v/>
      </c>
      <c r="BN1085">
        <f>IF(SUMIFS(T_PlannedOrders[EffectiveQty],T_PlannedOrders[Part Name],$A1079,T_PlannedOrders[WeekIndex],63)=0,"",SUMIFS(T_PlannedOrders[EffectiveQty],T_PlannedOrders[Part Name],$A1079,T_PlannedOrders[WeekIndex],63)&amp;" ("&amp;TEXT(SUMPRODUCT(MAX((T_PlannedOrders[Part Name]=$A1079)*(T_PlannedOrders[WeekIndex]=63)*(T_PlannedOrders[EffectiveQty]&gt;0)*T_PlannedOrders[Order_Month])),"m月")&amp;"発注)")</f>
        <v/>
      </c>
      <c r="BO1085">
        <f>IF(SUMIFS(T_PlannedOrders[EffectiveQty],T_PlannedOrders[Part Name],$A1079,T_PlannedOrders[WeekIndex],64)=0,"",SUMIFS(T_PlannedOrders[EffectiveQty],T_PlannedOrders[Part Name],$A1079,T_PlannedOrders[WeekIndex],64)&amp;" ("&amp;TEXT(SUMPRODUCT(MAX((T_PlannedOrders[Part Name]=$A1079)*(T_PlannedOrders[WeekIndex]=64)*(T_PlannedOrders[EffectiveQty]&gt;0)*T_PlannedOrders[Order_Month])),"m月")&amp;"発注)")</f>
        <v/>
      </c>
      <c r="BP1085">
        <f>IF(SUMIFS(T_PlannedOrders[EffectiveQty],T_PlannedOrders[Part Name],$A1079,T_PlannedOrders[WeekIndex],65)=0,"",SUMIFS(T_PlannedOrders[EffectiveQty],T_PlannedOrders[Part Name],$A1079,T_PlannedOrders[WeekIndex],65)&amp;" ("&amp;TEXT(SUMPRODUCT(MAX((T_PlannedOrders[Part Name]=$A1079)*(T_PlannedOrders[WeekIndex]=65)*(T_PlannedOrders[EffectiveQty]&gt;0)*T_PlannedOrders[Order_Month])),"m月")&amp;"発注)")</f>
        <v/>
      </c>
      <c r="BQ1085">
        <f>IF(SUMIFS(T_PlannedOrders[EffectiveQty],T_PlannedOrders[Part Name],$A1079,T_PlannedOrders[WeekIndex],66)=0,"",SUMIFS(T_PlannedOrders[EffectiveQty],T_PlannedOrders[Part Name],$A1079,T_PlannedOrders[WeekIndex],66)&amp;" ("&amp;TEXT(SUMPRODUCT(MAX((T_PlannedOrders[Part Name]=$A1079)*(T_PlannedOrders[WeekIndex]=66)*(T_PlannedOrders[EffectiveQty]&gt;0)*T_PlannedOrders[Order_Month])),"m月")&amp;"発注)")</f>
        <v/>
      </c>
      <c r="BR1085">
        <f>IF(SUMIFS(T_PlannedOrders[EffectiveQty],T_PlannedOrders[Part Name],$A1079,T_PlannedOrders[WeekIndex],67)=0,"",SUMIFS(T_PlannedOrders[EffectiveQty],T_PlannedOrders[Part Name],$A1079,T_PlannedOrders[WeekIndex],67)&amp;" ("&amp;TEXT(SUMPRODUCT(MAX((T_PlannedOrders[Part Name]=$A1079)*(T_PlannedOrders[WeekIndex]=67)*(T_PlannedOrders[EffectiveQty]&gt;0)*T_PlannedOrders[Order_Month])),"m月")&amp;"発注)")</f>
        <v/>
      </c>
      <c r="BS1085">
        <f>IF(SUMIFS(T_PlannedOrders[EffectiveQty],T_PlannedOrders[Part Name],$A1079,T_PlannedOrders[WeekIndex],68)=0,"",SUMIFS(T_PlannedOrders[EffectiveQty],T_PlannedOrders[Part Name],$A1079,T_PlannedOrders[WeekIndex],68)&amp;" ("&amp;TEXT(SUMPRODUCT(MAX((T_PlannedOrders[Part Name]=$A1079)*(T_PlannedOrders[WeekIndex]=68)*(T_PlannedOrders[EffectiveQty]&gt;0)*T_PlannedOrders[Order_Month])),"m月")&amp;"発注)")</f>
        <v/>
      </c>
      <c r="BT1085">
        <f>IF(SUMIFS(T_PlannedOrders[EffectiveQty],T_PlannedOrders[Part Name],$A1079,T_PlannedOrders[WeekIndex],69)=0,"",SUMIFS(T_PlannedOrders[EffectiveQty],T_PlannedOrders[Part Name],$A1079,T_PlannedOrders[WeekIndex],69)&amp;" ("&amp;TEXT(SUMPRODUCT(MAX((T_PlannedOrders[Part Name]=$A1079)*(T_PlannedOrders[WeekIndex]=69)*(T_PlannedOrders[EffectiveQty]&gt;0)*T_PlannedOrders[Order_Month])),"m月")&amp;"発注)")</f>
        <v/>
      </c>
      <c r="BU1085">
        <f>IF(SUMIFS(T_PlannedOrders[EffectiveQty],T_PlannedOrders[Part Name],$A1079,T_PlannedOrders[WeekIndex],70)=0,"",SUMIFS(T_PlannedOrders[EffectiveQty],T_PlannedOrders[Part Name],$A1079,T_PlannedOrders[WeekIndex],70)&amp;" ("&amp;TEXT(SUMPRODUCT(MAX((T_PlannedOrders[Part Name]=$A1079)*(T_PlannedOrders[WeekIndex]=70)*(T_PlannedOrders[EffectiveQty]&gt;0)*T_PlannedOrders[Order_Month])),"m月")&amp;"発注)")</f>
        <v/>
      </c>
      <c r="BV1085">
        <f>IF(SUMIFS(T_PlannedOrders[EffectiveQty],T_PlannedOrders[Part Name],$A1079,T_PlannedOrders[WeekIndex],71)=0,"",SUMIFS(T_PlannedOrders[EffectiveQty],T_PlannedOrders[Part Name],$A1079,T_PlannedOrders[WeekIndex],71)&amp;" ("&amp;TEXT(SUMPRODUCT(MAX((T_PlannedOrders[Part Name]=$A1079)*(T_PlannedOrders[WeekIndex]=71)*(T_PlannedOrders[EffectiveQty]&gt;0)*T_PlannedOrders[Order_Month])),"m月")&amp;"発注)")</f>
        <v/>
      </c>
      <c r="BW1085">
        <f>IF(SUMIFS(T_PlannedOrders[EffectiveQty],T_PlannedOrders[Part Name],$A1079,T_PlannedOrders[WeekIndex],72)=0,"",SUMIFS(T_PlannedOrders[EffectiveQty],T_PlannedOrders[Part Name],$A1079,T_PlannedOrders[WeekIndex],72)&amp;" ("&amp;TEXT(SUMPRODUCT(MAX((T_PlannedOrders[Part Name]=$A1079)*(T_PlannedOrders[WeekIndex]=72)*(T_PlannedOrders[EffectiveQty]&gt;0)*T_PlannedOrders[Order_Month])),"m月")&amp;"発注)")</f>
        <v/>
      </c>
      <c r="BX1085">
        <f>IF(SUMIFS(T_PlannedOrders[EffectiveQty],T_PlannedOrders[Part Name],$A1079,T_PlannedOrders[WeekIndex],73)=0,"",SUMIFS(T_PlannedOrders[EffectiveQty],T_PlannedOrders[Part Name],$A1079,T_PlannedOrders[WeekIndex],73)&amp;" ("&amp;TEXT(SUMPRODUCT(MAX((T_PlannedOrders[Part Name]=$A1079)*(T_PlannedOrders[WeekIndex]=73)*(T_PlannedOrders[EffectiveQty]&gt;0)*T_PlannedOrders[Order_Month])),"m月")&amp;"発注)")</f>
        <v/>
      </c>
      <c r="BY1085">
        <f>IF(SUMIFS(T_PlannedOrders[EffectiveQty],T_PlannedOrders[Part Name],$A1079,T_PlannedOrders[WeekIndex],74)=0,"",SUMIFS(T_PlannedOrders[EffectiveQty],T_PlannedOrders[Part Name],$A1079,T_PlannedOrders[WeekIndex],74)&amp;" ("&amp;TEXT(SUMPRODUCT(MAX((T_PlannedOrders[Part Name]=$A1079)*(T_PlannedOrders[WeekIndex]=74)*(T_PlannedOrders[EffectiveQty]&gt;0)*T_PlannedOrders[Order_Month])),"m月")&amp;"発注)")</f>
        <v/>
      </c>
      <c r="BZ1085">
        <f>IF(SUMIFS(T_PlannedOrders[EffectiveQty],T_PlannedOrders[Part Name],$A1079,T_PlannedOrders[WeekIndex],75)=0,"",SUMIFS(T_PlannedOrders[EffectiveQty],T_PlannedOrders[Part Name],$A1079,T_PlannedOrders[WeekIndex],75)&amp;" ("&amp;TEXT(SUMPRODUCT(MAX((T_PlannedOrders[Part Name]=$A1079)*(T_PlannedOrders[WeekIndex]=75)*(T_PlannedOrders[EffectiveQty]&gt;0)*T_PlannedOrders[Order_Month])),"m月")&amp;"発注)")</f>
        <v/>
      </c>
      <c r="CA1085">
        <f>IF(SUMIFS(T_PlannedOrders[EffectiveQty],T_PlannedOrders[Part Name],$A1079,T_PlannedOrders[WeekIndex],76)=0,"",SUMIFS(T_PlannedOrders[EffectiveQty],T_PlannedOrders[Part Name],$A1079,T_PlannedOrders[WeekIndex],76)&amp;" ("&amp;TEXT(SUMPRODUCT(MAX((T_PlannedOrders[Part Name]=$A1079)*(T_PlannedOrders[WeekIndex]=76)*(T_PlannedOrders[EffectiveQty]&gt;0)*T_PlannedOrders[Order_Month])),"m月")&amp;"発注)")</f>
        <v/>
      </c>
      <c r="CB1085">
        <f>IF(SUMIFS(T_PlannedOrders[EffectiveQty],T_PlannedOrders[Part Name],$A1079,T_PlannedOrders[WeekIndex],77)=0,"",SUMIFS(T_PlannedOrders[EffectiveQty],T_PlannedOrders[Part Name],$A1079,T_PlannedOrders[WeekIndex],77)&amp;" ("&amp;TEXT(SUMPRODUCT(MAX((T_PlannedOrders[Part Name]=$A1079)*(T_PlannedOrders[WeekIndex]=77)*(T_PlannedOrders[EffectiveQty]&gt;0)*T_PlannedOrders[Order_Month])),"m月")&amp;"発注)")</f>
        <v/>
      </c>
      <c r="CC1085">
        <f>IF(SUMIFS(T_PlannedOrders[EffectiveQty],T_PlannedOrders[Part Name],$A1079,T_PlannedOrders[WeekIndex],78)=0,"",SUMIFS(T_PlannedOrders[EffectiveQty],T_PlannedOrders[Part Name],$A1079,T_PlannedOrders[WeekIndex],78)&amp;" ("&amp;TEXT(SUMPRODUCT(MAX((T_PlannedOrders[Part Name]=$A1079)*(T_PlannedOrders[WeekIndex]=78)*(T_PlannedOrders[EffectiveQty]&gt;0)*T_PlannedOrders[Order_Month])),"m月")&amp;"発注)")</f>
        <v/>
      </c>
      <c r="CD1085">
        <f>IF(SUMIFS(T_PlannedOrders[EffectiveQty],T_PlannedOrders[Part Name],$A1079,T_PlannedOrders[WeekIndex],79)=0,"",SUMIFS(T_PlannedOrders[EffectiveQty],T_PlannedOrders[Part Name],$A1079,T_PlannedOrders[WeekIndex],79)&amp;" ("&amp;TEXT(SUMPRODUCT(MAX((T_PlannedOrders[Part Name]=$A1079)*(T_PlannedOrders[WeekIndex]=79)*(T_PlannedOrders[EffectiveQty]&gt;0)*T_PlannedOrders[Order_Month])),"m月")&amp;"発注)")</f>
        <v/>
      </c>
      <c r="CE1085">
        <f>IF(SUMIFS(T_PlannedOrders[EffectiveQty],T_PlannedOrders[Part Name],$A1079,T_PlannedOrders[WeekIndex],80)=0,"",SUMIFS(T_PlannedOrders[EffectiveQty],T_PlannedOrders[Part Name],$A1079,T_PlannedOrders[WeekIndex],80)&amp;" ("&amp;TEXT(SUMPRODUCT(MAX((T_PlannedOrders[Part Name]=$A1079)*(T_PlannedOrders[WeekIndex]=80)*(T_PlannedOrders[EffectiveQty]&gt;0)*T_PlannedOrders[Order_Month])),"m月")&amp;"発注)")</f>
        <v/>
      </c>
      <c r="CF1085">
        <f>IF(SUMIFS(T_PlannedOrders[EffectiveQty],T_PlannedOrders[Part Name],$A1079,T_PlannedOrders[WeekIndex],81)=0,"",SUMIFS(T_PlannedOrders[EffectiveQty],T_PlannedOrders[Part Name],$A1079,T_PlannedOrders[WeekIndex],81)&amp;" ("&amp;TEXT(SUMPRODUCT(MAX((T_PlannedOrders[Part Name]=$A1079)*(T_PlannedOrders[WeekIndex]=81)*(T_PlannedOrders[EffectiveQty]&gt;0)*T_PlannedOrders[Order_Month])),"m月")&amp;"発注)")</f>
        <v/>
      </c>
      <c r="CG1085">
        <f>IF(SUMIFS(T_PlannedOrders[EffectiveQty],T_PlannedOrders[Part Name],$A1079,T_PlannedOrders[WeekIndex],82)=0,"",SUMIFS(T_PlannedOrders[EffectiveQty],T_PlannedOrders[Part Name],$A1079,T_PlannedOrders[WeekIndex],82)&amp;" ("&amp;TEXT(SUMPRODUCT(MAX((T_PlannedOrders[Part Name]=$A1079)*(T_PlannedOrders[WeekIndex]=82)*(T_PlannedOrders[EffectiveQty]&gt;0)*T_PlannedOrders[Order_Month])),"m月")&amp;"発注)")</f>
        <v/>
      </c>
      <c r="CH1085">
        <f>IF(SUMIFS(T_PlannedOrders[EffectiveQty],T_PlannedOrders[Part Name],$A1079,T_PlannedOrders[WeekIndex],83)=0,"",SUMIFS(T_PlannedOrders[EffectiveQty],T_PlannedOrders[Part Name],$A1079,T_PlannedOrders[WeekIndex],83)&amp;" ("&amp;TEXT(SUMPRODUCT(MAX((T_PlannedOrders[Part Name]=$A1079)*(T_PlannedOrders[WeekIndex]=83)*(T_PlannedOrders[EffectiveQty]&gt;0)*T_PlannedOrders[Order_Month])),"m月")&amp;"発注)")</f>
        <v/>
      </c>
      <c r="CI1085">
        <f>IF(SUMIFS(T_PlannedOrders[EffectiveQty],T_PlannedOrders[Part Name],$A1079,T_PlannedOrders[WeekIndex],84)=0,"",SUMIFS(T_PlannedOrders[EffectiveQty],T_PlannedOrders[Part Name],$A1079,T_PlannedOrders[WeekIndex],84)&amp;" ("&amp;TEXT(SUMPRODUCT(MAX((T_PlannedOrders[Part Name]=$A1079)*(T_PlannedOrders[WeekIndex]=84)*(T_PlannedOrders[EffectiveQty]&gt;0)*T_PlannedOrders[Order_Month])),"m月")&amp;"発注)")</f>
        <v/>
      </c>
      <c r="CJ1085">
        <f>IF(SUMIFS(T_PlannedOrders[EffectiveQty],T_PlannedOrders[Part Name],$A1079,T_PlannedOrders[WeekIndex],85)=0,"",SUMIFS(T_PlannedOrders[EffectiveQty],T_PlannedOrders[Part Name],$A1079,T_PlannedOrders[WeekIndex],85)&amp;" ("&amp;TEXT(SUMPRODUCT(MAX((T_PlannedOrders[Part Name]=$A1079)*(T_PlannedOrders[WeekIndex]=85)*(T_PlannedOrders[EffectiveQty]&gt;0)*T_PlannedOrders[Order_Month])),"m月")&amp;"発注)")</f>
        <v/>
      </c>
      <c r="CK1085">
        <f>IF(SUMIFS(T_PlannedOrders[EffectiveQty],T_PlannedOrders[Part Name],$A1079,T_PlannedOrders[WeekIndex],86)=0,"",SUMIFS(T_PlannedOrders[EffectiveQty],T_PlannedOrders[Part Name],$A1079,T_PlannedOrders[WeekIndex],86)&amp;" ("&amp;TEXT(SUMPRODUCT(MAX((T_PlannedOrders[Part Name]=$A1079)*(T_PlannedOrders[WeekIndex]=86)*(T_PlannedOrders[EffectiveQty]&gt;0)*T_PlannedOrders[Order_Month])),"m月")&amp;"発注)")</f>
        <v/>
      </c>
      <c r="CL1085">
        <f>IF(SUMIFS(T_PlannedOrders[EffectiveQty],T_PlannedOrders[Part Name],$A1079,T_PlannedOrders[WeekIndex],87)=0,"",SUMIFS(T_PlannedOrders[EffectiveQty],T_PlannedOrders[Part Name],$A1079,T_PlannedOrders[WeekIndex],87)&amp;" ("&amp;TEXT(SUMPRODUCT(MAX((T_PlannedOrders[Part Name]=$A1079)*(T_PlannedOrders[WeekIndex]=87)*(T_PlannedOrders[EffectiveQty]&gt;0)*T_PlannedOrders[Order_Month])),"m月")&amp;"発注)")</f>
        <v/>
      </c>
      <c r="CM1085">
        <f>IF(SUMIFS(T_PlannedOrders[EffectiveQty],T_PlannedOrders[Part Name],$A1079,T_PlannedOrders[WeekIndex],88)=0,"",SUMIFS(T_PlannedOrders[EffectiveQty],T_PlannedOrders[Part Name],$A1079,T_PlannedOrders[WeekIndex],88)&amp;" ("&amp;TEXT(SUMPRODUCT(MAX((T_PlannedOrders[Part Name]=$A1079)*(T_PlannedOrders[WeekIndex]=88)*(T_PlannedOrders[EffectiveQty]&gt;0)*T_PlannedOrders[Order_Month])),"m月")&amp;"発注)")</f>
        <v/>
      </c>
      <c r="CN1085">
        <f>IF(SUMIFS(T_PlannedOrders[EffectiveQty],T_PlannedOrders[Part Name],$A1079,T_PlannedOrders[WeekIndex],89)=0,"",SUMIFS(T_PlannedOrders[EffectiveQty],T_PlannedOrders[Part Name],$A1079,T_PlannedOrders[WeekIndex],89)&amp;" ("&amp;TEXT(SUMPRODUCT(MAX((T_PlannedOrders[Part Name]=$A1079)*(T_PlannedOrders[WeekIndex]=89)*(T_PlannedOrders[EffectiveQty]&gt;0)*T_PlannedOrders[Order_Month])),"m月")&amp;"発注)")</f>
        <v/>
      </c>
      <c r="CO1085">
        <f>IF(SUMIFS(T_PlannedOrders[EffectiveQty],T_PlannedOrders[Part Name],$A1079,T_PlannedOrders[WeekIndex],90)=0,"",SUMIFS(T_PlannedOrders[EffectiveQty],T_PlannedOrders[Part Name],$A1079,T_PlannedOrders[WeekIndex],90)&amp;" ("&amp;TEXT(SUMPRODUCT(MAX((T_PlannedOrders[Part Name]=$A1079)*(T_PlannedOrders[WeekIndex]=90)*(T_PlannedOrders[EffectiveQty]&gt;0)*T_PlannedOrders[Order_Month])),"m月")&amp;"発注)")</f>
        <v/>
      </c>
      <c r="CP1085">
        <f>IF(SUMIFS(T_PlannedOrders[EffectiveQty],T_PlannedOrders[Part Name],$A1079,T_PlannedOrders[WeekIndex],91)=0,"",SUMIFS(T_PlannedOrders[EffectiveQty],T_PlannedOrders[Part Name],$A1079,T_PlannedOrders[WeekIndex],91)&amp;" ("&amp;TEXT(SUMPRODUCT(MAX((T_PlannedOrders[Part Name]=$A1079)*(T_PlannedOrders[WeekIndex]=91)*(T_PlannedOrders[EffectiveQty]&gt;0)*T_PlannedOrders[Order_Month])),"m月")&amp;"発注)")</f>
        <v/>
      </c>
      <c r="CQ1085">
        <f>IF(SUMIFS(T_PlannedOrders[EffectiveQty],T_PlannedOrders[Part Name],$A1079,T_PlannedOrders[WeekIndex],92)=0,"",SUMIFS(T_PlannedOrders[EffectiveQty],T_PlannedOrders[Part Name],$A1079,T_PlannedOrders[WeekIndex],92)&amp;" ("&amp;TEXT(SUMPRODUCT(MAX((T_PlannedOrders[Part Name]=$A1079)*(T_PlannedOrders[WeekIndex]=92)*(T_PlannedOrders[EffectiveQty]&gt;0)*T_PlannedOrders[Order_Month])),"m月")&amp;"発注)")</f>
        <v/>
      </c>
      <c r="CR1085">
        <f>IF(SUMIFS(T_PlannedOrders[EffectiveQty],T_PlannedOrders[Part Name],$A1079,T_PlannedOrders[WeekIndex],93)=0,"",SUMIFS(T_PlannedOrders[EffectiveQty],T_PlannedOrders[Part Name],$A1079,T_PlannedOrders[WeekIndex],93)&amp;" ("&amp;TEXT(SUMPRODUCT(MAX((T_PlannedOrders[Part Name]=$A1079)*(T_PlannedOrders[WeekIndex]=93)*(T_PlannedOrders[EffectiveQty]&gt;0)*T_PlannedOrders[Order_Month])),"m月")&amp;"発注)")</f>
        <v/>
      </c>
      <c r="CS1085">
        <f>IF(SUMIFS(T_PlannedOrders[EffectiveQty],T_PlannedOrders[Part Name],$A1079,T_PlannedOrders[WeekIndex],94)=0,"",SUMIFS(T_PlannedOrders[EffectiveQty],T_PlannedOrders[Part Name],$A1079,T_PlannedOrders[WeekIndex],94)&amp;" ("&amp;TEXT(SUMPRODUCT(MAX((T_PlannedOrders[Part Name]=$A1079)*(T_PlannedOrders[WeekIndex]=94)*(T_PlannedOrders[EffectiveQty]&gt;0)*T_PlannedOrders[Order_Month])),"m月")&amp;"発注)")</f>
        <v/>
      </c>
      <c r="CT1085">
        <f>IF(SUMIFS(T_PlannedOrders[EffectiveQty],T_PlannedOrders[Part Name],$A1079,T_PlannedOrders[WeekIndex],95)=0,"",SUMIFS(T_PlannedOrders[EffectiveQty],T_PlannedOrders[Part Name],$A1079,T_PlannedOrders[WeekIndex],95)&amp;" ("&amp;TEXT(SUMPRODUCT(MAX((T_PlannedOrders[Part Name]=$A1079)*(T_PlannedOrders[WeekIndex]=95)*(T_PlannedOrders[EffectiveQty]&gt;0)*T_PlannedOrders[Order_Month])),"m月")&amp;"発注)")</f>
        <v/>
      </c>
      <c r="CU1085">
        <f>IF(SUMIFS(T_PlannedOrders[EffectiveQty],T_PlannedOrders[Part Name],$A1079,T_PlannedOrders[WeekIndex],96)=0,"",SUMIFS(T_PlannedOrders[EffectiveQty],T_PlannedOrders[Part Name],$A1079,T_PlannedOrders[WeekIndex],96)&amp;" ("&amp;TEXT(SUMPRODUCT(MAX((T_PlannedOrders[Part Name]=$A1079)*(T_PlannedOrders[WeekIndex]=96)*(T_PlannedOrders[EffectiveQty]&gt;0)*T_PlannedOrders[Order_Month])),"m月")&amp;"発注)")</f>
        <v/>
      </c>
      <c r="CV1085">
        <f>IF(SUMIFS(T_PlannedOrders[EffectiveQty],T_PlannedOrders[Part Name],$A1079,T_PlannedOrders[WeekIndex],97)=0,"",SUMIFS(T_PlannedOrders[EffectiveQty],T_PlannedOrders[Part Name],$A1079,T_PlannedOrders[WeekIndex],97)&amp;" ("&amp;TEXT(SUMPRODUCT(MAX((T_PlannedOrders[Part Name]=$A1079)*(T_PlannedOrders[WeekIndex]=97)*(T_PlannedOrders[EffectiveQty]&gt;0)*T_PlannedOrders[Order_Month])),"m月")&amp;"発注)")</f>
        <v/>
      </c>
      <c r="CW1085">
        <f>IF(SUMIFS(T_PlannedOrders[EffectiveQty],T_PlannedOrders[Part Name],$A1079,T_PlannedOrders[WeekIndex],98)=0,"",SUMIFS(T_PlannedOrders[EffectiveQty],T_PlannedOrders[Part Name],$A1079,T_PlannedOrders[WeekIndex],98)&amp;" ("&amp;TEXT(SUMPRODUCT(MAX((T_PlannedOrders[Part Name]=$A1079)*(T_PlannedOrders[WeekIndex]=98)*(T_PlannedOrders[EffectiveQty]&gt;0)*T_PlannedOrders[Order_Month])),"m月")&amp;"発注)")</f>
        <v/>
      </c>
      <c r="CX1085">
        <f>IF(SUMIFS(T_PlannedOrders[EffectiveQty],T_PlannedOrders[Part Name],$A1079,T_PlannedOrders[WeekIndex],99)=0,"",SUMIFS(T_PlannedOrders[EffectiveQty],T_PlannedOrders[Part Name],$A1079,T_PlannedOrders[WeekIndex],99)&amp;" ("&amp;TEXT(SUMPRODUCT(MAX((T_PlannedOrders[Part Name]=$A1079)*(T_PlannedOrders[WeekIndex]=99)*(T_PlannedOrders[EffectiveQty]&gt;0)*T_PlannedOrders[Order_Month])),"m月")&amp;"発注)")</f>
        <v/>
      </c>
      <c r="CY1085">
        <f>IF(SUMIFS(T_PlannedOrders[EffectiveQty],T_PlannedOrders[Part Name],$A1079,T_PlannedOrders[WeekIndex],100)=0,"",SUMIFS(T_PlannedOrders[EffectiveQty],T_PlannedOrders[Part Name],$A1079,T_PlannedOrders[WeekIndex],100)&amp;" ("&amp;TEXT(SUMPRODUCT(MAX((T_PlannedOrders[Part Name]=$A1079)*(T_PlannedOrders[WeekIndex]=100)*(T_PlannedOrders[EffectiveQty]&gt;0)*T_PlannedOrders[Order_Month])),"m月")&amp;"発注)")</f>
        <v/>
      </c>
      <c r="CZ1085">
        <f>IF(SUMIFS(T_PlannedOrders[EffectiveQty],T_PlannedOrders[Part Name],$A1079,T_PlannedOrders[WeekIndex],101)=0,"",SUMIFS(T_PlannedOrders[EffectiveQty],T_PlannedOrders[Part Name],$A1079,T_PlannedOrders[WeekIndex],101)&amp;" ("&amp;TEXT(SUMPRODUCT(MAX((T_PlannedOrders[Part Name]=$A1079)*(T_PlannedOrders[WeekIndex]=101)*(T_PlannedOrders[EffectiveQty]&gt;0)*T_PlannedOrders[Order_Month])),"m月")&amp;"発注)")</f>
        <v/>
      </c>
      <c r="DA1085">
        <f>IF(SUMIFS(T_PlannedOrders[EffectiveQty],T_PlannedOrders[Part Name],$A1079,T_PlannedOrders[WeekIndex],102)=0,"",SUMIFS(T_PlannedOrders[EffectiveQty],T_PlannedOrders[Part Name],$A1079,T_PlannedOrders[WeekIndex],102)&amp;" ("&amp;TEXT(SUMPRODUCT(MAX((T_PlannedOrders[Part Name]=$A1079)*(T_PlannedOrders[WeekIndex]=102)*(T_PlannedOrders[EffectiveQty]&gt;0)*T_PlannedOrders[Order_Month])),"m月")&amp;"発注)")</f>
        <v/>
      </c>
      <c r="DB1085">
        <f>IF(SUMIFS(T_PlannedOrders[EffectiveQty],T_PlannedOrders[Part Name],$A1079,T_PlannedOrders[WeekIndex],103)=0,"",SUMIFS(T_PlannedOrders[EffectiveQty],T_PlannedOrders[Part Name],$A1079,T_PlannedOrders[WeekIndex],103)&amp;" ("&amp;TEXT(SUMPRODUCT(MAX((T_PlannedOrders[Part Name]=$A1079)*(T_PlannedOrders[WeekIndex]=103)*(T_PlannedOrders[EffectiveQty]&gt;0)*T_PlannedOrders[Order_Month])),"m月")&amp;"発注)")</f>
        <v/>
      </c>
      <c r="DC1085">
        <f>IF(SUMIFS(T_PlannedOrders[EffectiveQty],T_PlannedOrders[Part Name],$A1079,T_PlannedOrders[WeekIndex],104)=0,"",SUMIFS(T_PlannedOrders[EffectiveQty],T_PlannedOrders[Part Name],$A1079,T_PlannedOrders[WeekIndex],104)&amp;" ("&amp;TEXT(SUMPRODUCT(MAX((T_PlannedOrders[Part Name]=$A1079)*(T_PlannedOrders[WeekIndex]=104)*(T_PlannedOrders[EffectiveQty]&gt;0)*T_PlannedOrders[Order_Month])),"m月")&amp;"発注)")</f>
        <v/>
      </c>
    </row>
    <row r="1086">
      <c r="B1086" s="9" t="inlineStr">
        <is>
          <t>合計在庫(週末時点,kg)</t>
        </is>
      </c>
      <c r="D1086">
        <f>'Grid_Stock'!B14</f>
        <v/>
      </c>
      <c r="E1086">
        <f>'Grid_Stock'!C14</f>
        <v/>
      </c>
      <c r="F1086">
        <f>'Grid_Stock'!D14</f>
        <v/>
      </c>
      <c r="G1086">
        <f>'Grid_Stock'!E14</f>
        <v/>
      </c>
      <c r="H1086">
        <f>'Grid_Stock'!F14</f>
        <v/>
      </c>
      <c r="I1086">
        <f>'Grid_Stock'!G14</f>
        <v/>
      </c>
      <c r="J1086">
        <f>'Grid_Stock'!H14</f>
        <v/>
      </c>
      <c r="K1086">
        <f>'Grid_Stock'!I14</f>
        <v/>
      </c>
      <c r="L1086">
        <f>'Grid_Stock'!J14</f>
        <v/>
      </c>
      <c r="M1086">
        <f>'Grid_Stock'!K14</f>
        <v/>
      </c>
      <c r="N1086">
        <f>'Grid_Stock'!L14</f>
        <v/>
      </c>
      <c r="O1086">
        <f>'Grid_Stock'!M14</f>
        <v/>
      </c>
      <c r="P1086">
        <f>'Grid_Stock'!N14</f>
        <v/>
      </c>
      <c r="Q1086">
        <f>'Grid_Stock'!O14</f>
        <v/>
      </c>
      <c r="R1086">
        <f>'Grid_Stock'!P14</f>
        <v/>
      </c>
      <c r="S1086">
        <f>'Grid_Stock'!Q14</f>
        <v/>
      </c>
      <c r="T1086">
        <f>'Grid_Stock'!R14</f>
        <v/>
      </c>
      <c r="U1086">
        <f>'Grid_Stock'!S14</f>
        <v/>
      </c>
      <c r="V1086">
        <f>'Grid_Stock'!T14</f>
        <v/>
      </c>
      <c r="W1086">
        <f>'Grid_Stock'!U14</f>
        <v/>
      </c>
      <c r="X1086">
        <f>'Grid_Stock'!V14</f>
        <v/>
      </c>
      <c r="Y1086">
        <f>'Grid_Stock'!W14</f>
        <v/>
      </c>
      <c r="Z1086">
        <f>'Grid_Stock'!X14</f>
        <v/>
      </c>
      <c r="AA1086">
        <f>'Grid_Stock'!Y14</f>
        <v/>
      </c>
      <c r="AB1086">
        <f>'Grid_Stock'!Z14</f>
        <v/>
      </c>
      <c r="AC1086">
        <f>'Grid_Stock'!AA14</f>
        <v/>
      </c>
      <c r="AD1086">
        <f>'Grid_Stock'!AB14</f>
        <v/>
      </c>
      <c r="AE1086">
        <f>'Grid_Stock'!AC14</f>
        <v/>
      </c>
      <c r="AF1086">
        <f>'Grid_Stock'!AD14</f>
        <v/>
      </c>
      <c r="AG1086">
        <f>'Grid_Stock'!AE14</f>
        <v/>
      </c>
      <c r="AH1086">
        <f>'Grid_Stock'!AF14</f>
        <v/>
      </c>
      <c r="AI1086">
        <f>'Grid_Stock'!AG14</f>
        <v/>
      </c>
      <c r="AJ1086">
        <f>'Grid_Stock'!AH14</f>
        <v/>
      </c>
      <c r="AK1086">
        <f>'Grid_Stock'!AI14</f>
        <v/>
      </c>
      <c r="AL1086">
        <f>'Grid_Stock'!AJ14</f>
        <v/>
      </c>
      <c r="AM1086">
        <f>'Grid_Stock'!AK14</f>
        <v/>
      </c>
      <c r="AN1086">
        <f>'Grid_Stock'!AL14</f>
        <v/>
      </c>
      <c r="AO1086">
        <f>'Grid_Stock'!AM14</f>
        <v/>
      </c>
      <c r="AP1086">
        <f>'Grid_Stock'!AN14</f>
        <v/>
      </c>
      <c r="AQ1086">
        <f>'Grid_Stock'!AO14</f>
        <v/>
      </c>
      <c r="AR1086">
        <f>'Grid_Stock'!AP14</f>
        <v/>
      </c>
      <c r="AS1086">
        <f>'Grid_Stock'!AQ14</f>
        <v/>
      </c>
      <c r="AT1086">
        <f>'Grid_Stock'!AR14</f>
        <v/>
      </c>
      <c r="AU1086">
        <f>'Grid_Stock'!AS14</f>
        <v/>
      </c>
      <c r="AV1086">
        <f>'Grid_Stock'!AT14</f>
        <v/>
      </c>
      <c r="AW1086">
        <f>'Grid_Stock'!AU14</f>
        <v/>
      </c>
      <c r="AX1086">
        <f>'Grid_Stock'!AV14</f>
        <v/>
      </c>
      <c r="AY1086">
        <f>'Grid_Stock'!AW14</f>
        <v/>
      </c>
      <c r="AZ1086">
        <f>'Grid_Stock'!AX14</f>
        <v/>
      </c>
      <c r="BA1086">
        <f>'Grid_Stock'!AY14</f>
        <v/>
      </c>
      <c r="BB1086">
        <f>'Grid_Stock'!AZ14</f>
        <v/>
      </c>
      <c r="BC1086">
        <f>'Grid_Stock'!BA14</f>
        <v/>
      </c>
      <c r="BD1086">
        <f>'Grid_Stock'!BB14</f>
        <v/>
      </c>
      <c r="BE1086">
        <f>'Grid_Stock'!BC14</f>
        <v/>
      </c>
      <c r="BF1086">
        <f>'Grid_Stock'!BD14</f>
        <v/>
      </c>
      <c r="BG1086">
        <f>'Grid_Stock'!BE14</f>
        <v/>
      </c>
      <c r="BH1086">
        <f>'Grid_Stock'!BF14</f>
        <v/>
      </c>
      <c r="BI1086">
        <f>'Grid_Stock'!BG14</f>
        <v/>
      </c>
      <c r="BJ1086">
        <f>'Grid_Stock'!BH14</f>
        <v/>
      </c>
      <c r="BK1086">
        <f>'Grid_Stock'!BI14</f>
        <v/>
      </c>
      <c r="BL1086">
        <f>'Grid_Stock'!BJ14</f>
        <v/>
      </c>
      <c r="BM1086">
        <f>'Grid_Stock'!BK14</f>
        <v/>
      </c>
      <c r="BN1086">
        <f>'Grid_Stock'!BL14</f>
        <v/>
      </c>
      <c r="BO1086">
        <f>'Grid_Stock'!BM14</f>
        <v/>
      </c>
      <c r="BP1086">
        <f>'Grid_Stock'!BN14</f>
        <v/>
      </c>
      <c r="BQ1086">
        <f>'Grid_Stock'!BO14</f>
        <v/>
      </c>
      <c r="BR1086">
        <f>'Grid_Stock'!BP14</f>
        <v/>
      </c>
      <c r="BS1086">
        <f>'Grid_Stock'!BQ14</f>
        <v/>
      </c>
      <c r="BT1086">
        <f>'Grid_Stock'!BR14</f>
        <v/>
      </c>
      <c r="BU1086">
        <f>'Grid_Stock'!BS14</f>
        <v/>
      </c>
      <c r="BV1086">
        <f>'Grid_Stock'!BT14</f>
        <v/>
      </c>
      <c r="BW1086">
        <f>'Grid_Stock'!BU14</f>
        <v/>
      </c>
      <c r="BX1086">
        <f>'Grid_Stock'!BV14</f>
        <v/>
      </c>
      <c r="BY1086">
        <f>'Grid_Stock'!BW14</f>
        <v/>
      </c>
      <c r="BZ1086">
        <f>'Grid_Stock'!BX14</f>
        <v/>
      </c>
      <c r="CA1086">
        <f>'Grid_Stock'!BY14</f>
        <v/>
      </c>
      <c r="CB1086">
        <f>'Grid_Stock'!BZ14</f>
        <v/>
      </c>
      <c r="CC1086">
        <f>'Grid_Stock'!CA14</f>
        <v/>
      </c>
      <c r="CD1086">
        <f>'Grid_Stock'!CB14</f>
        <v/>
      </c>
      <c r="CE1086">
        <f>'Grid_Stock'!CC14</f>
        <v/>
      </c>
      <c r="CF1086">
        <f>'Grid_Stock'!CD14</f>
        <v/>
      </c>
      <c r="CG1086">
        <f>'Grid_Stock'!CE14</f>
        <v/>
      </c>
      <c r="CH1086">
        <f>'Grid_Stock'!CF14</f>
        <v/>
      </c>
      <c r="CI1086">
        <f>'Grid_Stock'!CG14</f>
        <v/>
      </c>
      <c r="CJ1086">
        <f>'Grid_Stock'!CH14</f>
        <v/>
      </c>
      <c r="CK1086">
        <f>'Grid_Stock'!CI14</f>
        <v/>
      </c>
      <c r="CL1086">
        <f>'Grid_Stock'!CJ14</f>
        <v/>
      </c>
      <c r="CM1086">
        <f>'Grid_Stock'!CK14</f>
        <v/>
      </c>
      <c r="CN1086">
        <f>'Grid_Stock'!CL14</f>
        <v/>
      </c>
      <c r="CO1086">
        <f>'Grid_Stock'!CM14</f>
        <v/>
      </c>
      <c r="CP1086">
        <f>'Grid_Stock'!CN14</f>
        <v/>
      </c>
      <c r="CQ1086">
        <f>'Grid_Stock'!CO14</f>
        <v/>
      </c>
      <c r="CR1086">
        <f>'Grid_Stock'!CP14</f>
        <v/>
      </c>
      <c r="CS1086">
        <f>'Grid_Stock'!CQ14</f>
        <v/>
      </c>
      <c r="CT1086">
        <f>'Grid_Stock'!CR14</f>
        <v/>
      </c>
      <c r="CU1086">
        <f>'Grid_Stock'!CS14</f>
        <v/>
      </c>
      <c r="CV1086">
        <f>'Grid_Stock'!CT14</f>
        <v/>
      </c>
      <c r="CW1086">
        <f>'Grid_Stock'!CU14</f>
        <v/>
      </c>
      <c r="CX1086">
        <f>'Grid_Stock'!CV14</f>
        <v/>
      </c>
      <c r="CY1086">
        <f>'Grid_Stock'!CW14</f>
        <v/>
      </c>
      <c r="CZ1086">
        <f>'Grid_Stock'!CX14</f>
        <v/>
      </c>
      <c r="DA1086">
        <f>'Grid_Stock'!CY14</f>
        <v/>
      </c>
      <c r="DB1086">
        <f>'Grid_Stock'!CZ14</f>
        <v/>
      </c>
      <c r="DC1086">
        <f>'Grid_Stock'!DA14</f>
        <v/>
      </c>
    </row>
    <row r="1087">
      <c r="B1087" s="21" t="inlineStr">
        <is>
          <t>（発注の目安はDashboardの基準在庫[下限/上限]と色分けを参照）</t>
        </is>
      </c>
    </row>
    <row r="1089">
      <c r="A1089" s="19" t="inlineStr">
        <is>
          <t>PP Film</t>
        </is>
      </c>
      <c r="B1089" s="19" t="inlineStr">
        <is>
          <t>PP Film</t>
        </is>
      </c>
      <c r="C1089" s="20" t="n"/>
      <c r="D1089" s="19" t="n"/>
      <c r="E1089" s="19" t="n"/>
      <c r="F1089" s="19" t="n"/>
      <c r="G1089" s="19" t="n"/>
      <c r="H1089" s="19" t="n"/>
      <c r="I1089" s="19" t="n"/>
      <c r="J1089" s="19" t="n"/>
      <c r="K1089" s="19" t="n"/>
      <c r="L1089" s="19" t="n"/>
      <c r="M1089" s="19" t="n"/>
      <c r="N1089" s="19" t="n"/>
      <c r="O1089" s="19" t="n"/>
      <c r="P1089" s="19" t="n"/>
      <c r="Q1089" s="19" t="n"/>
      <c r="R1089" s="19" t="n"/>
      <c r="S1089" s="19" t="n"/>
      <c r="T1089" s="19" t="n"/>
      <c r="U1089" s="19" t="n"/>
      <c r="V1089" s="19" t="n"/>
      <c r="W1089" s="19" t="n"/>
      <c r="X1089" s="19" t="n"/>
      <c r="Y1089" s="19" t="n"/>
      <c r="Z1089" s="19" t="n"/>
      <c r="AA1089" s="19" t="n"/>
      <c r="AB1089" s="19" t="n"/>
      <c r="AC1089" s="19" t="n"/>
      <c r="AD1089" s="19" t="n"/>
      <c r="AE1089" s="19" t="n"/>
      <c r="AF1089" s="19" t="n"/>
      <c r="AG1089" s="19" t="n"/>
      <c r="AH1089" s="19" t="n"/>
      <c r="AI1089" s="19" t="n"/>
      <c r="AJ1089" s="19" t="n"/>
      <c r="AK1089" s="19" t="n"/>
      <c r="AL1089" s="19" t="n"/>
      <c r="AM1089" s="19" t="n"/>
      <c r="AN1089" s="19" t="n"/>
      <c r="AO1089" s="19" t="n"/>
      <c r="AP1089" s="19" t="n"/>
      <c r="AQ1089" s="19" t="n"/>
      <c r="AR1089" s="19" t="n"/>
      <c r="AS1089" s="19" t="n"/>
      <c r="AT1089" s="19" t="n"/>
      <c r="AU1089" s="19" t="n"/>
      <c r="AV1089" s="19" t="n"/>
      <c r="AW1089" s="19" t="n"/>
      <c r="AX1089" s="19" t="n"/>
      <c r="AY1089" s="19" t="n"/>
      <c r="AZ1089" s="19" t="n"/>
      <c r="BA1089" s="19" t="n"/>
      <c r="BB1089" s="19" t="n"/>
      <c r="BC1089" s="19" t="n"/>
      <c r="BD1089" s="19" t="n"/>
      <c r="BE1089" s="19" t="n"/>
      <c r="BF1089" s="19" t="n"/>
      <c r="BG1089" s="19" t="n"/>
      <c r="BH1089" s="19" t="n"/>
      <c r="BI1089" s="19" t="n"/>
      <c r="BJ1089" s="19" t="n"/>
      <c r="BK1089" s="19" t="n"/>
      <c r="BL1089" s="19" t="n"/>
      <c r="BM1089" s="19" t="n"/>
      <c r="BN1089" s="19" t="n"/>
      <c r="BO1089" s="19" t="n"/>
      <c r="BP1089" s="19" t="n"/>
      <c r="BQ1089" s="19" t="n"/>
      <c r="BR1089" s="19" t="n"/>
      <c r="BS1089" s="19" t="n"/>
      <c r="BT1089" s="19" t="n"/>
      <c r="BU1089" s="19" t="n"/>
      <c r="BV1089" s="19" t="n"/>
      <c r="BW1089" s="19" t="n"/>
      <c r="BX1089" s="19" t="n"/>
      <c r="BY1089" s="19" t="n"/>
      <c r="BZ1089" s="19" t="n"/>
      <c r="CA1089" s="19" t="n"/>
      <c r="CB1089" s="19" t="n"/>
      <c r="CC1089" s="19" t="n"/>
      <c r="CD1089" s="19" t="n"/>
      <c r="CE1089" s="19" t="n"/>
      <c r="CF1089" s="19" t="n"/>
      <c r="CG1089" s="19" t="n"/>
      <c r="CH1089" s="19" t="n"/>
      <c r="CI1089" s="19" t="n"/>
      <c r="CJ1089" s="19" t="n"/>
      <c r="CK1089" s="19" t="n"/>
      <c r="CL1089" s="19" t="n"/>
      <c r="CM1089" s="19" t="n"/>
      <c r="CN1089" s="19" t="n"/>
      <c r="CO1089" s="19" t="n"/>
      <c r="CP1089" s="19" t="n"/>
      <c r="CQ1089" s="19" t="n"/>
      <c r="CR1089" s="19" t="n"/>
      <c r="CS1089" s="19" t="n"/>
      <c r="CT1089" s="19" t="n"/>
      <c r="CU1089" s="19" t="n"/>
      <c r="CV1089" s="19" t="n"/>
      <c r="CW1089" s="19" t="n"/>
      <c r="CX1089" s="19" t="n"/>
      <c r="CY1089" s="19" t="n"/>
      <c r="CZ1089" s="19" t="n"/>
      <c r="DA1089" s="19" t="n"/>
      <c r="DB1089" s="19" t="n"/>
      <c r="DC1089" s="19" t="n"/>
    </row>
    <row r="1090">
      <c r="B1090" t="inlineStr">
        <is>
          <t>PP Film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12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Name],$A1089)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s="9" t="inlineStr">
        <is>
          <t>合計使用量(kg)/週</t>
        </is>
      </c>
      <c r="D1092">
        <f>'Grid_Requirement'!B39</f>
        <v/>
      </c>
      <c r="E1092">
        <f>'Grid_Requirement'!C39</f>
        <v/>
      </c>
      <c r="F1092">
        <f>'Grid_Requirement'!D39</f>
        <v/>
      </c>
      <c r="G1092">
        <f>'Grid_Requirement'!E39</f>
        <v/>
      </c>
      <c r="H1092">
        <f>'Grid_Requirement'!F39</f>
        <v/>
      </c>
      <c r="I1092">
        <f>'Grid_Requirement'!G39</f>
        <v/>
      </c>
      <c r="J1092">
        <f>'Grid_Requirement'!H39</f>
        <v/>
      </c>
      <c r="K1092">
        <f>'Grid_Requirement'!I39</f>
        <v/>
      </c>
      <c r="L1092">
        <f>'Grid_Requirement'!J39</f>
        <v/>
      </c>
      <c r="M1092">
        <f>'Grid_Requirement'!K39</f>
        <v/>
      </c>
      <c r="N1092">
        <f>'Grid_Requirement'!L39</f>
        <v/>
      </c>
      <c r="O1092">
        <f>'Grid_Requirement'!M39</f>
        <v/>
      </c>
      <c r="P1092">
        <f>'Grid_Requirement'!N39</f>
        <v/>
      </c>
      <c r="Q1092">
        <f>'Grid_Requirement'!O39</f>
        <v/>
      </c>
      <c r="R1092">
        <f>'Grid_Requirement'!P39</f>
        <v/>
      </c>
      <c r="S1092">
        <f>'Grid_Requirement'!Q39</f>
        <v/>
      </c>
      <c r="T1092">
        <f>'Grid_Requirement'!R39</f>
        <v/>
      </c>
      <c r="U1092">
        <f>'Grid_Requirement'!S39</f>
        <v/>
      </c>
      <c r="V1092">
        <f>'Grid_Requirement'!T39</f>
        <v/>
      </c>
      <c r="W1092">
        <f>'Grid_Requirement'!U39</f>
        <v/>
      </c>
      <c r="X1092">
        <f>'Grid_Requirement'!V39</f>
        <v/>
      </c>
      <c r="Y1092">
        <f>'Grid_Requirement'!W39</f>
        <v/>
      </c>
      <c r="Z1092">
        <f>'Grid_Requirement'!X39</f>
        <v/>
      </c>
      <c r="AA1092">
        <f>'Grid_Requirement'!Y39</f>
        <v/>
      </c>
      <c r="AB1092">
        <f>'Grid_Requirement'!Z39</f>
        <v/>
      </c>
      <c r="AC1092">
        <f>'Grid_Requirement'!AA39</f>
        <v/>
      </c>
      <c r="AD1092">
        <f>'Grid_Requirement'!AB39</f>
        <v/>
      </c>
      <c r="AE1092">
        <f>'Grid_Requirement'!AC39</f>
        <v/>
      </c>
      <c r="AF1092">
        <f>'Grid_Requirement'!AD39</f>
        <v/>
      </c>
      <c r="AG1092">
        <f>'Grid_Requirement'!AE39</f>
        <v/>
      </c>
      <c r="AH1092">
        <f>'Grid_Requirement'!AF39</f>
        <v/>
      </c>
      <c r="AI1092">
        <f>'Grid_Requirement'!AG39</f>
        <v/>
      </c>
      <c r="AJ1092">
        <f>'Grid_Requirement'!AH39</f>
        <v/>
      </c>
      <c r="AK1092">
        <f>'Grid_Requirement'!AI39</f>
        <v/>
      </c>
      <c r="AL1092">
        <f>'Grid_Requirement'!AJ39</f>
        <v/>
      </c>
      <c r="AM1092">
        <f>'Grid_Requirement'!AK39</f>
        <v/>
      </c>
      <c r="AN1092">
        <f>'Grid_Requirement'!AL39</f>
        <v/>
      </c>
      <c r="AO1092">
        <f>'Grid_Requirement'!AM39</f>
        <v/>
      </c>
      <c r="AP1092">
        <f>'Grid_Requirement'!AN39</f>
        <v/>
      </c>
      <c r="AQ1092">
        <f>'Grid_Requirement'!AO39</f>
        <v/>
      </c>
      <c r="AR1092">
        <f>'Grid_Requirement'!AP39</f>
        <v/>
      </c>
      <c r="AS1092">
        <f>'Grid_Requirement'!AQ39</f>
        <v/>
      </c>
      <c r="AT1092">
        <f>'Grid_Requirement'!AR39</f>
        <v/>
      </c>
      <c r="AU1092">
        <f>'Grid_Requirement'!AS39</f>
        <v/>
      </c>
      <c r="AV1092">
        <f>'Grid_Requirement'!AT39</f>
        <v/>
      </c>
      <c r="AW1092">
        <f>'Grid_Requirement'!AU39</f>
        <v/>
      </c>
      <c r="AX1092">
        <f>'Grid_Requirement'!AV39</f>
        <v/>
      </c>
      <c r="AY1092">
        <f>'Grid_Requirement'!AW39</f>
        <v/>
      </c>
      <c r="AZ1092">
        <f>'Grid_Requirement'!AX39</f>
        <v/>
      </c>
      <c r="BA1092">
        <f>'Grid_Requirement'!AY39</f>
        <v/>
      </c>
      <c r="BB1092">
        <f>'Grid_Requirement'!AZ39</f>
        <v/>
      </c>
      <c r="BC1092">
        <f>'Grid_Requirement'!BA39</f>
        <v/>
      </c>
      <c r="BD1092">
        <f>'Grid_Requirement'!BB39</f>
        <v/>
      </c>
      <c r="BE1092">
        <f>'Grid_Requirement'!BC39</f>
        <v/>
      </c>
      <c r="BF1092">
        <f>'Grid_Requirement'!BD39</f>
        <v/>
      </c>
      <c r="BG1092">
        <f>'Grid_Requirement'!BE39</f>
        <v/>
      </c>
      <c r="BH1092">
        <f>'Grid_Requirement'!BF39</f>
        <v/>
      </c>
      <c r="BI1092">
        <f>'Grid_Requirement'!BG39</f>
        <v/>
      </c>
      <c r="BJ1092">
        <f>'Grid_Requirement'!BH39</f>
        <v/>
      </c>
      <c r="BK1092">
        <f>'Grid_Requirement'!BI39</f>
        <v/>
      </c>
      <c r="BL1092">
        <f>'Grid_Requirement'!BJ39</f>
        <v/>
      </c>
      <c r="BM1092">
        <f>'Grid_Requirement'!BK39</f>
        <v/>
      </c>
      <c r="BN1092">
        <f>'Grid_Requirement'!BL39</f>
        <v/>
      </c>
      <c r="BO1092">
        <f>'Grid_Requirement'!BM39</f>
        <v/>
      </c>
      <c r="BP1092">
        <f>'Grid_Requirement'!BN39</f>
        <v/>
      </c>
      <c r="BQ1092">
        <f>'Grid_Requirement'!BO39</f>
        <v/>
      </c>
      <c r="BR1092">
        <f>'Grid_Requirement'!BP39</f>
        <v/>
      </c>
      <c r="BS1092">
        <f>'Grid_Requirement'!BQ39</f>
        <v/>
      </c>
      <c r="BT1092">
        <f>'Grid_Requirement'!BR39</f>
        <v/>
      </c>
      <c r="BU1092">
        <f>'Grid_Requirement'!BS39</f>
        <v/>
      </c>
      <c r="BV1092">
        <f>'Grid_Requirement'!BT39</f>
        <v/>
      </c>
      <c r="BW1092">
        <f>'Grid_Requirement'!BU39</f>
        <v/>
      </c>
      <c r="BX1092">
        <f>'Grid_Requirement'!BV39</f>
        <v/>
      </c>
      <c r="BY1092">
        <f>'Grid_Requirement'!BW39</f>
        <v/>
      </c>
      <c r="BZ1092">
        <f>'Grid_Requirement'!BX39</f>
        <v/>
      </c>
      <c r="CA1092">
        <f>'Grid_Requirement'!BY39</f>
        <v/>
      </c>
      <c r="CB1092">
        <f>'Grid_Requirement'!BZ39</f>
        <v/>
      </c>
      <c r="CC1092">
        <f>'Grid_Requirement'!CA39</f>
        <v/>
      </c>
      <c r="CD1092">
        <f>'Grid_Requirement'!CB39</f>
        <v/>
      </c>
      <c r="CE1092">
        <f>'Grid_Requirement'!CC39</f>
        <v/>
      </c>
      <c r="CF1092">
        <f>'Grid_Requirement'!CD39</f>
        <v/>
      </c>
      <c r="CG1092">
        <f>'Grid_Requirement'!CE39</f>
        <v/>
      </c>
      <c r="CH1092">
        <f>'Grid_Requirement'!CF39</f>
        <v/>
      </c>
      <c r="CI1092">
        <f>'Grid_Requirement'!CG39</f>
        <v/>
      </c>
      <c r="CJ1092">
        <f>'Grid_Requirement'!CH39</f>
        <v/>
      </c>
      <c r="CK1092">
        <f>'Grid_Requirement'!CI39</f>
        <v/>
      </c>
      <c r="CL1092">
        <f>'Grid_Requirement'!CJ39</f>
        <v/>
      </c>
      <c r="CM1092">
        <f>'Grid_Requirement'!CK39</f>
        <v/>
      </c>
      <c r="CN1092">
        <f>'Grid_Requirement'!CL39</f>
        <v/>
      </c>
      <c r="CO1092">
        <f>'Grid_Requirement'!CM39</f>
        <v/>
      </c>
      <c r="CP1092">
        <f>'Grid_Requirement'!CN39</f>
        <v/>
      </c>
      <c r="CQ1092">
        <f>'Grid_Requirement'!CO39</f>
        <v/>
      </c>
      <c r="CR1092">
        <f>'Grid_Requirement'!CP39</f>
        <v/>
      </c>
      <c r="CS1092">
        <f>'Grid_Requirement'!CQ39</f>
        <v/>
      </c>
      <c r="CT1092">
        <f>'Grid_Requirement'!CR39</f>
        <v/>
      </c>
      <c r="CU1092">
        <f>'Grid_Requirement'!CS39</f>
        <v/>
      </c>
      <c r="CV1092">
        <f>'Grid_Requirement'!CT39</f>
        <v/>
      </c>
      <c r="CW1092">
        <f>'Grid_Requirement'!CU39</f>
        <v/>
      </c>
      <c r="CX1092">
        <f>'Grid_Requirement'!CV39</f>
        <v/>
      </c>
      <c r="CY1092">
        <f>'Grid_Requirement'!CW39</f>
        <v/>
      </c>
      <c r="CZ1092">
        <f>'Grid_Requirement'!CX39</f>
        <v/>
      </c>
      <c r="DA1092">
        <f>'Grid_Requirement'!CY39</f>
        <v/>
      </c>
      <c r="DB1092">
        <f>'Grid_Requirement'!CZ39</f>
        <v/>
      </c>
      <c r="DC1092">
        <f>'Grid_Requirement'!DA39</f>
        <v/>
      </c>
    </row>
    <row r="1093">
      <c r="B1093" t="inlineStr">
        <is>
          <t>TTAF在庫(実績,kg)</t>
        </is>
      </c>
      <c r="D1093">
        <f>'T_TTAFStock'!B43</f>
        <v/>
      </c>
      <c r="E1093">
        <f>'T_TTAFStock'!C43</f>
        <v/>
      </c>
      <c r="F1093">
        <f>'T_TTAFStock'!D43</f>
        <v/>
      </c>
      <c r="G1093">
        <f>'T_TTAFStock'!E43</f>
        <v/>
      </c>
      <c r="H1093">
        <f>'T_TTAFStock'!F43</f>
        <v/>
      </c>
      <c r="I1093">
        <f>'T_TTAFStock'!G43</f>
        <v/>
      </c>
      <c r="J1093">
        <f>'T_TTAFStock'!H43</f>
        <v/>
      </c>
      <c r="K1093">
        <f>'T_TTAFStock'!I43</f>
        <v/>
      </c>
      <c r="L1093">
        <f>'T_TTAFStock'!J43</f>
        <v/>
      </c>
      <c r="M1093">
        <f>'T_TTAFStock'!K43</f>
        <v/>
      </c>
      <c r="N1093">
        <f>'T_TTAFStock'!L43</f>
        <v/>
      </c>
      <c r="O1093">
        <f>'T_TTAFStock'!M43</f>
        <v/>
      </c>
      <c r="P1093">
        <f>'T_TTAFStock'!N43</f>
        <v/>
      </c>
      <c r="Q1093">
        <f>'T_TTAFStock'!O43</f>
        <v/>
      </c>
      <c r="R1093">
        <f>'T_TTAFStock'!P43</f>
        <v/>
      </c>
      <c r="S1093">
        <f>'T_TTAFStock'!Q43</f>
        <v/>
      </c>
      <c r="T1093">
        <f>'T_TTAFStock'!R43</f>
        <v/>
      </c>
      <c r="U1093">
        <f>'T_TTAFStock'!S43</f>
        <v/>
      </c>
      <c r="V1093">
        <f>'T_TTAFStock'!T43</f>
        <v/>
      </c>
      <c r="W1093">
        <f>'T_TTAFStock'!U43</f>
        <v/>
      </c>
      <c r="X1093">
        <f>'T_TTAFStock'!V43</f>
        <v/>
      </c>
      <c r="Y1093">
        <f>'T_TTAFStock'!W43</f>
        <v/>
      </c>
      <c r="Z1093">
        <f>'T_TTAFStock'!X43</f>
        <v/>
      </c>
      <c r="AA1093">
        <f>'T_TTAFStock'!Y43</f>
        <v/>
      </c>
      <c r="AB1093">
        <f>'T_TTAFStock'!Z43</f>
        <v/>
      </c>
      <c r="AC1093">
        <f>'T_TTAFStock'!AA43</f>
        <v/>
      </c>
      <c r="AD1093">
        <f>'T_TTAFStock'!AB43</f>
        <v/>
      </c>
      <c r="AE1093">
        <f>'T_TTAFStock'!AC43</f>
        <v/>
      </c>
      <c r="AF1093">
        <f>'T_TTAFStock'!AD43</f>
        <v/>
      </c>
      <c r="AG1093">
        <f>'T_TTAFStock'!AE43</f>
        <v/>
      </c>
      <c r="AH1093">
        <f>'T_TTAFStock'!AF43</f>
        <v/>
      </c>
      <c r="AI1093">
        <f>'T_TTAFStock'!AG43</f>
        <v/>
      </c>
      <c r="AJ1093">
        <f>'T_TTAFStock'!AH43</f>
        <v/>
      </c>
      <c r="AK1093">
        <f>'T_TTAFStock'!AI43</f>
        <v/>
      </c>
      <c r="AL1093">
        <f>'T_TTAFStock'!AJ43</f>
        <v/>
      </c>
      <c r="AM1093">
        <f>'T_TTAFStock'!AK43</f>
        <v/>
      </c>
      <c r="AN1093">
        <f>'T_TTAFStock'!AL43</f>
        <v/>
      </c>
      <c r="AO1093">
        <f>'T_TTAFStock'!AM43</f>
        <v/>
      </c>
      <c r="AP1093">
        <f>'T_TTAFStock'!AN43</f>
        <v/>
      </c>
      <c r="AQ1093">
        <f>'T_TTAFStock'!AO43</f>
        <v/>
      </c>
      <c r="AR1093">
        <f>'T_TTAFStock'!AP43</f>
        <v/>
      </c>
      <c r="AS1093">
        <f>'T_TTAFStock'!AQ43</f>
        <v/>
      </c>
      <c r="AT1093">
        <f>'T_TTAFStock'!AR43</f>
        <v/>
      </c>
      <c r="AU1093">
        <f>'T_TTAFStock'!AS43</f>
        <v/>
      </c>
      <c r="AV1093">
        <f>'T_TTAFStock'!AT43</f>
        <v/>
      </c>
      <c r="AW1093">
        <f>'T_TTAFStock'!AU43</f>
        <v/>
      </c>
      <c r="AX1093">
        <f>'T_TTAFStock'!AV43</f>
        <v/>
      </c>
      <c r="AY1093">
        <f>'T_TTAFStock'!AW43</f>
        <v/>
      </c>
      <c r="AZ1093">
        <f>'T_TTAFStock'!AX43</f>
        <v/>
      </c>
      <c r="BA1093">
        <f>'T_TTAFStock'!AY43</f>
        <v/>
      </c>
      <c r="BB1093">
        <f>'T_TTAFStock'!AZ43</f>
        <v/>
      </c>
      <c r="BC1093">
        <f>'T_TTAFStock'!BA43</f>
        <v/>
      </c>
      <c r="BD1093">
        <f>'T_TTAFStock'!BB43</f>
        <v/>
      </c>
      <c r="BE1093">
        <f>'T_TTAFStock'!BC43</f>
        <v/>
      </c>
      <c r="BF1093">
        <f>'T_TTAFStock'!BD43</f>
        <v/>
      </c>
      <c r="BG1093">
        <f>'T_TTAFStock'!BE43</f>
        <v/>
      </c>
      <c r="BH1093">
        <f>'T_TTAFStock'!BF43</f>
        <v/>
      </c>
      <c r="BI1093">
        <f>'T_TTAFStock'!BG43</f>
        <v/>
      </c>
      <c r="BJ1093">
        <f>'T_TTAFStock'!BH43</f>
        <v/>
      </c>
      <c r="BK1093">
        <f>'T_TTAFStock'!BI43</f>
        <v/>
      </c>
      <c r="BL1093">
        <f>'T_TTAFStock'!BJ43</f>
        <v/>
      </c>
      <c r="BM1093">
        <f>'T_TTAFStock'!BK43</f>
        <v/>
      </c>
      <c r="BN1093">
        <f>'T_TTAFStock'!BL43</f>
        <v/>
      </c>
      <c r="BO1093">
        <f>'T_TTAFStock'!BM43</f>
        <v/>
      </c>
      <c r="BP1093">
        <f>'T_TTAFStock'!BN43</f>
        <v/>
      </c>
      <c r="BQ1093">
        <f>'T_TTAFStock'!BO43</f>
        <v/>
      </c>
      <c r="BR1093">
        <f>'T_TTAFStock'!BP43</f>
        <v/>
      </c>
      <c r="BS1093">
        <f>'T_TTAFStock'!BQ43</f>
        <v/>
      </c>
      <c r="BT1093">
        <f>'T_TTAFStock'!BR43</f>
        <v/>
      </c>
      <c r="BU1093">
        <f>'T_TTAFStock'!BS43</f>
        <v/>
      </c>
      <c r="BV1093">
        <f>'T_TTAFStock'!BT43</f>
        <v/>
      </c>
      <c r="BW1093">
        <f>'T_TTAFStock'!BU43</f>
        <v/>
      </c>
      <c r="BX1093">
        <f>'T_TTAFStock'!BV43</f>
        <v/>
      </c>
      <c r="BY1093">
        <f>'T_TTAFStock'!BW43</f>
        <v/>
      </c>
      <c r="BZ1093">
        <f>'T_TTAFStock'!BX43</f>
        <v/>
      </c>
      <c r="CA1093">
        <f>'T_TTAFStock'!BY43</f>
        <v/>
      </c>
      <c r="CB1093">
        <f>'T_TTAFStock'!BZ43</f>
        <v/>
      </c>
      <c r="CC1093">
        <f>'T_TTAFStock'!CA43</f>
        <v/>
      </c>
      <c r="CD1093">
        <f>'T_TTAFStock'!CB43</f>
        <v/>
      </c>
      <c r="CE1093">
        <f>'T_TTAFStock'!CC43</f>
        <v/>
      </c>
      <c r="CF1093">
        <f>'T_TTAFStock'!CD43</f>
        <v/>
      </c>
      <c r="CG1093">
        <f>'T_TTAFStock'!CE43</f>
        <v/>
      </c>
      <c r="CH1093">
        <f>'T_TTAFStock'!CF43</f>
        <v/>
      </c>
      <c r="CI1093">
        <f>'T_TTAFStock'!CG43</f>
        <v/>
      </c>
      <c r="CJ1093">
        <f>'T_TTAFStock'!CH43</f>
        <v/>
      </c>
      <c r="CK1093">
        <f>'T_TTAFStock'!CI43</f>
        <v/>
      </c>
      <c r="CL1093">
        <f>'T_TTAFStock'!CJ43</f>
        <v/>
      </c>
      <c r="CM1093">
        <f>'T_TTAFStock'!CK43</f>
        <v/>
      </c>
      <c r="CN1093">
        <f>'T_TTAFStock'!CL43</f>
        <v/>
      </c>
      <c r="CO1093">
        <f>'T_TTAFStock'!CM43</f>
        <v/>
      </c>
      <c r="CP1093">
        <f>'T_TTAFStock'!CN43</f>
        <v/>
      </c>
      <c r="CQ1093">
        <f>'T_TTAFStock'!CO43</f>
        <v/>
      </c>
      <c r="CR1093">
        <f>'T_TTAFStock'!CP43</f>
        <v/>
      </c>
      <c r="CS1093">
        <f>'T_TTAFStock'!CQ43</f>
        <v/>
      </c>
      <c r="CT1093">
        <f>'T_TTAFStock'!CR43</f>
        <v/>
      </c>
      <c r="CU1093">
        <f>'T_TTAFStock'!CS43</f>
        <v/>
      </c>
      <c r="CV1093">
        <f>'T_TTAFStock'!CT43</f>
        <v/>
      </c>
      <c r="CW1093">
        <f>'T_TTAFStock'!CU43</f>
        <v/>
      </c>
      <c r="CX1093">
        <f>'T_TTAFStock'!CV43</f>
        <v/>
      </c>
      <c r="CY1093">
        <f>'T_TTAFStock'!CW43</f>
        <v/>
      </c>
      <c r="CZ1093">
        <f>'T_TTAFStock'!CX43</f>
        <v/>
      </c>
      <c r="DA1093">
        <f>'T_TTAFStock'!CY43</f>
        <v/>
      </c>
      <c r="DB1093">
        <f>'T_TTAFStock'!CZ43</f>
        <v/>
      </c>
      <c r="DC1093">
        <f>'T_TTAFStock'!DA43</f>
        <v/>
      </c>
    </row>
    <row r="1094">
      <c r="B1094" t="inlineStr">
        <is>
          <t>自社在庫(実績,kg)</t>
        </is>
      </c>
      <c r="D1094">
        <f>'T_SelfStock'!B43</f>
        <v/>
      </c>
      <c r="E1094">
        <f>'T_SelfStock'!C43</f>
        <v/>
      </c>
      <c r="F1094">
        <f>'T_SelfStock'!D43</f>
        <v/>
      </c>
      <c r="G1094">
        <f>'T_SelfStock'!E43</f>
        <v/>
      </c>
      <c r="H1094">
        <f>'T_SelfStock'!F43</f>
        <v/>
      </c>
      <c r="I1094">
        <f>'T_SelfStock'!G43</f>
        <v/>
      </c>
      <c r="J1094">
        <f>'T_SelfStock'!H43</f>
        <v/>
      </c>
      <c r="K1094">
        <f>'T_SelfStock'!I43</f>
        <v/>
      </c>
      <c r="L1094">
        <f>'T_SelfStock'!J43</f>
        <v/>
      </c>
      <c r="M1094">
        <f>'T_SelfStock'!K43</f>
        <v/>
      </c>
      <c r="N1094">
        <f>'T_SelfStock'!L43</f>
        <v/>
      </c>
      <c r="O1094">
        <f>'T_SelfStock'!M43</f>
        <v/>
      </c>
      <c r="P1094">
        <f>'T_SelfStock'!N43</f>
        <v/>
      </c>
      <c r="Q1094">
        <f>'T_SelfStock'!O43</f>
        <v/>
      </c>
      <c r="R1094">
        <f>'T_SelfStock'!P43</f>
        <v/>
      </c>
      <c r="S1094">
        <f>'T_SelfStock'!Q43</f>
        <v/>
      </c>
      <c r="T1094">
        <f>'T_SelfStock'!R43</f>
        <v/>
      </c>
      <c r="U1094">
        <f>'T_SelfStock'!S43</f>
        <v/>
      </c>
      <c r="V1094">
        <f>'T_SelfStock'!T43</f>
        <v/>
      </c>
      <c r="W1094">
        <f>'T_SelfStock'!U43</f>
        <v/>
      </c>
      <c r="X1094">
        <f>'T_SelfStock'!V43</f>
        <v/>
      </c>
      <c r="Y1094">
        <f>'T_SelfStock'!W43</f>
        <v/>
      </c>
      <c r="Z1094">
        <f>'T_SelfStock'!X43</f>
        <v/>
      </c>
      <c r="AA1094">
        <f>'T_SelfStock'!Y43</f>
        <v/>
      </c>
      <c r="AB1094">
        <f>'T_SelfStock'!Z43</f>
        <v/>
      </c>
      <c r="AC1094">
        <f>'T_SelfStock'!AA43</f>
        <v/>
      </c>
      <c r="AD1094">
        <f>'T_SelfStock'!AB43</f>
        <v/>
      </c>
      <c r="AE1094">
        <f>'T_SelfStock'!AC43</f>
        <v/>
      </c>
      <c r="AF1094">
        <f>'T_SelfStock'!AD43</f>
        <v/>
      </c>
      <c r="AG1094">
        <f>'T_SelfStock'!AE43</f>
        <v/>
      </c>
      <c r="AH1094">
        <f>'T_SelfStock'!AF43</f>
        <v/>
      </c>
      <c r="AI1094">
        <f>'T_SelfStock'!AG43</f>
        <v/>
      </c>
      <c r="AJ1094">
        <f>'T_SelfStock'!AH43</f>
        <v/>
      </c>
      <c r="AK1094">
        <f>'T_SelfStock'!AI43</f>
        <v/>
      </c>
      <c r="AL1094">
        <f>'T_SelfStock'!AJ43</f>
        <v/>
      </c>
      <c r="AM1094">
        <f>'T_SelfStock'!AK43</f>
        <v/>
      </c>
      <c r="AN1094">
        <f>'T_SelfStock'!AL43</f>
        <v/>
      </c>
      <c r="AO1094">
        <f>'T_SelfStock'!AM43</f>
        <v/>
      </c>
      <c r="AP1094">
        <f>'T_SelfStock'!AN43</f>
        <v/>
      </c>
      <c r="AQ1094">
        <f>'T_SelfStock'!AO43</f>
        <v/>
      </c>
      <c r="AR1094">
        <f>'T_SelfStock'!AP43</f>
        <v/>
      </c>
      <c r="AS1094">
        <f>'T_SelfStock'!AQ43</f>
        <v/>
      </c>
      <c r="AT1094">
        <f>'T_SelfStock'!AR43</f>
        <v/>
      </c>
      <c r="AU1094">
        <f>'T_SelfStock'!AS43</f>
        <v/>
      </c>
      <c r="AV1094">
        <f>'T_SelfStock'!AT43</f>
        <v/>
      </c>
      <c r="AW1094">
        <f>'T_SelfStock'!AU43</f>
        <v/>
      </c>
      <c r="AX1094">
        <f>'T_SelfStock'!AV43</f>
        <v/>
      </c>
      <c r="AY1094">
        <f>'T_SelfStock'!AW43</f>
        <v/>
      </c>
      <c r="AZ1094">
        <f>'T_SelfStock'!AX43</f>
        <v/>
      </c>
      <c r="BA1094">
        <f>'T_SelfStock'!AY43</f>
        <v/>
      </c>
      <c r="BB1094">
        <f>'T_SelfStock'!AZ43</f>
        <v/>
      </c>
      <c r="BC1094">
        <f>'T_SelfStock'!BA43</f>
        <v/>
      </c>
      <c r="BD1094">
        <f>'T_SelfStock'!BB43</f>
        <v/>
      </c>
      <c r="BE1094">
        <f>'T_SelfStock'!BC43</f>
        <v/>
      </c>
      <c r="BF1094">
        <f>'T_SelfStock'!BD43</f>
        <v/>
      </c>
      <c r="BG1094">
        <f>'T_SelfStock'!BE43</f>
        <v/>
      </c>
      <c r="BH1094">
        <f>'T_SelfStock'!BF43</f>
        <v/>
      </c>
      <c r="BI1094">
        <f>'T_SelfStock'!BG43</f>
        <v/>
      </c>
      <c r="BJ1094">
        <f>'T_SelfStock'!BH43</f>
        <v/>
      </c>
      <c r="BK1094">
        <f>'T_SelfStock'!BI43</f>
        <v/>
      </c>
      <c r="BL1094">
        <f>'T_SelfStock'!BJ43</f>
        <v/>
      </c>
      <c r="BM1094">
        <f>'T_SelfStock'!BK43</f>
        <v/>
      </c>
      <c r="BN1094">
        <f>'T_SelfStock'!BL43</f>
        <v/>
      </c>
      <c r="BO1094">
        <f>'T_SelfStock'!BM43</f>
        <v/>
      </c>
      <c r="BP1094">
        <f>'T_SelfStock'!BN43</f>
        <v/>
      </c>
      <c r="BQ1094">
        <f>'T_SelfStock'!BO43</f>
        <v/>
      </c>
      <c r="BR1094">
        <f>'T_SelfStock'!BP43</f>
        <v/>
      </c>
      <c r="BS1094">
        <f>'T_SelfStock'!BQ43</f>
        <v/>
      </c>
      <c r="BT1094">
        <f>'T_SelfStock'!BR43</f>
        <v/>
      </c>
      <c r="BU1094">
        <f>'T_SelfStock'!BS43</f>
        <v/>
      </c>
      <c r="BV1094">
        <f>'T_SelfStock'!BT43</f>
        <v/>
      </c>
      <c r="BW1094">
        <f>'T_SelfStock'!BU43</f>
        <v/>
      </c>
      <c r="BX1094">
        <f>'T_SelfStock'!BV43</f>
        <v/>
      </c>
      <c r="BY1094">
        <f>'T_SelfStock'!BW43</f>
        <v/>
      </c>
      <c r="BZ1094">
        <f>'T_SelfStock'!BX43</f>
        <v/>
      </c>
      <c r="CA1094">
        <f>'T_SelfStock'!BY43</f>
        <v/>
      </c>
      <c r="CB1094">
        <f>'T_SelfStock'!BZ43</f>
        <v/>
      </c>
      <c r="CC1094">
        <f>'T_SelfStock'!CA43</f>
        <v/>
      </c>
      <c r="CD1094">
        <f>'T_SelfStock'!CB43</f>
        <v/>
      </c>
      <c r="CE1094">
        <f>'T_SelfStock'!CC43</f>
        <v/>
      </c>
      <c r="CF1094">
        <f>'T_SelfStock'!CD43</f>
        <v/>
      </c>
      <c r="CG1094">
        <f>'T_SelfStock'!CE43</f>
        <v/>
      </c>
      <c r="CH1094">
        <f>'T_SelfStock'!CF43</f>
        <v/>
      </c>
      <c r="CI1094">
        <f>'T_SelfStock'!CG43</f>
        <v/>
      </c>
      <c r="CJ1094">
        <f>'T_SelfStock'!CH43</f>
        <v/>
      </c>
      <c r="CK1094">
        <f>'T_SelfStock'!CI43</f>
        <v/>
      </c>
      <c r="CL1094">
        <f>'T_SelfStock'!CJ43</f>
        <v/>
      </c>
      <c r="CM1094">
        <f>'T_SelfStock'!CK43</f>
        <v/>
      </c>
      <c r="CN1094">
        <f>'T_SelfStock'!CL43</f>
        <v/>
      </c>
      <c r="CO1094">
        <f>'T_SelfStock'!CM43</f>
        <v/>
      </c>
      <c r="CP1094">
        <f>'T_SelfStock'!CN43</f>
        <v/>
      </c>
      <c r="CQ1094">
        <f>'T_SelfStock'!CO43</f>
        <v/>
      </c>
      <c r="CR1094">
        <f>'T_SelfStock'!CP43</f>
        <v/>
      </c>
      <c r="CS1094">
        <f>'T_SelfStock'!CQ43</f>
        <v/>
      </c>
      <c r="CT1094">
        <f>'T_SelfStock'!CR43</f>
        <v/>
      </c>
      <c r="CU1094">
        <f>'T_SelfStock'!CS43</f>
        <v/>
      </c>
      <c r="CV1094">
        <f>'T_SelfStock'!CT43</f>
        <v/>
      </c>
      <c r="CW1094">
        <f>'T_SelfStock'!CU43</f>
        <v/>
      </c>
      <c r="CX1094">
        <f>'T_SelfStock'!CV43</f>
        <v/>
      </c>
      <c r="CY1094">
        <f>'T_SelfStock'!CW43</f>
        <v/>
      </c>
      <c r="CZ1094">
        <f>'T_SelfStock'!CX43</f>
        <v/>
      </c>
      <c r="DA1094">
        <f>'T_SelfStock'!CY43</f>
        <v/>
      </c>
      <c r="DB1094">
        <f>'T_SelfStock'!CZ43</f>
        <v/>
      </c>
      <c r="DC1094">
        <f>'T_SelfStock'!DA43</f>
        <v/>
      </c>
    </row>
    <row r="1095">
      <c r="B1095" t="inlineStr">
        <is>
          <t>Order(発注予定,kg)</t>
        </is>
      </c>
      <c r="D1095">
        <f>IF(SUMIFS(T_PlannedOrders[EffectiveQty],T_PlannedOrders[Part Name],$A1089,T_PlannedOrders[WeekIndex],1)=0,"",SUMIFS(T_PlannedOrders[EffectiveQty],T_PlannedOrders[Part Name],$A1089,T_PlannedOrders[WeekIndex],1)&amp;" ("&amp;TEXT(SUMPRODUCT(MAX((T_PlannedOrders[Part Name]=$A1089)*(T_PlannedOrders[WeekIndex]=1)*(T_PlannedOrders[EffectiveQty]&gt;0)*T_PlannedOrders[Order_Month])),"m月")&amp;"発注)")</f>
        <v/>
      </c>
      <c r="E1095">
        <f>IF(SUMIFS(T_PlannedOrders[EffectiveQty],T_PlannedOrders[Part Name],$A1089,T_PlannedOrders[WeekIndex],2)=0,"",SUMIFS(T_PlannedOrders[EffectiveQty],T_PlannedOrders[Part Name],$A1089,T_PlannedOrders[WeekIndex],2)&amp;" ("&amp;TEXT(SUMPRODUCT(MAX((T_PlannedOrders[Part Name]=$A1089)*(T_PlannedOrders[WeekIndex]=2)*(T_PlannedOrders[EffectiveQty]&gt;0)*T_PlannedOrders[Order_Month])),"m月")&amp;"発注)")</f>
        <v/>
      </c>
      <c r="F1095">
        <f>IF(SUMIFS(T_PlannedOrders[EffectiveQty],T_PlannedOrders[Part Name],$A1089,T_PlannedOrders[WeekIndex],3)=0,"",SUMIFS(T_PlannedOrders[EffectiveQty],T_PlannedOrders[Part Name],$A1089,T_PlannedOrders[WeekIndex],3)&amp;" ("&amp;TEXT(SUMPRODUCT(MAX((T_PlannedOrders[Part Name]=$A1089)*(T_PlannedOrders[WeekIndex]=3)*(T_PlannedOrders[EffectiveQty]&gt;0)*T_PlannedOrders[Order_Month])),"m月")&amp;"発注)")</f>
        <v/>
      </c>
      <c r="G1095">
        <f>IF(SUMIFS(T_PlannedOrders[EffectiveQty],T_PlannedOrders[Part Name],$A1089,T_PlannedOrders[WeekIndex],4)=0,"",SUMIFS(T_PlannedOrders[EffectiveQty],T_PlannedOrders[Part Name],$A1089,T_PlannedOrders[WeekIndex],4)&amp;" ("&amp;TEXT(SUMPRODUCT(MAX((T_PlannedOrders[Part Name]=$A1089)*(T_PlannedOrders[WeekIndex]=4)*(T_PlannedOrders[EffectiveQty]&gt;0)*T_PlannedOrders[Order_Month])),"m月")&amp;"発注)")</f>
        <v/>
      </c>
      <c r="H1095">
        <f>IF(SUMIFS(T_PlannedOrders[EffectiveQty],T_PlannedOrders[Part Name],$A1089,T_PlannedOrders[WeekIndex],5)=0,"",SUMIFS(T_PlannedOrders[EffectiveQty],T_PlannedOrders[Part Name],$A1089,T_PlannedOrders[WeekIndex],5)&amp;" ("&amp;TEXT(SUMPRODUCT(MAX((T_PlannedOrders[Part Name]=$A1089)*(T_PlannedOrders[WeekIndex]=5)*(T_PlannedOrders[EffectiveQty]&gt;0)*T_PlannedOrders[Order_Month])),"m月")&amp;"発注)")</f>
        <v/>
      </c>
      <c r="I1095">
        <f>IF(SUMIFS(T_PlannedOrders[EffectiveQty],T_PlannedOrders[Part Name],$A1089,T_PlannedOrders[WeekIndex],6)=0,"",SUMIFS(T_PlannedOrders[EffectiveQty],T_PlannedOrders[Part Name],$A1089,T_PlannedOrders[WeekIndex],6)&amp;" ("&amp;TEXT(SUMPRODUCT(MAX((T_PlannedOrders[Part Name]=$A1089)*(T_PlannedOrders[WeekIndex]=6)*(T_PlannedOrders[EffectiveQty]&gt;0)*T_PlannedOrders[Order_Month])),"m月")&amp;"発注)")</f>
        <v/>
      </c>
      <c r="J1095">
        <f>IF(SUMIFS(T_PlannedOrders[EffectiveQty],T_PlannedOrders[Part Name],$A1089,T_PlannedOrders[WeekIndex],7)=0,"",SUMIFS(T_PlannedOrders[EffectiveQty],T_PlannedOrders[Part Name],$A1089,T_PlannedOrders[WeekIndex],7)&amp;" ("&amp;TEXT(SUMPRODUCT(MAX((T_PlannedOrders[Part Name]=$A1089)*(T_PlannedOrders[WeekIndex]=7)*(T_PlannedOrders[EffectiveQty]&gt;0)*T_PlannedOrders[Order_Month])),"m月")&amp;"発注)")</f>
        <v/>
      </c>
      <c r="K1095">
        <f>IF(SUMIFS(T_PlannedOrders[EffectiveQty],T_PlannedOrders[Part Name],$A1089,T_PlannedOrders[WeekIndex],8)=0,"",SUMIFS(T_PlannedOrders[EffectiveQty],T_PlannedOrders[Part Name],$A1089,T_PlannedOrders[WeekIndex],8)&amp;" ("&amp;TEXT(SUMPRODUCT(MAX((T_PlannedOrders[Part Name]=$A1089)*(T_PlannedOrders[WeekIndex]=8)*(T_PlannedOrders[EffectiveQty]&gt;0)*T_PlannedOrders[Order_Month])),"m月")&amp;"発注)")</f>
        <v/>
      </c>
      <c r="L1095">
        <f>IF(SUMIFS(T_PlannedOrders[EffectiveQty],T_PlannedOrders[Part Name],$A1089,T_PlannedOrders[WeekIndex],9)=0,"",SUMIFS(T_PlannedOrders[EffectiveQty],T_PlannedOrders[Part Name],$A1089,T_PlannedOrders[WeekIndex],9)&amp;" ("&amp;TEXT(SUMPRODUCT(MAX((T_PlannedOrders[Part Name]=$A1089)*(T_PlannedOrders[WeekIndex]=9)*(T_PlannedOrders[EffectiveQty]&gt;0)*T_PlannedOrders[Order_Month])),"m月")&amp;"発注)")</f>
        <v/>
      </c>
      <c r="M1095">
        <f>IF(SUMIFS(T_PlannedOrders[EffectiveQty],T_PlannedOrders[Part Name],$A1089,T_PlannedOrders[WeekIndex],10)=0,"",SUMIFS(T_PlannedOrders[EffectiveQty],T_PlannedOrders[Part Name],$A1089,T_PlannedOrders[WeekIndex],10)&amp;" ("&amp;TEXT(SUMPRODUCT(MAX((T_PlannedOrders[Part Name]=$A1089)*(T_PlannedOrders[WeekIndex]=10)*(T_PlannedOrders[EffectiveQty]&gt;0)*T_PlannedOrders[Order_Month])),"m月")&amp;"発注)")</f>
        <v/>
      </c>
      <c r="N1095">
        <f>IF(SUMIFS(T_PlannedOrders[EffectiveQty],T_PlannedOrders[Part Name],$A1089,T_PlannedOrders[WeekIndex],11)=0,"",SUMIFS(T_PlannedOrders[EffectiveQty],T_PlannedOrders[Part Name],$A1089,T_PlannedOrders[WeekIndex],11)&amp;" ("&amp;TEXT(SUMPRODUCT(MAX((T_PlannedOrders[Part Name]=$A1089)*(T_PlannedOrders[WeekIndex]=11)*(T_PlannedOrders[EffectiveQty]&gt;0)*T_PlannedOrders[Order_Month])),"m月")&amp;"発注)")</f>
        <v/>
      </c>
      <c r="O1095">
        <f>IF(SUMIFS(T_PlannedOrders[EffectiveQty],T_PlannedOrders[Part Name],$A1089,T_PlannedOrders[WeekIndex],12)=0,"",SUMIFS(T_PlannedOrders[EffectiveQty],T_PlannedOrders[Part Name],$A1089,T_PlannedOrders[WeekIndex],12)&amp;" ("&amp;TEXT(SUMPRODUCT(MAX((T_PlannedOrders[Part Name]=$A1089)*(T_PlannedOrders[WeekIndex]=12)*(T_PlannedOrders[EffectiveQty]&gt;0)*T_PlannedOrders[Order_Month])),"m月")&amp;"発注)")</f>
        <v/>
      </c>
      <c r="P1095">
        <f>IF(SUMIFS(T_PlannedOrders[EffectiveQty],T_PlannedOrders[Part Name],$A1089,T_PlannedOrders[WeekIndex],13)=0,"",SUMIFS(T_PlannedOrders[EffectiveQty],T_PlannedOrders[Part Name],$A1089,T_PlannedOrders[WeekIndex],13)&amp;" ("&amp;TEXT(SUMPRODUCT(MAX((T_PlannedOrders[Part Name]=$A1089)*(T_PlannedOrders[WeekIndex]=13)*(T_PlannedOrders[EffectiveQty]&gt;0)*T_PlannedOrders[Order_Month])),"m月")&amp;"発注)")</f>
        <v/>
      </c>
      <c r="Q1095">
        <f>IF(SUMIFS(T_PlannedOrders[EffectiveQty],T_PlannedOrders[Part Name],$A1089,T_PlannedOrders[WeekIndex],14)=0,"",SUMIFS(T_PlannedOrders[EffectiveQty],T_PlannedOrders[Part Name],$A1089,T_PlannedOrders[WeekIndex],14)&amp;" ("&amp;TEXT(SUMPRODUCT(MAX((T_PlannedOrders[Part Name]=$A1089)*(T_PlannedOrders[WeekIndex]=14)*(T_PlannedOrders[EffectiveQty]&gt;0)*T_PlannedOrders[Order_Month])),"m月")&amp;"発注)")</f>
        <v/>
      </c>
      <c r="R1095">
        <f>IF(SUMIFS(T_PlannedOrders[EffectiveQty],T_PlannedOrders[Part Name],$A1089,T_PlannedOrders[WeekIndex],15)=0,"",SUMIFS(T_PlannedOrders[EffectiveQty],T_PlannedOrders[Part Name],$A1089,T_PlannedOrders[WeekIndex],15)&amp;" ("&amp;TEXT(SUMPRODUCT(MAX((T_PlannedOrders[Part Name]=$A1089)*(T_PlannedOrders[WeekIndex]=15)*(T_PlannedOrders[EffectiveQty]&gt;0)*T_PlannedOrders[Order_Month])),"m月")&amp;"発注)")</f>
        <v/>
      </c>
      <c r="S1095">
        <f>IF(SUMIFS(T_PlannedOrders[EffectiveQty],T_PlannedOrders[Part Name],$A1089,T_PlannedOrders[WeekIndex],16)=0,"",SUMIFS(T_PlannedOrders[EffectiveQty],T_PlannedOrders[Part Name],$A1089,T_PlannedOrders[WeekIndex],16)&amp;" ("&amp;TEXT(SUMPRODUCT(MAX((T_PlannedOrders[Part Name]=$A1089)*(T_PlannedOrders[WeekIndex]=16)*(T_PlannedOrders[EffectiveQty]&gt;0)*T_PlannedOrders[Order_Month])),"m月")&amp;"発注)")</f>
        <v/>
      </c>
      <c r="T1095">
        <f>IF(SUMIFS(T_PlannedOrders[EffectiveQty],T_PlannedOrders[Part Name],$A1089,T_PlannedOrders[WeekIndex],17)=0,"",SUMIFS(T_PlannedOrders[EffectiveQty],T_PlannedOrders[Part Name],$A1089,T_PlannedOrders[WeekIndex],17)&amp;" ("&amp;TEXT(SUMPRODUCT(MAX((T_PlannedOrders[Part Name]=$A1089)*(T_PlannedOrders[WeekIndex]=17)*(T_PlannedOrders[EffectiveQty]&gt;0)*T_PlannedOrders[Order_Month])),"m月")&amp;"発注)")</f>
        <v/>
      </c>
      <c r="U1095">
        <f>IF(SUMIFS(T_PlannedOrders[EffectiveQty],T_PlannedOrders[Part Name],$A1089,T_PlannedOrders[WeekIndex],18)=0,"",SUMIFS(T_PlannedOrders[EffectiveQty],T_PlannedOrders[Part Name],$A1089,T_PlannedOrders[WeekIndex],18)&amp;" ("&amp;TEXT(SUMPRODUCT(MAX((T_PlannedOrders[Part Name]=$A1089)*(T_PlannedOrders[WeekIndex]=18)*(T_PlannedOrders[EffectiveQty]&gt;0)*T_PlannedOrders[Order_Month])),"m月")&amp;"発注)")</f>
        <v/>
      </c>
      <c r="V1095">
        <f>IF(SUMIFS(T_PlannedOrders[EffectiveQty],T_PlannedOrders[Part Name],$A1089,T_PlannedOrders[WeekIndex],19)=0,"",SUMIFS(T_PlannedOrders[EffectiveQty],T_PlannedOrders[Part Name],$A1089,T_PlannedOrders[WeekIndex],19)&amp;" ("&amp;TEXT(SUMPRODUCT(MAX((T_PlannedOrders[Part Name]=$A1089)*(T_PlannedOrders[WeekIndex]=19)*(T_PlannedOrders[EffectiveQty]&gt;0)*T_PlannedOrders[Order_Month])),"m月")&amp;"発注)")</f>
        <v/>
      </c>
      <c r="W1095">
        <f>IF(SUMIFS(T_PlannedOrders[EffectiveQty],T_PlannedOrders[Part Name],$A1089,T_PlannedOrders[WeekIndex],20)=0,"",SUMIFS(T_PlannedOrders[EffectiveQty],T_PlannedOrders[Part Name],$A1089,T_PlannedOrders[WeekIndex],20)&amp;" ("&amp;TEXT(SUMPRODUCT(MAX((T_PlannedOrders[Part Name]=$A1089)*(T_PlannedOrders[WeekIndex]=20)*(T_PlannedOrders[EffectiveQty]&gt;0)*T_PlannedOrders[Order_Month])),"m月")&amp;"発注)")</f>
        <v/>
      </c>
      <c r="X1095">
        <f>IF(SUMIFS(T_PlannedOrders[EffectiveQty],T_PlannedOrders[Part Name],$A1089,T_PlannedOrders[WeekIndex],21)=0,"",SUMIFS(T_PlannedOrders[EffectiveQty],T_PlannedOrders[Part Name],$A1089,T_PlannedOrders[WeekIndex],21)&amp;" ("&amp;TEXT(SUMPRODUCT(MAX((T_PlannedOrders[Part Name]=$A1089)*(T_PlannedOrders[WeekIndex]=21)*(T_PlannedOrders[EffectiveQty]&gt;0)*T_PlannedOrders[Order_Month])),"m月")&amp;"発注)")</f>
        <v/>
      </c>
      <c r="Y1095">
        <f>IF(SUMIFS(T_PlannedOrders[EffectiveQty],T_PlannedOrders[Part Name],$A1089,T_PlannedOrders[WeekIndex],22)=0,"",SUMIFS(T_PlannedOrders[EffectiveQty],T_PlannedOrders[Part Name],$A1089,T_PlannedOrders[WeekIndex],22)&amp;" ("&amp;TEXT(SUMPRODUCT(MAX((T_PlannedOrders[Part Name]=$A1089)*(T_PlannedOrders[WeekIndex]=22)*(T_PlannedOrders[EffectiveQty]&gt;0)*T_PlannedOrders[Order_Month])),"m月")&amp;"発注)")</f>
        <v/>
      </c>
      <c r="Z1095">
        <f>IF(SUMIFS(T_PlannedOrders[EffectiveQty],T_PlannedOrders[Part Name],$A1089,T_PlannedOrders[WeekIndex],23)=0,"",SUMIFS(T_PlannedOrders[EffectiveQty],T_PlannedOrders[Part Name],$A1089,T_PlannedOrders[WeekIndex],23)&amp;" ("&amp;TEXT(SUMPRODUCT(MAX((T_PlannedOrders[Part Name]=$A1089)*(T_PlannedOrders[WeekIndex]=23)*(T_PlannedOrders[EffectiveQty]&gt;0)*T_PlannedOrders[Order_Month])),"m月")&amp;"発注)")</f>
        <v/>
      </c>
      <c r="AA1095">
        <f>IF(SUMIFS(T_PlannedOrders[EffectiveQty],T_PlannedOrders[Part Name],$A1089,T_PlannedOrders[WeekIndex],24)=0,"",SUMIFS(T_PlannedOrders[EffectiveQty],T_PlannedOrders[Part Name],$A1089,T_PlannedOrders[WeekIndex],24)&amp;" ("&amp;TEXT(SUMPRODUCT(MAX((T_PlannedOrders[Part Name]=$A1089)*(T_PlannedOrders[WeekIndex]=24)*(T_PlannedOrders[EffectiveQty]&gt;0)*T_PlannedOrders[Order_Month])),"m月")&amp;"発注)")</f>
        <v/>
      </c>
      <c r="AB1095">
        <f>IF(SUMIFS(T_PlannedOrders[EffectiveQty],T_PlannedOrders[Part Name],$A1089,T_PlannedOrders[WeekIndex],25)=0,"",SUMIFS(T_PlannedOrders[EffectiveQty],T_PlannedOrders[Part Name],$A1089,T_PlannedOrders[WeekIndex],25)&amp;" ("&amp;TEXT(SUMPRODUCT(MAX((T_PlannedOrders[Part Name]=$A1089)*(T_PlannedOrders[WeekIndex]=25)*(T_PlannedOrders[EffectiveQty]&gt;0)*T_PlannedOrders[Order_Month])),"m月")&amp;"発注)")</f>
        <v/>
      </c>
      <c r="AC1095">
        <f>IF(SUMIFS(T_PlannedOrders[EffectiveQty],T_PlannedOrders[Part Name],$A1089,T_PlannedOrders[WeekIndex],26)=0,"",SUMIFS(T_PlannedOrders[EffectiveQty],T_PlannedOrders[Part Name],$A1089,T_PlannedOrders[WeekIndex],26)&amp;" ("&amp;TEXT(SUMPRODUCT(MAX((T_PlannedOrders[Part Name]=$A1089)*(T_PlannedOrders[WeekIndex]=26)*(T_PlannedOrders[EffectiveQty]&gt;0)*T_PlannedOrders[Order_Month])),"m月")&amp;"発注)")</f>
        <v/>
      </c>
      <c r="AD1095">
        <f>IF(SUMIFS(T_PlannedOrders[EffectiveQty],T_PlannedOrders[Part Name],$A1089,T_PlannedOrders[WeekIndex],27)=0,"",SUMIFS(T_PlannedOrders[EffectiveQty],T_PlannedOrders[Part Name],$A1089,T_PlannedOrders[WeekIndex],27)&amp;" ("&amp;TEXT(SUMPRODUCT(MAX((T_PlannedOrders[Part Name]=$A1089)*(T_PlannedOrders[WeekIndex]=27)*(T_PlannedOrders[EffectiveQty]&gt;0)*T_PlannedOrders[Order_Month])),"m月")&amp;"発注)")</f>
        <v/>
      </c>
      <c r="AE1095">
        <f>IF(SUMIFS(T_PlannedOrders[EffectiveQty],T_PlannedOrders[Part Name],$A1089,T_PlannedOrders[WeekIndex],28)=0,"",SUMIFS(T_PlannedOrders[EffectiveQty],T_PlannedOrders[Part Name],$A1089,T_PlannedOrders[WeekIndex],28)&amp;" ("&amp;TEXT(SUMPRODUCT(MAX((T_PlannedOrders[Part Name]=$A1089)*(T_PlannedOrders[WeekIndex]=28)*(T_PlannedOrders[EffectiveQty]&gt;0)*T_PlannedOrders[Order_Month])),"m月")&amp;"発注)")</f>
        <v/>
      </c>
      <c r="AF1095">
        <f>IF(SUMIFS(T_PlannedOrders[EffectiveQty],T_PlannedOrders[Part Name],$A1089,T_PlannedOrders[WeekIndex],29)=0,"",SUMIFS(T_PlannedOrders[EffectiveQty],T_PlannedOrders[Part Name],$A1089,T_PlannedOrders[WeekIndex],29)&amp;" ("&amp;TEXT(SUMPRODUCT(MAX((T_PlannedOrders[Part Name]=$A1089)*(T_PlannedOrders[WeekIndex]=29)*(T_PlannedOrders[EffectiveQty]&gt;0)*T_PlannedOrders[Order_Month])),"m月")&amp;"発注)")</f>
        <v/>
      </c>
      <c r="AG1095">
        <f>IF(SUMIFS(T_PlannedOrders[EffectiveQty],T_PlannedOrders[Part Name],$A1089,T_PlannedOrders[WeekIndex],30)=0,"",SUMIFS(T_PlannedOrders[EffectiveQty],T_PlannedOrders[Part Name],$A1089,T_PlannedOrders[WeekIndex],30)&amp;" ("&amp;TEXT(SUMPRODUCT(MAX((T_PlannedOrders[Part Name]=$A1089)*(T_PlannedOrders[WeekIndex]=30)*(T_PlannedOrders[EffectiveQty]&gt;0)*T_PlannedOrders[Order_Month])),"m月")&amp;"発注)")</f>
        <v/>
      </c>
      <c r="AH1095">
        <f>IF(SUMIFS(T_PlannedOrders[EffectiveQty],T_PlannedOrders[Part Name],$A1089,T_PlannedOrders[WeekIndex],31)=0,"",SUMIFS(T_PlannedOrders[EffectiveQty],T_PlannedOrders[Part Name],$A1089,T_PlannedOrders[WeekIndex],31)&amp;" ("&amp;TEXT(SUMPRODUCT(MAX((T_PlannedOrders[Part Name]=$A1089)*(T_PlannedOrders[WeekIndex]=31)*(T_PlannedOrders[EffectiveQty]&gt;0)*T_PlannedOrders[Order_Month])),"m月")&amp;"発注)")</f>
        <v/>
      </c>
      <c r="AI1095">
        <f>IF(SUMIFS(T_PlannedOrders[EffectiveQty],T_PlannedOrders[Part Name],$A1089,T_PlannedOrders[WeekIndex],32)=0,"",SUMIFS(T_PlannedOrders[EffectiveQty],T_PlannedOrders[Part Name],$A1089,T_PlannedOrders[WeekIndex],32)&amp;" ("&amp;TEXT(SUMPRODUCT(MAX((T_PlannedOrders[Part Name]=$A1089)*(T_PlannedOrders[WeekIndex]=32)*(T_PlannedOrders[EffectiveQty]&gt;0)*T_PlannedOrders[Order_Month])),"m月")&amp;"発注)")</f>
        <v/>
      </c>
      <c r="AJ1095">
        <f>IF(SUMIFS(T_PlannedOrders[EffectiveQty],T_PlannedOrders[Part Name],$A1089,T_PlannedOrders[WeekIndex],33)=0,"",SUMIFS(T_PlannedOrders[EffectiveQty],T_PlannedOrders[Part Name],$A1089,T_PlannedOrders[WeekIndex],33)&amp;" ("&amp;TEXT(SUMPRODUCT(MAX((T_PlannedOrders[Part Name]=$A1089)*(T_PlannedOrders[WeekIndex]=33)*(T_PlannedOrders[EffectiveQty]&gt;0)*T_PlannedOrders[Order_Month])),"m月")&amp;"発注)")</f>
        <v/>
      </c>
      <c r="AK1095">
        <f>IF(SUMIFS(T_PlannedOrders[EffectiveQty],T_PlannedOrders[Part Name],$A1089,T_PlannedOrders[WeekIndex],34)=0,"",SUMIFS(T_PlannedOrders[EffectiveQty],T_PlannedOrders[Part Name],$A1089,T_PlannedOrders[WeekIndex],34)&amp;" ("&amp;TEXT(SUMPRODUCT(MAX((T_PlannedOrders[Part Name]=$A1089)*(T_PlannedOrders[WeekIndex]=34)*(T_PlannedOrders[EffectiveQty]&gt;0)*T_PlannedOrders[Order_Month])),"m月")&amp;"発注)")</f>
        <v/>
      </c>
      <c r="AL1095">
        <f>IF(SUMIFS(T_PlannedOrders[EffectiveQty],T_PlannedOrders[Part Name],$A1089,T_PlannedOrders[WeekIndex],35)=0,"",SUMIFS(T_PlannedOrders[EffectiveQty],T_PlannedOrders[Part Name],$A1089,T_PlannedOrders[WeekIndex],35)&amp;" ("&amp;TEXT(SUMPRODUCT(MAX((T_PlannedOrders[Part Name]=$A1089)*(T_PlannedOrders[WeekIndex]=35)*(T_PlannedOrders[EffectiveQty]&gt;0)*T_PlannedOrders[Order_Month])),"m月")&amp;"発注)")</f>
        <v/>
      </c>
      <c r="AM1095">
        <f>IF(SUMIFS(T_PlannedOrders[EffectiveQty],T_PlannedOrders[Part Name],$A1089,T_PlannedOrders[WeekIndex],36)=0,"",SUMIFS(T_PlannedOrders[EffectiveQty],T_PlannedOrders[Part Name],$A1089,T_PlannedOrders[WeekIndex],36)&amp;" ("&amp;TEXT(SUMPRODUCT(MAX((T_PlannedOrders[Part Name]=$A1089)*(T_PlannedOrders[WeekIndex]=36)*(T_PlannedOrders[EffectiveQty]&gt;0)*T_PlannedOrders[Order_Month])),"m月")&amp;"発注)")</f>
        <v/>
      </c>
      <c r="AN1095">
        <f>IF(SUMIFS(T_PlannedOrders[EffectiveQty],T_PlannedOrders[Part Name],$A1089,T_PlannedOrders[WeekIndex],37)=0,"",SUMIFS(T_PlannedOrders[EffectiveQty],T_PlannedOrders[Part Name],$A1089,T_PlannedOrders[WeekIndex],37)&amp;" ("&amp;TEXT(SUMPRODUCT(MAX((T_PlannedOrders[Part Name]=$A1089)*(T_PlannedOrders[WeekIndex]=37)*(T_PlannedOrders[EffectiveQty]&gt;0)*T_PlannedOrders[Order_Month])),"m月")&amp;"発注)")</f>
        <v/>
      </c>
      <c r="AO1095">
        <f>IF(SUMIFS(T_PlannedOrders[EffectiveQty],T_PlannedOrders[Part Name],$A1089,T_PlannedOrders[WeekIndex],38)=0,"",SUMIFS(T_PlannedOrders[EffectiveQty],T_PlannedOrders[Part Name],$A1089,T_PlannedOrders[WeekIndex],38)&amp;" ("&amp;TEXT(SUMPRODUCT(MAX((T_PlannedOrders[Part Name]=$A1089)*(T_PlannedOrders[WeekIndex]=38)*(T_PlannedOrders[EffectiveQty]&gt;0)*T_PlannedOrders[Order_Month])),"m月")&amp;"発注)")</f>
        <v/>
      </c>
      <c r="AP1095">
        <f>IF(SUMIFS(T_PlannedOrders[EffectiveQty],T_PlannedOrders[Part Name],$A1089,T_PlannedOrders[WeekIndex],39)=0,"",SUMIFS(T_PlannedOrders[EffectiveQty],T_PlannedOrders[Part Name],$A1089,T_PlannedOrders[WeekIndex],39)&amp;" ("&amp;TEXT(SUMPRODUCT(MAX((T_PlannedOrders[Part Name]=$A1089)*(T_PlannedOrders[WeekIndex]=39)*(T_PlannedOrders[EffectiveQty]&gt;0)*T_PlannedOrders[Order_Month])),"m月")&amp;"発注)")</f>
        <v/>
      </c>
      <c r="AQ1095">
        <f>IF(SUMIFS(T_PlannedOrders[EffectiveQty],T_PlannedOrders[Part Name],$A1089,T_PlannedOrders[WeekIndex],40)=0,"",SUMIFS(T_PlannedOrders[EffectiveQty],T_PlannedOrders[Part Name],$A1089,T_PlannedOrders[WeekIndex],40)&amp;" ("&amp;TEXT(SUMPRODUCT(MAX((T_PlannedOrders[Part Name]=$A1089)*(T_PlannedOrders[WeekIndex]=40)*(T_PlannedOrders[EffectiveQty]&gt;0)*T_PlannedOrders[Order_Month])),"m月")&amp;"発注)")</f>
        <v/>
      </c>
      <c r="AR1095">
        <f>IF(SUMIFS(T_PlannedOrders[EffectiveQty],T_PlannedOrders[Part Name],$A1089,T_PlannedOrders[WeekIndex],41)=0,"",SUMIFS(T_PlannedOrders[EffectiveQty],T_PlannedOrders[Part Name],$A1089,T_PlannedOrders[WeekIndex],41)&amp;" ("&amp;TEXT(SUMPRODUCT(MAX((T_PlannedOrders[Part Name]=$A1089)*(T_PlannedOrders[WeekIndex]=41)*(T_PlannedOrders[EffectiveQty]&gt;0)*T_PlannedOrders[Order_Month])),"m月")&amp;"発注)")</f>
        <v/>
      </c>
      <c r="AS1095">
        <f>IF(SUMIFS(T_PlannedOrders[EffectiveQty],T_PlannedOrders[Part Name],$A1089,T_PlannedOrders[WeekIndex],42)=0,"",SUMIFS(T_PlannedOrders[EffectiveQty],T_PlannedOrders[Part Name],$A1089,T_PlannedOrders[WeekIndex],42)&amp;" ("&amp;TEXT(SUMPRODUCT(MAX((T_PlannedOrders[Part Name]=$A1089)*(T_PlannedOrders[WeekIndex]=42)*(T_PlannedOrders[EffectiveQty]&gt;0)*T_PlannedOrders[Order_Month])),"m月")&amp;"発注)")</f>
        <v/>
      </c>
      <c r="AT1095">
        <f>IF(SUMIFS(T_PlannedOrders[EffectiveQty],T_PlannedOrders[Part Name],$A1089,T_PlannedOrders[WeekIndex],43)=0,"",SUMIFS(T_PlannedOrders[EffectiveQty],T_PlannedOrders[Part Name],$A1089,T_PlannedOrders[WeekIndex],43)&amp;" ("&amp;TEXT(SUMPRODUCT(MAX((T_PlannedOrders[Part Name]=$A1089)*(T_PlannedOrders[WeekIndex]=43)*(T_PlannedOrders[EffectiveQty]&gt;0)*T_PlannedOrders[Order_Month])),"m月")&amp;"発注)")</f>
        <v/>
      </c>
      <c r="AU1095">
        <f>IF(SUMIFS(T_PlannedOrders[EffectiveQty],T_PlannedOrders[Part Name],$A1089,T_PlannedOrders[WeekIndex],44)=0,"",SUMIFS(T_PlannedOrders[EffectiveQty],T_PlannedOrders[Part Name],$A1089,T_PlannedOrders[WeekIndex],44)&amp;" ("&amp;TEXT(SUMPRODUCT(MAX((T_PlannedOrders[Part Name]=$A1089)*(T_PlannedOrders[WeekIndex]=44)*(T_PlannedOrders[EffectiveQty]&gt;0)*T_PlannedOrders[Order_Month])),"m月")&amp;"発注)")</f>
        <v/>
      </c>
      <c r="AV1095">
        <f>IF(SUMIFS(T_PlannedOrders[EffectiveQty],T_PlannedOrders[Part Name],$A1089,T_PlannedOrders[WeekIndex],45)=0,"",SUMIFS(T_PlannedOrders[EffectiveQty],T_PlannedOrders[Part Name],$A1089,T_PlannedOrders[WeekIndex],45)&amp;" ("&amp;TEXT(SUMPRODUCT(MAX((T_PlannedOrders[Part Name]=$A1089)*(T_PlannedOrders[WeekIndex]=45)*(T_PlannedOrders[EffectiveQty]&gt;0)*T_PlannedOrders[Order_Month])),"m月")&amp;"発注)")</f>
        <v/>
      </c>
      <c r="AW1095">
        <f>IF(SUMIFS(T_PlannedOrders[EffectiveQty],T_PlannedOrders[Part Name],$A1089,T_PlannedOrders[WeekIndex],46)=0,"",SUMIFS(T_PlannedOrders[EffectiveQty],T_PlannedOrders[Part Name],$A1089,T_PlannedOrders[WeekIndex],46)&amp;" ("&amp;TEXT(SUMPRODUCT(MAX((T_PlannedOrders[Part Name]=$A1089)*(T_PlannedOrders[WeekIndex]=46)*(T_PlannedOrders[EffectiveQty]&gt;0)*T_PlannedOrders[Order_Month])),"m月")&amp;"発注)")</f>
        <v/>
      </c>
      <c r="AX1095">
        <f>IF(SUMIFS(T_PlannedOrders[EffectiveQty],T_PlannedOrders[Part Name],$A1089,T_PlannedOrders[WeekIndex],47)=0,"",SUMIFS(T_PlannedOrders[EffectiveQty],T_PlannedOrders[Part Name],$A1089,T_PlannedOrders[WeekIndex],47)&amp;" ("&amp;TEXT(SUMPRODUCT(MAX((T_PlannedOrders[Part Name]=$A1089)*(T_PlannedOrders[WeekIndex]=47)*(T_PlannedOrders[EffectiveQty]&gt;0)*T_PlannedOrders[Order_Month])),"m月")&amp;"発注)")</f>
        <v/>
      </c>
      <c r="AY1095">
        <f>IF(SUMIFS(T_PlannedOrders[EffectiveQty],T_PlannedOrders[Part Name],$A1089,T_PlannedOrders[WeekIndex],48)=0,"",SUMIFS(T_PlannedOrders[EffectiveQty],T_PlannedOrders[Part Name],$A1089,T_PlannedOrders[WeekIndex],48)&amp;" ("&amp;TEXT(SUMPRODUCT(MAX((T_PlannedOrders[Part Name]=$A1089)*(T_PlannedOrders[WeekIndex]=48)*(T_PlannedOrders[EffectiveQty]&gt;0)*T_PlannedOrders[Order_Month])),"m月")&amp;"発注)")</f>
        <v/>
      </c>
      <c r="AZ1095">
        <f>IF(SUMIFS(T_PlannedOrders[EffectiveQty],T_PlannedOrders[Part Name],$A1089,T_PlannedOrders[WeekIndex],49)=0,"",SUMIFS(T_PlannedOrders[EffectiveQty],T_PlannedOrders[Part Name],$A1089,T_PlannedOrders[WeekIndex],49)&amp;" ("&amp;TEXT(SUMPRODUCT(MAX((T_PlannedOrders[Part Name]=$A1089)*(T_PlannedOrders[WeekIndex]=49)*(T_PlannedOrders[EffectiveQty]&gt;0)*T_PlannedOrders[Order_Month])),"m月")&amp;"発注)")</f>
        <v/>
      </c>
      <c r="BA1095">
        <f>IF(SUMIFS(T_PlannedOrders[EffectiveQty],T_PlannedOrders[Part Name],$A1089,T_PlannedOrders[WeekIndex],50)=0,"",SUMIFS(T_PlannedOrders[EffectiveQty],T_PlannedOrders[Part Name],$A1089,T_PlannedOrders[WeekIndex],50)&amp;" ("&amp;TEXT(SUMPRODUCT(MAX((T_PlannedOrders[Part Name]=$A1089)*(T_PlannedOrders[WeekIndex]=50)*(T_PlannedOrders[EffectiveQty]&gt;0)*T_PlannedOrders[Order_Month])),"m月")&amp;"発注)")</f>
        <v/>
      </c>
      <c r="BB1095">
        <f>IF(SUMIFS(T_PlannedOrders[EffectiveQty],T_PlannedOrders[Part Name],$A1089,T_PlannedOrders[WeekIndex],51)=0,"",SUMIFS(T_PlannedOrders[EffectiveQty],T_PlannedOrders[Part Name],$A1089,T_PlannedOrders[WeekIndex],51)&amp;" ("&amp;TEXT(SUMPRODUCT(MAX((T_PlannedOrders[Part Name]=$A1089)*(T_PlannedOrders[WeekIndex]=51)*(T_PlannedOrders[EffectiveQty]&gt;0)*T_PlannedOrders[Order_Month])),"m月")&amp;"発注)")</f>
        <v/>
      </c>
      <c r="BC1095">
        <f>IF(SUMIFS(T_PlannedOrders[EffectiveQty],T_PlannedOrders[Part Name],$A1089,T_PlannedOrders[WeekIndex],52)=0,"",SUMIFS(T_PlannedOrders[EffectiveQty],T_PlannedOrders[Part Name],$A1089,T_PlannedOrders[WeekIndex],52)&amp;" ("&amp;TEXT(SUMPRODUCT(MAX((T_PlannedOrders[Part Name]=$A1089)*(T_PlannedOrders[WeekIndex]=52)*(T_PlannedOrders[EffectiveQty]&gt;0)*T_PlannedOrders[Order_Month])),"m月")&amp;"発注)")</f>
        <v/>
      </c>
      <c r="BD1095">
        <f>IF(SUMIFS(T_PlannedOrders[EffectiveQty],T_PlannedOrders[Part Name],$A1089,T_PlannedOrders[WeekIndex],53)=0,"",SUMIFS(T_PlannedOrders[EffectiveQty],T_PlannedOrders[Part Name],$A1089,T_PlannedOrders[WeekIndex],53)&amp;" ("&amp;TEXT(SUMPRODUCT(MAX((T_PlannedOrders[Part Name]=$A1089)*(T_PlannedOrders[WeekIndex]=53)*(T_PlannedOrders[EffectiveQty]&gt;0)*T_PlannedOrders[Order_Month])),"m月")&amp;"発注)")</f>
        <v/>
      </c>
      <c r="BE1095">
        <f>IF(SUMIFS(T_PlannedOrders[EffectiveQty],T_PlannedOrders[Part Name],$A1089,T_PlannedOrders[WeekIndex],54)=0,"",SUMIFS(T_PlannedOrders[EffectiveQty],T_PlannedOrders[Part Name],$A1089,T_PlannedOrders[WeekIndex],54)&amp;" ("&amp;TEXT(SUMPRODUCT(MAX((T_PlannedOrders[Part Name]=$A1089)*(T_PlannedOrders[WeekIndex]=54)*(T_PlannedOrders[EffectiveQty]&gt;0)*T_PlannedOrders[Order_Month])),"m月")&amp;"発注)")</f>
        <v/>
      </c>
      <c r="BF1095">
        <f>IF(SUMIFS(T_PlannedOrders[EffectiveQty],T_PlannedOrders[Part Name],$A1089,T_PlannedOrders[WeekIndex],55)=0,"",SUMIFS(T_PlannedOrders[EffectiveQty],T_PlannedOrders[Part Name],$A1089,T_PlannedOrders[WeekIndex],55)&amp;" ("&amp;TEXT(SUMPRODUCT(MAX((T_PlannedOrders[Part Name]=$A1089)*(T_PlannedOrders[WeekIndex]=55)*(T_PlannedOrders[EffectiveQty]&gt;0)*T_PlannedOrders[Order_Month])),"m月")&amp;"発注)")</f>
        <v/>
      </c>
      <c r="BG1095">
        <f>IF(SUMIFS(T_PlannedOrders[EffectiveQty],T_PlannedOrders[Part Name],$A1089,T_PlannedOrders[WeekIndex],56)=0,"",SUMIFS(T_PlannedOrders[EffectiveQty],T_PlannedOrders[Part Name],$A1089,T_PlannedOrders[WeekIndex],56)&amp;" ("&amp;TEXT(SUMPRODUCT(MAX((T_PlannedOrders[Part Name]=$A1089)*(T_PlannedOrders[WeekIndex]=56)*(T_PlannedOrders[EffectiveQty]&gt;0)*T_PlannedOrders[Order_Month])),"m月")&amp;"発注)")</f>
        <v/>
      </c>
      <c r="BH1095">
        <f>IF(SUMIFS(T_PlannedOrders[EffectiveQty],T_PlannedOrders[Part Name],$A1089,T_PlannedOrders[WeekIndex],57)=0,"",SUMIFS(T_PlannedOrders[EffectiveQty],T_PlannedOrders[Part Name],$A1089,T_PlannedOrders[WeekIndex],57)&amp;" ("&amp;TEXT(SUMPRODUCT(MAX((T_PlannedOrders[Part Name]=$A1089)*(T_PlannedOrders[WeekIndex]=57)*(T_PlannedOrders[EffectiveQty]&gt;0)*T_PlannedOrders[Order_Month])),"m月")&amp;"発注)")</f>
        <v/>
      </c>
      <c r="BI1095">
        <f>IF(SUMIFS(T_PlannedOrders[EffectiveQty],T_PlannedOrders[Part Name],$A1089,T_PlannedOrders[WeekIndex],58)=0,"",SUMIFS(T_PlannedOrders[EffectiveQty],T_PlannedOrders[Part Name],$A1089,T_PlannedOrders[WeekIndex],58)&amp;" ("&amp;TEXT(SUMPRODUCT(MAX((T_PlannedOrders[Part Name]=$A1089)*(T_PlannedOrders[WeekIndex]=58)*(T_PlannedOrders[EffectiveQty]&gt;0)*T_PlannedOrders[Order_Month])),"m月")&amp;"発注)")</f>
        <v/>
      </c>
      <c r="BJ1095">
        <f>IF(SUMIFS(T_PlannedOrders[EffectiveQty],T_PlannedOrders[Part Name],$A1089,T_PlannedOrders[WeekIndex],59)=0,"",SUMIFS(T_PlannedOrders[EffectiveQty],T_PlannedOrders[Part Name],$A1089,T_PlannedOrders[WeekIndex],59)&amp;" ("&amp;TEXT(SUMPRODUCT(MAX((T_PlannedOrders[Part Name]=$A1089)*(T_PlannedOrders[WeekIndex]=59)*(T_PlannedOrders[EffectiveQty]&gt;0)*T_PlannedOrders[Order_Month])),"m月")&amp;"発注)")</f>
        <v/>
      </c>
      <c r="BK1095">
        <f>IF(SUMIFS(T_PlannedOrders[EffectiveQty],T_PlannedOrders[Part Name],$A1089,T_PlannedOrders[WeekIndex],60)=0,"",SUMIFS(T_PlannedOrders[EffectiveQty],T_PlannedOrders[Part Name],$A1089,T_PlannedOrders[WeekIndex],60)&amp;" ("&amp;TEXT(SUMPRODUCT(MAX((T_PlannedOrders[Part Name]=$A1089)*(T_PlannedOrders[WeekIndex]=60)*(T_PlannedOrders[EffectiveQty]&gt;0)*T_PlannedOrders[Order_Month])),"m月")&amp;"発注)")</f>
        <v/>
      </c>
      <c r="BL1095">
        <f>IF(SUMIFS(T_PlannedOrders[EffectiveQty],T_PlannedOrders[Part Name],$A1089,T_PlannedOrders[WeekIndex],61)=0,"",SUMIFS(T_PlannedOrders[EffectiveQty],T_PlannedOrders[Part Name],$A1089,T_PlannedOrders[WeekIndex],61)&amp;" ("&amp;TEXT(SUMPRODUCT(MAX((T_PlannedOrders[Part Name]=$A1089)*(T_PlannedOrders[WeekIndex]=61)*(T_PlannedOrders[EffectiveQty]&gt;0)*T_PlannedOrders[Order_Month])),"m月")&amp;"発注)")</f>
        <v/>
      </c>
      <c r="BM1095">
        <f>IF(SUMIFS(T_PlannedOrders[EffectiveQty],T_PlannedOrders[Part Name],$A1089,T_PlannedOrders[WeekIndex],62)=0,"",SUMIFS(T_PlannedOrders[EffectiveQty],T_PlannedOrders[Part Name],$A1089,T_PlannedOrders[WeekIndex],62)&amp;" ("&amp;TEXT(SUMPRODUCT(MAX((T_PlannedOrders[Part Name]=$A1089)*(T_PlannedOrders[WeekIndex]=62)*(T_PlannedOrders[EffectiveQty]&gt;0)*T_PlannedOrders[Order_Month])),"m月")&amp;"発注)")</f>
        <v/>
      </c>
      <c r="BN1095">
        <f>IF(SUMIFS(T_PlannedOrders[EffectiveQty],T_PlannedOrders[Part Name],$A1089,T_PlannedOrders[WeekIndex],63)=0,"",SUMIFS(T_PlannedOrders[EffectiveQty],T_PlannedOrders[Part Name],$A1089,T_PlannedOrders[WeekIndex],63)&amp;" ("&amp;TEXT(SUMPRODUCT(MAX((T_PlannedOrders[Part Name]=$A1089)*(T_PlannedOrders[WeekIndex]=63)*(T_PlannedOrders[EffectiveQty]&gt;0)*T_PlannedOrders[Order_Month])),"m月")&amp;"発注)")</f>
        <v/>
      </c>
      <c r="BO1095">
        <f>IF(SUMIFS(T_PlannedOrders[EffectiveQty],T_PlannedOrders[Part Name],$A1089,T_PlannedOrders[WeekIndex],64)=0,"",SUMIFS(T_PlannedOrders[EffectiveQty],T_PlannedOrders[Part Name],$A1089,T_PlannedOrders[WeekIndex],64)&amp;" ("&amp;TEXT(SUMPRODUCT(MAX((T_PlannedOrders[Part Name]=$A1089)*(T_PlannedOrders[WeekIndex]=64)*(T_PlannedOrders[EffectiveQty]&gt;0)*T_PlannedOrders[Order_Month])),"m月")&amp;"発注)")</f>
        <v/>
      </c>
      <c r="BP1095">
        <f>IF(SUMIFS(T_PlannedOrders[EffectiveQty],T_PlannedOrders[Part Name],$A1089,T_PlannedOrders[WeekIndex],65)=0,"",SUMIFS(T_PlannedOrders[EffectiveQty],T_PlannedOrders[Part Name],$A1089,T_PlannedOrders[WeekIndex],65)&amp;" ("&amp;TEXT(SUMPRODUCT(MAX((T_PlannedOrders[Part Name]=$A1089)*(T_PlannedOrders[WeekIndex]=65)*(T_PlannedOrders[EffectiveQty]&gt;0)*T_PlannedOrders[Order_Month])),"m月")&amp;"発注)")</f>
        <v/>
      </c>
      <c r="BQ1095">
        <f>IF(SUMIFS(T_PlannedOrders[EffectiveQty],T_PlannedOrders[Part Name],$A1089,T_PlannedOrders[WeekIndex],66)=0,"",SUMIFS(T_PlannedOrders[EffectiveQty],T_PlannedOrders[Part Name],$A1089,T_PlannedOrders[WeekIndex],66)&amp;" ("&amp;TEXT(SUMPRODUCT(MAX((T_PlannedOrders[Part Name]=$A1089)*(T_PlannedOrders[WeekIndex]=66)*(T_PlannedOrders[EffectiveQty]&gt;0)*T_PlannedOrders[Order_Month])),"m月")&amp;"発注)")</f>
        <v/>
      </c>
      <c r="BR1095">
        <f>IF(SUMIFS(T_PlannedOrders[EffectiveQty],T_PlannedOrders[Part Name],$A1089,T_PlannedOrders[WeekIndex],67)=0,"",SUMIFS(T_PlannedOrders[EffectiveQty],T_PlannedOrders[Part Name],$A1089,T_PlannedOrders[WeekIndex],67)&amp;" ("&amp;TEXT(SUMPRODUCT(MAX((T_PlannedOrders[Part Name]=$A1089)*(T_PlannedOrders[WeekIndex]=67)*(T_PlannedOrders[EffectiveQty]&gt;0)*T_PlannedOrders[Order_Month])),"m月")&amp;"発注)")</f>
        <v/>
      </c>
      <c r="BS1095">
        <f>IF(SUMIFS(T_PlannedOrders[EffectiveQty],T_PlannedOrders[Part Name],$A1089,T_PlannedOrders[WeekIndex],68)=0,"",SUMIFS(T_PlannedOrders[EffectiveQty],T_PlannedOrders[Part Name],$A1089,T_PlannedOrders[WeekIndex],68)&amp;" ("&amp;TEXT(SUMPRODUCT(MAX((T_PlannedOrders[Part Name]=$A1089)*(T_PlannedOrders[WeekIndex]=68)*(T_PlannedOrders[EffectiveQty]&gt;0)*T_PlannedOrders[Order_Month])),"m月")&amp;"発注)")</f>
        <v/>
      </c>
      <c r="BT1095">
        <f>IF(SUMIFS(T_PlannedOrders[EffectiveQty],T_PlannedOrders[Part Name],$A1089,T_PlannedOrders[WeekIndex],69)=0,"",SUMIFS(T_PlannedOrders[EffectiveQty],T_PlannedOrders[Part Name],$A1089,T_PlannedOrders[WeekIndex],69)&amp;" ("&amp;TEXT(SUMPRODUCT(MAX((T_PlannedOrders[Part Name]=$A1089)*(T_PlannedOrders[WeekIndex]=69)*(T_PlannedOrders[EffectiveQty]&gt;0)*T_PlannedOrders[Order_Month])),"m月")&amp;"発注)")</f>
        <v/>
      </c>
      <c r="BU1095">
        <f>IF(SUMIFS(T_PlannedOrders[EffectiveQty],T_PlannedOrders[Part Name],$A1089,T_PlannedOrders[WeekIndex],70)=0,"",SUMIFS(T_PlannedOrders[EffectiveQty],T_PlannedOrders[Part Name],$A1089,T_PlannedOrders[WeekIndex],70)&amp;" ("&amp;TEXT(SUMPRODUCT(MAX((T_PlannedOrders[Part Name]=$A1089)*(T_PlannedOrders[WeekIndex]=70)*(T_PlannedOrders[EffectiveQty]&gt;0)*T_PlannedOrders[Order_Month])),"m月")&amp;"発注)")</f>
        <v/>
      </c>
      <c r="BV1095">
        <f>IF(SUMIFS(T_PlannedOrders[EffectiveQty],T_PlannedOrders[Part Name],$A1089,T_PlannedOrders[WeekIndex],71)=0,"",SUMIFS(T_PlannedOrders[EffectiveQty],T_PlannedOrders[Part Name],$A1089,T_PlannedOrders[WeekIndex],71)&amp;" ("&amp;TEXT(SUMPRODUCT(MAX((T_PlannedOrders[Part Name]=$A1089)*(T_PlannedOrders[WeekIndex]=71)*(T_PlannedOrders[EffectiveQty]&gt;0)*T_PlannedOrders[Order_Month])),"m月")&amp;"発注)")</f>
        <v/>
      </c>
      <c r="BW1095">
        <f>IF(SUMIFS(T_PlannedOrders[EffectiveQty],T_PlannedOrders[Part Name],$A1089,T_PlannedOrders[WeekIndex],72)=0,"",SUMIFS(T_PlannedOrders[EffectiveQty],T_PlannedOrders[Part Name],$A1089,T_PlannedOrders[WeekIndex],72)&amp;" ("&amp;TEXT(SUMPRODUCT(MAX((T_PlannedOrders[Part Name]=$A1089)*(T_PlannedOrders[WeekIndex]=72)*(T_PlannedOrders[EffectiveQty]&gt;0)*T_PlannedOrders[Order_Month])),"m月")&amp;"発注)")</f>
        <v/>
      </c>
      <c r="BX1095">
        <f>IF(SUMIFS(T_PlannedOrders[EffectiveQty],T_PlannedOrders[Part Name],$A1089,T_PlannedOrders[WeekIndex],73)=0,"",SUMIFS(T_PlannedOrders[EffectiveQty],T_PlannedOrders[Part Name],$A1089,T_PlannedOrders[WeekIndex],73)&amp;" ("&amp;TEXT(SUMPRODUCT(MAX((T_PlannedOrders[Part Name]=$A1089)*(T_PlannedOrders[WeekIndex]=73)*(T_PlannedOrders[EffectiveQty]&gt;0)*T_PlannedOrders[Order_Month])),"m月")&amp;"発注)")</f>
        <v/>
      </c>
      <c r="BY1095">
        <f>IF(SUMIFS(T_PlannedOrders[EffectiveQty],T_PlannedOrders[Part Name],$A1089,T_PlannedOrders[WeekIndex],74)=0,"",SUMIFS(T_PlannedOrders[EffectiveQty],T_PlannedOrders[Part Name],$A1089,T_PlannedOrders[WeekIndex],74)&amp;" ("&amp;TEXT(SUMPRODUCT(MAX((T_PlannedOrders[Part Name]=$A1089)*(T_PlannedOrders[WeekIndex]=74)*(T_PlannedOrders[EffectiveQty]&gt;0)*T_PlannedOrders[Order_Month])),"m月")&amp;"発注)")</f>
        <v/>
      </c>
      <c r="BZ1095">
        <f>IF(SUMIFS(T_PlannedOrders[EffectiveQty],T_PlannedOrders[Part Name],$A1089,T_PlannedOrders[WeekIndex],75)=0,"",SUMIFS(T_PlannedOrders[EffectiveQty],T_PlannedOrders[Part Name],$A1089,T_PlannedOrders[WeekIndex],75)&amp;" ("&amp;TEXT(SUMPRODUCT(MAX((T_PlannedOrders[Part Name]=$A1089)*(T_PlannedOrders[WeekIndex]=75)*(T_PlannedOrders[EffectiveQty]&gt;0)*T_PlannedOrders[Order_Month])),"m月")&amp;"発注)")</f>
        <v/>
      </c>
      <c r="CA1095">
        <f>IF(SUMIFS(T_PlannedOrders[EffectiveQty],T_PlannedOrders[Part Name],$A1089,T_PlannedOrders[WeekIndex],76)=0,"",SUMIFS(T_PlannedOrders[EffectiveQty],T_PlannedOrders[Part Name],$A1089,T_PlannedOrders[WeekIndex],76)&amp;" ("&amp;TEXT(SUMPRODUCT(MAX((T_PlannedOrders[Part Name]=$A1089)*(T_PlannedOrders[WeekIndex]=76)*(T_PlannedOrders[EffectiveQty]&gt;0)*T_PlannedOrders[Order_Month])),"m月")&amp;"発注)")</f>
        <v/>
      </c>
      <c r="CB1095">
        <f>IF(SUMIFS(T_PlannedOrders[EffectiveQty],T_PlannedOrders[Part Name],$A1089,T_PlannedOrders[WeekIndex],77)=0,"",SUMIFS(T_PlannedOrders[EffectiveQty],T_PlannedOrders[Part Name],$A1089,T_PlannedOrders[WeekIndex],77)&amp;" ("&amp;TEXT(SUMPRODUCT(MAX((T_PlannedOrders[Part Name]=$A1089)*(T_PlannedOrders[WeekIndex]=77)*(T_PlannedOrders[EffectiveQty]&gt;0)*T_PlannedOrders[Order_Month])),"m月")&amp;"発注)")</f>
        <v/>
      </c>
      <c r="CC1095">
        <f>IF(SUMIFS(T_PlannedOrders[EffectiveQty],T_PlannedOrders[Part Name],$A1089,T_PlannedOrders[WeekIndex],78)=0,"",SUMIFS(T_PlannedOrders[EffectiveQty],T_PlannedOrders[Part Name],$A1089,T_PlannedOrders[WeekIndex],78)&amp;" ("&amp;TEXT(SUMPRODUCT(MAX((T_PlannedOrders[Part Name]=$A1089)*(T_PlannedOrders[WeekIndex]=78)*(T_PlannedOrders[EffectiveQty]&gt;0)*T_PlannedOrders[Order_Month])),"m月")&amp;"発注)")</f>
        <v/>
      </c>
      <c r="CD1095">
        <f>IF(SUMIFS(T_PlannedOrders[EffectiveQty],T_PlannedOrders[Part Name],$A1089,T_PlannedOrders[WeekIndex],79)=0,"",SUMIFS(T_PlannedOrders[EffectiveQty],T_PlannedOrders[Part Name],$A1089,T_PlannedOrders[WeekIndex],79)&amp;" ("&amp;TEXT(SUMPRODUCT(MAX((T_PlannedOrders[Part Name]=$A1089)*(T_PlannedOrders[WeekIndex]=79)*(T_PlannedOrders[EffectiveQty]&gt;0)*T_PlannedOrders[Order_Month])),"m月")&amp;"発注)")</f>
        <v/>
      </c>
      <c r="CE1095">
        <f>IF(SUMIFS(T_PlannedOrders[EffectiveQty],T_PlannedOrders[Part Name],$A1089,T_PlannedOrders[WeekIndex],80)=0,"",SUMIFS(T_PlannedOrders[EffectiveQty],T_PlannedOrders[Part Name],$A1089,T_PlannedOrders[WeekIndex],80)&amp;" ("&amp;TEXT(SUMPRODUCT(MAX((T_PlannedOrders[Part Name]=$A1089)*(T_PlannedOrders[WeekIndex]=80)*(T_PlannedOrders[EffectiveQty]&gt;0)*T_PlannedOrders[Order_Month])),"m月")&amp;"発注)")</f>
        <v/>
      </c>
      <c r="CF1095">
        <f>IF(SUMIFS(T_PlannedOrders[EffectiveQty],T_PlannedOrders[Part Name],$A1089,T_PlannedOrders[WeekIndex],81)=0,"",SUMIFS(T_PlannedOrders[EffectiveQty],T_PlannedOrders[Part Name],$A1089,T_PlannedOrders[WeekIndex],81)&amp;" ("&amp;TEXT(SUMPRODUCT(MAX((T_PlannedOrders[Part Name]=$A1089)*(T_PlannedOrders[WeekIndex]=81)*(T_PlannedOrders[EffectiveQty]&gt;0)*T_PlannedOrders[Order_Month])),"m月")&amp;"発注)")</f>
        <v/>
      </c>
      <c r="CG1095">
        <f>IF(SUMIFS(T_PlannedOrders[EffectiveQty],T_PlannedOrders[Part Name],$A1089,T_PlannedOrders[WeekIndex],82)=0,"",SUMIFS(T_PlannedOrders[EffectiveQty],T_PlannedOrders[Part Name],$A1089,T_PlannedOrders[WeekIndex],82)&amp;" ("&amp;TEXT(SUMPRODUCT(MAX((T_PlannedOrders[Part Name]=$A1089)*(T_PlannedOrders[WeekIndex]=82)*(T_PlannedOrders[EffectiveQty]&gt;0)*T_PlannedOrders[Order_Month])),"m月")&amp;"発注)")</f>
        <v/>
      </c>
      <c r="CH1095">
        <f>IF(SUMIFS(T_PlannedOrders[EffectiveQty],T_PlannedOrders[Part Name],$A1089,T_PlannedOrders[WeekIndex],83)=0,"",SUMIFS(T_PlannedOrders[EffectiveQty],T_PlannedOrders[Part Name],$A1089,T_PlannedOrders[WeekIndex],83)&amp;" ("&amp;TEXT(SUMPRODUCT(MAX((T_PlannedOrders[Part Name]=$A1089)*(T_PlannedOrders[WeekIndex]=83)*(T_PlannedOrders[EffectiveQty]&gt;0)*T_PlannedOrders[Order_Month])),"m月")&amp;"発注)")</f>
        <v/>
      </c>
      <c r="CI1095">
        <f>IF(SUMIFS(T_PlannedOrders[EffectiveQty],T_PlannedOrders[Part Name],$A1089,T_PlannedOrders[WeekIndex],84)=0,"",SUMIFS(T_PlannedOrders[EffectiveQty],T_PlannedOrders[Part Name],$A1089,T_PlannedOrders[WeekIndex],84)&amp;" ("&amp;TEXT(SUMPRODUCT(MAX((T_PlannedOrders[Part Name]=$A1089)*(T_PlannedOrders[WeekIndex]=84)*(T_PlannedOrders[EffectiveQty]&gt;0)*T_PlannedOrders[Order_Month])),"m月")&amp;"発注)")</f>
        <v/>
      </c>
      <c r="CJ1095">
        <f>IF(SUMIFS(T_PlannedOrders[EffectiveQty],T_PlannedOrders[Part Name],$A1089,T_PlannedOrders[WeekIndex],85)=0,"",SUMIFS(T_PlannedOrders[EffectiveQty],T_PlannedOrders[Part Name],$A1089,T_PlannedOrders[WeekIndex],85)&amp;" ("&amp;TEXT(SUMPRODUCT(MAX((T_PlannedOrders[Part Name]=$A1089)*(T_PlannedOrders[WeekIndex]=85)*(T_PlannedOrders[EffectiveQty]&gt;0)*T_PlannedOrders[Order_Month])),"m月")&amp;"発注)")</f>
        <v/>
      </c>
      <c r="CK1095">
        <f>IF(SUMIFS(T_PlannedOrders[EffectiveQty],T_PlannedOrders[Part Name],$A1089,T_PlannedOrders[WeekIndex],86)=0,"",SUMIFS(T_PlannedOrders[EffectiveQty],T_PlannedOrders[Part Name],$A1089,T_PlannedOrders[WeekIndex],86)&amp;" ("&amp;TEXT(SUMPRODUCT(MAX((T_PlannedOrders[Part Name]=$A1089)*(T_PlannedOrders[WeekIndex]=86)*(T_PlannedOrders[EffectiveQty]&gt;0)*T_PlannedOrders[Order_Month])),"m月")&amp;"発注)")</f>
        <v/>
      </c>
      <c r="CL1095">
        <f>IF(SUMIFS(T_PlannedOrders[EffectiveQty],T_PlannedOrders[Part Name],$A1089,T_PlannedOrders[WeekIndex],87)=0,"",SUMIFS(T_PlannedOrders[EffectiveQty],T_PlannedOrders[Part Name],$A1089,T_PlannedOrders[WeekIndex],87)&amp;" ("&amp;TEXT(SUMPRODUCT(MAX((T_PlannedOrders[Part Name]=$A1089)*(T_PlannedOrders[WeekIndex]=87)*(T_PlannedOrders[EffectiveQty]&gt;0)*T_PlannedOrders[Order_Month])),"m月")&amp;"発注)")</f>
        <v/>
      </c>
      <c r="CM1095">
        <f>IF(SUMIFS(T_PlannedOrders[EffectiveQty],T_PlannedOrders[Part Name],$A1089,T_PlannedOrders[WeekIndex],88)=0,"",SUMIFS(T_PlannedOrders[EffectiveQty],T_PlannedOrders[Part Name],$A1089,T_PlannedOrders[WeekIndex],88)&amp;" ("&amp;TEXT(SUMPRODUCT(MAX((T_PlannedOrders[Part Name]=$A1089)*(T_PlannedOrders[WeekIndex]=88)*(T_PlannedOrders[EffectiveQty]&gt;0)*T_PlannedOrders[Order_Month])),"m月")&amp;"発注)")</f>
        <v/>
      </c>
      <c r="CN1095">
        <f>IF(SUMIFS(T_PlannedOrders[EffectiveQty],T_PlannedOrders[Part Name],$A1089,T_PlannedOrders[WeekIndex],89)=0,"",SUMIFS(T_PlannedOrders[EffectiveQty],T_PlannedOrders[Part Name],$A1089,T_PlannedOrders[WeekIndex],89)&amp;" ("&amp;TEXT(SUMPRODUCT(MAX((T_PlannedOrders[Part Name]=$A1089)*(T_PlannedOrders[WeekIndex]=89)*(T_PlannedOrders[EffectiveQty]&gt;0)*T_PlannedOrders[Order_Month])),"m月")&amp;"発注)")</f>
        <v/>
      </c>
      <c r="CO1095">
        <f>IF(SUMIFS(T_PlannedOrders[EffectiveQty],T_PlannedOrders[Part Name],$A1089,T_PlannedOrders[WeekIndex],90)=0,"",SUMIFS(T_PlannedOrders[EffectiveQty],T_PlannedOrders[Part Name],$A1089,T_PlannedOrders[WeekIndex],90)&amp;" ("&amp;TEXT(SUMPRODUCT(MAX((T_PlannedOrders[Part Name]=$A1089)*(T_PlannedOrders[WeekIndex]=90)*(T_PlannedOrders[EffectiveQty]&gt;0)*T_PlannedOrders[Order_Month])),"m月")&amp;"発注)")</f>
        <v/>
      </c>
      <c r="CP1095">
        <f>IF(SUMIFS(T_PlannedOrders[EffectiveQty],T_PlannedOrders[Part Name],$A1089,T_PlannedOrders[WeekIndex],91)=0,"",SUMIFS(T_PlannedOrders[EffectiveQty],T_PlannedOrders[Part Name],$A1089,T_PlannedOrders[WeekIndex],91)&amp;" ("&amp;TEXT(SUMPRODUCT(MAX((T_PlannedOrders[Part Name]=$A1089)*(T_PlannedOrders[WeekIndex]=91)*(T_PlannedOrders[EffectiveQty]&gt;0)*T_PlannedOrders[Order_Month])),"m月")&amp;"発注)")</f>
        <v/>
      </c>
      <c r="CQ1095">
        <f>IF(SUMIFS(T_PlannedOrders[EffectiveQty],T_PlannedOrders[Part Name],$A1089,T_PlannedOrders[WeekIndex],92)=0,"",SUMIFS(T_PlannedOrders[EffectiveQty],T_PlannedOrders[Part Name],$A1089,T_PlannedOrders[WeekIndex],92)&amp;" ("&amp;TEXT(SUMPRODUCT(MAX((T_PlannedOrders[Part Name]=$A1089)*(T_PlannedOrders[WeekIndex]=92)*(T_PlannedOrders[EffectiveQty]&gt;0)*T_PlannedOrders[Order_Month])),"m月")&amp;"発注)")</f>
        <v/>
      </c>
      <c r="CR1095">
        <f>IF(SUMIFS(T_PlannedOrders[EffectiveQty],T_PlannedOrders[Part Name],$A1089,T_PlannedOrders[WeekIndex],93)=0,"",SUMIFS(T_PlannedOrders[EffectiveQty],T_PlannedOrders[Part Name],$A1089,T_PlannedOrders[WeekIndex],93)&amp;" ("&amp;TEXT(SUMPRODUCT(MAX((T_PlannedOrders[Part Name]=$A1089)*(T_PlannedOrders[WeekIndex]=93)*(T_PlannedOrders[EffectiveQty]&gt;0)*T_PlannedOrders[Order_Month])),"m月")&amp;"発注)")</f>
        <v/>
      </c>
      <c r="CS1095">
        <f>IF(SUMIFS(T_PlannedOrders[EffectiveQty],T_PlannedOrders[Part Name],$A1089,T_PlannedOrders[WeekIndex],94)=0,"",SUMIFS(T_PlannedOrders[EffectiveQty],T_PlannedOrders[Part Name],$A1089,T_PlannedOrders[WeekIndex],94)&amp;" ("&amp;TEXT(SUMPRODUCT(MAX((T_PlannedOrders[Part Name]=$A1089)*(T_PlannedOrders[WeekIndex]=94)*(T_PlannedOrders[EffectiveQty]&gt;0)*T_PlannedOrders[Order_Month])),"m月")&amp;"発注)")</f>
        <v/>
      </c>
      <c r="CT1095">
        <f>IF(SUMIFS(T_PlannedOrders[EffectiveQty],T_PlannedOrders[Part Name],$A1089,T_PlannedOrders[WeekIndex],95)=0,"",SUMIFS(T_PlannedOrders[EffectiveQty],T_PlannedOrders[Part Name],$A1089,T_PlannedOrders[WeekIndex],95)&amp;" ("&amp;TEXT(SUMPRODUCT(MAX((T_PlannedOrders[Part Name]=$A1089)*(T_PlannedOrders[WeekIndex]=95)*(T_PlannedOrders[EffectiveQty]&gt;0)*T_PlannedOrders[Order_Month])),"m月")&amp;"発注)")</f>
        <v/>
      </c>
      <c r="CU1095">
        <f>IF(SUMIFS(T_PlannedOrders[EffectiveQty],T_PlannedOrders[Part Name],$A1089,T_PlannedOrders[WeekIndex],96)=0,"",SUMIFS(T_PlannedOrders[EffectiveQty],T_PlannedOrders[Part Name],$A1089,T_PlannedOrders[WeekIndex],96)&amp;" ("&amp;TEXT(SUMPRODUCT(MAX((T_PlannedOrders[Part Name]=$A1089)*(T_PlannedOrders[WeekIndex]=96)*(T_PlannedOrders[EffectiveQty]&gt;0)*T_PlannedOrders[Order_Month])),"m月")&amp;"発注)")</f>
        <v/>
      </c>
      <c r="CV1095">
        <f>IF(SUMIFS(T_PlannedOrders[EffectiveQty],T_PlannedOrders[Part Name],$A1089,T_PlannedOrders[WeekIndex],97)=0,"",SUMIFS(T_PlannedOrders[EffectiveQty],T_PlannedOrders[Part Name],$A1089,T_PlannedOrders[WeekIndex],97)&amp;" ("&amp;TEXT(SUMPRODUCT(MAX((T_PlannedOrders[Part Name]=$A1089)*(T_PlannedOrders[WeekIndex]=97)*(T_PlannedOrders[EffectiveQty]&gt;0)*T_PlannedOrders[Order_Month])),"m月")&amp;"発注)")</f>
        <v/>
      </c>
      <c r="CW1095">
        <f>IF(SUMIFS(T_PlannedOrders[EffectiveQty],T_PlannedOrders[Part Name],$A1089,T_PlannedOrders[WeekIndex],98)=0,"",SUMIFS(T_PlannedOrders[EffectiveQty],T_PlannedOrders[Part Name],$A1089,T_PlannedOrders[WeekIndex],98)&amp;" ("&amp;TEXT(SUMPRODUCT(MAX((T_PlannedOrders[Part Name]=$A1089)*(T_PlannedOrders[WeekIndex]=98)*(T_PlannedOrders[EffectiveQty]&gt;0)*T_PlannedOrders[Order_Month])),"m月")&amp;"発注)")</f>
        <v/>
      </c>
      <c r="CX1095">
        <f>IF(SUMIFS(T_PlannedOrders[EffectiveQty],T_PlannedOrders[Part Name],$A1089,T_PlannedOrders[WeekIndex],99)=0,"",SUMIFS(T_PlannedOrders[EffectiveQty],T_PlannedOrders[Part Name],$A1089,T_PlannedOrders[WeekIndex],99)&amp;" ("&amp;TEXT(SUMPRODUCT(MAX((T_PlannedOrders[Part Name]=$A1089)*(T_PlannedOrders[WeekIndex]=99)*(T_PlannedOrders[EffectiveQty]&gt;0)*T_PlannedOrders[Order_Month])),"m月")&amp;"発注)")</f>
        <v/>
      </c>
      <c r="CY1095">
        <f>IF(SUMIFS(T_PlannedOrders[EffectiveQty],T_PlannedOrders[Part Name],$A1089,T_PlannedOrders[WeekIndex],100)=0,"",SUMIFS(T_PlannedOrders[EffectiveQty],T_PlannedOrders[Part Name],$A1089,T_PlannedOrders[WeekIndex],100)&amp;" ("&amp;TEXT(SUMPRODUCT(MAX((T_PlannedOrders[Part Name]=$A1089)*(T_PlannedOrders[WeekIndex]=100)*(T_PlannedOrders[EffectiveQty]&gt;0)*T_PlannedOrders[Order_Month])),"m月")&amp;"発注)")</f>
        <v/>
      </c>
      <c r="CZ1095">
        <f>IF(SUMIFS(T_PlannedOrders[EffectiveQty],T_PlannedOrders[Part Name],$A1089,T_PlannedOrders[WeekIndex],101)=0,"",SUMIFS(T_PlannedOrders[EffectiveQty],T_PlannedOrders[Part Name],$A1089,T_PlannedOrders[WeekIndex],101)&amp;" ("&amp;TEXT(SUMPRODUCT(MAX((T_PlannedOrders[Part Name]=$A1089)*(T_PlannedOrders[WeekIndex]=101)*(T_PlannedOrders[EffectiveQty]&gt;0)*T_PlannedOrders[Order_Month])),"m月")&amp;"発注)")</f>
        <v/>
      </c>
      <c r="DA1095">
        <f>IF(SUMIFS(T_PlannedOrders[EffectiveQty],T_PlannedOrders[Part Name],$A1089,T_PlannedOrders[WeekIndex],102)=0,"",SUMIFS(T_PlannedOrders[EffectiveQty],T_PlannedOrders[Part Name],$A1089,T_PlannedOrders[WeekIndex],102)&amp;" ("&amp;TEXT(SUMPRODUCT(MAX((T_PlannedOrders[Part Name]=$A1089)*(T_PlannedOrders[WeekIndex]=102)*(T_PlannedOrders[EffectiveQty]&gt;0)*T_PlannedOrders[Order_Month])),"m月")&amp;"発注)")</f>
        <v/>
      </c>
      <c r="DB1095">
        <f>IF(SUMIFS(T_PlannedOrders[EffectiveQty],T_PlannedOrders[Part Name],$A1089,T_PlannedOrders[WeekIndex],103)=0,"",SUMIFS(T_PlannedOrders[EffectiveQty],T_PlannedOrders[Part Name],$A1089,T_PlannedOrders[WeekIndex],103)&amp;" ("&amp;TEXT(SUMPRODUCT(MAX((T_PlannedOrders[Part Name]=$A1089)*(T_PlannedOrders[WeekIndex]=103)*(T_PlannedOrders[EffectiveQty]&gt;0)*T_PlannedOrders[Order_Month])),"m月")&amp;"発注)")</f>
        <v/>
      </c>
      <c r="DC1095">
        <f>IF(SUMIFS(T_PlannedOrders[EffectiveQty],T_PlannedOrders[Part Name],$A1089,T_PlannedOrders[WeekIndex],104)=0,"",SUMIFS(T_PlannedOrders[EffectiveQty],T_PlannedOrders[Part Name],$A1089,T_PlannedOrders[WeekIndex],104)&amp;" ("&amp;TEXT(SUMPRODUCT(MAX((T_PlannedOrders[Part Name]=$A1089)*(T_PlannedOrders[WeekIndex]=104)*(T_PlannedOrders[EffectiveQty]&gt;0)*T_PlannedOrders[Order_Month])),"m月")&amp;"発注)")</f>
        <v/>
      </c>
    </row>
    <row r="1096">
      <c r="B1096" s="9" t="inlineStr">
        <is>
          <t>合計在庫(週末時点,kg)</t>
        </is>
      </c>
      <c r="D1096">
        <f>'Grid_Stock'!B39</f>
        <v/>
      </c>
      <c r="E1096">
        <f>'Grid_Stock'!C39</f>
        <v/>
      </c>
      <c r="F1096">
        <f>'Grid_Stock'!D39</f>
        <v/>
      </c>
      <c r="G1096">
        <f>'Grid_Stock'!E39</f>
        <v/>
      </c>
      <c r="H1096">
        <f>'Grid_Stock'!F39</f>
        <v/>
      </c>
      <c r="I1096">
        <f>'Grid_Stock'!G39</f>
        <v/>
      </c>
      <c r="J1096">
        <f>'Grid_Stock'!H39</f>
        <v/>
      </c>
      <c r="K1096">
        <f>'Grid_Stock'!I39</f>
        <v/>
      </c>
      <c r="L1096">
        <f>'Grid_Stock'!J39</f>
        <v/>
      </c>
      <c r="M1096">
        <f>'Grid_Stock'!K39</f>
        <v/>
      </c>
      <c r="N1096">
        <f>'Grid_Stock'!L39</f>
        <v/>
      </c>
      <c r="O1096">
        <f>'Grid_Stock'!M39</f>
        <v/>
      </c>
      <c r="P1096">
        <f>'Grid_Stock'!N39</f>
        <v/>
      </c>
      <c r="Q1096">
        <f>'Grid_Stock'!O39</f>
        <v/>
      </c>
      <c r="R1096">
        <f>'Grid_Stock'!P39</f>
        <v/>
      </c>
      <c r="S1096">
        <f>'Grid_Stock'!Q39</f>
        <v/>
      </c>
      <c r="T1096">
        <f>'Grid_Stock'!R39</f>
        <v/>
      </c>
      <c r="U1096">
        <f>'Grid_Stock'!S39</f>
        <v/>
      </c>
      <c r="V1096">
        <f>'Grid_Stock'!T39</f>
        <v/>
      </c>
      <c r="W1096">
        <f>'Grid_Stock'!U39</f>
        <v/>
      </c>
      <c r="X1096">
        <f>'Grid_Stock'!V39</f>
        <v/>
      </c>
      <c r="Y1096">
        <f>'Grid_Stock'!W39</f>
        <v/>
      </c>
      <c r="Z1096">
        <f>'Grid_Stock'!X39</f>
        <v/>
      </c>
      <c r="AA1096">
        <f>'Grid_Stock'!Y39</f>
        <v/>
      </c>
      <c r="AB1096">
        <f>'Grid_Stock'!Z39</f>
        <v/>
      </c>
      <c r="AC1096">
        <f>'Grid_Stock'!AA39</f>
        <v/>
      </c>
      <c r="AD1096">
        <f>'Grid_Stock'!AB39</f>
        <v/>
      </c>
      <c r="AE1096">
        <f>'Grid_Stock'!AC39</f>
        <v/>
      </c>
      <c r="AF1096">
        <f>'Grid_Stock'!AD39</f>
        <v/>
      </c>
      <c r="AG1096">
        <f>'Grid_Stock'!AE39</f>
        <v/>
      </c>
      <c r="AH1096">
        <f>'Grid_Stock'!AF39</f>
        <v/>
      </c>
      <c r="AI1096">
        <f>'Grid_Stock'!AG39</f>
        <v/>
      </c>
      <c r="AJ1096">
        <f>'Grid_Stock'!AH39</f>
        <v/>
      </c>
      <c r="AK1096">
        <f>'Grid_Stock'!AI39</f>
        <v/>
      </c>
      <c r="AL1096">
        <f>'Grid_Stock'!AJ39</f>
        <v/>
      </c>
      <c r="AM1096">
        <f>'Grid_Stock'!AK39</f>
        <v/>
      </c>
      <c r="AN1096">
        <f>'Grid_Stock'!AL39</f>
        <v/>
      </c>
      <c r="AO1096">
        <f>'Grid_Stock'!AM39</f>
        <v/>
      </c>
      <c r="AP1096">
        <f>'Grid_Stock'!AN39</f>
        <v/>
      </c>
      <c r="AQ1096">
        <f>'Grid_Stock'!AO39</f>
        <v/>
      </c>
      <c r="AR1096">
        <f>'Grid_Stock'!AP39</f>
        <v/>
      </c>
      <c r="AS1096">
        <f>'Grid_Stock'!AQ39</f>
        <v/>
      </c>
      <c r="AT1096">
        <f>'Grid_Stock'!AR39</f>
        <v/>
      </c>
      <c r="AU1096">
        <f>'Grid_Stock'!AS39</f>
        <v/>
      </c>
      <c r="AV1096">
        <f>'Grid_Stock'!AT39</f>
        <v/>
      </c>
      <c r="AW1096">
        <f>'Grid_Stock'!AU39</f>
        <v/>
      </c>
      <c r="AX1096">
        <f>'Grid_Stock'!AV39</f>
        <v/>
      </c>
      <c r="AY1096">
        <f>'Grid_Stock'!AW39</f>
        <v/>
      </c>
      <c r="AZ1096">
        <f>'Grid_Stock'!AX39</f>
        <v/>
      </c>
      <c r="BA1096">
        <f>'Grid_Stock'!AY39</f>
        <v/>
      </c>
      <c r="BB1096">
        <f>'Grid_Stock'!AZ39</f>
        <v/>
      </c>
      <c r="BC1096">
        <f>'Grid_Stock'!BA39</f>
        <v/>
      </c>
      <c r="BD1096">
        <f>'Grid_Stock'!BB39</f>
        <v/>
      </c>
      <c r="BE1096">
        <f>'Grid_Stock'!BC39</f>
        <v/>
      </c>
      <c r="BF1096">
        <f>'Grid_Stock'!BD39</f>
        <v/>
      </c>
      <c r="BG1096">
        <f>'Grid_Stock'!BE39</f>
        <v/>
      </c>
      <c r="BH1096">
        <f>'Grid_Stock'!BF39</f>
        <v/>
      </c>
      <c r="BI1096">
        <f>'Grid_Stock'!BG39</f>
        <v/>
      </c>
      <c r="BJ1096">
        <f>'Grid_Stock'!BH39</f>
        <v/>
      </c>
      <c r="BK1096">
        <f>'Grid_Stock'!BI39</f>
        <v/>
      </c>
      <c r="BL1096">
        <f>'Grid_Stock'!BJ39</f>
        <v/>
      </c>
      <c r="BM1096">
        <f>'Grid_Stock'!BK39</f>
        <v/>
      </c>
      <c r="BN1096">
        <f>'Grid_Stock'!BL39</f>
        <v/>
      </c>
      <c r="BO1096">
        <f>'Grid_Stock'!BM39</f>
        <v/>
      </c>
      <c r="BP1096">
        <f>'Grid_Stock'!BN39</f>
        <v/>
      </c>
      <c r="BQ1096">
        <f>'Grid_Stock'!BO39</f>
        <v/>
      </c>
      <c r="BR1096">
        <f>'Grid_Stock'!BP39</f>
        <v/>
      </c>
      <c r="BS1096">
        <f>'Grid_Stock'!BQ39</f>
        <v/>
      </c>
      <c r="BT1096">
        <f>'Grid_Stock'!BR39</f>
        <v/>
      </c>
      <c r="BU1096">
        <f>'Grid_Stock'!BS39</f>
        <v/>
      </c>
      <c r="BV1096">
        <f>'Grid_Stock'!BT39</f>
        <v/>
      </c>
      <c r="BW1096">
        <f>'Grid_Stock'!BU39</f>
        <v/>
      </c>
      <c r="BX1096">
        <f>'Grid_Stock'!BV39</f>
        <v/>
      </c>
      <c r="BY1096">
        <f>'Grid_Stock'!BW39</f>
        <v/>
      </c>
      <c r="BZ1096">
        <f>'Grid_Stock'!BX39</f>
        <v/>
      </c>
      <c r="CA1096">
        <f>'Grid_Stock'!BY39</f>
        <v/>
      </c>
      <c r="CB1096">
        <f>'Grid_Stock'!BZ39</f>
        <v/>
      </c>
      <c r="CC1096">
        <f>'Grid_Stock'!CA39</f>
        <v/>
      </c>
      <c r="CD1096">
        <f>'Grid_Stock'!CB39</f>
        <v/>
      </c>
      <c r="CE1096">
        <f>'Grid_Stock'!CC39</f>
        <v/>
      </c>
      <c r="CF1096">
        <f>'Grid_Stock'!CD39</f>
        <v/>
      </c>
      <c r="CG1096">
        <f>'Grid_Stock'!CE39</f>
        <v/>
      </c>
      <c r="CH1096">
        <f>'Grid_Stock'!CF39</f>
        <v/>
      </c>
      <c r="CI1096">
        <f>'Grid_Stock'!CG39</f>
        <v/>
      </c>
      <c r="CJ1096">
        <f>'Grid_Stock'!CH39</f>
        <v/>
      </c>
      <c r="CK1096">
        <f>'Grid_Stock'!CI39</f>
        <v/>
      </c>
      <c r="CL1096">
        <f>'Grid_Stock'!CJ39</f>
        <v/>
      </c>
      <c r="CM1096">
        <f>'Grid_Stock'!CK39</f>
        <v/>
      </c>
      <c r="CN1096">
        <f>'Grid_Stock'!CL39</f>
        <v/>
      </c>
      <c r="CO1096">
        <f>'Grid_Stock'!CM39</f>
        <v/>
      </c>
      <c r="CP1096">
        <f>'Grid_Stock'!CN39</f>
        <v/>
      </c>
      <c r="CQ1096">
        <f>'Grid_Stock'!CO39</f>
        <v/>
      </c>
      <c r="CR1096">
        <f>'Grid_Stock'!CP39</f>
        <v/>
      </c>
      <c r="CS1096">
        <f>'Grid_Stock'!CQ39</f>
        <v/>
      </c>
      <c r="CT1096">
        <f>'Grid_Stock'!CR39</f>
        <v/>
      </c>
      <c r="CU1096">
        <f>'Grid_Stock'!CS39</f>
        <v/>
      </c>
      <c r="CV1096">
        <f>'Grid_Stock'!CT39</f>
        <v/>
      </c>
      <c r="CW1096">
        <f>'Grid_Stock'!CU39</f>
        <v/>
      </c>
      <c r="CX1096">
        <f>'Grid_Stock'!CV39</f>
        <v/>
      </c>
      <c r="CY1096">
        <f>'Grid_Stock'!CW39</f>
        <v/>
      </c>
      <c r="CZ1096">
        <f>'Grid_Stock'!CX39</f>
        <v/>
      </c>
      <c r="DA1096">
        <f>'Grid_Stock'!CY39</f>
        <v/>
      </c>
      <c r="DB1096">
        <f>'Grid_Stock'!CZ39</f>
        <v/>
      </c>
      <c r="DC1096">
        <f>'Grid_Stock'!DA39</f>
        <v/>
      </c>
    </row>
    <row r="1097">
      <c r="B1097" s="21" t="inlineStr">
        <is>
          <t>（発注の目安はDashboardの基準在庫[下限/上限]と色分けを参照）</t>
        </is>
      </c>
    </row>
    <row r="1099">
      <c r="A1099" s="19" t="inlineStr">
        <is>
          <t>CHEM-1820</t>
        </is>
      </c>
      <c r="B1099" s="19" t="inlineStr">
        <is>
          <t>JCK-472</t>
        </is>
      </c>
      <c r="C1099" s="20" t="n"/>
      <c r="D1099" s="19" t="n"/>
      <c r="E1099" s="19" t="n"/>
      <c r="F1099" s="19" t="n"/>
      <c r="G1099" s="19" t="n"/>
      <c r="H1099" s="19" t="n"/>
      <c r="I1099" s="19" t="n"/>
      <c r="J1099" s="19" t="n"/>
      <c r="K1099" s="19" t="n"/>
      <c r="L1099" s="19" t="n"/>
      <c r="M1099" s="19" t="n"/>
      <c r="N1099" s="19" t="n"/>
      <c r="O1099" s="19" t="n"/>
      <c r="P1099" s="19" t="n"/>
      <c r="Q1099" s="19" t="n"/>
      <c r="R1099" s="19" t="n"/>
      <c r="S1099" s="19" t="n"/>
      <c r="T1099" s="19" t="n"/>
      <c r="U1099" s="19" t="n"/>
      <c r="V1099" s="19" t="n"/>
      <c r="W1099" s="19" t="n"/>
      <c r="X1099" s="19" t="n"/>
      <c r="Y1099" s="19" t="n"/>
      <c r="Z1099" s="19" t="n"/>
      <c r="AA1099" s="19" t="n"/>
      <c r="AB1099" s="19" t="n"/>
      <c r="AC1099" s="19" t="n"/>
      <c r="AD1099" s="19" t="n"/>
      <c r="AE1099" s="19" t="n"/>
      <c r="AF1099" s="19" t="n"/>
      <c r="AG1099" s="19" t="n"/>
      <c r="AH1099" s="19" t="n"/>
      <c r="AI1099" s="19" t="n"/>
      <c r="AJ1099" s="19" t="n"/>
      <c r="AK1099" s="19" t="n"/>
      <c r="AL1099" s="19" t="n"/>
      <c r="AM1099" s="19" t="n"/>
      <c r="AN1099" s="19" t="n"/>
      <c r="AO1099" s="19" t="n"/>
      <c r="AP1099" s="19" t="n"/>
      <c r="AQ1099" s="19" t="n"/>
      <c r="AR1099" s="19" t="n"/>
      <c r="AS1099" s="19" t="n"/>
      <c r="AT1099" s="19" t="n"/>
      <c r="AU1099" s="19" t="n"/>
      <c r="AV1099" s="19" t="n"/>
      <c r="AW1099" s="19" t="n"/>
      <c r="AX1099" s="19" t="n"/>
      <c r="AY1099" s="19" t="n"/>
      <c r="AZ1099" s="19" t="n"/>
      <c r="BA1099" s="19" t="n"/>
      <c r="BB1099" s="19" t="n"/>
      <c r="BC1099" s="19" t="n"/>
      <c r="BD1099" s="19" t="n"/>
      <c r="BE1099" s="19" t="n"/>
      <c r="BF1099" s="19" t="n"/>
      <c r="BG1099" s="19" t="n"/>
      <c r="BH1099" s="19" t="n"/>
      <c r="BI1099" s="19" t="n"/>
      <c r="BJ1099" s="19" t="n"/>
      <c r="BK1099" s="19" t="n"/>
      <c r="BL1099" s="19" t="n"/>
      <c r="BM1099" s="19" t="n"/>
      <c r="BN1099" s="19" t="n"/>
      <c r="BO1099" s="19" t="n"/>
      <c r="BP1099" s="19" t="n"/>
      <c r="BQ1099" s="19" t="n"/>
      <c r="BR1099" s="19" t="n"/>
      <c r="BS1099" s="19" t="n"/>
      <c r="BT1099" s="19" t="n"/>
      <c r="BU1099" s="19" t="n"/>
      <c r="BV1099" s="19" t="n"/>
      <c r="BW1099" s="19" t="n"/>
      <c r="BX1099" s="19" t="n"/>
      <c r="BY1099" s="19" t="n"/>
      <c r="BZ1099" s="19" t="n"/>
      <c r="CA1099" s="19" t="n"/>
      <c r="CB1099" s="19" t="n"/>
      <c r="CC1099" s="19" t="n"/>
      <c r="CD1099" s="19" t="n"/>
      <c r="CE1099" s="19" t="n"/>
      <c r="CF1099" s="19" t="n"/>
      <c r="CG1099" s="19" t="n"/>
      <c r="CH1099" s="19" t="n"/>
      <c r="CI1099" s="19" t="n"/>
      <c r="CJ1099" s="19" t="n"/>
      <c r="CK1099" s="19" t="n"/>
      <c r="CL1099" s="19" t="n"/>
      <c r="CM1099" s="19" t="n"/>
      <c r="CN1099" s="19" t="n"/>
      <c r="CO1099" s="19" t="n"/>
      <c r="CP1099" s="19" t="n"/>
      <c r="CQ1099" s="19" t="n"/>
      <c r="CR1099" s="19" t="n"/>
      <c r="CS1099" s="19" t="n"/>
      <c r="CT1099" s="19" t="n"/>
      <c r="CU1099" s="19" t="n"/>
      <c r="CV1099" s="19" t="n"/>
      <c r="CW1099" s="19" t="n"/>
      <c r="CX1099" s="19" t="n"/>
      <c r="CY1099" s="19" t="n"/>
      <c r="CZ1099" s="19" t="n"/>
      <c r="DA1099" s="19" t="n"/>
      <c r="DB1099" s="19" t="n"/>
      <c r="DC1099" s="19" t="n"/>
    </row>
    <row r="1100">
      <c r="B1100" t="inlineStr">
        <is>
          <t>TPP-1459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Name],$A1099)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TPP-1466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Name],$A1099)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TSP-219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Name],$A1099)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9" t="inlineStr">
        <is>
          <t>合計使用量(kg)/週</t>
        </is>
      </c>
      <c r="D1106">
        <f>'Grid_Requirement'!B28</f>
        <v/>
      </c>
      <c r="E1106">
        <f>'Grid_Requirement'!C28</f>
        <v/>
      </c>
      <c r="F1106">
        <f>'Grid_Requirement'!D28</f>
        <v/>
      </c>
      <c r="G1106">
        <f>'Grid_Requirement'!E28</f>
        <v/>
      </c>
      <c r="H1106">
        <f>'Grid_Requirement'!F28</f>
        <v/>
      </c>
      <c r="I1106">
        <f>'Grid_Requirement'!G28</f>
        <v/>
      </c>
      <c r="J1106">
        <f>'Grid_Requirement'!H28</f>
        <v/>
      </c>
      <c r="K1106">
        <f>'Grid_Requirement'!I28</f>
        <v/>
      </c>
      <c r="L1106">
        <f>'Grid_Requirement'!J28</f>
        <v/>
      </c>
      <c r="M1106">
        <f>'Grid_Requirement'!K28</f>
        <v/>
      </c>
      <c r="N1106">
        <f>'Grid_Requirement'!L28</f>
        <v/>
      </c>
      <c r="O1106">
        <f>'Grid_Requirement'!M28</f>
        <v/>
      </c>
      <c r="P1106">
        <f>'Grid_Requirement'!N28</f>
        <v/>
      </c>
      <c r="Q1106">
        <f>'Grid_Requirement'!O28</f>
        <v/>
      </c>
      <c r="R1106">
        <f>'Grid_Requirement'!P28</f>
        <v/>
      </c>
      <c r="S1106">
        <f>'Grid_Requirement'!Q28</f>
        <v/>
      </c>
      <c r="T1106">
        <f>'Grid_Requirement'!R28</f>
        <v/>
      </c>
      <c r="U1106">
        <f>'Grid_Requirement'!S28</f>
        <v/>
      </c>
      <c r="V1106">
        <f>'Grid_Requirement'!T28</f>
        <v/>
      </c>
      <c r="W1106">
        <f>'Grid_Requirement'!U28</f>
        <v/>
      </c>
      <c r="X1106">
        <f>'Grid_Requirement'!V28</f>
        <v/>
      </c>
      <c r="Y1106">
        <f>'Grid_Requirement'!W28</f>
        <v/>
      </c>
      <c r="Z1106">
        <f>'Grid_Requirement'!X28</f>
        <v/>
      </c>
      <c r="AA1106">
        <f>'Grid_Requirement'!Y28</f>
        <v/>
      </c>
      <c r="AB1106">
        <f>'Grid_Requirement'!Z28</f>
        <v/>
      </c>
      <c r="AC1106">
        <f>'Grid_Requirement'!AA28</f>
        <v/>
      </c>
      <c r="AD1106">
        <f>'Grid_Requirement'!AB28</f>
        <v/>
      </c>
      <c r="AE1106">
        <f>'Grid_Requirement'!AC28</f>
        <v/>
      </c>
      <c r="AF1106">
        <f>'Grid_Requirement'!AD28</f>
        <v/>
      </c>
      <c r="AG1106">
        <f>'Grid_Requirement'!AE28</f>
        <v/>
      </c>
      <c r="AH1106">
        <f>'Grid_Requirement'!AF28</f>
        <v/>
      </c>
      <c r="AI1106">
        <f>'Grid_Requirement'!AG28</f>
        <v/>
      </c>
      <c r="AJ1106">
        <f>'Grid_Requirement'!AH28</f>
        <v/>
      </c>
      <c r="AK1106">
        <f>'Grid_Requirement'!AI28</f>
        <v/>
      </c>
      <c r="AL1106">
        <f>'Grid_Requirement'!AJ28</f>
        <v/>
      </c>
      <c r="AM1106">
        <f>'Grid_Requirement'!AK28</f>
        <v/>
      </c>
      <c r="AN1106">
        <f>'Grid_Requirement'!AL28</f>
        <v/>
      </c>
      <c r="AO1106">
        <f>'Grid_Requirement'!AM28</f>
        <v/>
      </c>
      <c r="AP1106">
        <f>'Grid_Requirement'!AN28</f>
        <v/>
      </c>
      <c r="AQ1106">
        <f>'Grid_Requirement'!AO28</f>
        <v/>
      </c>
      <c r="AR1106">
        <f>'Grid_Requirement'!AP28</f>
        <v/>
      </c>
      <c r="AS1106">
        <f>'Grid_Requirement'!AQ28</f>
        <v/>
      </c>
      <c r="AT1106">
        <f>'Grid_Requirement'!AR28</f>
        <v/>
      </c>
      <c r="AU1106">
        <f>'Grid_Requirement'!AS28</f>
        <v/>
      </c>
      <c r="AV1106">
        <f>'Grid_Requirement'!AT28</f>
        <v/>
      </c>
      <c r="AW1106">
        <f>'Grid_Requirement'!AU28</f>
        <v/>
      </c>
      <c r="AX1106">
        <f>'Grid_Requirement'!AV28</f>
        <v/>
      </c>
      <c r="AY1106">
        <f>'Grid_Requirement'!AW28</f>
        <v/>
      </c>
      <c r="AZ1106">
        <f>'Grid_Requirement'!AX28</f>
        <v/>
      </c>
      <c r="BA1106">
        <f>'Grid_Requirement'!AY28</f>
        <v/>
      </c>
      <c r="BB1106">
        <f>'Grid_Requirement'!AZ28</f>
        <v/>
      </c>
      <c r="BC1106">
        <f>'Grid_Requirement'!BA28</f>
        <v/>
      </c>
      <c r="BD1106">
        <f>'Grid_Requirement'!BB28</f>
        <v/>
      </c>
      <c r="BE1106">
        <f>'Grid_Requirement'!BC28</f>
        <v/>
      </c>
      <c r="BF1106">
        <f>'Grid_Requirement'!BD28</f>
        <v/>
      </c>
      <c r="BG1106">
        <f>'Grid_Requirement'!BE28</f>
        <v/>
      </c>
      <c r="BH1106">
        <f>'Grid_Requirement'!BF28</f>
        <v/>
      </c>
      <c r="BI1106">
        <f>'Grid_Requirement'!BG28</f>
        <v/>
      </c>
      <c r="BJ1106">
        <f>'Grid_Requirement'!BH28</f>
        <v/>
      </c>
      <c r="BK1106">
        <f>'Grid_Requirement'!BI28</f>
        <v/>
      </c>
      <c r="BL1106">
        <f>'Grid_Requirement'!BJ28</f>
        <v/>
      </c>
      <c r="BM1106">
        <f>'Grid_Requirement'!BK28</f>
        <v/>
      </c>
      <c r="BN1106">
        <f>'Grid_Requirement'!BL28</f>
        <v/>
      </c>
      <c r="BO1106">
        <f>'Grid_Requirement'!BM28</f>
        <v/>
      </c>
      <c r="BP1106">
        <f>'Grid_Requirement'!BN28</f>
        <v/>
      </c>
      <c r="BQ1106">
        <f>'Grid_Requirement'!BO28</f>
        <v/>
      </c>
      <c r="BR1106">
        <f>'Grid_Requirement'!BP28</f>
        <v/>
      </c>
      <c r="BS1106">
        <f>'Grid_Requirement'!BQ28</f>
        <v/>
      </c>
      <c r="BT1106">
        <f>'Grid_Requirement'!BR28</f>
        <v/>
      </c>
      <c r="BU1106">
        <f>'Grid_Requirement'!BS28</f>
        <v/>
      </c>
      <c r="BV1106">
        <f>'Grid_Requirement'!BT28</f>
        <v/>
      </c>
      <c r="BW1106">
        <f>'Grid_Requirement'!BU28</f>
        <v/>
      </c>
      <c r="BX1106">
        <f>'Grid_Requirement'!BV28</f>
        <v/>
      </c>
      <c r="BY1106">
        <f>'Grid_Requirement'!BW28</f>
        <v/>
      </c>
      <c r="BZ1106">
        <f>'Grid_Requirement'!BX28</f>
        <v/>
      </c>
      <c r="CA1106">
        <f>'Grid_Requirement'!BY28</f>
        <v/>
      </c>
      <c r="CB1106">
        <f>'Grid_Requirement'!BZ28</f>
        <v/>
      </c>
      <c r="CC1106">
        <f>'Grid_Requirement'!CA28</f>
        <v/>
      </c>
      <c r="CD1106">
        <f>'Grid_Requirement'!CB28</f>
        <v/>
      </c>
      <c r="CE1106">
        <f>'Grid_Requirement'!CC28</f>
        <v/>
      </c>
      <c r="CF1106">
        <f>'Grid_Requirement'!CD28</f>
        <v/>
      </c>
      <c r="CG1106">
        <f>'Grid_Requirement'!CE28</f>
        <v/>
      </c>
      <c r="CH1106">
        <f>'Grid_Requirement'!CF28</f>
        <v/>
      </c>
      <c r="CI1106">
        <f>'Grid_Requirement'!CG28</f>
        <v/>
      </c>
      <c r="CJ1106">
        <f>'Grid_Requirement'!CH28</f>
        <v/>
      </c>
      <c r="CK1106">
        <f>'Grid_Requirement'!CI28</f>
        <v/>
      </c>
      <c r="CL1106">
        <f>'Grid_Requirement'!CJ28</f>
        <v/>
      </c>
      <c r="CM1106">
        <f>'Grid_Requirement'!CK28</f>
        <v/>
      </c>
      <c r="CN1106">
        <f>'Grid_Requirement'!CL28</f>
        <v/>
      </c>
      <c r="CO1106">
        <f>'Grid_Requirement'!CM28</f>
        <v/>
      </c>
      <c r="CP1106">
        <f>'Grid_Requirement'!CN28</f>
        <v/>
      </c>
      <c r="CQ1106">
        <f>'Grid_Requirement'!CO28</f>
        <v/>
      </c>
      <c r="CR1106">
        <f>'Grid_Requirement'!CP28</f>
        <v/>
      </c>
      <c r="CS1106">
        <f>'Grid_Requirement'!CQ28</f>
        <v/>
      </c>
      <c r="CT1106">
        <f>'Grid_Requirement'!CR28</f>
        <v/>
      </c>
      <c r="CU1106">
        <f>'Grid_Requirement'!CS28</f>
        <v/>
      </c>
      <c r="CV1106">
        <f>'Grid_Requirement'!CT28</f>
        <v/>
      </c>
      <c r="CW1106">
        <f>'Grid_Requirement'!CU28</f>
        <v/>
      </c>
      <c r="CX1106">
        <f>'Grid_Requirement'!CV28</f>
        <v/>
      </c>
      <c r="CY1106">
        <f>'Grid_Requirement'!CW28</f>
        <v/>
      </c>
      <c r="CZ1106">
        <f>'Grid_Requirement'!CX28</f>
        <v/>
      </c>
      <c r="DA1106">
        <f>'Grid_Requirement'!CY28</f>
        <v/>
      </c>
      <c r="DB1106">
        <f>'Grid_Requirement'!CZ28</f>
        <v/>
      </c>
      <c r="DC1106">
        <f>'Grid_Requirement'!DA28</f>
        <v/>
      </c>
    </row>
    <row r="1107">
      <c r="B1107" t="inlineStr">
        <is>
          <t>TTAF在庫(実績,kg)</t>
        </is>
      </c>
      <c r="D1107">
        <f>'T_TTAFStock'!B32</f>
        <v/>
      </c>
      <c r="E1107">
        <f>'T_TTAFStock'!C32</f>
        <v/>
      </c>
      <c r="F1107">
        <f>'T_TTAFStock'!D32</f>
        <v/>
      </c>
      <c r="G1107">
        <f>'T_TTAFStock'!E32</f>
        <v/>
      </c>
      <c r="H1107">
        <f>'T_TTAFStock'!F32</f>
        <v/>
      </c>
      <c r="I1107">
        <f>'T_TTAFStock'!G32</f>
        <v/>
      </c>
      <c r="J1107">
        <f>'T_TTAFStock'!H32</f>
        <v/>
      </c>
      <c r="K1107">
        <f>'T_TTAFStock'!I32</f>
        <v/>
      </c>
      <c r="L1107">
        <f>'T_TTAFStock'!J32</f>
        <v/>
      </c>
      <c r="M1107">
        <f>'T_TTAFStock'!K32</f>
        <v/>
      </c>
      <c r="N1107">
        <f>'T_TTAFStock'!L32</f>
        <v/>
      </c>
      <c r="O1107">
        <f>'T_TTAFStock'!M32</f>
        <v/>
      </c>
      <c r="P1107">
        <f>'T_TTAFStock'!N32</f>
        <v/>
      </c>
      <c r="Q1107">
        <f>'T_TTAFStock'!O32</f>
        <v/>
      </c>
      <c r="R1107">
        <f>'T_TTAFStock'!P32</f>
        <v/>
      </c>
      <c r="S1107">
        <f>'T_TTAFStock'!Q32</f>
        <v/>
      </c>
      <c r="T1107">
        <f>'T_TTAFStock'!R32</f>
        <v/>
      </c>
      <c r="U1107">
        <f>'T_TTAFStock'!S32</f>
        <v/>
      </c>
      <c r="V1107">
        <f>'T_TTAFStock'!T32</f>
        <v/>
      </c>
      <c r="W1107">
        <f>'T_TTAFStock'!U32</f>
        <v/>
      </c>
      <c r="X1107">
        <f>'T_TTAFStock'!V32</f>
        <v/>
      </c>
      <c r="Y1107">
        <f>'T_TTAFStock'!W32</f>
        <v/>
      </c>
      <c r="Z1107">
        <f>'T_TTAFStock'!X32</f>
        <v/>
      </c>
      <c r="AA1107">
        <f>'T_TTAFStock'!Y32</f>
        <v/>
      </c>
      <c r="AB1107">
        <f>'T_TTAFStock'!Z32</f>
        <v/>
      </c>
      <c r="AC1107">
        <f>'T_TTAFStock'!AA32</f>
        <v/>
      </c>
      <c r="AD1107">
        <f>'T_TTAFStock'!AB32</f>
        <v/>
      </c>
      <c r="AE1107">
        <f>'T_TTAFStock'!AC32</f>
        <v/>
      </c>
      <c r="AF1107">
        <f>'T_TTAFStock'!AD32</f>
        <v/>
      </c>
      <c r="AG1107">
        <f>'T_TTAFStock'!AE32</f>
        <v/>
      </c>
      <c r="AH1107">
        <f>'T_TTAFStock'!AF32</f>
        <v/>
      </c>
      <c r="AI1107">
        <f>'T_TTAFStock'!AG32</f>
        <v/>
      </c>
      <c r="AJ1107">
        <f>'T_TTAFStock'!AH32</f>
        <v/>
      </c>
      <c r="AK1107">
        <f>'T_TTAFStock'!AI32</f>
        <v/>
      </c>
      <c r="AL1107">
        <f>'T_TTAFStock'!AJ32</f>
        <v/>
      </c>
      <c r="AM1107">
        <f>'T_TTAFStock'!AK32</f>
        <v/>
      </c>
      <c r="AN1107">
        <f>'T_TTAFStock'!AL32</f>
        <v/>
      </c>
      <c r="AO1107">
        <f>'T_TTAFStock'!AM32</f>
        <v/>
      </c>
      <c r="AP1107">
        <f>'T_TTAFStock'!AN32</f>
        <v/>
      </c>
      <c r="AQ1107">
        <f>'T_TTAFStock'!AO32</f>
        <v/>
      </c>
      <c r="AR1107">
        <f>'T_TTAFStock'!AP32</f>
        <v/>
      </c>
      <c r="AS1107">
        <f>'T_TTAFStock'!AQ32</f>
        <v/>
      </c>
      <c r="AT1107">
        <f>'T_TTAFStock'!AR32</f>
        <v/>
      </c>
      <c r="AU1107">
        <f>'T_TTAFStock'!AS32</f>
        <v/>
      </c>
      <c r="AV1107">
        <f>'T_TTAFStock'!AT32</f>
        <v/>
      </c>
      <c r="AW1107">
        <f>'T_TTAFStock'!AU32</f>
        <v/>
      </c>
      <c r="AX1107">
        <f>'T_TTAFStock'!AV32</f>
        <v/>
      </c>
      <c r="AY1107">
        <f>'T_TTAFStock'!AW32</f>
        <v/>
      </c>
      <c r="AZ1107">
        <f>'T_TTAFStock'!AX32</f>
        <v/>
      </c>
      <c r="BA1107">
        <f>'T_TTAFStock'!AY32</f>
        <v/>
      </c>
      <c r="BB1107">
        <f>'T_TTAFStock'!AZ32</f>
        <v/>
      </c>
      <c r="BC1107">
        <f>'T_TTAFStock'!BA32</f>
        <v/>
      </c>
      <c r="BD1107">
        <f>'T_TTAFStock'!BB32</f>
        <v/>
      </c>
      <c r="BE1107">
        <f>'T_TTAFStock'!BC32</f>
        <v/>
      </c>
      <c r="BF1107">
        <f>'T_TTAFStock'!BD32</f>
        <v/>
      </c>
      <c r="BG1107">
        <f>'T_TTAFStock'!BE32</f>
        <v/>
      </c>
      <c r="BH1107">
        <f>'T_TTAFStock'!BF32</f>
        <v/>
      </c>
      <c r="BI1107">
        <f>'T_TTAFStock'!BG32</f>
        <v/>
      </c>
      <c r="BJ1107">
        <f>'T_TTAFStock'!BH32</f>
        <v/>
      </c>
      <c r="BK1107">
        <f>'T_TTAFStock'!BI32</f>
        <v/>
      </c>
      <c r="BL1107">
        <f>'T_TTAFStock'!BJ32</f>
        <v/>
      </c>
      <c r="BM1107">
        <f>'T_TTAFStock'!BK32</f>
        <v/>
      </c>
      <c r="BN1107">
        <f>'T_TTAFStock'!BL32</f>
        <v/>
      </c>
      <c r="BO1107">
        <f>'T_TTAFStock'!BM32</f>
        <v/>
      </c>
      <c r="BP1107">
        <f>'T_TTAFStock'!BN32</f>
        <v/>
      </c>
      <c r="BQ1107">
        <f>'T_TTAFStock'!BO32</f>
        <v/>
      </c>
      <c r="BR1107">
        <f>'T_TTAFStock'!BP32</f>
        <v/>
      </c>
      <c r="BS1107">
        <f>'T_TTAFStock'!BQ32</f>
        <v/>
      </c>
      <c r="BT1107">
        <f>'T_TTAFStock'!BR32</f>
        <v/>
      </c>
      <c r="BU1107">
        <f>'T_TTAFStock'!BS32</f>
        <v/>
      </c>
      <c r="BV1107">
        <f>'T_TTAFStock'!BT32</f>
        <v/>
      </c>
      <c r="BW1107">
        <f>'T_TTAFStock'!BU32</f>
        <v/>
      </c>
      <c r="BX1107">
        <f>'T_TTAFStock'!BV32</f>
        <v/>
      </c>
      <c r="BY1107">
        <f>'T_TTAFStock'!BW32</f>
        <v/>
      </c>
      <c r="BZ1107">
        <f>'T_TTAFStock'!BX32</f>
        <v/>
      </c>
      <c r="CA1107">
        <f>'T_TTAFStock'!BY32</f>
        <v/>
      </c>
      <c r="CB1107">
        <f>'T_TTAFStock'!BZ32</f>
        <v/>
      </c>
      <c r="CC1107">
        <f>'T_TTAFStock'!CA32</f>
        <v/>
      </c>
      <c r="CD1107">
        <f>'T_TTAFStock'!CB32</f>
        <v/>
      </c>
      <c r="CE1107">
        <f>'T_TTAFStock'!CC32</f>
        <v/>
      </c>
      <c r="CF1107">
        <f>'T_TTAFStock'!CD32</f>
        <v/>
      </c>
      <c r="CG1107">
        <f>'T_TTAFStock'!CE32</f>
        <v/>
      </c>
      <c r="CH1107">
        <f>'T_TTAFStock'!CF32</f>
        <v/>
      </c>
      <c r="CI1107">
        <f>'T_TTAFStock'!CG32</f>
        <v/>
      </c>
      <c r="CJ1107">
        <f>'T_TTAFStock'!CH32</f>
        <v/>
      </c>
      <c r="CK1107">
        <f>'T_TTAFStock'!CI32</f>
        <v/>
      </c>
      <c r="CL1107">
        <f>'T_TTAFStock'!CJ32</f>
        <v/>
      </c>
      <c r="CM1107">
        <f>'T_TTAFStock'!CK32</f>
        <v/>
      </c>
      <c r="CN1107">
        <f>'T_TTAFStock'!CL32</f>
        <v/>
      </c>
      <c r="CO1107">
        <f>'T_TTAFStock'!CM32</f>
        <v/>
      </c>
      <c r="CP1107">
        <f>'T_TTAFStock'!CN32</f>
        <v/>
      </c>
      <c r="CQ1107">
        <f>'T_TTAFStock'!CO32</f>
        <v/>
      </c>
      <c r="CR1107">
        <f>'T_TTAFStock'!CP32</f>
        <v/>
      </c>
      <c r="CS1107">
        <f>'T_TTAFStock'!CQ32</f>
        <v/>
      </c>
      <c r="CT1107">
        <f>'T_TTAFStock'!CR32</f>
        <v/>
      </c>
      <c r="CU1107">
        <f>'T_TTAFStock'!CS32</f>
        <v/>
      </c>
      <c r="CV1107">
        <f>'T_TTAFStock'!CT32</f>
        <v/>
      </c>
      <c r="CW1107">
        <f>'T_TTAFStock'!CU32</f>
        <v/>
      </c>
      <c r="CX1107">
        <f>'T_TTAFStock'!CV32</f>
        <v/>
      </c>
      <c r="CY1107">
        <f>'T_TTAFStock'!CW32</f>
        <v/>
      </c>
      <c r="CZ1107">
        <f>'T_TTAFStock'!CX32</f>
        <v/>
      </c>
      <c r="DA1107">
        <f>'T_TTAFStock'!CY32</f>
        <v/>
      </c>
      <c r="DB1107">
        <f>'T_TTAFStock'!CZ32</f>
        <v/>
      </c>
      <c r="DC1107">
        <f>'T_TTAFStock'!DA32</f>
        <v/>
      </c>
    </row>
    <row r="1108">
      <c r="B1108" t="inlineStr">
        <is>
          <t>自社在庫(実績,kg)</t>
        </is>
      </c>
      <c r="D1108">
        <f>'T_SelfStock'!B32</f>
        <v/>
      </c>
      <c r="E1108">
        <f>'T_SelfStock'!C32</f>
        <v/>
      </c>
      <c r="F1108">
        <f>'T_SelfStock'!D32</f>
        <v/>
      </c>
      <c r="G1108">
        <f>'T_SelfStock'!E32</f>
        <v/>
      </c>
      <c r="H1108">
        <f>'T_SelfStock'!F32</f>
        <v/>
      </c>
      <c r="I1108">
        <f>'T_SelfStock'!G32</f>
        <v/>
      </c>
      <c r="J1108">
        <f>'T_SelfStock'!H32</f>
        <v/>
      </c>
      <c r="K1108">
        <f>'T_SelfStock'!I32</f>
        <v/>
      </c>
      <c r="L1108">
        <f>'T_SelfStock'!J32</f>
        <v/>
      </c>
      <c r="M1108">
        <f>'T_SelfStock'!K32</f>
        <v/>
      </c>
      <c r="N1108">
        <f>'T_SelfStock'!L32</f>
        <v/>
      </c>
      <c r="O1108">
        <f>'T_SelfStock'!M32</f>
        <v/>
      </c>
      <c r="P1108">
        <f>'T_SelfStock'!N32</f>
        <v/>
      </c>
      <c r="Q1108">
        <f>'T_SelfStock'!O32</f>
        <v/>
      </c>
      <c r="R1108">
        <f>'T_SelfStock'!P32</f>
        <v/>
      </c>
      <c r="S1108">
        <f>'T_SelfStock'!Q32</f>
        <v/>
      </c>
      <c r="T1108">
        <f>'T_SelfStock'!R32</f>
        <v/>
      </c>
      <c r="U1108">
        <f>'T_SelfStock'!S32</f>
        <v/>
      </c>
      <c r="V1108">
        <f>'T_SelfStock'!T32</f>
        <v/>
      </c>
      <c r="W1108">
        <f>'T_SelfStock'!U32</f>
        <v/>
      </c>
      <c r="X1108">
        <f>'T_SelfStock'!V32</f>
        <v/>
      </c>
      <c r="Y1108">
        <f>'T_SelfStock'!W32</f>
        <v/>
      </c>
      <c r="Z1108">
        <f>'T_SelfStock'!X32</f>
        <v/>
      </c>
      <c r="AA1108">
        <f>'T_SelfStock'!Y32</f>
        <v/>
      </c>
      <c r="AB1108">
        <f>'T_SelfStock'!Z32</f>
        <v/>
      </c>
      <c r="AC1108">
        <f>'T_SelfStock'!AA32</f>
        <v/>
      </c>
      <c r="AD1108">
        <f>'T_SelfStock'!AB32</f>
        <v/>
      </c>
      <c r="AE1108">
        <f>'T_SelfStock'!AC32</f>
        <v/>
      </c>
      <c r="AF1108">
        <f>'T_SelfStock'!AD32</f>
        <v/>
      </c>
      <c r="AG1108">
        <f>'T_SelfStock'!AE32</f>
        <v/>
      </c>
      <c r="AH1108">
        <f>'T_SelfStock'!AF32</f>
        <v/>
      </c>
      <c r="AI1108">
        <f>'T_SelfStock'!AG32</f>
        <v/>
      </c>
      <c r="AJ1108">
        <f>'T_SelfStock'!AH32</f>
        <v/>
      </c>
      <c r="AK1108">
        <f>'T_SelfStock'!AI32</f>
        <v/>
      </c>
      <c r="AL1108">
        <f>'T_SelfStock'!AJ32</f>
        <v/>
      </c>
      <c r="AM1108">
        <f>'T_SelfStock'!AK32</f>
        <v/>
      </c>
      <c r="AN1108">
        <f>'T_SelfStock'!AL32</f>
        <v/>
      </c>
      <c r="AO1108">
        <f>'T_SelfStock'!AM32</f>
        <v/>
      </c>
      <c r="AP1108">
        <f>'T_SelfStock'!AN32</f>
        <v/>
      </c>
      <c r="AQ1108">
        <f>'T_SelfStock'!AO32</f>
        <v/>
      </c>
      <c r="AR1108">
        <f>'T_SelfStock'!AP32</f>
        <v/>
      </c>
      <c r="AS1108">
        <f>'T_SelfStock'!AQ32</f>
        <v/>
      </c>
      <c r="AT1108">
        <f>'T_SelfStock'!AR32</f>
        <v/>
      </c>
      <c r="AU1108">
        <f>'T_SelfStock'!AS32</f>
        <v/>
      </c>
      <c r="AV1108">
        <f>'T_SelfStock'!AT32</f>
        <v/>
      </c>
      <c r="AW1108">
        <f>'T_SelfStock'!AU32</f>
        <v/>
      </c>
      <c r="AX1108">
        <f>'T_SelfStock'!AV32</f>
        <v/>
      </c>
      <c r="AY1108">
        <f>'T_SelfStock'!AW32</f>
        <v/>
      </c>
      <c r="AZ1108">
        <f>'T_SelfStock'!AX32</f>
        <v/>
      </c>
      <c r="BA1108">
        <f>'T_SelfStock'!AY32</f>
        <v/>
      </c>
      <c r="BB1108">
        <f>'T_SelfStock'!AZ32</f>
        <v/>
      </c>
      <c r="BC1108">
        <f>'T_SelfStock'!BA32</f>
        <v/>
      </c>
      <c r="BD1108">
        <f>'T_SelfStock'!BB32</f>
        <v/>
      </c>
      <c r="BE1108">
        <f>'T_SelfStock'!BC32</f>
        <v/>
      </c>
      <c r="BF1108">
        <f>'T_SelfStock'!BD32</f>
        <v/>
      </c>
      <c r="BG1108">
        <f>'T_SelfStock'!BE32</f>
        <v/>
      </c>
      <c r="BH1108">
        <f>'T_SelfStock'!BF32</f>
        <v/>
      </c>
      <c r="BI1108">
        <f>'T_SelfStock'!BG32</f>
        <v/>
      </c>
      <c r="BJ1108">
        <f>'T_SelfStock'!BH32</f>
        <v/>
      </c>
      <c r="BK1108">
        <f>'T_SelfStock'!BI32</f>
        <v/>
      </c>
      <c r="BL1108">
        <f>'T_SelfStock'!BJ32</f>
        <v/>
      </c>
      <c r="BM1108">
        <f>'T_SelfStock'!BK32</f>
        <v/>
      </c>
      <c r="BN1108">
        <f>'T_SelfStock'!BL32</f>
        <v/>
      </c>
      <c r="BO1108">
        <f>'T_SelfStock'!BM32</f>
        <v/>
      </c>
      <c r="BP1108">
        <f>'T_SelfStock'!BN32</f>
        <v/>
      </c>
      <c r="BQ1108">
        <f>'T_SelfStock'!BO32</f>
        <v/>
      </c>
      <c r="BR1108">
        <f>'T_SelfStock'!BP32</f>
        <v/>
      </c>
      <c r="BS1108">
        <f>'T_SelfStock'!BQ32</f>
        <v/>
      </c>
      <c r="BT1108">
        <f>'T_SelfStock'!BR32</f>
        <v/>
      </c>
      <c r="BU1108">
        <f>'T_SelfStock'!BS32</f>
        <v/>
      </c>
      <c r="BV1108">
        <f>'T_SelfStock'!BT32</f>
        <v/>
      </c>
      <c r="BW1108">
        <f>'T_SelfStock'!BU32</f>
        <v/>
      </c>
      <c r="BX1108">
        <f>'T_SelfStock'!BV32</f>
        <v/>
      </c>
      <c r="BY1108">
        <f>'T_SelfStock'!BW32</f>
        <v/>
      </c>
      <c r="BZ1108">
        <f>'T_SelfStock'!BX32</f>
        <v/>
      </c>
      <c r="CA1108">
        <f>'T_SelfStock'!BY32</f>
        <v/>
      </c>
      <c r="CB1108">
        <f>'T_SelfStock'!BZ32</f>
        <v/>
      </c>
      <c r="CC1108">
        <f>'T_SelfStock'!CA32</f>
        <v/>
      </c>
      <c r="CD1108">
        <f>'T_SelfStock'!CB32</f>
        <v/>
      </c>
      <c r="CE1108">
        <f>'T_SelfStock'!CC32</f>
        <v/>
      </c>
      <c r="CF1108">
        <f>'T_SelfStock'!CD32</f>
        <v/>
      </c>
      <c r="CG1108">
        <f>'T_SelfStock'!CE32</f>
        <v/>
      </c>
      <c r="CH1108">
        <f>'T_SelfStock'!CF32</f>
        <v/>
      </c>
      <c r="CI1108">
        <f>'T_SelfStock'!CG32</f>
        <v/>
      </c>
      <c r="CJ1108">
        <f>'T_SelfStock'!CH32</f>
        <v/>
      </c>
      <c r="CK1108">
        <f>'T_SelfStock'!CI32</f>
        <v/>
      </c>
      <c r="CL1108">
        <f>'T_SelfStock'!CJ32</f>
        <v/>
      </c>
      <c r="CM1108">
        <f>'T_SelfStock'!CK32</f>
        <v/>
      </c>
      <c r="CN1108">
        <f>'T_SelfStock'!CL32</f>
        <v/>
      </c>
      <c r="CO1108">
        <f>'T_SelfStock'!CM32</f>
        <v/>
      </c>
      <c r="CP1108">
        <f>'T_SelfStock'!CN32</f>
        <v/>
      </c>
      <c r="CQ1108">
        <f>'T_SelfStock'!CO32</f>
        <v/>
      </c>
      <c r="CR1108">
        <f>'T_SelfStock'!CP32</f>
        <v/>
      </c>
      <c r="CS1108">
        <f>'T_SelfStock'!CQ32</f>
        <v/>
      </c>
      <c r="CT1108">
        <f>'T_SelfStock'!CR32</f>
        <v/>
      </c>
      <c r="CU1108">
        <f>'T_SelfStock'!CS32</f>
        <v/>
      </c>
      <c r="CV1108">
        <f>'T_SelfStock'!CT32</f>
        <v/>
      </c>
      <c r="CW1108">
        <f>'T_SelfStock'!CU32</f>
        <v/>
      </c>
      <c r="CX1108">
        <f>'T_SelfStock'!CV32</f>
        <v/>
      </c>
      <c r="CY1108">
        <f>'T_SelfStock'!CW32</f>
        <v/>
      </c>
      <c r="CZ1108">
        <f>'T_SelfStock'!CX32</f>
        <v/>
      </c>
      <c r="DA1108">
        <f>'T_SelfStock'!CY32</f>
        <v/>
      </c>
      <c r="DB1108">
        <f>'T_SelfStock'!CZ32</f>
        <v/>
      </c>
      <c r="DC1108">
        <f>'T_SelfStock'!DA32</f>
        <v/>
      </c>
    </row>
    <row r="1109">
      <c r="B1109" t="inlineStr">
        <is>
          <t>Order(発注予定,kg)</t>
        </is>
      </c>
      <c r="D1109">
        <f>IF(SUMIFS(T_PlannedOrders[EffectiveQty],T_PlannedOrders[Part Name],$A1099,T_PlannedOrders[WeekIndex],1)=0,"",SUMIFS(T_PlannedOrders[EffectiveQty],T_PlannedOrders[Part Name],$A1099,T_PlannedOrders[WeekIndex],1)&amp;" ("&amp;TEXT(SUMPRODUCT(MAX((T_PlannedOrders[Part Name]=$A1099)*(T_PlannedOrders[WeekIndex]=1)*(T_PlannedOrders[EffectiveQty]&gt;0)*T_PlannedOrders[Order_Month])),"m月")&amp;"発注)")</f>
        <v/>
      </c>
      <c r="E1109">
        <f>IF(SUMIFS(T_PlannedOrders[EffectiveQty],T_PlannedOrders[Part Name],$A1099,T_PlannedOrders[WeekIndex],2)=0,"",SUMIFS(T_PlannedOrders[EffectiveQty],T_PlannedOrders[Part Name],$A1099,T_PlannedOrders[WeekIndex],2)&amp;" ("&amp;TEXT(SUMPRODUCT(MAX((T_PlannedOrders[Part Name]=$A1099)*(T_PlannedOrders[WeekIndex]=2)*(T_PlannedOrders[EffectiveQty]&gt;0)*T_PlannedOrders[Order_Month])),"m月")&amp;"発注)")</f>
        <v/>
      </c>
      <c r="F1109">
        <f>IF(SUMIFS(T_PlannedOrders[EffectiveQty],T_PlannedOrders[Part Name],$A1099,T_PlannedOrders[WeekIndex],3)=0,"",SUMIFS(T_PlannedOrders[EffectiveQty],T_PlannedOrders[Part Name],$A1099,T_PlannedOrders[WeekIndex],3)&amp;" ("&amp;TEXT(SUMPRODUCT(MAX((T_PlannedOrders[Part Name]=$A1099)*(T_PlannedOrders[WeekIndex]=3)*(T_PlannedOrders[EffectiveQty]&gt;0)*T_PlannedOrders[Order_Month])),"m月")&amp;"発注)")</f>
        <v/>
      </c>
      <c r="G1109">
        <f>IF(SUMIFS(T_PlannedOrders[EffectiveQty],T_PlannedOrders[Part Name],$A1099,T_PlannedOrders[WeekIndex],4)=0,"",SUMIFS(T_PlannedOrders[EffectiveQty],T_PlannedOrders[Part Name],$A1099,T_PlannedOrders[WeekIndex],4)&amp;" ("&amp;TEXT(SUMPRODUCT(MAX((T_PlannedOrders[Part Name]=$A1099)*(T_PlannedOrders[WeekIndex]=4)*(T_PlannedOrders[EffectiveQty]&gt;0)*T_PlannedOrders[Order_Month])),"m月")&amp;"発注)")</f>
        <v/>
      </c>
      <c r="H1109">
        <f>IF(SUMIFS(T_PlannedOrders[EffectiveQty],T_PlannedOrders[Part Name],$A1099,T_PlannedOrders[WeekIndex],5)=0,"",SUMIFS(T_PlannedOrders[EffectiveQty],T_PlannedOrders[Part Name],$A1099,T_PlannedOrders[WeekIndex],5)&amp;" ("&amp;TEXT(SUMPRODUCT(MAX((T_PlannedOrders[Part Name]=$A1099)*(T_PlannedOrders[WeekIndex]=5)*(T_PlannedOrders[EffectiveQty]&gt;0)*T_PlannedOrders[Order_Month])),"m月")&amp;"発注)")</f>
        <v/>
      </c>
      <c r="I1109">
        <f>IF(SUMIFS(T_PlannedOrders[EffectiveQty],T_PlannedOrders[Part Name],$A1099,T_PlannedOrders[WeekIndex],6)=0,"",SUMIFS(T_PlannedOrders[EffectiveQty],T_PlannedOrders[Part Name],$A1099,T_PlannedOrders[WeekIndex],6)&amp;" ("&amp;TEXT(SUMPRODUCT(MAX((T_PlannedOrders[Part Name]=$A1099)*(T_PlannedOrders[WeekIndex]=6)*(T_PlannedOrders[EffectiveQty]&gt;0)*T_PlannedOrders[Order_Month])),"m月")&amp;"発注)")</f>
        <v/>
      </c>
      <c r="J1109">
        <f>IF(SUMIFS(T_PlannedOrders[EffectiveQty],T_PlannedOrders[Part Name],$A1099,T_PlannedOrders[WeekIndex],7)=0,"",SUMIFS(T_PlannedOrders[EffectiveQty],T_PlannedOrders[Part Name],$A1099,T_PlannedOrders[WeekIndex],7)&amp;" ("&amp;TEXT(SUMPRODUCT(MAX((T_PlannedOrders[Part Name]=$A1099)*(T_PlannedOrders[WeekIndex]=7)*(T_PlannedOrders[EffectiveQty]&gt;0)*T_PlannedOrders[Order_Month])),"m月")&amp;"発注)")</f>
        <v/>
      </c>
      <c r="K1109">
        <f>IF(SUMIFS(T_PlannedOrders[EffectiveQty],T_PlannedOrders[Part Name],$A1099,T_PlannedOrders[WeekIndex],8)=0,"",SUMIFS(T_PlannedOrders[EffectiveQty],T_PlannedOrders[Part Name],$A1099,T_PlannedOrders[WeekIndex],8)&amp;" ("&amp;TEXT(SUMPRODUCT(MAX((T_PlannedOrders[Part Name]=$A1099)*(T_PlannedOrders[WeekIndex]=8)*(T_PlannedOrders[EffectiveQty]&gt;0)*T_PlannedOrders[Order_Month])),"m月")&amp;"発注)")</f>
        <v/>
      </c>
      <c r="L1109">
        <f>IF(SUMIFS(T_PlannedOrders[EffectiveQty],T_PlannedOrders[Part Name],$A1099,T_PlannedOrders[WeekIndex],9)=0,"",SUMIFS(T_PlannedOrders[EffectiveQty],T_PlannedOrders[Part Name],$A1099,T_PlannedOrders[WeekIndex],9)&amp;" ("&amp;TEXT(SUMPRODUCT(MAX((T_PlannedOrders[Part Name]=$A1099)*(T_PlannedOrders[WeekIndex]=9)*(T_PlannedOrders[EffectiveQty]&gt;0)*T_PlannedOrders[Order_Month])),"m月")&amp;"発注)")</f>
        <v/>
      </c>
      <c r="M1109">
        <f>IF(SUMIFS(T_PlannedOrders[EffectiveQty],T_PlannedOrders[Part Name],$A1099,T_PlannedOrders[WeekIndex],10)=0,"",SUMIFS(T_PlannedOrders[EffectiveQty],T_PlannedOrders[Part Name],$A1099,T_PlannedOrders[WeekIndex],10)&amp;" ("&amp;TEXT(SUMPRODUCT(MAX((T_PlannedOrders[Part Name]=$A1099)*(T_PlannedOrders[WeekIndex]=10)*(T_PlannedOrders[EffectiveQty]&gt;0)*T_PlannedOrders[Order_Month])),"m月")&amp;"発注)")</f>
        <v/>
      </c>
      <c r="N1109">
        <f>IF(SUMIFS(T_PlannedOrders[EffectiveQty],T_PlannedOrders[Part Name],$A1099,T_PlannedOrders[WeekIndex],11)=0,"",SUMIFS(T_PlannedOrders[EffectiveQty],T_PlannedOrders[Part Name],$A1099,T_PlannedOrders[WeekIndex],11)&amp;" ("&amp;TEXT(SUMPRODUCT(MAX((T_PlannedOrders[Part Name]=$A1099)*(T_PlannedOrders[WeekIndex]=11)*(T_PlannedOrders[EffectiveQty]&gt;0)*T_PlannedOrders[Order_Month])),"m月")&amp;"発注)")</f>
        <v/>
      </c>
      <c r="O1109">
        <f>IF(SUMIFS(T_PlannedOrders[EffectiveQty],T_PlannedOrders[Part Name],$A1099,T_PlannedOrders[WeekIndex],12)=0,"",SUMIFS(T_PlannedOrders[EffectiveQty],T_PlannedOrders[Part Name],$A1099,T_PlannedOrders[WeekIndex],12)&amp;" ("&amp;TEXT(SUMPRODUCT(MAX((T_PlannedOrders[Part Name]=$A1099)*(T_PlannedOrders[WeekIndex]=12)*(T_PlannedOrders[EffectiveQty]&gt;0)*T_PlannedOrders[Order_Month])),"m月")&amp;"発注)")</f>
        <v/>
      </c>
      <c r="P1109">
        <f>IF(SUMIFS(T_PlannedOrders[EffectiveQty],T_PlannedOrders[Part Name],$A1099,T_PlannedOrders[WeekIndex],13)=0,"",SUMIFS(T_PlannedOrders[EffectiveQty],T_PlannedOrders[Part Name],$A1099,T_PlannedOrders[WeekIndex],13)&amp;" ("&amp;TEXT(SUMPRODUCT(MAX((T_PlannedOrders[Part Name]=$A1099)*(T_PlannedOrders[WeekIndex]=13)*(T_PlannedOrders[EffectiveQty]&gt;0)*T_PlannedOrders[Order_Month])),"m月")&amp;"発注)")</f>
        <v/>
      </c>
      <c r="Q1109">
        <f>IF(SUMIFS(T_PlannedOrders[EffectiveQty],T_PlannedOrders[Part Name],$A1099,T_PlannedOrders[WeekIndex],14)=0,"",SUMIFS(T_PlannedOrders[EffectiveQty],T_PlannedOrders[Part Name],$A1099,T_PlannedOrders[WeekIndex],14)&amp;" ("&amp;TEXT(SUMPRODUCT(MAX((T_PlannedOrders[Part Name]=$A1099)*(T_PlannedOrders[WeekIndex]=14)*(T_PlannedOrders[EffectiveQty]&gt;0)*T_PlannedOrders[Order_Month])),"m月")&amp;"発注)")</f>
        <v/>
      </c>
      <c r="R1109">
        <f>IF(SUMIFS(T_PlannedOrders[EffectiveQty],T_PlannedOrders[Part Name],$A1099,T_PlannedOrders[WeekIndex],15)=0,"",SUMIFS(T_PlannedOrders[EffectiveQty],T_PlannedOrders[Part Name],$A1099,T_PlannedOrders[WeekIndex],15)&amp;" ("&amp;TEXT(SUMPRODUCT(MAX((T_PlannedOrders[Part Name]=$A1099)*(T_PlannedOrders[WeekIndex]=15)*(T_PlannedOrders[EffectiveQty]&gt;0)*T_PlannedOrders[Order_Month])),"m月")&amp;"発注)")</f>
        <v/>
      </c>
      <c r="S1109">
        <f>IF(SUMIFS(T_PlannedOrders[EffectiveQty],T_PlannedOrders[Part Name],$A1099,T_PlannedOrders[WeekIndex],16)=0,"",SUMIFS(T_PlannedOrders[EffectiveQty],T_PlannedOrders[Part Name],$A1099,T_PlannedOrders[WeekIndex],16)&amp;" ("&amp;TEXT(SUMPRODUCT(MAX((T_PlannedOrders[Part Name]=$A1099)*(T_PlannedOrders[WeekIndex]=16)*(T_PlannedOrders[EffectiveQty]&gt;0)*T_PlannedOrders[Order_Month])),"m月")&amp;"発注)")</f>
        <v/>
      </c>
      <c r="T1109">
        <f>IF(SUMIFS(T_PlannedOrders[EffectiveQty],T_PlannedOrders[Part Name],$A1099,T_PlannedOrders[WeekIndex],17)=0,"",SUMIFS(T_PlannedOrders[EffectiveQty],T_PlannedOrders[Part Name],$A1099,T_PlannedOrders[WeekIndex],17)&amp;" ("&amp;TEXT(SUMPRODUCT(MAX((T_PlannedOrders[Part Name]=$A1099)*(T_PlannedOrders[WeekIndex]=17)*(T_PlannedOrders[EffectiveQty]&gt;0)*T_PlannedOrders[Order_Month])),"m月")&amp;"発注)")</f>
        <v/>
      </c>
      <c r="U1109">
        <f>IF(SUMIFS(T_PlannedOrders[EffectiveQty],T_PlannedOrders[Part Name],$A1099,T_PlannedOrders[WeekIndex],18)=0,"",SUMIFS(T_PlannedOrders[EffectiveQty],T_PlannedOrders[Part Name],$A1099,T_PlannedOrders[WeekIndex],18)&amp;" ("&amp;TEXT(SUMPRODUCT(MAX((T_PlannedOrders[Part Name]=$A1099)*(T_PlannedOrders[WeekIndex]=18)*(T_PlannedOrders[EffectiveQty]&gt;0)*T_PlannedOrders[Order_Month])),"m月")&amp;"発注)")</f>
        <v/>
      </c>
      <c r="V1109">
        <f>IF(SUMIFS(T_PlannedOrders[EffectiveQty],T_PlannedOrders[Part Name],$A1099,T_PlannedOrders[WeekIndex],19)=0,"",SUMIFS(T_PlannedOrders[EffectiveQty],T_PlannedOrders[Part Name],$A1099,T_PlannedOrders[WeekIndex],19)&amp;" ("&amp;TEXT(SUMPRODUCT(MAX((T_PlannedOrders[Part Name]=$A1099)*(T_PlannedOrders[WeekIndex]=19)*(T_PlannedOrders[EffectiveQty]&gt;0)*T_PlannedOrders[Order_Month])),"m月")&amp;"発注)")</f>
        <v/>
      </c>
      <c r="W1109">
        <f>IF(SUMIFS(T_PlannedOrders[EffectiveQty],T_PlannedOrders[Part Name],$A1099,T_PlannedOrders[WeekIndex],20)=0,"",SUMIFS(T_PlannedOrders[EffectiveQty],T_PlannedOrders[Part Name],$A1099,T_PlannedOrders[WeekIndex],20)&amp;" ("&amp;TEXT(SUMPRODUCT(MAX((T_PlannedOrders[Part Name]=$A1099)*(T_PlannedOrders[WeekIndex]=20)*(T_PlannedOrders[EffectiveQty]&gt;0)*T_PlannedOrders[Order_Month])),"m月")&amp;"発注)")</f>
        <v/>
      </c>
      <c r="X1109">
        <f>IF(SUMIFS(T_PlannedOrders[EffectiveQty],T_PlannedOrders[Part Name],$A1099,T_PlannedOrders[WeekIndex],21)=0,"",SUMIFS(T_PlannedOrders[EffectiveQty],T_PlannedOrders[Part Name],$A1099,T_PlannedOrders[WeekIndex],21)&amp;" ("&amp;TEXT(SUMPRODUCT(MAX((T_PlannedOrders[Part Name]=$A1099)*(T_PlannedOrders[WeekIndex]=21)*(T_PlannedOrders[EffectiveQty]&gt;0)*T_PlannedOrders[Order_Month])),"m月")&amp;"発注)")</f>
        <v/>
      </c>
      <c r="Y1109">
        <f>IF(SUMIFS(T_PlannedOrders[EffectiveQty],T_PlannedOrders[Part Name],$A1099,T_PlannedOrders[WeekIndex],22)=0,"",SUMIFS(T_PlannedOrders[EffectiveQty],T_PlannedOrders[Part Name],$A1099,T_PlannedOrders[WeekIndex],22)&amp;" ("&amp;TEXT(SUMPRODUCT(MAX((T_PlannedOrders[Part Name]=$A1099)*(T_PlannedOrders[WeekIndex]=22)*(T_PlannedOrders[EffectiveQty]&gt;0)*T_PlannedOrders[Order_Month])),"m月")&amp;"発注)")</f>
        <v/>
      </c>
      <c r="Z1109">
        <f>IF(SUMIFS(T_PlannedOrders[EffectiveQty],T_PlannedOrders[Part Name],$A1099,T_PlannedOrders[WeekIndex],23)=0,"",SUMIFS(T_PlannedOrders[EffectiveQty],T_PlannedOrders[Part Name],$A1099,T_PlannedOrders[WeekIndex],23)&amp;" ("&amp;TEXT(SUMPRODUCT(MAX((T_PlannedOrders[Part Name]=$A1099)*(T_PlannedOrders[WeekIndex]=23)*(T_PlannedOrders[EffectiveQty]&gt;0)*T_PlannedOrders[Order_Month])),"m月")&amp;"発注)")</f>
        <v/>
      </c>
      <c r="AA1109">
        <f>IF(SUMIFS(T_PlannedOrders[EffectiveQty],T_PlannedOrders[Part Name],$A1099,T_PlannedOrders[WeekIndex],24)=0,"",SUMIFS(T_PlannedOrders[EffectiveQty],T_PlannedOrders[Part Name],$A1099,T_PlannedOrders[WeekIndex],24)&amp;" ("&amp;TEXT(SUMPRODUCT(MAX((T_PlannedOrders[Part Name]=$A1099)*(T_PlannedOrders[WeekIndex]=24)*(T_PlannedOrders[EffectiveQty]&gt;0)*T_PlannedOrders[Order_Month])),"m月")&amp;"発注)")</f>
        <v/>
      </c>
      <c r="AB1109">
        <f>IF(SUMIFS(T_PlannedOrders[EffectiveQty],T_PlannedOrders[Part Name],$A1099,T_PlannedOrders[WeekIndex],25)=0,"",SUMIFS(T_PlannedOrders[EffectiveQty],T_PlannedOrders[Part Name],$A1099,T_PlannedOrders[WeekIndex],25)&amp;" ("&amp;TEXT(SUMPRODUCT(MAX((T_PlannedOrders[Part Name]=$A1099)*(T_PlannedOrders[WeekIndex]=25)*(T_PlannedOrders[EffectiveQty]&gt;0)*T_PlannedOrders[Order_Month])),"m月")&amp;"発注)")</f>
        <v/>
      </c>
      <c r="AC1109">
        <f>IF(SUMIFS(T_PlannedOrders[EffectiveQty],T_PlannedOrders[Part Name],$A1099,T_PlannedOrders[WeekIndex],26)=0,"",SUMIFS(T_PlannedOrders[EffectiveQty],T_PlannedOrders[Part Name],$A1099,T_PlannedOrders[WeekIndex],26)&amp;" ("&amp;TEXT(SUMPRODUCT(MAX((T_PlannedOrders[Part Name]=$A1099)*(T_PlannedOrders[WeekIndex]=26)*(T_PlannedOrders[EffectiveQty]&gt;0)*T_PlannedOrders[Order_Month])),"m月")&amp;"発注)")</f>
        <v/>
      </c>
      <c r="AD1109">
        <f>IF(SUMIFS(T_PlannedOrders[EffectiveQty],T_PlannedOrders[Part Name],$A1099,T_PlannedOrders[WeekIndex],27)=0,"",SUMIFS(T_PlannedOrders[EffectiveQty],T_PlannedOrders[Part Name],$A1099,T_PlannedOrders[WeekIndex],27)&amp;" ("&amp;TEXT(SUMPRODUCT(MAX((T_PlannedOrders[Part Name]=$A1099)*(T_PlannedOrders[WeekIndex]=27)*(T_PlannedOrders[EffectiveQty]&gt;0)*T_PlannedOrders[Order_Month])),"m月")&amp;"発注)")</f>
        <v/>
      </c>
      <c r="AE1109">
        <f>IF(SUMIFS(T_PlannedOrders[EffectiveQty],T_PlannedOrders[Part Name],$A1099,T_PlannedOrders[WeekIndex],28)=0,"",SUMIFS(T_PlannedOrders[EffectiveQty],T_PlannedOrders[Part Name],$A1099,T_PlannedOrders[WeekIndex],28)&amp;" ("&amp;TEXT(SUMPRODUCT(MAX((T_PlannedOrders[Part Name]=$A1099)*(T_PlannedOrders[WeekIndex]=28)*(T_PlannedOrders[EffectiveQty]&gt;0)*T_PlannedOrders[Order_Month])),"m月")&amp;"発注)")</f>
        <v/>
      </c>
      <c r="AF1109">
        <f>IF(SUMIFS(T_PlannedOrders[EffectiveQty],T_PlannedOrders[Part Name],$A1099,T_PlannedOrders[WeekIndex],29)=0,"",SUMIFS(T_PlannedOrders[EffectiveQty],T_PlannedOrders[Part Name],$A1099,T_PlannedOrders[WeekIndex],29)&amp;" ("&amp;TEXT(SUMPRODUCT(MAX((T_PlannedOrders[Part Name]=$A1099)*(T_PlannedOrders[WeekIndex]=29)*(T_PlannedOrders[EffectiveQty]&gt;0)*T_PlannedOrders[Order_Month])),"m月")&amp;"発注)")</f>
        <v/>
      </c>
      <c r="AG1109">
        <f>IF(SUMIFS(T_PlannedOrders[EffectiveQty],T_PlannedOrders[Part Name],$A1099,T_PlannedOrders[WeekIndex],30)=0,"",SUMIFS(T_PlannedOrders[EffectiveQty],T_PlannedOrders[Part Name],$A1099,T_PlannedOrders[WeekIndex],30)&amp;" ("&amp;TEXT(SUMPRODUCT(MAX((T_PlannedOrders[Part Name]=$A1099)*(T_PlannedOrders[WeekIndex]=30)*(T_PlannedOrders[EffectiveQty]&gt;0)*T_PlannedOrders[Order_Month])),"m月")&amp;"発注)")</f>
        <v/>
      </c>
      <c r="AH1109">
        <f>IF(SUMIFS(T_PlannedOrders[EffectiveQty],T_PlannedOrders[Part Name],$A1099,T_PlannedOrders[WeekIndex],31)=0,"",SUMIFS(T_PlannedOrders[EffectiveQty],T_PlannedOrders[Part Name],$A1099,T_PlannedOrders[WeekIndex],31)&amp;" ("&amp;TEXT(SUMPRODUCT(MAX((T_PlannedOrders[Part Name]=$A1099)*(T_PlannedOrders[WeekIndex]=31)*(T_PlannedOrders[EffectiveQty]&gt;0)*T_PlannedOrders[Order_Month])),"m月")&amp;"発注)")</f>
        <v/>
      </c>
      <c r="AI1109">
        <f>IF(SUMIFS(T_PlannedOrders[EffectiveQty],T_PlannedOrders[Part Name],$A1099,T_PlannedOrders[WeekIndex],32)=0,"",SUMIFS(T_PlannedOrders[EffectiveQty],T_PlannedOrders[Part Name],$A1099,T_PlannedOrders[WeekIndex],32)&amp;" ("&amp;TEXT(SUMPRODUCT(MAX((T_PlannedOrders[Part Name]=$A1099)*(T_PlannedOrders[WeekIndex]=32)*(T_PlannedOrders[EffectiveQty]&gt;0)*T_PlannedOrders[Order_Month])),"m月")&amp;"発注)")</f>
        <v/>
      </c>
      <c r="AJ1109">
        <f>IF(SUMIFS(T_PlannedOrders[EffectiveQty],T_PlannedOrders[Part Name],$A1099,T_PlannedOrders[WeekIndex],33)=0,"",SUMIFS(T_PlannedOrders[EffectiveQty],T_PlannedOrders[Part Name],$A1099,T_PlannedOrders[WeekIndex],33)&amp;" ("&amp;TEXT(SUMPRODUCT(MAX((T_PlannedOrders[Part Name]=$A1099)*(T_PlannedOrders[WeekIndex]=33)*(T_PlannedOrders[EffectiveQty]&gt;0)*T_PlannedOrders[Order_Month])),"m月")&amp;"発注)")</f>
        <v/>
      </c>
      <c r="AK1109">
        <f>IF(SUMIFS(T_PlannedOrders[EffectiveQty],T_PlannedOrders[Part Name],$A1099,T_PlannedOrders[WeekIndex],34)=0,"",SUMIFS(T_PlannedOrders[EffectiveQty],T_PlannedOrders[Part Name],$A1099,T_PlannedOrders[WeekIndex],34)&amp;" ("&amp;TEXT(SUMPRODUCT(MAX((T_PlannedOrders[Part Name]=$A1099)*(T_PlannedOrders[WeekIndex]=34)*(T_PlannedOrders[EffectiveQty]&gt;0)*T_PlannedOrders[Order_Month])),"m月")&amp;"発注)")</f>
        <v/>
      </c>
      <c r="AL1109">
        <f>IF(SUMIFS(T_PlannedOrders[EffectiveQty],T_PlannedOrders[Part Name],$A1099,T_PlannedOrders[WeekIndex],35)=0,"",SUMIFS(T_PlannedOrders[EffectiveQty],T_PlannedOrders[Part Name],$A1099,T_PlannedOrders[WeekIndex],35)&amp;" ("&amp;TEXT(SUMPRODUCT(MAX((T_PlannedOrders[Part Name]=$A1099)*(T_PlannedOrders[WeekIndex]=35)*(T_PlannedOrders[EffectiveQty]&gt;0)*T_PlannedOrders[Order_Month])),"m月")&amp;"発注)")</f>
        <v/>
      </c>
      <c r="AM1109">
        <f>IF(SUMIFS(T_PlannedOrders[EffectiveQty],T_PlannedOrders[Part Name],$A1099,T_PlannedOrders[WeekIndex],36)=0,"",SUMIFS(T_PlannedOrders[EffectiveQty],T_PlannedOrders[Part Name],$A1099,T_PlannedOrders[WeekIndex],36)&amp;" ("&amp;TEXT(SUMPRODUCT(MAX((T_PlannedOrders[Part Name]=$A1099)*(T_PlannedOrders[WeekIndex]=36)*(T_PlannedOrders[EffectiveQty]&gt;0)*T_PlannedOrders[Order_Month])),"m月")&amp;"発注)")</f>
        <v/>
      </c>
      <c r="AN1109">
        <f>IF(SUMIFS(T_PlannedOrders[EffectiveQty],T_PlannedOrders[Part Name],$A1099,T_PlannedOrders[WeekIndex],37)=0,"",SUMIFS(T_PlannedOrders[EffectiveQty],T_PlannedOrders[Part Name],$A1099,T_PlannedOrders[WeekIndex],37)&amp;" ("&amp;TEXT(SUMPRODUCT(MAX((T_PlannedOrders[Part Name]=$A1099)*(T_PlannedOrders[WeekIndex]=37)*(T_PlannedOrders[EffectiveQty]&gt;0)*T_PlannedOrders[Order_Month])),"m月")&amp;"発注)")</f>
        <v/>
      </c>
      <c r="AO1109">
        <f>IF(SUMIFS(T_PlannedOrders[EffectiveQty],T_PlannedOrders[Part Name],$A1099,T_PlannedOrders[WeekIndex],38)=0,"",SUMIFS(T_PlannedOrders[EffectiveQty],T_PlannedOrders[Part Name],$A1099,T_PlannedOrders[WeekIndex],38)&amp;" ("&amp;TEXT(SUMPRODUCT(MAX((T_PlannedOrders[Part Name]=$A1099)*(T_PlannedOrders[WeekIndex]=38)*(T_PlannedOrders[EffectiveQty]&gt;0)*T_PlannedOrders[Order_Month])),"m月")&amp;"発注)")</f>
        <v/>
      </c>
      <c r="AP1109">
        <f>IF(SUMIFS(T_PlannedOrders[EffectiveQty],T_PlannedOrders[Part Name],$A1099,T_PlannedOrders[WeekIndex],39)=0,"",SUMIFS(T_PlannedOrders[EffectiveQty],T_PlannedOrders[Part Name],$A1099,T_PlannedOrders[WeekIndex],39)&amp;" ("&amp;TEXT(SUMPRODUCT(MAX((T_PlannedOrders[Part Name]=$A1099)*(T_PlannedOrders[WeekIndex]=39)*(T_PlannedOrders[EffectiveQty]&gt;0)*T_PlannedOrders[Order_Month])),"m月")&amp;"発注)")</f>
        <v/>
      </c>
      <c r="AQ1109">
        <f>IF(SUMIFS(T_PlannedOrders[EffectiveQty],T_PlannedOrders[Part Name],$A1099,T_PlannedOrders[WeekIndex],40)=0,"",SUMIFS(T_PlannedOrders[EffectiveQty],T_PlannedOrders[Part Name],$A1099,T_PlannedOrders[WeekIndex],40)&amp;" ("&amp;TEXT(SUMPRODUCT(MAX((T_PlannedOrders[Part Name]=$A1099)*(T_PlannedOrders[WeekIndex]=40)*(T_PlannedOrders[EffectiveQty]&gt;0)*T_PlannedOrders[Order_Month])),"m月")&amp;"発注)")</f>
        <v/>
      </c>
      <c r="AR1109">
        <f>IF(SUMIFS(T_PlannedOrders[EffectiveQty],T_PlannedOrders[Part Name],$A1099,T_PlannedOrders[WeekIndex],41)=0,"",SUMIFS(T_PlannedOrders[EffectiveQty],T_PlannedOrders[Part Name],$A1099,T_PlannedOrders[WeekIndex],41)&amp;" ("&amp;TEXT(SUMPRODUCT(MAX((T_PlannedOrders[Part Name]=$A1099)*(T_PlannedOrders[WeekIndex]=41)*(T_PlannedOrders[EffectiveQty]&gt;0)*T_PlannedOrders[Order_Month])),"m月")&amp;"発注)")</f>
        <v/>
      </c>
      <c r="AS1109">
        <f>IF(SUMIFS(T_PlannedOrders[EffectiveQty],T_PlannedOrders[Part Name],$A1099,T_PlannedOrders[WeekIndex],42)=0,"",SUMIFS(T_PlannedOrders[EffectiveQty],T_PlannedOrders[Part Name],$A1099,T_PlannedOrders[WeekIndex],42)&amp;" ("&amp;TEXT(SUMPRODUCT(MAX((T_PlannedOrders[Part Name]=$A1099)*(T_PlannedOrders[WeekIndex]=42)*(T_PlannedOrders[EffectiveQty]&gt;0)*T_PlannedOrders[Order_Month])),"m月")&amp;"発注)")</f>
        <v/>
      </c>
      <c r="AT1109">
        <f>IF(SUMIFS(T_PlannedOrders[EffectiveQty],T_PlannedOrders[Part Name],$A1099,T_PlannedOrders[WeekIndex],43)=0,"",SUMIFS(T_PlannedOrders[EffectiveQty],T_PlannedOrders[Part Name],$A1099,T_PlannedOrders[WeekIndex],43)&amp;" ("&amp;TEXT(SUMPRODUCT(MAX((T_PlannedOrders[Part Name]=$A1099)*(T_PlannedOrders[WeekIndex]=43)*(T_PlannedOrders[EffectiveQty]&gt;0)*T_PlannedOrders[Order_Month])),"m月")&amp;"発注)")</f>
        <v/>
      </c>
      <c r="AU1109">
        <f>IF(SUMIFS(T_PlannedOrders[EffectiveQty],T_PlannedOrders[Part Name],$A1099,T_PlannedOrders[WeekIndex],44)=0,"",SUMIFS(T_PlannedOrders[EffectiveQty],T_PlannedOrders[Part Name],$A1099,T_PlannedOrders[WeekIndex],44)&amp;" ("&amp;TEXT(SUMPRODUCT(MAX((T_PlannedOrders[Part Name]=$A1099)*(T_PlannedOrders[WeekIndex]=44)*(T_PlannedOrders[EffectiveQty]&gt;0)*T_PlannedOrders[Order_Month])),"m月")&amp;"発注)")</f>
        <v/>
      </c>
      <c r="AV1109">
        <f>IF(SUMIFS(T_PlannedOrders[EffectiveQty],T_PlannedOrders[Part Name],$A1099,T_PlannedOrders[WeekIndex],45)=0,"",SUMIFS(T_PlannedOrders[EffectiveQty],T_PlannedOrders[Part Name],$A1099,T_PlannedOrders[WeekIndex],45)&amp;" ("&amp;TEXT(SUMPRODUCT(MAX((T_PlannedOrders[Part Name]=$A1099)*(T_PlannedOrders[WeekIndex]=45)*(T_PlannedOrders[EffectiveQty]&gt;0)*T_PlannedOrders[Order_Month])),"m月")&amp;"発注)")</f>
        <v/>
      </c>
      <c r="AW1109">
        <f>IF(SUMIFS(T_PlannedOrders[EffectiveQty],T_PlannedOrders[Part Name],$A1099,T_PlannedOrders[WeekIndex],46)=0,"",SUMIFS(T_PlannedOrders[EffectiveQty],T_PlannedOrders[Part Name],$A1099,T_PlannedOrders[WeekIndex],46)&amp;" ("&amp;TEXT(SUMPRODUCT(MAX((T_PlannedOrders[Part Name]=$A1099)*(T_PlannedOrders[WeekIndex]=46)*(T_PlannedOrders[EffectiveQty]&gt;0)*T_PlannedOrders[Order_Month])),"m月")&amp;"発注)")</f>
        <v/>
      </c>
      <c r="AX1109">
        <f>IF(SUMIFS(T_PlannedOrders[EffectiveQty],T_PlannedOrders[Part Name],$A1099,T_PlannedOrders[WeekIndex],47)=0,"",SUMIFS(T_PlannedOrders[EffectiveQty],T_PlannedOrders[Part Name],$A1099,T_PlannedOrders[WeekIndex],47)&amp;" ("&amp;TEXT(SUMPRODUCT(MAX((T_PlannedOrders[Part Name]=$A1099)*(T_PlannedOrders[WeekIndex]=47)*(T_PlannedOrders[EffectiveQty]&gt;0)*T_PlannedOrders[Order_Month])),"m月")&amp;"発注)")</f>
        <v/>
      </c>
      <c r="AY1109">
        <f>IF(SUMIFS(T_PlannedOrders[EffectiveQty],T_PlannedOrders[Part Name],$A1099,T_PlannedOrders[WeekIndex],48)=0,"",SUMIFS(T_PlannedOrders[EffectiveQty],T_PlannedOrders[Part Name],$A1099,T_PlannedOrders[WeekIndex],48)&amp;" ("&amp;TEXT(SUMPRODUCT(MAX((T_PlannedOrders[Part Name]=$A1099)*(T_PlannedOrders[WeekIndex]=48)*(T_PlannedOrders[EffectiveQty]&gt;0)*T_PlannedOrders[Order_Month])),"m月")&amp;"発注)")</f>
        <v/>
      </c>
      <c r="AZ1109">
        <f>IF(SUMIFS(T_PlannedOrders[EffectiveQty],T_PlannedOrders[Part Name],$A1099,T_PlannedOrders[WeekIndex],49)=0,"",SUMIFS(T_PlannedOrders[EffectiveQty],T_PlannedOrders[Part Name],$A1099,T_PlannedOrders[WeekIndex],49)&amp;" ("&amp;TEXT(SUMPRODUCT(MAX((T_PlannedOrders[Part Name]=$A1099)*(T_PlannedOrders[WeekIndex]=49)*(T_PlannedOrders[EffectiveQty]&gt;0)*T_PlannedOrders[Order_Month])),"m月")&amp;"発注)")</f>
        <v/>
      </c>
      <c r="BA1109">
        <f>IF(SUMIFS(T_PlannedOrders[EffectiveQty],T_PlannedOrders[Part Name],$A1099,T_PlannedOrders[WeekIndex],50)=0,"",SUMIFS(T_PlannedOrders[EffectiveQty],T_PlannedOrders[Part Name],$A1099,T_PlannedOrders[WeekIndex],50)&amp;" ("&amp;TEXT(SUMPRODUCT(MAX((T_PlannedOrders[Part Name]=$A1099)*(T_PlannedOrders[WeekIndex]=50)*(T_PlannedOrders[EffectiveQty]&gt;0)*T_PlannedOrders[Order_Month])),"m月")&amp;"発注)")</f>
        <v/>
      </c>
      <c r="BB1109">
        <f>IF(SUMIFS(T_PlannedOrders[EffectiveQty],T_PlannedOrders[Part Name],$A1099,T_PlannedOrders[WeekIndex],51)=0,"",SUMIFS(T_PlannedOrders[EffectiveQty],T_PlannedOrders[Part Name],$A1099,T_PlannedOrders[WeekIndex],51)&amp;" ("&amp;TEXT(SUMPRODUCT(MAX((T_PlannedOrders[Part Name]=$A1099)*(T_PlannedOrders[WeekIndex]=51)*(T_PlannedOrders[EffectiveQty]&gt;0)*T_PlannedOrders[Order_Month])),"m月")&amp;"発注)")</f>
        <v/>
      </c>
      <c r="BC1109">
        <f>IF(SUMIFS(T_PlannedOrders[EffectiveQty],T_PlannedOrders[Part Name],$A1099,T_PlannedOrders[WeekIndex],52)=0,"",SUMIFS(T_PlannedOrders[EffectiveQty],T_PlannedOrders[Part Name],$A1099,T_PlannedOrders[WeekIndex],52)&amp;" ("&amp;TEXT(SUMPRODUCT(MAX((T_PlannedOrders[Part Name]=$A1099)*(T_PlannedOrders[WeekIndex]=52)*(T_PlannedOrders[EffectiveQty]&gt;0)*T_PlannedOrders[Order_Month])),"m月")&amp;"発注)")</f>
        <v/>
      </c>
      <c r="BD1109">
        <f>IF(SUMIFS(T_PlannedOrders[EffectiveQty],T_PlannedOrders[Part Name],$A1099,T_PlannedOrders[WeekIndex],53)=0,"",SUMIFS(T_PlannedOrders[EffectiveQty],T_PlannedOrders[Part Name],$A1099,T_PlannedOrders[WeekIndex],53)&amp;" ("&amp;TEXT(SUMPRODUCT(MAX((T_PlannedOrders[Part Name]=$A1099)*(T_PlannedOrders[WeekIndex]=53)*(T_PlannedOrders[EffectiveQty]&gt;0)*T_PlannedOrders[Order_Month])),"m月")&amp;"発注)")</f>
        <v/>
      </c>
      <c r="BE1109">
        <f>IF(SUMIFS(T_PlannedOrders[EffectiveQty],T_PlannedOrders[Part Name],$A1099,T_PlannedOrders[WeekIndex],54)=0,"",SUMIFS(T_PlannedOrders[EffectiveQty],T_PlannedOrders[Part Name],$A1099,T_PlannedOrders[WeekIndex],54)&amp;" ("&amp;TEXT(SUMPRODUCT(MAX((T_PlannedOrders[Part Name]=$A1099)*(T_PlannedOrders[WeekIndex]=54)*(T_PlannedOrders[EffectiveQty]&gt;0)*T_PlannedOrders[Order_Month])),"m月")&amp;"発注)")</f>
        <v/>
      </c>
      <c r="BF1109">
        <f>IF(SUMIFS(T_PlannedOrders[EffectiveQty],T_PlannedOrders[Part Name],$A1099,T_PlannedOrders[WeekIndex],55)=0,"",SUMIFS(T_PlannedOrders[EffectiveQty],T_PlannedOrders[Part Name],$A1099,T_PlannedOrders[WeekIndex],55)&amp;" ("&amp;TEXT(SUMPRODUCT(MAX((T_PlannedOrders[Part Name]=$A1099)*(T_PlannedOrders[WeekIndex]=55)*(T_PlannedOrders[EffectiveQty]&gt;0)*T_PlannedOrders[Order_Month])),"m月")&amp;"発注)")</f>
        <v/>
      </c>
      <c r="BG1109">
        <f>IF(SUMIFS(T_PlannedOrders[EffectiveQty],T_PlannedOrders[Part Name],$A1099,T_PlannedOrders[WeekIndex],56)=0,"",SUMIFS(T_PlannedOrders[EffectiveQty],T_PlannedOrders[Part Name],$A1099,T_PlannedOrders[WeekIndex],56)&amp;" ("&amp;TEXT(SUMPRODUCT(MAX((T_PlannedOrders[Part Name]=$A1099)*(T_PlannedOrders[WeekIndex]=56)*(T_PlannedOrders[EffectiveQty]&gt;0)*T_PlannedOrders[Order_Month])),"m月")&amp;"発注)")</f>
        <v/>
      </c>
      <c r="BH1109">
        <f>IF(SUMIFS(T_PlannedOrders[EffectiveQty],T_PlannedOrders[Part Name],$A1099,T_PlannedOrders[WeekIndex],57)=0,"",SUMIFS(T_PlannedOrders[EffectiveQty],T_PlannedOrders[Part Name],$A1099,T_PlannedOrders[WeekIndex],57)&amp;" ("&amp;TEXT(SUMPRODUCT(MAX((T_PlannedOrders[Part Name]=$A1099)*(T_PlannedOrders[WeekIndex]=57)*(T_PlannedOrders[EffectiveQty]&gt;0)*T_PlannedOrders[Order_Month])),"m月")&amp;"発注)")</f>
        <v/>
      </c>
      <c r="BI1109">
        <f>IF(SUMIFS(T_PlannedOrders[EffectiveQty],T_PlannedOrders[Part Name],$A1099,T_PlannedOrders[WeekIndex],58)=0,"",SUMIFS(T_PlannedOrders[EffectiveQty],T_PlannedOrders[Part Name],$A1099,T_PlannedOrders[WeekIndex],58)&amp;" ("&amp;TEXT(SUMPRODUCT(MAX((T_PlannedOrders[Part Name]=$A1099)*(T_PlannedOrders[WeekIndex]=58)*(T_PlannedOrders[EffectiveQty]&gt;0)*T_PlannedOrders[Order_Month])),"m月")&amp;"発注)")</f>
        <v/>
      </c>
      <c r="BJ1109">
        <f>IF(SUMIFS(T_PlannedOrders[EffectiveQty],T_PlannedOrders[Part Name],$A1099,T_PlannedOrders[WeekIndex],59)=0,"",SUMIFS(T_PlannedOrders[EffectiveQty],T_PlannedOrders[Part Name],$A1099,T_PlannedOrders[WeekIndex],59)&amp;" ("&amp;TEXT(SUMPRODUCT(MAX((T_PlannedOrders[Part Name]=$A1099)*(T_PlannedOrders[WeekIndex]=59)*(T_PlannedOrders[EffectiveQty]&gt;0)*T_PlannedOrders[Order_Month])),"m月")&amp;"発注)")</f>
        <v/>
      </c>
      <c r="BK1109">
        <f>IF(SUMIFS(T_PlannedOrders[EffectiveQty],T_PlannedOrders[Part Name],$A1099,T_PlannedOrders[WeekIndex],60)=0,"",SUMIFS(T_PlannedOrders[EffectiveQty],T_PlannedOrders[Part Name],$A1099,T_PlannedOrders[WeekIndex],60)&amp;" ("&amp;TEXT(SUMPRODUCT(MAX((T_PlannedOrders[Part Name]=$A1099)*(T_PlannedOrders[WeekIndex]=60)*(T_PlannedOrders[EffectiveQty]&gt;0)*T_PlannedOrders[Order_Month])),"m月")&amp;"発注)")</f>
        <v/>
      </c>
      <c r="BL1109">
        <f>IF(SUMIFS(T_PlannedOrders[EffectiveQty],T_PlannedOrders[Part Name],$A1099,T_PlannedOrders[WeekIndex],61)=0,"",SUMIFS(T_PlannedOrders[EffectiveQty],T_PlannedOrders[Part Name],$A1099,T_PlannedOrders[WeekIndex],61)&amp;" ("&amp;TEXT(SUMPRODUCT(MAX((T_PlannedOrders[Part Name]=$A1099)*(T_PlannedOrders[WeekIndex]=61)*(T_PlannedOrders[EffectiveQty]&gt;0)*T_PlannedOrders[Order_Month])),"m月")&amp;"発注)")</f>
        <v/>
      </c>
      <c r="BM1109">
        <f>IF(SUMIFS(T_PlannedOrders[EffectiveQty],T_PlannedOrders[Part Name],$A1099,T_PlannedOrders[WeekIndex],62)=0,"",SUMIFS(T_PlannedOrders[EffectiveQty],T_PlannedOrders[Part Name],$A1099,T_PlannedOrders[WeekIndex],62)&amp;" ("&amp;TEXT(SUMPRODUCT(MAX((T_PlannedOrders[Part Name]=$A1099)*(T_PlannedOrders[WeekIndex]=62)*(T_PlannedOrders[EffectiveQty]&gt;0)*T_PlannedOrders[Order_Month])),"m月")&amp;"発注)")</f>
        <v/>
      </c>
      <c r="BN1109">
        <f>IF(SUMIFS(T_PlannedOrders[EffectiveQty],T_PlannedOrders[Part Name],$A1099,T_PlannedOrders[WeekIndex],63)=0,"",SUMIFS(T_PlannedOrders[EffectiveQty],T_PlannedOrders[Part Name],$A1099,T_PlannedOrders[WeekIndex],63)&amp;" ("&amp;TEXT(SUMPRODUCT(MAX((T_PlannedOrders[Part Name]=$A1099)*(T_PlannedOrders[WeekIndex]=63)*(T_PlannedOrders[EffectiveQty]&gt;0)*T_PlannedOrders[Order_Month])),"m月")&amp;"発注)")</f>
        <v/>
      </c>
      <c r="BO1109">
        <f>IF(SUMIFS(T_PlannedOrders[EffectiveQty],T_PlannedOrders[Part Name],$A1099,T_PlannedOrders[WeekIndex],64)=0,"",SUMIFS(T_PlannedOrders[EffectiveQty],T_PlannedOrders[Part Name],$A1099,T_PlannedOrders[WeekIndex],64)&amp;" ("&amp;TEXT(SUMPRODUCT(MAX((T_PlannedOrders[Part Name]=$A1099)*(T_PlannedOrders[WeekIndex]=64)*(T_PlannedOrders[EffectiveQty]&gt;0)*T_PlannedOrders[Order_Month])),"m月")&amp;"発注)")</f>
        <v/>
      </c>
      <c r="BP1109">
        <f>IF(SUMIFS(T_PlannedOrders[EffectiveQty],T_PlannedOrders[Part Name],$A1099,T_PlannedOrders[WeekIndex],65)=0,"",SUMIFS(T_PlannedOrders[EffectiveQty],T_PlannedOrders[Part Name],$A1099,T_PlannedOrders[WeekIndex],65)&amp;" ("&amp;TEXT(SUMPRODUCT(MAX((T_PlannedOrders[Part Name]=$A1099)*(T_PlannedOrders[WeekIndex]=65)*(T_PlannedOrders[EffectiveQty]&gt;0)*T_PlannedOrders[Order_Month])),"m月")&amp;"発注)")</f>
        <v/>
      </c>
      <c r="BQ1109">
        <f>IF(SUMIFS(T_PlannedOrders[EffectiveQty],T_PlannedOrders[Part Name],$A1099,T_PlannedOrders[WeekIndex],66)=0,"",SUMIFS(T_PlannedOrders[EffectiveQty],T_PlannedOrders[Part Name],$A1099,T_PlannedOrders[WeekIndex],66)&amp;" ("&amp;TEXT(SUMPRODUCT(MAX((T_PlannedOrders[Part Name]=$A1099)*(T_PlannedOrders[WeekIndex]=66)*(T_PlannedOrders[EffectiveQty]&gt;0)*T_PlannedOrders[Order_Month])),"m月")&amp;"発注)")</f>
        <v/>
      </c>
      <c r="BR1109">
        <f>IF(SUMIFS(T_PlannedOrders[EffectiveQty],T_PlannedOrders[Part Name],$A1099,T_PlannedOrders[WeekIndex],67)=0,"",SUMIFS(T_PlannedOrders[EffectiveQty],T_PlannedOrders[Part Name],$A1099,T_PlannedOrders[WeekIndex],67)&amp;" ("&amp;TEXT(SUMPRODUCT(MAX((T_PlannedOrders[Part Name]=$A1099)*(T_PlannedOrders[WeekIndex]=67)*(T_PlannedOrders[EffectiveQty]&gt;0)*T_PlannedOrders[Order_Month])),"m月")&amp;"発注)")</f>
        <v/>
      </c>
      <c r="BS1109">
        <f>IF(SUMIFS(T_PlannedOrders[EffectiveQty],T_PlannedOrders[Part Name],$A1099,T_PlannedOrders[WeekIndex],68)=0,"",SUMIFS(T_PlannedOrders[EffectiveQty],T_PlannedOrders[Part Name],$A1099,T_PlannedOrders[WeekIndex],68)&amp;" ("&amp;TEXT(SUMPRODUCT(MAX((T_PlannedOrders[Part Name]=$A1099)*(T_PlannedOrders[WeekIndex]=68)*(T_PlannedOrders[EffectiveQty]&gt;0)*T_PlannedOrders[Order_Month])),"m月")&amp;"発注)")</f>
        <v/>
      </c>
      <c r="BT1109">
        <f>IF(SUMIFS(T_PlannedOrders[EffectiveQty],T_PlannedOrders[Part Name],$A1099,T_PlannedOrders[WeekIndex],69)=0,"",SUMIFS(T_PlannedOrders[EffectiveQty],T_PlannedOrders[Part Name],$A1099,T_PlannedOrders[WeekIndex],69)&amp;" ("&amp;TEXT(SUMPRODUCT(MAX((T_PlannedOrders[Part Name]=$A1099)*(T_PlannedOrders[WeekIndex]=69)*(T_PlannedOrders[EffectiveQty]&gt;0)*T_PlannedOrders[Order_Month])),"m月")&amp;"発注)")</f>
        <v/>
      </c>
      <c r="BU1109">
        <f>IF(SUMIFS(T_PlannedOrders[EffectiveQty],T_PlannedOrders[Part Name],$A1099,T_PlannedOrders[WeekIndex],70)=0,"",SUMIFS(T_PlannedOrders[EffectiveQty],T_PlannedOrders[Part Name],$A1099,T_PlannedOrders[WeekIndex],70)&amp;" ("&amp;TEXT(SUMPRODUCT(MAX((T_PlannedOrders[Part Name]=$A1099)*(T_PlannedOrders[WeekIndex]=70)*(T_PlannedOrders[EffectiveQty]&gt;0)*T_PlannedOrders[Order_Month])),"m月")&amp;"発注)")</f>
        <v/>
      </c>
      <c r="BV1109">
        <f>IF(SUMIFS(T_PlannedOrders[EffectiveQty],T_PlannedOrders[Part Name],$A1099,T_PlannedOrders[WeekIndex],71)=0,"",SUMIFS(T_PlannedOrders[EffectiveQty],T_PlannedOrders[Part Name],$A1099,T_PlannedOrders[WeekIndex],71)&amp;" ("&amp;TEXT(SUMPRODUCT(MAX((T_PlannedOrders[Part Name]=$A1099)*(T_PlannedOrders[WeekIndex]=71)*(T_PlannedOrders[EffectiveQty]&gt;0)*T_PlannedOrders[Order_Month])),"m月")&amp;"発注)")</f>
        <v/>
      </c>
      <c r="BW1109">
        <f>IF(SUMIFS(T_PlannedOrders[EffectiveQty],T_PlannedOrders[Part Name],$A1099,T_PlannedOrders[WeekIndex],72)=0,"",SUMIFS(T_PlannedOrders[EffectiveQty],T_PlannedOrders[Part Name],$A1099,T_PlannedOrders[WeekIndex],72)&amp;" ("&amp;TEXT(SUMPRODUCT(MAX((T_PlannedOrders[Part Name]=$A1099)*(T_PlannedOrders[WeekIndex]=72)*(T_PlannedOrders[EffectiveQty]&gt;0)*T_PlannedOrders[Order_Month])),"m月")&amp;"発注)")</f>
        <v/>
      </c>
      <c r="BX1109">
        <f>IF(SUMIFS(T_PlannedOrders[EffectiveQty],T_PlannedOrders[Part Name],$A1099,T_PlannedOrders[WeekIndex],73)=0,"",SUMIFS(T_PlannedOrders[EffectiveQty],T_PlannedOrders[Part Name],$A1099,T_PlannedOrders[WeekIndex],73)&amp;" ("&amp;TEXT(SUMPRODUCT(MAX((T_PlannedOrders[Part Name]=$A1099)*(T_PlannedOrders[WeekIndex]=73)*(T_PlannedOrders[EffectiveQty]&gt;0)*T_PlannedOrders[Order_Month])),"m月")&amp;"発注)")</f>
        <v/>
      </c>
      <c r="BY1109">
        <f>IF(SUMIFS(T_PlannedOrders[EffectiveQty],T_PlannedOrders[Part Name],$A1099,T_PlannedOrders[WeekIndex],74)=0,"",SUMIFS(T_PlannedOrders[EffectiveQty],T_PlannedOrders[Part Name],$A1099,T_PlannedOrders[WeekIndex],74)&amp;" ("&amp;TEXT(SUMPRODUCT(MAX((T_PlannedOrders[Part Name]=$A1099)*(T_PlannedOrders[WeekIndex]=74)*(T_PlannedOrders[EffectiveQty]&gt;0)*T_PlannedOrders[Order_Month])),"m月")&amp;"発注)")</f>
        <v/>
      </c>
      <c r="BZ1109">
        <f>IF(SUMIFS(T_PlannedOrders[EffectiveQty],T_PlannedOrders[Part Name],$A1099,T_PlannedOrders[WeekIndex],75)=0,"",SUMIFS(T_PlannedOrders[EffectiveQty],T_PlannedOrders[Part Name],$A1099,T_PlannedOrders[WeekIndex],75)&amp;" ("&amp;TEXT(SUMPRODUCT(MAX((T_PlannedOrders[Part Name]=$A1099)*(T_PlannedOrders[WeekIndex]=75)*(T_PlannedOrders[EffectiveQty]&gt;0)*T_PlannedOrders[Order_Month])),"m月")&amp;"発注)")</f>
        <v/>
      </c>
      <c r="CA1109">
        <f>IF(SUMIFS(T_PlannedOrders[EffectiveQty],T_PlannedOrders[Part Name],$A1099,T_PlannedOrders[WeekIndex],76)=0,"",SUMIFS(T_PlannedOrders[EffectiveQty],T_PlannedOrders[Part Name],$A1099,T_PlannedOrders[WeekIndex],76)&amp;" ("&amp;TEXT(SUMPRODUCT(MAX((T_PlannedOrders[Part Name]=$A1099)*(T_PlannedOrders[WeekIndex]=76)*(T_PlannedOrders[EffectiveQty]&gt;0)*T_PlannedOrders[Order_Month])),"m月")&amp;"発注)")</f>
        <v/>
      </c>
      <c r="CB1109">
        <f>IF(SUMIFS(T_PlannedOrders[EffectiveQty],T_PlannedOrders[Part Name],$A1099,T_PlannedOrders[WeekIndex],77)=0,"",SUMIFS(T_PlannedOrders[EffectiveQty],T_PlannedOrders[Part Name],$A1099,T_PlannedOrders[WeekIndex],77)&amp;" ("&amp;TEXT(SUMPRODUCT(MAX((T_PlannedOrders[Part Name]=$A1099)*(T_PlannedOrders[WeekIndex]=77)*(T_PlannedOrders[EffectiveQty]&gt;0)*T_PlannedOrders[Order_Month])),"m月")&amp;"発注)")</f>
        <v/>
      </c>
      <c r="CC1109">
        <f>IF(SUMIFS(T_PlannedOrders[EffectiveQty],T_PlannedOrders[Part Name],$A1099,T_PlannedOrders[WeekIndex],78)=0,"",SUMIFS(T_PlannedOrders[EffectiveQty],T_PlannedOrders[Part Name],$A1099,T_PlannedOrders[WeekIndex],78)&amp;" ("&amp;TEXT(SUMPRODUCT(MAX((T_PlannedOrders[Part Name]=$A1099)*(T_PlannedOrders[WeekIndex]=78)*(T_PlannedOrders[EffectiveQty]&gt;0)*T_PlannedOrders[Order_Month])),"m月")&amp;"発注)")</f>
        <v/>
      </c>
      <c r="CD1109">
        <f>IF(SUMIFS(T_PlannedOrders[EffectiveQty],T_PlannedOrders[Part Name],$A1099,T_PlannedOrders[WeekIndex],79)=0,"",SUMIFS(T_PlannedOrders[EffectiveQty],T_PlannedOrders[Part Name],$A1099,T_PlannedOrders[WeekIndex],79)&amp;" ("&amp;TEXT(SUMPRODUCT(MAX((T_PlannedOrders[Part Name]=$A1099)*(T_PlannedOrders[WeekIndex]=79)*(T_PlannedOrders[EffectiveQty]&gt;0)*T_PlannedOrders[Order_Month])),"m月")&amp;"発注)")</f>
        <v/>
      </c>
      <c r="CE1109">
        <f>IF(SUMIFS(T_PlannedOrders[EffectiveQty],T_PlannedOrders[Part Name],$A1099,T_PlannedOrders[WeekIndex],80)=0,"",SUMIFS(T_PlannedOrders[EffectiveQty],T_PlannedOrders[Part Name],$A1099,T_PlannedOrders[WeekIndex],80)&amp;" ("&amp;TEXT(SUMPRODUCT(MAX((T_PlannedOrders[Part Name]=$A1099)*(T_PlannedOrders[WeekIndex]=80)*(T_PlannedOrders[EffectiveQty]&gt;0)*T_PlannedOrders[Order_Month])),"m月")&amp;"発注)")</f>
        <v/>
      </c>
      <c r="CF1109">
        <f>IF(SUMIFS(T_PlannedOrders[EffectiveQty],T_PlannedOrders[Part Name],$A1099,T_PlannedOrders[WeekIndex],81)=0,"",SUMIFS(T_PlannedOrders[EffectiveQty],T_PlannedOrders[Part Name],$A1099,T_PlannedOrders[WeekIndex],81)&amp;" ("&amp;TEXT(SUMPRODUCT(MAX((T_PlannedOrders[Part Name]=$A1099)*(T_PlannedOrders[WeekIndex]=81)*(T_PlannedOrders[EffectiveQty]&gt;0)*T_PlannedOrders[Order_Month])),"m月")&amp;"発注)")</f>
        <v/>
      </c>
      <c r="CG1109">
        <f>IF(SUMIFS(T_PlannedOrders[EffectiveQty],T_PlannedOrders[Part Name],$A1099,T_PlannedOrders[WeekIndex],82)=0,"",SUMIFS(T_PlannedOrders[EffectiveQty],T_PlannedOrders[Part Name],$A1099,T_PlannedOrders[WeekIndex],82)&amp;" ("&amp;TEXT(SUMPRODUCT(MAX((T_PlannedOrders[Part Name]=$A1099)*(T_PlannedOrders[WeekIndex]=82)*(T_PlannedOrders[EffectiveQty]&gt;0)*T_PlannedOrders[Order_Month])),"m月")&amp;"発注)")</f>
        <v/>
      </c>
      <c r="CH1109">
        <f>IF(SUMIFS(T_PlannedOrders[EffectiveQty],T_PlannedOrders[Part Name],$A1099,T_PlannedOrders[WeekIndex],83)=0,"",SUMIFS(T_PlannedOrders[EffectiveQty],T_PlannedOrders[Part Name],$A1099,T_PlannedOrders[WeekIndex],83)&amp;" ("&amp;TEXT(SUMPRODUCT(MAX((T_PlannedOrders[Part Name]=$A1099)*(T_PlannedOrders[WeekIndex]=83)*(T_PlannedOrders[EffectiveQty]&gt;0)*T_PlannedOrders[Order_Month])),"m月")&amp;"発注)")</f>
        <v/>
      </c>
      <c r="CI1109">
        <f>IF(SUMIFS(T_PlannedOrders[EffectiveQty],T_PlannedOrders[Part Name],$A1099,T_PlannedOrders[WeekIndex],84)=0,"",SUMIFS(T_PlannedOrders[EffectiveQty],T_PlannedOrders[Part Name],$A1099,T_PlannedOrders[WeekIndex],84)&amp;" ("&amp;TEXT(SUMPRODUCT(MAX((T_PlannedOrders[Part Name]=$A1099)*(T_PlannedOrders[WeekIndex]=84)*(T_PlannedOrders[EffectiveQty]&gt;0)*T_PlannedOrders[Order_Month])),"m月")&amp;"発注)")</f>
        <v/>
      </c>
      <c r="CJ1109">
        <f>IF(SUMIFS(T_PlannedOrders[EffectiveQty],T_PlannedOrders[Part Name],$A1099,T_PlannedOrders[WeekIndex],85)=0,"",SUMIFS(T_PlannedOrders[EffectiveQty],T_PlannedOrders[Part Name],$A1099,T_PlannedOrders[WeekIndex],85)&amp;" ("&amp;TEXT(SUMPRODUCT(MAX((T_PlannedOrders[Part Name]=$A1099)*(T_PlannedOrders[WeekIndex]=85)*(T_PlannedOrders[EffectiveQty]&gt;0)*T_PlannedOrders[Order_Month])),"m月")&amp;"発注)")</f>
        <v/>
      </c>
      <c r="CK1109">
        <f>IF(SUMIFS(T_PlannedOrders[EffectiveQty],T_PlannedOrders[Part Name],$A1099,T_PlannedOrders[WeekIndex],86)=0,"",SUMIFS(T_PlannedOrders[EffectiveQty],T_PlannedOrders[Part Name],$A1099,T_PlannedOrders[WeekIndex],86)&amp;" ("&amp;TEXT(SUMPRODUCT(MAX((T_PlannedOrders[Part Name]=$A1099)*(T_PlannedOrders[WeekIndex]=86)*(T_PlannedOrders[EffectiveQty]&gt;0)*T_PlannedOrders[Order_Month])),"m月")&amp;"発注)")</f>
        <v/>
      </c>
      <c r="CL1109">
        <f>IF(SUMIFS(T_PlannedOrders[EffectiveQty],T_PlannedOrders[Part Name],$A1099,T_PlannedOrders[WeekIndex],87)=0,"",SUMIFS(T_PlannedOrders[EffectiveQty],T_PlannedOrders[Part Name],$A1099,T_PlannedOrders[WeekIndex],87)&amp;" ("&amp;TEXT(SUMPRODUCT(MAX((T_PlannedOrders[Part Name]=$A1099)*(T_PlannedOrders[WeekIndex]=87)*(T_PlannedOrders[EffectiveQty]&gt;0)*T_PlannedOrders[Order_Month])),"m月")&amp;"発注)")</f>
        <v/>
      </c>
      <c r="CM1109">
        <f>IF(SUMIFS(T_PlannedOrders[EffectiveQty],T_PlannedOrders[Part Name],$A1099,T_PlannedOrders[WeekIndex],88)=0,"",SUMIFS(T_PlannedOrders[EffectiveQty],T_PlannedOrders[Part Name],$A1099,T_PlannedOrders[WeekIndex],88)&amp;" ("&amp;TEXT(SUMPRODUCT(MAX((T_PlannedOrders[Part Name]=$A1099)*(T_PlannedOrders[WeekIndex]=88)*(T_PlannedOrders[EffectiveQty]&gt;0)*T_PlannedOrders[Order_Month])),"m月")&amp;"発注)")</f>
        <v/>
      </c>
      <c r="CN1109">
        <f>IF(SUMIFS(T_PlannedOrders[EffectiveQty],T_PlannedOrders[Part Name],$A1099,T_PlannedOrders[WeekIndex],89)=0,"",SUMIFS(T_PlannedOrders[EffectiveQty],T_PlannedOrders[Part Name],$A1099,T_PlannedOrders[WeekIndex],89)&amp;" ("&amp;TEXT(SUMPRODUCT(MAX((T_PlannedOrders[Part Name]=$A1099)*(T_PlannedOrders[WeekIndex]=89)*(T_PlannedOrders[EffectiveQty]&gt;0)*T_PlannedOrders[Order_Month])),"m月")&amp;"発注)")</f>
        <v/>
      </c>
      <c r="CO1109">
        <f>IF(SUMIFS(T_PlannedOrders[EffectiveQty],T_PlannedOrders[Part Name],$A1099,T_PlannedOrders[WeekIndex],90)=0,"",SUMIFS(T_PlannedOrders[EffectiveQty],T_PlannedOrders[Part Name],$A1099,T_PlannedOrders[WeekIndex],90)&amp;" ("&amp;TEXT(SUMPRODUCT(MAX((T_PlannedOrders[Part Name]=$A1099)*(T_PlannedOrders[WeekIndex]=90)*(T_PlannedOrders[EffectiveQty]&gt;0)*T_PlannedOrders[Order_Month])),"m月")&amp;"発注)")</f>
        <v/>
      </c>
      <c r="CP1109">
        <f>IF(SUMIFS(T_PlannedOrders[EffectiveQty],T_PlannedOrders[Part Name],$A1099,T_PlannedOrders[WeekIndex],91)=0,"",SUMIFS(T_PlannedOrders[EffectiveQty],T_PlannedOrders[Part Name],$A1099,T_PlannedOrders[WeekIndex],91)&amp;" ("&amp;TEXT(SUMPRODUCT(MAX((T_PlannedOrders[Part Name]=$A1099)*(T_PlannedOrders[WeekIndex]=91)*(T_PlannedOrders[EffectiveQty]&gt;0)*T_PlannedOrders[Order_Month])),"m月")&amp;"発注)")</f>
        <v/>
      </c>
      <c r="CQ1109">
        <f>IF(SUMIFS(T_PlannedOrders[EffectiveQty],T_PlannedOrders[Part Name],$A1099,T_PlannedOrders[WeekIndex],92)=0,"",SUMIFS(T_PlannedOrders[EffectiveQty],T_PlannedOrders[Part Name],$A1099,T_PlannedOrders[WeekIndex],92)&amp;" ("&amp;TEXT(SUMPRODUCT(MAX((T_PlannedOrders[Part Name]=$A1099)*(T_PlannedOrders[WeekIndex]=92)*(T_PlannedOrders[EffectiveQty]&gt;0)*T_PlannedOrders[Order_Month])),"m月")&amp;"発注)")</f>
        <v/>
      </c>
      <c r="CR1109">
        <f>IF(SUMIFS(T_PlannedOrders[EffectiveQty],T_PlannedOrders[Part Name],$A1099,T_PlannedOrders[WeekIndex],93)=0,"",SUMIFS(T_PlannedOrders[EffectiveQty],T_PlannedOrders[Part Name],$A1099,T_PlannedOrders[WeekIndex],93)&amp;" ("&amp;TEXT(SUMPRODUCT(MAX((T_PlannedOrders[Part Name]=$A1099)*(T_PlannedOrders[WeekIndex]=93)*(T_PlannedOrders[EffectiveQty]&gt;0)*T_PlannedOrders[Order_Month])),"m月")&amp;"発注)")</f>
        <v/>
      </c>
      <c r="CS1109">
        <f>IF(SUMIFS(T_PlannedOrders[EffectiveQty],T_PlannedOrders[Part Name],$A1099,T_PlannedOrders[WeekIndex],94)=0,"",SUMIFS(T_PlannedOrders[EffectiveQty],T_PlannedOrders[Part Name],$A1099,T_PlannedOrders[WeekIndex],94)&amp;" ("&amp;TEXT(SUMPRODUCT(MAX((T_PlannedOrders[Part Name]=$A1099)*(T_PlannedOrders[WeekIndex]=94)*(T_PlannedOrders[EffectiveQty]&gt;0)*T_PlannedOrders[Order_Month])),"m月")&amp;"発注)")</f>
        <v/>
      </c>
      <c r="CT1109">
        <f>IF(SUMIFS(T_PlannedOrders[EffectiveQty],T_PlannedOrders[Part Name],$A1099,T_PlannedOrders[WeekIndex],95)=0,"",SUMIFS(T_PlannedOrders[EffectiveQty],T_PlannedOrders[Part Name],$A1099,T_PlannedOrders[WeekIndex],95)&amp;" ("&amp;TEXT(SUMPRODUCT(MAX((T_PlannedOrders[Part Name]=$A1099)*(T_PlannedOrders[WeekIndex]=95)*(T_PlannedOrders[EffectiveQty]&gt;0)*T_PlannedOrders[Order_Month])),"m月")&amp;"発注)")</f>
        <v/>
      </c>
      <c r="CU1109">
        <f>IF(SUMIFS(T_PlannedOrders[EffectiveQty],T_PlannedOrders[Part Name],$A1099,T_PlannedOrders[WeekIndex],96)=0,"",SUMIFS(T_PlannedOrders[EffectiveQty],T_PlannedOrders[Part Name],$A1099,T_PlannedOrders[WeekIndex],96)&amp;" ("&amp;TEXT(SUMPRODUCT(MAX((T_PlannedOrders[Part Name]=$A1099)*(T_PlannedOrders[WeekIndex]=96)*(T_PlannedOrders[EffectiveQty]&gt;0)*T_PlannedOrders[Order_Month])),"m月")&amp;"発注)")</f>
        <v/>
      </c>
      <c r="CV1109">
        <f>IF(SUMIFS(T_PlannedOrders[EffectiveQty],T_PlannedOrders[Part Name],$A1099,T_PlannedOrders[WeekIndex],97)=0,"",SUMIFS(T_PlannedOrders[EffectiveQty],T_PlannedOrders[Part Name],$A1099,T_PlannedOrders[WeekIndex],97)&amp;" ("&amp;TEXT(SUMPRODUCT(MAX((T_PlannedOrders[Part Name]=$A1099)*(T_PlannedOrders[WeekIndex]=97)*(T_PlannedOrders[EffectiveQty]&gt;0)*T_PlannedOrders[Order_Month])),"m月")&amp;"発注)")</f>
        <v/>
      </c>
      <c r="CW1109">
        <f>IF(SUMIFS(T_PlannedOrders[EffectiveQty],T_PlannedOrders[Part Name],$A1099,T_PlannedOrders[WeekIndex],98)=0,"",SUMIFS(T_PlannedOrders[EffectiveQty],T_PlannedOrders[Part Name],$A1099,T_PlannedOrders[WeekIndex],98)&amp;" ("&amp;TEXT(SUMPRODUCT(MAX((T_PlannedOrders[Part Name]=$A1099)*(T_PlannedOrders[WeekIndex]=98)*(T_PlannedOrders[EffectiveQty]&gt;0)*T_PlannedOrders[Order_Month])),"m月")&amp;"発注)")</f>
        <v/>
      </c>
      <c r="CX1109">
        <f>IF(SUMIFS(T_PlannedOrders[EffectiveQty],T_PlannedOrders[Part Name],$A1099,T_PlannedOrders[WeekIndex],99)=0,"",SUMIFS(T_PlannedOrders[EffectiveQty],T_PlannedOrders[Part Name],$A1099,T_PlannedOrders[WeekIndex],99)&amp;" ("&amp;TEXT(SUMPRODUCT(MAX((T_PlannedOrders[Part Name]=$A1099)*(T_PlannedOrders[WeekIndex]=99)*(T_PlannedOrders[EffectiveQty]&gt;0)*T_PlannedOrders[Order_Month])),"m月")&amp;"発注)")</f>
        <v/>
      </c>
      <c r="CY1109">
        <f>IF(SUMIFS(T_PlannedOrders[EffectiveQty],T_PlannedOrders[Part Name],$A1099,T_PlannedOrders[WeekIndex],100)=0,"",SUMIFS(T_PlannedOrders[EffectiveQty],T_PlannedOrders[Part Name],$A1099,T_PlannedOrders[WeekIndex],100)&amp;" ("&amp;TEXT(SUMPRODUCT(MAX((T_PlannedOrders[Part Name]=$A1099)*(T_PlannedOrders[WeekIndex]=100)*(T_PlannedOrders[EffectiveQty]&gt;0)*T_PlannedOrders[Order_Month])),"m月")&amp;"発注)")</f>
        <v/>
      </c>
      <c r="CZ1109">
        <f>IF(SUMIFS(T_PlannedOrders[EffectiveQty],T_PlannedOrders[Part Name],$A1099,T_PlannedOrders[WeekIndex],101)=0,"",SUMIFS(T_PlannedOrders[EffectiveQty],T_PlannedOrders[Part Name],$A1099,T_PlannedOrders[WeekIndex],101)&amp;" ("&amp;TEXT(SUMPRODUCT(MAX((T_PlannedOrders[Part Name]=$A1099)*(T_PlannedOrders[WeekIndex]=101)*(T_PlannedOrders[EffectiveQty]&gt;0)*T_PlannedOrders[Order_Month])),"m月")&amp;"発注)")</f>
        <v/>
      </c>
      <c r="DA1109">
        <f>IF(SUMIFS(T_PlannedOrders[EffectiveQty],T_PlannedOrders[Part Name],$A1099,T_PlannedOrders[WeekIndex],102)=0,"",SUMIFS(T_PlannedOrders[EffectiveQty],T_PlannedOrders[Part Name],$A1099,T_PlannedOrders[WeekIndex],102)&amp;" ("&amp;TEXT(SUMPRODUCT(MAX((T_PlannedOrders[Part Name]=$A1099)*(T_PlannedOrders[WeekIndex]=102)*(T_PlannedOrders[EffectiveQty]&gt;0)*T_PlannedOrders[Order_Month])),"m月")&amp;"発注)")</f>
        <v/>
      </c>
      <c r="DB1109">
        <f>IF(SUMIFS(T_PlannedOrders[EffectiveQty],T_PlannedOrders[Part Name],$A1099,T_PlannedOrders[WeekIndex],103)=0,"",SUMIFS(T_PlannedOrders[EffectiveQty],T_PlannedOrders[Part Name],$A1099,T_PlannedOrders[WeekIndex],103)&amp;" ("&amp;TEXT(SUMPRODUCT(MAX((T_PlannedOrders[Part Name]=$A1099)*(T_PlannedOrders[WeekIndex]=103)*(T_PlannedOrders[EffectiveQty]&gt;0)*T_PlannedOrders[Order_Month])),"m月")&amp;"発注)")</f>
        <v/>
      </c>
      <c r="DC1109">
        <f>IF(SUMIFS(T_PlannedOrders[EffectiveQty],T_PlannedOrders[Part Name],$A1099,T_PlannedOrders[WeekIndex],104)=0,"",SUMIFS(T_PlannedOrders[EffectiveQty],T_PlannedOrders[Part Name],$A1099,T_PlannedOrders[WeekIndex],104)&amp;" ("&amp;TEXT(SUMPRODUCT(MAX((T_PlannedOrders[Part Name]=$A1099)*(T_PlannedOrders[WeekIndex]=104)*(T_PlannedOrders[EffectiveQty]&gt;0)*T_PlannedOrders[Order_Month])),"m月")&amp;"発注)")</f>
        <v/>
      </c>
    </row>
    <row r="1110">
      <c r="B1110" s="9" t="inlineStr">
        <is>
          <t>合計在庫(週末時点,kg)</t>
        </is>
      </c>
      <c r="D1110">
        <f>'Grid_Stock'!B28</f>
        <v/>
      </c>
      <c r="E1110">
        <f>'Grid_Stock'!C28</f>
        <v/>
      </c>
      <c r="F1110">
        <f>'Grid_Stock'!D28</f>
        <v/>
      </c>
      <c r="G1110">
        <f>'Grid_Stock'!E28</f>
        <v/>
      </c>
      <c r="H1110">
        <f>'Grid_Stock'!F28</f>
        <v/>
      </c>
      <c r="I1110">
        <f>'Grid_Stock'!G28</f>
        <v/>
      </c>
      <c r="J1110">
        <f>'Grid_Stock'!H28</f>
        <v/>
      </c>
      <c r="K1110">
        <f>'Grid_Stock'!I28</f>
        <v/>
      </c>
      <c r="L1110">
        <f>'Grid_Stock'!J28</f>
        <v/>
      </c>
      <c r="M1110">
        <f>'Grid_Stock'!K28</f>
        <v/>
      </c>
      <c r="N1110">
        <f>'Grid_Stock'!L28</f>
        <v/>
      </c>
      <c r="O1110">
        <f>'Grid_Stock'!M28</f>
        <v/>
      </c>
      <c r="P1110">
        <f>'Grid_Stock'!N28</f>
        <v/>
      </c>
      <c r="Q1110">
        <f>'Grid_Stock'!O28</f>
        <v/>
      </c>
      <c r="R1110">
        <f>'Grid_Stock'!P28</f>
        <v/>
      </c>
      <c r="S1110">
        <f>'Grid_Stock'!Q28</f>
        <v/>
      </c>
      <c r="T1110">
        <f>'Grid_Stock'!R28</f>
        <v/>
      </c>
      <c r="U1110">
        <f>'Grid_Stock'!S28</f>
        <v/>
      </c>
      <c r="V1110">
        <f>'Grid_Stock'!T28</f>
        <v/>
      </c>
      <c r="W1110">
        <f>'Grid_Stock'!U28</f>
        <v/>
      </c>
      <c r="X1110">
        <f>'Grid_Stock'!V28</f>
        <v/>
      </c>
      <c r="Y1110">
        <f>'Grid_Stock'!W28</f>
        <v/>
      </c>
      <c r="Z1110">
        <f>'Grid_Stock'!X28</f>
        <v/>
      </c>
      <c r="AA1110">
        <f>'Grid_Stock'!Y28</f>
        <v/>
      </c>
      <c r="AB1110">
        <f>'Grid_Stock'!Z28</f>
        <v/>
      </c>
      <c r="AC1110">
        <f>'Grid_Stock'!AA28</f>
        <v/>
      </c>
      <c r="AD1110">
        <f>'Grid_Stock'!AB28</f>
        <v/>
      </c>
      <c r="AE1110">
        <f>'Grid_Stock'!AC28</f>
        <v/>
      </c>
      <c r="AF1110">
        <f>'Grid_Stock'!AD28</f>
        <v/>
      </c>
      <c r="AG1110">
        <f>'Grid_Stock'!AE28</f>
        <v/>
      </c>
      <c r="AH1110">
        <f>'Grid_Stock'!AF28</f>
        <v/>
      </c>
      <c r="AI1110">
        <f>'Grid_Stock'!AG28</f>
        <v/>
      </c>
      <c r="AJ1110">
        <f>'Grid_Stock'!AH28</f>
        <v/>
      </c>
      <c r="AK1110">
        <f>'Grid_Stock'!AI28</f>
        <v/>
      </c>
      <c r="AL1110">
        <f>'Grid_Stock'!AJ28</f>
        <v/>
      </c>
      <c r="AM1110">
        <f>'Grid_Stock'!AK28</f>
        <v/>
      </c>
      <c r="AN1110">
        <f>'Grid_Stock'!AL28</f>
        <v/>
      </c>
      <c r="AO1110">
        <f>'Grid_Stock'!AM28</f>
        <v/>
      </c>
      <c r="AP1110">
        <f>'Grid_Stock'!AN28</f>
        <v/>
      </c>
      <c r="AQ1110">
        <f>'Grid_Stock'!AO28</f>
        <v/>
      </c>
      <c r="AR1110">
        <f>'Grid_Stock'!AP28</f>
        <v/>
      </c>
      <c r="AS1110">
        <f>'Grid_Stock'!AQ28</f>
        <v/>
      </c>
      <c r="AT1110">
        <f>'Grid_Stock'!AR28</f>
        <v/>
      </c>
      <c r="AU1110">
        <f>'Grid_Stock'!AS28</f>
        <v/>
      </c>
      <c r="AV1110">
        <f>'Grid_Stock'!AT28</f>
        <v/>
      </c>
      <c r="AW1110">
        <f>'Grid_Stock'!AU28</f>
        <v/>
      </c>
      <c r="AX1110">
        <f>'Grid_Stock'!AV28</f>
        <v/>
      </c>
      <c r="AY1110">
        <f>'Grid_Stock'!AW28</f>
        <v/>
      </c>
      <c r="AZ1110">
        <f>'Grid_Stock'!AX28</f>
        <v/>
      </c>
      <c r="BA1110">
        <f>'Grid_Stock'!AY28</f>
        <v/>
      </c>
      <c r="BB1110">
        <f>'Grid_Stock'!AZ28</f>
        <v/>
      </c>
      <c r="BC1110">
        <f>'Grid_Stock'!BA28</f>
        <v/>
      </c>
      <c r="BD1110">
        <f>'Grid_Stock'!BB28</f>
        <v/>
      </c>
      <c r="BE1110">
        <f>'Grid_Stock'!BC28</f>
        <v/>
      </c>
      <c r="BF1110">
        <f>'Grid_Stock'!BD28</f>
        <v/>
      </c>
      <c r="BG1110">
        <f>'Grid_Stock'!BE28</f>
        <v/>
      </c>
      <c r="BH1110">
        <f>'Grid_Stock'!BF28</f>
        <v/>
      </c>
      <c r="BI1110">
        <f>'Grid_Stock'!BG28</f>
        <v/>
      </c>
      <c r="BJ1110">
        <f>'Grid_Stock'!BH28</f>
        <v/>
      </c>
      <c r="BK1110">
        <f>'Grid_Stock'!BI28</f>
        <v/>
      </c>
      <c r="BL1110">
        <f>'Grid_Stock'!BJ28</f>
        <v/>
      </c>
      <c r="BM1110">
        <f>'Grid_Stock'!BK28</f>
        <v/>
      </c>
      <c r="BN1110">
        <f>'Grid_Stock'!BL28</f>
        <v/>
      </c>
      <c r="BO1110">
        <f>'Grid_Stock'!BM28</f>
        <v/>
      </c>
      <c r="BP1110">
        <f>'Grid_Stock'!BN28</f>
        <v/>
      </c>
      <c r="BQ1110">
        <f>'Grid_Stock'!BO28</f>
        <v/>
      </c>
      <c r="BR1110">
        <f>'Grid_Stock'!BP28</f>
        <v/>
      </c>
      <c r="BS1110">
        <f>'Grid_Stock'!BQ28</f>
        <v/>
      </c>
      <c r="BT1110">
        <f>'Grid_Stock'!BR28</f>
        <v/>
      </c>
      <c r="BU1110">
        <f>'Grid_Stock'!BS28</f>
        <v/>
      </c>
      <c r="BV1110">
        <f>'Grid_Stock'!BT28</f>
        <v/>
      </c>
      <c r="BW1110">
        <f>'Grid_Stock'!BU28</f>
        <v/>
      </c>
      <c r="BX1110">
        <f>'Grid_Stock'!BV28</f>
        <v/>
      </c>
      <c r="BY1110">
        <f>'Grid_Stock'!BW28</f>
        <v/>
      </c>
      <c r="BZ1110">
        <f>'Grid_Stock'!BX28</f>
        <v/>
      </c>
      <c r="CA1110">
        <f>'Grid_Stock'!BY28</f>
        <v/>
      </c>
      <c r="CB1110">
        <f>'Grid_Stock'!BZ28</f>
        <v/>
      </c>
      <c r="CC1110">
        <f>'Grid_Stock'!CA28</f>
        <v/>
      </c>
      <c r="CD1110">
        <f>'Grid_Stock'!CB28</f>
        <v/>
      </c>
      <c r="CE1110">
        <f>'Grid_Stock'!CC28</f>
        <v/>
      </c>
      <c r="CF1110">
        <f>'Grid_Stock'!CD28</f>
        <v/>
      </c>
      <c r="CG1110">
        <f>'Grid_Stock'!CE28</f>
        <v/>
      </c>
      <c r="CH1110">
        <f>'Grid_Stock'!CF28</f>
        <v/>
      </c>
      <c r="CI1110">
        <f>'Grid_Stock'!CG28</f>
        <v/>
      </c>
      <c r="CJ1110">
        <f>'Grid_Stock'!CH28</f>
        <v/>
      </c>
      <c r="CK1110">
        <f>'Grid_Stock'!CI28</f>
        <v/>
      </c>
      <c r="CL1110">
        <f>'Grid_Stock'!CJ28</f>
        <v/>
      </c>
      <c r="CM1110">
        <f>'Grid_Stock'!CK28</f>
        <v/>
      </c>
      <c r="CN1110">
        <f>'Grid_Stock'!CL28</f>
        <v/>
      </c>
      <c r="CO1110">
        <f>'Grid_Stock'!CM28</f>
        <v/>
      </c>
      <c r="CP1110">
        <f>'Grid_Stock'!CN28</f>
        <v/>
      </c>
      <c r="CQ1110">
        <f>'Grid_Stock'!CO28</f>
        <v/>
      </c>
      <c r="CR1110">
        <f>'Grid_Stock'!CP28</f>
        <v/>
      </c>
      <c r="CS1110">
        <f>'Grid_Stock'!CQ28</f>
        <v/>
      </c>
      <c r="CT1110">
        <f>'Grid_Stock'!CR28</f>
        <v/>
      </c>
      <c r="CU1110">
        <f>'Grid_Stock'!CS28</f>
        <v/>
      </c>
      <c r="CV1110">
        <f>'Grid_Stock'!CT28</f>
        <v/>
      </c>
      <c r="CW1110">
        <f>'Grid_Stock'!CU28</f>
        <v/>
      </c>
      <c r="CX1110">
        <f>'Grid_Stock'!CV28</f>
        <v/>
      </c>
      <c r="CY1110">
        <f>'Grid_Stock'!CW28</f>
        <v/>
      </c>
      <c r="CZ1110">
        <f>'Grid_Stock'!CX28</f>
        <v/>
      </c>
      <c r="DA1110">
        <f>'Grid_Stock'!CY28</f>
        <v/>
      </c>
      <c r="DB1110">
        <f>'Grid_Stock'!CZ28</f>
        <v/>
      </c>
      <c r="DC1110">
        <f>'Grid_Stock'!DA28</f>
        <v/>
      </c>
    </row>
    <row r="1111">
      <c r="B1111" s="21" t="inlineStr">
        <is>
          <t>（発注の目安はDashboardの基準在庫[下限/上限]と色分けを参照）</t>
        </is>
      </c>
    </row>
    <row r="1113">
      <c r="A1113" s="19" t="inlineStr">
        <is>
          <t>CHEM-1830</t>
        </is>
      </c>
      <c r="B1113" s="19" t="inlineStr">
        <is>
          <t>RCT-43</t>
        </is>
      </c>
      <c r="C1113" s="20" t="n"/>
      <c r="D1113" s="19" t="n"/>
      <c r="E1113" s="19" t="n"/>
      <c r="F1113" s="19" t="n"/>
      <c r="G1113" s="19" t="n"/>
      <c r="H1113" s="19" t="n"/>
      <c r="I1113" s="19" t="n"/>
      <c r="J1113" s="19" t="n"/>
      <c r="K1113" s="19" t="n"/>
      <c r="L1113" s="19" t="n"/>
      <c r="M1113" s="19" t="n"/>
      <c r="N1113" s="19" t="n"/>
      <c r="O1113" s="19" t="n"/>
      <c r="P1113" s="19" t="n"/>
      <c r="Q1113" s="19" t="n"/>
      <c r="R1113" s="19" t="n"/>
      <c r="S1113" s="19" t="n"/>
      <c r="T1113" s="19" t="n"/>
      <c r="U1113" s="19" t="n"/>
      <c r="V1113" s="19" t="n"/>
      <c r="W1113" s="19" t="n"/>
      <c r="X1113" s="19" t="n"/>
      <c r="Y1113" s="19" t="n"/>
      <c r="Z1113" s="19" t="n"/>
      <c r="AA1113" s="19" t="n"/>
      <c r="AB1113" s="19" t="n"/>
      <c r="AC1113" s="19" t="n"/>
      <c r="AD1113" s="19" t="n"/>
      <c r="AE1113" s="19" t="n"/>
      <c r="AF1113" s="19" t="n"/>
      <c r="AG1113" s="19" t="n"/>
      <c r="AH1113" s="19" t="n"/>
      <c r="AI1113" s="19" t="n"/>
      <c r="AJ1113" s="19" t="n"/>
      <c r="AK1113" s="19" t="n"/>
      <c r="AL1113" s="19" t="n"/>
      <c r="AM1113" s="19" t="n"/>
      <c r="AN1113" s="19" t="n"/>
      <c r="AO1113" s="19" t="n"/>
      <c r="AP1113" s="19" t="n"/>
      <c r="AQ1113" s="19" t="n"/>
      <c r="AR1113" s="19" t="n"/>
      <c r="AS1113" s="19" t="n"/>
      <c r="AT1113" s="19" t="n"/>
      <c r="AU1113" s="19" t="n"/>
      <c r="AV1113" s="19" t="n"/>
      <c r="AW1113" s="19" t="n"/>
      <c r="AX1113" s="19" t="n"/>
      <c r="AY1113" s="19" t="n"/>
      <c r="AZ1113" s="19" t="n"/>
      <c r="BA1113" s="19" t="n"/>
      <c r="BB1113" s="19" t="n"/>
      <c r="BC1113" s="19" t="n"/>
      <c r="BD1113" s="19" t="n"/>
      <c r="BE1113" s="19" t="n"/>
      <c r="BF1113" s="19" t="n"/>
      <c r="BG1113" s="19" t="n"/>
      <c r="BH1113" s="19" t="n"/>
      <c r="BI1113" s="19" t="n"/>
      <c r="BJ1113" s="19" t="n"/>
      <c r="BK1113" s="19" t="n"/>
      <c r="BL1113" s="19" t="n"/>
      <c r="BM1113" s="19" t="n"/>
      <c r="BN1113" s="19" t="n"/>
      <c r="BO1113" s="19" t="n"/>
      <c r="BP1113" s="19" t="n"/>
      <c r="BQ1113" s="19" t="n"/>
      <c r="BR1113" s="19" t="n"/>
      <c r="BS1113" s="19" t="n"/>
      <c r="BT1113" s="19" t="n"/>
      <c r="BU1113" s="19" t="n"/>
      <c r="BV1113" s="19" t="n"/>
      <c r="BW1113" s="19" t="n"/>
      <c r="BX1113" s="19" t="n"/>
      <c r="BY1113" s="19" t="n"/>
      <c r="BZ1113" s="19" t="n"/>
      <c r="CA1113" s="19" t="n"/>
      <c r="CB1113" s="19" t="n"/>
      <c r="CC1113" s="19" t="n"/>
      <c r="CD1113" s="19" t="n"/>
      <c r="CE1113" s="19" t="n"/>
      <c r="CF1113" s="19" t="n"/>
      <c r="CG1113" s="19" t="n"/>
      <c r="CH1113" s="19" t="n"/>
      <c r="CI1113" s="19" t="n"/>
      <c r="CJ1113" s="19" t="n"/>
      <c r="CK1113" s="19" t="n"/>
      <c r="CL1113" s="19" t="n"/>
      <c r="CM1113" s="19" t="n"/>
      <c r="CN1113" s="19" t="n"/>
      <c r="CO1113" s="19" t="n"/>
      <c r="CP1113" s="19" t="n"/>
      <c r="CQ1113" s="19" t="n"/>
      <c r="CR1113" s="19" t="n"/>
      <c r="CS1113" s="19" t="n"/>
      <c r="CT1113" s="19" t="n"/>
      <c r="CU1113" s="19" t="n"/>
      <c r="CV1113" s="19" t="n"/>
      <c r="CW1113" s="19" t="n"/>
      <c r="CX1113" s="19" t="n"/>
      <c r="CY1113" s="19" t="n"/>
      <c r="CZ1113" s="19" t="n"/>
      <c r="DA1113" s="19" t="n"/>
      <c r="DB1113" s="19" t="n"/>
      <c r="DC1113" s="19" t="n"/>
    </row>
    <row r="1114">
      <c r="B1114" t="inlineStr">
        <is>
          <t>TPP-2245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12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Name],$A1113)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TSP-1558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12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Name],$A1113)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t="inlineStr">
        <is>
          <t>TSP-1559</t>
        </is>
      </c>
      <c r="C1118" t="inlineStr">
        <is>
          <t>No. of batches</t>
        </is>
      </c>
      <c r="D1118">
        <f>IFERROR(INDEX(PP_Grid[#Data],$DD1118,2),0)</f>
        <v/>
      </c>
      <c r="E1118">
        <f>IFERROR(INDEX(PP_Grid[#Data],$DD1118,3),0)</f>
        <v/>
      </c>
      <c r="F1118">
        <f>IFERROR(INDEX(PP_Grid[#Data],$DD1118,4),0)</f>
        <v/>
      </c>
      <c r="G1118">
        <f>IFERROR(INDEX(PP_Grid[#Data],$DD1118,5),0)</f>
        <v/>
      </c>
      <c r="H1118">
        <f>IFERROR(INDEX(PP_Grid[#Data],$DD1118,6),0)</f>
        <v/>
      </c>
      <c r="I1118">
        <f>IFERROR(INDEX(PP_Grid[#Data],$DD1118,7),0)</f>
        <v/>
      </c>
      <c r="J1118">
        <f>IFERROR(INDEX(PP_Grid[#Data],$DD1118,8),0)</f>
        <v/>
      </c>
      <c r="K1118">
        <f>IFERROR(INDEX(PP_Grid[#Data],$DD1118,9),0)</f>
        <v/>
      </c>
      <c r="L1118">
        <f>IFERROR(INDEX(PP_Grid[#Data],$DD1118,10),0)</f>
        <v/>
      </c>
      <c r="M1118">
        <f>IFERROR(INDEX(PP_Grid[#Data],$DD1118,11),0)</f>
        <v/>
      </c>
      <c r="N1118">
        <f>IFERROR(INDEX(PP_Grid[#Data],$DD1118,12),0)</f>
        <v/>
      </c>
      <c r="O1118">
        <f>IFERROR(INDEX(PP_Grid[#Data],$DD1118,13),0)</f>
        <v/>
      </c>
      <c r="P1118">
        <f>IFERROR(INDEX(PP_Grid[#Data],$DD1118,14),0)</f>
        <v/>
      </c>
      <c r="Q1118">
        <f>IFERROR(INDEX(PP_Grid[#Data],$DD1118,15),0)</f>
        <v/>
      </c>
      <c r="R1118">
        <f>IFERROR(INDEX(PP_Grid[#Data],$DD1118,16),0)</f>
        <v/>
      </c>
      <c r="S1118">
        <f>IFERROR(INDEX(PP_Grid[#Data],$DD1118,17),0)</f>
        <v/>
      </c>
      <c r="T1118">
        <f>IFERROR(INDEX(PP_Grid[#Data],$DD1118,18),0)</f>
        <v/>
      </c>
      <c r="U1118">
        <f>IFERROR(INDEX(PP_Grid[#Data],$DD1118,19),0)</f>
        <v/>
      </c>
      <c r="V1118">
        <f>IFERROR(INDEX(PP_Grid[#Data],$DD1118,20),0)</f>
        <v/>
      </c>
      <c r="W1118">
        <f>IFERROR(INDEX(PP_Grid[#Data],$DD1118,21),0)</f>
        <v/>
      </c>
      <c r="X1118">
        <f>IFERROR(INDEX(PP_Grid[#Data],$DD1118,22),0)</f>
        <v/>
      </c>
      <c r="Y1118">
        <f>IFERROR(INDEX(PP_Grid[#Data],$DD1118,23),0)</f>
        <v/>
      </c>
      <c r="Z1118">
        <f>IFERROR(INDEX(PP_Grid[#Data],$DD1118,24),0)</f>
        <v/>
      </c>
      <c r="AA1118">
        <f>IFERROR(INDEX(PP_Grid[#Data],$DD1118,25),0)</f>
        <v/>
      </c>
      <c r="AB1118">
        <f>IFERROR(INDEX(PP_Grid[#Data],$DD1118,26),0)</f>
        <v/>
      </c>
      <c r="AC1118">
        <f>IFERROR(INDEX(PP_Grid[#Data],$DD1118,27),0)</f>
        <v/>
      </c>
      <c r="AD1118">
        <f>IFERROR(INDEX(PP_Grid[#Data],$DD1118,28),0)</f>
        <v/>
      </c>
      <c r="AE1118">
        <f>IFERROR(INDEX(PP_Grid[#Data],$DD1118,29),0)</f>
        <v/>
      </c>
      <c r="AF1118">
        <f>IFERROR(INDEX(PP_Grid[#Data],$DD1118,30),0)</f>
        <v/>
      </c>
      <c r="AG1118">
        <f>IFERROR(INDEX(PP_Grid[#Data],$DD1118,31),0)</f>
        <v/>
      </c>
      <c r="AH1118">
        <f>IFERROR(INDEX(PP_Grid[#Data],$DD1118,32),0)</f>
        <v/>
      </c>
      <c r="AI1118">
        <f>IFERROR(INDEX(PP_Grid[#Data],$DD1118,33),0)</f>
        <v/>
      </c>
      <c r="AJ1118">
        <f>IFERROR(INDEX(PP_Grid[#Data],$DD1118,34),0)</f>
        <v/>
      </c>
      <c r="AK1118">
        <f>IFERROR(INDEX(PP_Grid[#Data],$DD1118,35),0)</f>
        <v/>
      </c>
      <c r="AL1118">
        <f>IFERROR(INDEX(PP_Grid[#Data],$DD1118,36),0)</f>
        <v/>
      </c>
      <c r="AM1118">
        <f>IFERROR(INDEX(PP_Grid[#Data],$DD1118,37),0)</f>
        <v/>
      </c>
      <c r="AN1118">
        <f>IFERROR(INDEX(PP_Grid[#Data],$DD1118,38),0)</f>
        <v/>
      </c>
      <c r="AO1118">
        <f>IFERROR(INDEX(PP_Grid[#Data],$DD1118,39),0)</f>
        <v/>
      </c>
      <c r="AP1118">
        <f>IFERROR(INDEX(PP_Grid[#Data],$DD1118,40),0)</f>
        <v/>
      </c>
      <c r="AQ1118">
        <f>IFERROR(INDEX(PP_Grid[#Data],$DD1118,41),0)</f>
        <v/>
      </c>
      <c r="AR1118">
        <f>IFERROR(INDEX(PP_Grid[#Data],$DD1118,42),0)</f>
        <v/>
      </c>
      <c r="AS1118">
        <f>IFERROR(INDEX(PP_Grid[#Data],$DD1118,43),0)</f>
        <v/>
      </c>
      <c r="AT1118">
        <f>IFERROR(INDEX(PP_Grid[#Data],$DD1118,44),0)</f>
        <v/>
      </c>
      <c r="AU1118">
        <f>IFERROR(INDEX(PP_Grid[#Data],$DD1118,45),0)</f>
        <v/>
      </c>
      <c r="AV1118">
        <f>IFERROR(INDEX(PP_Grid[#Data],$DD1118,46),0)</f>
        <v/>
      </c>
      <c r="AW1118">
        <f>IFERROR(INDEX(PP_Grid[#Data],$DD1118,47),0)</f>
        <v/>
      </c>
      <c r="AX1118">
        <f>IFERROR(INDEX(PP_Grid[#Data],$DD1118,48),0)</f>
        <v/>
      </c>
      <c r="AY1118">
        <f>IFERROR(INDEX(PP_Grid[#Data],$DD1118,49),0)</f>
        <v/>
      </c>
      <c r="AZ1118">
        <f>IFERROR(INDEX(PP_Grid[#Data],$DD1118,50),0)</f>
        <v/>
      </c>
      <c r="BA1118">
        <f>IFERROR(INDEX(PP_Grid[#Data],$DD1118,51),0)</f>
        <v/>
      </c>
      <c r="BB1118">
        <f>IFERROR(INDEX(PP_Grid[#Data],$DD1118,52),0)</f>
        <v/>
      </c>
      <c r="BC1118">
        <f>IFERROR(INDEX(PP_Grid[#Data],$DD1118,53),0)</f>
        <v/>
      </c>
      <c r="BD1118">
        <f>IFERROR(INDEX(PP_Grid[#Data],$DD1118,54),0)</f>
        <v/>
      </c>
      <c r="BE1118">
        <f>IFERROR(INDEX(PP_Grid[#Data],$DD1118,55),0)</f>
        <v/>
      </c>
      <c r="BF1118">
        <f>IFERROR(INDEX(PP_Grid[#Data],$DD1118,56),0)</f>
        <v/>
      </c>
      <c r="BG1118">
        <f>IFERROR(INDEX(PP_Grid[#Data],$DD1118,57),0)</f>
        <v/>
      </c>
      <c r="BH1118">
        <f>IFERROR(INDEX(PP_Grid[#Data],$DD1118,58),0)</f>
        <v/>
      </c>
      <c r="BI1118">
        <f>IFERROR(INDEX(PP_Grid[#Data],$DD1118,59),0)</f>
        <v/>
      </c>
      <c r="BJ1118">
        <f>IFERROR(INDEX(PP_Grid[#Data],$DD1118,60),0)</f>
        <v/>
      </c>
      <c r="BK1118">
        <f>IFERROR(INDEX(PP_Grid[#Data],$DD1118,61),0)</f>
        <v/>
      </c>
      <c r="BL1118">
        <f>IFERROR(INDEX(PP_Grid[#Data],$DD1118,62),0)</f>
        <v/>
      </c>
      <c r="BM1118">
        <f>IFERROR(INDEX(PP_Grid[#Data],$DD1118,63),0)</f>
        <v/>
      </c>
      <c r="BN1118">
        <f>IFERROR(INDEX(PP_Grid[#Data],$DD1118,64),0)</f>
        <v/>
      </c>
      <c r="BO1118">
        <f>IFERROR(INDEX(PP_Grid[#Data],$DD1118,65),0)</f>
        <v/>
      </c>
      <c r="BP1118">
        <f>IFERROR(INDEX(PP_Grid[#Data],$DD1118,66),0)</f>
        <v/>
      </c>
      <c r="BQ1118">
        <f>IFERROR(INDEX(PP_Grid[#Data],$DD1118,67),0)</f>
        <v/>
      </c>
      <c r="BR1118">
        <f>IFERROR(INDEX(PP_Grid[#Data],$DD1118,68),0)</f>
        <v/>
      </c>
      <c r="BS1118">
        <f>IFERROR(INDEX(PP_Grid[#Data],$DD1118,69),0)</f>
        <v/>
      </c>
      <c r="BT1118">
        <f>IFERROR(INDEX(PP_Grid[#Data],$DD1118,70),0)</f>
        <v/>
      </c>
      <c r="BU1118">
        <f>IFERROR(INDEX(PP_Grid[#Data],$DD1118,71),0)</f>
        <v/>
      </c>
      <c r="BV1118">
        <f>IFERROR(INDEX(PP_Grid[#Data],$DD1118,72),0)</f>
        <v/>
      </c>
      <c r="BW1118">
        <f>IFERROR(INDEX(PP_Grid[#Data],$DD1118,73),0)</f>
        <v/>
      </c>
      <c r="BX1118">
        <f>IFERROR(INDEX(PP_Grid[#Data],$DD1118,74),0)</f>
        <v/>
      </c>
      <c r="BY1118">
        <f>IFERROR(INDEX(PP_Grid[#Data],$DD1118,75),0)</f>
        <v/>
      </c>
      <c r="BZ1118">
        <f>IFERROR(INDEX(PP_Grid[#Data],$DD1118,76),0)</f>
        <v/>
      </c>
      <c r="CA1118">
        <f>IFERROR(INDEX(PP_Grid[#Data],$DD1118,77),0)</f>
        <v/>
      </c>
      <c r="CB1118">
        <f>IFERROR(INDEX(PP_Grid[#Data],$DD1118,78),0)</f>
        <v/>
      </c>
      <c r="CC1118">
        <f>IFERROR(INDEX(PP_Grid[#Data],$DD1118,79),0)</f>
        <v/>
      </c>
      <c r="CD1118">
        <f>IFERROR(INDEX(PP_Grid[#Data],$DD1118,80),0)</f>
        <v/>
      </c>
      <c r="CE1118">
        <f>IFERROR(INDEX(PP_Grid[#Data],$DD1118,81),0)</f>
        <v/>
      </c>
      <c r="CF1118">
        <f>IFERROR(INDEX(PP_Grid[#Data],$DD1118,82),0)</f>
        <v/>
      </c>
      <c r="CG1118">
        <f>IFERROR(INDEX(PP_Grid[#Data],$DD1118,83),0)</f>
        <v/>
      </c>
      <c r="CH1118">
        <f>IFERROR(INDEX(PP_Grid[#Data],$DD1118,84),0)</f>
        <v/>
      </c>
      <c r="CI1118">
        <f>IFERROR(INDEX(PP_Grid[#Data],$DD1118,85),0)</f>
        <v/>
      </c>
      <c r="CJ1118">
        <f>IFERROR(INDEX(PP_Grid[#Data],$DD1118,86),0)</f>
        <v/>
      </c>
      <c r="CK1118">
        <f>IFERROR(INDEX(PP_Grid[#Data],$DD1118,87),0)</f>
        <v/>
      </c>
      <c r="CL1118">
        <f>IFERROR(INDEX(PP_Grid[#Data],$DD1118,88),0)</f>
        <v/>
      </c>
      <c r="CM1118">
        <f>IFERROR(INDEX(PP_Grid[#Data],$DD1118,89),0)</f>
        <v/>
      </c>
      <c r="CN1118">
        <f>IFERROR(INDEX(PP_Grid[#Data],$DD1118,90),0)</f>
        <v/>
      </c>
      <c r="CO1118">
        <f>IFERROR(INDEX(PP_Grid[#Data],$DD1118,91),0)</f>
        <v/>
      </c>
      <c r="CP1118">
        <f>IFERROR(INDEX(PP_Grid[#Data],$DD1118,92),0)</f>
        <v/>
      </c>
      <c r="CQ1118">
        <f>IFERROR(INDEX(PP_Grid[#Data],$DD1118,93),0)</f>
        <v/>
      </c>
      <c r="CR1118">
        <f>IFERROR(INDEX(PP_Grid[#Data],$DD1118,94),0)</f>
        <v/>
      </c>
      <c r="CS1118">
        <f>IFERROR(INDEX(PP_Grid[#Data],$DD1118,95),0)</f>
        <v/>
      </c>
      <c r="CT1118">
        <f>IFERROR(INDEX(PP_Grid[#Data],$DD1118,96),0)</f>
        <v/>
      </c>
      <c r="CU1118">
        <f>IFERROR(INDEX(PP_Grid[#Data],$DD1118,97),0)</f>
        <v/>
      </c>
      <c r="CV1118">
        <f>IFERROR(INDEX(PP_Grid[#Data],$DD1118,98),0)</f>
        <v/>
      </c>
      <c r="CW1118">
        <f>IFERROR(INDEX(PP_Grid[#Data],$DD1118,99),0)</f>
        <v/>
      </c>
      <c r="CX1118">
        <f>IFERROR(INDEX(PP_Grid[#Data],$DD1118,100),0)</f>
        <v/>
      </c>
      <c r="CY1118">
        <f>IFERROR(INDEX(PP_Grid[#Data],$DD1118,101),0)</f>
        <v/>
      </c>
      <c r="CZ1118">
        <f>IFERROR(INDEX(PP_Grid[#Data],$DD1118,102),0)</f>
        <v/>
      </c>
      <c r="DA1118">
        <f>IFERROR(INDEX(PP_Grid[#Data],$DD1118,103),0)</f>
        <v/>
      </c>
      <c r="DB1118">
        <f>IFERROR(INDEX(PP_Grid[#Data],$DD1118,104),0)</f>
        <v/>
      </c>
      <c r="DC1118">
        <f>IFERROR(INDEX(PP_Grid[#Data],$DD1118,105),0)</f>
        <v/>
      </c>
      <c r="DD1118" s="12">
        <f>IFERROR(MATCH($B1118,PP_Grid[Intermediate],0),99999)</f>
        <v/>
      </c>
    </row>
    <row r="1119">
      <c r="B1119" t="inlineStr">
        <is>
          <t>使用量(kg)</t>
        </is>
      </c>
      <c r="C1119">
        <f>SUMIFS(M_BOM[RM_Qty_Per_Batch],M_BOM[Intermediate],$B1118,M_BOM[Part Name],$A1113)</f>
        <v/>
      </c>
      <c r="D1119">
        <f>$C1119*D1118</f>
        <v/>
      </c>
      <c r="E1119">
        <f>$C1119*E1118</f>
        <v/>
      </c>
      <c r="F1119">
        <f>$C1119*F1118</f>
        <v/>
      </c>
      <c r="G1119">
        <f>$C1119*G1118</f>
        <v/>
      </c>
      <c r="H1119">
        <f>$C1119*H1118</f>
        <v/>
      </c>
      <c r="I1119">
        <f>$C1119*I1118</f>
        <v/>
      </c>
      <c r="J1119">
        <f>$C1119*J1118</f>
        <v/>
      </c>
      <c r="K1119">
        <f>$C1119*K1118</f>
        <v/>
      </c>
      <c r="L1119">
        <f>$C1119*L1118</f>
        <v/>
      </c>
      <c r="M1119">
        <f>$C1119*M1118</f>
        <v/>
      </c>
      <c r="N1119">
        <f>$C1119*N1118</f>
        <v/>
      </c>
      <c r="O1119">
        <f>$C1119*O1118</f>
        <v/>
      </c>
      <c r="P1119">
        <f>$C1119*P1118</f>
        <v/>
      </c>
      <c r="Q1119">
        <f>$C1119*Q1118</f>
        <v/>
      </c>
      <c r="R1119">
        <f>$C1119*R1118</f>
        <v/>
      </c>
      <c r="S1119">
        <f>$C1119*S1118</f>
        <v/>
      </c>
      <c r="T1119">
        <f>$C1119*T1118</f>
        <v/>
      </c>
      <c r="U1119">
        <f>$C1119*U1118</f>
        <v/>
      </c>
      <c r="V1119">
        <f>$C1119*V1118</f>
        <v/>
      </c>
      <c r="W1119">
        <f>$C1119*W1118</f>
        <v/>
      </c>
      <c r="X1119">
        <f>$C1119*X1118</f>
        <v/>
      </c>
      <c r="Y1119">
        <f>$C1119*Y1118</f>
        <v/>
      </c>
      <c r="Z1119">
        <f>$C1119*Z1118</f>
        <v/>
      </c>
      <c r="AA1119">
        <f>$C1119*AA1118</f>
        <v/>
      </c>
      <c r="AB1119">
        <f>$C1119*AB1118</f>
        <v/>
      </c>
      <c r="AC1119">
        <f>$C1119*AC1118</f>
        <v/>
      </c>
      <c r="AD1119">
        <f>$C1119*AD1118</f>
        <v/>
      </c>
      <c r="AE1119">
        <f>$C1119*AE1118</f>
        <v/>
      </c>
      <c r="AF1119">
        <f>$C1119*AF1118</f>
        <v/>
      </c>
      <c r="AG1119">
        <f>$C1119*AG1118</f>
        <v/>
      </c>
      <c r="AH1119">
        <f>$C1119*AH1118</f>
        <v/>
      </c>
      <c r="AI1119">
        <f>$C1119*AI1118</f>
        <v/>
      </c>
      <c r="AJ1119">
        <f>$C1119*AJ1118</f>
        <v/>
      </c>
      <c r="AK1119">
        <f>$C1119*AK1118</f>
        <v/>
      </c>
      <c r="AL1119">
        <f>$C1119*AL1118</f>
        <v/>
      </c>
      <c r="AM1119">
        <f>$C1119*AM1118</f>
        <v/>
      </c>
      <c r="AN1119">
        <f>$C1119*AN1118</f>
        <v/>
      </c>
      <c r="AO1119">
        <f>$C1119*AO1118</f>
        <v/>
      </c>
      <c r="AP1119">
        <f>$C1119*AP1118</f>
        <v/>
      </c>
      <c r="AQ1119">
        <f>$C1119*AQ1118</f>
        <v/>
      </c>
      <c r="AR1119">
        <f>$C1119*AR1118</f>
        <v/>
      </c>
      <c r="AS1119">
        <f>$C1119*AS1118</f>
        <v/>
      </c>
      <c r="AT1119">
        <f>$C1119*AT1118</f>
        <v/>
      </c>
      <c r="AU1119">
        <f>$C1119*AU1118</f>
        <v/>
      </c>
      <c r="AV1119">
        <f>$C1119*AV1118</f>
        <v/>
      </c>
      <c r="AW1119">
        <f>$C1119*AW1118</f>
        <v/>
      </c>
      <c r="AX1119">
        <f>$C1119*AX1118</f>
        <v/>
      </c>
      <c r="AY1119">
        <f>$C1119*AY1118</f>
        <v/>
      </c>
      <c r="AZ1119">
        <f>$C1119*AZ1118</f>
        <v/>
      </c>
      <c r="BA1119">
        <f>$C1119*BA1118</f>
        <v/>
      </c>
      <c r="BB1119">
        <f>$C1119*BB1118</f>
        <v/>
      </c>
      <c r="BC1119">
        <f>$C1119*BC1118</f>
        <v/>
      </c>
      <c r="BD1119">
        <f>$C1119*BD1118</f>
        <v/>
      </c>
      <c r="BE1119">
        <f>$C1119*BE1118</f>
        <v/>
      </c>
      <c r="BF1119">
        <f>$C1119*BF1118</f>
        <v/>
      </c>
      <c r="BG1119">
        <f>$C1119*BG1118</f>
        <v/>
      </c>
      <c r="BH1119">
        <f>$C1119*BH1118</f>
        <v/>
      </c>
      <c r="BI1119">
        <f>$C1119*BI1118</f>
        <v/>
      </c>
      <c r="BJ1119">
        <f>$C1119*BJ1118</f>
        <v/>
      </c>
      <c r="BK1119">
        <f>$C1119*BK1118</f>
        <v/>
      </c>
      <c r="BL1119">
        <f>$C1119*BL1118</f>
        <v/>
      </c>
      <c r="BM1119">
        <f>$C1119*BM1118</f>
        <v/>
      </c>
      <c r="BN1119">
        <f>$C1119*BN1118</f>
        <v/>
      </c>
      <c r="BO1119">
        <f>$C1119*BO1118</f>
        <v/>
      </c>
      <c r="BP1119">
        <f>$C1119*BP1118</f>
        <v/>
      </c>
      <c r="BQ1119">
        <f>$C1119*BQ1118</f>
        <v/>
      </c>
      <c r="BR1119">
        <f>$C1119*BR1118</f>
        <v/>
      </c>
      <c r="BS1119">
        <f>$C1119*BS1118</f>
        <v/>
      </c>
      <c r="BT1119">
        <f>$C1119*BT1118</f>
        <v/>
      </c>
      <c r="BU1119">
        <f>$C1119*BU1118</f>
        <v/>
      </c>
      <c r="BV1119">
        <f>$C1119*BV1118</f>
        <v/>
      </c>
      <c r="BW1119">
        <f>$C1119*BW1118</f>
        <v/>
      </c>
      <c r="BX1119">
        <f>$C1119*BX1118</f>
        <v/>
      </c>
      <c r="BY1119">
        <f>$C1119*BY1118</f>
        <v/>
      </c>
      <c r="BZ1119">
        <f>$C1119*BZ1118</f>
        <v/>
      </c>
      <c r="CA1119">
        <f>$C1119*CA1118</f>
        <v/>
      </c>
      <c r="CB1119">
        <f>$C1119*CB1118</f>
        <v/>
      </c>
      <c r="CC1119">
        <f>$C1119*CC1118</f>
        <v/>
      </c>
      <c r="CD1119">
        <f>$C1119*CD1118</f>
        <v/>
      </c>
      <c r="CE1119">
        <f>$C1119*CE1118</f>
        <v/>
      </c>
      <c r="CF1119">
        <f>$C1119*CF1118</f>
        <v/>
      </c>
      <c r="CG1119">
        <f>$C1119*CG1118</f>
        <v/>
      </c>
      <c r="CH1119">
        <f>$C1119*CH1118</f>
        <v/>
      </c>
      <c r="CI1119">
        <f>$C1119*CI1118</f>
        <v/>
      </c>
      <c r="CJ1119">
        <f>$C1119*CJ1118</f>
        <v/>
      </c>
      <c r="CK1119">
        <f>$C1119*CK1118</f>
        <v/>
      </c>
      <c r="CL1119">
        <f>$C1119*CL1118</f>
        <v/>
      </c>
      <c r="CM1119">
        <f>$C1119*CM1118</f>
        <v/>
      </c>
      <c r="CN1119">
        <f>$C1119*CN1118</f>
        <v/>
      </c>
      <c r="CO1119">
        <f>$C1119*CO1118</f>
        <v/>
      </c>
      <c r="CP1119">
        <f>$C1119*CP1118</f>
        <v/>
      </c>
      <c r="CQ1119">
        <f>$C1119*CQ1118</f>
        <v/>
      </c>
      <c r="CR1119">
        <f>$C1119*CR1118</f>
        <v/>
      </c>
      <c r="CS1119">
        <f>$C1119*CS1118</f>
        <v/>
      </c>
      <c r="CT1119">
        <f>$C1119*CT1118</f>
        <v/>
      </c>
      <c r="CU1119">
        <f>$C1119*CU1118</f>
        <v/>
      </c>
      <c r="CV1119">
        <f>$C1119*CV1118</f>
        <v/>
      </c>
      <c r="CW1119">
        <f>$C1119*CW1118</f>
        <v/>
      </c>
      <c r="CX1119">
        <f>$C1119*CX1118</f>
        <v/>
      </c>
      <c r="CY1119">
        <f>$C1119*CY1118</f>
        <v/>
      </c>
      <c r="CZ1119">
        <f>$C1119*CZ1118</f>
        <v/>
      </c>
      <c r="DA1119">
        <f>$C1119*DA1118</f>
        <v/>
      </c>
      <c r="DB1119">
        <f>$C1119*DB1118</f>
        <v/>
      </c>
      <c r="DC1119">
        <f>$C1119*DC1118</f>
        <v/>
      </c>
    </row>
    <row r="1120">
      <c r="B1120" t="inlineStr">
        <is>
          <t>TSP-2157</t>
        </is>
      </c>
      <c r="C1120" t="inlineStr">
        <is>
          <t>No. of batches</t>
        </is>
      </c>
      <c r="D1120">
        <f>IFERROR(INDEX(PP_Grid[#Data],$DD1120,2),0)</f>
        <v/>
      </c>
      <c r="E1120">
        <f>IFERROR(INDEX(PP_Grid[#Data],$DD1120,3),0)</f>
        <v/>
      </c>
      <c r="F1120">
        <f>IFERROR(INDEX(PP_Grid[#Data],$DD1120,4),0)</f>
        <v/>
      </c>
      <c r="G1120">
        <f>IFERROR(INDEX(PP_Grid[#Data],$DD1120,5),0)</f>
        <v/>
      </c>
      <c r="H1120">
        <f>IFERROR(INDEX(PP_Grid[#Data],$DD1120,6),0)</f>
        <v/>
      </c>
      <c r="I1120">
        <f>IFERROR(INDEX(PP_Grid[#Data],$DD1120,7),0)</f>
        <v/>
      </c>
      <c r="J1120">
        <f>IFERROR(INDEX(PP_Grid[#Data],$DD1120,8),0)</f>
        <v/>
      </c>
      <c r="K1120">
        <f>IFERROR(INDEX(PP_Grid[#Data],$DD1120,9),0)</f>
        <v/>
      </c>
      <c r="L1120">
        <f>IFERROR(INDEX(PP_Grid[#Data],$DD1120,10),0)</f>
        <v/>
      </c>
      <c r="M1120">
        <f>IFERROR(INDEX(PP_Grid[#Data],$DD1120,11),0)</f>
        <v/>
      </c>
      <c r="N1120">
        <f>IFERROR(INDEX(PP_Grid[#Data],$DD1120,12),0)</f>
        <v/>
      </c>
      <c r="O1120">
        <f>IFERROR(INDEX(PP_Grid[#Data],$DD1120,13),0)</f>
        <v/>
      </c>
      <c r="P1120">
        <f>IFERROR(INDEX(PP_Grid[#Data],$DD1120,14),0)</f>
        <v/>
      </c>
      <c r="Q1120">
        <f>IFERROR(INDEX(PP_Grid[#Data],$DD1120,15),0)</f>
        <v/>
      </c>
      <c r="R1120">
        <f>IFERROR(INDEX(PP_Grid[#Data],$DD1120,16),0)</f>
        <v/>
      </c>
      <c r="S1120">
        <f>IFERROR(INDEX(PP_Grid[#Data],$DD1120,17),0)</f>
        <v/>
      </c>
      <c r="T1120">
        <f>IFERROR(INDEX(PP_Grid[#Data],$DD1120,18),0)</f>
        <v/>
      </c>
      <c r="U1120">
        <f>IFERROR(INDEX(PP_Grid[#Data],$DD1120,19),0)</f>
        <v/>
      </c>
      <c r="V1120">
        <f>IFERROR(INDEX(PP_Grid[#Data],$DD1120,20),0)</f>
        <v/>
      </c>
      <c r="W1120">
        <f>IFERROR(INDEX(PP_Grid[#Data],$DD1120,21),0)</f>
        <v/>
      </c>
      <c r="X1120">
        <f>IFERROR(INDEX(PP_Grid[#Data],$DD1120,22),0)</f>
        <v/>
      </c>
      <c r="Y1120">
        <f>IFERROR(INDEX(PP_Grid[#Data],$DD1120,23),0)</f>
        <v/>
      </c>
      <c r="Z1120">
        <f>IFERROR(INDEX(PP_Grid[#Data],$DD1120,24),0)</f>
        <v/>
      </c>
      <c r="AA1120">
        <f>IFERROR(INDEX(PP_Grid[#Data],$DD1120,25),0)</f>
        <v/>
      </c>
      <c r="AB1120">
        <f>IFERROR(INDEX(PP_Grid[#Data],$DD1120,26),0)</f>
        <v/>
      </c>
      <c r="AC1120">
        <f>IFERROR(INDEX(PP_Grid[#Data],$DD1120,27),0)</f>
        <v/>
      </c>
      <c r="AD1120">
        <f>IFERROR(INDEX(PP_Grid[#Data],$DD1120,28),0)</f>
        <v/>
      </c>
      <c r="AE1120">
        <f>IFERROR(INDEX(PP_Grid[#Data],$DD1120,29),0)</f>
        <v/>
      </c>
      <c r="AF1120">
        <f>IFERROR(INDEX(PP_Grid[#Data],$DD1120,30),0)</f>
        <v/>
      </c>
      <c r="AG1120">
        <f>IFERROR(INDEX(PP_Grid[#Data],$DD1120,31),0)</f>
        <v/>
      </c>
      <c r="AH1120">
        <f>IFERROR(INDEX(PP_Grid[#Data],$DD1120,32),0)</f>
        <v/>
      </c>
      <c r="AI1120">
        <f>IFERROR(INDEX(PP_Grid[#Data],$DD1120,33),0)</f>
        <v/>
      </c>
      <c r="AJ1120">
        <f>IFERROR(INDEX(PP_Grid[#Data],$DD1120,34),0)</f>
        <v/>
      </c>
      <c r="AK1120">
        <f>IFERROR(INDEX(PP_Grid[#Data],$DD1120,35),0)</f>
        <v/>
      </c>
      <c r="AL1120">
        <f>IFERROR(INDEX(PP_Grid[#Data],$DD1120,36),0)</f>
        <v/>
      </c>
      <c r="AM1120">
        <f>IFERROR(INDEX(PP_Grid[#Data],$DD1120,37),0)</f>
        <v/>
      </c>
      <c r="AN1120">
        <f>IFERROR(INDEX(PP_Grid[#Data],$DD1120,38),0)</f>
        <v/>
      </c>
      <c r="AO1120">
        <f>IFERROR(INDEX(PP_Grid[#Data],$DD1120,39),0)</f>
        <v/>
      </c>
      <c r="AP1120">
        <f>IFERROR(INDEX(PP_Grid[#Data],$DD1120,40),0)</f>
        <v/>
      </c>
      <c r="AQ1120">
        <f>IFERROR(INDEX(PP_Grid[#Data],$DD1120,41),0)</f>
        <v/>
      </c>
      <c r="AR1120">
        <f>IFERROR(INDEX(PP_Grid[#Data],$DD1120,42),0)</f>
        <v/>
      </c>
      <c r="AS1120">
        <f>IFERROR(INDEX(PP_Grid[#Data],$DD1120,43),0)</f>
        <v/>
      </c>
      <c r="AT1120">
        <f>IFERROR(INDEX(PP_Grid[#Data],$DD1120,44),0)</f>
        <v/>
      </c>
      <c r="AU1120">
        <f>IFERROR(INDEX(PP_Grid[#Data],$DD1120,45),0)</f>
        <v/>
      </c>
      <c r="AV1120">
        <f>IFERROR(INDEX(PP_Grid[#Data],$DD1120,46),0)</f>
        <v/>
      </c>
      <c r="AW1120">
        <f>IFERROR(INDEX(PP_Grid[#Data],$DD1120,47),0)</f>
        <v/>
      </c>
      <c r="AX1120">
        <f>IFERROR(INDEX(PP_Grid[#Data],$DD1120,48),0)</f>
        <v/>
      </c>
      <c r="AY1120">
        <f>IFERROR(INDEX(PP_Grid[#Data],$DD1120,49),0)</f>
        <v/>
      </c>
      <c r="AZ1120">
        <f>IFERROR(INDEX(PP_Grid[#Data],$DD1120,50),0)</f>
        <v/>
      </c>
      <c r="BA1120">
        <f>IFERROR(INDEX(PP_Grid[#Data],$DD1120,51),0)</f>
        <v/>
      </c>
      <c r="BB1120">
        <f>IFERROR(INDEX(PP_Grid[#Data],$DD1120,52),0)</f>
        <v/>
      </c>
      <c r="BC1120">
        <f>IFERROR(INDEX(PP_Grid[#Data],$DD1120,53),0)</f>
        <v/>
      </c>
      <c r="BD1120">
        <f>IFERROR(INDEX(PP_Grid[#Data],$DD1120,54),0)</f>
        <v/>
      </c>
      <c r="BE1120">
        <f>IFERROR(INDEX(PP_Grid[#Data],$DD1120,55),0)</f>
        <v/>
      </c>
      <c r="BF1120">
        <f>IFERROR(INDEX(PP_Grid[#Data],$DD1120,56),0)</f>
        <v/>
      </c>
      <c r="BG1120">
        <f>IFERROR(INDEX(PP_Grid[#Data],$DD1120,57),0)</f>
        <v/>
      </c>
      <c r="BH1120">
        <f>IFERROR(INDEX(PP_Grid[#Data],$DD1120,58),0)</f>
        <v/>
      </c>
      <c r="BI1120">
        <f>IFERROR(INDEX(PP_Grid[#Data],$DD1120,59),0)</f>
        <v/>
      </c>
      <c r="BJ1120">
        <f>IFERROR(INDEX(PP_Grid[#Data],$DD1120,60),0)</f>
        <v/>
      </c>
      <c r="BK1120">
        <f>IFERROR(INDEX(PP_Grid[#Data],$DD1120,61),0)</f>
        <v/>
      </c>
      <c r="BL1120">
        <f>IFERROR(INDEX(PP_Grid[#Data],$DD1120,62),0)</f>
        <v/>
      </c>
      <c r="BM1120">
        <f>IFERROR(INDEX(PP_Grid[#Data],$DD1120,63),0)</f>
        <v/>
      </c>
      <c r="BN1120">
        <f>IFERROR(INDEX(PP_Grid[#Data],$DD1120,64),0)</f>
        <v/>
      </c>
      <c r="BO1120">
        <f>IFERROR(INDEX(PP_Grid[#Data],$DD1120,65),0)</f>
        <v/>
      </c>
      <c r="BP1120">
        <f>IFERROR(INDEX(PP_Grid[#Data],$DD1120,66),0)</f>
        <v/>
      </c>
      <c r="BQ1120">
        <f>IFERROR(INDEX(PP_Grid[#Data],$DD1120,67),0)</f>
        <v/>
      </c>
      <c r="BR1120">
        <f>IFERROR(INDEX(PP_Grid[#Data],$DD1120,68),0)</f>
        <v/>
      </c>
      <c r="BS1120">
        <f>IFERROR(INDEX(PP_Grid[#Data],$DD1120,69),0)</f>
        <v/>
      </c>
      <c r="BT1120">
        <f>IFERROR(INDEX(PP_Grid[#Data],$DD1120,70),0)</f>
        <v/>
      </c>
      <c r="BU1120">
        <f>IFERROR(INDEX(PP_Grid[#Data],$DD1120,71),0)</f>
        <v/>
      </c>
      <c r="BV1120">
        <f>IFERROR(INDEX(PP_Grid[#Data],$DD1120,72),0)</f>
        <v/>
      </c>
      <c r="BW1120">
        <f>IFERROR(INDEX(PP_Grid[#Data],$DD1120,73),0)</f>
        <v/>
      </c>
      <c r="BX1120">
        <f>IFERROR(INDEX(PP_Grid[#Data],$DD1120,74),0)</f>
        <v/>
      </c>
      <c r="BY1120">
        <f>IFERROR(INDEX(PP_Grid[#Data],$DD1120,75),0)</f>
        <v/>
      </c>
      <c r="BZ1120">
        <f>IFERROR(INDEX(PP_Grid[#Data],$DD1120,76),0)</f>
        <v/>
      </c>
      <c r="CA1120">
        <f>IFERROR(INDEX(PP_Grid[#Data],$DD1120,77),0)</f>
        <v/>
      </c>
      <c r="CB1120">
        <f>IFERROR(INDEX(PP_Grid[#Data],$DD1120,78),0)</f>
        <v/>
      </c>
      <c r="CC1120">
        <f>IFERROR(INDEX(PP_Grid[#Data],$DD1120,79),0)</f>
        <v/>
      </c>
      <c r="CD1120">
        <f>IFERROR(INDEX(PP_Grid[#Data],$DD1120,80),0)</f>
        <v/>
      </c>
      <c r="CE1120">
        <f>IFERROR(INDEX(PP_Grid[#Data],$DD1120,81),0)</f>
        <v/>
      </c>
      <c r="CF1120">
        <f>IFERROR(INDEX(PP_Grid[#Data],$DD1120,82),0)</f>
        <v/>
      </c>
      <c r="CG1120">
        <f>IFERROR(INDEX(PP_Grid[#Data],$DD1120,83),0)</f>
        <v/>
      </c>
      <c r="CH1120">
        <f>IFERROR(INDEX(PP_Grid[#Data],$DD1120,84),0)</f>
        <v/>
      </c>
      <c r="CI1120">
        <f>IFERROR(INDEX(PP_Grid[#Data],$DD1120,85),0)</f>
        <v/>
      </c>
      <c r="CJ1120">
        <f>IFERROR(INDEX(PP_Grid[#Data],$DD1120,86),0)</f>
        <v/>
      </c>
      <c r="CK1120">
        <f>IFERROR(INDEX(PP_Grid[#Data],$DD1120,87),0)</f>
        <v/>
      </c>
      <c r="CL1120">
        <f>IFERROR(INDEX(PP_Grid[#Data],$DD1120,88),0)</f>
        <v/>
      </c>
      <c r="CM1120">
        <f>IFERROR(INDEX(PP_Grid[#Data],$DD1120,89),0)</f>
        <v/>
      </c>
      <c r="CN1120">
        <f>IFERROR(INDEX(PP_Grid[#Data],$DD1120,90),0)</f>
        <v/>
      </c>
      <c r="CO1120">
        <f>IFERROR(INDEX(PP_Grid[#Data],$DD1120,91),0)</f>
        <v/>
      </c>
      <c r="CP1120">
        <f>IFERROR(INDEX(PP_Grid[#Data],$DD1120,92),0)</f>
        <v/>
      </c>
      <c r="CQ1120">
        <f>IFERROR(INDEX(PP_Grid[#Data],$DD1120,93),0)</f>
        <v/>
      </c>
      <c r="CR1120">
        <f>IFERROR(INDEX(PP_Grid[#Data],$DD1120,94),0)</f>
        <v/>
      </c>
      <c r="CS1120">
        <f>IFERROR(INDEX(PP_Grid[#Data],$DD1120,95),0)</f>
        <v/>
      </c>
      <c r="CT1120">
        <f>IFERROR(INDEX(PP_Grid[#Data],$DD1120,96),0)</f>
        <v/>
      </c>
      <c r="CU1120">
        <f>IFERROR(INDEX(PP_Grid[#Data],$DD1120,97),0)</f>
        <v/>
      </c>
      <c r="CV1120">
        <f>IFERROR(INDEX(PP_Grid[#Data],$DD1120,98),0)</f>
        <v/>
      </c>
      <c r="CW1120">
        <f>IFERROR(INDEX(PP_Grid[#Data],$DD1120,99),0)</f>
        <v/>
      </c>
      <c r="CX1120">
        <f>IFERROR(INDEX(PP_Grid[#Data],$DD1120,100),0)</f>
        <v/>
      </c>
      <c r="CY1120">
        <f>IFERROR(INDEX(PP_Grid[#Data],$DD1120,101),0)</f>
        <v/>
      </c>
      <c r="CZ1120">
        <f>IFERROR(INDEX(PP_Grid[#Data],$DD1120,102),0)</f>
        <v/>
      </c>
      <c r="DA1120">
        <f>IFERROR(INDEX(PP_Grid[#Data],$DD1120,103),0)</f>
        <v/>
      </c>
      <c r="DB1120">
        <f>IFERROR(INDEX(PP_Grid[#Data],$DD1120,104),0)</f>
        <v/>
      </c>
      <c r="DC1120">
        <f>IFERROR(INDEX(PP_Grid[#Data],$DD1120,105),0)</f>
        <v/>
      </c>
      <c r="DD1120" s="12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SUMIFS(M_BOM[RM_Qty_Per_Batch],M_BOM[Intermediate],$B1120,M_BOM[Part Name],$A1113)</f>
        <v/>
      </c>
      <c r="D1121">
        <f>$C1121*D1120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</row>
    <row r="1122">
      <c r="B1122" t="inlineStr">
        <is>
          <t>TSP-2168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12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Name],$A1113)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s="9" t="inlineStr">
        <is>
          <t>合計使用量(kg)/週</t>
        </is>
      </c>
      <c r="D1124">
        <f>'Grid_Requirement'!B26</f>
        <v/>
      </c>
      <c r="E1124">
        <f>'Grid_Requirement'!C26</f>
        <v/>
      </c>
      <c r="F1124">
        <f>'Grid_Requirement'!D26</f>
        <v/>
      </c>
      <c r="G1124">
        <f>'Grid_Requirement'!E26</f>
        <v/>
      </c>
      <c r="H1124">
        <f>'Grid_Requirement'!F26</f>
        <v/>
      </c>
      <c r="I1124">
        <f>'Grid_Requirement'!G26</f>
        <v/>
      </c>
      <c r="J1124">
        <f>'Grid_Requirement'!H26</f>
        <v/>
      </c>
      <c r="K1124">
        <f>'Grid_Requirement'!I26</f>
        <v/>
      </c>
      <c r="L1124">
        <f>'Grid_Requirement'!J26</f>
        <v/>
      </c>
      <c r="M1124">
        <f>'Grid_Requirement'!K26</f>
        <v/>
      </c>
      <c r="N1124">
        <f>'Grid_Requirement'!L26</f>
        <v/>
      </c>
      <c r="O1124">
        <f>'Grid_Requirement'!M26</f>
        <v/>
      </c>
      <c r="P1124">
        <f>'Grid_Requirement'!N26</f>
        <v/>
      </c>
      <c r="Q1124">
        <f>'Grid_Requirement'!O26</f>
        <v/>
      </c>
      <c r="R1124">
        <f>'Grid_Requirement'!P26</f>
        <v/>
      </c>
      <c r="S1124">
        <f>'Grid_Requirement'!Q26</f>
        <v/>
      </c>
      <c r="T1124">
        <f>'Grid_Requirement'!R26</f>
        <v/>
      </c>
      <c r="U1124">
        <f>'Grid_Requirement'!S26</f>
        <v/>
      </c>
      <c r="V1124">
        <f>'Grid_Requirement'!T26</f>
        <v/>
      </c>
      <c r="W1124">
        <f>'Grid_Requirement'!U26</f>
        <v/>
      </c>
      <c r="X1124">
        <f>'Grid_Requirement'!V26</f>
        <v/>
      </c>
      <c r="Y1124">
        <f>'Grid_Requirement'!W26</f>
        <v/>
      </c>
      <c r="Z1124">
        <f>'Grid_Requirement'!X26</f>
        <v/>
      </c>
      <c r="AA1124">
        <f>'Grid_Requirement'!Y26</f>
        <v/>
      </c>
      <c r="AB1124">
        <f>'Grid_Requirement'!Z26</f>
        <v/>
      </c>
      <c r="AC1124">
        <f>'Grid_Requirement'!AA26</f>
        <v/>
      </c>
      <c r="AD1124">
        <f>'Grid_Requirement'!AB26</f>
        <v/>
      </c>
      <c r="AE1124">
        <f>'Grid_Requirement'!AC26</f>
        <v/>
      </c>
      <c r="AF1124">
        <f>'Grid_Requirement'!AD26</f>
        <v/>
      </c>
      <c r="AG1124">
        <f>'Grid_Requirement'!AE26</f>
        <v/>
      </c>
      <c r="AH1124">
        <f>'Grid_Requirement'!AF26</f>
        <v/>
      </c>
      <c r="AI1124">
        <f>'Grid_Requirement'!AG26</f>
        <v/>
      </c>
      <c r="AJ1124">
        <f>'Grid_Requirement'!AH26</f>
        <v/>
      </c>
      <c r="AK1124">
        <f>'Grid_Requirement'!AI26</f>
        <v/>
      </c>
      <c r="AL1124">
        <f>'Grid_Requirement'!AJ26</f>
        <v/>
      </c>
      <c r="AM1124">
        <f>'Grid_Requirement'!AK26</f>
        <v/>
      </c>
      <c r="AN1124">
        <f>'Grid_Requirement'!AL26</f>
        <v/>
      </c>
      <c r="AO1124">
        <f>'Grid_Requirement'!AM26</f>
        <v/>
      </c>
      <c r="AP1124">
        <f>'Grid_Requirement'!AN26</f>
        <v/>
      </c>
      <c r="AQ1124">
        <f>'Grid_Requirement'!AO26</f>
        <v/>
      </c>
      <c r="AR1124">
        <f>'Grid_Requirement'!AP26</f>
        <v/>
      </c>
      <c r="AS1124">
        <f>'Grid_Requirement'!AQ26</f>
        <v/>
      </c>
      <c r="AT1124">
        <f>'Grid_Requirement'!AR26</f>
        <v/>
      </c>
      <c r="AU1124">
        <f>'Grid_Requirement'!AS26</f>
        <v/>
      </c>
      <c r="AV1124">
        <f>'Grid_Requirement'!AT26</f>
        <v/>
      </c>
      <c r="AW1124">
        <f>'Grid_Requirement'!AU26</f>
        <v/>
      </c>
      <c r="AX1124">
        <f>'Grid_Requirement'!AV26</f>
        <v/>
      </c>
      <c r="AY1124">
        <f>'Grid_Requirement'!AW26</f>
        <v/>
      </c>
      <c r="AZ1124">
        <f>'Grid_Requirement'!AX26</f>
        <v/>
      </c>
      <c r="BA1124">
        <f>'Grid_Requirement'!AY26</f>
        <v/>
      </c>
      <c r="BB1124">
        <f>'Grid_Requirement'!AZ26</f>
        <v/>
      </c>
      <c r="BC1124">
        <f>'Grid_Requirement'!BA26</f>
        <v/>
      </c>
      <c r="BD1124">
        <f>'Grid_Requirement'!BB26</f>
        <v/>
      </c>
      <c r="BE1124">
        <f>'Grid_Requirement'!BC26</f>
        <v/>
      </c>
      <c r="BF1124">
        <f>'Grid_Requirement'!BD26</f>
        <v/>
      </c>
      <c r="BG1124">
        <f>'Grid_Requirement'!BE26</f>
        <v/>
      </c>
      <c r="BH1124">
        <f>'Grid_Requirement'!BF26</f>
        <v/>
      </c>
      <c r="BI1124">
        <f>'Grid_Requirement'!BG26</f>
        <v/>
      </c>
      <c r="BJ1124">
        <f>'Grid_Requirement'!BH26</f>
        <v/>
      </c>
      <c r="BK1124">
        <f>'Grid_Requirement'!BI26</f>
        <v/>
      </c>
      <c r="BL1124">
        <f>'Grid_Requirement'!BJ26</f>
        <v/>
      </c>
      <c r="BM1124">
        <f>'Grid_Requirement'!BK26</f>
        <v/>
      </c>
      <c r="BN1124">
        <f>'Grid_Requirement'!BL26</f>
        <v/>
      </c>
      <c r="BO1124">
        <f>'Grid_Requirement'!BM26</f>
        <v/>
      </c>
      <c r="BP1124">
        <f>'Grid_Requirement'!BN26</f>
        <v/>
      </c>
      <c r="BQ1124">
        <f>'Grid_Requirement'!BO26</f>
        <v/>
      </c>
      <c r="BR1124">
        <f>'Grid_Requirement'!BP26</f>
        <v/>
      </c>
      <c r="BS1124">
        <f>'Grid_Requirement'!BQ26</f>
        <v/>
      </c>
      <c r="BT1124">
        <f>'Grid_Requirement'!BR26</f>
        <v/>
      </c>
      <c r="BU1124">
        <f>'Grid_Requirement'!BS26</f>
        <v/>
      </c>
      <c r="BV1124">
        <f>'Grid_Requirement'!BT26</f>
        <v/>
      </c>
      <c r="BW1124">
        <f>'Grid_Requirement'!BU26</f>
        <v/>
      </c>
      <c r="BX1124">
        <f>'Grid_Requirement'!BV26</f>
        <v/>
      </c>
      <c r="BY1124">
        <f>'Grid_Requirement'!BW26</f>
        <v/>
      </c>
      <c r="BZ1124">
        <f>'Grid_Requirement'!BX26</f>
        <v/>
      </c>
      <c r="CA1124">
        <f>'Grid_Requirement'!BY26</f>
        <v/>
      </c>
      <c r="CB1124">
        <f>'Grid_Requirement'!BZ26</f>
        <v/>
      </c>
      <c r="CC1124">
        <f>'Grid_Requirement'!CA26</f>
        <v/>
      </c>
      <c r="CD1124">
        <f>'Grid_Requirement'!CB26</f>
        <v/>
      </c>
      <c r="CE1124">
        <f>'Grid_Requirement'!CC26</f>
        <v/>
      </c>
      <c r="CF1124">
        <f>'Grid_Requirement'!CD26</f>
        <v/>
      </c>
      <c r="CG1124">
        <f>'Grid_Requirement'!CE26</f>
        <v/>
      </c>
      <c r="CH1124">
        <f>'Grid_Requirement'!CF26</f>
        <v/>
      </c>
      <c r="CI1124">
        <f>'Grid_Requirement'!CG26</f>
        <v/>
      </c>
      <c r="CJ1124">
        <f>'Grid_Requirement'!CH26</f>
        <v/>
      </c>
      <c r="CK1124">
        <f>'Grid_Requirement'!CI26</f>
        <v/>
      </c>
      <c r="CL1124">
        <f>'Grid_Requirement'!CJ26</f>
        <v/>
      </c>
      <c r="CM1124">
        <f>'Grid_Requirement'!CK26</f>
        <v/>
      </c>
      <c r="CN1124">
        <f>'Grid_Requirement'!CL26</f>
        <v/>
      </c>
      <c r="CO1124">
        <f>'Grid_Requirement'!CM26</f>
        <v/>
      </c>
      <c r="CP1124">
        <f>'Grid_Requirement'!CN26</f>
        <v/>
      </c>
      <c r="CQ1124">
        <f>'Grid_Requirement'!CO26</f>
        <v/>
      </c>
      <c r="CR1124">
        <f>'Grid_Requirement'!CP26</f>
        <v/>
      </c>
      <c r="CS1124">
        <f>'Grid_Requirement'!CQ26</f>
        <v/>
      </c>
      <c r="CT1124">
        <f>'Grid_Requirement'!CR26</f>
        <v/>
      </c>
      <c r="CU1124">
        <f>'Grid_Requirement'!CS26</f>
        <v/>
      </c>
      <c r="CV1124">
        <f>'Grid_Requirement'!CT26</f>
        <v/>
      </c>
      <c r="CW1124">
        <f>'Grid_Requirement'!CU26</f>
        <v/>
      </c>
      <c r="CX1124">
        <f>'Grid_Requirement'!CV26</f>
        <v/>
      </c>
      <c r="CY1124">
        <f>'Grid_Requirement'!CW26</f>
        <v/>
      </c>
      <c r="CZ1124">
        <f>'Grid_Requirement'!CX26</f>
        <v/>
      </c>
      <c r="DA1124">
        <f>'Grid_Requirement'!CY26</f>
        <v/>
      </c>
      <c r="DB1124">
        <f>'Grid_Requirement'!CZ26</f>
        <v/>
      </c>
      <c r="DC1124">
        <f>'Grid_Requirement'!DA26</f>
        <v/>
      </c>
    </row>
    <row r="1125">
      <c r="B1125" t="inlineStr">
        <is>
          <t>TTAF在庫(実績,kg)</t>
        </is>
      </c>
      <c r="D1125">
        <f>'T_TTAFStock'!B30</f>
        <v/>
      </c>
      <c r="E1125">
        <f>'T_TTAFStock'!C30</f>
        <v/>
      </c>
      <c r="F1125">
        <f>'T_TTAFStock'!D30</f>
        <v/>
      </c>
      <c r="G1125">
        <f>'T_TTAFStock'!E30</f>
        <v/>
      </c>
      <c r="H1125">
        <f>'T_TTAFStock'!F30</f>
        <v/>
      </c>
      <c r="I1125">
        <f>'T_TTAFStock'!G30</f>
        <v/>
      </c>
      <c r="J1125">
        <f>'T_TTAFStock'!H30</f>
        <v/>
      </c>
      <c r="K1125">
        <f>'T_TTAFStock'!I30</f>
        <v/>
      </c>
      <c r="L1125">
        <f>'T_TTAFStock'!J30</f>
        <v/>
      </c>
      <c r="M1125">
        <f>'T_TTAFStock'!K30</f>
        <v/>
      </c>
      <c r="N1125">
        <f>'T_TTAFStock'!L30</f>
        <v/>
      </c>
      <c r="O1125">
        <f>'T_TTAFStock'!M30</f>
        <v/>
      </c>
      <c r="P1125">
        <f>'T_TTAFStock'!N30</f>
        <v/>
      </c>
      <c r="Q1125">
        <f>'T_TTAFStock'!O30</f>
        <v/>
      </c>
      <c r="R1125">
        <f>'T_TTAFStock'!P30</f>
        <v/>
      </c>
      <c r="S1125">
        <f>'T_TTAFStock'!Q30</f>
        <v/>
      </c>
      <c r="T1125">
        <f>'T_TTAFStock'!R30</f>
        <v/>
      </c>
      <c r="U1125">
        <f>'T_TTAFStock'!S30</f>
        <v/>
      </c>
      <c r="V1125">
        <f>'T_TTAFStock'!T30</f>
        <v/>
      </c>
      <c r="W1125">
        <f>'T_TTAFStock'!U30</f>
        <v/>
      </c>
      <c r="X1125">
        <f>'T_TTAFStock'!V30</f>
        <v/>
      </c>
      <c r="Y1125">
        <f>'T_TTAFStock'!W30</f>
        <v/>
      </c>
      <c r="Z1125">
        <f>'T_TTAFStock'!X30</f>
        <v/>
      </c>
      <c r="AA1125">
        <f>'T_TTAFStock'!Y30</f>
        <v/>
      </c>
      <c r="AB1125">
        <f>'T_TTAFStock'!Z30</f>
        <v/>
      </c>
      <c r="AC1125">
        <f>'T_TTAFStock'!AA30</f>
        <v/>
      </c>
      <c r="AD1125">
        <f>'T_TTAFStock'!AB30</f>
        <v/>
      </c>
      <c r="AE1125">
        <f>'T_TTAFStock'!AC30</f>
        <v/>
      </c>
      <c r="AF1125">
        <f>'T_TTAFStock'!AD30</f>
        <v/>
      </c>
      <c r="AG1125">
        <f>'T_TTAFStock'!AE30</f>
        <v/>
      </c>
      <c r="AH1125">
        <f>'T_TTAFStock'!AF30</f>
        <v/>
      </c>
      <c r="AI1125">
        <f>'T_TTAFStock'!AG30</f>
        <v/>
      </c>
      <c r="AJ1125">
        <f>'T_TTAFStock'!AH30</f>
        <v/>
      </c>
      <c r="AK1125">
        <f>'T_TTAFStock'!AI30</f>
        <v/>
      </c>
      <c r="AL1125">
        <f>'T_TTAFStock'!AJ30</f>
        <v/>
      </c>
      <c r="AM1125">
        <f>'T_TTAFStock'!AK30</f>
        <v/>
      </c>
      <c r="AN1125">
        <f>'T_TTAFStock'!AL30</f>
        <v/>
      </c>
      <c r="AO1125">
        <f>'T_TTAFStock'!AM30</f>
        <v/>
      </c>
      <c r="AP1125">
        <f>'T_TTAFStock'!AN30</f>
        <v/>
      </c>
      <c r="AQ1125">
        <f>'T_TTAFStock'!AO30</f>
        <v/>
      </c>
      <c r="AR1125">
        <f>'T_TTAFStock'!AP30</f>
        <v/>
      </c>
      <c r="AS1125">
        <f>'T_TTAFStock'!AQ30</f>
        <v/>
      </c>
      <c r="AT1125">
        <f>'T_TTAFStock'!AR30</f>
        <v/>
      </c>
      <c r="AU1125">
        <f>'T_TTAFStock'!AS30</f>
        <v/>
      </c>
      <c r="AV1125">
        <f>'T_TTAFStock'!AT30</f>
        <v/>
      </c>
      <c r="AW1125">
        <f>'T_TTAFStock'!AU30</f>
        <v/>
      </c>
      <c r="AX1125">
        <f>'T_TTAFStock'!AV30</f>
        <v/>
      </c>
      <c r="AY1125">
        <f>'T_TTAFStock'!AW30</f>
        <v/>
      </c>
      <c r="AZ1125">
        <f>'T_TTAFStock'!AX30</f>
        <v/>
      </c>
      <c r="BA1125">
        <f>'T_TTAFStock'!AY30</f>
        <v/>
      </c>
      <c r="BB1125">
        <f>'T_TTAFStock'!AZ30</f>
        <v/>
      </c>
      <c r="BC1125">
        <f>'T_TTAFStock'!BA30</f>
        <v/>
      </c>
      <c r="BD1125">
        <f>'T_TTAFStock'!BB30</f>
        <v/>
      </c>
      <c r="BE1125">
        <f>'T_TTAFStock'!BC30</f>
        <v/>
      </c>
      <c r="BF1125">
        <f>'T_TTAFStock'!BD30</f>
        <v/>
      </c>
      <c r="BG1125">
        <f>'T_TTAFStock'!BE30</f>
        <v/>
      </c>
      <c r="BH1125">
        <f>'T_TTAFStock'!BF30</f>
        <v/>
      </c>
      <c r="BI1125">
        <f>'T_TTAFStock'!BG30</f>
        <v/>
      </c>
      <c r="BJ1125">
        <f>'T_TTAFStock'!BH30</f>
        <v/>
      </c>
      <c r="BK1125">
        <f>'T_TTAFStock'!BI30</f>
        <v/>
      </c>
      <c r="BL1125">
        <f>'T_TTAFStock'!BJ30</f>
        <v/>
      </c>
      <c r="BM1125">
        <f>'T_TTAFStock'!BK30</f>
        <v/>
      </c>
      <c r="BN1125">
        <f>'T_TTAFStock'!BL30</f>
        <v/>
      </c>
      <c r="BO1125">
        <f>'T_TTAFStock'!BM30</f>
        <v/>
      </c>
      <c r="BP1125">
        <f>'T_TTAFStock'!BN30</f>
        <v/>
      </c>
      <c r="BQ1125">
        <f>'T_TTAFStock'!BO30</f>
        <v/>
      </c>
      <c r="BR1125">
        <f>'T_TTAFStock'!BP30</f>
        <v/>
      </c>
      <c r="BS1125">
        <f>'T_TTAFStock'!BQ30</f>
        <v/>
      </c>
      <c r="BT1125">
        <f>'T_TTAFStock'!BR30</f>
        <v/>
      </c>
      <c r="BU1125">
        <f>'T_TTAFStock'!BS30</f>
        <v/>
      </c>
      <c r="BV1125">
        <f>'T_TTAFStock'!BT30</f>
        <v/>
      </c>
      <c r="BW1125">
        <f>'T_TTAFStock'!BU30</f>
        <v/>
      </c>
      <c r="BX1125">
        <f>'T_TTAFStock'!BV30</f>
        <v/>
      </c>
      <c r="BY1125">
        <f>'T_TTAFStock'!BW30</f>
        <v/>
      </c>
      <c r="BZ1125">
        <f>'T_TTAFStock'!BX30</f>
        <v/>
      </c>
      <c r="CA1125">
        <f>'T_TTAFStock'!BY30</f>
        <v/>
      </c>
      <c r="CB1125">
        <f>'T_TTAFStock'!BZ30</f>
        <v/>
      </c>
      <c r="CC1125">
        <f>'T_TTAFStock'!CA30</f>
        <v/>
      </c>
      <c r="CD1125">
        <f>'T_TTAFStock'!CB30</f>
        <v/>
      </c>
      <c r="CE1125">
        <f>'T_TTAFStock'!CC30</f>
        <v/>
      </c>
      <c r="CF1125">
        <f>'T_TTAFStock'!CD30</f>
        <v/>
      </c>
      <c r="CG1125">
        <f>'T_TTAFStock'!CE30</f>
        <v/>
      </c>
      <c r="CH1125">
        <f>'T_TTAFStock'!CF30</f>
        <v/>
      </c>
      <c r="CI1125">
        <f>'T_TTAFStock'!CG30</f>
        <v/>
      </c>
      <c r="CJ1125">
        <f>'T_TTAFStock'!CH30</f>
        <v/>
      </c>
      <c r="CK1125">
        <f>'T_TTAFStock'!CI30</f>
        <v/>
      </c>
      <c r="CL1125">
        <f>'T_TTAFStock'!CJ30</f>
        <v/>
      </c>
      <c r="CM1125">
        <f>'T_TTAFStock'!CK30</f>
        <v/>
      </c>
      <c r="CN1125">
        <f>'T_TTAFStock'!CL30</f>
        <v/>
      </c>
      <c r="CO1125">
        <f>'T_TTAFStock'!CM30</f>
        <v/>
      </c>
      <c r="CP1125">
        <f>'T_TTAFStock'!CN30</f>
        <v/>
      </c>
      <c r="CQ1125">
        <f>'T_TTAFStock'!CO30</f>
        <v/>
      </c>
      <c r="CR1125">
        <f>'T_TTAFStock'!CP30</f>
        <v/>
      </c>
      <c r="CS1125">
        <f>'T_TTAFStock'!CQ30</f>
        <v/>
      </c>
      <c r="CT1125">
        <f>'T_TTAFStock'!CR30</f>
        <v/>
      </c>
      <c r="CU1125">
        <f>'T_TTAFStock'!CS30</f>
        <v/>
      </c>
      <c r="CV1125">
        <f>'T_TTAFStock'!CT30</f>
        <v/>
      </c>
      <c r="CW1125">
        <f>'T_TTAFStock'!CU30</f>
        <v/>
      </c>
      <c r="CX1125">
        <f>'T_TTAFStock'!CV30</f>
        <v/>
      </c>
      <c r="CY1125">
        <f>'T_TTAFStock'!CW30</f>
        <v/>
      </c>
      <c r="CZ1125">
        <f>'T_TTAFStock'!CX30</f>
        <v/>
      </c>
      <c r="DA1125">
        <f>'T_TTAFStock'!CY30</f>
        <v/>
      </c>
      <c r="DB1125">
        <f>'T_TTAFStock'!CZ30</f>
        <v/>
      </c>
      <c r="DC1125">
        <f>'T_TTAFStock'!DA30</f>
        <v/>
      </c>
    </row>
    <row r="1126">
      <c r="B1126" t="inlineStr">
        <is>
          <t>自社在庫(実績,kg)</t>
        </is>
      </c>
      <c r="D1126">
        <f>'T_SelfStock'!B30</f>
        <v/>
      </c>
      <c r="E1126">
        <f>'T_SelfStock'!C30</f>
        <v/>
      </c>
      <c r="F1126">
        <f>'T_SelfStock'!D30</f>
        <v/>
      </c>
      <c r="G1126">
        <f>'T_SelfStock'!E30</f>
        <v/>
      </c>
      <c r="H1126">
        <f>'T_SelfStock'!F30</f>
        <v/>
      </c>
      <c r="I1126">
        <f>'T_SelfStock'!G30</f>
        <v/>
      </c>
      <c r="J1126">
        <f>'T_SelfStock'!H30</f>
        <v/>
      </c>
      <c r="K1126">
        <f>'T_SelfStock'!I30</f>
        <v/>
      </c>
      <c r="L1126">
        <f>'T_SelfStock'!J30</f>
        <v/>
      </c>
      <c r="M1126">
        <f>'T_SelfStock'!K30</f>
        <v/>
      </c>
      <c r="N1126">
        <f>'T_SelfStock'!L30</f>
        <v/>
      </c>
      <c r="O1126">
        <f>'T_SelfStock'!M30</f>
        <v/>
      </c>
      <c r="P1126">
        <f>'T_SelfStock'!N30</f>
        <v/>
      </c>
      <c r="Q1126">
        <f>'T_SelfStock'!O30</f>
        <v/>
      </c>
      <c r="R1126">
        <f>'T_SelfStock'!P30</f>
        <v/>
      </c>
      <c r="S1126">
        <f>'T_SelfStock'!Q30</f>
        <v/>
      </c>
      <c r="T1126">
        <f>'T_SelfStock'!R30</f>
        <v/>
      </c>
      <c r="U1126">
        <f>'T_SelfStock'!S30</f>
        <v/>
      </c>
      <c r="V1126">
        <f>'T_SelfStock'!T30</f>
        <v/>
      </c>
      <c r="W1126">
        <f>'T_SelfStock'!U30</f>
        <v/>
      </c>
      <c r="X1126">
        <f>'T_SelfStock'!V30</f>
        <v/>
      </c>
      <c r="Y1126">
        <f>'T_SelfStock'!W30</f>
        <v/>
      </c>
      <c r="Z1126">
        <f>'T_SelfStock'!X30</f>
        <v/>
      </c>
      <c r="AA1126">
        <f>'T_SelfStock'!Y30</f>
        <v/>
      </c>
      <c r="AB1126">
        <f>'T_SelfStock'!Z30</f>
        <v/>
      </c>
      <c r="AC1126">
        <f>'T_SelfStock'!AA30</f>
        <v/>
      </c>
      <c r="AD1126">
        <f>'T_SelfStock'!AB30</f>
        <v/>
      </c>
      <c r="AE1126">
        <f>'T_SelfStock'!AC30</f>
        <v/>
      </c>
      <c r="AF1126">
        <f>'T_SelfStock'!AD30</f>
        <v/>
      </c>
      <c r="AG1126">
        <f>'T_SelfStock'!AE30</f>
        <v/>
      </c>
      <c r="AH1126">
        <f>'T_SelfStock'!AF30</f>
        <v/>
      </c>
      <c r="AI1126">
        <f>'T_SelfStock'!AG30</f>
        <v/>
      </c>
      <c r="AJ1126">
        <f>'T_SelfStock'!AH30</f>
        <v/>
      </c>
      <c r="AK1126">
        <f>'T_SelfStock'!AI30</f>
        <v/>
      </c>
      <c r="AL1126">
        <f>'T_SelfStock'!AJ30</f>
        <v/>
      </c>
      <c r="AM1126">
        <f>'T_SelfStock'!AK30</f>
        <v/>
      </c>
      <c r="AN1126">
        <f>'T_SelfStock'!AL30</f>
        <v/>
      </c>
      <c r="AO1126">
        <f>'T_SelfStock'!AM30</f>
        <v/>
      </c>
      <c r="AP1126">
        <f>'T_SelfStock'!AN30</f>
        <v/>
      </c>
      <c r="AQ1126">
        <f>'T_SelfStock'!AO30</f>
        <v/>
      </c>
      <c r="AR1126">
        <f>'T_SelfStock'!AP30</f>
        <v/>
      </c>
      <c r="AS1126">
        <f>'T_SelfStock'!AQ30</f>
        <v/>
      </c>
      <c r="AT1126">
        <f>'T_SelfStock'!AR30</f>
        <v/>
      </c>
      <c r="AU1126">
        <f>'T_SelfStock'!AS30</f>
        <v/>
      </c>
      <c r="AV1126">
        <f>'T_SelfStock'!AT30</f>
        <v/>
      </c>
      <c r="AW1126">
        <f>'T_SelfStock'!AU30</f>
        <v/>
      </c>
      <c r="AX1126">
        <f>'T_SelfStock'!AV30</f>
        <v/>
      </c>
      <c r="AY1126">
        <f>'T_SelfStock'!AW30</f>
        <v/>
      </c>
      <c r="AZ1126">
        <f>'T_SelfStock'!AX30</f>
        <v/>
      </c>
      <c r="BA1126">
        <f>'T_SelfStock'!AY30</f>
        <v/>
      </c>
      <c r="BB1126">
        <f>'T_SelfStock'!AZ30</f>
        <v/>
      </c>
      <c r="BC1126">
        <f>'T_SelfStock'!BA30</f>
        <v/>
      </c>
      <c r="BD1126">
        <f>'T_SelfStock'!BB30</f>
        <v/>
      </c>
      <c r="BE1126">
        <f>'T_SelfStock'!BC30</f>
        <v/>
      </c>
      <c r="BF1126">
        <f>'T_SelfStock'!BD30</f>
        <v/>
      </c>
      <c r="BG1126">
        <f>'T_SelfStock'!BE30</f>
        <v/>
      </c>
      <c r="BH1126">
        <f>'T_SelfStock'!BF30</f>
        <v/>
      </c>
      <c r="BI1126">
        <f>'T_SelfStock'!BG30</f>
        <v/>
      </c>
      <c r="BJ1126">
        <f>'T_SelfStock'!BH30</f>
        <v/>
      </c>
      <c r="BK1126">
        <f>'T_SelfStock'!BI30</f>
        <v/>
      </c>
      <c r="BL1126">
        <f>'T_SelfStock'!BJ30</f>
        <v/>
      </c>
      <c r="BM1126">
        <f>'T_SelfStock'!BK30</f>
        <v/>
      </c>
      <c r="BN1126">
        <f>'T_SelfStock'!BL30</f>
        <v/>
      </c>
      <c r="BO1126">
        <f>'T_SelfStock'!BM30</f>
        <v/>
      </c>
      <c r="BP1126">
        <f>'T_SelfStock'!BN30</f>
        <v/>
      </c>
      <c r="BQ1126">
        <f>'T_SelfStock'!BO30</f>
        <v/>
      </c>
      <c r="BR1126">
        <f>'T_SelfStock'!BP30</f>
        <v/>
      </c>
      <c r="BS1126">
        <f>'T_SelfStock'!BQ30</f>
        <v/>
      </c>
      <c r="BT1126">
        <f>'T_SelfStock'!BR30</f>
        <v/>
      </c>
      <c r="BU1126">
        <f>'T_SelfStock'!BS30</f>
        <v/>
      </c>
      <c r="BV1126">
        <f>'T_SelfStock'!BT30</f>
        <v/>
      </c>
      <c r="BW1126">
        <f>'T_SelfStock'!BU30</f>
        <v/>
      </c>
      <c r="BX1126">
        <f>'T_SelfStock'!BV30</f>
        <v/>
      </c>
      <c r="BY1126">
        <f>'T_SelfStock'!BW30</f>
        <v/>
      </c>
      <c r="BZ1126">
        <f>'T_SelfStock'!BX30</f>
        <v/>
      </c>
      <c r="CA1126">
        <f>'T_SelfStock'!BY30</f>
        <v/>
      </c>
      <c r="CB1126">
        <f>'T_SelfStock'!BZ30</f>
        <v/>
      </c>
      <c r="CC1126">
        <f>'T_SelfStock'!CA30</f>
        <v/>
      </c>
      <c r="CD1126">
        <f>'T_SelfStock'!CB30</f>
        <v/>
      </c>
      <c r="CE1126">
        <f>'T_SelfStock'!CC30</f>
        <v/>
      </c>
      <c r="CF1126">
        <f>'T_SelfStock'!CD30</f>
        <v/>
      </c>
      <c r="CG1126">
        <f>'T_SelfStock'!CE30</f>
        <v/>
      </c>
      <c r="CH1126">
        <f>'T_SelfStock'!CF30</f>
        <v/>
      </c>
      <c r="CI1126">
        <f>'T_SelfStock'!CG30</f>
        <v/>
      </c>
      <c r="CJ1126">
        <f>'T_SelfStock'!CH30</f>
        <v/>
      </c>
      <c r="CK1126">
        <f>'T_SelfStock'!CI30</f>
        <v/>
      </c>
      <c r="CL1126">
        <f>'T_SelfStock'!CJ30</f>
        <v/>
      </c>
      <c r="CM1126">
        <f>'T_SelfStock'!CK30</f>
        <v/>
      </c>
      <c r="CN1126">
        <f>'T_SelfStock'!CL30</f>
        <v/>
      </c>
      <c r="CO1126">
        <f>'T_SelfStock'!CM30</f>
        <v/>
      </c>
      <c r="CP1126">
        <f>'T_SelfStock'!CN30</f>
        <v/>
      </c>
      <c r="CQ1126">
        <f>'T_SelfStock'!CO30</f>
        <v/>
      </c>
      <c r="CR1126">
        <f>'T_SelfStock'!CP30</f>
        <v/>
      </c>
      <c r="CS1126">
        <f>'T_SelfStock'!CQ30</f>
        <v/>
      </c>
      <c r="CT1126">
        <f>'T_SelfStock'!CR30</f>
        <v/>
      </c>
      <c r="CU1126">
        <f>'T_SelfStock'!CS30</f>
        <v/>
      </c>
      <c r="CV1126">
        <f>'T_SelfStock'!CT30</f>
        <v/>
      </c>
      <c r="CW1126">
        <f>'T_SelfStock'!CU30</f>
        <v/>
      </c>
      <c r="CX1126">
        <f>'T_SelfStock'!CV30</f>
        <v/>
      </c>
      <c r="CY1126">
        <f>'T_SelfStock'!CW30</f>
        <v/>
      </c>
      <c r="CZ1126">
        <f>'T_SelfStock'!CX30</f>
        <v/>
      </c>
      <c r="DA1126">
        <f>'T_SelfStock'!CY30</f>
        <v/>
      </c>
      <c r="DB1126">
        <f>'T_SelfStock'!CZ30</f>
        <v/>
      </c>
      <c r="DC1126">
        <f>'T_SelfStock'!DA30</f>
        <v/>
      </c>
    </row>
    <row r="1127">
      <c r="B1127" t="inlineStr">
        <is>
          <t>Order(発注予定,kg)</t>
        </is>
      </c>
      <c r="D1127">
        <f>IF(SUMIFS(T_PlannedOrders[EffectiveQty],T_PlannedOrders[Part Name],$A1113,T_PlannedOrders[WeekIndex],1)=0,"",SUMIFS(T_PlannedOrders[EffectiveQty],T_PlannedOrders[Part Name],$A1113,T_PlannedOrders[WeekIndex],1)&amp;" ("&amp;TEXT(SUMPRODUCT(MAX((T_PlannedOrders[Part Name]=$A1113)*(T_PlannedOrders[WeekIndex]=1)*(T_PlannedOrders[EffectiveQty]&gt;0)*T_PlannedOrders[Order_Month])),"m月")&amp;"発注)")</f>
        <v/>
      </c>
      <c r="E1127">
        <f>IF(SUMIFS(T_PlannedOrders[EffectiveQty],T_PlannedOrders[Part Name],$A1113,T_PlannedOrders[WeekIndex],2)=0,"",SUMIFS(T_PlannedOrders[EffectiveQty],T_PlannedOrders[Part Name],$A1113,T_PlannedOrders[WeekIndex],2)&amp;" ("&amp;TEXT(SUMPRODUCT(MAX((T_PlannedOrders[Part Name]=$A1113)*(T_PlannedOrders[WeekIndex]=2)*(T_PlannedOrders[EffectiveQty]&gt;0)*T_PlannedOrders[Order_Month])),"m月")&amp;"発注)")</f>
        <v/>
      </c>
      <c r="F1127">
        <f>IF(SUMIFS(T_PlannedOrders[EffectiveQty],T_PlannedOrders[Part Name],$A1113,T_PlannedOrders[WeekIndex],3)=0,"",SUMIFS(T_PlannedOrders[EffectiveQty],T_PlannedOrders[Part Name],$A1113,T_PlannedOrders[WeekIndex],3)&amp;" ("&amp;TEXT(SUMPRODUCT(MAX((T_PlannedOrders[Part Name]=$A1113)*(T_PlannedOrders[WeekIndex]=3)*(T_PlannedOrders[EffectiveQty]&gt;0)*T_PlannedOrders[Order_Month])),"m月")&amp;"発注)")</f>
        <v/>
      </c>
      <c r="G1127">
        <f>IF(SUMIFS(T_PlannedOrders[EffectiveQty],T_PlannedOrders[Part Name],$A1113,T_PlannedOrders[WeekIndex],4)=0,"",SUMIFS(T_PlannedOrders[EffectiveQty],T_PlannedOrders[Part Name],$A1113,T_PlannedOrders[WeekIndex],4)&amp;" ("&amp;TEXT(SUMPRODUCT(MAX((T_PlannedOrders[Part Name]=$A1113)*(T_PlannedOrders[WeekIndex]=4)*(T_PlannedOrders[EffectiveQty]&gt;0)*T_PlannedOrders[Order_Month])),"m月")&amp;"発注)")</f>
        <v/>
      </c>
      <c r="H1127">
        <f>IF(SUMIFS(T_PlannedOrders[EffectiveQty],T_PlannedOrders[Part Name],$A1113,T_PlannedOrders[WeekIndex],5)=0,"",SUMIFS(T_PlannedOrders[EffectiveQty],T_PlannedOrders[Part Name],$A1113,T_PlannedOrders[WeekIndex],5)&amp;" ("&amp;TEXT(SUMPRODUCT(MAX((T_PlannedOrders[Part Name]=$A1113)*(T_PlannedOrders[WeekIndex]=5)*(T_PlannedOrders[EffectiveQty]&gt;0)*T_PlannedOrders[Order_Month])),"m月")&amp;"発注)")</f>
        <v/>
      </c>
      <c r="I1127">
        <f>IF(SUMIFS(T_PlannedOrders[EffectiveQty],T_PlannedOrders[Part Name],$A1113,T_PlannedOrders[WeekIndex],6)=0,"",SUMIFS(T_PlannedOrders[EffectiveQty],T_PlannedOrders[Part Name],$A1113,T_PlannedOrders[WeekIndex],6)&amp;" ("&amp;TEXT(SUMPRODUCT(MAX((T_PlannedOrders[Part Name]=$A1113)*(T_PlannedOrders[WeekIndex]=6)*(T_PlannedOrders[EffectiveQty]&gt;0)*T_PlannedOrders[Order_Month])),"m月")&amp;"発注)")</f>
        <v/>
      </c>
      <c r="J1127">
        <f>IF(SUMIFS(T_PlannedOrders[EffectiveQty],T_PlannedOrders[Part Name],$A1113,T_PlannedOrders[WeekIndex],7)=0,"",SUMIFS(T_PlannedOrders[EffectiveQty],T_PlannedOrders[Part Name],$A1113,T_PlannedOrders[WeekIndex],7)&amp;" ("&amp;TEXT(SUMPRODUCT(MAX((T_PlannedOrders[Part Name]=$A1113)*(T_PlannedOrders[WeekIndex]=7)*(T_PlannedOrders[EffectiveQty]&gt;0)*T_PlannedOrders[Order_Month])),"m月")&amp;"発注)")</f>
        <v/>
      </c>
      <c r="K1127">
        <f>IF(SUMIFS(T_PlannedOrders[EffectiveQty],T_PlannedOrders[Part Name],$A1113,T_PlannedOrders[WeekIndex],8)=0,"",SUMIFS(T_PlannedOrders[EffectiveQty],T_PlannedOrders[Part Name],$A1113,T_PlannedOrders[WeekIndex],8)&amp;" ("&amp;TEXT(SUMPRODUCT(MAX((T_PlannedOrders[Part Name]=$A1113)*(T_PlannedOrders[WeekIndex]=8)*(T_PlannedOrders[EffectiveQty]&gt;0)*T_PlannedOrders[Order_Month])),"m月")&amp;"発注)")</f>
        <v/>
      </c>
      <c r="L1127">
        <f>IF(SUMIFS(T_PlannedOrders[EffectiveQty],T_PlannedOrders[Part Name],$A1113,T_PlannedOrders[WeekIndex],9)=0,"",SUMIFS(T_PlannedOrders[EffectiveQty],T_PlannedOrders[Part Name],$A1113,T_PlannedOrders[WeekIndex],9)&amp;" ("&amp;TEXT(SUMPRODUCT(MAX((T_PlannedOrders[Part Name]=$A1113)*(T_PlannedOrders[WeekIndex]=9)*(T_PlannedOrders[EffectiveQty]&gt;0)*T_PlannedOrders[Order_Month])),"m月")&amp;"発注)")</f>
        <v/>
      </c>
      <c r="M1127">
        <f>IF(SUMIFS(T_PlannedOrders[EffectiveQty],T_PlannedOrders[Part Name],$A1113,T_PlannedOrders[WeekIndex],10)=0,"",SUMIFS(T_PlannedOrders[EffectiveQty],T_PlannedOrders[Part Name],$A1113,T_PlannedOrders[WeekIndex],10)&amp;" ("&amp;TEXT(SUMPRODUCT(MAX((T_PlannedOrders[Part Name]=$A1113)*(T_PlannedOrders[WeekIndex]=10)*(T_PlannedOrders[EffectiveQty]&gt;0)*T_PlannedOrders[Order_Month])),"m月")&amp;"発注)")</f>
        <v/>
      </c>
      <c r="N1127">
        <f>IF(SUMIFS(T_PlannedOrders[EffectiveQty],T_PlannedOrders[Part Name],$A1113,T_PlannedOrders[WeekIndex],11)=0,"",SUMIFS(T_PlannedOrders[EffectiveQty],T_PlannedOrders[Part Name],$A1113,T_PlannedOrders[WeekIndex],11)&amp;" ("&amp;TEXT(SUMPRODUCT(MAX((T_PlannedOrders[Part Name]=$A1113)*(T_PlannedOrders[WeekIndex]=11)*(T_PlannedOrders[EffectiveQty]&gt;0)*T_PlannedOrders[Order_Month])),"m月")&amp;"発注)")</f>
        <v/>
      </c>
      <c r="O1127">
        <f>IF(SUMIFS(T_PlannedOrders[EffectiveQty],T_PlannedOrders[Part Name],$A1113,T_PlannedOrders[WeekIndex],12)=0,"",SUMIFS(T_PlannedOrders[EffectiveQty],T_PlannedOrders[Part Name],$A1113,T_PlannedOrders[WeekIndex],12)&amp;" ("&amp;TEXT(SUMPRODUCT(MAX((T_PlannedOrders[Part Name]=$A1113)*(T_PlannedOrders[WeekIndex]=12)*(T_PlannedOrders[EffectiveQty]&gt;0)*T_PlannedOrders[Order_Month])),"m月")&amp;"発注)")</f>
        <v/>
      </c>
      <c r="P1127">
        <f>IF(SUMIFS(T_PlannedOrders[EffectiveQty],T_PlannedOrders[Part Name],$A1113,T_PlannedOrders[WeekIndex],13)=0,"",SUMIFS(T_PlannedOrders[EffectiveQty],T_PlannedOrders[Part Name],$A1113,T_PlannedOrders[WeekIndex],13)&amp;" ("&amp;TEXT(SUMPRODUCT(MAX((T_PlannedOrders[Part Name]=$A1113)*(T_PlannedOrders[WeekIndex]=13)*(T_PlannedOrders[EffectiveQty]&gt;0)*T_PlannedOrders[Order_Month])),"m月")&amp;"発注)")</f>
        <v/>
      </c>
      <c r="Q1127">
        <f>IF(SUMIFS(T_PlannedOrders[EffectiveQty],T_PlannedOrders[Part Name],$A1113,T_PlannedOrders[WeekIndex],14)=0,"",SUMIFS(T_PlannedOrders[EffectiveQty],T_PlannedOrders[Part Name],$A1113,T_PlannedOrders[WeekIndex],14)&amp;" ("&amp;TEXT(SUMPRODUCT(MAX((T_PlannedOrders[Part Name]=$A1113)*(T_PlannedOrders[WeekIndex]=14)*(T_PlannedOrders[EffectiveQty]&gt;0)*T_PlannedOrders[Order_Month])),"m月")&amp;"発注)")</f>
        <v/>
      </c>
      <c r="R1127">
        <f>IF(SUMIFS(T_PlannedOrders[EffectiveQty],T_PlannedOrders[Part Name],$A1113,T_PlannedOrders[WeekIndex],15)=0,"",SUMIFS(T_PlannedOrders[EffectiveQty],T_PlannedOrders[Part Name],$A1113,T_PlannedOrders[WeekIndex],15)&amp;" ("&amp;TEXT(SUMPRODUCT(MAX((T_PlannedOrders[Part Name]=$A1113)*(T_PlannedOrders[WeekIndex]=15)*(T_PlannedOrders[EffectiveQty]&gt;0)*T_PlannedOrders[Order_Month])),"m月")&amp;"発注)")</f>
        <v/>
      </c>
      <c r="S1127">
        <f>IF(SUMIFS(T_PlannedOrders[EffectiveQty],T_PlannedOrders[Part Name],$A1113,T_PlannedOrders[WeekIndex],16)=0,"",SUMIFS(T_PlannedOrders[EffectiveQty],T_PlannedOrders[Part Name],$A1113,T_PlannedOrders[WeekIndex],16)&amp;" ("&amp;TEXT(SUMPRODUCT(MAX((T_PlannedOrders[Part Name]=$A1113)*(T_PlannedOrders[WeekIndex]=16)*(T_PlannedOrders[EffectiveQty]&gt;0)*T_PlannedOrders[Order_Month])),"m月")&amp;"発注)")</f>
        <v/>
      </c>
      <c r="T1127">
        <f>IF(SUMIFS(T_PlannedOrders[EffectiveQty],T_PlannedOrders[Part Name],$A1113,T_PlannedOrders[WeekIndex],17)=0,"",SUMIFS(T_PlannedOrders[EffectiveQty],T_PlannedOrders[Part Name],$A1113,T_PlannedOrders[WeekIndex],17)&amp;" ("&amp;TEXT(SUMPRODUCT(MAX((T_PlannedOrders[Part Name]=$A1113)*(T_PlannedOrders[WeekIndex]=17)*(T_PlannedOrders[EffectiveQty]&gt;0)*T_PlannedOrders[Order_Month])),"m月")&amp;"発注)")</f>
        <v/>
      </c>
      <c r="U1127">
        <f>IF(SUMIFS(T_PlannedOrders[EffectiveQty],T_PlannedOrders[Part Name],$A1113,T_PlannedOrders[WeekIndex],18)=0,"",SUMIFS(T_PlannedOrders[EffectiveQty],T_PlannedOrders[Part Name],$A1113,T_PlannedOrders[WeekIndex],18)&amp;" ("&amp;TEXT(SUMPRODUCT(MAX((T_PlannedOrders[Part Name]=$A1113)*(T_PlannedOrders[WeekIndex]=18)*(T_PlannedOrders[EffectiveQty]&gt;0)*T_PlannedOrders[Order_Month])),"m月")&amp;"発注)")</f>
        <v/>
      </c>
      <c r="V1127">
        <f>IF(SUMIFS(T_PlannedOrders[EffectiveQty],T_PlannedOrders[Part Name],$A1113,T_PlannedOrders[WeekIndex],19)=0,"",SUMIFS(T_PlannedOrders[EffectiveQty],T_PlannedOrders[Part Name],$A1113,T_PlannedOrders[WeekIndex],19)&amp;" ("&amp;TEXT(SUMPRODUCT(MAX((T_PlannedOrders[Part Name]=$A1113)*(T_PlannedOrders[WeekIndex]=19)*(T_PlannedOrders[EffectiveQty]&gt;0)*T_PlannedOrders[Order_Month])),"m月")&amp;"発注)")</f>
        <v/>
      </c>
      <c r="W1127">
        <f>IF(SUMIFS(T_PlannedOrders[EffectiveQty],T_PlannedOrders[Part Name],$A1113,T_PlannedOrders[WeekIndex],20)=0,"",SUMIFS(T_PlannedOrders[EffectiveQty],T_PlannedOrders[Part Name],$A1113,T_PlannedOrders[WeekIndex],20)&amp;" ("&amp;TEXT(SUMPRODUCT(MAX((T_PlannedOrders[Part Name]=$A1113)*(T_PlannedOrders[WeekIndex]=20)*(T_PlannedOrders[EffectiveQty]&gt;0)*T_PlannedOrders[Order_Month])),"m月")&amp;"発注)")</f>
        <v/>
      </c>
      <c r="X1127">
        <f>IF(SUMIFS(T_PlannedOrders[EffectiveQty],T_PlannedOrders[Part Name],$A1113,T_PlannedOrders[WeekIndex],21)=0,"",SUMIFS(T_PlannedOrders[EffectiveQty],T_PlannedOrders[Part Name],$A1113,T_PlannedOrders[WeekIndex],21)&amp;" ("&amp;TEXT(SUMPRODUCT(MAX((T_PlannedOrders[Part Name]=$A1113)*(T_PlannedOrders[WeekIndex]=21)*(T_PlannedOrders[EffectiveQty]&gt;0)*T_PlannedOrders[Order_Month])),"m月")&amp;"発注)")</f>
        <v/>
      </c>
      <c r="Y1127">
        <f>IF(SUMIFS(T_PlannedOrders[EffectiveQty],T_PlannedOrders[Part Name],$A1113,T_PlannedOrders[WeekIndex],22)=0,"",SUMIFS(T_PlannedOrders[EffectiveQty],T_PlannedOrders[Part Name],$A1113,T_PlannedOrders[WeekIndex],22)&amp;" ("&amp;TEXT(SUMPRODUCT(MAX((T_PlannedOrders[Part Name]=$A1113)*(T_PlannedOrders[WeekIndex]=22)*(T_PlannedOrders[EffectiveQty]&gt;0)*T_PlannedOrders[Order_Month])),"m月")&amp;"発注)")</f>
        <v/>
      </c>
      <c r="Z1127">
        <f>IF(SUMIFS(T_PlannedOrders[EffectiveQty],T_PlannedOrders[Part Name],$A1113,T_PlannedOrders[WeekIndex],23)=0,"",SUMIFS(T_PlannedOrders[EffectiveQty],T_PlannedOrders[Part Name],$A1113,T_PlannedOrders[WeekIndex],23)&amp;" ("&amp;TEXT(SUMPRODUCT(MAX((T_PlannedOrders[Part Name]=$A1113)*(T_PlannedOrders[WeekIndex]=23)*(T_PlannedOrders[EffectiveQty]&gt;0)*T_PlannedOrders[Order_Month])),"m月")&amp;"発注)")</f>
        <v/>
      </c>
      <c r="AA1127">
        <f>IF(SUMIFS(T_PlannedOrders[EffectiveQty],T_PlannedOrders[Part Name],$A1113,T_PlannedOrders[WeekIndex],24)=0,"",SUMIFS(T_PlannedOrders[EffectiveQty],T_PlannedOrders[Part Name],$A1113,T_PlannedOrders[WeekIndex],24)&amp;" ("&amp;TEXT(SUMPRODUCT(MAX((T_PlannedOrders[Part Name]=$A1113)*(T_PlannedOrders[WeekIndex]=24)*(T_PlannedOrders[EffectiveQty]&gt;0)*T_PlannedOrders[Order_Month])),"m月")&amp;"発注)")</f>
        <v/>
      </c>
      <c r="AB1127">
        <f>IF(SUMIFS(T_PlannedOrders[EffectiveQty],T_PlannedOrders[Part Name],$A1113,T_PlannedOrders[WeekIndex],25)=0,"",SUMIFS(T_PlannedOrders[EffectiveQty],T_PlannedOrders[Part Name],$A1113,T_PlannedOrders[WeekIndex],25)&amp;" ("&amp;TEXT(SUMPRODUCT(MAX((T_PlannedOrders[Part Name]=$A1113)*(T_PlannedOrders[WeekIndex]=25)*(T_PlannedOrders[EffectiveQty]&gt;0)*T_PlannedOrders[Order_Month])),"m月")&amp;"発注)")</f>
        <v/>
      </c>
      <c r="AC1127">
        <f>IF(SUMIFS(T_PlannedOrders[EffectiveQty],T_PlannedOrders[Part Name],$A1113,T_PlannedOrders[WeekIndex],26)=0,"",SUMIFS(T_PlannedOrders[EffectiveQty],T_PlannedOrders[Part Name],$A1113,T_PlannedOrders[WeekIndex],26)&amp;" ("&amp;TEXT(SUMPRODUCT(MAX((T_PlannedOrders[Part Name]=$A1113)*(T_PlannedOrders[WeekIndex]=26)*(T_PlannedOrders[EffectiveQty]&gt;0)*T_PlannedOrders[Order_Month])),"m月")&amp;"発注)")</f>
        <v/>
      </c>
      <c r="AD1127">
        <f>IF(SUMIFS(T_PlannedOrders[EffectiveQty],T_PlannedOrders[Part Name],$A1113,T_PlannedOrders[WeekIndex],27)=0,"",SUMIFS(T_PlannedOrders[EffectiveQty],T_PlannedOrders[Part Name],$A1113,T_PlannedOrders[WeekIndex],27)&amp;" ("&amp;TEXT(SUMPRODUCT(MAX((T_PlannedOrders[Part Name]=$A1113)*(T_PlannedOrders[WeekIndex]=27)*(T_PlannedOrders[EffectiveQty]&gt;0)*T_PlannedOrders[Order_Month])),"m月")&amp;"発注)")</f>
        <v/>
      </c>
      <c r="AE1127">
        <f>IF(SUMIFS(T_PlannedOrders[EffectiveQty],T_PlannedOrders[Part Name],$A1113,T_PlannedOrders[WeekIndex],28)=0,"",SUMIFS(T_PlannedOrders[EffectiveQty],T_PlannedOrders[Part Name],$A1113,T_PlannedOrders[WeekIndex],28)&amp;" ("&amp;TEXT(SUMPRODUCT(MAX((T_PlannedOrders[Part Name]=$A1113)*(T_PlannedOrders[WeekIndex]=28)*(T_PlannedOrders[EffectiveQty]&gt;0)*T_PlannedOrders[Order_Month])),"m月")&amp;"発注)")</f>
        <v/>
      </c>
      <c r="AF1127">
        <f>IF(SUMIFS(T_PlannedOrders[EffectiveQty],T_PlannedOrders[Part Name],$A1113,T_PlannedOrders[WeekIndex],29)=0,"",SUMIFS(T_PlannedOrders[EffectiveQty],T_PlannedOrders[Part Name],$A1113,T_PlannedOrders[WeekIndex],29)&amp;" ("&amp;TEXT(SUMPRODUCT(MAX((T_PlannedOrders[Part Name]=$A1113)*(T_PlannedOrders[WeekIndex]=29)*(T_PlannedOrders[EffectiveQty]&gt;0)*T_PlannedOrders[Order_Month])),"m月")&amp;"発注)")</f>
        <v/>
      </c>
      <c r="AG1127">
        <f>IF(SUMIFS(T_PlannedOrders[EffectiveQty],T_PlannedOrders[Part Name],$A1113,T_PlannedOrders[WeekIndex],30)=0,"",SUMIFS(T_PlannedOrders[EffectiveQty],T_PlannedOrders[Part Name],$A1113,T_PlannedOrders[WeekIndex],30)&amp;" ("&amp;TEXT(SUMPRODUCT(MAX((T_PlannedOrders[Part Name]=$A1113)*(T_PlannedOrders[WeekIndex]=30)*(T_PlannedOrders[EffectiveQty]&gt;0)*T_PlannedOrders[Order_Month])),"m月")&amp;"発注)")</f>
        <v/>
      </c>
      <c r="AH1127">
        <f>IF(SUMIFS(T_PlannedOrders[EffectiveQty],T_PlannedOrders[Part Name],$A1113,T_PlannedOrders[WeekIndex],31)=0,"",SUMIFS(T_PlannedOrders[EffectiveQty],T_PlannedOrders[Part Name],$A1113,T_PlannedOrders[WeekIndex],31)&amp;" ("&amp;TEXT(SUMPRODUCT(MAX((T_PlannedOrders[Part Name]=$A1113)*(T_PlannedOrders[WeekIndex]=31)*(T_PlannedOrders[EffectiveQty]&gt;0)*T_PlannedOrders[Order_Month])),"m月")&amp;"発注)")</f>
        <v/>
      </c>
      <c r="AI1127">
        <f>IF(SUMIFS(T_PlannedOrders[EffectiveQty],T_PlannedOrders[Part Name],$A1113,T_PlannedOrders[WeekIndex],32)=0,"",SUMIFS(T_PlannedOrders[EffectiveQty],T_PlannedOrders[Part Name],$A1113,T_PlannedOrders[WeekIndex],32)&amp;" ("&amp;TEXT(SUMPRODUCT(MAX((T_PlannedOrders[Part Name]=$A1113)*(T_PlannedOrders[WeekIndex]=32)*(T_PlannedOrders[EffectiveQty]&gt;0)*T_PlannedOrders[Order_Month])),"m月")&amp;"発注)")</f>
        <v/>
      </c>
      <c r="AJ1127">
        <f>IF(SUMIFS(T_PlannedOrders[EffectiveQty],T_PlannedOrders[Part Name],$A1113,T_PlannedOrders[WeekIndex],33)=0,"",SUMIFS(T_PlannedOrders[EffectiveQty],T_PlannedOrders[Part Name],$A1113,T_PlannedOrders[WeekIndex],33)&amp;" ("&amp;TEXT(SUMPRODUCT(MAX((T_PlannedOrders[Part Name]=$A1113)*(T_PlannedOrders[WeekIndex]=33)*(T_PlannedOrders[EffectiveQty]&gt;0)*T_PlannedOrders[Order_Month])),"m月")&amp;"発注)")</f>
        <v/>
      </c>
      <c r="AK1127">
        <f>IF(SUMIFS(T_PlannedOrders[EffectiveQty],T_PlannedOrders[Part Name],$A1113,T_PlannedOrders[WeekIndex],34)=0,"",SUMIFS(T_PlannedOrders[EffectiveQty],T_PlannedOrders[Part Name],$A1113,T_PlannedOrders[WeekIndex],34)&amp;" ("&amp;TEXT(SUMPRODUCT(MAX((T_PlannedOrders[Part Name]=$A1113)*(T_PlannedOrders[WeekIndex]=34)*(T_PlannedOrders[EffectiveQty]&gt;0)*T_PlannedOrders[Order_Month])),"m月")&amp;"発注)")</f>
        <v/>
      </c>
      <c r="AL1127">
        <f>IF(SUMIFS(T_PlannedOrders[EffectiveQty],T_PlannedOrders[Part Name],$A1113,T_PlannedOrders[WeekIndex],35)=0,"",SUMIFS(T_PlannedOrders[EffectiveQty],T_PlannedOrders[Part Name],$A1113,T_PlannedOrders[WeekIndex],35)&amp;" ("&amp;TEXT(SUMPRODUCT(MAX((T_PlannedOrders[Part Name]=$A1113)*(T_PlannedOrders[WeekIndex]=35)*(T_PlannedOrders[EffectiveQty]&gt;0)*T_PlannedOrders[Order_Month])),"m月")&amp;"発注)")</f>
        <v/>
      </c>
      <c r="AM1127">
        <f>IF(SUMIFS(T_PlannedOrders[EffectiveQty],T_PlannedOrders[Part Name],$A1113,T_PlannedOrders[WeekIndex],36)=0,"",SUMIFS(T_PlannedOrders[EffectiveQty],T_PlannedOrders[Part Name],$A1113,T_PlannedOrders[WeekIndex],36)&amp;" ("&amp;TEXT(SUMPRODUCT(MAX((T_PlannedOrders[Part Name]=$A1113)*(T_PlannedOrders[WeekIndex]=36)*(T_PlannedOrders[EffectiveQty]&gt;0)*T_PlannedOrders[Order_Month])),"m月")&amp;"発注)")</f>
        <v/>
      </c>
      <c r="AN1127">
        <f>IF(SUMIFS(T_PlannedOrders[EffectiveQty],T_PlannedOrders[Part Name],$A1113,T_PlannedOrders[WeekIndex],37)=0,"",SUMIFS(T_PlannedOrders[EffectiveQty],T_PlannedOrders[Part Name],$A1113,T_PlannedOrders[WeekIndex],37)&amp;" ("&amp;TEXT(SUMPRODUCT(MAX((T_PlannedOrders[Part Name]=$A1113)*(T_PlannedOrders[WeekIndex]=37)*(T_PlannedOrders[EffectiveQty]&gt;0)*T_PlannedOrders[Order_Month])),"m月")&amp;"発注)")</f>
        <v/>
      </c>
      <c r="AO1127">
        <f>IF(SUMIFS(T_PlannedOrders[EffectiveQty],T_PlannedOrders[Part Name],$A1113,T_PlannedOrders[WeekIndex],38)=0,"",SUMIFS(T_PlannedOrders[EffectiveQty],T_PlannedOrders[Part Name],$A1113,T_PlannedOrders[WeekIndex],38)&amp;" ("&amp;TEXT(SUMPRODUCT(MAX((T_PlannedOrders[Part Name]=$A1113)*(T_PlannedOrders[WeekIndex]=38)*(T_PlannedOrders[EffectiveQty]&gt;0)*T_PlannedOrders[Order_Month])),"m月")&amp;"発注)")</f>
        <v/>
      </c>
      <c r="AP1127">
        <f>IF(SUMIFS(T_PlannedOrders[EffectiveQty],T_PlannedOrders[Part Name],$A1113,T_PlannedOrders[WeekIndex],39)=0,"",SUMIFS(T_PlannedOrders[EffectiveQty],T_PlannedOrders[Part Name],$A1113,T_PlannedOrders[WeekIndex],39)&amp;" ("&amp;TEXT(SUMPRODUCT(MAX((T_PlannedOrders[Part Name]=$A1113)*(T_PlannedOrders[WeekIndex]=39)*(T_PlannedOrders[EffectiveQty]&gt;0)*T_PlannedOrders[Order_Month])),"m月")&amp;"発注)")</f>
        <v/>
      </c>
      <c r="AQ1127">
        <f>IF(SUMIFS(T_PlannedOrders[EffectiveQty],T_PlannedOrders[Part Name],$A1113,T_PlannedOrders[WeekIndex],40)=0,"",SUMIFS(T_PlannedOrders[EffectiveQty],T_PlannedOrders[Part Name],$A1113,T_PlannedOrders[WeekIndex],40)&amp;" ("&amp;TEXT(SUMPRODUCT(MAX((T_PlannedOrders[Part Name]=$A1113)*(T_PlannedOrders[WeekIndex]=40)*(T_PlannedOrders[EffectiveQty]&gt;0)*T_PlannedOrders[Order_Month])),"m月")&amp;"発注)")</f>
        <v/>
      </c>
      <c r="AR1127">
        <f>IF(SUMIFS(T_PlannedOrders[EffectiveQty],T_PlannedOrders[Part Name],$A1113,T_PlannedOrders[WeekIndex],41)=0,"",SUMIFS(T_PlannedOrders[EffectiveQty],T_PlannedOrders[Part Name],$A1113,T_PlannedOrders[WeekIndex],41)&amp;" ("&amp;TEXT(SUMPRODUCT(MAX((T_PlannedOrders[Part Name]=$A1113)*(T_PlannedOrders[WeekIndex]=41)*(T_PlannedOrders[EffectiveQty]&gt;0)*T_PlannedOrders[Order_Month])),"m月")&amp;"発注)")</f>
        <v/>
      </c>
      <c r="AS1127">
        <f>IF(SUMIFS(T_PlannedOrders[EffectiveQty],T_PlannedOrders[Part Name],$A1113,T_PlannedOrders[WeekIndex],42)=0,"",SUMIFS(T_PlannedOrders[EffectiveQty],T_PlannedOrders[Part Name],$A1113,T_PlannedOrders[WeekIndex],42)&amp;" ("&amp;TEXT(SUMPRODUCT(MAX((T_PlannedOrders[Part Name]=$A1113)*(T_PlannedOrders[WeekIndex]=42)*(T_PlannedOrders[EffectiveQty]&gt;0)*T_PlannedOrders[Order_Month])),"m月")&amp;"発注)")</f>
        <v/>
      </c>
      <c r="AT1127">
        <f>IF(SUMIFS(T_PlannedOrders[EffectiveQty],T_PlannedOrders[Part Name],$A1113,T_PlannedOrders[WeekIndex],43)=0,"",SUMIFS(T_PlannedOrders[EffectiveQty],T_PlannedOrders[Part Name],$A1113,T_PlannedOrders[WeekIndex],43)&amp;" ("&amp;TEXT(SUMPRODUCT(MAX((T_PlannedOrders[Part Name]=$A1113)*(T_PlannedOrders[WeekIndex]=43)*(T_PlannedOrders[EffectiveQty]&gt;0)*T_PlannedOrders[Order_Month])),"m月")&amp;"発注)")</f>
        <v/>
      </c>
      <c r="AU1127">
        <f>IF(SUMIFS(T_PlannedOrders[EffectiveQty],T_PlannedOrders[Part Name],$A1113,T_PlannedOrders[WeekIndex],44)=0,"",SUMIFS(T_PlannedOrders[EffectiveQty],T_PlannedOrders[Part Name],$A1113,T_PlannedOrders[WeekIndex],44)&amp;" ("&amp;TEXT(SUMPRODUCT(MAX((T_PlannedOrders[Part Name]=$A1113)*(T_PlannedOrders[WeekIndex]=44)*(T_PlannedOrders[EffectiveQty]&gt;0)*T_PlannedOrders[Order_Month])),"m月")&amp;"発注)")</f>
        <v/>
      </c>
      <c r="AV1127">
        <f>IF(SUMIFS(T_PlannedOrders[EffectiveQty],T_PlannedOrders[Part Name],$A1113,T_PlannedOrders[WeekIndex],45)=0,"",SUMIFS(T_PlannedOrders[EffectiveQty],T_PlannedOrders[Part Name],$A1113,T_PlannedOrders[WeekIndex],45)&amp;" ("&amp;TEXT(SUMPRODUCT(MAX((T_PlannedOrders[Part Name]=$A1113)*(T_PlannedOrders[WeekIndex]=45)*(T_PlannedOrders[EffectiveQty]&gt;0)*T_PlannedOrders[Order_Month])),"m月")&amp;"発注)")</f>
        <v/>
      </c>
      <c r="AW1127">
        <f>IF(SUMIFS(T_PlannedOrders[EffectiveQty],T_PlannedOrders[Part Name],$A1113,T_PlannedOrders[WeekIndex],46)=0,"",SUMIFS(T_PlannedOrders[EffectiveQty],T_PlannedOrders[Part Name],$A1113,T_PlannedOrders[WeekIndex],46)&amp;" ("&amp;TEXT(SUMPRODUCT(MAX((T_PlannedOrders[Part Name]=$A1113)*(T_PlannedOrders[WeekIndex]=46)*(T_PlannedOrders[EffectiveQty]&gt;0)*T_PlannedOrders[Order_Month])),"m月")&amp;"発注)")</f>
        <v/>
      </c>
      <c r="AX1127">
        <f>IF(SUMIFS(T_PlannedOrders[EffectiveQty],T_PlannedOrders[Part Name],$A1113,T_PlannedOrders[WeekIndex],47)=0,"",SUMIFS(T_PlannedOrders[EffectiveQty],T_PlannedOrders[Part Name],$A1113,T_PlannedOrders[WeekIndex],47)&amp;" ("&amp;TEXT(SUMPRODUCT(MAX((T_PlannedOrders[Part Name]=$A1113)*(T_PlannedOrders[WeekIndex]=47)*(T_PlannedOrders[EffectiveQty]&gt;0)*T_PlannedOrders[Order_Month])),"m月")&amp;"発注)")</f>
        <v/>
      </c>
      <c r="AY1127">
        <f>IF(SUMIFS(T_PlannedOrders[EffectiveQty],T_PlannedOrders[Part Name],$A1113,T_PlannedOrders[WeekIndex],48)=0,"",SUMIFS(T_PlannedOrders[EffectiveQty],T_PlannedOrders[Part Name],$A1113,T_PlannedOrders[WeekIndex],48)&amp;" ("&amp;TEXT(SUMPRODUCT(MAX((T_PlannedOrders[Part Name]=$A1113)*(T_PlannedOrders[WeekIndex]=48)*(T_PlannedOrders[EffectiveQty]&gt;0)*T_PlannedOrders[Order_Month])),"m月")&amp;"発注)")</f>
        <v/>
      </c>
      <c r="AZ1127">
        <f>IF(SUMIFS(T_PlannedOrders[EffectiveQty],T_PlannedOrders[Part Name],$A1113,T_PlannedOrders[WeekIndex],49)=0,"",SUMIFS(T_PlannedOrders[EffectiveQty],T_PlannedOrders[Part Name],$A1113,T_PlannedOrders[WeekIndex],49)&amp;" ("&amp;TEXT(SUMPRODUCT(MAX((T_PlannedOrders[Part Name]=$A1113)*(T_PlannedOrders[WeekIndex]=49)*(T_PlannedOrders[EffectiveQty]&gt;0)*T_PlannedOrders[Order_Month])),"m月")&amp;"発注)")</f>
        <v/>
      </c>
      <c r="BA1127">
        <f>IF(SUMIFS(T_PlannedOrders[EffectiveQty],T_PlannedOrders[Part Name],$A1113,T_PlannedOrders[WeekIndex],50)=0,"",SUMIFS(T_PlannedOrders[EffectiveQty],T_PlannedOrders[Part Name],$A1113,T_PlannedOrders[WeekIndex],50)&amp;" ("&amp;TEXT(SUMPRODUCT(MAX((T_PlannedOrders[Part Name]=$A1113)*(T_PlannedOrders[WeekIndex]=50)*(T_PlannedOrders[EffectiveQty]&gt;0)*T_PlannedOrders[Order_Month])),"m月")&amp;"発注)")</f>
        <v/>
      </c>
      <c r="BB1127">
        <f>IF(SUMIFS(T_PlannedOrders[EffectiveQty],T_PlannedOrders[Part Name],$A1113,T_PlannedOrders[WeekIndex],51)=0,"",SUMIFS(T_PlannedOrders[EffectiveQty],T_PlannedOrders[Part Name],$A1113,T_PlannedOrders[WeekIndex],51)&amp;" ("&amp;TEXT(SUMPRODUCT(MAX((T_PlannedOrders[Part Name]=$A1113)*(T_PlannedOrders[WeekIndex]=51)*(T_PlannedOrders[EffectiveQty]&gt;0)*T_PlannedOrders[Order_Month])),"m月")&amp;"発注)")</f>
        <v/>
      </c>
      <c r="BC1127">
        <f>IF(SUMIFS(T_PlannedOrders[EffectiveQty],T_PlannedOrders[Part Name],$A1113,T_PlannedOrders[WeekIndex],52)=0,"",SUMIFS(T_PlannedOrders[EffectiveQty],T_PlannedOrders[Part Name],$A1113,T_PlannedOrders[WeekIndex],52)&amp;" ("&amp;TEXT(SUMPRODUCT(MAX((T_PlannedOrders[Part Name]=$A1113)*(T_PlannedOrders[WeekIndex]=52)*(T_PlannedOrders[EffectiveQty]&gt;0)*T_PlannedOrders[Order_Month])),"m月")&amp;"発注)")</f>
        <v/>
      </c>
      <c r="BD1127">
        <f>IF(SUMIFS(T_PlannedOrders[EffectiveQty],T_PlannedOrders[Part Name],$A1113,T_PlannedOrders[WeekIndex],53)=0,"",SUMIFS(T_PlannedOrders[EffectiveQty],T_PlannedOrders[Part Name],$A1113,T_PlannedOrders[WeekIndex],53)&amp;" ("&amp;TEXT(SUMPRODUCT(MAX((T_PlannedOrders[Part Name]=$A1113)*(T_PlannedOrders[WeekIndex]=53)*(T_PlannedOrders[EffectiveQty]&gt;0)*T_PlannedOrders[Order_Month])),"m月")&amp;"発注)")</f>
        <v/>
      </c>
      <c r="BE1127">
        <f>IF(SUMIFS(T_PlannedOrders[EffectiveQty],T_PlannedOrders[Part Name],$A1113,T_PlannedOrders[WeekIndex],54)=0,"",SUMIFS(T_PlannedOrders[EffectiveQty],T_PlannedOrders[Part Name],$A1113,T_PlannedOrders[WeekIndex],54)&amp;" ("&amp;TEXT(SUMPRODUCT(MAX((T_PlannedOrders[Part Name]=$A1113)*(T_PlannedOrders[WeekIndex]=54)*(T_PlannedOrders[EffectiveQty]&gt;0)*T_PlannedOrders[Order_Month])),"m月")&amp;"発注)")</f>
        <v/>
      </c>
      <c r="BF1127">
        <f>IF(SUMIFS(T_PlannedOrders[EffectiveQty],T_PlannedOrders[Part Name],$A1113,T_PlannedOrders[WeekIndex],55)=0,"",SUMIFS(T_PlannedOrders[EffectiveQty],T_PlannedOrders[Part Name],$A1113,T_PlannedOrders[WeekIndex],55)&amp;" ("&amp;TEXT(SUMPRODUCT(MAX((T_PlannedOrders[Part Name]=$A1113)*(T_PlannedOrders[WeekIndex]=55)*(T_PlannedOrders[EffectiveQty]&gt;0)*T_PlannedOrders[Order_Month])),"m月")&amp;"発注)")</f>
        <v/>
      </c>
      <c r="BG1127">
        <f>IF(SUMIFS(T_PlannedOrders[EffectiveQty],T_PlannedOrders[Part Name],$A1113,T_PlannedOrders[WeekIndex],56)=0,"",SUMIFS(T_PlannedOrders[EffectiveQty],T_PlannedOrders[Part Name],$A1113,T_PlannedOrders[WeekIndex],56)&amp;" ("&amp;TEXT(SUMPRODUCT(MAX((T_PlannedOrders[Part Name]=$A1113)*(T_PlannedOrders[WeekIndex]=56)*(T_PlannedOrders[EffectiveQty]&gt;0)*T_PlannedOrders[Order_Month])),"m月")&amp;"発注)")</f>
        <v/>
      </c>
      <c r="BH1127">
        <f>IF(SUMIFS(T_PlannedOrders[EffectiveQty],T_PlannedOrders[Part Name],$A1113,T_PlannedOrders[WeekIndex],57)=0,"",SUMIFS(T_PlannedOrders[EffectiveQty],T_PlannedOrders[Part Name],$A1113,T_PlannedOrders[WeekIndex],57)&amp;" ("&amp;TEXT(SUMPRODUCT(MAX((T_PlannedOrders[Part Name]=$A1113)*(T_PlannedOrders[WeekIndex]=57)*(T_PlannedOrders[EffectiveQty]&gt;0)*T_PlannedOrders[Order_Month])),"m月")&amp;"発注)")</f>
        <v/>
      </c>
      <c r="BI1127">
        <f>IF(SUMIFS(T_PlannedOrders[EffectiveQty],T_PlannedOrders[Part Name],$A1113,T_PlannedOrders[WeekIndex],58)=0,"",SUMIFS(T_PlannedOrders[EffectiveQty],T_PlannedOrders[Part Name],$A1113,T_PlannedOrders[WeekIndex],58)&amp;" ("&amp;TEXT(SUMPRODUCT(MAX((T_PlannedOrders[Part Name]=$A1113)*(T_PlannedOrders[WeekIndex]=58)*(T_PlannedOrders[EffectiveQty]&gt;0)*T_PlannedOrders[Order_Month])),"m月")&amp;"発注)")</f>
        <v/>
      </c>
      <c r="BJ1127">
        <f>IF(SUMIFS(T_PlannedOrders[EffectiveQty],T_PlannedOrders[Part Name],$A1113,T_PlannedOrders[WeekIndex],59)=0,"",SUMIFS(T_PlannedOrders[EffectiveQty],T_PlannedOrders[Part Name],$A1113,T_PlannedOrders[WeekIndex],59)&amp;" ("&amp;TEXT(SUMPRODUCT(MAX((T_PlannedOrders[Part Name]=$A1113)*(T_PlannedOrders[WeekIndex]=59)*(T_PlannedOrders[EffectiveQty]&gt;0)*T_PlannedOrders[Order_Month])),"m月")&amp;"発注)")</f>
        <v/>
      </c>
      <c r="BK1127">
        <f>IF(SUMIFS(T_PlannedOrders[EffectiveQty],T_PlannedOrders[Part Name],$A1113,T_PlannedOrders[WeekIndex],60)=0,"",SUMIFS(T_PlannedOrders[EffectiveQty],T_PlannedOrders[Part Name],$A1113,T_PlannedOrders[WeekIndex],60)&amp;" ("&amp;TEXT(SUMPRODUCT(MAX((T_PlannedOrders[Part Name]=$A1113)*(T_PlannedOrders[WeekIndex]=60)*(T_PlannedOrders[EffectiveQty]&gt;0)*T_PlannedOrders[Order_Month])),"m月")&amp;"発注)")</f>
        <v/>
      </c>
      <c r="BL1127">
        <f>IF(SUMIFS(T_PlannedOrders[EffectiveQty],T_PlannedOrders[Part Name],$A1113,T_PlannedOrders[WeekIndex],61)=0,"",SUMIFS(T_PlannedOrders[EffectiveQty],T_PlannedOrders[Part Name],$A1113,T_PlannedOrders[WeekIndex],61)&amp;" ("&amp;TEXT(SUMPRODUCT(MAX((T_PlannedOrders[Part Name]=$A1113)*(T_PlannedOrders[WeekIndex]=61)*(T_PlannedOrders[EffectiveQty]&gt;0)*T_PlannedOrders[Order_Month])),"m月")&amp;"発注)")</f>
        <v/>
      </c>
      <c r="BM1127">
        <f>IF(SUMIFS(T_PlannedOrders[EffectiveQty],T_PlannedOrders[Part Name],$A1113,T_PlannedOrders[WeekIndex],62)=0,"",SUMIFS(T_PlannedOrders[EffectiveQty],T_PlannedOrders[Part Name],$A1113,T_PlannedOrders[WeekIndex],62)&amp;" ("&amp;TEXT(SUMPRODUCT(MAX((T_PlannedOrders[Part Name]=$A1113)*(T_PlannedOrders[WeekIndex]=62)*(T_PlannedOrders[EffectiveQty]&gt;0)*T_PlannedOrders[Order_Month])),"m月")&amp;"発注)")</f>
        <v/>
      </c>
      <c r="BN1127">
        <f>IF(SUMIFS(T_PlannedOrders[EffectiveQty],T_PlannedOrders[Part Name],$A1113,T_PlannedOrders[WeekIndex],63)=0,"",SUMIFS(T_PlannedOrders[EffectiveQty],T_PlannedOrders[Part Name],$A1113,T_PlannedOrders[WeekIndex],63)&amp;" ("&amp;TEXT(SUMPRODUCT(MAX((T_PlannedOrders[Part Name]=$A1113)*(T_PlannedOrders[WeekIndex]=63)*(T_PlannedOrders[EffectiveQty]&gt;0)*T_PlannedOrders[Order_Month])),"m月")&amp;"発注)")</f>
        <v/>
      </c>
      <c r="BO1127">
        <f>IF(SUMIFS(T_PlannedOrders[EffectiveQty],T_PlannedOrders[Part Name],$A1113,T_PlannedOrders[WeekIndex],64)=0,"",SUMIFS(T_PlannedOrders[EffectiveQty],T_PlannedOrders[Part Name],$A1113,T_PlannedOrders[WeekIndex],64)&amp;" ("&amp;TEXT(SUMPRODUCT(MAX((T_PlannedOrders[Part Name]=$A1113)*(T_PlannedOrders[WeekIndex]=64)*(T_PlannedOrders[EffectiveQty]&gt;0)*T_PlannedOrders[Order_Month])),"m月")&amp;"発注)")</f>
        <v/>
      </c>
      <c r="BP1127">
        <f>IF(SUMIFS(T_PlannedOrders[EffectiveQty],T_PlannedOrders[Part Name],$A1113,T_PlannedOrders[WeekIndex],65)=0,"",SUMIFS(T_PlannedOrders[EffectiveQty],T_PlannedOrders[Part Name],$A1113,T_PlannedOrders[WeekIndex],65)&amp;" ("&amp;TEXT(SUMPRODUCT(MAX((T_PlannedOrders[Part Name]=$A1113)*(T_PlannedOrders[WeekIndex]=65)*(T_PlannedOrders[EffectiveQty]&gt;0)*T_PlannedOrders[Order_Month])),"m月")&amp;"発注)")</f>
        <v/>
      </c>
      <c r="BQ1127">
        <f>IF(SUMIFS(T_PlannedOrders[EffectiveQty],T_PlannedOrders[Part Name],$A1113,T_PlannedOrders[WeekIndex],66)=0,"",SUMIFS(T_PlannedOrders[EffectiveQty],T_PlannedOrders[Part Name],$A1113,T_PlannedOrders[WeekIndex],66)&amp;" ("&amp;TEXT(SUMPRODUCT(MAX((T_PlannedOrders[Part Name]=$A1113)*(T_PlannedOrders[WeekIndex]=66)*(T_PlannedOrders[EffectiveQty]&gt;0)*T_PlannedOrders[Order_Month])),"m月")&amp;"発注)")</f>
        <v/>
      </c>
      <c r="BR1127">
        <f>IF(SUMIFS(T_PlannedOrders[EffectiveQty],T_PlannedOrders[Part Name],$A1113,T_PlannedOrders[WeekIndex],67)=0,"",SUMIFS(T_PlannedOrders[EffectiveQty],T_PlannedOrders[Part Name],$A1113,T_PlannedOrders[WeekIndex],67)&amp;" ("&amp;TEXT(SUMPRODUCT(MAX((T_PlannedOrders[Part Name]=$A1113)*(T_PlannedOrders[WeekIndex]=67)*(T_PlannedOrders[EffectiveQty]&gt;0)*T_PlannedOrders[Order_Month])),"m月")&amp;"発注)")</f>
        <v/>
      </c>
      <c r="BS1127">
        <f>IF(SUMIFS(T_PlannedOrders[EffectiveQty],T_PlannedOrders[Part Name],$A1113,T_PlannedOrders[WeekIndex],68)=0,"",SUMIFS(T_PlannedOrders[EffectiveQty],T_PlannedOrders[Part Name],$A1113,T_PlannedOrders[WeekIndex],68)&amp;" ("&amp;TEXT(SUMPRODUCT(MAX((T_PlannedOrders[Part Name]=$A1113)*(T_PlannedOrders[WeekIndex]=68)*(T_PlannedOrders[EffectiveQty]&gt;0)*T_PlannedOrders[Order_Month])),"m月")&amp;"発注)")</f>
        <v/>
      </c>
      <c r="BT1127">
        <f>IF(SUMIFS(T_PlannedOrders[EffectiveQty],T_PlannedOrders[Part Name],$A1113,T_PlannedOrders[WeekIndex],69)=0,"",SUMIFS(T_PlannedOrders[EffectiveQty],T_PlannedOrders[Part Name],$A1113,T_PlannedOrders[WeekIndex],69)&amp;" ("&amp;TEXT(SUMPRODUCT(MAX((T_PlannedOrders[Part Name]=$A1113)*(T_PlannedOrders[WeekIndex]=69)*(T_PlannedOrders[EffectiveQty]&gt;0)*T_PlannedOrders[Order_Month])),"m月")&amp;"発注)")</f>
        <v/>
      </c>
      <c r="BU1127">
        <f>IF(SUMIFS(T_PlannedOrders[EffectiveQty],T_PlannedOrders[Part Name],$A1113,T_PlannedOrders[WeekIndex],70)=0,"",SUMIFS(T_PlannedOrders[EffectiveQty],T_PlannedOrders[Part Name],$A1113,T_PlannedOrders[WeekIndex],70)&amp;" ("&amp;TEXT(SUMPRODUCT(MAX((T_PlannedOrders[Part Name]=$A1113)*(T_PlannedOrders[WeekIndex]=70)*(T_PlannedOrders[EffectiveQty]&gt;0)*T_PlannedOrders[Order_Month])),"m月")&amp;"発注)")</f>
        <v/>
      </c>
      <c r="BV1127">
        <f>IF(SUMIFS(T_PlannedOrders[EffectiveQty],T_PlannedOrders[Part Name],$A1113,T_PlannedOrders[WeekIndex],71)=0,"",SUMIFS(T_PlannedOrders[EffectiveQty],T_PlannedOrders[Part Name],$A1113,T_PlannedOrders[WeekIndex],71)&amp;" ("&amp;TEXT(SUMPRODUCT(MAX((T_PlannedOrders[Part Name]=$A1113)*(T_PlannedOrders[WeekIndex]=71)*(T_PlannedOrders[EffectiveQty]&gt;0)*T_PlannedOrders[Order_Month])),"m月")&amp;"発注)")</f>
        <v/>
      </c>
      <c r="BW1127">
        <f>IF(SUMIFS(T_PlannedOrders[EffectiveQty],T_PlannedOrders[Part Name],$A1113,T_PlannedOrders[WeekIndex],72)=0,"",SUMIFS(T_PlannedOrders[EffectiveQty],T_PlannedOrders[Part Name],$A1113,T_PlannedOrders[WeekIndex],72)&amp;" ("&amp;TEXT(SUMPRODUCT(MAX((T_PlannedOrders[Part Name]=$A1113)*(T_PlannedOrders[WeekIndex]=72)*(T_PlannedOrders[EffectiveQty]&gt;0)*T_PlannedOrders[Order_Month])),"m月")&amp;"発注)")</f>
        <v/>
      </c>
      <c r="BX1127">
        <f>IF(SUMIFS(T_PlannedOrders[EffectiveQty],T_PlannedOrders[Part Name],$A1113,T_PlannedOrders[WeekIndex],73)=0,"",SUMIFS(T_PlannedOrders[EffectiveQty],T_PlannedOrders[Part Name],$A1113,T_PlannedOrders[WeekIndex],73)&amp;" ("&amp;TEXT(SUMPRODUCT(MAX((T_PlannedOrders[Part Name]=$A1113)*(T_PlannedOrders[WeekIndex]=73)*(T_PlannedOrders[EffectiveQty]&gt;0)*T_PlannedOrders[Order_Month])),"m月")&amp;"発注)")</f>
        <v/>
      </c>
      <c r="BY1127">
        <f>IF(SUMIFS(T_PlannedOrders[EffectiveQty],T_PlannedOrders[Part Name],$A1113,T_PlannedOrders[WeekIndex],74)=0,"",SUMIFS(T_PlannedOrders[EffectiveQty],T_PlannedOrders[Part Name],$A1113,T_PlannedOrders[WeekIndex],74)&amp;" ("&amp;TEXT(SUMPRODUCT(MAX((T_PlannedOrders[Part Name]=$A1113)*(T_PlannedOrders[WeekIndex]=74)*(T_PlannedOrders[EffectiveQty]&gt;0)*T_PlannedOrders[Order_Month])),"m月")&amp;"発注)")</f>
        <v/>
      </c>
      <c r="BZ1127">
        <f>IF(SUMIFS(T_PlannedOrders[EffectiveQty],T_PlannedOrders[Part Name],$A1113,T_PlannedOrders[WeekIndex],75)=0,"",SUMIFS(T_PlannedOrders[EffectiveQty],T_PlannedOrders[Part Name],$A1113,T_PlannedOrders[WeekIndex],75)&amp;" ("&amp;TEXT(SUMPRODUCT(MAX((T_PlannedOrders[Part Name]=$A1113)*(T_PlannedOrders[WeekIndex]=75)*(T_PlannedOrders[EffectiveQty]&gt;0)*T_PlannedOrders[Order_Month])),"m月")&amp;"発注)")</f>
        <v/>
      </c>
      <c r="CA1127">
        <f>IF(SUMIFS(T_PlannedOrders[EffectiveQty],T_PlannedOrders[Part Name],$A1113,T_PlannedOrders[WeekIndex],76)=0,"",SUMIFS(T_PlannedOrders[EffectiveQty],T_PlannedOrders[Part Name],$A1113,T_PlannedOrders[WeekIndex],76)&amp;" ("&amp;TEXT(SUMPRODUCT(MAX((T_PlannedOrders[Part Name]=$A1113)*(T_PlannedOrders[WeekIndex]=76)*(T_PlannedOrders[EffectiveQty]&gt;0)*T_PlannedOrders[Order_Month])),"m月")&amp;"発注)")</f>
        <v/>
      </c>
      <c r="CB1127">
        <f>IF(SUMIFS(T_PlannedOrders[EffectiveQty],T_PlannedOrders[Part Name],$A1113,T_PlannedOrders[WeekIndex],77)=0,"",SUMIFS(T_PlannedOrders[EffectiveQty],T_PlannedOrders[Part Name],$A1113,T_PlannedOrders[WeekIndex],77)&amp;" ("&amp;TEXT(SUMPRODUCT(MAX((T_PlannedOrders[Part Name]=$A1113)*(T_PlannedOrders[WeekIndex]=77)*(T_PlannedOrders[EffectiveQty]&gt;0)*T_PlannedOrders[Order_Month])),"m月")&amp;"発注)")</f>
        <v/>
      </c>
      <c r="CC1127">
        <f>IF(SUMIFS(T_PlannedOrders[EffectiveQty],T_PlannedOrders[Part Name],$A1113,T_PlannedOrders[WeekIndex],78)=0,"",SUMIFS(T_PlannedOrders[EffectiveQty],T_PlannedOrders[Part Name],$A1113,T_PlannedOrders[WeekIndex],78)&amp;" ("&amp;TEXT(SUMPRODUCT(MAX((T_PlannedOrders[Part Name]=$A1113)*(T_PlannedOrders[WeekIndex]=78)*(T_PlannedOrders[EffectiveQty]&gt;0)*T_PlannedOrders[Order_Month])),"m月")&amp;"発注)")</f>
        <v/>
      </c>
      <c r="CD1127">
        <f>IF(SUMIFS(T_PlannedOrders[EffectiveQty],T_PlannedOrders[Part Name],$A1113,T_PlannedOrders[WeekIndex],79)=0,"",SUMIFS(T_PlannedOrders[EffectiveQty],T_PlannedOrders[Part Name],$A1113,T_PlannedOrders[WeekIndex],79)&amp;" ("&amp;TEXT(SUMPRODUCT(MAX((T_PlannedOrders[Part Name]=$A1113)*(T_PlannedOrders[WeekIndex]=79)*(T_PlannedOrders[EffectiveQty]&gt;0)*T_PlannedOrders[Order_Month])),"m月")&amp;"発注)")</f>
        <v/>
      </c>
      <c r="CE1127">
        <f>IF(SUMIFS(T_PlannedOrders[EffectiveQty],T_PlannedOrders[Part Name],$A1113,T_PlannedOrders[WeekIndex],80)=0,"",SUMIFS(T_PlannedOrders[EffectiveQty],T_PlannedOrders[Part Name],$A1113,T_PlannedOrders[WeekIndex],80)&amp;" ("&amp;TEXT(SUMPRODUCT(MAX((T_PlannedOrders[Part Name]=$A1113)*(T_PlannedOrders[WeekIndex]=80)*(T_PlannedOrders[EffectiveQty]&gt;0)*T_PlannedOrders[Order_Month])),"m月")&amp;"発注)")</f>
        <v/>
      </c>
      <c r="CF1127">
        <f>IF(SUMIFS(T_PlannedOrders[EffectiveQty],T_PlannedOrders[Part Name],$A1113,T_PlannedOrders[WeekIndex],81)=0,"",SUMIFS(T_PlannedOrders[EffectiveQty],T_PlannedOrders[Part Name],$A1113,T_PlannedOrders[WeekIndex],81)&amp;" ("&amp;TEXT(SUMPRODUCT(MAX((T_PlannedOrders[Part Name]=$A1113)*(T_PlannedOrders[WeekIndex]=81)*(T_PlannedOrders[EffectiveQty]&gt;0)*T_PlannedOrders[Order_Month])),"m月")&amp;"発注)")</f>
        <v/>
      </c>
      <c r="CG1127">
        <f>IF(SUMIFS(T_PlannedOrders[EffectiveQty],T_PlannedOrders[Part Name],$A1113,T_PlannedOrders[WeekIndex],82)=0,"",SUMIFS(T_PlannedOrders[EffectiveQty],T_PlannedOrders[Part Name],$A1113,T_PlannedOrders[WeekIndex],82)&amp;" ("&amp;TEXT(SUMPRODUCT(MAX((T_PlannedOrders[Part Name]=$A1113)*(T_PlannedOrders[WeekIndex]=82)*(T_PlannedOrders[EffectiveQty]&gt;0)*T_PlannedOrders[Order_Month])),"m月")&amp;"発注)")</f>
        <v/>
      </c>
      <c r="CH1127">
        <f>IF(SUMIFS(T_PlannedOrders[EffectiveQty],T_PlannedOrders[Part Name],$A1113,T_PlannedOrders[WeekIndex],83)=0,"",SUMIFS(T_PlannedOrders[EffectiveQty],T_PlannedOrders[Part Name],$A1113,T_PlannedOrders[WeekIndex],83)&amp;" ("&amp;TEXT(SUMPRODUCT(MAX((T_PlannedOrders[Part Name]=$A1113)*(T_PlannedOrders[WeekIndex]=83)*(T_PlannedOrders[EffectiveQty]&gt;0)*T_PlannedOrders[Order_Month])),"m月")&amp;"発注)")</f>
        <v/>
      </c>
      <c r="CI1127">
        <f>IF(SUMIFS(T_PlannedOrders[EffectiveQty],T_PlannedOrders[Part Name],$A1113,T_PlannedOrders[WeekIndex],84)=0,"",SUMIFS(T_PlannedOrders[EffectiveQty],T_PlannedOrders[Part Name],$A1113,T_PlannedOrders[WeekIndex],84)&amp;" ("&amp;TEXT(SUMPRODUCT(MAX((T_PlannedOrders[Part Name]=$A1113)*(T_PlannedOrders[WeekIndex]=84)*(T_PlannedOrders[EffectiveQty]&gt;0)*T_PlannedOrders[Order_Month])),"m月")&amp;"発注)")</f>
        <v/>
      </c>
      <c r="CJ1127">
        <f>IF(SUMIFS(T_PlannedOrders[EffectiveQty],T_PlannedOrders[Part Name],$A1113,T_PlannedOrders[WeekIndex],85)=0,"",SUMIFS(T_PlannedOrders[EffectiveQty],T_PlannedOrders[Part Name],$A1113,T_PlannedOrders[WeekIndex],85)&amp;" ("&amp;TEXT(SUMPRODUCT(MAX((T_PlannedOrders[Part Name]=$A1113)*(T_PlannedOrders[WeekIndex]=85)*(T_PlannedOrders[EffectiveQty]&gt;0)*T_PlannedOrders[Order_Month])),"m月")&amp;"発注)")</f>
        <v/>
      </c>
      <c r="CK1127">
        <f>IF(SUMIFS(T_PlannedOrders[EffectiveQty],T_PlannedOrders[Part Name],$A1113,T_PlannedOrders[WeekIndex],86)=0,"",SUMIFS(T_PlannedOrders[EffectiveQty],T_PlannedOrders[Part Name],$A1113,T_PlannedOrders[WeekIndex],86)&amp;" ("&amp;TEXT(SUMPRODUCT(MAX((T_PlannedOrders[Part Name]=$A1113)*(T_PlannedOrders[WeekIndex]=86)*(T_PlannedOrders[EffectiveQty]&gt;0)*T_PlannedOrders[Order_Month])),"m月")&amp;"発注)")</f>
        <v/>
      </c>
      <c r="CL1127">
        <f>IF(SUMIFS(T_PlannedOrders[EffectiveQty],T_PlannedOrders[Part Name],$A1113,T_PlannedOrders[WeekIndex],87)=0,"",SUMIFS(T_PlannedOrders[EffectiveQty],T_PlannedOrders[Part Name],$A1113,T_PlannedOrders[WeekIndex],87)&amp;" ("&amp;TEXT(SUMPRODUCT(MAX((T_PlannedOrders[Part Name]=$A1113)*(T_PlannedOrders[WeekIndex]=87)*(T_PlannedOrders[EffectiveQty]&gt;0)*T_PlannedOrders[Order_Month])),"m月")&amp;"発注)")</f>
        <v/>
      </c>
      <c r="CM1127">
        <f>IF(SUMIFS(T_PlannedOrders[EffectiveQty],T_PlannedOrders[Part Name],$A1113,T_PlannedOrders[WeekIndex],88)=0,"",SUMIFS(T_PlannedOrders[EffectiveQty],T_PlannedOrders[Part Name],$A1113,T_PlannedOrders[WeekIndex],88)&amp;" ("&amp;TEXT(SUMPRODUCT(MAX((T_PlannedOrders[Part Name]=$A1113)*(T_PlannedOrders[WeekIndex]=88)*(T_PlannedOrders[EffectiveQty]&gt;0)*T_PlannedOrders[Order_Month])),"m月")&amp;"発注)")</f>
        <v/>
      </c>
      <c r="CN1127">
        <f>IF(SUMIFS(T_PlannedOrders[EffectiveQty],T_PlannedOrders[Part Name],$A1113,T_PlannedOrders[WeekIndex],89)=0,"",SUMIFS(T_PlannedOrders[EffectiveQty],T_PlannedOrders[Part Name],$A1113,T_PlannedOrders[WeekIndex],89)&amp;" ("&amp;TEXT(SUMPRODUCT(MAX((T_PlannedOrders[Part Name]=$A1113)*(T_PlannedOrders[WeekIndex]=89)*(T_PlannedOrders[EffectiveQty]&gt;0)*T_PlannedOrders[Order_Month])),"m月")&amp;"発注)")</f>
        <v/>
      </c>
      <c r="CO1127">
        <f>IF(SUMIFS(T_PlannedOrders[EffectiveQty],T_PlannedOrders[Part Name],$A1113,T_PlannedOrders[WeekIndex],90)=0,"",SUMIFS(T_PlannedOrders[EffectiveQty],T_PlannedOrders[Part Name],$A1113,T_PlannedOrders[WeekIndex],90)&amp;" ("&amp;TEXT(SUMPRODUCT(MAX((T_PlannedOrders[Part Name]=$A1113)*(T_PlannedOrders[WeekIndex]=90)*(T_PlannedOrders[EffectiveQty]&gt;0)*T_PlannedOrders[Order_Month])),"m月")&amp;"発注)")</f>
        <v/>
      </c>
      <c r="CP1127">
        <f>IF(SUMIFS(T_PlannedOrders[EffectiveQty],T_PlannedOrders[Part Name],$A1113,T_PlannedOrders[WeekIndex],91)=0,"",SUMIFS(T_PlannedOrders[EffectiveQty],T_PlannedOrders[Part Name],$A1113,T_PlannedOrders[WeekIndex],91)&amp;" ("&amp;TEXT(SUMPRODUCT(MAX((T_PlannedOrders[Part Name]=$A1113)*(T_PlannedOrders[WeekIndex]=91)*(T_PlannedOrders[EffectiveQty]&gt;0)*T_PlannedOrders[Order_Month])),"m月")&amp;"発注)")</f>
        <v/>
      </c>
      <c r="CQ1127">
        <f>IF(SUMIFS(T_PlannedOrders[EffectiveQty],T_PlannedOrders[Part Name],$A1113,T_PlannedOrders[WeekIndex],92)=0,"",SUMIFS(T_PlannedOrders[EffectiveQty],T_PlannedOrders[Part Name],$A1113,T_PlannedOrders[WeekIndex],92)&amp;" ("&amp;TEXT(SUMPRODUCT(MAX((T_PlannedOrders[Part Name]=$A1113)*(T_PlannedOrders[WeekIndex]=92)*(T_PlannedOrders[EffectiveQty]&gt;0)*T_PlannedOrders[Order_Month])),"m月")&amp;"発注)")</f>
        <v/>
      </c>
      <c r="CR1127">
        <f>IF(SUMIFS(T_PlannedOrders[EffectiveQty],T_PlannedOrders[Part Name],$A1113,T_PlannedOrders[WeekIndex],93)=0,"",SUMIFS(T_PlannedOrders[EffectiveQty],T_PlannedOrders[Part Name],$A1113,T_PlannedOrders[WeekIndex],93)&amp;" ("&amp;TEXT(SUMPRODUCT(MAX((T_PlannedOrders[Part Name]=$A1113)*(T_PlannedOrders[WeekIndex]=93)*(T_PlannedOrders[EffectiveQty]&gt;0)*T_PlannedOrders[Order_Month])),"m月")&amp;"発注)")</f>
        <v/>
      </c>
      <c r="CS1127">
        <f>IF(SUMIFS(T_PlannedOrders[EffectiveQty],T_PlannedOrders[Part Name],$A1113,T_PlannedOrders[WeekIndex],94)=0,"",SUMIFS(T_PlannedOrders[EffectiveQty],T_PlannedOrders[Part Name],$A1113,T_PlannedOrders[WeekIndex],94)&amp;" ("&amp;TEXT(SUMPRODUCT(MAX((T_PlannedOrders[Part Name]=$A1113)*(T_PlannedOrders[WeekIndex]=94)*(T_PlannedOrders[EffectiveQty]&gt;0)*T_PlannedOrders[Order_Month])),"m月")&amp;"発注)")</f>
        <v/>
      </c>
      <c r="CT1127">
        <f>IF(SUMIFS(T_PlannedOrders[EffectiveQty],T_PlannedOrders[Part Name],$A1113,T_PlannedOrders[WeekIndex],95)=0,"",SUMIFS(T_PlannedOrders[EffectiveQty],T_PlannedOrders[Part Name],$A1113,T_PlannedOrders[WeekIndex],95)&amp;" ("&amp;TEXT(SUMPRODUCT(MAX((T_PlannedOrders[Part Name]=$A1113)*(T_PlannedOrders[WeekIndex]=95)*(T_PlannedOrders[EffectiveQty]&gt;0)*T_PlannedOrders[Order_Month])),"m月")&amp;"発注)")</f>
        <v/>
      </c>
      <c r="CU1127">
        <f>IF(SUMIFS(T_PlannedOrders[EffectiveQty],T_PlannedOrders[Part Name],$A1113,T_PlannedOrders[WeekIndex],96)=0,"",SUMIFS(T_PlannedOrders[EffectiveQty],T_PlannedOrders[Part Name],$A1113,T_PlannedOrders[WeekIndex],96)&amp;" ("&amp;TEXT(SUMPRODUCT(MAX((T_PlannedOrders[Part Name]=$A1113)*(T_PlannedOrders[WeekIndex]=96)*(T_PlannedOrders[EffectiveQty]&gt;0)*T_PlannedOrders[Order_Month])),"m月")&amp;"発注)")</f>
        <v/>
      </c>
      <c r="CV1127">
        <f>IF(SUMIFS(T_PlannedOrders[EffectiveQty],T_PlannedOrders[Part Name],$A1113,T_PlannedOrders[WeekIndex],97)=0,"",SUMIFS(T_PlannedOrders[EffectiveQty],T_PlannedOrders[Part Name],$A1113,T_PlannedOrders[WeekIndex],97)&amp;" ("&amp;TEXT(SUMPRODUCT(MAX((T_PlannedOrders[Part Name]=$A1113)*(T_PlannedOrders[WeekIndex]=97)*(T_PlannedOrders[EffectiveQty]&gt;0)*T_PlannedOrders[Order_Month])),"m月")&amp;"発注)")</f>
        <v/>
      </c>
      <c r="CW1127">
        <f>IF(SUMIFS(T_PlannedOrders[EffectiveQty],T_PlannedOrders[Part Name],$A1113,T_PlannedOrders[WeekIndex],98)=0,"",SUMIFS(T_PlannedOrders[EffectiveQty],T_PlannedOrders[Part Name],$A1113,T_PlannedOrders[WeekIndex],98)&amp;" ("&amp;TEXT(SUMPRODUCT(MAX((T_PlannedOrders[Part Name]=$A1113)*(T_PlannedOrders[WeekIndex]=98)*(T_PlannedOrders[EffectiveQty]&gt;0)*T_PlannedOrders[Order_Month])),"m月")&amp;"発注)")</f>
        <v/>
      </c>
      <c r="CX1127">
        <f>IF(SUMIFS(T_PlannedOrders[EffectiveQty],T_PlannedOrders[Part Name],$A1113,T_PlannedOrders[WeekIndex],99)=0,"",SUMIFS(T_PlannedOrders[EffectiveQty],T_PlannedOrders[Part Name],$A1113,T_PlannedOrders[WeekIndex],99)&amp;" ("&amp;TEXT(SUMPRODUCT(MAX((T_PlannedOrders[Part Name]=$A1113)*(T_PlannedOrders[WeekIndex]=99)*(T_PlannedOrders[EffectiveQty]&gt;0)*T_PlannedOrders[Order_Month])),"m月")&amp;"発注)")</f>
        <v/>
      </c>
      <c r="CY1127">
        <f>IF(SUMIFS(T_PlannedOrders[EffectiveQty],T_PlannedOrders[Part Name],$A1113,T_PlannedOrders[WeekIndex],100)=0,"",SUMIFS(T_PlannedOrders[EffectiveQty],T_PlannedOrders[Part Name],$A1113,T_PlannedOrders[WeekIndex],100)&amp;" ("&amp;TEXT(SUMPRODUCT(MAX((T_PlannedOrders[Part Name]=$A1113)*(T_PlannedOrders[WeekIndex]=100)*(T_PlannedOrders[EffectiveQty]&gt;0)*T_PlannedOrders[Order_Month])),"m月")&amp;"発注)")</f>
        <v/>
      </c>
      <c r="CZ1127">
        <f>IF(SUMIFS(T_PlannedOrders[EffectiveQty],T_PlannedOrders[Part Name],$A1113,T_PlannedOrders[WeekIndex],101)=0,"",SUMIFS(T_PlannedOrders[EffectiveQty],T_PlannedOrders[Part Name],$A1113,T_PlannedOrders[WeekIndex],101)&amp;" ("&amp;TEXT(SUMPRODUCT(MAX((T_PlannedOrders[Part Name]=$A1113)*(T_PlannedOrders[WeekIndex]=101)*(T_PlannedOrders[EffectiveQty]&gt;0)*T_PlannedOrders[Order_Month])),"m月")&amp;"発注)")</f>
        <v/>
      </c>
      <c r="DA1127">
        <f>IF(SUMIFS(T_PlannedOrders[EffectiveQty],T_PlannedOrders[Part Name],$A1113,T_PlannedOrders[WeekIndex],102)=0,"",SUMIFS(T_PlannedOrders[EffectiveQty],T_PlannedOrders[Part Name],$A1113,T_PlannedOrders[WeekIndex],102)&amp;" ("&amp;TEXT(SUMPRODUCT(MAX((T_PlannedOrders[Part Name]=$A1113)*(T_PlannedOrders[WeekIndex]=102)*(T_PlannedOrders[EffectiveQty]&gt;0)*T_PlannedOrders[Order_Month])),"m月")&amp;"発注)")</f>
        <v/>
      </c>
      <c r="DB1127">
        <f>IF(SUMIFS(T_PlannedOrders[EffectiveQty],T_PlannedOrders[Part Name],$A1113,T_PlannedOrders[WeekIndex],103)=0,"",SUMIFS(T_PlannedOrders[EffectiveQty],T_PlannedOrders[Part Name],$A1113,T_PlannedOrders[WeekIndex],103)&amp;" ("&amp;TEXT(SUMPRODUCT(MAX((T_PlannedOrders[Part Name]=$A1113)*(T_PlannedOrders[WeekIndex]=103)*(T_PlannedOrders[EffectiveQty]&gt;0)*T_PlannedOrders[Order_Month])),"m月")&amp;"発注)")</f>
        <v/>
      </c>
      <c r="DC1127">
        <f>IF(SUMIFS(T_PlannedOrders[EffectiveQty],T_PlannedOrders[Part Name],$A1113,T_PlannedOrders[WeekIndex],104)=0,"",SUMIFS(T_PlannedOrders[EffectiveQty],T_PlannedOrders[Part Name],$A1113,T_PlannedOrders[WeekIndex],104)&amp;" ("&amp;TEXT(SUMPRODUCT(MAX((T_PlannedOrders[Part Name]=$A1113)*(T_PlannedOrders[WeekIndex]=104)*(T_PlannedOrders[EffectiveQty]&gt;0)*T_PlannedOrders[Order_Month])),"m月")&amp;"発注)")</f>
        <v/>
      </c>
    </row>
    <row r="1128">
      <c r="B1128" s="9" t="inlineStr">
        <is>
          <t>合計在庫(週末時点,kg)</t>
        </is>
      </c>
      <c r="D1128">
        <f>'Grid_Stock'!B26</f>
        <v/>
      </c>
      <c r="E1128">
        <f>'Grid_Stock'!C26</f>
        <v/>
      </c>
      <c r="F1128">
        <f>'Grid_Stock'!D26</f>
        <v/>
      </c>
      <c r="G1128">
        <f>'Grid_Stock'!E26</f>
        <v/>
      </c>
      <c r="H1128">
        <f>'Grid_Stock'!F26</f>
        <v/>
      </c>
      <c r="I1128">
        <f>'Grid_Stock'!G26</f>
        <v/>
      </c>
      <c r="J1128">
        <f>'Grid_Stock'!H26</f>
        <v/>
      </c>
      <c r="K1128">
        <f>'Grid_Stock'!I26</f>
        <v/>
      </c>
      <c r="L1128">
        <f>'Grid_Stock'!J26</f>
        <v/>
      </c>
      <c r="M1128">
        <f>'Grid_Stock'!K26</f>
        <v/>
      </c>
      <c r="N1128">
        <f>'Grid_Stock'!L26</f>
        <v/>
      </c>
      <c r="O1128">
        <f>'Grid_Stock'!M26</f>
        <v/>
      </c>
      <c r="P1128">
        <f>'Grid_Stock'!N26</f>
        <v/>
      </c>
      <c r="Q1128">
        <f>'Grid_Stock'!O26</f>
        <v/>
      </c>
      <c r="R1128">
        <f>'Grid_Stock'!P26</f>
        <v/>
      </c>
      <c r="S1128">
        <f>'Grid_Stock'!Q26</f>
        <v/>
      </c>
      <c r="T1128">
        <f>'Grid_Stock'!R26</f>
        <v/>
      </c>
      <c r="U1128">
        <f>'Grid_Stock'!S26</f>
        <v/>
      </c>
      <c r="V1128">
        <f>'Grid_Stock'!T26</f>
        <v/>
      </c>
      <c r="W1128">
        <f>'Grid_Stock'!U26</f>
        <v/>
      </c>
      <c r="X1128">
        <f>'Grid_Stock'!V26</f>
        <v/>
      </c>
      <c r="Y1128">
        <f>'Grid_Stock'!W26</f>
        <v/>
      </c>
      <c r="Z1128">
        <f>'Grid_Stock'!X26</f>
        <v/>
      </c>
      <c r="AA1128">
        <f>'Grid_Stock'!Y26</f>
        <v/>
      </c>
      <c r="AB1128">
        <f>'Grid_Stock'!Z26</f>
        <v/>
      </c>
      <c r="AC1128">
        <f>'Grid_Stock'!AA26</f>
        <v/>
      </c>
      <c r="AD1128">
        <f>'Grid_Stock'!AB26</f>
        <v/>
      </c>
      <c r="AE1128">
        <f>'Grid_Stock'!AC26</f>
        <v/>
      </c>
      <c r="AF1128">
        <f>'Grid_Stock'!AD26</f>
        <v/>
      </c>
      <c r="AG1128">
        <f>'Grid_Stock'!AE26</f>
        <v/>
      </c>
      <c r="AH1128">
        <f>'Grid_Stock'!AF26</f>
        <v/>
      </c>
      <c r="AI1128">
        <f>'Grid_Stock'!AG26</f>
        <v/>
      </c>
      <c r="AJ1128">
        <f>'Grid_Stock'!AH26</f>
        <v/>
      </c>
      <c r="AK1128">
        <f>'Grid_Stock'!AI26</f>
        <v/>
      </c>
      <c r="AL1128">
        <f>'Grid_Stock'!AJ26</f>
        <v/>
      </c>
      <c r="AM1128">
        <f>'Grid_Stock'!AK26</f>
        <v/>
      </c>
      <c r="AN1128">
        <f>'Grid_Stock'!AL26</f>
        <v/>
      </c>
      <c r="AO1128">
        <f>'Grid_Stock'!AM26</f>
        <v/>
      </c>
      <c r="AP1128">
        <f>'Grid_Stock'!AN26</f>
        <v/>
      </c>
      <c r="AQ1128">
        <f>'Grid_Stock'!AO26</f>
        <v/>
      </c>
      <c r="AR1128">
        <f>'Grid_Stock'!AP26</f>
        <v/>
      </c>
      <c r="AS1128">
        <f>'Grid_Stock'!AQ26</f>
        <v/>
      </c>
      <c r="AT1128">
        <f>'Grid_Stock'!AR26</f>
        <v/>
      </c>
      <c r="AU1128">
        <f>'Grid_Stock'!AS26</f>
        <v/>
      </c>
      <c r="AV1128">
        <f>'Grid_Stock'!AT26</f>
        <v/>
      </c>
      <c r="AW1128">
        <f>'Grid_Stock'!AU26</f>
        <v/>
      </c>
      <c r="AX1128">
        <f>'Grid_Stock'!AV26</f>
        <v/>
      </c>
      <c r="AY1128">
        <f>'Grid_Stock'!AW26</f>
        <v/>
      </c>
      <c r="AZ1128">
        <f>'Grid_Stock'!AX26</f>
        <v/>
      </c>
      <c r="BA1128">
        <f>'Grid_Stock'!AY26</f>
        <v/>
      </c>
      <c r="BB1128">
        <f>'Grid_Stock'!AZ26</f>
        <v/>
      </c>
      <c r="BC1128">
        <f>'Grid_Stock'!BA26</f>
        <v/>
      </c>
      <c r="BD1128">
        <f>'Grid_Stock'!BB26</f>
        <v/>
      </c>
      <c r="BE1128">
        <f>'Grid_Stock'!BC26</f>
        <v/>
      </c>
      <c r="BF1128">
        <f>'Grid_Stock'!BD26</f>
        <v/>
      </c>
      <c r="BG1128">
        <f>'Grid_Stock'!BE26</f>
        <v/>
      </c>
      <c r="BH1128">
        <f>'Grid_Stock'!BF26</f>
        <v/>
      </c>
      <c r="BI1128">
        <f>'Grid_Stock'!BG26</f>
        <v/>
      </c>
      <c r="BJ1128">
        <f>'Grid_Stock'!BH26</f>
        <v/>
      </c>
      <c r="BK1128">
        <f>'Grid_Stock'!BI26</f>
        <v/>
      </c>
      <c r="BL1128">
        <f>'Grid_Stock'!BJ26</f>
        <v/>
      </c>
      <c r="BM1128">
        <f>'Grid_Stock'!BK26</f>
        <v/>
      </c>
      <c r="BN1128">
        <f>'Grid_Stock'!BL26</f>
        <v/>
      </c>
      <c r="BO1128">
        <f>'Grid_Stock'!BM26</f>
        <v/>
      </c>
      <c r="BP1128">
        <f>'Grid_Stock'!BN26</f>
        <v/>
      </c>
      <c r="BQ1128">
        <f>'Grid_Stock'!BO26</f>
        <v/>
      </c>
      <c r="BR1128">
        <f>'Grid_Stock'!BP26</f>
        <v/>
      </c>
      <c r="BS1128">
        <f>'Grid_Stock'!BQ26</f>
        <v/>
      </c>
      <c r="BT1128">
        <f>'Grid_Stock'!BR26</f>
        <v/>
      </c>
      <c r="BU1128">
        <f>'Grid_Stock'!BS26</f>
        <v/>
      </c>
      <c r="BV1128">
        <f>'Grid_Stock'!BT26</f>
        <v/>
      </c>
      <c r="BW1128">
        <f>'Grid_Stock'!BU26</f>
        <v/>
      </c>
      <c r="BX1128">
        <f>'Grid_Stock'!BV26</f>
        <v/>
      </c>
      <c r="BY1128">
        <f>'Grid_Stock'!BW26</f>
        <v/>
      </c>
      <c r="BZ1128">
        <f>'Grid_Stock'!BX26</f>
        <v/>
      </c>
      <c r="CA1128">
        <f>'Grid_Stock'!BY26</f>
        <v/>
      </c>
      <c r="CB1128">
        <f>'Grid_Stock'!BZ26</f>
        <v/>
      </c>
      <c r="CC1128">
        <f>'Grid_Stock'!CA26</f>
        <v/>
      </c>
      <c r="CD1128">
        <f>'Grid_Stock'!CB26</f>
        <v/>
      </c>
      <c r="CE1128">
        <f>'Grid_Stock'!CC26</f>
        <v/>
      </c>
      <c r="CF1128">
        <f>'Grid_Stock'!CD26</f>
        <v/>
      </c>
      <c r="CG1128">
        <f>'Grid_Stock'!CE26</f>
        <v/>
      </c>
      <c r="CH1128">
        <f>'Grid_Stock'!CF26</f>
        <v/>
      </c>
      <c r="CI1128">
        <f>'Grid_Stock'!CG26</f>
        <v/>
      </c>
      <c r="CJ1128">
        <f>'Grid_Stock'!CH26</f>
        <v/>
      </c>
      <c r="CK1128">
        <f>'Grid_Stock'!CI26</f>
        <v/>
      </c>
      <c r="CL1128">
        <f>'Grid_Stock'!CJ26</f>
        <v/>
      </c>
      <c r="CM1128">
        <f>'Grid_Stock'!CK26</f>
        <v/>
      </c>
      <c r="CN1128">
        <f>'Grid_Stock'!CL26</f>
        <v/>
      </c>
      <c r="CO1128">
        <f>'Grid_Stock'!CM26</f>
        <v/>
      </c>
      <c r="CP1128">
        <f>'Grid_Stock'!CN26</f>
        <v/>
      </c>
      <c r="CQ1128">
        <f>'Grid_Stock'!CO26</f>
        <v/>
      </c>
      <c r="CR1128">
        <f>'Grid_Stock'!CP26</f>
        <v/>
      </c>
      <c r="CS1128">
        <f>'Grid_Stock'!CQ26</f>
        <v/>
      </c>
      <c r="CT1128">
        <f>'Grid_Stock'!CR26</f>
        <v/>
      </c>
      <c r="CU1128">
        <f>'Grid_Stock'!CS26</f>
        <v/>
      </c>
      <c r="CV1128">
        <f>'Grid_Stock'!CT26</f>
        <v/>
      </c>
      <c r="CW1128">
        <f>'Grid_Stock'!CU26</f>
        <v/>
      </c>
      <c r="CX1128">
        <f>'Grid_Stock'!CV26</f>
        <v/>
      </c>
      <c r="CY1128">
        <f>'Grid_Stock'!CW26</f>
        <v/>
      </c>
      <c r="CZ1128">
        <f>'Grid_Stock'!CX26</f>
        <v/>
      </c>
      <c r="DA1128">
        <f>'Grid_Stock'!CY26</f>
        <v/>
      </c>
      <c r="DB1128">
        <f>'Grid_Stock'!CZ26</f>
        <v/>
      </c>
      <c r="DC1128">
        <f>'Grid_Stock'!DA26</f>
        <v/>
      </c>
    </row>
    <row r="1129">
      <c r="B1129" s="21" t="inlineStr">
        <is>
          <t>（発注の目安はDashboardの基準在庫[下限/上限]と色分けを参照）</t>
        </is>
      </c>
    </row>
    <row r="1131">
      <c r="A1131" s="19" t="inlineStr">
        <is>
          <t>CHEM-1570</t>
        </is>
      </c>
      <c r="B1131" s="19" t="inlineStr">
        <is>
          <t>NOPAGOAL A</t>
        </is>
      </c>
      <c r="C1131" s="20" t="n"/>
      <c r="D1131" s="19" t="n"/>
      <c r="E1131" s="19" t="n"/>
      <c r="F1131" s="19" t="n"/>
      <c r="G1131" s="19" t="n"/>
      <c r="H1131" s="19" t="n"/>
      <c r="I1131" s="19" t="n"/>
      <c r="J1131" s="19" t="n"/>
      <c r="K1131" s="19" t="n"/>
      <c r="L1131" s="19" t="n"/>
      <c r="M1131" s="19" t="n"/>
      <c r="N1131" s="19" t="n"/>
      <c r="O1131" s="19" t="n"/>
      <c r="P1131" s="19" t="n"/>
      <c r="Q1131" s="19" t="n"/>
      <c r="R1131" s="19" t="n"/>
      <c r="S1131" s="19" t="n"/>
      <c r="T1131" s="19" t="n"/>
      <c r="U1131" s="19" t="n"/>
      <c r="V1131" s="19" t="n"/>
      <c r="W1131" s="19" t="n"/>
      <c r="X1131" s="19" t="n"/>
      <c r="Y1131" s="19" t="n"/>
      <c r="Z1131" s="19" t="n"/>
      <c r="AA1131" s="19" t="n"/>
      <c r="AB1131" s="19" t="n"/>
      <c r="AC1131" s="19" t="n"/>
      <c r="AD1131" s="19" t="n"/>
      <c r="AE1131" s="19" t="n"/>
      <c r="AF1131" s="19" t="n"/>
      <c r="AG1131" s="19" t="n"/>
      <c r="AH1131" s="19" t="n"/>
      <c r="AI1131" s="19" t="n"/>
      <c r="AJ1131" s="19" t="n"/>
      <c r="AK1131" s="19" t="n"/>
      <c r="AL1131" s="19" t="n"/>
      <c r="AM1131" s="19" t="n"/>
      <c r="AN1131" s="19" t="n"/>
      <c r="AO1131" s="19" t="n"/>
      <c r="AP1131" s="19" t="n"/>
      <c r="AQ1131" s="19" t="n"/>
      <c r="AR1131" s="19" t="n"/>
      <c r="AS1131" s="19" t="n"/>
      <c r="AT1131" s="19" t="n"/>
      <c r="AU1131" s="19" t="n"/>
      <c r="AV1131" s="19" t="n"/>
      <c r="AW1131" s="19" t="n"/>
      <c r="AX1131" s="19" t="n"/>
      <c r="AY1131" s="19" t="n"/>
      <c r="AZ1131" s="19" t="n"/>
      <c r="BA1131" s="19" t="n"/>
      <c r="BB1131" s="19" t="n"/>
      <c r="BC1131" s="19" t="n"/>
      <c r="BD1131" s="19" t="n"/>
      <c r="BE1131" s="19" t="n"/>
      <c r="BF1131" s="19" t="n"/>
      <c r="BG1131" s="19" t="n"/>
      <c r="BH1131" s="19" t="n"/>
      <c r="BI1131" s="19" t="n"/>
      <c r="BJ1131" s="19" t="n"/>
      <c r="BK1131" s="19" t="n"/>
      <c r="BL1131" s="19" t="n"/>
      <c r="BM1131" s="19" t="n"/>
      <c r="BN1131" s="19" t="n"/>
      <c r="BO1131" s="19" t="n"/>
      <c r="BP1131" s="19" t="n"/>
      <c r="BQ1131" s="19" t="n"/>
      <c r="BR1131" s="19" t="n"/>
      <c r="BS1131" s="19" t="n"/>
      <c r="BT1131" s="19" t="n"/>
      <c r="BU1131" s="19" t="n"/>
      <c r="BV1131" s="19" t="n"/>
      <c r="BW1131" s="19" t="n"/>
      <c r="BX1131" s="19" t="n"/>
      <c r="BY1131" s="19" t="n"/>
      <c r="BZ1131" s="19" t="n"/>
      <c r="CA1131" s="19" t="n"/>
      <c r="CB1131" s="19" t="n"/>
      <c r="CC1131" s="19" t="n"/>
      <c r="CD1131" s="19" t="n"/>
      <c r="CE1131" s="19" t="n"/>
      <c r="CF1131" s="19" t="n"/>
      <c r="CG1131" s="19" t="n"/>
      <c r="CH1131" s="19" t="n"/>
      <c r="CI1131" s="19" t="n"/>
      <c r="CJ1131" s="19" t="n"/>
      <c r="CK1131" s="19" t="n"/>
      <c r="CL1131" s="19" t="n"/>
      <c r="CM1131" s="19" t="n"/>
      <c r="CN1131" s="19" t="n"/>
      <c r="CO1131" s="19" t="n"/>
      <c r="CP1131" s="19" t="n"/>
      <c r="CQ1131" s="19" t="n"/>
      <c r="CR1131" s="19" t="n"/>
      <c r="CS1131" s="19" t="n"/>
      <c r="CT1131" s="19" t="n"/>
      <c r="CU1131" s="19" t="n"/>
      <c r="CV1131" s="19" t="n"/>
      <c r="CW1131" s="19" t="n"/>
      <c r="CX1131" s="19" t="n"/>
      <c r="CY1131" s="19" t="n"/>
      <c r="CZ1131" s="19" t="n"/>
      <c r="DA1131" s="19" t="n"/>
      <c r="DB1131" s="19" t="n"/>
      <c r="DC1131" s="19" t="n"/>
    </row>
    <row r="1132">
      <c r="B1132" t="inlineStr">
        <is>
          <t>TSP-1388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12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Name],$A1131)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TSP-1444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Name],$A1131)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TSP-1445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Name],$A1131)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TSP-1446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Name],$A1131)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TSP-1448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Name],$A1131)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TSP-1449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Name],$A1131)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TSP-1499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Name],$A1131)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TSP-1558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Name],$A1131)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TSP-655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Name],$A1131)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TSP-656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Name],$A1131)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TSP-903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Name],$A1131)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TSP-935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12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Name],$A1131)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TSP-937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12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Name],$A1131)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t="inlineStr">
        <is>
          <t>TSP-959</t>
        </is>
      </c>
      <c r="C1158" t="inlineStr">
        <is>
          <t>No. of batches</t>
        </is>
      </c>
      <c r="D1158">
        <f>IFERROR(INDEX(PP_Grid[#Data],$DD1158,2),0)</f>
        <v/>
      </c>
      <c r="E1158">
        <f>IFERROR(INDEX(PP_Grid[#Data],$DD1158,3),0)</f>
        <v/>
      </c>
      <c r="F1158">
        <f>IFERROR(INDEX(PP_Grid[#Data],$DD1158,4),0)</f>
        <v/>
      </c>
      <c r="G1158">
        <f>IFERROR(INDEX(PP_Grid[#Data],$DD1158,5),0)</f>
        <v/>
      </c>
      <c r="H1158">
        <f>IFERROR(INDEX(PP_Grid[#Data],$DD1158,6),0)</f>
        <v/>
      </c>
      <c r="I1158">
        <f>IFERROR(INDEX(PP_Grid[#Data],$DD1158,7),0)</f>
        <v/>
      </c>
      <c r="J1158">
        <f>IFERROR(INDEX(PP_Grid[#Data],$DD1158,8),0)</f>
        <v/>
      </c>
      <c r="K1158">
        <f>IFERROR(INDEX(PP_Grid[#Data],$DD1158,9),0)</f>
        <v/>
      </c>
      <c r="L1158">
        <f>IFERROR(INDEX(PP_Grid[#Data],$DD1158,10),0)</f>
        <v/>
      </c>
      <c r="M1158">
        <f>IFERROR(INDEX(PP_Grid[#Data],$DD1158,11),0)</f>
        <v/>
      </c>
      <c r="N1158">
        <f>IFERROR(INDEX(PP_Grid[#Data],$DD1158,12),0)</f>
        <v/>
      </c>
      <c r="O1158">
        <f>IFERROR(INDEX(PP_Grid[#Data],$DD1158,13),0)</f>
        <v/>
      </c>
      <c r="P1158">
        <f>IFERROR(INDEX(PP_Grid[#Data],$DD1158,14),0)</f>
        <v/>
      </c>
      <c r="Q1158">
        <f>IFERROR(INDEX(PP_Grid[#Data],$DD1158,15),0)</f>
        <v/>
      </c>
      <c r="R1158">
        <f>IFERROR(INDEX(PP_Grid[#Data],$DD1158,16),0)</f>
        <v/>
      </c>
      <c r="S1158">
        <f>IFERROR(INDEX(PP_Grid[#Data],$DD1158,17),0)</f>
        <v/>
      </c>
      <c r="T1158">
        <f>IFERROR(INDEX(PP_Grid[#Data],$DD1158,18),0)</f>
        <v/>
      </c>
      <c r="U1158">
        <f>IFERROR(INDEX(PP_Grid[#Data],$DD1158,19),0)</f>
        <v/>
      </c>
      <c r="V1158">
        <f>IFERROR(INDEX(PP_Grid[#Data],$DD1158,20),0)</f>
        <v/>
      </c>
      <c r="W1158">
        <f>IFERROR(INDEX(PP_Grid[#Data],$DD1158,21),0)</f>
        <v/>
      </c>
      <c r="X1158">
        <f>IFERROR(INDEX(PP_Grid[#Data],$DD1158,22),0)</f>
        <v/>
      </c>
      <c r="Y1158">
        <f>IFERROR(INDEX(PP_Grid[#Data],$DD1158,23),0)</f>
        <v/>
      </c>
      <c r="Z1158">
        <f>IFERROR(INDEX(PP_Grid[#Data],$DD1158,24),0)</f>
        <v/>
      </c>
      <c r="AA1158">
        <f>IFERROR(INDEX(PP_Grid[#Data],$DD1158,25),0)</f>
        <v/>
      </c>
      <c r="AB1158">
        <f>IFERROR(INDEX(PP_Grid[#Data],$DD1158,26),0)</f>
        <v/>
      </c>
      <c r="AC1158">
        <f>IFERROR(INDEX(PP_Grid[#Data],$DD1158,27),0)</f>
        <v/>
      </c>
      <c r="AD1158">
        <f>IFERROR(INDEX(PP_Grid[#Data],$DD1158,28),0)</f>
        <v/>
      </c>
      <c r="AE1158">
        <f>IFERROR(INDEX(PP_Grid[#Data],$DD1158,29),0)</f>
        <v/>
      </c>
      <c r="AF1158">
        <f>IFERROR(INDEX(PP_Grid[#Data],$DD1158,30),0)</f>
        <v/>
      </c>
      <c r="AG1158">
        <f>IFERROR(INDEX(PP_Grid[#Data],$DD1158,31),0)</f>
        <v/>
      </c>
      <c r="AH1158">
        <f>IFERROR(INDEX(PP_Grid[#Data],$DD1158,32),0)</f>
        <v/>
      </c>
      <c r="AI1158">
        <f>IFERROR(INDEX(PP_Grid[#Data],$DD1158,33),0)</f>
        <v/>
      </c>
      <c r="AJ1158">
        <f>IFERROR(INDEX(PP_Grid[#Data],$DD1158,34),0)</f>
        <v/>
      </c>
      <c r="AK1158">
        <f>IFERROR(INDEX(PP_Grid[#Data],$DD1158,35),0)</f>
        <v/>
      </c>
      <c r="AL1158">
        <f>IFERROR(INDEX(PP_Grid[#Data],$DD1158,36),0)</f>
        <v/>
      </c>
      <c r="AM1158">
        <f>IFERROR(INDEX(PP_Grid[#Data],$DD1158,37),0)</f>
        <v/>
      </c>
      <c r="AN1158">
        <f>IFERROR(INDEX(PP_Grid[#Data],$DD1158,38),0)</f>
        <v/>
      </c>
      <c r="AO1158">
        <f>IFERROR(INDEX(PP_Grid[#Data],$DD1158,39),0)</f>
        <v/>
      </c>
      <c r="AP1158">
        <f>IFERROR(INDEX(PP_Grid[#Data],$DD1158,40),0)</f>
        <v/>
      </c>
      <c r="AQ1158">
        <f>IFERROR(INDEX(PP_Grid[#Data],$DD1158,41),0)</f>
        <v/>
      </c>
      <c r="AR1158">
        <f>IFERROR(INDEX(PP_Grid[#Data],$DD1158,42),0)</f>
        <v/>
      </c>
      <c r="AS1158">
        <f>IFERROR(INDEX(PP_Grid[#Data],$DD1158,43),0)</f>
        <v/>
      </c>
      <c r="AT1158">
        <f>IFERROR(INDEX(PP_Grid[#Data],$DD1158,44),0)</f>
        <v/>
      </c>
      <c r="AU1158">
        <f>IFERROR(INDEX(PP_Grid[#Data],$DD1158,45),0)</f>
        <v/>
      </c>
      <c r="AV1158">
        <f>IFERROR(INDEX(PP_Grid[#Data],$DD1158,46),0)</f>
        <v/>
      </c>
      <c r="AW1158">
        <f>IFERROR(INDEX(PP_Grid[#Data],$DD1158,47),0)</f>
        <v/>
      </c>
      <c r="AX1158">
        <f>IFERROR(INDEX(PP_Grid[#Data],$DD1158,48),0)</f>
        <v/>
      </c>
      <c r="AY1158">
        <f>IFERROR(INDEX(PP_Grid[#Data],$DD1158,49),0)</f>
        <v/>
      </c>
      <c r="AZ1158">
        <f>IFERROR(INDEX(PP_Grid[#Data],$DD1158,50),0)</f>
        <v/>
      </c>
      <c r="BA1158">
        <f>IFERROR(INDEX(PP_Grid[#Data],$DD1158,51),0)</f>
        <v/>
      </c>
      <c r="BB1158">
        <f>IFERROR(INDEX(PP_Grid[#Data],$DD1158,52),0)</f>
        <v/>
      </c>
      <c r="BC1158">
        <f>IFERROR(INDEX(PP_Grid[#Data],$DD1158,53),0)</f>
        <v/>
      </c>
      <c r="BD1158">
        <f>IFERROR(INDEX(PP_Grid[#Data],$DD1158,54),0)</f>
        <v/>
      </c>
      <c r="BE1158">
        <f>IFERROR(INDEX(PP_Grid[#Data],$DD1158,55),0)</f>
        <v/>
      </c>
      <c r="BF1158">
        <f>IFERROR(INDEX(PP_Grid[#Data],$DD1158,56),0)</f>
        <v/>
      </c>
      <c r="BG1158">
        <f>IFERROR(INDEX(PP_Grid[#Data],$DD1158,57),0)</f>
        <v/>
      </c>
      <c r="BH1158">
        <f>IFERROR(INDEX(PP_Grid[#Data],$DD1158,58),0)</f>
        <v/>
      </c>
      <c r="BI1158">
        <f>IFERROR(INDEX(PP_Grid[#Data],$DD1158,59),0)</f>
        <v/>
      </c>
      <c r="BJ1158">
        <f>IFERROR(INDEX(PP_Grid[#Data],$DD1158,60),0)</f>
        <v/>
      </c>
      <c r="BK1158">
        <f>IFERROR(INDEX(PP_Grid[#Data],$DD1158,61),0)</f>
        <v/>
      </c>
      <c r="BL1158">
        <f>IFERROR(INDEX(PP_Grid[#Data],$DD1158,62),0)</f>
        <v/>
      </c>
      <c r="BM1158">
        <f>IFERROR(INDEX(PP_Grid[#Data],$DD1158,63),0)</f>
        <v/>
      </c>
      <c r="BN1158">
        <f>IFERROR(INDEX(PP_Grid[#Data],$DD1158,64),0)</f>
        <v/>
      </c>
      <c r="BO1158">
        <f>IFERROR(INDEX(PP_Grid[#Data],$DD1158,65),0)</f>
        <v/>
      </c>
      <c r="BP1158">
        <f>IFERROR(INDEX(PP_Grid[#Data],$DD1158,66),0)</f>
        <v/>
      </c>
      <c r="BQ1158">
        <f>IFERROR(INDEX(PP_Grid[#Data],$DD1158,67),0)</f>
        <v/>
      </c>
      <c r="BR1158">
        <f>IFERROR(INDEX(PP_Grid[#Data],$DD1158,68),0)</f>
        <v/>
      </c>
      <c r="BS1158">
        <f>IFERROR(INDEX(PP_Grid[#Data],$DD1158,69),0)</f>
        <v/>
      </c>
      <c r="BT1158">
        <f>IFERROR(INDEX(PP_Grid[#Data],$DD1158,70),0)</f>
        <v/>
      </c>
      <c r="BU1158">
        <f>IFERROR(INDEX(PP_Grid[#Data],$DD1158,71),0)</f>
        <v/>
      </c>
      <c r="BV1158">
        <f>IFERROR(INDEX(PP_Grid[#Data],$DD1158,72),0)</f>
        <v/>
      </c>
      <c r="BW1158">
        <f>IFERROR(INDEX(PP_Grid[#Data],$DD1158,73),0)</f>
        <v/>
      </c>
      <c r="BX1158">
        <f>IFERROR(INDEX(PP_Grid[#Data],$DD1158,74),0)</f>
        <v/>
      </c>
      <c r="BY1158">
        <f>IFERROR(INDEX(PP_Grid[#Data],$DD1158,75),0)</f>
        <v/>
      </c>
      <c r="BZ1158">
        <f>IFERROR(INDEX(PP_Grid[#Data],$DD1158,76),0)</f>
        <v/>
      </c>
      <c r="CA1158">
        <f>IFERROR(INDEX(PP_Grid[#Data],$DD1158,77),0)</f>
        <v/>
      </c>
      <c r="CB1158">
        <f>IFERROR(INDEX(PP_Grid[#Data],$DD1158,78),0)</f>
        <v/>
      </c>
      <c r="CC1158">
        <f>IFERROR(INDEX(PP_Grid[#Data],$DD1158,79),0)</f>
        <v/>
      </c>
      <c r="CD1158">
        <f>IFERROR(INDEX(PP_Grid[#Data],$DD1158,80),0)</f>
        <v/>
      </c>
      <c r="CE1158">
        <f>IFERROR(INDEX(PP_Grid[#Data],$DD1158,81),0)</f>
        <v/>
      </c>
      <c r="CF1158">
        <f>IFERROR(INDEX(PP_Grid[#Data],$DD1158,82),0)</f>
        <v/>
      </c>
      <c r="CG1158">
        <f>IFERROR(INDEX(PP_Grid[#Data],$DD1158,83),0)</f>
        <v/>
      </c>
      <c r="CH1158">
        <f>IFERROR(INDEX(PP_Grid[#Data],$DD1158,84),0)</f>
        <v/>
      </c>
      <c r="CI1158">
        <f>IFERROR(INDEX(PP_Grid[#Data],$DD1158,85),0)</f>
        <v/>
      </c>
      <c r="CJ1158">
        <f>IFERROR(INDEX(PP_Grid[#Data],$DD1158,86),0)</f>
        <v/>
      </c>
      <c r="CK1158">
        <f>IFERROR(INDEX(PP_Grid[#Data],$DD1158,87),0)</f>
        <v/>
      </c>
      <c r="CL1158">
        <f>IFERROR(INDEX(PP_Grid[#Data],$DD1158,88),0)</f>
        <v/>
      </c>
      <c r="CM1158">
        <f>IFERROR(INDEX(PP_Grid[#Data],$DD1158,89),0)</f>
        <v/>
      </c>
      <c r="CN1158">
        <f>IFERROR(INDEX(PP_Grid[#Data],$DD1158,90),0)</f>
        <v/>
      </c>
      <c r="CO1158">
        <f>IFERROR(INDEX(PP_Grid[#Data],$DD1158,91),0)</f>
        <v/>
      </c>
      <c r="CP1158">
        <f>IFERROR(INDEX(PP_Grid[#Data],$DD1158,92),0)</f>
        <v/>
      </c>
      <c r="CQ1158">
        <f>IFERROR(INDEX(PP_Grid[#Data],$DD1158,93),0)</f>
        <v/>
      </c>
      <c r="CR1158">
        <f>IFERROR(INDEX(PP_Grid[#Data],$DD1158,94),0)</f>
        <v/>
      </c>
      <c r="CS1158">
        <f>IFERROR(INDEX(PP_Grid[#Data],$DD1158,95),0)</f>
        <v/>
      </c>
      <c r="CT1158">
        <f>IFERROR(INDEX(PP_Grid[#Data],$DD1158,96),0)</f>
        <v/>
      </c>
      <c r="CU1158">
        <f>IFERROR(INDEX(PP_Grid[#Data],$DD1158,97),0)</f>
        <v/>
      </c>
      <c r="CV1158">
        <f>IFERROR(INDEX(PP_Grid[#Data],$DD1158,98),0)</f>
        <v/>
      </c>
      <c r="CW1158">
        <f>IFERROR(INDEX(PP_Grid[#Data],$DD1158,99),0)</f>
        <v/>
      </c>
      <c r="CX1158">
        <f>IFERROR(INDEX(PP_Grid[#Data],$DD1158,100),0)</f>
        <v/>
      </c>
      <c r="CY1158">
        <f>IFERROR(INDEX(PP_Grid[#Data],$DD1158,101),0)</f>
        <v/>
      </c>
      <c r="CZ1158">
        <f>IFERROR(INDEX(PP_Grid[#Data],$DD1158,102),0)</f>
        <v/>
      </c>
      <c r="DA1158">
        <f>IFERROR(INDEX(PP_Grid[#Data],$DD1158,103),0)</f>
        <v/>
      </c>
      <c r="DB1158">
        <f>IFERROR(INDEX(PP_Grid[#Data],$DD1158,104),0)</f>
        <v/>
      </c>
      <c r="DC1158">
        <f>IFERROR(INDEX(PP_Grid[#Data],$DD1158,105),0)</f>
        <v/>
      </c>
      <c r="DD1158" s="12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SUMIFS(M_BOM[RM_Qty_Per_Batch],M_BOM[Intermediate],$B1158,M_BOM[Part Name],$A1131)</f>
        <v/>
      </c>
      <c r="D1159">
        <f>$C1159*D1158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</row>
    <row r="1160">
      <c r="B1160" t="inlineStr">
        <is>
          <t>TSP-966</t>
        </is>
      </c>
      <c r="C1160" t="inlineStr">
        <is>
          <t>No. of batches</t>
        </is>
      </c>
      <c r="D1160">
        <f>IFERROR(INDEX(PP_Grid[#Data],$DD1160,2),0)</f>
        <v/>
      </c>
      <c r="E1160">
        <f>IFERROR(INDEX(PP_Grid[#Data],$DD1160,3),0)</f>
        <v/>
      </c>
      <c r="F1160">
        <f>IFERROR(INDEX(PP_Grid[#Data],$DD1160,4),0)</f>
        <v/>
      </c>
      <c r="G1160">
        <f>IFERROR(INDEX(PP_Grid[#Data],$DD1160,5),0)</f>
        <v/>
      </c>
      <c r="H1160">
        <f>IFERROR(INDEX(PP_Grid[#Data],$DD1160,6),0)</f>
        <v/>
      </c>
      <c r="I1160">
        <f>IFERROR(INDEX(PP_Grid[#Data],$DD1160,7),0)</f>
        <v/>
      </c>
      <c r="J1160">
        <f>IFERROR(INDEX(PP_Grid[#Data],$DD1160,8),0)</f>
        <v/>
      </c>
      <c r="K1160">
        <f>IFERROR(INDEX(PP_Grid[#Data],$DD1160,9),0)</f>
        <v/>
      </c>
      <c r="L1160">
        <f>IFERROR(INDEX(PP_Grid[#Data],$DD1160,10),0)</f>
        <v/>
      </c>
      <c r="M1160">
        <f>IFERROR(INDEX(PP_Grid[#Data],$DD1160,11),0)</f>
        <v/>
      </c>
      <c r="N1160">
        <f>IFERROR(INDEX(PP_Grid[#Data],$DD1160,12),0)</f>
        <v/>
      </c>
      <c r="O1160">
        <f>IFERROR(INDEX(PP_Grid[#Data],$DD1160,13),0)</f>
        <v/>
      </c>
      <c r="P1160">
        <f>IFERROR(INDEX(PP_Grid[#Data],$DD1160,14),0)</f>
        <v/>
      </c>
      <c r="Q1160">
        <f>IFERROR(INDEX(PP_Grid[#Data],$DD1160,15),0)</f>
        <v/>
      </c>
      <c r="R1160">
        <f>IFERROR(INDEX(PP_Grid[#Data],$DD1160,16),0)</f>
        <v/>
      </c>
      <c r="S1160">
        <f>IFERROR(INDEX(PP_Grid[#Data],$DD1160,17),0)</f>
        <v/>
      </c>
      <c r="T1160">
        <f>IFERROR(INDEX(PP_Grid[#Data],$DD1160,18),0)</f>
        <v/>
      </c>
      <c r="U1160">
        <f>IFERROR(INDEX(PP_Grid[#Data],$DD1160,19),0)</f>
        <v/>
      </c>
      <c r="V1160">
        <f>IFERROR(INDEX(PP_Grid[#Data],$DD1160,20),0)</f>
        <v/>
      </c>
      <c r="W1160">
        <f>IFERROR(INDEX(PP_Grid[#Data],$DD1160,21),0)</f>
        <v/>
      </c>
      <c r="X1160">
        <f>IFERROR(INDEX(PP_Grid[#Data],$DD1160,22),0)</f>
        <v/>
      </c>
      <c r="Y1160">
        <f>IFERROR(INDEX(PP_Grid[#Data],$DD1160,23),0)</f>
        <v/>
      </c>
      <c r="Z1160">
        <f>IFERROR(INDEX(PP_Grid[#Data],$DD1160,24),0)</f>
        <v/>
      </c>
      <c r="AA1160">
        <f>IFERROR(INDEX(PP_Grid[#Data],$DD1160,25),0)</f>
        <v/>
      </c>
      <c r="AB1160">
        <f>IFERROR(INDEX(PP_Grid[#Data],$DD1160,26),0)</f>
        <v/>
      </c>
      <c r="AC1160">
        <f>IFERROR(INDEX(PP_Grid[#Data],$DD1160,27),0)</f>
        <v/>
      </c>
      <c r="AD1160">
        <f>IFERROR(INDEX(PP_Grid[#Data],$DD1160,28),0)</f>
        <v/>
      </c>
      <c r="AE1160">
        <f>IFERROR(INDEX(PP_Grid[#Data],$DD1160,29),0)</f>
        <v/>
      </c>
      <c r="AF1160">
        <f>IFERROR(INDEX(PP_Grid[#Data],$DD1160,30),0)</f>
        <v/>
      </c>
      <c r="AG1160">
        <f>IFERROR(INDEX(PP_Grid[#Data],$DD1160,31),0)</f>
        <v/>
      </c>
      <c r="AH1160">
        <f>IFERROR(INDEX(PP_Grid[#Data],$DD1160,32),0)</f>
        <v/>
      </c>
      <c r="AI1160">
        <f>IFERROR(INDEX(PP_Grid[#Data],$DD1160,33),0)</f>
        <v/>
      </c>
      <c r="AJ1160">
        <f>IFERROR(INDEX(PP_Grid[#Data],$DD1160,34),0)</f>
        <v/>
      </c>
      <c r="AK1160">
        <f>IFERROR(INDEX(PP_Grid[#Data],$DD1160,35),0)</f>
        <v/>
      </c>
      <c r="AL1160">
        <f>IFERROR(INDEX(PP_Grid[#Data],$DD1160,36),0)</f>
        <v/>
      </c>
      <c r="AM1160">
        <f>IFERROR(INDEX(PP_Grid[#Data],$DD1160,37),0)</f>
        <v/>
      </c>
      <c r="AN1160">
        <f>IFERROR(INDEX(PP_Grid[#Data],$DD1160,38),0)</f>
        <v/>
      </c>
      <c r="AO1160">
        <f>IFERROR(INDEX(PP_Grid[#Data],$DD1160,39),0)</f>
        <v/>
      </c>
      <c r="AP1160">
        <f>IFERROR(INDEX(PP_Grid[#Data],$DD1160,40),0)</f>
        <v/>
      </c>
      <c r="AQ1160">
        <f>IFERROR(INDEX(PP_Grid[#Data],$DD1160,41),0)</f>
        <v/>
      </c>
      <c r="AR1160">
        <f>IFERROR(INDEX(PP_Grid[#Data],$DD1160,42),0)</f>
        <v/>
      </c>
      <c r="AS1160">
        <f>IFERROR(INDEX(PP_Grid[#Data],$DD1160,43),0)</f>
        <v/>
      </c>
      <c r="AT1160">
        <f>IFERROR(INDEX(PP_Grid[#Data],$DD1160,44),0)</f>
        <v/>
      </c>
      <c r="AU1160">
        <f>IFERROR(INDEX(PP_Grid[#Data],$DD1160,45),0)</f>
        <v/>
      </c>
      <c r="AV1160">
        <f>IFERROR(INDEX(PP_Grid[#Data],$DD1160,46),0)</f>
        <v/>
      </c>
      <c r="AW1160">
        <f>IFERROR(INDEX(PP_Grid[#Data],$DD1160,47),0)</f>
        <v/>
      </c>
      <c r="AX1160">
        <f>IFERROR(INDEX(PP_Grid[#Data],$DD1160,48),0)</f>
        <v/>
      </c>
      <c r="AY1160">
        <f>IFERROR(INDEX(PP_Grid[#Data],$DD1160,49),0)</f>
        <v/>
      </c>
      <c r="AZ1160">
        <f>IFERROR(INDEX(PP_Grid[#Data],$DD1160,50),0)</f>
        <v/>
      </c>
      <c r="BA1160">
        <f>IFERROR(INDEX(PP_Grid[#Data],$DD1160,51),0)</f>
        <v/>
      </c>
      <c r="BB1160">
        <f>IFERROR(INDEX(PP_Grid[#Data],$DD1160,52),0)</f>
        <v/>
      </c>
      <c r="BC1160">
        <f>IFERROR(INDEX(PP_Grid[#Data],$DD1160,53),0)</f>
        <v/>
      </c>
      <c r="BD1160">
        <f>IFERROR(INDEX(PP_Grid[#Data],$DD1160,54),0)</f>
        <v/>
      </c>
      <c r="BE1160">
        <f>IFERROR(INDEX(PP_Grid[#Data],$DD1160,55),0)</f>
        <v/>
      </c>
      <c r="BF1160">
        <f>IFERROR(INDEX(PP_Grid[#Data],$DD1160,56),0)</f>
        <v/>
      </c>
      <c r="BG1160">
        <f>IFERROR(INDEX(PP_Grid[#Data],$DD1160,57),0)</f>
        <v/>
      </c>
      <c r="BH1160">
        <f>IFERROR(INDEX(PP_Grid[#Data],$DD1160,58),0)</f>
        <v/>
      </c>
      <c r="BI1160">
        <f>IFERROR(INDEX(PP_Grid[#Data],$DD1160,59),0)</f>
        <v/>
      </c>
      <c r="BJ1160">
        <f>IFERROR(INDEX(PP_Grid[#Data],$DD1160,60),0)</f>
        <v/>
      </c>
      <c r="BK1160">
        <f>IFERROR(INDEX(PP_Grid[#Data],$DD1160,61),0)</f>
        <v/>
      </c>
      <c r="BL1160">
        <f>IFERROR(INDEX(PP_Grid[#Data],$DD1160,62),0)</f>
        <v/>
      </c>
      <c r="BM1160">
        <f>IFERROR(INDEX(PP_Grid[#Data],$DD1160,63),0)</f>
        <v/>
      </c>
      <c r="BN1160">
        <f>IFERROR(INDEX(PP_Grid[#Data],$DD1160,64),0)</f>
        <v/>
      </c>
      <c r="BO1160">
        <f>IFERROR(INDEX(PP_Grid[#Data],$DD1160,65),0)</f>
        <v/>
      </c>
      <c r="BP1160">
        <f>IFERROR(INDEX(PP_Grid[#Data],$DD1160,66),0)</f>
        <v/>
      </c>
      <c r="BQ1160">
        <f>IFERROR(INDEX(PP_Grid[#Data],$DD1160,67),0)</f>
        <v/>
      </c>
      <c r="BR1160">
        <f>IFERROR(INDEX(PP_Grid[#Data],$DD1160,68),0)</f>
        <v/>
      </c>
      <c r="BS1160">
        <f>IFERROR(INDEX(PP_Grid[#Data],$DD1160,69),0)</f>
        <v/>
      </c>
      <c r="BT1160">
        <f>IFERROR(INDEX(PP_Grid[#Data],$DD1160,70),0)</f>
        <v/>
      </c>
      <c r="BU1160">
        <f>IFERROR(INDEX(PP_Grid[#Data],$DD1160,71),0)</f>
        <v/>
      </c>
      <c r="BV1160">
        <f>IFERROR(INDEX(PP_Grid[#Data],$DD1160,72),0)</f>
        <v/>
      </c>
      <c r="BW1160">
        <f>IFERROR(INDEX(PP_Grid[#Data],$DD1160,73),0)</f>
        <v/>
      </c>
      <c r="BX1160">
        <f>IFERROR(INDEX(PP_Grid[#Data],$DD1160,74),0)</f>
        <v/>
      </c>
      <c r="BY1160">
        <f>IFERROR(INDEX(PP_Grid[#Data],$DD1160,75),0)</f>
        <v/>
      </c>
      <c r="BZ1160">
        <f>IFERROR(INDEX(PP_Grid[#Data],$DD1160,76),0)</f>
        <v/>
      </c>
      <c r="CA1160">
        <f>IFERROR(INDEX(PP_Grid[#Data],$DD1160,77),0)</f>
        <v/>
      </c>
      <c r="CB1160">
        <f>IFERROR(INDEX(PP_Grid[#Data],$DD1160,78),0)</f>
        <v/>
      </c>
      <c r="CC1160">
        <f>IFERROR(INDEX(PP_Grid[#Data],$DD1160,79),0)</f>
        <v/>
      </c>
      <c r="CD1160">
        <f>IFERROR(INDEX(PP_Grid[#Data],$DD1160,80),0)</f>
        <v/>
      </c>
      <c r="CE1160">
        <f>IFERROR(INDEX(PP_Grid[#Data],$DD1160,81),0)</f>
        <v/>
      </c>
      <c r="CF1160">
        <f>IFERROR(INDEX(PP_Grid[#Data],$DD1160,82),0)</f>
        <v/>
      </c>
      <c r="CG1160">
        <f>IFERROR(INDEX(PP_Grid[#Data],$DD1160,83),0)</f>
        <v/>
      </c>
      <c r="CH1160">
        <f>IFERROR(INDEX(PP_Grid[#Data],$DD1160,84),0)</f>
        <v/>
      </c>
      <c r="CI1160">
        <f>IFERROR(INDEX(PP_Grid[#Data],$DD1160,85),0)</f>
        <v/>
      </c>
      <c r="CJ1160">
        <f>IFERROR(INDEX(PP_Grid[#Data],$DD1160,86),0)</f>
        <v/>
      </c>
      <c r="CK1160">
        <f>IFERROR(INDEX(PP_Grid[#Data],$DD1160,87),0)</f>
        <v/>
      </c>
      <c r="CL1160">
        <f>IFERROR(INDEX(PP_Grid[#Data],$DD1160,88),0)</f>
        <v/>
      </c>
      <c r="CM1160">
        <f>IFERROR(INDEX(PP_Grid[#Data],$DD1160,89),0)</f>
        <v/>
      </c>
      <c r="CN1160">
        <f>IFERROR(INDEX(PP_Grid[#Data],$DD1160,90),0)</f>
        <v/>
      </c>
      <c r="CO1160">
        <f>IFERROR(INDEX(PP_Grid[#Data],$DD1160,91),0)</f>
        <v/>
      </c>
      <c r="CP1160">
        <f>IFERROR(INDEX(PP_Grid[#Data],$DD1160,92),0)</f>
        <v/>
      </c>
      <c r="CQ1160">
        <f>IFERROR(INDEX(PP_Grid[#Data],$DD1160,93),0)</f>
        <v/>
      </c>
      <c r="CR1160">
        <f>IFERROR(INDEX(PP_Grid[#Data],$DD1160,94),0)</f>
        <v/>
      </c>
      <c r="CS1160">
        <f>IFERROR(INDEX(PP_Grid[#Data],$DD1160,95),0)</f>
        <v/>
      </c>
      <c r="CT1160">
        <f>IFERROR(INDEX(PP_Grid[#Data],$DD1160,96),0)</f>
        <v/>
      </c>
      <c r="CU1160">
        <f>IFERROR(INDEX(PP_Grid[#Data],$DD1160,97),0)</f>
        <v/>
      </c>
      <c r="CV1160">
        <f>IFERROR(INDEX(PP_Grid[#Data],$DD1160,98),0)</f>
        <v/>
      </c>
      <c r="CW1160">
        <f>IFERROR(INDEX(PP_Grid[#Data],$DD1160,99),0)</f>
        <v/>
      </c>
      <c r="CX1160">
        <f>IFERROR(INDEX(PP_Grid[#Data],$DD1160,100),0)</f>
        <v/>
      </c>
      <c r="CY1160">
        <f>IFERROR(INDEX(PP_Grid[#Data],$DD1160,101),0)</f>
        <v/>
      </c>
      <c r="CZ1160">
        <f>IFERROR(INDEX(PP_Grid[#Data],$DD1160,102),0)</f>
        <v/>
      </c>
      <c r="DA1160">
        <f>IFERROR(INDEX(PP_Grid[#Data],$DD1160,103),0)</f>
        <v/>
      </c>
      <c r="DB1160">
        <f>IFERROR(INDEX(PP_Grid[#Data],$DD1160,104),0)</f>
        <v/>
      </c>
      <c r="DC1160">
        <f>IFERROR(INDEX(PP_Grid[#Data],$DD1160,105),0)</f>
        <v/>
      </c>
      <c r="DD1160" s="12">
        <f>IFERROR(MATCH($B1160,PP_Grid[Intermediate],0),99999)</f>
        <v/>
      </c>
    </row>
    <row r="1161">
      <c r="B1161" t="inlineStr">
        <is>
          <t>使用量(kg)</t>
        </is>
      </c>
      <c r="C1161">
        <f>SUMIFS(M_BOM[RM_Qty_Per_Batch],M_BOM[Intermediate],$B1160,M_BOM[Part Name],$A1131)</f>
        <v/>
      </c>
      <c r="D1161">
        <f>$C1161*D1160</f>
        <v/>
      </c>
      <c r="E1161">
        <f>$C1161*E1160</f>
        <v/>
      </c>
      <c r="F1161">
        <f>$C1161*F1160</f>
        <v/>
      </c>
      <c r="G1161">
        <f>$C1161*G1160</f>
        <v/>
      </c>
      <c r="H1161">
        <f>$C1161*H1160</f>
        <v/>
      </c>
      <c r="I1161">
        <f>$C1161*I1160</f>
        <v/>
      </c>
      <c r="J1161">
        <f>$C1161*J1160</f>
        <v/>
      </c>
      <c r="K1161">
        <f>$C1161*K1160</f>
        <v/>
      </c>
      <c r="L1161">
        <f>$C1161*L1160</f>
        <v/>
      </c>
      <c r="M1161">
        <f>$C1161*M1160</f>
        <v/>
      </c>
      <c r="N1161">
        <f>$C1161*N1160</f>
        <v/>
      </c>
      <c r="O1161">
        <f>$C1161*O1160</f>
        <v/>
      </c>
      <c r="P1161">
        <f>$C1161*P1160</f>
        <v/>
      </c>
      <c r="Q1161">
        <f>$C1161*Q1160</f>
        <v/>
      </c>
      <c r="R1161">
        <f>$C1161*R1160</f>
        <v/>
      </c>
      <c r="S1161">
        <f>$C1161*S1160</f>
        <v/>
      </c>
      <c r="T1161">
        <f>$C1161*T1160</f>
        <v/>
      </c>
      <c r="U1161">
        <f>$C1161*U1160</f>
        <v/>
      </c>
      <c r="V1161">
        <f>$C1161*V1160</f>
        <v/>
      </c>
      <c r="W1161">
        <f>$C1161*W1160</f>
        <v/>
      </c>
      <c r="X1161">
        <f>$C1161*X1160</f>
        <v/>
      </c>
      <c r="Y1161">
        <f>$C1161*Y1160</f>
        <v/>
      </c>
      <c r="Z1161">
        <f>$C1161*Z1160</f>
        <v/>
      </c>
      <c r="AA1161">
        <f>$C1161*AA1160</f>
        <v/>
      </c>
      <c r="AB1161">
        <f>$C1161*AB1160</f>
        <v/>
      </c>
      <c r="AC1161">
        <f>$C1161*AC1160</f>
        <v/>
      </c>
      <c r="AD1161">
        <f>$C1161*AD1160</f>
        <v/>
      </c>
      <c r="AE1161">
        <f>$C1161*AE1160</f>
        <v/>
      </c>
      <c r="AF1161">
        <f>$C1161*AF1160</f>
        <v/>
      </c>
      <c r="AG1161">
        <f>$C1161*AG1160</f>
        <v/>
      </c>
      <c r="AH1161">
        <f>$C1161*AH1160</f>
        <v/>
      </c>
      <c r="AI1161">
        <f>$C1161*AI1160</f>
        <v/>
      </c>
      <c r="AJ1161">
        <f>$C1161*AJ1160</f>
        <v/>
      </c>
      <c r="AK1161">
        <f>$C1161*AK1160</f>
        <v/>
      </c>
      <c r="AL1161">
        <f>$C1161*AL1160</f>
        <v/>
      </c>
      <c r="AM1161">
        <f>$C1161*AM1160</f>
        <v/>
      </c>
      <c r="AN1161">
        <f>$C1161*AN1160</f>
        <v/>
      </c>
      <c r="AO1161">
        <f>$C1161*AO1160</f>
        <v/>
      </c>
      <c r="AP1161">
        <f>$C1161*AP1160</f>
        <v/>
      </c>
      <c r="AQ1161">
        <f>$C1161*AQ1160</f>
        <v/>
      </c>
      <c r="AR1161">
        <f>$C1161*AR1160</f>
        <v/>
      </c>
      <c r="AS1161">
        <f>$C1161*AS1160</f>
        <v/>
      </c>
      <c r="AT1161">
        <f>$C1161*AT1160</f>
        <v/>
      </c>
      <c r="AU1161">
        <f>$C1161*AU1160</f>
        <v/>
      </c>
      <c r="AV1161">
        <f>$C1161*AV1160</f>
        <v/>
      </c>
      <c r="AW1161">
        <f>$C1161*AW1160</f>
        <v/>
      </c>
      <c r="AX1161">
        <f>$C1161*AX1160</f>
        <v/>
      </c>
      <c r="AY1161">
        <f>$C1161*AY1160</f>
        <v/>
      </c>
      <c r="AZ1161">
        <f>$C1161*AZ1160</f>
        <v/>
      </c>
      <c r="BA1161">
        <f>$C1161*BA1160</f>
        <v/>
      </c>
      <c r="BB1161">
        <f>$C1161*BB1160</f>
        <v/>
      </c>
      <c r="BC1161">
        <f>$C1161*BC1160</f>
        <v/>
      </c>
      <c r="BD1161">
        <f>$C1161*BD1160</f>
        <v/>
      </c>
      <c r="BE1161">
        <f>$C1161*BE1160</f>
        <v/>
      </c>
      <c r="BF1161">
        <f>$C1161*BF1160</f>
        <v/>
      </c>
      <c r="BG1161">
        <f>$C1161*BG1160</f>
        <v/>
      </c>
      <c r="BH1161">
        <f>$C1161*BH1160</f>
        <v/>
      </c>
      <c r="BI1161">
        <f>$C1161*BI1160</f>
        <v/>
      </c>
      <c r="BJ1161">
        <f>$C1161*BJ1160</f>
        <v/>
      </c>
      <c r="BK1161">
        <f>$C1161*BK1160</f>
        <v/>
      </c>
      <c r="BL1161">
        <f>$C1161*BL1160</f>
        <v/>
      </c>
      <c r="BM1161">
        <f>$C1161*BM1160</f>
        <v/>
      </c>
      <c r="BN1161">
        <f>$C1161*BN1160</f>
        <v/>
      </c>
      <c r="BO1161">
        <f>$C1161*BO1160</f>
        <v/>
      </c>
      <c r="BP1161">
        <f>$C1161*BP1160</f>
        <v/>
      </c>
      <c r="BQ1161">
        <f>$C1161*BQ1160</f>
        <v/>
      </c>
      <c r="BR1161">
        <f>$C1161*BR1160</f>
        <v/>
      </c>
      <c r="BS1161">
        <f>$C1161*BS1160</f>
        <v/>
      </c>
      <c r="BT1161">
        <f>$C1161*BT1160</f>
        <v/>
      </c>
      <c r="BU1161">
        <f>$C1161*BU1160</f>
        <v/>
      </c>
      <c r="BV1161">
        <f>$C1161*BV1160</f>
        <v/>
      </c>
      <c r="BW1161">
        <f>$C1161*BW1160</f>
        <v/>
      </c>
      <c r="BX1161">
        <f>$C1161*BX1160</f>
        <v/>
      </c>
      <c r="BY1161">
        <f>$C1161*BY1160</f>
        <v/>
      </c>
      <c r="BZ1161">
        <f>$C1161*BZ1160</f>
        <v/>
      </c>
      <c r="CA1161">
        <f>$C1161*CA1160</f>
        <v/>
      </c>
      <c r="CB1161">
        <f>$C1161*CB1160</f>
        <v/>
      </c>
      <c r="CC1161">
        <f>$C1161*CC1160</f>
        <v/>
      </c>
      <c r="CD1161">
        <f>$C1161*CD1160</f>
        <v/>
      </c>
      <c r="CE1161">
        <f>$C1161*CE1160</f>
        <v/>
      </c>
      <c r="CF1161">
        <f>$C1161*CF1160</f>
        <v/>
      </c>
      <c r="CG1161">
        <f>$C1161*CG1160</f>
        <v/>
      </c>
      <c r="CH1161">
        <f>$C1161*CH1160</f>
        <v/>
      </c>
      <c r="CI1161">
        <f>$C1161*CI1160</f>
        <v/>
      </c>
      <c r="CJ1161">
        <f>$C1161*CJ1160</f>
        <v/>
      </c>
      <c r="CK1161">
        <f>$C1161*CK1160</f>
        <v/>
      </c>
      <c r="CL1161">
        <f>$C1161*CL1160</f>
        <v/>
      </c>
      <c r="CM1161">
        <f>$C1161*CM1160</f>
        <v/>
      </c>
      <c r="CN1161">
        <f>$C1161*CN1160</f>
        <v/>
      </c>
      <c r="CO1161">
        <f>$C1161*CO1160</f>
        <v/>
      </c>
      <c r="CP1161">
        <f>$C1161*CP1160</f>
        <v/>
      </c>
      <c r="CQ1161">
        <f>$C1161*CQ1160</f>
        <v/>
      </c>
      <c r="CR1161">
        <f>$C1161*CR1160</f>
        <v/>
      </c>
      <c r="CS1161">
        <f>$C1161*CS1160</f>
        <v/>
      </c>
      <c r="CT1161">
        <f>$C1161*CT1160</f>
        <v/>
      </c>
      <c r="CU1161">
        <f>$C1161*CU1160</f>
        <v/>
      </c>
      <c r="CV1161">
        <f>$C1161*CV1160</f>
        <v/>
      </c>
      <c r="CW1161">
        <f>$C1161*CW1160</f>
        <v/>
      </c>
      <c r="CX1161">
        <f>$C1161*CX1160</f>
        <v/>
      </c>
      <c r="CY1161">
        <f>$C1161*CY1160</f>
        <v/>
      </c>
      <c r="CZ1161">
        <f>$C1161*CZ1160</f>
        <v/>
      </c>
      <c r="DA1161">
        <f>$C1161*DA1160</f>
        <v/>
      </c>
      <c r="DB1161">
        <f>$C1161*DB1160</f>
        <v/>
      </c>
      <c r="DC1161">
        <f>$C1161*DC1160</f>
        <v/>
      </c>
    </row>
    <row r="1162">
      <c r="B1162" t="inlineStr">
        <is>
          <t>TSZ-616</t>
        </is>
      </c>
      <c r="C1162" t="inlineStr">
        <is>
          <t>No. of batches</t>
        </is>
      </c>
      <c r="D1162">
        <f>IFERROR(INDEX(PP_Grid[#Data],$DD1162,2),0)</f>
        <v/>
      </c>
      <c r="E1162">
        <f>IFERROR(INDEX(PP_Grid[#Data],$DD1162,3),0)</f>
        <v/>
      </c>
      <c r="F1162">
        <f>IFERROR(INDEX(PP_Grid[#Data],$DD1162,4),0)</f>
        <v/>
      </c>
      <c r="G1162">
        <f>IFERROR(INDEX(PP_Grid[#Data],$DD1162,5),0)</f>
        <v/>
      </c>
      <c r="H1162">
        <f>IFERROR(INDEX(PP_Grid[#Data],$DD1162,6),0)</f>
        <v/>
      </c>
      <c r="I1162">
        <f>IFERROR(INDEX(PP_Grid[#Data],$DD1162,7),0)</f>
        <v/>
      </c>
      <c r="J1162">
        <f>IFERROR(INDEX(PP_Grid[#Data],$DD1162,8),0)</f>
        <v/>
      </c>
      <c r="K1162">
        <f>IFERROR(INDEX(PP_Grid[#Data],$DD1162,9),0)</f>
        <v/>
      </c>
      <c r="L1162">
        <f>IFERROR(INDEX(PP_Grid[#Data],$DD1162,10),0)</f>
        <v/>
      </c>
      <c r="M1162">
        <f>IFERROR(INDEX(PP_Grid[#Data],$DD1162,11),0)</f>
        <v/>
      </c>
      <c r="N1162">
        <f>IFERROR(INDEX(PP_Grid[#Data],$DD1162,12),0)</f>
        <v/>
      </c>
      <c r="O1162">
        <f>IFERROR(INDEX(PP_Grid[#Data],$DD1162,13),0)</f>
        <v/>
      </c>
      <c r="P1162">
        <f>IFERROR(INDEX(PP_Grid[#Data],$DD1162,14),0)</f>
        <v/>
      </c>
      <c r="Q1162">
        <f>IFERROR(INDEX(PP_Grid[#Data],$DD1162,15),0)</f>
        <v/>
      </c>
      <c r="R1162">
        <f>IFERROR(INDEX(PP_Grid[#Data],$DD1162,16),0)</f>
        <v/>
      </c>
      <c r="S1162">
        <f>IFERROR(INDEX(PP_Grid[#Data],$DD1162,17),0)</f>
        <v/>
      </c>
      <c r="T1162">
        <f>IFERROR(INDEX(PP_Grid[#Data],$DD1162,18),0)</f>
        <v/>
      </c>
      <c r="U1162">
        <f>IFERROR(INDEX(PP_Grid[#Data],$DD1162,19),0)</f>
        <v/>
      </c>
      <c r="V1162">
        <f>IFERROR(INDEX(PP_Grid[#Data],$DD1162,20),0)</f>
        <v/>
      </c>
      <c r="W1162">
        <f>IFERROR(INDEX(PP_Grid[#Data],$DD1162,21),0)</f>
        <v/>
      </c>
      <c r="X1162">
        <f>IFERROR(INDEX(PP_Grid[#Data],$DD1162,22),0)</f>
        <v/>
      </c>
      <c r="Y1162">
        <f>IFERROR(INDEX(PP_Grid[#Data],$DD1162,23),0)</f>
        <v/>
      </c>
      <c r="Z1162">
        <f>IFERROR(INDEX(PP_Grid[#Data],$DD1162,24),0)</f>
        <v/>
      </c>
      <c r="AA1162">
        <f>IFERROR(INDEX(PP_Grid[#Data],$DD1162,25),0)</f>
        <v/>
      </c>
      <c r="AB1162">
        <f>IFERROR(INDEX(PP_Grid[#Data],$DD1162,26),0)</f>
        <v/>
      </c>
      <c r="AC1162">
        <f>IFERROR(INDEX(PP_Grid[#Data],$DD1162,27),0)</f>
        <v/>
      </c>
      <c r="AD1162">
        <f>IFERROR(INDEX(PP_Grid[#Data],$DD1162,28),0)</f>
        <v/>
      </c>
      <c r="AE1162">
        <f>IFERROR(INDEX(PP_Grid[#Data],$DD1162,29),0)</f>
        <v/>
      </c>
      <c r="AF1162">
        <f>IFERROR(INDEX(PP_Grid[#Data],$DD1162,30),0)</f>
        <v/>
      </c>
      <c r="AG1162">
        <f>IFERROR(INDEX(PP_Grid[#Data],$DD1162,31),0)</f>
        <v/>
      </c>
      <c r="AH1162">
        <f>IFERROR(INDEX(PP_Grid[#Data],$DD1162,32),0)</f>
        <v/>
      </c>
      <c r="AI1162">
        <f>IFERROR(INDEX(PP_Grid[#Data],$DD1162,33),0)</f>
        <v/>
      </c>
      <c r="AJ1162">
        <f>IFERROR(INDEX(PP_Grid[#Data],$DD1162,34),0)</f>
        <v/>
      </c>
      <c r="AK1162">
        <f>IFERROR(INDEX(PP_Grid[#Data],$DD1162,35),0)</f>
        <v/>
      </c>
      <c r="AL1162">
        <f>IFERROR(INDEX(PP_Grid[#Data],$DD1162,36),0)</f>
        <v/>
      </c>
      <c r="AM1162">
        <f>IFERROR(INDEX(PP_Grid[#Data],$DD1162,37),0)</f>
        <v/>
      </c>
      <c r="AN1162">
        <f>IFERROR(INDEX(PP_Grid[#Data],$DD1162,38),0)</f>
        <v/>
      </c>
      <c r="AO1162">
        <f>IFERROR(INDEX(PP_Grid[#Data],$DD1162,39),0)</f>
        <v/>
      </c>
      <c r="AP1162">
        <f>IFERROR(INDEX(PP_Grid[#Data],$DD1162,40),0)</f>
        <v/>
      </c>
      <c r="AQ1162">
        <f>IFERROR(INDEX(PP_Grid[#Data],$DD1162,41),0)</f>
        <v/>
      </c>
      <c r="AR1162">
        <f>IFERROR(INDEX(PP_Grid[#Data],$DD1162,42),0)</f>
        <v/>
      </c>
      <c r="AS1162">
        <f>IFERROR(INDEX(PP_Grid[#Data],$DD1162,43),0)</f>
        <v/>
      </c>
      <c r="AT1162">
        <f>IFERROR(INDEX(PP_Grid[#Data],$DD1162,44),0)</f>
        <v/>
      </c>
      <c r="AU1162">
        <f>IFERROR(INDEX(PP_Grid[#Data],$DD1162,45),0)</f>
        <v/>
      </c>
      <c r="AV1162">
        <f>IFERROR(INDEX(PP_Grid[#Data],$DD1162,46),0)</f>
        <v/>
      </c>
      <c r="AW1162">
        <f>IFERROR(INDEX(PP_Grid[#Data],$DD1162,47),0)</f>
        <v/>
      </c>
      <c r="AX1162">
        <f>IFERROR(INDEX(PP_Grid[#Data],$DD1162,48),0)</f>
        <v/>
      </c>
      <c r="AY1162">
        <f>IFERROR(INDEX(PP_Grid[#Data],$DD1162,49),0)</f>
        <v/>
      </c>
      <c r="AZ1162">
        <f>IFERROR(INDEX(PP_Grid[#Data],$DD1162,50),0)</f>
        <v/>
      </c>
      <c r="BA1162">
        <f>IFERROR(INDEX(PP_Grid[#Data],$DD1162,51),0)</f>
        <v/>
      </c>
      <c r="BB1162">
        <f>IFERROR(INDEX(PP_Grid[#Data],$DD1162,52),0)</f>
        <v/>
      </c>
      <c r="BC1162">
        <f>IFERROR(INDEX(PP_Grid[#Data],$DD1162,53),0)</f>
        <v/>
      </c>
      <c r="BD1162">
        <f>IFERROR(INDEX(PP_Grid[#Data],$DD1162,54),0)</f>
        <v/>
      </c>
      <c r="BE1162">
        <f>IFERROR(INDEX(PP_Grid[#Data],$DD1162,55),0)</f>
        <v/>
      </c>
      <c r="BF1162">
        <f>IFERROR(INDEX(PP_Grid[#Data],$DD1162,56),0)</f>
        <v/>
      </c>
      <c r="BG1162">
        <f>IFERROR(INDEX(PP_Grid[#Data],$DD1162,57),0)</f>
        <v/>
      </c>
      <c r="BH1162">
        <f>IFERROR(INDEX(PP_Grid[#Data],$DD1162,58),0)</f>
        <v/>
      </c>
      <c r="BI1162">
        <f>IFERROR(INDEX(PP_Grid[#Data],$DD1162,59),0)</f>
        <v/>
      </c>
      <c r="BJ1162">
        <f>IFERROR(INDEX(PP_Grid[#Data],$DD1162,60),0)</f>
        <v/>
      </c>
      <c r="BK1162">
        <f>IFERROR(INDEX(PP_Grid[#Data],$DD1162,61),0)</f>
        <v/>
      </c>
      <c r="BL1162">
        <f>IFERROR(INDEX(PP_Grid[#Data],$DD1162,62),0)</f>
        <v/>
      </c>
      <c r="BM1162">
        <f>IFERROR(INDEX(PP_Grid[#Data],$DD1162,63),0)</f>
        <v/>
      </c>
      <c r="BN1162">
        <f>IFERROR(INDEX(PP_Grid[#Data],$DD1162,64),0)</f>
        <v/>
      </c>
      <c r="BO1162">
        <f>IFERROR(INDEX(PP_Grid[#Data],$DD1162,65),0)</f>
        <v/>
      </c>
      <c r="BP1162">
        <f>IFERROR(INDEX(PP_Grid[#Data],$DD1162,66),0)</f>
        <v/>
      </c>
      <c r="BQ1162">
        <f>IFERROR(INDEX(PP_Grid[#Data],$DD1162,67),0)</f>
        <v/>
      </c>
      <c r="BR1162">
        <f>IFERROR(INDEX(PP_Grid[#Data],$DD1162,68),0)</f>
        <v/>
      </c>
      <c r="BS1162">
        <f>IFERROR(INDEX(PP_Grid[#Data],$DD1162,69),0)</f>
        <v/>
      </c>
      <c r="BT1162">
        <f>IFERROR(INDEX(PP_Grid[#Data],$DD1162,70),0)</f>
        <v/>
      </c>
      <c r="BU1162">
        <f>IFERROR(INDEX(PP_Grid[#Data],$DD1162,71),0)</f>
        <v/>
      </c>
      <c r="BV1162">
        <f>IFERROR(INDEX(PP_Grid[#Data],$DD1162,72),0)</f>
        <v/>
      </c>
      <c r="BW1162">
        <f>IFERROR(INDEX(PP_Grid[#Data],$DD1162,73),0)</f>
        <v/>
      </c>
      <c r="BX1162">
        <f>IFERROR(INDEX(PP_Grid[#Data],$DD1162,74),0)</f>
        <v/>
      </c>
      <c r="BY1162">
        <f>IFERROR(INDEX(PP_Grid[#Data],$DD1162,75),0)</f>
        <v/>
      </c>
      <c r="BZ1162">
        <f>IFERROR(INDEX(PP_Grid[#Data],$DD1162,76),0)</f>
        <v/>
      </c>
      <c r="CA1162">
        <f>IFERROR(INDEX(PP_Grid[#Data],$DD1162,77),0)</f>
        <v/>
      </c>
      <c r="CB1162">
        <f>IFERROR(INDEX(PP_Grid[#Data],$DD1162,78),0)</f>
        <v/>
      </c>
      <c r="CC1162">
        <f>IFERROR(INDEX(PP_Grid[#Data],$DD1162,79),0)</f>
        <v/>
      </c>
      <c r="CD1162">
        <f>IFERROR(INDEX(PP_Grid[#Data],$DD1162,80),0)</f>
        <v/>
      </c>
      <c r="CE1162">
        <f>IFERROR(INDEX(PP_Grid[#Data],$DD1162,81),0)</f>
        <v/>
      </c>
      <c r="CF1162">
        <f>IFERROR(INDEX(PP_Grid[#Data],$DD1162,82),0)</f>
        <v/>
      </c>
      <c r="CG1162">
        <f>IFERROR(INDEX(PP_Grid[#Data],$DD1162,83),0)</f>
        <v/>
      </c>
      <c r="CH1162">
        <f>IFERROR(INDEX(PP_Grid[#Data],$DD1162,84),0)</f>
        <v/>
      </c>
      <c r="CI1162">
        <f>IFERROR(INDEX(PP_Grid[#Data],$DD1162,85),0)</f>
        <v/>
      </c>
      <c r="CJ1162">
        <f>IFERROR(INDEX(PP_Grid[#Data],$DD1162,86),0)</f>
        <v/>
      </c>
      <c r="CK1162">
        <f>IFERROR(INDEX(PP_Grid[#Data],$DD1162,87),0)</f>
        <v/>
      </c>
      <c r="CL1162">
        <f>IFERROR(INDEX(PP_Grid[#Data],$DD1162,88),0)</f>
        <v/>
      </c>
      <c r="CM1162">
        <f>IFERROR(INDEX(PP_Grid[#Data],$DD1162,89),0)</f>
        <v/>
      </c>
      <c r="CN1162">
        <f>IFERROR(INDEX(PP_Grid[#Data],$DD1162,90),0)</f>
        <v/>
      </c>
      <c r="CO1162">
        <f>IFERROR(INDEX(PP_Grid[#Data],$DD1162,91),0)</f>
        <v/>
      </c>
      <c r="CP1162">
        <f>IFERROR(INDEX(PP_Grid[#Data],$DD1162,92),0)</f>
        <v/>
      </c>
      <c r="CQ1162">
        <f>IFERROR(INDEX(PP_Grid[#Data],$DD1162,93),0)</f>
        <v/>
      </c>
      <c r="CR1162">
        <f>IFERROR(INDEX(PP_Grid[#Data],$DD1162,94),0)</f>
        <v/>
      </c>
      <c r="CS1162">
        <f>IFERROR(INDEX(PP_Grid[#Data],$DD1162,95),0)</f>
        <v/>
      </c>
      <c r="CT1162">
        <f>IFERROR(INDEX(PP_Grid[#Data],$DD1162,96),0)</f>
        <v/>
      </c>
      <c r="CU1162">
        <f>IFERROR(INDEX(PP_Grid[#Data],$DD1162,97),0)</f>
        <v/>
      </c>
      <c r="CV1162">
        <f>IFERROR(INDEX(PP_Grid[#Data],$DD1162,98),0)</f>
        <v/>
      </c>
      <c r="CW1162">
        <f>IFERROR(INDEX(PP_Grid[#Data],$DD1162,99),0)</f>
        <v/>
      </c>
      <c r="CX1162">
        <f>IFERROR(INDEX(PP_Grid[#Data],$DD1162,100),0)</f>
        <v/>
      </c>
      <c r="CY1162">
        <f>IFERROR(INDEX(PP_Grid[#Data],$DD1162,101),0)</f>
        <v/>
      </c>
      <c r="CZ1162">
        <f>IFERROR(INDEX(PP_Grid[#Data],$DD1162,102),0)</f>
        <v/>
      </c>
      <c r="DA1162">
        <f>IFERROR(INDEX(PP_Grid[#Data],$DD1162,103),0)</f>
        <v/>
      </c>
      <c r="DB1162">
        <f>IFERROR(INDEX(PP_Grid[#Data],$DD1162,104),0)</f>
        <v/>
      </c>
      <c r="DC1162">
        <f>IFERROR(INDEX(PP_Grid[#Data],$DD1162,105),0)</f>
        <v/>
      </c>
      <c r="DD1162" s="12">
        <f>IFERROR(MATCH($B1162,PP_Grid[Intermediate],0),99999)</f>
        <v/>
      </c>
    </row>
    <row r="1163">
      <c r="B1163" t="inlineStr">
        <is>
          <t>使用量(kg)</t>
        </is>
      </c>
      <c r="C1163">
        <f>SUMIFS(M_BOM[RM_Qty_Per_Batch],M_BOM[Intermediate],$B1162,M_BOM[Part Name],$A1131)</f>
        <v/>
      </c>
      <c r="D1163">
        <f>$C1163*D1162</f>
        <v/>
      </c>
      <c r="E1163">
        <f>$C1163*E1162</f>
        <v/>
      </c>
      <c r="F1163">
        <f>$C1163*F1162</f>
        <v/>
      </c>
      <c r="G1163">
        <f>$C1163*G1162</f>
        <v/>
      </c>
      <c r="H1163">
        <f>$C1163*H1162</f>
        <v/>
      </c>
      <c r="I1163">
        <f>$C1163*I1162</f>
        <v/>
      </c>
      <c r="J1163">
        <f>$C1163*J1162</f>
        <v/>
      </c>
      <c r="K1163">
        <f>$C1163*K1162</f>
        <v/>
      </c>
      <c r="L1163">
        <f>$C1163*L1162</f>
        <v/>
      </c>
      <c r="M1163">
        <f>$C1163*M1162</f>
        <v/>
      </c>
      <c r="N1163">
        <f>$C1163*N1162</f>
        <v/>
      </c>
      <c r="O1163">
        <f>$C1163*O1162</f>
        <v/>
      </c>
      <c r="P1163">
        <f>$C1163*P1162</f>
        <v/>
      </c>
      <c r="Q1163">
        <f>$C1163*Q1162</f>
        <v/>
      </c>
      <c r="R1163">
        <f>$C1163*R1162</f>
        <v/>
      </c>
      <c r="S1163">
        <f>$C1163*S1162</f>
        <v/>
      </c>
      <c r="T1163">
        <f>$C1163*T1162</f>
        <v/>
      </c>
      <c r="U1163">
        <f>$C1163*U1162</f>
        <v/>
      </c>
      <c r="V1163">
        <f>$C1163*V1162</f>
        <v/>
      </c>
      <c r="W1163">
        <f>$C1163*W1162</f>
        <v/>
      </c>
      <c r="X1163">
        <f>$C1163*X1162</f>
        <v/>
      </c>
      <c r="Y1163">
        <f>$C1163*Y1162</f>
        <v/>
      </c>
      <c r="Z1163">
        <f>$C1163*Z1162</f>
        <v/>
      </c>
      <c r="AA1163">
        <f>$C1163*AA1162</f>
        <v/>
      </c>
      <c r="AB1163">
        <f>$C1163*AB1162</f>
        <v/>
      </c>
      <c r="AC1163">
        <f>$C1163*AC1162</f>
        <v/>
      </c>
      <c r="AD1163">
        <f>$C1163*AD1162</f>
        <v/>
      </c>
      <c r="AE1163">
        <f>$C1163*AE1162</f>
        <v/>
      </c>
      <c r="AF1163">
        <f>$C1163*AF1162</f>
        <v/>
      </c>
      <c r="AG1163">
        <f>$C1163*AG1162</f>
        <v/>
      </c>
      <c r="AH1163">
        <f>$C1163*AH1162</f>
        <v/>
      </c>
      <c r="AI1163">
        <f>$C1163*AI1162</f>
        <v/>
      </c>
      <c r="AJ1163">
        <f>$C1163*AJ1162</f>
        <v/>
      </c>
      <c r="AK1163">
        <f>$C1163*AK1162</f>
        <v/>
      </c>
      <c r="AL1163">
        <f>$C1163*AL1162</f>
        <v/>
      </c>
      <c r="AM1163">
        <f>$C1163*AM1162</f>
        <v/>
      </c>
      <c r="AN1163">
        <f>$C1163*AN1162</f>
        <v/>
      </c>
      <c r="AO1163">
        <f>$C1163*AO1162</f>
        <v/>
      </c>
      <c r="AP1163">
        <f>$C1163*AP1162</f>
        <v/>
      </c>
      <c r="AQ1163">
        <f>$C1163*AQ1162</f>
        <v/>
      </c>
      <c r="AR1163">
        <f>$C1163*AR1162</f>
        <v/>
      </c>
      <c r="AS1163">
        <f>$C1163*AS1162</f>
        <v/>
      </c>
      <c r="AT1163">
        <f>$C1163*AT1162</f>
        <v/>
      </c>
      <c r="AU1163">
        <f>$C1163*AU1162</f>
        <v/>
      </c>
      <c r="AV1163">
        <f>$C1163*AV1162</f>
        <v/>
      </c>
      <c r="AW1163">
        <f>$C1163*AW1162</f>
        <v/>
      </c>
      <c r="AX1163">
        <f>$C1163*AX1162</f>
        <v/>
      </c>
      <c r="AY1163">
        <f>$C1163*AY1162</f>
        <v/>
      </c>
      <c r="AZ1163">
        <f>$C1163*AZ1162</f>
        <v/>
      </c>
      <c r="BA1163">
        <f>$C1163*BA1162</f>
        <v/>
      </c>
      <c r="BB1163">
        <f>$C1163*BB1162</f>
        <v/>
      </c>
      <c r="BC1163">
        <f>$C1163*BC1162</f>
        <v/>
      </c>
      <c r="BD1163">
        <f>$C1163*BD1162</f>
        <v/>
      </c>
      <c r="BE1163">
        <f>$C1163*BE1162</f>
        <v/>
      </c>
      <c r="BF1163">
        <f>$C1163*BF1162</f>
        <v/>
      </c>
      <c r="BG1163">
        <f>$C1163*BG1162</f>
        <v/>
      </c>
      <c r="BH1163">
        <f>$C1163*BH1162</f>
        <v/>
      </c>
      <c r="BI1163">
        <f>$C1163*BI1162</f>
        <v/>
      </c>
      <c r="BJ1163">
        <f>$C1163*BJ1162</f>
        <v/>
      </c>
      <c r="BK1163">
        <f>$C1163*BK1162</f>
        <v/>
      </c>
      <c r="BL1163">
        <f>$C1163*BL1162</f>
        <v/>
      </c>
      <c r="BM1163">
        <f>$C1163*BM1162</f>
        <v/>
      </c>
      <c r="BN1163">
        <f>$C1163*BN1162</f>
        <v/>
      </c>
      <c r="BO1163">
        <f>$C1163*BO1162</f>
        <v/>
      </c>
      <c r="BP1163">
        <f>$C1163*BP1162</f>
        <v/>
      </c>
      <c r="BQ1163">
        <f>$C1163*BQ1162</f>
        <v/>
      </c>
      <c r="BR1163">
        <f>$C1163*BR1162</f>
        <v/>
      </c>
      <c r="BS1163">
        <f>$C1163*BS1162</f>
        <v/>
      </c>
      <c r="BT1163">
        <f>$C1163*BT1162</f>
        <v/>
      </c>
      <c r="BU1163">
        <f>$C1163*BU1162</f>
        <v/>
      </c>
      <c r="BV1163">
        <f>$C1163*BV1162</f>
        <v/>
      </c>
      <c r="BW1163">
        <f>$C1163*BW1162</f>
        <v/>
      </c>
      <c r="BX1163">
        <f>$C1163*BX1162</f>
        <v/>
      </c>
      <c r="BY1163">
        <f>$C1163*BY1162</f>
        <v/>
      </c>
      <c r="BZ1163">
        <f>$C1163*BZ1162</f>
        <v/>
      </c>
      <c r="CA1163">
        <f>$C1163*CA1162</f>
        <v/>
      </c>
      <c r="CB1163">
        <f>$C1163*CB1162</f>
        <v/>
      </c>
      <c r="CC1163">
        <f>$C1163*CC1162</f>
        <v/>
      </c>
      <c r="CD1163">
        <f>$C1163*CD1162</f>
        <v/>
      </c>
      <c r="CE1163">
        <f>$C1163*CE1162</f>
        <v/>
      </c>
      <c r="CF1163">
        <f>$C1163*CF1162</f>
        <v/>
      </c>
      <c r="CG1163">
        <f>$C1163*CG1162</f>
        <v/>
      </c>
      <c r="CH1163">
        <f>$C1163*CH1162</f>
        <v/>
      </c>
      <c r="CI1163">
        <f>$C1163*CI1162</f>
        <v/>
      </c>
      <c r="CJ1163">
        <f>$C1163*CJ1162</f>
        <v/>
      </c>
      <c r="CK1163">
        <f>$C1163*CK1162</f>
        <v/>
      </c>
      <c r="CL1163">
        <f>$C1163*CL1162</f>
        <v/>
      </c>
      <c r="CM1163">
        <f>$C1163*CM1162</f>
        <v/>
      </c>
      <c r="CN1163">
        <f>$C1163*CN1162</f>
        <v/>
      </c>
      <c r="CO1163">
        <f>$C1163*CO1162</f>
        <v/>
      </c>
      <c r="CP1163">
        <f>$C1163*CP1162</f>
        <v/>
      </c>
      <c r="CQ1163">
        <f>$C1163*CQ1162</f>
        <v/>
      </c>
      <c r="CR1163">
        <f>$C1163*CR1162</f>
        <v/>
      </c>
      <c r="CS1163">
        <f>$C1163*CS1162</f>
        <v/>
      </c>
      <c r="CT1163">
        <f>$C1163*CT1162</f>
        <v/>
      </c>
      <c r="CU1163">
        <f>$C1163*CU1162</f>
        <v/>
      </c>
      <c r="CV1163">
        <f>$C1163*CV1162</f>
        <v/>
      </c>
      <c r="CW1163">
        <f>$C1163*CW1162</f>
        <v/>
      </c>
      <c r="CX1163">
        <f>$C1163*CX1162</f>
        <v/>
      </c>
      <c r="CY1163">
        <f>$C1163*CY1162</f>
        <v/>
      </c>
      <c r="CZ1163">
        <f>$C1163*CZ1162</f>
        <v/>
      </c>
      <c r="DA1163">
        <f>$C1163*DA1162</f>
        <v/>
      </c>
      <c r="DB1163">
        <f>$C1163*DB1162</f>
        <v/>
      </c>
      <c r="DC1163">
        <f>$C1163*DC1162</f>
        <v/>
      </c>
    </row>
    <row r="1164">
      <c r="B1164" t="inlineStr">
        <is>
          <t>TVS-267</t>
        </is>
      </c>
      <c r="C1164" t="inlineStr">
        <is>
          <t>No. of batches</t>
        </is>
      </c>
      <c r="D1164">
        <f>IFERROR(INDEX(PP_Grid[#Data],$DD1164,2),0)</f>
        <v/>
      </c>
      <c r="E1164">
        <f>IFERROR(INDEX(PP_Grid[#Data],$DD1164,3),0)</f>
        <v/>
      </c>
      <c r="F1164">
        <f>IFERROR(INDEX(PP_Grid[#Data],$DD1164,4),0)</f>
        <v/>
      </c>
      <c r="G1164">
        <f>IFERROR(INDEX(PP_Grid[#Data],$DD1164,5),0)</f>
        <v/>
      </c>
      <c r="H1164">
        <f>IFERROR(INDEX(PP_Grid[#Data],$DD1164,6),0)</f>
        <v/>
      </c>
      <c r="I1164">
        <f>IFERROR(INDEX(PP_Grid[#Data],$DD1164,7),0)</f>
        <v/>
      </c>
      <c r="J1164">
        <f>IFERROR(INDEX(PP_Grid[#Data],$DD1164,8),0)</f>
        <v/>
      </c>
      <c r="K1164">
        <f>IFERROR(INDEX(PP_Grid[#Data],$DD1164,9),0)</f>
        <v/>
      </c>
      <c r="L1164">
        <f>IFERROR(INDEX(PP_Grid[#Data],$DD1164,10),0)</f>
        <v/>
      </c>
      <c r="M1164">
        <f>IFERROR(INDEX(PP_Grid[#Data],$DD1164,11),0)</f>
        <v/>
      </c>
      <c r="N1164">
        <f>IFERROR(INDEX(PP_Grid[#Data],$DD1164,12),0)</f>
        <v/>
      </c>
      <c r="O1164">
        <f>IFERROR(INDEX(PP_Grid[#Data],$DD1164,13),0)</f>
        <v/>
      </c>
      <c r="P1164">
        <f>IFERROR(INDEX(PP_Grid[#Data],$DD1164,14),0)</f>
        <v/>
      </c>
      <c r="Q1164">
        <f>IFERROR(INDEX(PP_Grid[#Data],$DD1164,15),0)</f>
        <v/>
      </c>
      <c r="R1164">
        <f>IFERROR(INDEX(PP_Grid[#Data],$DD1164,16),0)</f>
        <v/>
      </c>
      <c r="S1164">
        <f>IFERROR(INDEX(PP_Grid[#Data],$DD1164,17),0)</f>
        <v/>
      </c>
      <c r="T1164">
        <f>IFERROR(INDEX(PP_Grid[#Data],$DD1164,18),0)</f>
        <v/>
      </c>
      <c r="U1164">
        <f>IFERROR(INDEX(PP_Grid[#Data],$DD1164,19),0)</f>
        <v/>
      </c>
      <c r="V1164">
        <f>IFERROR(INDEX(PP_Grid[#Data],$DD1164,20),0)</f>
        <v/>
      </c>
      <c r="W1164">
        <f>IFERROR(INDEX(PP_Grid[#Data],$DD1164,21),0)</f>
        <v/>
      </c>
      <c r="X1164">
        <f>IFERROR(INDEX(PP_Grid[#Data],$DD1164,22),0)</f>
        <v/>
      </c>
      <c r="Y1164">
        <f>IFERROR(INDEX(PP_Grid[#Data],$DD1164,23),0)</f>
        <v/>
      </c>
      <c r="Z1164">
        <f>IFERROR(INDEX(PP_Grid[#Data],$DD1164,24),0)</f>
        <v/>
      </c>
      <c r="AA1164">
        <f>IFERROR(INDEX(PP_Grid[#Data],$DD1164,25),0)</f>
        <v/>
      </c>
      <c r="AB1164">
        <f>IFERROR(INDEX(PP_Grid[#Data],$DD1164,26),0)</f>
        <v/>
      </c>
      <c r="AC1164">
        <f>IFERROR(INDEX(PP_Grid[#Data],$DD1164,27),0)</f>
        <v/>
      </c>
      <c r="AD1164">
        <f>IFERROR(INDEX(PP_Grid[#Data],$DD1164,28),0)</f>
        <v/>
      </c>
      <c r="AE1164">
        <f>IFERROR(INDEX(PP_Grid[#Data],$DD1164,29),0)</f>
        <v/>
      </c>
      <c r="AF1164">
        <f>IFERROR(INDEX(PP_Grid[#Data],$DD1164,30),0)</f>
        <v/>
      </c>
      <c r="AG1164">
        <f>IFERROR(INDEX(PP_Grid[#Data],$DD1164,31),0)</f>
        <v/>
      </c>
      <c r="AH1164">
        <f>IFERROR(INDEX(PP_Grid[#Data],$DD1164,32),0)</f>
        <v/>
      </c>
      <c r="AI1164">
        <f>IFERROR(INDEX(PP_Grid[#Data],$DD1164,33),0)</f>
        <v/>
      </c>
      <c r="AJ1164">
        <f>IFERROR(INDEX(PP_Grid[#Data],$DD1164,34),0)</f>
        <v/>
      </c>
      <c r="AK1164">
        <f>IFERROR(INDEX(PP_Grid[#Data],$DD1164,35),0)</f>
        <v/>
      </c>
      <c r="AL1164">
        <f>IFERROR(INDEX(PP_Grid[#Data],$DD1164,36),0)</f>
        <v/>
      </c>
      <c r="AM1164">
        <f>IFERROR(INDEX(PP_Grid[#Data],$DD1164,37),0)</f>
        <v/>
      </c>
      <c r="AN1164">
        <f>IFERROR(INDEX(PP_Grid[#Data],$DD1164,38),0)</f>
        <v/>
      </c>
      <c r="AO1164">
        <f>IFERROR(INDEX(PP_Grid[#Data],$DD1164,39),0)</f>
        <v/>
      </c>
      <c r="AP1164">
        <f>IFERROR(INDEX(PP_Grid[#Data],$DD1164,40),0)</f>
        <v/>
      </c>
      <c r="AQ1164">
        <f>IFERROR(INDEX(PP_Grid[#Data],$DD1164,41),0)</f>
        <v/>
      </c>
      <c r="AR1164">
        <f>IFERROR(INDEX(PP_Grid[#Data],$DD1164,42),0)</f>
        <v/>
      </c>
      <c r="AS1164">
        <f>IFERROR(INDEX(PP_Grid[#Data],$DD1164,43),0)</f>
        <v/>
      </c>
      <c r="AT1164">
        <f>IFERROR(INDEX(PP_Grid[#Data],$DD1164,44),0)</f>
        <v/>
      </c>
      <c r="AU1164">
        <f>IFERROR(INDEX(PP_Grid[#Data],$DD1164,45),0)</f>
        <v/>
      </c>
      <c r="AV1164">
        <f>IFERROR(INDEX(PP_Grid[#Data],$DD1164,46),0)</f>
        <v/>
      </c>
      <c r="AW1164">
        <f>IFERROR(INDEX(PP_Grid[#Data],$DD1164,47),0)</f>
        <v/>
      </c>
      <c r="AX1164">
        <f>IFERROR(INDEX(PP_Grid[#Data],$DD1164,48),0)</f>
        <v/>
      </c>
      <c r="AY1164">
        <f>IFERROR(INDEX(PP_Grid[#Data],$DD1164,49),0)</f>
        <v/>
      </c>
      <c r="AZ1164">
        <f>IFERROR(INDEX(PP_Grid[#Data],$DD1164,50),0)</f>
        <v/>
      </c>
      <c r="BA1164">
        <f>IFERROR(INDEX(PP_Grid[#Data],$DD1164,51),0)</f>
        <v/>
      </c>
      <c r="BB1164">
        <f>IFERROR(INDEX(PP_Grid[#Data],$DD1164,52),0)</f>
        <v/>
      </c>
      <c r="BC1164">
        <f>IFERROR(INDEX(PP_Grid[#Data],$DD1164,53),0)</f>
        <v/>
      </c>
      <c r="BD1164">
        <f>IFERROR(INDEX(PP_Grid[#Data],$DD1164,54),0)</f>
        <v/>
      </c>
      <c r="BE1164">
        <f>IFERROR(INDEX(PP_Grid[#Data],$DD1164,55),0)</f>
        <v/>
      </c>
      <c r="BF1164">
        <f>IFERROR(INDEX(PP_Grid[#Data],$DD1164,56),0)</f>
        <v/>
      </c>
      <c r="BG1164">
        <f>IFERROR(INDEX(PP_Grid[#Data],$DD1164,57),0)</f>
        <v/>
      </c>
      <c r="BH1164">
        <f>IFERROR(INDEX(PP_Grid[#Data],$DD1164,58),0)</f>
        <v/>
      </c>
      <c r="BI1164">
        <f>IFERROR(INDEX(PP_Grid[#Data],$DD1164,59),0)</f>
        <v/>
      </c>
      <c r="BJ1164">
        <f>IFERROR(INDEX(PP_Grid[#Data],$DD1164,60),0)</f>
        <v/>
      </c>
      <c r="BK1164">
        <f>IFERROR(INDEX(PP_Grid[#Data],$DD1164,61),0)</f>
        <v/>
      </c>
      <c r="BL1164">
        <f>IFERROR(INDEX(PP_Grid[#Data],$DD1164,62),0)</f>
        <v/>
      </c>
      <c r="BM1164">
        <f>IFERROR(INDEX(PP_Grid[#Data],$DD1164,63),0)</f>
        <v/>
      </c>
      <c r="BN1164">
        <f>IFERROR(INDEX(PP_Grid[#Data],$DD1164,64),0)</f>
        <v/>
      </c>
      <c r="BO1164">
        <f>IFERROR(INDEX(PP_Grid[#Data],$DD1164,65),0)</f>
        <v/>
      </c>
      <c r="BP1164">
        <f>IFERROR(INDEX(PP_Grid[#Data],$DD1164,66),0)</f>
        <v/>
      </c>
      <c r="BQ1164">
        <f>IFERROR(INDEX(PP_Grid[#Data],$DD1164,67),0)</f>
        <v/>
      </c>
      <c r="BR1164">
        <f>IFERROR(INDEX(PP_Grid[#Data],$DD1164,68),0)</f>
        <v/>
      </c>
      <c r="BS1164">
        <f>IFERROR(INDEX(PP_Grid[#Data],$DD1164,69),0)</f>
        <v/>
      </c>
      <c r="BT1164">
        <f>IFERROR(INDEX(PP_Grid[#Data],$DD1164,70),0)</f>
        <v/>
      </c>
      <c r="BU1164">
        <f>IFERROR(INDEX(PP_Grid[#Data],$DD1164,71),0)</f>
        <v/>
      </c>
      <c r="BV1164">
        <f>IFERROR(INDEX(PP_Grid[#Data],$DD1164,72),0)</f>
        <v/>
      </c>
      <c r="BW1164">
        <f>IFERROR(INDEX(PP_Grid[#Data],$DD1164,73),0)</f>
        <v/>
      </c>
      <c r="BX1164">
        <f>IFERROR(INDEX(PP_Grid[#Data],$DD1164,74),0)</f>
        <v/>
      </c>
      <c r="BY1164">
        <f>IFERROR(INDEX(PP_Grid[#Data],$DD1164,75),0)</f>
        <v/>
      </c>
      <c r="BZ1164">
        <f>IFERROR(INDEX(PP_Grid[#Data],$DD1164,76),0)</f>
        <v/>
      </c>
      <c r="CA1164">
        <f>IFERROR(INDEX(PP_Grid[#Data],$DD1164,77),0)</f>
        <v/>
      </c>
      <c r="CB1164">
        <f>IFERROR(INDEX(PP_Grid[#Data],$DD1164,78),0)</f>
        <v/>
      </c>
      <c r="CC1164">
        <f>IFERROR(INDEX(PP_Grid[#Data],$DD1164,79),0)</f>
        <v/>
      </c>
      <c r="CD1164">
        <f>IFERROR(INDEX(PP_Grid[#Data],$DD1164,80),0)</f>
        <v/>
      </c>
      <c r="CE1164">
        <f>IFERROR(INDEX(PP_Grid[#Data],$DD1164,81),0)</f>
        <v/>
      </c>
      <c r="CF1164">
        <f>IFERROR(INDEX(PP_Grid[#Data],$DD1164,82),0)</f>
        <v/>
      </c>
      <c r="CG1164">
        <f>IFERROR(INDEX(PP_Grid[#Data],$DD1164,83),0)</f>
        <v/>
      </c>
      <c r="CH1164">
        <f>IFERROR(INDEX(PP_Grid[#Data],$DD1164,84),0)</f>
        <v/>
      </c>
      <c r="CI1164">
        <f>IFERROR(INDEX(PP_Grid[#Data],$DD1164,85),0)</f>
        <v/>
      </c>
      <c r="CJ1164">
        <f>IFERROR(INDEX(PP_Grid[#Data],$DD1164,86),0)</f>
        <v/>
      </c>
      <c r="CK1164">
        <f>IFERROR(INDEX(PP_Grid[#Data],$DD1164,87),0)</f>
        <v/>
      </c>
      <c r="CL1164">
        <f>IFERROR(INDEX(PP_Grid[#Data],$DD1164,88),0)</f>
        <v/>
      </c>
      <c r="CM1164">
        <f>IFERROR(INDEX(PP_Grid[#Data],$DD1164,89),0)</f>
        <v/>
      </c>
      <c r="CN1164">
        <f>IFERROR(INDEX(PP_Grid[#Data],$DD1164,90),0)</f>
        <v/>
      </c>
      <c r="CO1164">
        <f>IFERROR(INDEX(PP_Grid[#Data],$DD1164,91),0)</f>
        <v/>
      </c>
      <c r="CP1164">
        <f>IFERROR(INDEX(PP_Grid[#Data],$DD1164,92),0)</f>
        <v/>
      </c>
      <c r="CQ1164">
        <f>IFERROR(INDEX(PP_Grid[#Data],$DD1164,93),0)</f>
        <v/>
      </c>
      <c r="CR1164">
        <f>IFERROR(INDEX(PP_Grid[#Data],$DD1164,94),0)</f>
        <v/>
      </c>
      <c r="CS1164">
        <f>IFERROR(INDEX(PP_Grid[#Data],$DD1164,95),0)</f>
        <v/>
      </c>
      <c r="CT1164">
        <f>IFERROR(INDEX(PP_Grid[#Data],$DD1164,96),0)</f>
        <v/>
      </c>
      <c r="CU1164">
        <f>IFERROR(INDEX(PP_Grid[#Data],$DD1164,97),0)</f>
        <v/>
      </c>
      <c r="CV1164">
        <f>IFERROR(INDEX(PP_Grid[#Data],$DD1164,98),0)</f>
        <v/>
      </c>
      <c r="CW1164">
        <f>IFERROR(INDEX(PP_Grid[#Data],$DD1164,99),0)</f>
        <v/>
      </c>
      <c r="CX1164">
        <f>IFERROR(INDEX(PP_Grid[#Data],$DD1164,100),0)</f>
        <v/>
      </c>
      <c r="CY1164">
        <f>IFERROR(INDEX(PP_Grid[#Data],$DD1164,101),0)</f>
        <v/>
      </c>
      <c r="CZ1164">
        <f>IFERROR(INDEX(PP_Grid[#Data],$DD1164,102),0)</f>
        <v/>
      </c>
      <c r="DA1164">
        <f>IFERROR(INDEX(PP_Grid[#Data],$DD1164,103),0)</f>
        <v/>
      </c>
      <c r="DB1164">
        <f>IFERROR(INDEX(PP_Grid[#Data],$DD1164,104),0)</f>
        <v/>
      </c>
      <c r="DC1164">
        <f>IFERROR(INDEX(PP_Grid[#Data],$DD1164,105),0)</f>
        <v/>
      </c>
      <c r="DD1164" s="12">
        <f>IFERROR(MATCH($B1164,PP_Grid[Intermediate],0),99999)</f>
        <v/>
      </c>
    </row>
    <row r="1165">
      <c r="B1165" t="inlineStr">
        <is>
          <t>使用量(kg)</t>
        </is>
      </c>
      <c r="C1165">
        <f>SUMIFS(M_BOM[RM_Qty_Per_Batch],M_BOM[Intermediate],$B1164,M_BOM[Part Name],$A1131)</f>
        <v/>
      </c>
      <c r="D1165">
        <f>$C1165*D1164</f>
        <v/>
      </c>
      <c r="E1165">
        <f>$C1165*E1164</f>
        <v/>
      </c>
      <c r="F1165">
        <f>$C1165*F1164</f>
        <v/>
      </c>
      <c r="G1165">
        <f>$C1165*G1164</f>
        <v/>
      </c>
      <c r="H1165">
        <f>$C1165*H1164</f>
        <v/>
      </c>
      <c r="I1165">
        <f>$C1165*I1164</f>
        <v/>
      </c>
      <c r="J1165">
        <f>$C1165*J1164</f>
        <v/>
      </c>
      <c r="K1165">
        <f>$C1165*K1164</f>
        <v/>
      </c>
      <c r="L1165">
        <f>$C1165*L1164</f>
        <v/>
      </c>
      <c r="M1165">
        <f>$C1165*M1164</f>
        <v/>
      </c>
      <c r="N1165">
        <f>$C1165*N1164</f>
        <v/>
      </c>
      <c r="O1165">
        <f>$C1165*O1164</f>
        <v/>
      </c>
      <c r="P1165">
        <f>$C1165*P1164</f>
        <v/>
      </c>
      <c r="Q1165">
        <f>$C1165*Q1164</f>
        <v/>
      </c>
      <c r="R1165">
        <f>$C1165*R1164</f>
        <v/>
      </c>
      <c r="S1165">
        <f>$C1165*S1164</f>
        <v/>
      </c>
      <c r="T1165">
        <f>$C1165*T1164</f>
        <v/>
      </c>
      <c r="U1165">
        <f>$C1165*U1164</f>
        <v/>
      </c>
      <c r="V1165">
        <f>$C1165*V1164</f>
        <v/>
      </c>
      <c r="W1165">
        <f>$C1165*W1164</f>
        <v/>
      </c>
      <c r="X1165">
        <f>$C1165*X1164</f>
        <v/>
      </c>
      <c r="Y1165">
        <f>$C1165*Y1164</f>
        <v/>
      </c>
      <c r="Z1165">
        <f>$C1165*Z1164</f>
        <v/>
      </c>
      <c r="AA1165">
        <f>$C1165*AA1164</f>
        <v/>
      </c>
      <c r="AB1165">
        <f>$C1165*AB1164</f>
        <v/>
      </c>
      <c r="AC1165">
        <f>$C1165*AC1164</f>
        <v/>
      </c>
      <c r="AD1165">
        <f>$C1165*AD1164</f>
        <v/>
      </c>
      <c r="AE1165">
        <f>$C1165*AE1164</f>
        <v/>
      </c>
      <c r="AF1165">
        <f>$C1165*AF1164</f>
        <v/>
      </c>
      <c r="AG1165">
        <f>$C1165*AG1164</f>
        <v/>
      </c>
      <c r="AH1165">
        <f>$C1165*AH1164</f>
        <v/>
      </c>
      <c r="AI1165">
        <f>$C1165*AI1164</f>
        <v/>
      </c>
      <c r="AJ1165">
        <f>$C1165*AJ1164</f>
        <v/>
      </c>
      <c r="AK1165">
        <f>$C1165*AK1164</f>
        <v/>
      </c>
      <c r="AL1165">
        <f>$C1165*AL1164</f>
        <v/>
      </c>
      <c r="AM1165">
        <f>$C1165*AM1164</f>
        <v/>
      </c>
      <c r="AN1165">
        <f>$C1165*AN1164</f>
        <v/>
      </c>
      <c r="AO1165">
        <f>$C1165*AO1164</f>
        <v/>
      </c>
      <c r="AP1165">
        <f>$C1165*AP1164</f>
        <v/>
      </c>
      <c r="AQ1165">
        <f>$C1165*AQ1164</f>
        <v/>
      </c>
      <c r="AR1165">
        <f>$C1165*AR1164</f>
        <v/>
      </c>
      <c r="AS1165">
        <f>$C1165*AS1164</f>
        <v/>
      </c>
      <c r="AT1165">
        <f>$C1165*AT1164</f>
        <v/>
      </c>
      <c r="AU1165">
        <f>$C1165*AU1164</f>
        <v/>
      </c>
      <c r="AV1165">
        <f>$C1165*AV1164</f>
        <v/>
      </c>
      <c r="AW1165">
        <f>$C1165*AW1164</f>
        <v/>
      </c>
      <c r="AX1165">
        <f>$C1165*AX1164</f>
        <v/>
      </c>
      <c r="AY1165">
        <f>$C1165*AY1164</f>
        <v/>
      </c>
      <c r="AZ1165">
        <f>$C1165*AZ1164</f>
        <v/>
      </c>
      <c r="BA1165">
        <f>$C1165*BA1164</f>
        <v/>
      </c>
      <c r="BB1165">
        <f>$C1165*BB1164</f>
        <v/>
      </c>
      <c r="BC1165">
        <f>$C1165*BC1164</f>
        <v/>
      </c>
      <c r="BD1165">
        <f>$C1165*BD1164</f>
        <v/>
      </c>
      <c r="BE1165">
        <f>$C1165*BE1164</f>
        <v/>
      </c>
      <c r="BF1165">
        <f>$C1165*BF1164</f>
        <v/>
      </c>
      <c r="BG1165">
        <f>$C1165*BG1164</f>
        <v/>
      </c>
      <c r="BH1165">
        <f>$C1165*BH1164</f>
        <v/>
      </c>
      <c r="BI1165">
        <f>$C1165*BI1164</f>
        <v/>
      </c>
      <c r="BJ1165">
        <f>$C1165*BJ1164</f>
        <v/>
      </c>
      <c r="BK1165">
        <f>$C1165*BK1164</f>
        <v/>
      </c>
      <c r="BL1165">
        <f>$C1165*BL1164</f>
        <v/>
      </c>
      <c r="BM1165">
        <f>$C1165*BM1164</f>
        <v/>
      </c>
      <c r="BN1165">
        <f>$C1165*BN1164</f>
        <v/>
      </c>
      <c r="BO1165">
        <f>$C1165*BO1164</f>
        <v/>
      </c>
      <c r="BP1165">
        <f>$C1165*BP1164</f>
        <v/>
      </c>
      <c r="BQ1165">
        <f>$C1165*BQ1164</f>
        <v/>
      </c>
      <c r="BR1165">
        <f>$C1165*BR1164</f>
        <v/>
      </c>
      <c r="BS1165">
        <f>$C1165*BS1164</f>
        <v/>
      </c>
      <c r="BT1165">
        <f>$C1165*BT1164</f>
        <v/>
      </c>
      <c r="BU1165">
        <f>$C1165*BU1164</f>
        <v/>
      </c>
      <c r="BV1165">
        <f>$C1165*BV1164</f>
        <v/>
      </c>
      <c r="BW1165">
        <f>$C1165*BW1164</f>
        <v/>
      </c>
      <c r="BX1165">
        <f>$C1165*BX1164</f>
        <v/>
      </c>
      <c r="BY1165">
        <f>$C1165*BY1164</f>
        <v/>
      </c>
      <c r="BZ1165">
        <f>$C1165*BZ1164</f>
        <v/>
      </c>
      <c r="CA1165">
        <f>$C1165*CA1164</f>
        <v/>
      </c>
      <c r="CB1165">
        <f>$C1165*CB1164</f>
        <v/>
      </c>
      <c r="CC1165">
        <f>$C1165*CC1164</f>
        <v/>
      </c>
      <c r="CD1165">
        <f>$C1165*CD1164</f>
        <v/>
      </c>
      <c r="CE1165">
        <f>$C1165*CE1164</f>
        <v/>
      </c>
      <c r="CF1165">
        <f>$C1165*CF1164</f>
        <v/>
      </c>
      <c r="CG1165">
        <f>$C1165*CG1164</f>
        <v/>
      </c>
      <c r="CH1165">
        <f>$C1165*CH1164</f>
        <v/>
      </c>
      <c r="CI1165">
        <f>$C1165*CI1164</f>
        <v/>
      </c>
      <c r="CJ1165">
        <f>$C1165*CJ1164</f>
        <v/>
      </c>
      <c r="CK1165">
        <f>$C1165*CK1164</f>
        <v/>
      </c>
      <c r="CL1165">
        <f>$C1165*CL1164</f>
        <v/>
      </c>
      <c r="CM1165">
        <f>$C1165*CM1164</f>
        <v/>
      </c>
      <c r="CN1165">
        <f>$C1165*CN1164</f>
        <v/>
      </c>
      <c r="CO1165">
        <f>$C1165*CO1164</f>
        <v/>
      </c>
      <c r="CP1165">
        <f>$C1165*CP1164</f>
        <v/>
      </c>
      <c r="CQ1165">
        <f>$C1165*CQ1164</f>
        <v/>
      </c>
      <c r="CR1165">
        <f>$C1165*CR1164</f>
        <v/>
      </c>
      <c r="CS1165">
        <f>$C1165*CS1164</f>
        <v/>
      </c>
      <c r="CT1165">
        <f>$C1165*CT1164</f>
        <v/>
      </c>
      <c r="CU1165">
        <f>$C1165*CU1164</f>
        <v/>
      </c>
      <c r="CV1165">
        <f>$C1165*CV1164</f>
        <v/>
      </c>
      <c r="CW1165">
        <f>$C1165*CW1164</f>
        <v/>
      </c>
      <c r="CX1165">
        <f>$C1165*CX1164</f>
        <v/>
      </c>
      <c r="CY1165">
        <f>$C1165*CY1164</f>
        <v/>
      </c>
      <c r="CZ1165">
        <f>$C1165*CZ1164</f>
        <v/>
      </c>
      <c r="DA1165">
        <f>$C1165*DA1164</f>
        <v/>
      </c>
      <c r="DB1165">
        <f>$C1165*DB1164</f>
        <v/>
      </c>
      <c r="DC1165">
        <f>$C1165*DC1164</f>
        <v/>
      </c>
    </row>
    <row r="1166">
      <c r="B1166" t="inlineStr">
        <is>
          <t>TVS-833</t>
        </is>
      </c>
      <c r="C1166" t="inlineStr">
        <is>
          <t>No. of batches</t>
        </is>
      </c>
      <c r="D1166">
        <f>IFERROR(INDEX(PP_Grid[#Data],$DD1166,2),0)</f>
        <v/>
      </c>
      <c r="E1166">
        <f>IFERROR(INDEX(PP_Grid[#Data],$DD1166,3),0)</f>
        <v/>
      </c>
      <c r="F1166">
        <f>IFERROR(INDEX(PP_Grid[#Data],$DD1166,4),0)</f>
        <v/>
      </c>
      <c r="G1166">
        <f>IFERROR(INDEX(PP_Grid[#Data],$DD1166,5),0)</f>
        <v/>
      </c>
      <c r="H1166">
        <f>IFERROR(INDEX(PP_Grid[#Data],$DD1166,6),0)</f>
        <v/>
      </c>
      <c r="I1166">
        <f>IFERROR(INDEX(PP_Grid[#Data],$DD1166,7),0)</f>
        <v/>
      </c>
      <c r="J1166">
        <f>IFERROR(INDEX(PP_Grid[#Data],$DD1166,8),0)</f>
        <v/>
      </c>
      <c r="K1166">
        <f>IFERROR(INDEX(PP_Grid[#Data],$DD1166,9),0)</f>
        <v/>
      </c>
      <c r="L1166">
        <f>IFERROR(INDEX(PP_Grid[#Data],$DD1166,10),0)</f>
        <v/>
      </c>
      <c r="M1166">
        <f>IFERROR(INDEX(PP_Grid[#Data],$DD1166,11),0)</f>
        <v/>
      </c>
      <c r="N1166">
        <f>IFERROR(INDEX(PP_Grid[#Data],$DD1166,12),0)</f>
        <v/>
      </c>
      <c r="O1166">
        <f>IFERROR(INDEX(PP_Grid[#Data],$DD1166,13),0)</f>
        <v/>
      </c>
      <c r="P1166">
        <f>IFERROR(INDEX(PP_Grid[#Data],$DD1166,14),0)</f>
        <v/>
      </c>
      <c r="Q1166">
        <f>IFERROR(INDEX(PP_Grid[#Data],$DD1166,15),0)</f>
        <v/>
      </c>
      <c r="R1166">
        <f>IFERROR(INDEX(PP_Grid[#Data],$DD1166,16),0)</f>
        <v/>
      </c>
      <c r="S1166">
        <f>IFERROR(INDEX(PP_Grid[#Data],$DD1166,17),0)</f>
        <v/>
      </c>
      <c r="T1166">
        <f>IFERROR(INDEX(PP_Grid[#Data],$DD1166,18),0)</f>
        <v/>
      </c>
      <c r="U1166">
        <f>IFERROR(INDEX(PP_Grid[#Data],$DD1166,19),0)</f>
        <v/>
      </c>
      <c r="V1166">
        <f>IFERROR(INDEX(PP_Grid[#Data],$DD1166,20),0)</f>
        <v/>
      </c>
      <c r="W1166">
        <f>IFERROR(INDEX(PP_Grid[#Data],$DD1166,21),0)</f>
        <v/>
      </c>
      <c r="X1166">
        <f>IFERROR(INDEX(PP_Grid[#Data],$DD1166,22),0)</f>
        <v/>
      </c>
      <c r="Y1166">
        <f>IFERROR(INDEX(PP_Grid[#Data],$DD1166,23),0)</f>
        <v/>
      </c>
      <c r="Z1166">
        <f>IFERROR(INDEX(PP_Grid[#Data],$DD1166,24),0)</f>
        <v/>
      </c>
      <c r="AA1166">
        <f>IFERROR(INDEX(PP_Grid[#Data],$DD1166,25),0)</f>
        <v/>
      </c>
      <c r="AB1166">
        <f>IFERROR(INDEX(PP_Grid[#Data],$DD1166,26),0)</f>
        <v/>
      </c>
      <c r="AC1166">
        <f>IFERROR(INDEX(PP_Grid[#Data],$DD1166,27),0)</f>
        <v/>
      </c>
      <c r="AD1166">
        <f>IFERROR(INDEX(PP_Grid[#Data],$DD1166,28),0)</f>
        <v/>
      </c>
      <c r="AE1166">
        <f>IFERROR(INDEX(PP_Grid[#Data],$DD1166,29),0)</f>
        <v/>
      </c>
      <c r="AF1166">
        <f>IFERROR(INDEX(PP_Grid[#Data],$DD1166,30),0)</f>
        <v/>
      </c>
      <c r="AG1166">
        <f>IFERROR(INDEX(PP_Grid[#Data],$DD1166,31),0)</f>
        <v/>
      </c>
      <c r="AH1166">
        <f>IFERROR(INDEX(PP_Grid[#Data],$DD1166,32),0)</f>
        <v/>
      </c>
      <c r="AI1166">
        <f>IFERROR(INDEX(PP_Grid[#Data],$DD1166,33),0)</f>
        <v/>
      </c>
      <c r="AJ1166">
        <f>IFERROR(INDEX(PP_Grid[#Data],$DD1166,34),0)</f>
        <v/>
      </c>
      <c r="AK1166">
        <f>IFERROR(INDEX(PP_Grid[#Data],$DD1166,35),0)</f>
        <v/>
      </c>
      <c r="AL1166">
        <f>IFERROR(INDEX(PP_Grid[#Data],$DD1166,36),0)</f>
        <v/>
      </c>
      <c r="AM1166">
        <f>IFERROR(INDEX(PP_Grid[#Data],$DD1166,37),0)</f>
        <v/>
      </c>
      <c r="AN1166">
        <f>IFERROR(INDEX(PP_Grid[#Data],$DD1166,38),0)</f>
        <v/>
      </c>
      <c r="AO1166">
        <f>IFERROR(INDEX(PP_Grid[#Data],$DD1166,39),0)</f>
        <v/>
      </c>
      <c r="AP1166">
        <f>IFERROR(INDEX(PP_Grid[#Data],$DD1166,40),0)</f>
        <v/>
      </c>
      <c r="AQ1166">
        <f>IFERROR(INDEX(PP_Grid[#Data],$DD1166,41),0)</f>
        <v/>
      </c>
      <c r="AR1166">
        <f>IFERROR(INDEX(PP_Grid[#Data],$DD1166,42),0)</f>
        <v/>
      </c>
      <c r="AS1166">
        <f>IFERROR(INDEX(PP_Grid[#Data],$DD1166,43),0)</f>
        <v/>
      </c>
      <c r="AT1166">
        <f>IFERROR(INDEX(PP_Grid[#Data],$DD1166,44),0)</f>
        <v/>
      </c>
      <c r="AU1166">
        <f>IFERROR(INDEX(PP_Grid[#Data],$DD1166,45),0)</f>
        <v/>
      </c>
      <c r="AV1166">
        <f>IFERROR(INDEX(PP_Grid[#Data],$DD1166,46),0)</f>
        <v/>
      </c>
      <c r="AW1166">
        <f>IFERROR(INDEX(PP_Grid[#Data],$DD1166,47),0)</f>
        <v/>
      </c>
      <c r="AX1166">
        <f>IFERROR(INDEX(PP_Grid[#Data],$DD1166,48),0)</f>
        <v/>
      </c>
      <c r="AY1166">
        <f>IFERROR(INDEX(PP_Grid[#Data],$DD1166,49),0)</f>
        <v/>
      </c>
      <c r="AZ1166">
        <f>IFERROR(INDEX(PP_Grid[#Data],$DD1166,50),0)</f>
        <v/>
      </c>
      <c r="BA1166">
        <f>IFERROR(INDEX(PP_Grid[#Data],$DD1166,51),0)</f>
        <v/>
      </c>
      <c r="BB1166">
        <f>IFERROR(INDEX(PP_Grid[#Data],$DD1166,52),0)</f>
        <v/>
      </c>
      <c r="BC1166">
        <f>IFERROR(INDEX(PP_Grid[#Data],$DD1166,53),0)</f>
        <v/>
      </c>
      <c r="BD1166">
        <f>IFERROR(INDEX(PP_Grid[#Data],$DD1166,54),0)</f>
        <v/>
      </c>
      <c r="BE1166">
        <f>IFERROR(INDEX(PP_Grid[#Data],$DD1166,55),0)</f>
        <v/>
      </c>
      <c r="BF1166">
        <f>IFERROR(INDEX(PP_Grid[#Data],$DD1166,56),0)</f>
        <v/>
      </c>
      <c r="BG1166">
        <f>IFERROR(INDEX(PP_Grid[#Data],$DD1166,57),0)</f>
        <v/>
      </c>
      <c r="BH1166">
        <f>IFERROR(INDEX(PP_Grid[#Data],$DD1166,58),0)</f>
        <v/>
      </c>
      <c r="BI1166">
        <f>IFERROR(INDEX(PP_Grid[#Data],$DD1166,59),0)</f>
        <v/>
      </c>
      <c r="BJ1166">
        <f>IFERROR(INDEX(PP_Grid[#Data],$DD1166,60),0)</f>
        <v/>
      </c>
      <c r="BK1166">
        <f>IFERROR(INDEX(PP_Grid[#Data],$DD1166,61),0)</f>
        <v/>
      </c>
      <c r="BL1166">
        <f>IFERROR(INDEX(PP_Grid[#Data],$DD1166,62),0)</f>
        <v/>
      </c>
      <c r="BM1166">
        <f>IFERROR(INDEX(PP_Grid[#Data],$DD1166,63),0)</f>
        <v/>
      </c>
      <c r="BN1166">
        <f>IFERROR(INDEX(PP_Grid[#Data],$DD1166,64),0)</f>
        <v/>
      </c>
      <c r="BO1166">
        <f>IFERROR(INDEX(PP_Grid[#Data],$DD1166,65),0)</f>
        <v/>
      </c>
      <c r="BP1166">
        <f>IFERROR(INDEX(PP_Grid[#Data],$DD1166,66),0)</f>
        <v/>
      </c>
      <c r="BQ1166">
        <f>IFERROR(INDEX(PP_Grid[#Data],$DD1166,67),0)</f>
        <v/>
      </c>
      <c r="BR1166">
        <f>IFERROR(INDEX(PP_Grid[#Data],$DD1166,68),0)</f>
        <v/>
      </c>
      <c r="BS1166">
        <f>IFERROR(INDEX(PP_Grid[#Data],$DD1166,69),0)</f>
        <v/>
      </c>
      <c r="BT1166">
        <f>IFERROR(INDEX(PP_Grid[#Data],$DD1166,70),0)</f>
        <v/>
      </c>
      <c r="BU1166">
        <f>IFERROR(INDEX(PP_Grid[#Data],$DD1166,71),0)</f>
        <v/>
      </c>
      <c r="BV1166">
        <f>IFERROR(INDEX(PP_Grid[#Data],$DD1166,72),0)</f>
        <v/>
      </c>
      <c r="BW1166">
        <f>IFERROR(INDEX(PP_Grid[#Data],$DD1166,73),0)</f>
        <v/>
      </c>
      <c r="BX1166">
        <f>IFERROR(INDEX(PP_Grid[#Data],$DD1166,74),0)</f>
        <v/>
      </c>
      <c r="BY1166">
        <f>IFERROR(INDEX(PP_Grid[#Data],$DD1166,75),0)</f>
        <v/>
      </c>
      <c r="BZ1166">
        <f>IFERROR(INDEX(PP_Grid[#Data],$DD1166,76),0)</f>
        <v/>
      </c>
      <c r="CA1166">
        <f>IFERROR(INDEX(PP_Grid[#Data],$DD1166,77),0)</f>
        <v/>
      </c>
      <c r="CB1166">
        <f>IFERROR(INDEX(PP_Grid[#Data],$DD1166,78),0)</f>
        <v/>
      </c>
      <c r="CC1166">
        <f>IFERROR(INDEX(PP_Grid[#Data],$DD1166,79),0)</f>
        <v/>
      </c>
      <c r="CD1166">
        <f>IFERROR(INDEX(PP_Grid[#Data],$DD1166,80),0)</f>
        <v/>
      </c>
      <c r="CE1166">
        <f>IFERROR(INDEX(PP_Grid[#Data],$DD1166,81),0)</f>
        <v/>
      </c>
      <c r="CF1166">
        <f>IFERROR(INDEX(PP_Grid[#Data],$DD1166,82),0)</f>
        <v/>
      </c>
      <c r="CG1166">
        <f>IFERROR(INDEX(PP_Grid[#Data],$DD1166,83),0)</f>
        <v/>
      </c>
      <c r="CH1166">
        <f>IFERROR(INDEX(PP_Grid[#Data],$DD1166,84),0)</f>
        <v/>
      </c>
      <c r="CI1166">
        <f>IFERROR(INDEX(PP_Grid[#Data],$DD1166,85),0)</f>
        <v/>
      </c>
      <c r="CJ1166">
        <f>IFERROR(INDEX(PP_Grid[#Data],$DD1166,86),0)</f>
        <v/>
      </c>
      <c r="CK1166">
        <f>IFERROR(INDEX(PP_Grid[#Data],$DD1166,87),0)</f>
        <v/>
      </c>
      <c r="CL1166">
        <f>IFERROR(INDEX(PP_Grid[#Data],$DD1166,88),0)</f>
        <v/>
      </c>
      <c r="CM1166">
        <f>IFERROR(INDEX(PP_Grid[#Data],$DD1166,89),0)</f>
        <v/>
      </c>
      <c r="CN1166">
        <f>IFERROR(INDEX(PP_Grid[#Data],$DD1166,90),0)</f>
        <v/>
      </c>
      <c r="CO1166">
        <f>IFERROR(INDEX(PP_Grid[#Data],$DD1166,91),0)</f>
        <v/>
      </c>
      <c r="CP1166">
        <f>IFERROR(INDEX(PP_Grid[#Data],$DD1166,92),0)</f>
        <v/>
      </c>
      <c r="CQ1166">
        <f>IFERROR(INDEX(PP_Grid[#Data],$DD1166,93),0)</f>
        <v/>
      </c>
      <c r="CR1166">
        <f>IFERROR(INDEX(PP_Grid[#Data],$DD1166,94),0)</f>
        <v/>
      </c>
      <c r="CS1166">
        <f>IFERROR(INDEX(PP_Grid[#Data],$DD1166,95),0)</f>
        <v/>
      </c>
      <c r="CT1166">
        <f>IFERROR(INDEX(PP_Grid[#Data],$DD1166,96),0)</f>
        <v/>
      </c>
      <c r="CU1166">
        <f>IFERROR(INDEX(PP_Grid[#Data],$DD1166,97),0)</f>
        <v/>
      </c>
      <c r="CV1166">
        <f>IFERROR(INDEX(PP_Grid[#Data],$DD1166,98),0)</f>
        <v/>
      </c>
      <c r="CW1166">
        <f>IFERROR(INDEX(PP_Grid[#Data],$DD1166,99),0)</f>
        <v/>
      </c>
      <c r="CX1166">
        <f>IFERROR(INDEX(PP_Grid[#Data],$DD1166,100),0)</f>
        <v/>
      </c>
      <c r="CY1166">
        <f>IFERROR(INDEX(PP_Grid[#Data],$DD1166,101),0)</f>
        <v/>
      </c>
      <c r="CZ1166">
        <f>IFERROR(INDEX(PP_Grid[#Data],$DD1166,102),0)</f>
        <v/>
      </c>
      <c r="DA1166">
        <f>IFERROR(INDEX(PP_Grid[#Data],$DD1166,103),0)</f>
        <v/>
      </c>
      <c r="DB1166">
        <f>IFERROR(INDEX(PP_Grid[#Data],$DD1166,104),0)</f>
        <v/>
      </c>
      <c r="DC1166">
        <f>IFERROR(INDEX(PP_Grid[#Data],$DD1166,105),0)</f>
        <v/>
      </c>
      <c r="DD1166" s="12">
        <f>IFERROR(MATCH($B1166,PP_Grid[Intermediate],0),99999)</f>
        <v/>
      </c>
    </row>
    <row r="1167">
      <c r="B1167" t="inlineStr">
        <is>
          <t>使用量(kg)</t>
        </is>
      </c>
      <c r="C1167">
        <f>SUMIFS(M_BOM[RM_Qty_Per_Batch],M_BOM[Intermediate],$B1166,M_BOM[Part Name],$A1131)</f>
        <v/>
      </c>
      <c r="D1167">
        <f>$C1167*D1166</f>
        <v/>
      </c>
      <c r="E1167">
        <f>$C1167*E1166</f>
        <v/>
      </c>
      <c r="F1167">
        <f>$C1167*F1166</f>
        <v/>
      </c>
      <c r="G1167">
        <f>$C1167*G1166</f>
        <v/>
      </c>
      <c r="H1167">
        <f>$C1167*H1166</f>
        <v/>
      </c>
      <c r="I1167">
        <f>$C1167*I1166</f>
        <v/>
      </c>
      <c r="J1167">
        <f>$C1167*J1166</f>
        <v/>
      </c>
      <c r="K1167">
        <f>$C1167*K1166</f>
        <v/>
      </c>
      <c r="L1167">
        <f>$C1167*L1166</f>
        <v/>
      </c>
      <c r="M1167">
        <f>$C1167*M1166</f>
        <v/>
      </c>
      <c r="N1167">
        <f>$C1167*N1166</f>
        <v/>
      </c>
      <c r="O1167">
        <f>$C1167*O1166</f>
        <v/>
      </c>
      <c r="P1167">
        <f>$C1167*P1166</f>
        <v/>
      </c>
      <c r="Q1167">
        <f>$C1167*Q1166</f>
        <v/>
      </c>
      <c r="R1167">
        <f>$C1167*R1166</f>
        <v/>
      </c>
      <c r="S1167">
        <f>$C1167*S1166</f>
        <v/>
      </c>
      <c r="T1167">
        <f>$C1167*T1166</f>
        <v/>
      </c>
      <c r="U1167">
        <f>$C1167*U1166</f>
        <v/>
      </c>
      <c r="V1167">
        <f>$C1167*V1166</f>
        <v/>
      </c>
      <c r="W1167">
        <f>$C1167*W1166</f>
        <v/>
      </c>
      <c r="X1167">
        <f>$C1167*X1166</f>
        <v/>
      </c>
      <c r="Y1167">
        <f>$C1167*Y1166</f>
        <v/>
      </c>
      <c r="Z1167">
        <f>$C1167*Z1166</f>
        <v/>
      </c>
      <c r="AA1167">
        <f>$C1167*AA1166</f>
        <v/>
      </c>
      <c r="AB1167">
        <f>$C1167*AB1166</f>
        <v/>
      </c>
      <c r="AC1167">
        <f>$C1167*AC1166</f>
        <v/>
      </c>
      <c r="AD1167">
        <f>$C1167*AD1166</f>
        <v/>
      </c>
      <c r="AE1167">
        <f>$C1167*AE1166</f>
        <v/>
      </c>
      <c r="AF1167">
        <f>$C1167*AF1166</f>
        <v/>
      </c>
      <c r="AG1167">
        <f>$C1167*AG1166</f>
        <v/>
      </c>
      <c r="AH1167">
        <f>$C1167*AH1166</f>
        <v/>
      </c>
      <c r="AI1167">
        <f>$C1167*AI1166</f>
        <v/>
      </c>
      <c r="AJ1167">
        <f>$C1167*AJ1166</f>
        <v/>
      </c>
      <c r="AK1167">
        <f>$C1167*AK1166</f>
        <v/>
      </c>
      <c r="AL1167">
        <f>$C1167*AL1166</f>
        <v/>
      </c>
      <c r="AM1167">
        <f>$C1167*AM1166</f>
        <v/>
      </c>
      <c r="AN1167">
        <f>$C1167*AN1166</f>
        <v/>
      </c>
      <c r="AO1167">
        <f>$C1167*AO1166</f>
        <v/>
      </c>
      <c r="AP1167">
        <f>$C1167*AP1166</f>
        <v/>
      </c>
      <c r="AQ1167">
        <f>$C1167*AQ1166</f>
        <v/>
      </c>
      <c r="AR1167">
        <f>$C1167*AR1166</f>
        <v/>
      </c>
      <c r="AS1167">
        <f>$C1167*AS1166</f>
        <v/>
      </c>
      <c r="AT1167">
        <f>$C1167*AT1166</f>
        <v/>
      </c>
      <c r="AU1167">
        <f>$C1167*AU1166</f>
        <v/>
      </c>
      <c r="AV1167">
        <f>$C1167*AV1166</f>
        <v/>
      </c>
      <c r="AW1167">
        <f>$C1167*AW1166</f>
        <v/>
      </c>
      <c r="AX1167">
        <f>$C1167*AX1166</f>
        <v/>
      </c>
      <c r="AY1167">
        <f>$C1167*AY1166</f>
        <v/>
      </c>
      <c r="AZ1167">
        <f>$C1167*AZ1166</f>
        <v/>
      </c>
      <c r="BA1167">
        <f>$C1167*BA1166</f>
        <v/>
      </c>
      <c r="BB1167">
        <f>$C1167*BB1166</f>
        <v/>
      </c>
      <c r="BC1167">
        <f>$C1167*BC1166</f>
        <v/>
      </c>
      <c r="BD1167">
        <f>$C1167*BD1166</f>
        <v/>
      </c>
      <c r="BE1167">
        <f>$C1167*BE1166</f>
        <v/>
      </c>
      <c r="BF1167">
        <f>$C1167*BF1166</f>
        <v/>
      </c>
      <c r="BG1167">
        <f>$C1167*BG1166</f>
        <v/>
      </c>
      <c r="BH1167">
        <f>$C1167*BH1166</f>
        <v/>
      </c>
      <c r="BI1167">
        <f>$C1167*BI1166</f>
        <v/>
      </c>
      <c r="BJ1167">
        <f>$C1167*BJ1166</f>
        <v/>
      </c>
      <c r="BK1167">
        <f>$C1167*BK1166</f>
        <v/>
      </c>
      <c r="BL1167">
        <f>$C1167*BL1166</f>
        <v/>
      </c>
      <c r="BM1167">
        <f>$C1167*BM1166</f>
        <v/>
      </c>
      <c r="BN1167">
        <f>$C1167*BN1166</f>
        <v/>
      </c>
      <c r="BO1167">
        <f>$C1167*BO1166</f>
        <v/>
      </c>
      <c r="BP1167">
        <f>$C1167*BP1166</f>
        <v/>
      </c>
      <c r="BQ1167">
        <f>$C1167*BQ1166</f>
        <v/>
      </c>
      <c r="BR1167">
        <f>$C1167*BR1166</f>
        <v/>
      </c>
      <c r="BS1167">
        <f>$C1167*BS1166</f>
        <v/>
      </c>
      <c r="BT1167">
        <f>$C1167*BT1166</f>
        <v/>
      </c>
      <c r="BU1167">
        <f>$C1167*BU1166</f>
        <v/>
      </c>
      <c r="BV1167">
        <f>$C1167*BV1166</f>
        <v/>
      </c>
      <c r="BW1167">
        <f>$C1167*BW1166</f>
        <v/>
      </c>
      <c r="BX1167">
        <f>$C1167*BX1166</f>
        <v/>
      </c>
      <c r="BY1167">
        <f>$C1167*BY1166</f>
        <v/>
      </c>
      <c r="BZ1167">
        <f>$C1167*BZ1166</f>
        <v/>
      </c>
      <c r="CA1167">
        <f>$C1167*CA1166</f>
        <v/>
      </c>
      <c r="CB1167">
        <f>$C1167*CB1166</f>
        <v/>
      </c>
      <c r="CC1167">
        <f>$C1167*CC1166</f>
        <v/>
      </c>
      <c r="CD1167">
        <f>$C1167*CD1166</f>
        <v/>
      </c>
      <c r="CE1167">
        <f>$C1167*CE1166</f>
        <v/>
      </c>
      <c r="CF1167">
        <f>$C1167*CF1166</f>
        <v/>
      </c>
      <c r="CG1167">
        <f>$C1167*CG1166</f>
        <v/>
      </c>
      <c r="CH1167">
        <f>$C1167*CH1166</f>
        <v/>
      </c>
      <c r="CI1167">
        <f>$C1167*CI1166</f>
        <v/>
      </c>
      <c r="CJ1167">
        <f>$C1167*CJ1166</f>
        <v/>
      </c>
      <c r="CK1167">
        <f>$C1167*CK1166</f>
        <v/>
      </c>
      <c r="CL1167">
        <f>$C1167*CL1166</f>
        <v/>
      </c>
      <c r="CM1167">
        <f>$C1167*CM1166</f>
        <v/>
      </c>
      <c r="CN1167">
        <f>$C1167*CN1166</f>
        <v/>
      </c>
      <c r="CO1167">
        <f>$C1167*CO1166</f>
        <v/>
      </c>
      <c r="CP1167">
        <f>$C1167*CP1166</f>
        <v/>
      </c>
      <c r="CQ1167">
        <f>$C1167*CQ1166</f>
        <v/>
      </c>
      <c r="CR1167">
        <f>$C1167*CR1166</f>
        <v/>
      </c>
      <c r="CS1167">
        <f>$C1167*CS1166</f>
        <v/>
      </c>
      <c r="CT1167">
        <f>$C1167*CT1166</f>
        <v/>
      </c>
      <c r="CU1167">
        <f>$C1167*CU1166</f>
        <v/>
      </c>
      <c r="CV1167">
        <f>$C1167*CV1166</f>
        <v/>
      </c>
      <c r="CW1167">
        <f>$C1167*CW1166</f>
        <v/>
      </c>
      <c r="CX1167">
        <f>$C1167*CX1166</f>
        <v/>
      </c>
      <c r="CY1167">
        <f>$C1167*CY1166</f>
        <v/>
      </c>
      <c r="CZ1167">
        <f>$C1167*CZ1166</f>
        <v/>
      </c>
      <c r="DA1167">
        <f>$C1167*DA1166</f>
        <v/>
      </c>
      <c r="DB1167">
        <f>$C1167*DB1166</f>
        <v/>
      </c>
      <c r="DC1167">
        <f>$C1167*DC1166</f>
        <v/>
      </c>
    </row>
    <row r="1168">
      <c r="B1168" s="9" t="inlineStr">
        <is>
          <t>合計使用量(kg)/週</t>
        </is>
      </c>
      <c r="D1168">
        <f>'Grid_Requirement'!B16</f>
        <v/>
      </c>
      <c r="E1168">
        <f>'Grid_Requirement'!C16</f>
        <v/>
      </c>
      <c r="F1168">
        <f>'Grid_Requirement'!D16</f>
        <v/>
      </c>
      <c r="G1168">
        <f>'Grid_Requirement'!E16</f>
        <v/>
      </c>
      <c r="H1168">
        <f>'Grid_Requirement'!F16</f>
        <v/>
      </c>
      <c r="I1168">
        <f>'Grid_Requirement'!G16</f>
        <v/>
      </c>
      <c r="J1168">
        <f>'Grid_Requirement'!H16</f>
        <v/>
      </c>
      <c r="K1168">
        <f>'Grid_Requirement'!I16</f>
        <v/>
      </c>
      <c r="L1168">
        <f>'Grid_Requirement'!J16</f>
        <v/>
      </c>
      <c r="M1168">
        <f>'Grid_Requirement'!K16</f>
        <v/>
      </c>
      <c r="N1168">
        <f>'Grid_Requirement'!L16</f>
        <v/>
      </c>
      <c r="O1168">
        <f>'Grid_Requirement'!M16</f>
        <v/>
      </c>
      <c r="P1168">
        <f>'Grid_Requirement'!N16</f>
        <v/>
      </c>
      <c r="Q1168">
        <f>'Grid_Requirement'!O16</f>
        <v/>
      </c>
      <c r="R1168">
        <f>'Grid_Requirement'!P16</f>
        <v/>
      </c>
      <c r="S1168">
        <f>'Grid_Requirement'!Q16</f>
        <v/>
      </c>
      <c r="T1168">
        <f>'Grid_Requirement'!R16</f>
        <v/>
      </c>
      <c r="U1168">
        <f>'Grid_Requirement'!S16</f>
        <v/>
      </c>
      <c r="V1168">
        <f>'Grid_Requirement'!T16</f>
        <v/>
      </c>
      <c r="W1168">
        <f>'Grid_Requirement'!U16</f>
        <v/>
      </c>
      <c r="X1168">
        <f>'Grid_Requirement'!V16</f>
        <v/>
      </c>
      <c r="Y1168">
        <f>'Grid_Requirement'!W16</f>
        <v/>
      </c>
      <c r="Z1168">
        <f>'Grid_Requirement'!X16</f>
        <v/>
      </c>
      <c r="AA1168">
        <f>'Grid_Requirement'!Y16</f>
        <v/>
      </c>
      <c r="AB1168">
        <f>'Grid_Requirement'!Z16</f>
        <v/>
      </c>
      <c r="AC1168">
        <f>'Grid_Requirement'!AA16</f>
        <v/>
      </c>
      <c r="AD1168">
        <f>'Grid_Requirement'!AB16</f>
        <v/>
      </c>
      <c r="AE1168">
        <f>'Grid_Requirement'!AC16</f>
        <v/>
      </c>
      <c r="AF1168">
        <f>'Grid_Requirement'!AD16</f>
        <v/>
      </c>
      <c r="AG1168">
        <f>'Grid_Requirement'!AE16</f>
        <v/>
      </c>
      <c r="AH1168">
        <f>'Grid_Requirement'!AF16</f>
        <v/>
      </c>
      <c r="AI1168">
        <f>'Grid_Requirement'!AG16</f>
        <v/>
      </c>
      <c r="AJ1168">
        <f>'Grid_Requirement'!AH16</f>
        <v/>
      </c>
      <c r="AK1168">
        <f>'Grid_Requirement'!AI16</f>
        <v/>
      </c>
      <c r="AL1168">
        <f>'Grid_Requirement'!AJ16</f>
        <v/>
      </c>
      <c r="AM1168">
        <f>'Grid_Requirement'!AK16</f>
        <v/>
      </c>
      <c r="AN1168">
        <f>'Grid_Requirement'!AL16</f>
        <v/>
      </c>
      <c r="AO1168">
        <f>'Grid_Requirement'!AM16</f>
        <v/>
      </c>
      <c r="AP1168">
        <f>'Grid_Requirement'!AN16</f>
        <v/>
      </c>
      <c r="AQ1168">
        <f>'Grid_Requirement'!AO16</f>
        <v/>
      </c>
      <c r="AR1168">
        <f>'Grid_Requirement'!AP16</f>
        <v/>
      </c>
      <c r="AS1168">
        <f>'Grid_Requirement'!AQ16</f>
        <v/>
      </c>
      <c r="AT1168">
        <f>'Grid_Requirement'!AR16</f>
        <v/>
      </c>
      <c r="AU1168">
        <f>'Grid_Requirement'!AS16</f>
        <v/>
      </c>
      <c r="AV1168">
        <f>'Grid_Requirement'!AT16</f>
        <v/>
      </c>
      <c r="AW1168">
        <f>'Grid_Requirement'!AU16</f>
        <v/>
      </c>
      <c r="AX1168">
        <f>'Grid_Requirement'!AV16</f>
        <v/>
      </c>
      <c r="AY1168">
        <f>'Grid_Requirement'!AW16</f>
        <v/>
      </c>
      <c r="AZ1168">
        <f>'Grid_Requirement'!AX16</f>
        <v/>
      </c>
      <c r="BA1168">
        <f>'Grid_Requirement'!AY16</f>
        <v/>
      </c>
      <c r="BB1168">
        <f>'Grid_Requirement'!AZ16</f>
        <v/>
      </c>
      <c r="BC1168">
        <f>'Grid_Requirement'!BA16</f>
        <v/>
      </c>
      <c r="BD1168">
        <f>'Grid_Requirement'!BB16</f>
        <v/>
      </c>
      <c r="BE1168">
        <f>'Grid_Requirement'!BC16</f>
        <v/>
      </c>
      <c r="BF1168">
        <f>'Grid_Requirement'!BD16</f>
        <v/>
      </c>
      <c r="BG1168">
        <f>'Grid_Requirement'!BE16</f>
        <v/>
      </c>
      <c r="BH1168">
        <f>'Grid_Requirement'!BF16</f>
        <v/>
      </c>
      <c r="BI1168">
        <f>'Grid_Requirement'!BG16</f>
        <v/>
      </c>
      <c r="BJ1168">
        <f>'Grid_Requirement'!BH16</f>
        <v/>
      </c>
      <c r="BK1168">
        <f>'Grid_Requirement'!BI16</f>
        <v/>
      </c>
      <c r="BL1168">
        <f>'Grid_Requirement'!BJ16</f>
        <v/>
      </c>
      <c r="BM1168">
        <f>'Grid_Requirement'!BK16</f>
        <v/>
      </c>
      <c r="BN1168">
        <f>'Grid_Requirement'!BL16</f>
        <v/>
      </c>
      <c r="BO1168">
        <f>'Grid_Requirement'!BM16</f>
        <v/>
      </c>
      <c r="BP1168">
        <f>'Grid_Requirement'!BN16</f>
        <v/>
      </c>
      <c r="BQ1168">
        <f>'Grid_Requirement'!BO16</f>
        <v/>
      </c>
      <c r="BR1168">
        <f>'Grid_Requirement'!BP16</f>
        <v/>
      </c>
      <c r="BS1168">
        <f>'Grid_Requirement'!BQ16</f>
        <v/>
      </c>
      <c r="BT1168">
        <f>'Grid_Requirement'!BR16</f>
        <v/>
      </c>
      <c r="BU1168">
        <f>'Grid_Requirement'!BS16</f>
        <v/>
      </c>
      <c r="BV1168">
        <f>'Grid_Requirement'!BT16</f>
        <v/>
      </c>
      <c r="BW1168">
        <f>'Grid_Requirement'!BU16</f>
        <v/>
      </c>
      <c r="BX1168">
        <f>'Grid_Requirement'!BV16</f>
        <v/>
      </c>
      <c r="BY1168">
        <f>'Grid_Requirement'!BW16</f>
        <v/>
      </c>
      <c r="BZ1168">
        <f>'Grid_Requirement'!BX16</f>
        <v/>
      </c>
      <c r="CA1168">
        <f>'Grid_Requirement'!BY16</f>
        <v/>
      </c>
      <c r="CB1168">
        <f>'Grid_Requirement'!BZ16</f>
        <v/>
      </c>
      <c r="CC1168">
        <f>'Grid_Requirement'!CA16</f>
        <v/>
      </c>
      <c r="CD1168">
        <f>'Grid_Requirement'!CB16</f>
        <v/>
      </c>
      <c r="CE1168">
        <f>'Grid_Requirement'!CC16</f>
        <v/>
      </c>
      <c r="CF1168">
        <f>'Grid_Requirement'!CD16</f>
        <v/>
      </c>
      <c r="CG1168">
        <f>'Grid_Requirement'!CE16</f>
        <v/>
      </c>
      <c r="CH1168">
        <f>'Grid_Requirement'!CF16</f>
        <v/>
      </c>
      <c r="CI1168">
        <f>'Grid_Requirement'!CG16</f>
        <v/>
      </c>
      <c r="CJ1168">
        <f>'Grid_Requirement'!CH16</f>
        <v/>
      </c>
      <c r="CK1168">
        <f>'Grid_Requirement'!CI16</f>
        <v/>
      </c>
      <c r="CL1168">
        <f>'Grid_Requirement'!CJ16</f>
        <v/>
      </c>
      <c r="CM1168">
        <f>'Grid_Requirement'!CK16</f>
        <v/>
      </c>
      <c r="CN1168">
        <f>'Grid_Requirement'!CL16</f>
        <v/>
      </c>
      <c r="CO1168">
        <f>'Grid_Requirement'!CM16</f>
        <v/>
      </c>
      <c r="CP1168">
        <f>'Grid_Requirement'!CN16</f>
        <v/>
      </c>
      <c r="CQ1168">
        <f>'Grid_Requirement'!CO16</f>
        <v/>
      </c>
      <c r="CR1168">
        <f>'Grid_Requirement'!CP16</f>
        <v/>
      </c>
      <c r="CS1168">
        <f>'Grid_Requirement'!CQ16</f>
        <v/>
      </c>
      <c r="CT1168">
        <f>'Grid_Requirement'!CR16</f>
        <v/>
      </c>
      <c r="CU1168">
        <f>'Grid_Requirement'!CS16</f>
        <v/>
      </c>
      <c r="CV1168">
        <f>'Grid_Requirement'!CT16</f>
        <v/>
      </c>
      <c r="CW1168">
        <f>'Grid_Requirement'!CU16</f>
        <v/>
      </c>
      <c r="CX1168">
        <f>'Grid_Requirement'!CV16</f>
        <v/>
      </c>
      <c r="CY1168">
        <f>'Grid_Requirement'!CW16</f>
        <v/>
      </c>
      <c r="CZ1168">
        <f>'Grid_Requirement'!CX16</f>
        <v/>
      </c>
      <c r="DA1168">
        <f>'Grid_Requirement'!CY16</f>
        <v/>
      </c>
      <c r="DB1168">
        <f>'Grid_Requirement'!CZ16</f>
        <v/>
      </c>
      <c r="DC1168">
        <f>'Grid_Requirement'!DA16</f>
        <v/>
      </c>
    </row>
    <row r="1169">
      <c r="B1169" t="inlineStr">
        <is>
          <t>TTAF在庫(実績,kg)</t>
        </is>
      </c>
      <c r="D1169">
        <f>'T_TTAFStock'!B20</f>
        <v/>
      </c>
      <c r="E1169">
        <f>'T_TTAFStock'!C20</f>
        <v/>
      </c>
      <c r="F1169">
        <f>'T_TTAFStock'!D20</f>
        <v/>
      </c>
      <c r="G1169">
        <f>'T_TTAFStock'!E20</f>
        <v/>
      </c>
      <c r="H1169">
        <f>'T_TTAFStock'!F20</f>
        <v/>
      </c>
      <c r="I1169">
        <f>'T_TTAFStock'!G20</f>
        <v/>
      </c>
      <c r="J1169">
        <f>'T_TTAFStock'!H20</f>
        <v/>
      </c>
      <c r="K1169">
        <f>'T_TTAFStock'!I20</f>
        <v/>
      </c>
      <c r="L1169">
        <f>'T_TTAFStock'!J20</f>
        <v/>
      </c>
      <c r="M1169">
        <f>'T_TTAFStock'!K20</f>
        <v/>
      </c>
      <c r="N1169">
        <f>'T_TTAFStock'!L20</f>
        <v/>
      </c>
      <c r="O1169">
        <f>'T_TTAFStock'!M20</f>
        <v/>
      </c>
      <c r="P1169">
        <f>'T_TTAFStock'!N20</f>
        <v/>
      </c>
      <c r="Q1169">
        <f>'T_TTAFStock'!O20</f>
        <v/>
      </c>
      <c r="R1169">
        <f>'T_TTAFStock'!P20</f>
        <v/>
      </c>
      <c r="S1169">
        <f>'T_TTAFStock'!Q20</f>
        <v/>
      </c>
      <c r="T1169">
        <f>'T_TTAFStock'!R20</f>
        <v/>
      </c>
      <c r="U1169">
        <f>'T_TTAFStock'!S20</f>
        <v/>
      </c>
      <c r="V1169">
        <f>'T_TTAFStock'!T20</f>
        <v/>
      </c>
      <c r="W1169">
        <f>'T_TTAFStock'!U20</f>
        <v/>
      </c>
      <c r="X1169">
        <f>'T_TTAFStock'!V20</f>
        <v/>
      </c>
      <c r="Y1169">
        <f>'T_TTAFStock'!W20</f>
        <v/>
      </c>
      <c r="Z1169">
        <f>'T_TTAFStock'!X20</f>
        <v/>
      </c>
      <c r="AA1169">
        <f>'T_TTAFStock'!Y20</f>
        <v/>
      </c>
      <c r="AB1169">
        <f>'T_TTAFStock'!Z20</f>
        <v/>
      </c>
      <c r="AC1169">
        <f>'T_TTAFStock'!AA20</f>
        <v/>
      </c>
      <c r="AD1169">
        <f>'T_TTAFStock'!AB20</f>
        <v/>
      </c>
      <c r="AE1169">
        <f>'T_TTAFStock'!AC20</f>
        <v/>
      </c>
      <c r="AF1169">
        <f>'T_TTAFStock'!AD20</f>
        <v/>
      </c>
      <c r="AG1169">
        <f>'T_TTAFStock'!AE20</f>
        <v/>
      </c>
      <c r="AH1169">
        <f>'T_TTAFStock'!AF20</f>
        <v/>
      </c>
      <c r="AI1169">
        <f>'T_TTAFStock'!AG20</f>
        <v/>
      </c>
      <c r="AJ1169">
        <f>'T_TTAFStock'!AH20</f>
        <v/>
      </c>
      <c r="AK1169">
        <f>'T_TTAFStock'!AI20</f>
        <v/>
      </c>
      <c r="AL1169">
        <f>'T_TTAFStock'!AJ20</f>
        <v/>
      </c>
      <c r="AM1169">
        <f>'T_TTAFStock'!AK20</f>
        <v/>
      </c>
      <c r="AN1169">
        <f>'T_TTAFStock'!AL20</f>
        <v/>
      </c>
      <c r="AO1169">
        <f>'T_TTAFStock'!AM20</f>
        <v/>
      </c>
      <c r="AP1169">
        <f>'T_TTAFStock'!AN20</f>
        <v/>
      </c>
      <c r="AQ1169">
        <f>'T_TTAFStock'!AO20</f>
        <v/>
      </c>
      <c r="AR1169">
        <f>'T_TTAFStock'!AP20</f>
        <v/>
      </c>
      <c r="AS1169">
        <f>'T_TTAFStock'!AQ20</f>
        <v/>
      </c>
      <c r="AT1169">
        <f>'T_TTAFStock'!AR20</f>
        <v/>
      </c>
      <c r="AU1169">
        <f>'T_TTAFStock'!AS20</f>
        <v/>
      </c>
      <c r="AV1169">
        <f>'T_TTAFStock'!AT20</f>
        <v/>
      </c>
      <c r="AW1169">
        <f>'T_TTAFStock'!AU20</f>
        <v/>
      </c>
      <c r="AX1169">
        <f>'T_TTAFStock'!AV20</f>
        <v/>
      </c>
      <c r="AY1169">
        <f>'T_TTAFStock'!AW20</f>
        <v/>
      </c>
      <c r="AZ1169">
        <f>'T_TTAFStock'!AX20</f>
        <v/>
      </c>
      <c r="BA1169">
        <f>'T_TTAFStock'!AY20</f>
        <v/>
      </c>
      <c r="BB1169">
        <f>'T_TTAFStock'!AZ20</f>
        <v/>
      </c>
      <c r="BC1169">
        <f>'T_TTAFStock'!BA20</f>
        <v/>
      </c>
      <c r="BD1169">
        <f>'T_TTAFStock'!BB20</f>
        <v/>
      </c>
      <c r="BE1169">
        <f>'T_TTAFStock'!BC20</f>
        <v/>
      </c>
      <c r="BF1169">
        <f>'T_TTAFStock'!BD20</f>
        <v/>
      </c>
      <c r="BG1169">
        <f>'T_TTAFStock'!BE20</f>
        <v/>
      </c>
      <c r="BH1169">
        <f>'T_TTAFStock'!BF20</f>
        <v/>
      </c>
      <c r="BI1169">
        <f>'T_TTAFStock'!BG20</f>
        <v/>
      </c>
      <c r="BJ1169">
        <f>'T_TTAFStock'!BH20</f>
        <v/>
      </c>
      <c r="BK1169">
        <f>'T_TTAFStock'!BI20</f>
        <v/>
      </c>
      <c r="BL1169">
        <f>'T_TTAFStock'!BJ20</f>
        <v/>
      </c>
      <c r="BM1169">
        <f>'T_TTAFStock'!BK20</f>
        <v/>
      </c>
      <c r="BN1169">
        <f>'T_TTAFStock'!BL20</f>
        <v/>
      </c>
      <c r="BO1169">
        <f>'T_TTAFStock'!BM20</f>
        <v/>
      </c>
      <c r="BP1169">
        <f>'T_TTAFStock'!BN20</f>
        <v/>
      </c>
      <c r="BQ1169">
        <f>'T_TTAFStock'!BO20</f>
        <v/>
      </c>
      <c r="BR1169">
        <f>'T_TTAFStock'!BP20</f>
        <v/>
      </c>
      <c r="BS1169">
        <f>'T_TTAFStock'!BQ20</f>
        <v/>
      </c>
      <c r="BT1169">
        <f>'T_TTAFStock'!BR20</f>
        <v/>
      </c>
      <c r="BU1169">
        <f>'T_TTAFStock'!BS20</f>
        <v/>
      </c>
      <c r="BV1169">
        <f>'T_TTAFStock'!BT20</f>
        <v/>
      </c>
      <c r="BW1169">
        <f>'T_TTAFStock'!BU20</f>
        <v/>
      </c>
      <c r="BX1169">
        <f>'T_TTAFStock'!BV20</f>
        <v/>
      </c>
      <c r="BY1169">
        <f>'T_TTAFStock'!BW20</f>
        <v/>
      </c>
      <c r="BZ1169">
        <f>'T_TTAFStock'!BX20</f>
        <v/>
      </c>
      <c r="CA1169">
        <f>'T_TTAFStock'!BY20</f>
        <v/>
      </c>
      <c r="CB1169">
        <f>'T_TTAFStock'!BZ20</f>
        <v/>
      </c>
      <c r="CC1169">
        <f>'T_TTAFStock'!CA20</f>
        <v/>
      </c>
      <c r="CD1169">
        <f>'T_TTAFStock'!CB20</f>
        <v/>
      </c>
      <c r="CE1169">
        <f>'T_TTAFStock'!CC20</f>
        <v/>
      </c>
      <c r="CF1169">
        <f>'T_TTAFStock'!CD20</f>
        <v/>
      </c>
      <c r="CG1169">
        <f>'T_TTAFStock'!CE20</f>
        <v/>
      </c>
      <c r="CH1169">
        <f>'T_TTAFStock'!CF20</f>
        <v/>
      </c>
      <c r="CI1169">
        <f>'T_TTAFStock'!CG20</f>
        <v/>
      </c>
      <c r="CJ1169">
        <f>'T_TTAFStock'!CH20</f>
        <v/>
      </c>
      <c r="CK1169">
        <f>'T_TTAFStock'!CI20</f>
        <v/>
      </c>
      <c r="CL1169">
        <f>'T_TTAFStock'!CJ20</f>
        <v/>
      </c>
      <c r="CM1169">
        <f>'T_TTAFStock'!CK20</f>
        <v/>
      </c>
      <c r="CN1169">
        <f>'T_TTAFStock'!CL20</f>
        <v/>
      </c>
      <c r="CO1169">
        <f>'T_TTAFStock'!CM20</f>
        <v/>
      </c>
      <c r="CP1169">
        <f>'T_TTAFStock'!CN20</f>
        <v/>
      </c>
      <c r="CQ1169">
        <f>'T_TTAFStock'!CO20</f>
        <v/>
      </c>
      <c r="CR1169">
        <f>'T_TTAFStock'!CP20</f>
        <v/>
      </c>
      <c r="CS1169">
        <f>'T_TTAFStock'!CQ20</f>
        <v/>
      </c>
      <c r="CT1169">
        <f>'T_TTAFStock'!CR20</f>
        <v/>
      </c>
      <c r="CU1169">
        <f>'T_TTAFStock'!CS20</f>
        <v/>
      </c>
      <c r="CV1169">
        <f>'T_TTAFStock'!CT20</f>
        <v/>
      </c>
      <c r="CW1169">
        <f>'T_TTAFStock'!CU20</f>
        <v/>
      </c>
      <c r="CX1169">
        <f>'T_TTAFStock'!CV20</f>
        <v/>
      </c>
      <c r="CY1169">
        <f>'T_TTAFStock'!CW20</f>
        <v/>
      </c>
      <c r="CZ1169">
        <f>'T_TTAFStock'!CX20</f>
        <v/>
      </c>
      <c r="DA1169">
        <f>'T_TTAFStock'!CY20</f>
        <v/>
      </c>
      <c r="DB1169">
        <f>'T_TTAFStock'!CZ20</f>
        <v/>
      </c>
      <c r="DC1169">
        <f>'T_TTAFStock'!DA20</f>
        <v/>
      </c>
    </row>
    <row r="1170">
      <c r="B1170" t="inlineStr">
        <is>
          <t>自社在庫(実績,kg)</t>
        </is>
      </c>
      <c r="D1170">
        <f>'T_SelfStock'!B20</f>
        <v/>
      </c>
      <c r="E1170">
        <f>'T_SelfStock'!C20</f>
        <v/>
      </c>
      <c r="F1170">
        <f>'T_SelfStock'!D20</f>
        <v/>
      </c>
      <c r="G1170">
        <f>'T_SelfStock'!E20</f>
        <v/>
      </c>
      <c r="H1170">
        <f>'T_SelfStock'!F20</f>
        <v/>
      </c>
      <c r="I1170">
        <f>'T_SelfStock'!G20</f>
        <v/>
      </c>
      <c r="J1170">
        <f>'T_SelfStock'!H20</f>
        <v/>
      </c>
      <c r="K1170">
        <f>'T_SelfStock'!I20</f>
        <v/>
      </c>
      <c r="L1170">
        <f>'T_SelfStock'!J20</f>
        <v/>
      </c>
      <c r="M1170">
        <f>'T_SelfStock'!K20</f>
        <v/>
      </c>
      <c r="N1170">
        <f>'T_SelfStock'!L20</f>
        <v/>
      </c>
      <c r="O1170">
        <f>'T_SelfStock'!M20</f>
        <v/>
      </c>
      <c r="P1170">
        <f>'T_SelfStock'!N20</f>
        <v/>
      </c>
      <c r="Q1170">
        <f>'T_SelfStock'!O20</f>
        <v/>
      </c>
      <c r="R1170">
        <f>'T_SelfStock'!P20</f>
        <v/>
      </c>
      <c r="S1170">
        <f>'T_SelfStock'!Q20</f>
        <v/>
      </c>
      <c r="T1170">
        <f>'T_SelfStock'!R20</f>
        <v/>
      </c>
      <c r="U1170">
        <f>'T_SelfStock'!S20</f>
        <v/>
      </c>
      <c r="V1170">
        <f>'T_SelfStock'!T20</f>
        <v/>
      </c>
      <c r="W1170">
        <f>'T_SelfStock'!U20</f>
        <v/>
      </c>
      <c r="X1170">
        <f>'T_SelfStock'!V20</f>
        <v/>
      </c>
      <c r="Y1170">
        <f>'T_SelfStock'!W20</f>
        <v/>
      </c>
      <c r="Z1170">
        <f>'T_SelfStock'!X20</f>
        <v/>
      </c>
      <c r="AA1170">
        <f>'T_SelfStock'!Y20</f>
        <v/>
      </c>
      <c r="AB1170">
        <f>'T_SelfStock'!Z20</f>
        <v/>
      </c>
      <c r="AC1170">
        <f>'T_SelfStock'!AA20</f>
        <v/>
      </c>
      <c r="AD1170">
        <f>'T_SelfStock'!AB20</f>
        <v/>
      </c>
      <c r="AE1170">
        <f>'T_SelfStock'!AC20</f>
        <v/>
      </c>
      <c r="AF1170">
        <f>'T_SelfStock'!AD20</f>
        <v/>
      </c>
      <c r="AG1170">
        <f>'T_SelfStock'!AE20</f>
        <v/>
      </c>
      <c r="AH1170">
        <f>'T_SelfStock'!AF20</f>
        <v/>
      </c>
      <c r="AI1170">
        <f>'T_SelfStock'!AG20</f>
        <v/>
      </c>
      <c r="AJ1170">
        <f>'T_SelfStock'!AH20</f>
        <v/>
      </c>
      <c r="AK1170">
        <f>'T_SelfStock'!AI20</f>
        <v/>
      </c>
      <c r="AL1170">
        <f>'T_SelfStock'!AJ20</f>
        <v/>
      </c>
      <c r="AM1170">
        <f>'T_SelfStock'!AK20</f>
        <v/>
      </c>
      <c r="AN1170">
        <f>'T_SelfStock'!AL20</f>
        <v/>
      </c>
      <c r="AO1170">
        <f>'T_SelfStock'!AM20</f>
        <v/>
      </c>
      <c r="AP1170">
        <f>'T_SelfStock'!AN20</f>
        <v/>
      </c>
      <c r="AQ1170">
        <f>'T_SelfStock'!AO20</f>
        <v/>
      </c>
      <c r="AR1170">
        <f>'T_SelfStock'!AP20</f>
        <v/>
      </c>
      <c r="AS1170">
        <f>'T_SelfStock'!AQ20</f>
        <v/>
      </c>
      <c r="AT1170">
        <f>'T_SelfStock'!AR20</f>
        <v/>
      </c>
      <c r="AU1170">
        <f>'T_SelfStock'!AS20</f>
        <v/>
      </c>
      <c r="AV1170">
        <f>'T_SelfStock'!AT20</f>
        <v/>
      </c>
      <c r="AW1170">
        <f>'T_SelfStock'!AU20</f>
        <v/>
      </c>
      <c r="AX1170">
        <f>'T_SelfStock'!AV20</f>
        <v/>
      </c>
      <c r="AY1170">
        <f>'T_SelfStock'!AW20</f>
        <v/>
      </c>
      <c r="AZ1170">
        <f>'T_SelfStock'!AX20</f>
        <v/>
      </c>
      <c r="BA1170">
        <f>'T_SelfStock'!AY20</f>
        <v/>
      </c>
      <c r="BB1170">
        <f>'T_SelfStock'!AZ20</f>
        <v/>
      </c>
      <c r="BC1170">
        <f>'T_SelfStock'!BA20</f>
        <v/>
      </c>
      <c r="BD1170">
        <f>'T_SelfStock'!BB20</f>
        <v/>
      </c>
      <c r="BE1170">
        <f>'T_SelfStock'!BC20</f>
        <v/>
      </c>
      <c r="BF1170">
        <f>'T_SelfStock'!BD20</f>
        <v/>
      </c>
      <c r="BG1170">
        <f>'T_SelfStock'!BE20</f>
        <v/>
      </c>
      <c r="BH1170">
        <f>'T_SelfStock'!BF20</f>
        <v/>
      </c>
      <c r="BI1170">
        <f>'T_SelfStock'!BG20</f>
        <v/>
      </c>
      <c r="BJ1170">
        <f>'T_SelfStock'!BH20</f>
        <v/>
      </c>
      <c r="BK1170">
        <f>'T_SelfStock'!BI20</f>
        <v/>
      </c>
      <c r="BL1170">
        <f>'T_SelfStock'!BJ20</f>
        <v/>
      </c>
      <c r="BM1170">
        <f>'T_SelfStock'!BK20</f>
        <v/>
      </c>
      <c r="BN1170">
        <f>'T_SelfStock'!BL20</f>
        <v/>
      </c>
      <c r="BO1170">
        <f>'T_SelfStock'!BM20</f>
        <v/>
      </c>
      <c r="BP1170">
        <f>'T_SelfStock'!BN20</f>
        <v/>
      </c>
      <c r="BQ1170">
        <f>'T_SelfStock'!BO20</f>
        <v/>
      </c>
      <c r="BR1170">
        <f>'T_SelfStock'!BP20</f>
        <v/>
      </c>
      <c r="BS1170">
        <f>'T_SelfStock'!BQ20</f>
        <v/>
      </c>
      <c r="BT1170">
        <f>'T_SelfStock'!BR20</f>
        <v/>
      </c>
      <c r="BU1170">
        <f>'T_SelfStock'!BS20</f>
        <v/>
      </c>
      <c r="BV1170">
        <f>'T_SelfStock'!BT20</f>
        <v/>
      </c>
      <c r="BW1170">
        <f>'T_SelfStock'!BU20</f>
        <v/>
      </c>
      <c r="BX1170">
        <f>'T_SelfStock'!BV20</f>
        <v/>
      </c>
      <c r="BY1170">
        <f>'T_SelfStock'!BW20</f>
        <v/>
      </c>
      <c r="BZ1170">
        <f>'T_SelfStock'!BX20</f>
        <v/>
      </c>
      <c r="CA1170">
        <f>'T_SelfStock'!BY20</f>
        <v/>
      </c>
      <c r="CB1170">
        <f>'T_SelfStock'!BZ20</f>
        <v/>
      </c>
      <c r="CC1170">
        <f>'T_SelfStock'!CA20</f>
        <v/>
      </c>
      <c r="CD1170">
        <f>'T_SelfStock'!CB20</f>
        <v/>
      </c>
      <c r="CE1170">
        <f>'T_SelfStock'!CC20</f>
        <v/>
      </c>
      <c r="CF1170">
        <f>'T_SelfStock'!CD20</f>
        <v/>
      </c>
      <c r="CG1170">
        <f>'T_SelfStock'!CE20</f>
        <v/>
      </c>
      <c r="CH1170">
        <f>'T_SelfStock'!CF20</f>
        <v/>
      </c>
      <c r="CI1170">
        <f>'T_SelfStock'!CG20</f>
        <v/>
      </c>
      <c r="CJ1170">
        <f>'T_SelfStock'!CH20</f>
        <v/>
      </c>
      <c r="CK1170">
        <f>'T_SelfStock'!CI20</f>
        <v/>
      </c>
      <c r="CL1170">
        <f>'T_SelfStock'!CJ20</f>
        <v/>
      </c>
      <c r="CM1170">
        <f>'T_SelfStock'!CK20</f>
        <v/>
      </c>
      <c r="CN1170">
        <f>'T_SelfStock'!CL20</f>
        <v/>
      </c>
      <c r="CO1170">
        <f>'T_SelfStock'!CM20</f>
        <v/>
      </c>
      <c r="CP1170">
        <f>'T_SelfStock'!CN20</f>
        <v/>
      </c>
      <c r="CQ1170">
        <f>'T_SelfStock'!CO20</f>
        <v/>
      </c>
      <c r="CR1170">
        <f>'T_SelfStock'!CP20</f>
        <v/>
      </c>
      <c r="CS1170">
        <f>'T_SelfStock'!CQ20</f>
        <v/>
      </c>
      <c r="CT1170">
        <f>'T_SelfStock'!CR20</f>
        <v/>
      </c>
      <c r="CU1170">
        <f>'T_SelfStock'!CS20</f>
        <v/>
      </c>
      <c r="CV1170">
        <f>'T_SelfStock'!CT20</f>
        <v/>
      </c>
      <c r="CW1170">
        <f>'T_SelfStock'!CU20</f>
        <v/>
      </c>
      <c r="CX1170">
        <f>'T_SelfStock'!CV20</f>
        <v/>
      </c>
      <c r="CY1170">
        <f>'T_SelfStock'!CW20</f>
        <v/>
      </c>
      <c r="CZ1170">
        <f>'T_SelfStock'!CX20</f>
        <v/>
      </c>
      <c r="DA1170">
        <f>'T_SelfStock'!CY20</f>
        <v/>
      </c>
      <c r="DB1170">
        <f>'T_SelfStock'!CZ20</f>
        <v/>
      </c>
      <c r="DC1170">
        <f>'T_SelfStock'!DA20</f>
        <v/>
      </c>
    </row>
    <row r="1171">
      <c r="B1171" t="inlineStr">
        <is>
          <t>Order(発注予定,kg)</t>
        </is>
      </c>
      <c r="D1171">
        <f>IF(SUMIFS(T_PlannedOrders[EffectiveQty],T_PlannedOrders[Part Name],$A1131,T_PlannedOrders[WeekIndex],1)=0,"",SUMIFS(T_PlannedOrders[EffectiveQty],T_PlannedOrders[Part Name],$A1131,T_PlannedOrders[WeekIndex],1)&amp;" ("&amp;TEXT(SUMPRODUCT(MAX((T_PlannedOrders[Part Name]=$A1131)*(T_PlannedOrders[WeekIndex]=1)*(T_PlannedOrders[EffectiveQty]&gt;0)*T_PlannedOrders[Order_Month])),"m月")&amp;"発注)")</f>
        <v/>
      </c>
      <c r="E1171">
        <f>IF(SUMIFS(T_PlannedOrders[EffectiveQty],T_PlannedOrders[Part Name],$A1131,T_PlannedOrders[WeekIndex],2)=0,"",SUMIFS(T_PlannedOrders[EffectiveQty],T_PlannedOrders[Part Name],$A1131,T_PlannedOrders[WeekIndex],2)&amp;" ("&amp;TEXT(SUMPRODUCT(MAX((T_PlannedOrders[Part Name]=$A1131)*(T_PlannedOrders[WeekIndex]=2)*(T_PlannedOrders[EffectiveQty]&gt;0)*T_PlannedOrders[Order_Month])),"m月")&amp;"発注)")</f>
        <v/>
      </c>
      <c r="F1171">
        <f>IF(SUMIFS(T_PlannedOrders[EffectiveQty],T_PlannedOrders[Part Name],$A1131,T_PlannedOrders[WeekIndex],3)=0,"",SUMIFS(T_PlannedOrders[EffectiveQty],T_PlannedOrders[Part Name],$A1131,T_PlannedOrders[WeekIndex],3)&amp;" ("&amp;TEXT(SUMPRODUCT(MAX((T_PlannedOrders[Part Name]=$A1131)*(T_PlannedOrders[WeekIndex]=3)*(T_PlannedOrders[EffectiveQty]&gt;0)*T_PlannedOrders[Order_Month])),"m月")&amp;"発注)")</f>
        <v/>
      </c>
      <c r="G1171">
        <f>IF(SUMIFS(T_PlannedOrders[EffectiveQty],T_PlannedOrders[Part Name],$A1131,T_PlannedOrders[WeekIndex],4)=0,"",SUMIFS(T_PlannedOrders[EffectiveQty],T_PlannedOrders[Part Name],$A1131,T_PlannedOrders[WeekIndex],4)&amp;" ("&amp;TEXT(SUMPRODUCT(MAX((T_PlannedOrders[Part Name]=$A1131)*(T_PlannedOrders[WeekIndex]=4)*(T_PlannedOrders[EffectiveQty]&gt;0)*T_PlannedOrders[Order_Month])),"m月")&amp;"発注)")</f>
        <v/>
      </c>
      <c r="H1171">
        <f>IF(SUMIFS(T_PlannedOrders[EffectiveQty],T_PlannedOrders[Part Name],$A1131,T_PlannedOrders[WeekIndex],5)=0,"",SUMIFS(T_PlannedOrders[EffectiveQty],T_PlannedOrders[Part Name],$A1131,T_PlannedOrders[WeekIndex],5)&amp;" ("&amp;TEXT(SUMPRODUCT(MAX((T_PlannedOrders[Part Name]=$A1131)*(T_PlannedOrders[WeekIndex]=5)*(T_PlannedOrders[EffectiveQty]&gt;0)*T_PlannedOrders[Order_Month])),"m月")&amp;"発注)")</f>
        <v/>
      </c>
      <c r="I1171">
        <f>IF(SUMIFS(T_PlannedOrders[EffectiveQty],T_PlannedOrders[Part Name],$A1131,T_PlannedOrders[WeekIndex],6)=0,"",SUMIFS(T_PlannedOrders[EffectiveQty],T_PlannedOrders[Part Name],$A1131,T_PlannedOrders[WeekIndex],6)&amp;" ("&amp;TEXT(SUMPRODUCT(MAX((T_PlannedOrders[Part Name]=$A1131)*(T_PlannedOrders[WeekIndex]=6)*(T_PlannedOrders[EffectiveQty]&gt;0)*T_PlannedOrders[Order_Month])),"m月")&amp;"発注)")</f>
        <v/>
      </c>
      <c r="J1171">
        <f>IF(SUMIFS(T_PlannedOrders[EffectiveQty],T_PlannedOrders[Part Name],$A1131,T_PlannedOrders[WeekIndex],7)=0,"",SUMIFS(T_PlannedOrders[EffectiveQty],T_PlannedOrders[Part Name],$A1131,T_PlannedOrders[WeekIndex],7)&amp;" ("&amp;TEXT(SUMPRODUCT(MAX((T_PlannedOrders[Part Name]=$A1131)*(T_PlannedOrders[WeekIndex]=7)*(T_PlannedOrders[EffectiveQty]&gt;0)*T_PlannedOrders[Order_Month])),"m月")&amp;"発注)")</f>
        <v/>
      </c>
      <c r="K1171">
        <f>IF(SUMIFS(T_PlannedOrders[EffectiveQty],T_PlannedOrders[Part Name],$A1131,T_PlannedOrders[WeekIndex],8)=0,"",SUMIFS(T_PlannedOrders[EffectiveQty],T_PlannedOrders[Part Name],$A1131,T_PlannedOrders[WeekIndex],8)&amp;" ("&amp;TEXT(SUMPRODUCT(MAX((T_PlannedOrders[Part Name]=$A1131)*(T_PlannedOrders[WeekIndex]=8)*(T_PlannedOrders[EffectiveQty]&gt;0)*T_PlannedOrders[Order_Month])),"m月")&amp;"発注)")</f>
        <v/>
      </c>
      <c r="L1171">
        <f>IF(SUMIFS(T_PlannedOrders[EffectiveQty],T_PlannedOrders[Part Name],$A1131,T_PlannedOrders[WeekIndex],9)=0,"",SUMIFS(T_PlannedOrders[EffectiveQty],T_PlannedOrders[Part Name],$A1131,T_PlannedOrders[WeekIndex],9)&amp;" ("&amp;TEXT(SUMPRODUCT(MAX((T_PlannedOrders[Part Name]=$A1131)*(T_PlannedOrders[WeekIndex]=9)*(T_PlannedOrders[EffectiveQty]&gt;0)*T_PlannedOrders[Order_Month])),"m月")&amp;"発注)")</f>
        <v/>
      </c>
      <c r="M1171">
        <f>IF(SUMIFS(T_PlannedOrders[EffectiveQty],T_PlannedOrders[Part Name],$A1131,T_PlannedOrders[WeekIndex],10)=0,"",SUMIFS(T_PlannedOrders[EffectiveQty],T_PlannedOrders[Part Name],$A1131,T_PlannedOrders[WeekIndex],10)&amp;" ("&amp;TEXT(SUMPRODUCT(MAX((T_PlannedOrders[Part Name]=$A1131)*(T_PlannedOrders[WeekIndex]=10)*(T_PlannedOrders[EffectiveQty]&gt;0)*T_PlannedOrders[Order_Month])),"m月")&amp;"発注)")</f>
        <v/>
      </c>
      <c r="N1171">
        <f>IF(SUMIFS(T_PlannedOrders[EffectiveQty],T_PlannedOrders[Part Name],$A1131,T_PlannedOrders[WeekIndex],11)=0,"",SUMIFS(T_PlannedOrders[EffectiveQty],T_PlannedOrders[Part Name],$A1131,T_PlannedOrders[WeekIndex],11)&amp;" ("&amp;TEXT(SUMPRODUCT(MAX((T_PlannedOrders[Part Name]=$A1131)*(T_PlannedOrders[WeekIndex]=11)*(T_PlannedOrders[EffectiveQty]&gt;0)*T_PlannedOrders[Order_Month])),"m月")&amp;"発注)")</f>
        <v/>
      </c>
      <c r="O1171">
        <f>IF(SUMIFS(T_PlannedOrders[EffectiveQty],T_PlannedOrders[Part Name],$A1131,T_PlannedOrders[WeekIndex],12)=0,"",SUMIFS(T_PlannedOrders[EffectiveQty],T_PlannedOrders[Part Name],$A1131,T_PlannedOrders[WeekIndex],12)&amp;" ("&amp;TEXT(SUMPRODUCT(MAX((T_PlannedOrders[Part Name]=$A1131)*(T_PlannedOrders[WeekIndex]=12)*(T_PlannedOrders[EffectiveQty]&gt;0)*T_PlannedOrders[Order_Month])),"m月")&amp;"発注)")</f>
        <v/>
      </c>
      <c r="P1171">
        <f>IF(SUMIFS(T_PlannedOrders[EffectiveQty],T_PlannedOrders[Part Name],$A1131,T_PlannedOrders[WeekIndex],13)=0,"",SUMIFS(T_PlannedOrders[EffectiveQty],T_PlannedOrders[Part Name],$A1131,T_PlannedOrders[WeekIndex],13)&amp;" ("&amp;TEXT(SUMPRODUCT(MAX((T_PlannedOrders[Part Name]=$A1131)*(T_PlannedOrders[WeekIndex]=13)*(T_PlannedOrders[EffectiveQty]&gt;0)*T_PlannedOrders[Order_Month])),"m月")&amp;"発注)")</f>
        <v/>
      </c>
      <c r="Q1171">
        <f>IF(SUMIFS(T_PlannedOrders[EffectiveQty],T_PlannedOrders[Part Name],$A1131,T_PlannedOrders[WeekIndex],14)=0,"",SUMIFS(T_PlannedOrders[EffectiveQty],T_PlannedOrders[Part Name],$A1131,T_PlannedOrders[WeekIndex],14)&amp;" ("&amp;TEXT(SUMPRODUCT(MAX((T_PlannedOrders[Part Name]=$A1131)*(T_PlannedOrders[WeekIndex]=14)*(T_PlannedOrders[EffectiveQty]&gt;0)*T_PlannedOrders[Order_Month])),"m月")&amp;"発注)")</f>
        <v/>
      </c>
      <c r="R1171">
        <f>IF(SUMIFS(T_PlannedOrders[EffectiveQty],T_PlannedOrders[Part Name],$A1131,T_PlannedOrders[WeekIndex],15)=0,"",SUMIFS(T_PlannedOrders[EffectiveQty],T_PlannedOrders[Part Name],$A1131,T_PlannedOrders[WeekIndex],15)&amp;" ("&amp;TEXT(SUMPRODUCT(MAX((T_PlannedOrders[Part Name]=$A1131)*(T_PlannedOrders[WeekIndex]=15)*(T_PlannedOrders[EffectiveQty]&gt;0)*T_PlannedOrders[Order_Month])),"m月")&amp;"発注)")</f>
        <v/>
      </c>
      <c r="S1171">
        <f>IF(SUMIFS(T_PlannedOrders[EffectiveQty],T_PlannedOrders[Part Name],$A1131,T_PlannedOrders[WeekIndex],16)=0,"",SUMIFS(T_PlannedOrders[EffectiveQty],T_PlannedOrders[Part Name],$A1131,T_PlannedOrders[WeekIndex],16)&amp;" ("&amp;TEXT(SUMPRODUCT(MAX((T_PlannedOrders[Part Name]=$A1131)*(T_PlannedOrders[WeekIndex]=16)*(T_PlannedOrders[EffectiveQty]&gt;0)*T_PlannedOrders[Order_Month])),"m月")&amp;"発注)")</f>
        <v/>
      </c>
      <c r="T1171">
        <f>IF(SUMIFS(T_PlannedOrders[EffectiveQty],T_PlannedOrders[Part Name],$A1131,T_PlannedOrders[WeekIndex],17)=0,"",SUMIFS(T_PlannedOrders[EffectiveQty],T_PlannedOrders[Part Name],$A1131,T_PlannedOrders[WeekIndex],17)&amp;" ("&amp;TEXT(SUMPRODUCT(MAX((T_PlannedOrders[Part Name]=$A1131)*(T_PlannedOrders[WeekIndex]=17)*(T_PlannedOrders[EffectiveQty]&gt;0)*T_PlannedOrders[Order_Month])),"m月")&amp;"発注)")</f>
        <v/>
      </c>
      <c r="U1171">
        <f>IF(SUMIFS(T_PlannedOrders[EffectiveQty],T_PlannedOrders[Part Name],$A1131,T_PlannedOrders[WeekIndex],18)=0,"",SUMIFS(T_PlannedOrders[EffectiveQty],T_PlannedOrders[Part Name],$A1131,T_PlannedOrders[WeekIndex],18)&amp;" ("&amp;TEXT(SUMPRODUCT(MAX((T_PlannedOrders[Part Name]=$A1131)*(T_PlannedOrders[WeekIndex]=18)*(T_PlannedOrders[EffectiveQty]&gt;0)*T_PlannedOrders[Order_Month])),"m月")&amp;"発注)")</f>
        <v/>
      </c>
      <c r="V1171">
        <f>IF(SUMIFS(T_PlannedOrders[EffectiveQty],T_PlannedOrders[Part Name],$A1131,T_PlannedOrders[WeekIndex],19)=0,"",SUMIFS(T_PlannedOrders[EffectiveQty],T_PlannedOrders[Part Name],$A1131,T_PlannedOrders[WeekIndex],19)&amp;" ("&amp;TEXT(SUMPRODUCT(MAX((T_PlannedOrders[Part Name]=$A1131)*(T_PlannedOrders[WeekIndex]=19)*(T_PlannedOrders[EffectiveQty]&gt;0)*T_PlannedOrders[Order_Month])),"m月")&amp;"発注)")</f>
        <v/>
      </c>
      <c r="W1171">
        <f>IF(SUMIFS(T_PlannedOrders[EffectiveQty],T_PlannedOrders[Part Name],$A1131,T_PlannedOrders[WeekIndex],20)=0,"",SUMIFS(T_PlannedOrders[EffectiveQty],T_PlannedOrders[Part Name],$A1131,T_PlannedOrders[WeekIndex],20)&amp;" ("&amp;TEXT(SUMPRODUCT(MAX((T_PlannedOrders[Part Name]=$A1131)*(T_PlannedOrders[WeekIndex]=20)*(T_PlannedOrders[EffectiveQty]&gt;0)*T_PlannedOrders[Order_Month])),"m月")&amp;"発注)")</f>
        <v/>
      </c>
      <c r="X1171">
        <f>IF(SUMIFS(T_PlannedOrders[EffectiveQty],T_PlannedOrders[Part Name],$A1131,T_PlannedOrders[WeekIndex],21)=0,"",SUMIFS(T_PlannedOrders[EffectiveQty],T_PlannedOrders[Part Name],$A1131,T_PlannedOrders[WeekIndex],21)&amp;" ("&amp;TEXT(SUMPRODUCT(MAX((T_PlannedOrders[Part Name]=$A1131)*(T_PlannedOrders[WeekIndex]=21)*(T_PlannedOrders[EffectiveQty]&gt;0)*T_PlannedOrders[Order_Month])),"m月")&amp;"発注)")</f>
        <v/>
      </c>
      <c r="Y1171">
        <f>IF(SUMIFS(T_PlannedOrders[EffectiveQty],T_PlannedOrders[Part Name],$A1131,T_PlannedOrders[WeekIndex],22)=0,"",SUMIFS(T_PlannedOrders[EffectiveQty],T_PlannedOrders[Part Name],$A1131,T_PlannedOrders[WeekIndex],22)&amp;" ("&amp;TEXT(SUMPRODUCT(MAX((T_PlannedOrders[Part Name]=$A1131)*(T_PlannedOrders[WeekIndex]=22)*(T_PlannedOrders[EffectiveQty]&gt;0)*T_PlannedOrders[Order_Month])),"m月")&amp;"発注)")</f>
        <v/>
      </c>
      <c r="Z1171">
        <f>IF(SUMIFS(T_PlannedOrders[EffectiveQty],T_PlannedOrders[Part Name],$A1131,T_PlannedOrders[WeekIndex],23)=0,"",SUMIFS(T_PlannedOrders[EffectiveQty],T_PlannedOrders[Part Name],$A1131,T_PlannedOrders[WeekIndex],23)&amp;" ("&amp;TEXT(SUMPRODUCT(MAX((T_PlannedOrders[Part Name]=$A1131)*(T_PlannedOrders[WeekIndex]=23)*(T_PlannedOrders[EffectiveQty]&gt;0)*T_PlannedOrders[Order_Month])),"m月")&amp;"発注)")</f>
        <v/>
      </c>
      <c r="AA1171">
        <f>IF(SUMIFS(T_PlannedOrders[EffectiveQty],T_PlannedOrders[Part Name],$A1131,T_PlannedOrders[WeekIndex],24)=0,"",SUMIFS(T_PlannedOrders[EffectiveQty],T_PlannedOrders[Part Name],$A1131,T_PlannedOrders[WeekIndex],24)&amp;" ("&amp;TEXT(SUMPRODUCT(MAX((T_PlannedOrders[Part Name]=$A1131)*(T_PlannedOrders[WeekIndex]=24)*(T_PlannedOrders[EffectiveQty]&gt;0)*T_PlannedOrders[Order_Month])),"m月")&amp;"発注)")</f>
        <v/>
      </c>
      <c r="AB1171">
        <f>IF(SUMIFS(T_PlannedOrders[EffectiveQty],T_PlannedOrders[Part Name],$A1131,T_PlannedOrders[WeekIndex],25)=0,"",SUMIFS(T_PlannedOrders[EffectiveQty],T_PlannedOrders[Part Name],$A1131,T_PlannedOrders[WeekIndex],25)&amp;" ("&amp;TEXT(SUMPRODUCT(MAX((T_PlannedOrders[Part Name]=$A1131)*(T_PlannedOrders[WeekIndex]=25)*(T_PlannedOrders[EffectiveQty]&gt;0)*T_PlannedOrders[Order_Month])),"m月")&amp;"発注)")</f>
        <v/>
      </c>
      <c r="AC1171">
        <f>IF(SUMIFS(T_PlannedOrders[EffectiveQty],T_PlannedOrders[Part Name],$A1131,T_PlannedOrders[WeekIndex],26)=0,"",SUMIFS(T_PlannedOrders[EffectiveQty],T_PlannedOrders[Part Name],$A1131,T_PlannedOrders[WeekIndex],26)&amp;" ("&amp;TEXT(SUMPRODUCT(MAX((T_PlannedOrders[Part Name]=$A1131)*(T_PlannedOrders[WeekIndex]=26)*(T_PlannedOrders[EffectiveQty]&gt;0)*T_PlannedOrders[Order_Month])),"m月")&amp;"発注)")</f>
        <v/>
      </c>
      <c r="AD1171">
        <f>IF(SUMIFS(T_PlannedOrders[EffectiveQty],T_PlannedOrders[Part Name],$A1131,T_PlannedOrders[WeekIndex],27)=0,"",SUMIFS(T_PlannedOrders[EffectiveQty],T_PlannedOrders[Part Name],$A1131,T_PlannedOrders[WeekIndex],27)&amp;" ("&amp;TEXT(SUMPRODUCT(MAX((T_PlannedOrders[Part Name]=$A1131)*(T_PlannedOrders[WeekIndex]=27)*(T_PlannedOrders[EffectiveQty]&gt;0)*T_PlannedOrders[Order_Month])),"m月")&amp;"発注)")</f>
        <v/>
      </c>
      <c r="AE1171">
        <f>IF(SUMIFS(T_PlannedOrders[EffectiveQty],T_PlannedOrders[Part Name],$A1131,T_PlannedOrders[WeekIndex],28)=0,"",SUMIFS(T_PlannedOrders[EffectiveQty],T_PlannedOrders[Part Name],$A1131,T_PlannedOrders[WeekIndex],28)&amp;" ("&amp;TEXT(SUMPRODUCT(MAX((T_PlannedOrders[Part Name]=$A1131)*(T_PlannedOrders[WeekIndex]=28)*(T_PlannedOrders[EffectiveQty]&gt;0)*T_PlannedOrders[Order_Month])),"m月")&amp;"発注)")</f>
        <v/>
      </c>
      <c r="AF1171">
        <f>IF(SUMIFS(T_PlannedOrders[EffectiveQty],T_PlannedOrders[Part Name],$A1131,T_PlannedOrders[WeekIndex],29)=0,"",SUMIFS(T_PlannedOrders[EffectiveQty],T_PlannedOrders[Part Name],$A1131,T_PlannedOrders[WeekIndex],29)&amp;" ("&amp;TEXT(SUMPRODUCT(MAX((T_PlannedOrders[Part Name]=$A1131)*(T_PlannedOrders[WeekIndex]=29)*(T_PlannedOrders[EffectiveQty]&gt;0)*T_PlannedOrders[Order_Month])),"m月")&amp;"発注)")</f>
        <v/>
      </c>
      <c r="AG1171">
        <f>IF(SUMIFS(T_PlannedOrders[EffectiveQty],T_PlannedOrders[Part Name],$A1131,T_PlannedOrders[WeekIndex],30)=0,"",SUMIFS(T_PlannedOrders[EffectiveQty],T_PlannedOrders[Part Name],$A1131,T_PlannedOrders[WeekIndex],30)&amp;" ("&amp;TEXT(SUMPRODUCT(MAX((T_PlannedOrders[Part Name]=$A1131)*(T_PlannedOrders[WeekIndex]=30)*(T_PlannedOrders[EffectiveQty]&gt;0)*T_PlannedOrders[Order_Month])),"m月")&amp;"発注)")</f>
        <v/>
      </c>
      <c r="AH1171">
        <f>IF(SUMIFS(T_PlannedOrders[EffectiveQty],T_PlannedOrders[Part Name],$A1131,T_PlannedOrders[WeekIndex],31)=0,"",SUMIFS(T_PlannedOrders[EffectiveQty],T_PlannedOrders[Part Name],$A1131,T_PlannedOrders[WeekIndex],31)&amp;" ("&amp;TEXT(SUMPRODUCT(MAX((T_PlannedOrders[Part Name]=$A1131)*(T_PlannedOrders[WeekIndex]=31)*(T_PlannedOrders[EffectiveQty]&gt;0)*T_PlannedOrders[Order_Month])),"m月")&amp;"発注)")</f>
        <v/>
      </c>
      <c r="AI1171">
        <f>IF(SUMIFS(T_PlannedOrders[EffectiveQty],T_PlannedOrders[Part Name],$A1131,T_PlannedOrders[WeekIndex],32)=0,"",SUMIFS(T_PlannedOrders[EffectiveQty],T_PlannedOrders[Part Name],$A1131,T_PlannedOrders[WeekIndex],32)&amp;" ("&amp;TEXT(SUMPRODUCT(MAX((T_PlannedOrders[Part Name]=$A1131)*(T_PlannedOrders[WeekIndex]=32)*(T_PlannedOrders[EffectiveQty]&gt;0)*T_PlannedOrders[Order_Month])),"m月")&amp;"発注)")</f>
        <v/>
      </c>
      <c r="AJ1171">
        <f>IF(SUMIFS(T_PlannedOrders[EffectiveQty],T_PlannedOrders[Part Name],$A1131,T_PlannedOrders[WeekIndex],33)=0,"",SUMIFS(T_PlannedOrders[EffectiveQty],T_PlannedOrders[Part Name],$A1131,T_PlannedOrders[WeekIndex],33)&amp;" ("&amp;TEXT(SUMPRODUCT(MAX((T_PlannedOrders[Part Name]=$A1131)*(T_PlannedOrders[WeekIndex]=33)*(T_PlannedOrders[EffectiveQty]&gt;0)*T_PlannedOrders[Order_Month])),"m月")&amp;"発注)")</f>
        <v/>
      </c>
      <c r="AK1171">
        <f>IF(SUMIFS(T_PlannedOrders[EffectiveQty],T_PlannedOrders[Part Name],$A1131,T_PlannedOrders[WeekIndex],34)=0,"",SUMIFS(T_PlannedOrders[EffectiveQty],T_PlannedOrders[Part Name],$A1131,T_PlannedOrders[WeekIndex],34)&amp;" ("&amp;TEXT(SUMPRODUCT(MAX((T_PlannedOrders[Part Name]=$A1131)*(T_PlannedOrders[WeekIndex]=34)*(T_PlannedOrders[EffectiveQty]&gt;0)*T_PlannedOrders[Order_Month])),"m月")&amp;"発注)")</f>
        <v/>
      </c>
      <c r="AL1171">
        <f>IF(SUMIFS(T_PlannedOrders[EffectiveQty],T_PlannedOrders[Part Name],$A1131,T_PlannedOrders[WeekIndex],35)=0,"",SUMIFS(T_PlannedOrders[EffectiveQty],T_PlannedOrders[Part Name],$A1131,T_PlannedOrders[WeekIndex],35)&amp;" ("&amp;TEXT(SUMPRODUCT(MAX((T_PlannedOrders[Part Name]=$A1131)*(T_PlannedOrders[WeekIndex]=35)*(T_PlannedOrders[EffectiveQty]&gt;0)*T_PlannedOrders[Order_Month])),"m月")&amp;"発注)")</f>
        <v/>
      </c>
      <c r="AM1171">
        <f>IF(SUMIFS(T_PlannedOrders[EffectiveQty],T_PlannedOrders[Part Name],$A1131,T_PlannedOrders[WeekIndex],36)=0,"",SUMIFS(T_PlannedOrders[EffectiveQty],T_PlannedOrders[Part Name],$A1131,T_PlannedOrders[WeekIndex],36)&amp;" ("&amp;TEXT(SUMPRODUCT(MAX((T_PlannedOrders[Part Name]=$A1131)*(T_PlannedOrders[WeekIndex]=36)*(T_PlannedOrders[EffectiveQty]&gt;0)*T_PlannedOrders[Order_Month])),"m月")&amp;"発注)")</f>
        <v/>
      </c>
      <c r="AN1171">
        <f>IF(SUMIFS(T_PlannedOrders[EffectiveQty],T_PlannedOrders[Part Name],$A1131,T_PlannedOrders[WeekIndex],37)=0,"",SUMIFS(T_PlannedOrders[EffectiveQty],T_PlannedOrders[Part Name],$A1131,T_PlannedOrders[WeekIndex],37)&amp;" ("&amp;TEXT(SUMPRODUCT(MAX((T_PlannedOrders[Part Name]=$A1131)*(T_PlannedOrders[WeekIndex]=37)*(T_PlannedOrders[EffectiveQty]&gt;0)*T_PlannedOrders[Order_Month])),"m月")&amp;"発注)")</f>
        <v/>
      </c>
      <c r="AO1171">
        <f>IF(SUMIFS(T_PlannedOrders[EffectiveQty],T_PlannedOrders[Part Name],$A1131,T_PlannedOrders[WeekIndex],38)=0,"",SUMIFS(T_PlannedOrders[EffectiveQty],T_PlannedOrders[Part Name],$A1131,T_PlannedOrders[WeekIndex],38)&amp;" ("&amp;TEXT(SUMPRODUCT(MAX((T_PlannedOrders[Part Name]=$A1131)*(T_PlannedOrders[WeekIndex]=38)*(T_PlannedOrders[EffectiveQty]&gt;0)*T_PlannedOrders[Order_Month])),"m月")&amp;"発注)")</f>
        <v/>
      </c>
      <c r="AP1171">
        <f>IF(SUMIFS(T_PlannedOrders[EffectiveQty],T_PlannedOrders[Part Name],$A1131,T_PlannedOrders[WeekIndex],39)=0,"",SUMIFS(T_PlannedOrders[EffectiveQty],T_PlannedOrders[Part Name],$A1131,T_PlannedOrders[WeekIndex],39)&amp;" ("&amp;TEXT(SUMPRODUCT(MAX((T_PlannedOrders[Part Name]=$A1131)*(T_PlannedOrders[WeekIndex]=39)*(T_PlannedOrders[EffectiveQty]&gt;0)*T_PlannedOrders[Order_Month])),"m月")&amp;"発注)")</f>
        <v/>
      </c>
      <c r="AQ1171">
        <f>IF(SUMIFS(T_PlannedOrders[EffectiveQty],T_PlannedOrders[Part Name],$A1131,T_PlannedOrders[WeekIndex],40)=0,"",SUMIFS(T_PlannedOrders[EffectiveQty],T_PlannedOrders[Part Name],$A1131,T_PlannedOrders[WeekIndex],40)&amp;" ("&amp;TEXT(SUMPRODUCT(MAX((T_PlannedOrders[Part Name]=$A1131)*(T_PlannedOrders[WeekIndex]=40)*(T_PlannedOrders[EffectiveQty]&gt;0)*T_PlannedOrders[Order_Month])),"m月")&amp;"発注)")</f>
        <v/>
      </c>
      <c r="AR1171">
        <f>IF(SUMIFS(T_PlannedOrders[EffectiveQty],T_PlannedOrders[Part Name],$A1131,T_PlannedOrders[WeekIndex],41)=0,"",SUMIFS(T_PlannedOrders[EffectiveQty],T_PlannedOrders[Part Name],$A1131,T_PlannedOrders[WeekIndex],41)&amp;" ("&amp;TEXT(SUMPRODUCT(MAX((T_PlannedOrders[Part Name]=$A1131)*(T_PlannedOrders[WeekIndex]=41)*(T_PlannedOrders[EffectiveQty]&gt;0)*T_PlannedOrders[Order_Month])),"m月")&amp;"発注)")</f>
        <v/>
      </c>
      <c r="AS1171">
        <f>IF(SUMIFS(T_PlannedOrders[EffectiveQty],T_PlannedOrders[Part Name],$A1131,T_PlannedOrders[WeekIndex],42)=0,"",SUMIFS(T_PlannedOrders[EffectiveQty],T_PlannedOrders[Part Name],$A1131,T_PlannedOrders[WeekIndex],42)&amp;" ("&amp;TEXT(SUMPRODUCT(MAX((T_PlannedOrders[Part Name]=$A1131)*(T_PlannedOrders[WeekIndex]=42)*(T_PlannedOrders[EffectiveQty]&gt;0)*T_PlannedOrders[Order_Month])),"m月")&amp;"発注)")</f>
        <v/>
      </c>
      <c r="AT1171">
        <f>IF(SUMIFS(T_PlannedOrders[EffectiveQty],T_PlannedOrders[Part Name],$A1131,T_PlannedOrders[WeekIndex],43)=0,"",SUMIFS(T_PlannedOrders[EffectiveQty],T_PlannedOrders[Part Name],$A1131,T_PlannedOrders[WeekIndex],43)&amp;" ("&amp;TEXT(SUMPRODUCT(MAX((T_PlannedOrders[Part Name]=$A1131)*(T_PlannedOrders[WeekIndex]=43)*(T_PlannedOrders[EffectiveQty]&gt;0)*T_PlannedOrders[Order_Month])),"m月")&amp;"発注)")</f>
        <v/>
      </c>
      <c r="AU1171">
        <f>IF(SUMIFS(T_PlannedOrders[EffectiveQty],T_PlannedOrders[Part Name],$A1131,T_PlannedOrders[WeekIndex],44)=0,"",SUMIFS(T_PlannedOrders[EffectiveQty],T_PlannedOrders[Part Name],$A1131,T_PlannedOrders[WeekIndex],44)&amp;" ("&amp;TEXT(SUMPRODUCT(MAX((T_PlannedOrders[Part Name]=$A1131)*(T_PlannedOrders[WeekIndex]=44)*(T_PlannedOrders[EffectiveQty]&gt;0)*T_PlannedOrders[Order_Month])),"m月")&amp;"発注)")</f>
        <v/>
      </c>
      <c r="AV1171">
        <f>IF(SUMIFS(T_PlannedOrders[EffectiveQty],T_PlannedOrders[Part Name],$A1131,T_PlannedOrders[WeekIndex],45)=0,"",SUMIFS(T_PlannedOrders[EffectiveQty],T_PlannedOrders[Part Name],$A1131,T_PlannedOrders[WeekIndex],45)&amp;" ("&amp;TEXT(SUMPRODUCT(MAX((T_PlannedOrders[Part Name]=$A1131)*(T_PlannedOrders[WeekIndex]=45)*(T_PlannedOrders[EffectiveQty]&gt;0)*T_PlannedOrders[Order_Month])),"m月")&amp;"発注)")</f>
        <v/>
      </c>
      <c r="AW1171">
        <f>IF(SUMIFS(T_PlannedOrders[EffectiveQty],T_PlannedOrders[Part Name],$A1131,T_PlannedOrders[WeekIndex],46)=0,"",SUMIFS(T_PlannedOrders[EffectiveQty],T_PlannedOrders[Part Name],$A1131,T_PlannedOrders[WeekIndex],46)&amp;" ("&amp;TEXT(SUMPRODUCT(MAX((T_PlannedOrders[Part Name]=$A1131)*(T_PlannedOrders[WeekIndex]=46)*(T_PlannedOrders[EffectiveQty]&gt;0)*T_PlannedOrders[Order_Month])),"m月")&amp;"発注)")</f>
        <v/>
      </c>
      <c r="AX1171">
        <f>IF(SUMIFS(T_PlannedOrders[EffectiveQty],T_PlannedOrders[Part Name],$A1131,T_PlannedOrders[WeekIndex],47)=0,"",SUMIFS(T_PlannedOrders[EffectiveQty],T_PlannedOrders[Part Name],$A1131,T_PlannedOrders[WeekIndex],47)&amp;" ("&amp;TEXT(SUMPRODUCT(MAX((T_PlannedOrders[Part Name]=$A1131)*(T_PlannedOrders[WeekIndex]=47)*(T_PlannedOrders[EffectiveQty]&gt;0)*T_PlannedOrders[Order_Month])),"m月")&amp;"発注)")</f>
        <v/>
      </c>
      <c r="AY1171">
        <f>IF(SUMIFS(T_PlannedOrders[EffectiveQty],T_PlannedOrders[Part Name],$A1131,T_PlannedOrders[WeekIndex],48)=0,"",SUMIFS(T_PlannedOrders[EffectiveQty],T_PlannedOrders[Part Name],$A1131,T_PlannedOrders[WeekIndex],48)&amp;" ("&amp;TEXT(SUMPRODUCT(MAX((T_PlannedOrders[Part Name]=$A1131)*(T_PlannedOrders[WeekIndex]=48)*(T_PlannedOrders[EffectiveQty]&gt;0)*T_PlannedOrders[Order_Month])),"m月")&amp;"発注)")</f>
        <v/>
      </c>
      <c r="AZ1171">
        <f>IF(SUMIFS(T_PlannedOrders[EffectiveQty],T_PlannedOrders[Part Name],$A1131,T_PlannedOrders[WeekIndex],49)=0,"",SUMIFS(T_PlannedOrders[EffectiveQty],T_PlannedOrders[Part Name],$A1131,T_PlannedOrders[WeekIndex],49)&amp;" ("&amp;TEXT(SUMPRODUCT(MAX((T_PlannedOrders[Part Name]=$A1131)*(T_PlannedOrders[WeekIndex]=49)*(T_PlannedOrders[EffectiveQty]&gt;0)*T_PlannedOrders[Order_Month])),"m月")&amp;"発注)")</f>
        <v/>
      </c>
      <c r="BA1171">
        <f>IF(SUMIFS(T_PlannedOrders[EffectiveQty],T_PlannedOrders[Part Name],$A1131,T_PlannedOrders[WeekIndex],50)=0,"",SUMIFS(T_PlannedOrders[EffectiveQty],T_PlannedOrders[Part Name],$A1131,T_PlannedOrders[WeekIndex],50)&amp;" ("&amp;TEXT(SUMPRODUCT(MAX((T_PlannedOrders[Part Name]=$A1131)*(T_PlannedOrders[WeekIndex]=50)*(T_PlannedOrders[EffectiveQty]&gt;0)*T_PlannedOrders[Order_Month])),"m月")&amp;"発注)")</f>
        <v/>
      </c>
      <c r="BB1171">
        <f>IF(SUMIFS(T_PlannedOrders[EffectiveQty],T_PlannedOrders[Part Name],$A1131,T_PlannedOrders[WeekIndex],51)=0,"",SUMIFS(T_PlannedOrders[EffectiveQty],T_PlannedOrders[Part Name],$A1131,T_PlannedOrders[WeekIndex],51)&amp;" ("&amp;TEXT(SUMPRODUCT(MAX((T_PlannedOrders[Part Name]=$A1131)*(T_PlannedOrders[WeekIndex]=51)*(T_PlannedOrders[EffectiveQty]&gt;0)*T_PlannedOrders[Order_Month])),"m月")&amp;"発注)")</f>
        <v/>
      </c>
      <c r="BC1171">
        <f>IF(SUMIFS(T_PlannedOrders[EffectiveQty],T_PlannedOrders[Part Name],$A1131,T_PlannedOrders[WeekIndex],52)=0,"",SUMIFS(T_PlannedOrders[EffectiveQty],T_PlannedOrders[Part Name],$A1131,T_PlannedOrders[WeekIndex],52)&amp;" ("&amp;TEXT(SUMPRODUCT(MAX((T_PlannedOrders[Part Name]=$A1131)*(T_PlannedOrders[WeekIndex]=52)*(T_PlannedOrders[EffectiveQty]&gt;0)*T_PlannedOrders[Order_Month])),"m月")&amp;"発注)")</f>
        <v/>
      </c>
      <c r="BD1171">
        <f>IF(SUMIFS(T_PlannedOrders[EffectiveQty],T_PlannedOrders[Part Name],$A1131,T_PlannedOrders[WeekIndex],53)=0,"",SUMIFS(T_PlannedOrders[EffectiveQty],T_PlannedOrders[Part Name],$A1131,T_PlannedOrders[WeekIndex],53)&amp;" ("&amp;TEXT(SUMPRODUCT(MAX((T_PlannedOrders[Part Name]=$A1131)*(T_PlannedOrders[WeekIndex]=53)*(T_PlannedOrders[EffectiveQty]&gt;0)*T_PlannedOrders[Order_Month])),"m月")&amp;"発注)")</f>
        <v/>
      </c>
      <c r="BE1171">
        <f>IF(SUMIFS(T_PlannedOrders[EffectiveQty],T_PlannedOrders[Part Name],$A1131,T_PlannedOrders[WeekIndex],54)=0,"",SUMIFS(T_PlannedOrders[EffectiveQty],T_PlannedOrders[Part Name],$A1131,T_PlannedOrders[WeekIndex],54)&amp;" ("&amp;TEXT(SUMPRODUCT(MAX((T_PlannedOrders[Part Name]=$A1131)*(T_PlannedOrders[WeekIndex]=54)*(T_PlannedOrders[EffectiveQty]&gt;0)*T_PlannedOrders[Order_Month])),"m月")&amp;"発注)")</f>
        <v/>
      </c>
      <c r="BF1171">
        <f>IF(SUMIFS(T_PlannedOrders[EffectiveQty],T_PlannedOrders[Part Name],$A1131,T_PlannedOrders[WeekIndex],55)=0,"",SUMIFS(T_PlannedOrders[EffectiveQty],T_PlannedOrders[Part Name],$A1131,T_PlannedOrders[WeekIndex],55)&amp;" ("&amp;TEXT(SUMPRODUCT(MAX((T_PlannedOrders[Part Name]=$A1131)*(T_PlannedOrders[WeekIndex]=55)*(T_PlannedOrders[EffectiveQty]&gt;0)*T_PlannedOrders[Order_Month])),"m月")&amp;"発注)")</f>
        <v/>
      </c>
      <c r="BG1171">
        <f>IF(SUMIFS(T_PlannedOrders[EffectiveQty],T_PlannedOrders[Part Name],$A1131,T_PlannedOrders[WeekIndex],56)=0,"",SUMIFS(T_PlannedOrders[EffectiveQty],T_PlannedOrders[Part Name],$A1131,T_PlannedOrders[WeekIndex],56)&amp;" ("&amp;TEXT(SUMPRODUCT(MAX((T_PlannedOrders[Part Name]=$A1131)*(T_PlannedOrders[WeekIndex]=56)*(T_PlannedOrders[EffectiveQty]&gt;0)*T_PlannedOrders[Order_Month])),"m月")&amp;"発注)")</f>
        <v/>
      </c>
      <c r="BH1171">
        <f>IF(SUMIFS(T_PlannedOrders[EffectiveQty],T_PlannedOrders[Part Name],$A1131,T_PlannedOrders[WeekIndex],57)=0,"",SUMIFS(T_PlannedOrders[EffectiveQty],T_PlannedOrders[Part Name],$A1131,T_PlannedOrders[WeekIndex],57)&amp;" ("&amp;TEXT(SUMPRODUCT(MAX((T_PlannedOrders[Part Name]=$A1131)*(T_PlannedOrders[WeekIndex]=57)*(T_PlannedOrders[EffectiveQty]&gt;0)*T_PlannedOrders[Order_Month])),"m月")&amp;"発注)")</f>
        <v/>
      </c>
      <c r="BI1171">
        <f>IF(SUMIFS(T_PlannedOrders[EffectiveQty],T_PlannedOrders[Part Name],$A1131,T_PlannedOrders[WeekIndex],58)=0,"",SUMIFS(T_PlannedOrders[EffectiveQty],T_PlannedOrders[Part Name],$A1131,T_PlannedOrders[WeekIndex],58)&amp;" ("&amp;TEXT(SUMPRODUCT(MAX((T_PlannedOrders[Part Name]=$A1131)*(T_PlannedOrders[WeekIndex]=58)*(T_PlannedOrders[EffectiveQty]&gt;0)*T_PlannedOrders[Order_Month])),"m月")&amp;"発注)")</f>
        <v/>
      </c>
      <c r="BJ1171">
        <f>IF(SUMIFS(T_PlannedOrders[EffectiveQty],T_PlannedOrders[Part Name],$A1131,T_PlannedOrders[WeekIndex],59)=0,"",SUMIFS(T_PlannedOrders[EffectiveQty],T_PlannedOrders[Part Name],$A1131,T_PlannedOrders[WeekIndex],59)&amp;" ("&amp;TEXT(SUMPRODUCT(MAX((T_PlannedOrders[Part Name]=$A1131)*(T_PlannedOrders[WeekIndex]=59)*(T_PlannedOrders[EffectiveQty]&gt;0)*T_PlannedOrders[Order_Month])),"m月")&amp;"発注)")</f>
        <v/>
      </c>
      <c r="BK1171">
        <f>IF(SUMIFS(T_PlannedOrders[EffectiveQty],T_PlannedOrders[Part Name],$A1131,T_PlannedOrders[WeekIndex],60)=0,"",SUMIFS(T_PlannedOrders[EffectiveQty],T_PlannedOrders[Part Name],$A1131,T_PlannedOrders[WeekIndex],60)&amp;" ("&amp;TEXT(SUMPRODUCT(MAX((T_PlannedOrders[Part Name]=$A1131)*(T_PlannedOrders[WeekIndex]=60)*(T_PlannedOrders[EffectiveQty]&gt;0)*T_PlannedOrders[Order_Month])),"m月")&amp;"発注)")</f>
        <v/>
      </c>
      <c r="BL1171">
        <f>IF(SUMIFS(T_PlannedOrders[EffectiveQty],T_PlannedOrders[Part Name],$A1131,T_PlannedOrders[WeekIndex],61)=0,"",SUMIFS(T_PlannedOrders[EffectiveQty],T_PlannedOrders[Part Name],$A1131,T_PlannedOrders[WeekIndex],61)&amp;" ("&amp;TEXT(SUMPRODUCT(MAX((T_PlannedOrders[Part Name]=$A1131)*(T_PlannedOrders[WeekIndex]=61)*(T_PlannedOrders[EffectiveQty]&gt;0)*T_PlannedOrders[Order_Month])),"m月")&amp;"発注)")</f>
        <v/>
      </c>
      <c r="BM1171">
        <f>IF(SUMIFS(T_PlannedOrders[EffectiveQty],T_PlannedOrders[Part Name],$A1131,T_PlannedOrders[WeekIndex],62)=0,"",SUMIFS(T_PlannedOrders[EffectiveQty],T_PlannedOrders[Part Name],$A1131,T_PlannedOrders[WeekIndex],62)&amp;" ("&amp;TEXT(SUMPRODUCT(MAX((T_PlannedOrders[Part Name]=$A1131)*(T_PlannedOrders[WeekIndex]=62)*(T_PlannedOrders[EffectiveQty]&gt;0)*T_PlannedOrders[Order_Month])),"m月")&amp;"発注)")</f>
        <v/>
      </c>
      <c r="BN1171">
        <f>IF(SUMIFS(T_PlannedOrders[EffectiveQty],T_PlannedOrders[Part Name],$A1131,T_PlannedOrders[WeekIndex],63)=0,"",SUMIFS(T_PlannedOrders[EffectiveQty],T_PlannedOrders[Part Name],$A1131,T_PlannedOrders[WeekIndex],63)&amp;" ("&amp;TEXT(SUMPRODUCT(MAX((T_PlannedOrders[Part Name]=$A1131)*(T_PlannedOrders[WeekIndex]=63)*(T_PlannedOrders[EffectiveQty]&gt;0)*T_PlannedOrders[Order_Month])),"m月")&amp;"発注)")</f>
        <v/>
      </c>
      <c r="BO1171">
        <f>IF(SUMIFS(T_PlannedOrders[EffectiveQty],T_PlannedOrders[Part Name],$A1131,T_PlannedOrders[WeekIndex],64)=0,"",SUMIFS(T_PlannedOrders[EffectiveQty],T_PlannedOrders[Part Name],$A1131,T_PlannedOrders[WeekIndex],64)&amp;" ("&amp;TEXT(SUMPRODUCT(MAX((T_PlannedOrders[Part Name]=$A1131)*(T_PlannedOrders[WeekIndex]=64)*(T_PlannedOrders[EffectiveQty]&gt;0)*T_PlannedOrders[Order_Month])),"m月")&amp;"発注)")</f>
        <v/>
      </c>
      <c r="BP1171">
        <f>IF(SUMIFS(T_PlannedOrders[EffectiveQty],T_PlannedOrders[Part Name],$A1131,T_PlannedOrders[WeekIndex],65)=0,"",SUMIFS(T_PlannedOrders[EffectiveQty],T_PlannedOrders[Part Name],$A1131,T_PlannedOrders[WeekIndex],65)&amp;" ("&amp;TEXT(SUMPRODUCT(MAX((T_PlannedOrders[Part Name]=$A1131)*(T_PlannedOrders[WeekIndex]=65)*(T_PlannedOrders[EffectiveQty]&gt;0)*T_PlannedOrders[Order_Month])),"m月")&amp;"発注)")</f>
        <v/>
      </c>
      <c r="BQ1171">
        <f>IF(SUMIFS(T_PlannedOrders[EffectiveQty],T_PlannedOrders[Part Name],$A1131,T_PlannedOrders[WeekIndex],66)=0,"",SUMIFS(T_PlannedOrders[EffectiveQty],T_PlannedOrders[Part Name],$A1131,T_PlannedOrders[WeekIndex],66)&amp;" ("&amp;TEXT(SUMPRODUCT(MAX((T_PlannedOrders[Part Name]=$A1131)*(T_PlannedOrders[WeekIndex]=66)*(T_PlannedOrders[EffectiveQty]&gt;0)*T_PlannedOrders[Order_Month])),"m月")&amp;"発注)")</f>
        <v/>
      </c>
      <c r="BR1171">
        <f>IF(SUMIFS(T_PlannedOrders[EffectiveQty],T_PlannedOrders[Part Name],$A1131,T_PlannedOrders[WeekIndex],67)=0,"",SUMIFS(T_PlannedOrders[EffectiveQty],T_PlannedOrders[Part Name],$A1131,T_PlannedOrders[WeekIndex],67)&amp;" ("&amp;TEXT(SUMPRODUCT(MAX((T_PlannedOrders[Part Name]=$A1131)*(T_PlannedOrders[WeekIndex]=67)*(T_PlannedOrders[EffectiveQty]&gt;0)*T_PlannedOrders[Order_Month])),"m月")&amp;"発注)")</f>
        <v/>
      </c>
      <c r="BS1171">
        <f>IF(SUMIFS(T_PlannedOrders[EffectiveQty],T_PlannedOrders[Part Name],$A1131,T_PlannedOrders[WeekIndex],68)=0,"",SUMIFS(T_PlannedOrders[EffectiveQty],T_PlannedOrders[Part Name],$A1131,T_PlannedOrders[WeekIndex],68)&amp;" ("&amp;TEXT(SUMPRODUCT(MAX((T_PlannedOrders[Part Name]=$A1131)*(T_PlannedOrders[WeekIndex]=68)*(T_PlannedOrders[EffectiveQty]&gt;0)*T_PlannedOrders[Order_Month])),"m月")&amp;"発注)")</f>
        <v/>
      </c>
      <c r="BT1171">
        <f>IF(SUMIFS(T_PlannedOrders[EffectiveQty],T_PlannedOrders[Part Name],$A1131,T_PlannedOrders[WeekIndex],69)=0,"",SUMIFS(T_PlannedOrders[EffectiveQty],T_PlannedOrders[Part Name],$A1131,T_PlannedOrders[WeekIndex],69)&amp;" ("&amp;TEXT(SUMPRODUCT(MAX((T_PlannedOrders[Part Name]=$A1131)*(T_PlannedOrders[WeekIndex]=69)*(T_PlannedOrders[EffectiveQty]&gt;0)*T_PlannedOrders[Order_Month])),"m月")&amp;"発注)")</f>
        <v/>
      </c>
      <c r="BU1171">
        <f>IF(SUMIFS(T_PlannedOrders[EffectiveQty],T_PlannedOrders[Part Name],$A1131,T_PlannedOrders[WeekIndex],70)=0,"",SUMIFS(T_PlannedOrders[EffectiveQty],T_PlannedOrders[Part Name],$A1131,T_PlannedOrders[WeekIndex],70)&amp;" ("&amp;TEXT(SUMPRODUCT(MAX((T_PlannedOrders[Part Name]=$A1131)*(T_PlannedOrders[WeekIndex]=70)*(T_PlannedOrders[EffectiveQty]&gt;0)*T_PlannedOrders[Order_Month])),"m月")&amp;"発注)")</f>
        <v/>
      </c>
      <c r="BV1171">
        <f>IF(SUMIFS(T_PlannedOrders[EffectiveQty],T_PlannedOrders[Part Name],$A1131,T_PlannedOrders[WeekIndex],71)=0,"",SUMIFS(T_PlannedOrders[EffectiveQty],T_PlannedOrders[Part Name],$A1131,T_PlannedOrders[WeekIndex],71)&amp;" ("&amp;TEXT(SUMPRODUCT(MAX((T_PlannedOrders[Part Name]=$A1131)*(T_PlannedOrders[WeekIndex]=71)*(T_PlannedOrders[EffectiveQty]&gt;0)*T_PlannedOrders[Order_Month])),"m月")&amp;"発注)")</f>
        <v/>
      </c>
      <c r="BW1171">
        <f>IF(SUMIFS(T_PlannedOrders[EffectiveQty],T_PlannedOrders[Part Name],$A1131,T_PlannedOrders[WeekIndex],72)=0,"",SUMIFS(T_PlannedOrders[EffectiveQty],T_PlannedOrders[Part Name],$A1131,T_PlannedOrders[WeekIndex],72)&amp;" ("&amp;TEXT(SUMPRODUCT(MAX((T_PlannedOrders[Part Name]=$A1131)*(T_PlannedOrders[WeekIndex]=72)*(T_PlannedOrders[EffectiveQty]&gt;0)*T_PlannedOrders[Order_Month])),"m月")&amp;"発注)")</f>
        <v/>
      </c>
      <c r="BX1171">
        <f>IF(SUMIFS(T_PlannedOrders[EffectiveQty],T_PlannedOrders[Part Name],$A1131,T_PlannedOrders[WeekIndex],73)=0,"",SUMIFS(T_PlannedOrders[EffectiveQty],T_PlannedOrders[Part Name],$A1131,T_PlannedOrders[WeekIndex],73)&amp;" ("&amp;TEXT(SUMPRODUCT(MAX((T_PlannedOrders[Part Name]=$A1131)*(T_PlannedOrders[WeekIndex]=73)*(T_PlannedOrders[EffectiveQty]&gt;0)*T_PlannedOrders[Order_Month])),"m月")&amp;"発注)")</f>
        <v/>
      </c>
      <c r="BY1171">
        <f>IF(SUMIFS(T_PlannedOrders[EffectiveQty],T_PlannedOrders[Part Name],$A1131,T_PlannedOrders[WeekIndex],74)=0,"",SUMIFS(T_PlannedOrders[EffectiveQty],T_PlannedOrders[Part Name],$A1131,T_PlannedOrders[WeekIndex],74)&amp;" ("&amp;TEXT(SUMPRODUCT(MAX((T_PlannedOrders[Part Name]=$A1131)*(T_PlannedOrders[WeekIndex]=74)*(T_PlannedOrders[EffectiveQty]&gt;0)*T_PlannedOrders[Order_Month])),"m月")&amp;"発注)")</f>
        <v/>
      </c>
      <c r="BZ1171">
        <f>IF(SUMIFS(T_PlannedOrders[EffectiveQty],T_PlannedOrders[Part Name],$A1131,T_PlannedOrders[WeekIndex],75)=0,"",SUMIFS(T_PlannedOrders[EffectiveQty],T_PlannedOrders[Part Name],$A1131,T_PlannedOrders[WeekIndex],75)&amp;" ("&amp;TEXT(SUMPRODUCT(MAX((T_PlannedOrders[Part Name]=$A1131)*(T_PlannedOrders[WeekIndex]=75)*(T_PlannedOrders[EffectiveQty]&gt;0)*T_PlannedOrders[Order_Month])),"m月")&amp;"発注)")</f>
        <v/>
      </c>
      <c r="CA1171">
        <f>IF(SUMIFS(T_PlannedOrders[EffectiveQty],T_PlannedOrders[Part Name],$A1131,T_PlannedOrders[WeekIndex],76)=0,"",SUMIFS(T_PlannedOrders[EffectiveQty],T_PlannedOrders[Part Name],$A1131,T_PlannedOrders[WeekIndex],76)&amp;" ("&amp;TEXT(SUMPRODUCT(MAX((T_PlannedOrders[Part Name]=$A1131)*(T_PlannedOrders[WeekIndex]=76)*(T_PlannedOrders[EffectiveQty]&gt;0)*T_PlannedOrders[Order_Month])),"m月")&amp;"発注)")</f>
        <v/>
      </c>
      <c r="CB1171">
        <f>IF(SUMIFS(T_PlannedOrders[EffectiveQty],T_PlannedOrders[Part Name],$A1131,T_PlannedOrders[WeekIndex],77)=0,"",SUMIFS(T_PlannedOrders[EffectiveQty],T_PlannedOrders[Part Name],$A1131,T_PlannedOrders[WeekIndex],77)&amp;" ("&amp;TEXT(SUMPRODUCT(MAX((T_PlannedOrders[Part Name]=$A1131)*(T_PlannedOrders[WeekIndex]=77)*(T_PlannedOrders[EffectiveQty]&gt;0)*T_PlannedOrders[Order_Month])),"m月")&amp;"発注)")</f>
        <v/>
      </c>
      <c r="CC1171">
        <f>IF(SUMIFS(T_PlannedOrders[EffectiveQty],T_PlannedOrders[Part Name],$A1131,T_PlannedOrders[WeekIndex],78)=0,"",SUMIFS(T_PlannedOrders[EffectiveQty],T_PlannedOrders[Part Name],$A1131,T_PlannedOrders[WeekIndex],78)&amp;" ("&amp;TEXT(SUMPRODUCT(MAX((T_PlannedOrders[Part Name]=$A1131)*(T_PlannedOrders[WeekIndex]=78)*(T_PlannedOrders[EffectiveQty]&gt;0)*T_PlannedOrders[Order_Month])),"m月")&amp;"発注)")</f>
        <v/>
      </c>
      <c r="CD1171">
        <f>IF(SUMIFS(T_PlannedOrders[EffectiveQty],T_PlannedOrders[Part Name],$A1131,T_PlannedOrders[WeekIndex],79)=0,"",SUMIFS(T_PlannedOrders[EffectiveQty],T_PlannedOrders[Part Name],$A1131,T_PlannedOrders[WeekIndex],79)&amp;" ("&amp;TEXT(SUMPRODUCT(MAX((T_PlannedOrders[Part Name]=$A1131)*(T_PlannedOrders[WeekIndex]=79)*(T_PlannedOrders[EffectiveQty]&gt;0)*T_PlannedOrders[Order_Month])),"m月")&amp;"発注)")</f>
        <v/>
      </c>
      <c r="CE1171">
        <f>IF(SUMIFS(T_PlannedOrders[EffectiveQty],T_PlannedOrders[Part Name],$A1131,T_PlannedOrders[WeekIndex],80)=0,"",SUMIFS(T_PlannedOrders[EffectiveQty],T_PlannedOrders[Part Name],$A1131,T_PlannedOrders[WeekIndex],80)&amp;" ("&amp;TEXT(SUMPRODUCT(MAX((T_PlannedOrders[Part Name]=$A1131)*(T_PlannedOrders[WeekIndex]=80)*(T_PlannedOrders[EffectiveQty]&gt;0)*T_PlannedOrders[Order_Month])),"m月")&amp;"発注)")</f>
        <v/>
      </c>
      <c r="CF1171">
        <f>IF(SUMIFS(T_PlannedOrders[EffectiveQty],T_PlannedOrders[Part Name],$A1131,T_PlannedOrders[WeekIndex],81)=0,"",SUMIFS(T_PlannedOrders[EffectiveQty],T_PlannedOrders[Part Name],$A1131,T_PlannedOrders[WeekIndex],81)&amp;" ("&amp;TEXT(SUMPRODUCT(MAX((T_PlannedOrders[Part Name]=$A1131)*(T_PlannedOrders[WeekIndex]=81)*(T_PlannedOrders[EffectiveQty]&gt;0)*T_PlannedOrders[Order_Month])),"m月")&amp;"発注)")</f>
        <v/>
      </c>
      <c r="CG1171">
        <f>IF(SUMIFS(T_PlannedOrders[EffectiveQty],T_PlannedOrders[Part Name],$A1131,T_PlannedOrders[WeekIndex],82)=0,"",SUMIFS(T_PlannedOrders[EffectiveQty],T_PlannedOrders[Part Name],$A1131,T_PlannedOrders[WeekIndex],82)&amp;" ("&amp;TEXT(SUMPRODUCT(MAX((T_PlannedOrders[Part Name]=$A1131)*(T_PlannedOrders[WeekIndex]=82)*(T_PlannedOrders[EffectiveQty]&gt;0)*T_PlannedOrders[Order_Month])),"m月")&amp;"発注)")</f>
        <v/>
      </c>
      <c r="CH1171">
        <f>IF(SUMIFS(T_PlannedOrders[EffectiveQty],T_PlannedOrders[Part Name],$A1131,T_PlannedOrders[WeekIndex],83)=0,"",SUMIFS(T_PlannedOrders[EffectiveQty],T_PlannedOrders[Part Name],$A1131,T_PlannedOrders[WeekIndex],83)&amp;" ("&amp;TEXT(SUMPRODUCT(MAX((T_PlannedOrders[Part Name]=$A1131)*(T_PlannedOrders[WeekIndex]=83)*(T_PlannedOrders[EffectiveQty]&gt;0)*T_PlannedOrders[Order_Month])),"m月")&amp;"発注)")</f>
        <v/>
      </c>
      <c r="CI1171">
        <f>IF(SUMIFS(T_PlannedOrders[EffectiveQty],T_PlannedOrders[Part Name],$A1131,T_PlannedOrders[WeekIndex],84)=0,"",SUMIFS(T_PlannedOrders[EffectiveQty],T_PlannedOrders[Part Name],$A1131,T_PlannedOrders[WeekIndex],84)&amp;" ("&amp;TEXT(SUMPRODUCT(MAX((T_PlannedOrders[Part Name]=$A1131)*(T_PlannedOrders[WeekIndex]=84)*(T_PlannedOrders[EffectiveQty]&gt;0)*T_PlannedOrders[Order_Month])),"m月")&amp;"発注)")</f>
        <v/>
      </c>
      <c r="CJ1171">
        <f>IF(SUMIFS(T_PlannedOrders[EffectiveQty],T_PlannedOrders[Part Name],$A1131,T_PlannedOrders[WeekIndex],85)=0,"",SUMIFS(T_PlannedOrders[EffectiveQty],T_PlannedOrders[Part Name],$A1131,T_PlannedOrders[WeekIndex],85)&amp;" ("&amp;TEXT(SUMPRODUCT(MAX((T_PlannedOrders[Part Name]=$A1131)*(T_PlannedOrders[WeekIndex]=85)*(T_PlannedOrders[EffectiveQty]&gt;0)*T_PlannedOrders[Order_Month])),"m月")&amp;"発注)")</f>
        <v/>
      </c>
      <c r="CK1171">
        <f>IF(SUMIFS(T_PlannedOrders[EffectiveQty],T_PlannedOrders[Part Name],$A1131,T_PlannedOrders[WeekIndex],86)=0,"",SUMIFS(T_PlannedOrders[EffectiveQty],T_PlannedOrders[Part Name],$A1131,T_PlannedOrders[WeekIndex],86)&amp;" ("&amp;TEXT(SUMPRODUCT(MAX((T_PlannedOrders[Part Name]=$A1131)*(T_PlannedOrders[WeekIndex]=86)*(T_PlannedOrders[EffectiveQty]&gt;0)*T_PlannedOrders[Order_Month])),"m月")&amp;"発注)")</f>
        <v/>
      </c>
      <c r="CL1171">
        <f>IF(SUMIFS(T_PlannedOrders[EffectiveQty],T_PlannedOrders[Part Name],$A1131,T_PlannedOrders[WeekIndex],87)=0,"",SUMIFS(T_PlannedOrders[EffectiveQty],T_PlannedOrders[Part Name],$A1131,T_PlannedOrders[WeekIndex],87)&amp;" ("&amp;TEXT(SUMPRODUCT(MAX((T_PlannedOrders[Part Name]=$A1131)*(T_PlannedOrders[WeekIndex]=87)*(T_PlannedOrders[EffectiveQty]&gt;0)*T_PlannedOrders[Order_Month])),"m月")&amp;"発注)")</f>
        <v/>
      </c>
      <c r="CM1171">
        <f>IF(SUMIFS(T_PlannedOrders[EffectiveQty],T_PlannedOrders[Part Name],$A1131,T_PlannedOrders[WeekIndex],88)=0,"",SUMIFS(T_PlannedOrders[EffectiveQty],T_PlannedOrders[Part Name],$A1131,T_PlannedOrders[WeekIndex],88)&amp;" ("&amp;TEXT(SUMPRODUCT(MAX((T_PlannedOrders[Part Name]=$A1131)*(T_PlannedOrders[WeekIndex]=88)*(T_PlannedOrders[EffectiveQty]&gt;0)*T_PlannedOrders[Order_Month])),"m月")&amp;"発注)")</f>
        <v/>
      </c>
      <c r="CN1171">
        <f>IF(SUMIFS(T_PlannedOrders[EffectiveQty],T_PlannedOrders[Part Name],$A1131,T_PlannedOrders[WeekIndex],89)=0,"",SUMIFS(T_PlannedOrders[EffectiveQty],T_PlannedOrders[Part Name],$A1131,T_PlannedOrders[WeekIndex],89)&amp;" ("&amp;TEXT(SUMPRODUCT(MAX((T_PlannedOrders[Part Name]=$A1131)*(T_PlannedOrders[WeekIndex]=89)*(T_PlannedOrders[EffectiveQty]&gt;0)*T_PlannedOrders[Order_Month])),"m月")&amp;"発注)")</f>
        <v/>
      </c>
      <c r="CO1171">
        <f>IF(SUMIFS(T_PlannedOrders[EffectiveQty],T_PlannedOrders[Part Name],$A1131,T_PlannedOrders[WeekIndex],90)=0,"",SUMIFS(T_PlannedOrders[EffectiveQty],T_PlannedOrders[Part Name],$A1131,T_PlannedOrders[WeekIndex],90)&amp;" ("&amp;TEXT(SUMPRODUCT(MAX((T_PlannedOrders[Part Name]=$A1131)*(T_PlannedOrders[WeekIndex]=90)*(T_PlannedOrders[EffectiveQty]&gt;0)*T_PlannedOrders[Order_Month])),"m月")&amp;"発注)")</f>
        <v/>
      </c>
      <c r="CP1171">
        <f>IF(SUMIFS(T_PlannedOrders[EffectiveQty],T_PlannedOrders[Part Name],$A1131,T_PlannedOrders[WeekIndex],91)=0,"",SUMIFS(T_PlannedOrders[EffectiveQty],T_PlannedOrders[Part Name],$A1131,T_PlannedOrders[WeekIndex],91)&amp;" ("&amp;TEXT(SUMPRODUCT(MAX((T_PlannedOrders[Part Name]=$A1131)*(T_PlannedOrders[WeekIndex]=91)*(T_PlannedOrders[EffectiveQty]&gt;0)*T_PlannedOrders[Order_Month])),"m月")&amp;"発注)")</f>
        <v/>
      </c>
      <c r="CQ1171">
        <f>IF(SUMIFS(T_PlannedOrders[EffectiveQty],T_PlannedOrders[Part Name],$A1131,T_PlannedOrders[WeekIndex],92)=0,"",SUMIFS(T_PlannedOrders[EffectiveQty],T_PlannedOrders[Part Name],$A1131,T_PlannedOrders[WeekIndex],92)&amp;" ("&amp;TEXT(SUMPRODUCT(MAX((T_PlannedOrders[Part Name]=$A1131)*(T_PlannedOrders[WeekIndex]=92)*(T_PlannedOrders[EffectiveQty]&gt;0)*T_PlannedOrders[Order_Month])),"m月")&amp;"発注)")</f>
        <v/>
      </c>
      <c r="CR1171">
        <f>IF(SUMIFS(T_PlannedOrders[EffectiveQty],T_PlannedOrders[Part Name],$A1131,T_PlannedOrders[WeekIndex],93)=0,"",SUMIFS(T_PlannedOrders[EffectiveQty],T_PlannedOrders[Part Name],$A1131,T_PlannedOrders[WeekIndex],93)&amp;" ("&amp;TEXT(SUMPRODUCT(MAX((T_PlannedOrders[Part Name]=$A1131)*(T_PlannedOrders[WeekIndex]=93)*(T_PlannedOrders[EffectiveQty]&gt;0)*T_PlannedOrders[Order_Month])),"m月")&amp;"発注)")</f>
        <v/>
      </c>
      <c r="CS1171">
        <f>IF(SUMIFS(T_PlannedOrders[EffectiveQty],T_PlannedOrders[Part Name],$A1131,T_PlannedOrders[WeekIndex],94)=0,"",SUMIFS(T_PlannedOrders[EffectiveQty],T_PlannedOrders[Part Name],$A1131,T_PlannedOrders[WeekIndex],94)&amp;" ("&amp;TEXT(SUMPRODUCT(MAX((T_PlannedOrders[Part Name]=$A1131)*(T_PlannedOrders[WeekIndex]=94)*(T_PlannedOrders[EffectiveQty]&gt;0)*T_PlannedOrders[Order_Month])),"m月")&amp;"発注)")</f>
        <v/>
      </c>
      <c r="CT1171">
        <f>IF(SUMIFS(T_PlannedOrders[EffectiveQty],T_PlannedOrders[Part Name],$A1131,T_PlannedOrders[WeekIndex],95)=0,"",SUMIFS(T_PlannedOrders[EffectiveQty],T_PlannedOrders[Part Name],$A1131,T_PlannedOrders[WeekIndex],95)&amp;" ("&amp;TEXT(SUMPRODUCT(MAX((T_PlannedOrders[Part Name]=$A1131)*(T_PlannedOrders[WeekIndex]=95)*(T_PlannedOrders[EffectiveQty]&gt;0)*T_PlannedOrders[Order_Month])),"m月")&amp;"発注)")</f>
        <v/>
      </c>
      <c r="CU1171">
        <f>IF(SUMIFS(T_PlannedOrders[EffectiveQty],T_PlannedOrders[Part Name],$A1131,T_PlannedOrders[WeekIndex],96)=0,"",SUMIFS(T_PlannedOrders[EffectiveQty],T_PlannedOrders[Part Name],$A1131,T_PlannedOrders[WeekIndex],96)&amp;" ("&amp;TEXT(SUMPRODUCT(MAX((T_PlannedOrders[Part Name]=$A1131)*(T_PlannedOrders[WeekIndex]=96)*(T_PlannedOrders[EffectiveQty]&gt;0)*T_PlannedOrders[Order_Month])),"m月")&amp;"発注)")</f>
        <v/>
      </c>
      <c r="CV1171">
        <f>IF(SUMIFS(T_PlannedOrders[EffectiveQty],T_PlannedOrders[Part Name],$A1131,T_PlannedOrders[WeekIndex],97)=0,"",SUMIFS(T_PlannedOrders[EffectiveQty],T_PlannedOrders[Part Name],$A1131,T_PlannedOrders[WeekIndex],97)&amp;" ("&amp;TEXT(SUMPRODUCT(MAX((T_PlannedOrders[Part Name]=$A1131)*(T_PlannedOrders[WeekIndex]=97)*(T_PlannedOrders[EffectiveQty]&gt;0)*T_PlannedOrders[Order_Month])),"m月")&amp;"発注)")</f>
        <v/>
      </c>
      <c r="CW1171">
        <f>IF(SUMIFS(T_PlannedOrders[EffectiveQty],T_PlannedOrders[Part Name],$A1131,T_PlannedOrders[WeekIndex],98)=0,"",SUMIFS(T_PlannedOrders[EffectiveQty],T_PlannedOrders[Part Name],$A1131,T_PlannedOrders[WeekIndex],98)&amp;" ("&amp;TEXT(SUMPRODUCT(MAX((T_PlannedOrders[Part Name]=$A1131)*(T_PlannedOrders[WeekIndex]=98)*(T_PlannedOrders[EffectiveQty]&gt;0)*T_PlannedOrders[Order_Month])),"m月")&amp;"発注)")</f>
        <v/>
      </c>
      <c r="CX1171">
        <f>IF(SUMIFS(T_PlannedOrders[EffectiveQty],T_PlannedOrders[Part Name],$A1131,T_PlannedOrders[WeekIndex],99)=0,"",SUMIFS(T_PlannedOrders[EffectiveQty],T_PlannedOrders[Part Name],$A1131,T_PlannedOrders[WeekIndex],99)&amp;" ("&amp;TEXT(SUMPRODUCT(MAX((T_PlannedOrders[Part Name]=$A1131)*(T_PlannedOrders[WeekIndex]=99)*(T_PlannedOrders[EffectiveQty]&gt;0)*T_PlannedOrders[Order_Month])),"m月")&amp;"発注)")</f>
        <v/>
      </c>
      <c r="CY1171">
        <f>IF(SUMIFS(T_PlannedOrders[EffectiveQty],T_PlannedOrders[Part Name],$A1131,T_PlannedOrders[WeekIndex],100)=0,"",SUMIFS(T_PlannedOrders[EffectiveQty],T_PlannedOrders[Part Name],$A1131,T_PlannedOrders[WeekIndex],100)&amp;" ("&amp;TEXT(SUMPRODUCT(MAX((T_PlannedOrders[Part Name]=$A1131)*(T_PlannedOrders[WeekIndex]=100)*(T_PlannedOrders[EffectiveQty]&gt;0)*T_PlannedOrders[Order_Month])),"m月")&amp;"発注)")</f>
        <v/>
      </c>
      <c r="CZ1171">
        <f>IF(SUMIFS(T_PlannedOrders[EffectiveQty],T_PlannedOrders[Part Name],$A1131,T_PlannedOrders[WeekIndex],101)=0,"",SUMIFS(T_PlannedOrders[EffectiveQty],T_PlannedOrders[Part Name],$A1131,T_PlannedOrders[WeekIndex],101)&amp;" ("&amp;TEXT(SUMPRODUCT(MAX((T_PlannedOrders[Part Name]=$A1131)*(T_PlannedOrders[WeekIndex]=101)*(T_PlannedOrders[EffectiveQty]&gt;0)*T_PlannedOrders[Order_Month])),"m月")&amp;"発注)")</f>
        <v/>
      </c>
      <c r="DA1171">
        <f>IF(SUMIFS(T_PlannedOrders[EffectiveQty],T_PlannedOrders[Part Name],$A1131,T_PlannedOrders[WeekIndex],102)=0,"",SUMIFS(T_PlannedOrders[EffectiveQty],T_PlannedOrders[Part Name],$A1131,T_PlannedOrders[WeekIndex],102)&amp;" ("&amp;TEXT(SUMPRODUCT(MAX((T_PlannedOrders[Part Name]=$A1131)*(T_PlannedOrders[WeekIndex]=102)*(T_PlannedOrders[EffectiveQty]&gt;0)*T_PlannedOrders[Order_Month])),"m月")&amp;"発注)")</f>
        <v/>
      </c>
      <c r="DB1171">
        <f>IF(SUMIFS(T_PlannedOrders[EffectiveQty],T_PlannedOrders[Part Name],$A1131,T_PlannedOrders[WeekIndex],103)=0,"",SUMIFS(T_PlannedOrders[EffectiveQty],T_PlannedOrders[Part Name],$A1131,T_PlannedOrders[WeekIndex],103)&amp;" ("&amp;TEXT(SUMPRODUCT(MAX((T_PlannedOrders[Part Name]=$A1131)*(T_PlannedOrders[WeekIndex]=103)*(T_PlannedOrders[EffectiveQty]&gt;0)*T_PlannedOrders[Order_Month])),"m月")&amp;"発注)")</f>
        <v/>
      </c>
      <c r="DC1171">
        <f>IF(SUMIFS(T_PlannedOrders[EffectiveQty],T_PlannedOrders[Part Name],$A1131,T_PlannedOrders[WeekIndex],104)=0,"",SUMIFS(T_PlannedOrders[EffectiveQty],T_PlannedOrders[Part Name],$A1131,T_PlannedOrders[WeekIndex],104)&amp;" ("&amp;TEXT(SUMPRODUCT(MAX((T_PlannedOrders[Part Name]=$A1131)*(T_PlannedOrders[WeekIndex]=104)*(T_PlannedOrders[EffectiveQty]&gt;0)*T_PlannedOrders[Order_Month])),"m月")&amp;"発注)")</f>
        <v/>
      </c>
    </row>
    <row r="1172">
      <c r="B1172" s="9" t="inlineStr">
        <is>
          <t>合計在庫(週末時点,kg)</t>
        </is>
      </c>
      <c r="D1172">
        <f>'Grid_Stock'!B16</f>
        <v/>
      </c>
      <c r="E1172">
        <f>'Grid_Stock'!C16</f>
        <v/>
      </c>
      <c r="F1172">
        <f>'Grid_Stock'!D16</f>
        <v/>
      </c>
      <c r="G1172">
        <f>'Grid_Stock'!E16</f>
        <v/>
      </c>
      <c r="H1172">
        <f>'Grid_Stock'!F16</f>
        <v/>
      </c>
      <c r="I1172">
        <f>'Grid_Stock'!G16</f>
        <v/>
      </c>
      <c r="J1172">
        <f>'Grid_Stock'!H16</f>
        <v/>
      </c>
      <c r="K1172">
        <f>'Grid_Stock'!I16</f>
        <v/>
      </c>
      <c r="L1172">
        <f>'Grid_Stock'!J16</f>
        <v/>
      </c>
      <c r="M1172">
        <f>'Grid_Stock'!K16</f>
        <v/>
      </c>
      <c r="N1172">
        <f>'Grid_Stock'!L16</f>
        <v/>
      </c>
      <c r="O1172">
        <f>'Grid_Stock'!M16</f>
        <v/>
      </c>
      <c r="P1172">
        <f>'Grid_Stock'!N16</f>
        <v/>
      </c>
      <c r="Q1172">
        <f>'Grid_Stock'!O16</f>
        <v/>
      </c>
      <c r="R1172">
        <f>'Grid_Stock'!P16</f>
        <v/>
      </c>
      <c r="S1172">
        <f>'Grid_Stock'!Q16</f>
        <v/>
      </c>
      <c r="T1172">
        <f>'Grid_Stock'!R16</f>
        <v/>
      </c>
      <c r="U1172">
        <f>'Grid_Stock'!S16</f>
        <v/>
      </c>
      <c r="V1172">
        <f>'Grid_Stock'!T16</f>
        <v/>
      </c>
      <c r="W1172">
        <f>'Grid_Stock'!U16</f>
        <v/>
      </c>
      <c r="X1172">
        <f>'Grid_Stock'!V16</f>
        <v/>
      </c>
      <c r="Y1172">
        <f>'Grid_Stock'!W16</f>
        <v/>
      </c>
      <c r="Z1172">
        <f>'Grid_Stock'!X16</f>
        <v/>
      </c>
      <c r="AA1172">
        <f>'Grid_Stock'!Y16</f>
        <v/>
      </c>
      <c r="AB1172">
        <f>'Grid_Stock'!Z16</f>
        <v/>
      </c>
      <c r="AC1172">
        <f>'Grid_Stock'!AA16</f>
        <v/>
      </c>
      <c r="AD1172">
        <f>'Grid_Stock'!AB16</f>
        <v/>
      </c>
      <c r="AE1172">
        <f>'Grid_Stock'!AC16</f>
        <v/>
      </c>
      <c r="AF1172">
        <f>'Grid_Stock'!AD16</f>
        <v/>
      </c>
      <c r="AG1172">
        <f>'Grid_Stock'!AE16</f>
        <v/>
      </c>
      <c r="AH1172">
        <f>'Grid_Stock'!AF16</f>
        <v/>
      </c>
      <c r="AI1172">
        <f>'Grid_Stock'!AG16</f>
        <v/>
      </c>
      <c r="AJ1172">
        <f>'Grid_Stock'!AH16</f>
        <v/>
      </c>
      <c r="AK1172">
        <f>'Grid_Stock'!AI16</f>
        <v/>
      </c>
      <c r="AL1172">
        <f>'Grid_Stock'!AJ16</f>
        <v/>
      </c>
      <c r="AM1172">
        <f>'Grid_Stock'!AK16</f>
        <v/>
      </c>
      <c r="AN1172">
        <f>'Grid_Stock'!AL16</f>
        <v/>
      </c>
      <c r="AO1172">
        <f>'Grid_Stock'!AM16</f>
        <v/>
      </c>
      <c r="AP1172">
        <f>'Grid_Stock'!AN16</f>
        <v/>
      </c>
      <c r="AQ1172">
        <f>'Grid_Stock'!AO16</f>
        <v/>
      </c>
      <c r="AR1172">
        <f>'Grid_Stock'!AP16</f>
        <v/>
      </c>
      <c r="AS1172">
        <f>'Grid_Stock'!AQ16</f>
        <v/>
      </c>
      <c r="AT1172">
        <f>'Grid_Stock'!AR16</f>
        <v/>
      </c>
      <c r="AU1172">
        <f>'Grid_Stock'!AS16</f>
        <v/>
      </c>
      <c r="AV1172">
        <f>'Grid_Stock'!AT16</f>
        <v/>
      </c>
      <c r="AW1172">
        <f>'Grid_Stock'!AU16</f>
        <v/>
      </c>
      <c r="AX1172">
        <f>'Grid_Stock'!AV16</f>
        <v/>
      </c>
      <c r="AY1172">
        <f>'Grid_Stock'!AW16</f>
        <v/>
      </c>
      <c r="AZ1172">
        <f>'Grid_Stock'!AX16</f>
        <v/>
      </c>
      <c r="BA1172">
        <f>'Grid_Stock'!AY16</f>
        <v/>
      </c>
      <c r="BB1172">
        <f>'Grid_Stock'!AZ16</f>
        <v/>
      </c>
      <c r="BC1172">
        <f>'Grid_Stock'!BA16</f>
        <v/>
      </c>
      <c r="BD1172">
        <f>'Grid_Stock'!BB16</f>
        <v/>
      </c>
      <c r="BE1172">
        <f>'Grid_Stock'!BC16</f>
        <v/>
      </c>
      <c r="BF1172">
        <f>'Grid_Stock'!BD16</f>
        <v/>
      </c>
      <c r="BG1172">
        <f>'Grid_Stock'!BE16</f>
        <v/>
      </c>
      <c r="BH1172">
        <f>'Grid_Stock'!BF16</f>
        <v/>
      </c>
      <c r="BI1172">
        <f>'Grid_Stock'!BG16</f>
        <v/>
      </c>
      <c r="BJ1172">
        <f>'Grid_Stock'!BH16</f>
        <v/>
      </c>
      <c r="BK1172">
        <f>'Grid_Stock'!BI16</f>
        <v/>
      </c>
      <c r="BL1172">
        <f>'Grid_Stock'!BJ16</f>
        <v/>
      </c>
      <c r="BM1172">
        <f>'Grid_Stock'!BK16</f>
        <v/>
      </c>
      <c r="BN1172">
        <f>'Grid_Stock'!BL16</f>
        <v/>
      </c>
      <c r="BO1172">
        <f>'Grid_Stock'!BM16</f>
        <v/>
      </c>
      <c r="BP1172">
        <f>'Grid_Stock'!BN16</f>
        <v/>
      </c>
      <c r="BQ1172">
        <f>'Grid_Stock'!BO16</f>
        <v/>
      </c>
      <c r="BR1172">
        <f>'Grid_Stock'!BP16</f>
        <v/>
      </c>
      <c r="BS1172">
        <f>'Grid_Stock'!BQ16</f>
        <v/>
      </c>
      <c r="BT1172">
        <f>'Grid_Stock'!BR16</f>
        <v/>
      </c>
      <c r="BU1172">
        <f>'Grid_Stock'!BS16</f>
        <v/>
      </c>
      <c r="BV1172">
        <f>'Grid_Stock'!BT16</f>
        <v/>
      </c>
      <c r="BW1172">
        <f>'Grid_Stock'!BU16</f>
        <v/>
      </c>
      <c r="BX1172">
        <f>'Grid_Stock'!BV16</f>
        <v/>
      </c>
      <c r="BY1172">
        <f>'Grid_Stock'!BW16</f>
        <v/>
      </c>
      <c r="BZ1172">
        <f>'Grid_Stock'!BX16</f>
        <v/>
      </c>
      <c r="CA1172">
        <f>'Grid_Stock'!BY16</f>
        <v/>
      </c>
      <c r="CB1172">
        <f>'Grid_Stock'!BZ16</f>
        <v/>
      </c>
      <c r="CC1172">
        <f>'Grid_Stock'!CA16</f>
        <v/>
      </c>
      <c r="CD1172">
        <f>'Grid_Stock'!CB16</f>
        <v/>
      </c>
      <c r="CE1172">
        <f>'Grid_Stock'!CC16</f>
        <v/>
      </c>
      <c r="CF1172">
        <f>'Grid_Stock'!CD16</f>
        <v/>
      </c>
      <c r="CG1172">
        <f>'Grid_Stock'!CE16</f>
        <v/>
      </c>
      <c r="CH1172">
        <f>'Grid_Stock'!CF16</f>
        <v/>
      </c>
      <c r="CI1172">
        <f>'Grid_Stock'!CG16</f>
        <v/>
      </c>
      <c r="CJ1172">
        <f>'Grid_Stock'!CH16</f>
        <v/>
      </c>
      <c r="CK1172">
        <f>'Grid_Stock'!CI16</f>
        <v/>
      </c>
      <c r="CL1172">
        <f>'Grid_Stock'!CJ16</f>
        <v/>
      </c>
      <c r="CM1172">
        <f>'Grid_Stock'!CK16</f>
        <v/>
      </c>
      <c r="CN1172">
        <f>'Grid_Stock'!CL16</f>
        <v/>
      </c>
      <c r="CO1172">
        <f>'Grid_Stock'!CM16</f>
        <v/>
      </c>
      <c r="CP1172">
        <f>'Grid_Stock'!CN16</f>
        <v/>
      </c>
      <c r="CQ1172">
        <f>'Grid_Stock'!CO16</f>
        <v/>
      </c>
      <c r="CR1172">
        <f>'Grid_Stock'!CP16</f>
        <v/>
      </c>
      <c r="CS1172">
        <f>'Grid_Stock'!CQ16</f>
        <v/>
      </c>
      <c r="CT1172">
        <f>'Grid_Stock'!CR16</f>
        <v/>
      </c>
      <c r="CU1172">
        <f>'Grid_Stock'!CS16</f>
        <v/>
      </c>
      <c r="CV1172">
        <f>'Grid_Stock'!CT16</f>
        <v/>
      </c>
      <c r="CW1172">
        <f>'Grid_Stock'!CU16</f>
        <v/>
      </c>
      <c r="CX1172">
        <f>'Grid_Stock'!CV16</f>
        <v/>
      </c>
      <c r="CY1172">
        <f>'Grid_Stock'!CW16</f>
        <v/>
      </c>
      <c r="CZ1172">
        <f>'Grid_Stock'!CX16</f>
        <v/>
      </c>
      <c r="DA1172">
        <f>'Grid_Stock'!CY16</f>
        <v/>
      </c>
      <c r="DB1172">
        <f>'Grid_Stock'!CZ16</f>
        <v/>
      </c>
      <c r="DC1172">
        <f>'Grid_Stock'!DA16</f>
        <v/>
      </c>
    </row>
    <row r="1173">
      <c r="B1173" s="21" t="inlineStr">
        <is>
          <t>（発注の目安はDashboardの基準在庫[下限/上限]と色分けを参照）</t>
        </is>
      </c>
    </row>
    <row r="1175">
      <c r="A1175" s="19" t="inlineStr">
        <is>
          <t>CHEM-1840</t>
        </is>
      </c>
      <c r="B1175" s="19" t="inlineStr">
        <is>
          <t>KAOCERA2020</t>
        </is>
      </c>
      <c r="C1175" s="20" t="n"/>
      <c r="D1175" s="19" t="n"/>
      <c r="E1175" s="19" t="n"/>
      <c r="F1175" s="19" t="n"/>
      <c r="G1175" s="19" t="n"/>
      <c r="H1175" s="19" t="n"/>
      <c r="I1175" s="19" t="n"/>
      <c r="J1175" s="19" t="n"/>
      <c r="K1175" s="19" t="n"/>
      <c r="L1175" s="19" t="n"/>
      <c r="M1175" s="19" t="n"/>
      <c r="N1175" s="19" t="n"/>
      <c r="O1175" s="19" t="n"/>
      <c r="P1175" s="19" t="n"/>
      <c r="Q1175" s="19" t="n"/>
      <c r="R1175" s="19" t="n"/>
      <c r="S1175" s="19" t="n"/>
      <c r="T1175" s="19" t="n"/>
      <c r="U1175" s="19" t="n"/>
      <c r="V1175" s="19" t="n"/>
      <c r="W1175" s="19" t="n"/>
      <c r="X1175" s="19" t="n"/>
      <c r="Y1175" s="19" t="n"/>
      <c r="Z1175" s="19" t="n"/>
      <c r="AA1175" s="19" t="n"/>
      <c r="AB1175" s="19" t="n"/>
      <c r="AC1175" s="19" t="n"/>
      <c r="AD1175" s="19" t="n"/>
      <c r="AE1175" s="19" t="n"/>
      <c r="AF1175" s="19" t="n"/>
      <c r="AG1175" s="19" t="n"/>
      <c r="AH1175" s="19" t="n"/>
      <c r="AI1175" s="19" t="n"/>
      <c r="AJ1175" s="19" t="n"/>
      <c r="AK1175" s="19" t="n"/>
      <c r="AL1175" s="19" t="n"/>
      <c r="AM1175" s="19" t="n"/>
      <c r="AN1175" s="19" t="n"/>
      <c r="AO1175" s="19" t="n"/>
      <c r="AP1175" s="19" t="n"/>
      <c r="AQ1175" s="19" t="n"/>
      <c r="AR1175" s="19" t="n"/>
      <c r="AS1175" s="19" t="n"/>
      <c r="AT1175" s="19" t="n"/>
      <c r="AU1175" s="19" t="n"/>
      <c r="AV1175" s="19" t="n"/>
      <c r="AW1175" s="19" t="n"/>
      <c r="AX1175" s="19" t="n"/>
      <c r="AY1175" s="19" t="n"/>
      <c r="AZ1175" s="19" t="n"/>
      <c r="BA1175" s="19" t="n"/>
      <c r="BB1175" s="19" t="n"/>
      <c r="BC1175" s="19" t="n"/>
      <c r="BD1175" s="19" t="n"/>
      <c r="BE1175" s="19" t="n"/>
      <c r="BF1175" s="19" t="n"/>
      <c r="BG1175" s="19" t="n"/>
      <c r="BH1175" s="19" t="n"/>
      <c r="BI1175" s="19" t="n"/>
      <c r="BJ1175" s="19" t="n"/>
      <c r="BK1175" s="19" t="n"/>
      <c r="BL1175" s="19" t="n"/>
      <c r="BM1175" s="19" t="n"/>
      <c r="BN1175" s="19" t="n"/>
      <c r="BO1175" s="19" t="n"/>
      <c r="BP1175" s="19" t="n"/>
      <c r="BQ1175" s="19" t="n"/>
      <c r="BR1175" s="19" t="n"/>
      <c r="BS1175" s="19" t="n"/>
      <c r="BT1175" s="19" t="n"/>
      <c r="BU1175" s="19" t="n"/>
      <c r="BV1175" s="19" t="n"/>
      <c r="BW1175" s="19" t="n"/>
      <c r="BX1175" s="19" t="n"/>
      <c r="BY1175" s="19" t="n"/>
      <c r="BZ1175" s="19" t="n"/>
      <c r="CA1175" s="19" t="n"/>
      <c r="CB1175" s="19" t="n"/>
      <c r="CC1175" s="19" t="n"/>
      <c r="CD1175" s="19" t="n"/>
      <c r="CE1175" s="19" t="n"/>
      <c r="CF1175" s="19" t="n"/>
      <c r="CG1175" s="19" t="n"/>
      <c r="CH1175" s="19" t="n"/>
      <c r="CI1175" s="19" t="n"/>
      <c r="CJ1175" s="19" t="n"/>
      <c r="CK1175" s="19" t="n"/>
      <c r="CL1175" s="19" t="n"/>
      <c r="CM1175" s="19" t="n"/>
      <c r="CN1175" s="19" t="n"/>
      <c r="CO1175" s="19" t="n"/>
      <c r="CP1175" s="19" t="n"/>
      <c r="CQ1175" s="19" t="n"/>
      <c r="CR1175" s="19" t="n"/>
      <c r="CS1175" s="19" t="n"/>
      <c r="CT1175" s="19" t="n"/>
      <c r="CU1175" s="19" t="n"/>
      <c r="CV1175" s="19" t="n"/>
      <c r="CW1175" s="19" t="n"/>
      <c r="CX1175" s="19" t="n"/>
      <c r="CY1175" s="19" t="n"/>
      <c r="CZ1175" s="19" t="n"/>
      <c r="DA1175" s="19" t="n"/>
      <c r="DB1175" s="19" t="n"/>
      <c r="DC1175" s="19" t="n"/>
    </row>
    <row r="1176">
      <c r="B1176" t="inlineStr">
        <is>
          <t>TSP-1558</t>
        </is>
      </c>
      <c r="C1176" t="inlineStr">
        <is>
          <t>No. of batches</t>
        </is>
      </c>
      <c r="D1176">
        <f>IFERROR(INDEX(PP_Grid[#Data],$DD1176,2),0)</f>
        <v/>
      </c>
      <c r="E1176">
        <f>IFERROR(INDEX(PP_Grid[#Data],$DD1176,3),0)</f>
        <v/>
      </c>
      <c r="F1176">
        <f>IFERROR(INDEX(PP_Grid[#Data],$DD1176,4),0)</f>
        <v/>
      </c>
      <c r="G1176">
        <f>IFERROR(INDEX(PP_Grid[#Data],$DD1176,5),0)</f>
        <v/>
      </c>
      <c r="H1176">
        <f>IFERROR(INDEX(PP_Grid[#Data],$DD1176,6),0)</f>
        <v/>
      </c>
      <c r="I1176">
        <f>IFERROR(INDEX(PP_Grid[#Data],$DD1176,7),0)</f>
        <v/>
      </c>
      <c r="J1176">
        <f>IFERROR(INDEX(PP_Grid[#Data],$DD1176,8),0)</f>
        <v/>
      </c>
      <c r="K1176">
        <f>IFERROR(INDEX(PP_Grid[#Data],$DD1176,9),0)</f>
        <v/>
      </c>
      <c r="L1176">
        <f>IFERROR(INDEX(PP_Grid[#Data],$DD1176,10),0)</f>
        <v/>
      </c>
      <c r="M1176">
        <f>IFERROR(INDEX(PP_Grid[#Data],$DD1176,11),0)</f>
        <v/>
      </c>
      <c r="N1176">
        <f>IFERROR(INDEX(PP_Grid[#Data],$DD1176,12),0)</f>
        <v/>
      </c>
      <c r="O1176">
        <f>IFERROR(INDEX(PP_Grid[#Data],$DD1176,13),0)</f>
        <v/>
      </c>
      <c r="P1176">
        <f>IFERROR(INDEX(PP_Grid[#Data],$DD1176,14),0)</f>
        <v/>
      </c>
      <c r="Q1176">
        <f>IFERROR(INDEX(PP_Grid[#Data],$DD1176,15),0)</f>
        <v/>
      </c>
      <c r="R1176">
        <f>IFERROR(INDEX(PP_Grid[#Data],$DD1176,16),0)</f>
        <v/>
      </c>
      <c r="S1176">
        <f>IFERROR(INDEX(PP_Grid[#Data],$DD1176,17),0)</f>
        <v/>
      </c>
      <c r="T1176">
        <f>IFERROR(INDEX(PP_Grid[#Data],$DD1176,18),0)</f>
        <v/>
      </c>
      <c r="U1176">
        <f>IFERROR(INDEX(PP_Grid[#Data],$DD1176,19),0)</f>
        <v/>
      </c>
      <c r="V1176">
        <f>IFERROR(INDEX(PP_Grid[#Data],$DD1176,20),0)</f>
        <v/>
      </c>
      <c r="W1176">
        <f>IFERROR(INDEX(PP_Grid[#Data],$DD1176,21),0)</f>
        <v/>
      </c>
      <c r="X1176">
        <f>IFERROR(INDEX(PP_Grid[#Data],$DD1176,22),0)</f>
        <v/>
      </c>
      <c r="Y1176">
        <f>IFERROR(INDEX(PP_Grid[#Data],$DD1176,23),0)</f>
        <v/>
      </c>
      <c r="Z1176">
        <f>IFERROR(INDEX(PP_Grid[#Data],$DD1176,24),0)</f>
        <v/>
      </c>
      <c r="AA1176">
        <f>IFERROR(INDEX(PP_Grid[#Data],$DD1176,25),0)</f>
        <v/>
      </c>
      <c r="AB1176">
        <f>IFERROR(INDEX(PP_Grid[#Data],$DD1176,26),0)</f>
        <v/>
      </c>
      <c r="AC1176">
        <f>IFERROR(INDEX(PP_Grid[#Data],$DD1176,27),0)</f>
        <v/>
      </c>
      <c r="AD1176">
        <f>IFERROR(INDEX(PP_Grid[#Data],$DD1176,28),0)</f>
        <v/>
      </c>
      <c r="AE1176">
        <f>IFERROR(INDEX(PP_Grid[#Data],$DD1176,29),0)</f>
        <v/>
      </c>
      <c r="AF1176">
        <f>IFERROR(INDEX(PP_Grid[#Data],$DD1176,30),0)</f>
        <v/>
      </c>
      <c r="AG1176">
        <f>IFERROR(INDEX(PP_Grid[#Data],$DD1176,31),0)</f>
        <v/>
      </c>
      <c r="AH1176">
        <f>IFERROR(INDEX(PP_Grid[#Data],$DD1176,32),0)</f>
        <v/>
      </c>
      <c r="AI1176">
        <f>IFERROR(INDEX(PP_Grid[#Data],$DD1176,33),0)</f>
        <v/>
      </c>
      <c r="AJ1176">
        <f>IFERROR(INDEX(PP_Grid[#Data],$DD1176,34),0)</f>
        <v/>
      </c>
      <c r="AK1176">
        <f>IFERROR(INDEX(PP_Grid[#Data],$DD1176,35),0)</f>
        <v/>
      </c>
      <c r="AL1176">
        <f>IFERROR(INDEX(PP_Grid[#Data],$DD1176,36),0)</f>
        <v/>
      </c>
      <c r="AM1176">
        <f>IFERROR(INDEX(PP_Grid[#Data],$DD1176,37),0)</f>
        <v/>
      </c>
      <c r="AN1176">
        <f>IFERROR(INDEX(PP_Grid[#Data],$DD1176,38),0)</f>
        <v/>
      </c>
      <c r="AO1176">
        <f>IFERROR(INDEX(PP_Grid[#Data],$DD1176,39),0)</f>
        <v/>
      </c>
      <c r="AP1176">
        <f>IFERROR(INDEX(PP_Grid[#Data],$DD1176,40),0)</f>
        <v/>
      </c>
      <c r="AQ1176">
        <f>IFERROR(INDEX(PP_Grid[#Data],$DD1176,41),0)</f>
        <v/>
      </c>
      <c r="AR1176">
        <f>IFERROR(INDEX(PP_Grid[#Data],$DD1176,42),0)</f>
        <v/>
      </c>
      <c r="AS1176">
        <f>IFERROR(INDEX(PP_Grid[#Data],$DD1176,43),0)</f>
        <v/>
      </c>
      <c r="AT1176">
        <f>IFERROR(INDEX(PP_Grid[#Data],$DD1176,44),0)</f>
        <v/>
      </c>
      <c r="AU1176">
        <f>IFERROR(INDEX(PP_Grid[#Data],$DD1176,45),0)</f>
        <v/>
      </c>
      <c r="AV1176">
        <f>IFERROR(INDEX(PP_Grid[#Data],$DD1176,46),0)</f>
        <v/>
      </c>
      <c r="AW1176">
        <f>IFERROR(INDEX(PP_Grid[#Data],$DD1176,47),0)</f>
        <v/>
      </c>
      <c r="AX1176">
        <f>IFERROR(INDEX(PP_Grid[#Data],$DD1176,48),0)</f>
        <v/>
      </c>
      <c r="AY1176">
        <f>IFERROR(INDEX(PP_Grid[#Data],$DD1176,49),0)</f>
        <v/>
      </c>
      <c r="AZ1176">
        <f>IFERROR(INDEX(PP_Grid[#Data],$DD1176,50),0)</f>
        <v/>
      </c>
      <c r="BA1176">
        <f>IFERROR(INDEX(PP_Grid[#Data],$DD1176,51),0)</f>
        <v/>
      </c>
      <c r="BB1176">
        <f>IFERROR(INDEX(PP_Grid[#Data],$DD1176,52),0)</f>
        <v/>
      </c>
      <c r="BC1176">
        <f>IFERROR(INDEX(PP_Grid[#Data],$DD1176,53),0)</f>
        <v/>
      </c>
      <c r="BD1176">
        <f>IFERROR(INDEX(PP_Grid[#Data],$DD1176,54),0)</f>
        <v/>
      </c>
      <c r="BE1176">
        <f>IFERROR(INDEX(PP_Grid[#Data],$DD1176,55),0)</f>
        <v/>
      </c>
      <c r="BF1176">
        <f>IFERROR(INDEX(PP_Grid[#Data],$DD1176,56),0)</f>
        <v/>
      </c>
      <c r="BG1176">
        <f>IFERROR(INDEX(PP_Grid[#Data],$DD1176,57),0)</f>
        <v/>
      </c>
      <c r="BH1176">
        <f>IFERROR(INDEX(PP_Grid[#Data],$DD1176,58),0)</f>
        <v/>
      </c>
      <c r="BI1176">
        <f>IFERROR(INDEX(PP_Grid[#Data],$DD1176,59),0)</f>
        <v/>
      </c>
      <c r="BJ1176">
        <f>IFERROR(INDEX(PP_Grid[#Data],$DD1176,60),0)</f>
        <v/>
      </c>
      <c r="BK1176">
        <f>IFERROR(INDEX(PP_Grid[#Data],$DD1176,61),0)</f>
        <v/>
      </c>
      <c r="BL1176">
        <f>IFERROR(INDEX(PP_Grid[#Data],$DD1176,62),0)</f>
        <v/>
      </c>
      <c r="BM1176">
        <f>IFERROR(INDEX(PP_Grid[#Data],$DD1176,63),0)</f>
        <v/>
      </c>
      <c r="BN1176">
        <f>IFERROR(INDEX(PP_Grid[#Data],$DD1176,64),0)</f>
        <v/>
      </c>
      <c r="BO1176">
        <f>IFERROR(INDEX(PP_Grid[#Data],$DD1176,65),0)</f>
        <v/>
      </c>
      <c r="BP1176">
        <f>IFERROR(INDEX(PP_Grid[#Data],$DD1176,66),0)</f>
        <v/>
      </c>
      <c r="BQ1176">
        <f>IFERROR(INDEX(PP_Grid[#Data],$DD1176,67),0)</f>
        <v/>
      </c>
      <c r="BR1176">
        <f>IFERROR(INDEX(PP_Grid[#Data],$DD1176,68),0)</f>
        <v/>
      </c>
      <c r="BS1176">
        <f>IFERROR(INDEX(PP_Grid[#Data],$DD1176,69),0)</f>
        <v/>
      </c>
      <c r="BT1176">
        <f>IFERROR(INDEX(PP_Grid[#Data],$DD1176,70),0)</f>
        <v/>
      </c>
      <c r="BU1176">
        <f>IFERROR(INDEX(PP_Grid[#Data],$DD1176,71),0)</f>
        <v/>
      </c>
      <c r="BV1176">
        <f>IFERROR(INDEX(PP_Grid[#Data],$DD1176,72),0)</f>
        <v/>
      </c>
      <c r="BW1176">
        <f>IFERROR(INDEX(PP_Grid[#Data],$DD1176,73),0)</f>
        <v/>
      </c>
      <c r="BX1176">
        <f>IFERROR(INDEX(PP_Grid[#Data],$DD1176,74),0)</f>
        <v/>
      </c>
      <c r="BY1176">
        <f>IFERROR(INDEX(PP_Grid[#Data],$DD1176,75),0)</f>
        <v/>
      </c>
      <c r="BZ1176">
        <f>IFERROR(INDEX(PP_Grid[#Data],$DD1176,76),0)</f>
        <v/>
      </c>
      <c r="CA1176">
        <f>IFERROR(INDEX(PP_Grid[#Data],$DD1176,77),0)</f>
        <v/>
      </c>
      <c r="CB1176">
        <f>IFERROR(INDEX(PP_Grid[#Data],$DD1176,78),0)</f>
        <v/>
      </c>
      <c r="CC1176">
        <f>IFERROR(INDEX(PP_Grid[#Data],$DD1176,79),0)</f>
        <v/>
      </c>
      <c r="CD1176">
        <f>IFERROR(INDEX(PP_Grid[#Data],$DD1176,80),0)</f>
        <v/>
      </c>
      <c r="CE1176">
        <f>IFERROR(INDEX(PP_Grid[#Data],$DD1176,81),0)</f>
        <v/>
      </c>
      <c r="CF1176">
        <f>IFERROR(INDEX(PP_Grid[#Data],$DD1176,82),0)</f>
        <v/>
      </c>
      <c r="CG1176">
        <f>IFERROR(INDEX(PP_Grid[#Data],$DD1176,83),0)</f>
        <v/>
      </c>
      <c r="CH1176">
        <f>IFERROR(INDEX(PP_Grid[#Data],$DD1176,84),0)</f>
        <v/>
      </c>
      <c r="CI1176">
        <f>IFERROR(INDEX(PP_Grid[#Data],$DD1176,85),0)</f>
        <v/>
      </c>
      <c r="CJ1176">
        <f>IFERROR(INDEX(PP_Grid[#Data],$DD1176,86),0)</f>
        <v/>
      </c>
      <c r="CK1176">
        <f>IFERROR(INDEX(PP_Grid[#Data],$DD1176,87),0)</f>
        <v/>
      </c>
      <c r="CL1176">
        <f>IFERROR(INDEX(PP_Grid[#Data],$DD1176,88),0)</f>
        <v/>
      </c>
      <c r="CM1176">
        <f>IFERROR(INDEX(PP_Grid[#Data],$DD1176,89),0)</f>
        <v/>
      </c>
      <c r="CN1176">
        <f>IFERROR(INDEX(PP_Grid[#Data],$DD1176,90),0)</f>
        <v/>
      </c>
      <c r="CO1176">
        <f>IFERROR(INDEX(PP_Grid[#Data],$DD1176,91),0)</f>
        <v/>
      </c>
      <c r="CP1176">
        <f>IFERROR(INDEX(PP_Grid[#Data],$DD1176,92),0)</f>
        <v/>
      </c>
      <c r="CQ1176">
        <f>IFERROR(INDEX(PP_Grid[#Data],$DD1176,93),0)</f>
        <v/>
      </c>
      <c r="CR1176">
        <f>IFERROR(INDEX(PP_Grid[#Data],$DD1176,94),0)</f>
        <v/>
      </c>
      <c r="CS1176">
        <f>IFERROR(INDEX(PP_Grid[#Data],$DD1176,95),0)</f>
        <v/>
      </c>
      <c r="CT1176">
        <f>IFERROR(INDEX(PP_Grid[#Data],$DD1176,96),0)</f>
        <v/>
      </c>
      <c r="CU1176">
        <f>IFERROR(INDEX(PP_Grid[#Data],$DD1176,97),0)</f>
        <v/>
      </c>
      <c r="CV1176">
        <f>IFERROR(INDEX(PP_Grid[#Data],$DD1176,98),0)</f>
        <v/>
      </c>
      <c r="CW1176">
        <f>IFERROR(INDEX(PP_Grid[#Data],$DD1176,99),0)</f>
        <v/>
      </c>
      <c r="CX1176">
        <f>IFERROR(INDEX(PP_Grid[#Data],$DD1176,100),0)</f>
        <v/>
      </c>
      <c r="CY1176">
        <f>IFERROR(INDEX(PP_Grid[#Data],$DD1176,101),0)</f>
        <v/>
      </c>
      <c r="CZ1176">
        <f>IFERROR(INDEX(PP_Grid[#Data],$DD1176,102),0)</f>
        <v/>
      </c>
      <c r="DA1176">
        <f>IFERROR(INDEX(PP_Grid[#Data],$DD1176,103),0)</f>
        <v/>
      </c>
      <c r="DB1176">
        <f>IFERROR(INDEX(PP_Grid[#Data],$DD1176,104),0)</f>
        <v/>
      </c>
      <c r="DC1176">
        <f>IFERROR(INDEX(PP_Grid[#Data],$DD1176,105),0)</f>
        <v/>
      </c>
      <c r="DD1176" s="12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SUMIFS(M_BOM[RM_Qty_Per_Batch],M_BOM[Intermediate],$B1176,M_BOM[Part Name],$A1175)</f>
        <v/>
      </c>
      <c r="D1177">
        <f>$C1177*D1176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</row>
    <row r="1178">
      <c r="B1178" t="inlineStr">
        <is>
          <t>TSP-1559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12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SUMIFS(M_BOM[RM_Qty_Per_Batch],M_BOM[Intermediate],$B1178,M_BOM[Part Name],$A1175)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s="9" t="inlineStr">
        <is>
          <t>合計使用量(kg)/週</t>
        </is>
      </c>
      <c r="D1180">
        <f>'Grid_Requirement'!B29</f>
        <v/>
      </c>
      <c r="E1180">
        <f>'Grid_Requirement'!C29</f>
        <v/>
      </c>
      <c r="F1180">
        <f>'Grid_Requirement'!D29</f>
        <v/>
      </c>
      <c r="G1180">
        <f>'Grid_Requirement'!E29</f>
        <v/>
      </c>
      <c r="H1180">
        <f>'Grid_Requirement'!F29</f>
        <v/>
      </c>
      <c r="I1180">
        <f>'Grid_Requirement'!G29</f>
        <v/>
      </c>
      <c r="J1180">
        <f>'Grid_Requirement'!H29</f>
        <v/>
      </c>
      <c r="K1180">
        <f>'Grid_Requirement'!I29</f>
        <v/>
      </c>
      <c r="L1180">
        <f>'Grid_Requirement'!J29</f>
        <v/>
      </c>
      <c r="M1180">
        <f>'Grid_Requirement'!K29</f>
        <v/>
      </c>
      <c r="N1180">
        <f>'Grid_Requirement'!L29</f>
        <v/>
      </c>
      <c r="O1180">
        <f>'Grid_Requirement'!M29</f>
        <v/>
      </c>
      <c r="P1180">
        <f>'Grid_Requirement'!N29</f>
        <v/>
      </c>
      <c r="Q1180">
        <f>'Grid_Requirement'!O29</f>
        <v/>
      </c>
      <c r="R1180">
        <f>'Grid_Requirement'!P29</f>
        <v/>
      </c>
      <c r="S1180">
        <f>'Grid_Requirement'!Q29</f>
        <v/>
      </c>
      <c r="T1180">
        <f>'Grid_Requirement'!R29</f>
        <v/>
      </c>
      <c r="U1180">
        <f>'Grid_Requirement'!S29</f>
        <v/>
      </c>
      <c r="V1180">
        <f>'Grid_Requirement'!T29</f>
        <v/>
      </c>
      <c r="W1180">
        <f>'Grid_Requirement'!U29</f>
        <v/>
      </c>
      <c r="X1180">
        <f>'Grid_Requirement'!V29</f>
        <v/>
      </c>
      <c r="Y1180">
        <f>'Grid_Requirement'!W29</f>
        <v/>
      </c>
      <c r="Z1180">
        <f>'Grid_Requirement'!X29</f>
        <v/>
      </c>
      <c r="AA1180">
        <f>'Grid_Requirement'!Y29</f>
        <v/>
      </c>
      <c r="AB1180">
        <f>'Grid_Requirement'!Z29</f>
        <v/>
      </c>
      <c r="AC1180">
        <f>'Grid_Requirement'!AA29</f>
        <v/>
      </c>
      <c r="AD1180">
        <f>'Grid_Requirement'!AB29</f>
        <v/>
      </c>
      <c r="AE1180">
        <f>'Grid_Requirement'!AC29</f>
        <v/>
      </c>
      <c r="AF1180">
        <f>'Grid_Requirement'!AD29</f>
        <v/>
      </c>
      <c r="AG1180">
        <f>'Grid_Requirement'!AE29</f>
        <v/>
      </c>
      <c r="AH1180">
        <f>'Grid_Requirement'!AF29</f>
        <v/>
      </c>
      <c r="AI1180">
        <f>'Grid_Requirement'!AG29</f>
        <v/>
      </c>
      <c r="AJ1180">
        <f>'Grid_Requirement'!AH29</f>
        <v/>
      </c>
      <c r="AK1180">
        <f>'Grid_Requirement'!AI29</f>
        <v/>
      </c>
      <c r="AL1180">
        <f>'Grid_Requirement'!AJ29</f>
        <v/>
      </c>
      <c r="AM1180">
        <f>'Grid_Requirement'!AK29</f>
        <v/>
      </c>
      <c r="AN1180">
        <f>'Grid_Requirement'!AL29</f>
        <v/>
      </c>
      <c r="AO1180">
        <f>'Grid_Requirement'!AM29</f>
        <v/>
      </c>
      <c r="AP1180">
        <f>'Grid_Requirement'!AN29</f>
        <v/>
      </c>
      <c r="AQ1180">
        <f>'Grid_Requirement'!AO29</f>
        <v/>
      </c>
      <c r="AR1180">
        <f>'Grid_Requirement'!AP29</f>
        <v/>
      </c>
      <c r="AS1180">
        <f>'Grid_Requirement'!AQ29</f>
        <v/>
      </c>
      <c r="AT1180">
        <f>'Grid_Requirement'!AR29</f>
        <v/>
      </c>
      <c r="AU1180">
        <f>'Grid_Requirement'!AS29</f>
        <v/>
      </c>
      <c r="AV1180">
        <f>'Grid_Requirement'!AT29</f>
        <v/>
      </c>
      <c r="AW1180">
        <f>'Grid_Requirement'!AU29</f>
        <v/>
      </c>
      <c r="AX1180">
        <f>'Grid_Requirement'!AV29</f>
        <v/>
      </c>
      <c r="AY1180">
        <f>'Grid_Requirement'!AW29</f>
        <v/>
      </c>
      <c r="AZ1180">
        <f>'Grid_Requirement'!AX29</f>
        <v/>
      </c>
      <c r="BA1180">
        <f>'Grid_Requirement'!AY29</f>
        <v/>
      </c>
      <c r="BB1180">
        <f>'Grid_Requirement'!AZ29</f>
        <v/>
      </c>
      <c r="BC1180">
        <f>'Grid_Requirement'!BA29</f>
        <v/>
      </c>
      <c r="BD1180">
        <f>'Grid_Requirement'!BB29</f>
        <v/>
      </c>
      <c r="BE1180">
        <f>'Grid_Requirement'!BC29</f>
        <v/>
      </c>
      <c r="BF1180">
        <f>'Grid_Requirement'!BD29</f>
        <v/>
      </c>
      <c r="BG1180">
        <f>'Grid_Requirement'!BE29</f>
        <v/>
      </c>
      <c r="BH1180">
        <f>'Grid_Requirement'!BF29</f>
        <v/>
      </c>
      <c r="BI1180">
        <f>'Grid_Requirement'!BG29</f>
        <v/>
      </c>
      <c r="BJ1180">
        <f>'Grid_Requirement'!BH29</f>
        <v/>
      </c>
      <c r="BK1180">
        <f>'Grid_Requirement'!BI29</f>
        <v/>
      </c>
      <c r="BL1180">
        <f>'Grid_Requirement'!BJ29</f>
        <v/>
      </c>
      <c r="BM1180">
        <f>'Grid_Requirement'!BK29</f>
        <v/>
      </c>
      <c r="BN1180">
        <f>'Grid_Requirement'!BL29</f>
        <v/>
      </c>
      <c r="BO1180">
        <f>'Grid_Requirement'!BM29</f>
        <v/>
      </c>
      <c r="BP1180">
        <f>'Grid_Requirement'!BN29</f>
        <v/>
      </c>
      <c r="BQ1180">
        <f>'Grid_Requirement'!BO29</f>
        <v/>
      </c>
      <c r="BR1180">
        <f>'Grid_Requirement'!BP29</f>
        <v/>
      </c>
      <c r="BS1180">
        <f>'Grid_Requirement'!BQ29</f>
        <v/>
      </c>
      <c r="BT1180">
        <f>'Grid_Requirement'!BR29</f>
        <v/>
      </c>
      <c r="BU1180">
        <f>'Grid_Requirement'!BS29</f>
        <v/>
      </c>
      <c r="BV1180">
        <f>'Grid_Requirement'!BT29</f>
        <v/>
      </c>
      <c r="BW1180">
        <f>'Grid_Requirement'!BU29</f>
        <v/>
      </c>
      <c r="BX1180">
        <f>'Grid_Requirement'!BV29</f>
        <v/>
      </c>
      <c r="BY1180">
        <f>'Grid_Requirement'!BW29</f>
        <v/>
      </c>
      <c r="BZ1180">
        <f>'Grid_Requirement'!BX29</f>
        <v/>
      </c>
      <c r="CA1180">
        <f>'Grid_Requirement'!BY29</f>
        <v/>
      </c>
      <c r="CB1180">
        <f>'Grid_Requirement'!BZ29</f>
        <v/>
      </c>
      <c r="CC1180">
        <f>'Grid_Requirement'!CA29</f>
        <v/>
      </c>
      <c r="CD1180">
        <f>'Grid_Requirement'!CB29</f>
        <v/>
      </c>
      <c r="CE1180">
        <f>'Grid_Requirement'!CC29</f>
        <v/>
      </c>
      <c r="CF1180">
        <f>'Grid_Requirement'!CD29</f>
        <v/>
      </c>
      <c r="CG1180">
        <f>'Grid_Requirement'!CE29</f>
        <v/>
      </c>
      <c r="CH1180">
        <f>'Grid_Requirement'!CF29</f>
        <v/>
      </c>
      <c r="CI1180">
        <f>'Grid_Requirement'!CG29</f>
        <v/>
      </c>
      <c r="CJ1180">
        <f>'Grid_Requirement'!CH29</f>
        <v/>
      </c>
      <c r="CK1180">
        <f>'Grid_Requirement'!CI29</f>
        <v/>
      </c>
      <c r="CL1180">
        <f>'Grid_Requirement'!CJ29</f>
        <v/>
      </c>
      <c r="CM1180">
        <f>'Grid_Requirement'!CK29</f>
        <v/>
      </c>
      <c r="CN1180">
        <f>'Grid_Requirement'!CL29</f>
        <v/>
      </c>
      <c r="CO1180">
        <f>'Grid_Requirement'!CM29</f>
        <v/>
      </c>
      <c r="CP1180">
        <f>'Grid_Requirement'!CN29</f>
        <v/>
      </c>
      <c r="CQ1180">
        <f>'Grid_Requirement'!CO29</f>
        <v/>
      </c>
      <c r="CR1180">
        <f>'Grid_Requirement'!CP29</f>
        <v/>
      </c>
      <c r="CS1180">
        <f>'Grid_Requirement'!CQ29</f>
        <v/>
      </c>
      <c r="CT1180">
        <f>'Grid_Requirement'!CR29</f>
        <v/>
      </c>
      <c r="CU1180">
        <f>'Grid_Requirement'!CS29</f>
        <v/>
      </c>
      <c r="CV1180">
        <f>'Grid_Requirement'!CT29</f>
        <v/>
      </c>
      <c r="CW1180">
        <f>'Grid_Requirement'!CU29</f>
        <v/>
      </c>
      <c r="CX1180">
        <f>'Grid_Requirement'!CV29</f>
        <v/>
      </c>
      <c r="CY1180">
        <f>'Grid_Requirement'!CW29</f>
        <v/>
      </c>
      <c r="CZ1180">
        <f>'Grid_Requirement'!CX29</f>
        <v/>
      </c>
      <c r="DA1180">
        <f>'Grid_Requirement'!CY29</f>
        <v/>
      </c>
      <c r="DB1180">
        <f>'Grid_Requirement'!CZ29</f>
        <v/>
      </c>
      <c r="DC1180">
        <f>'Grid_Requirement'!DA29</f>
        <v/>
      </c>
    </row>
    <row r="1181">
      <c r="B1181" t="inlineStr">
        <is>
          <t>TTAF在庫(実績,kg)</t>
        </is>
      </c>
      <c r="D1181">
        <f>'T_TTAFStock'!B33</f>
        <v/>
      </c>
      <c r="E1181">
        <f>'T_TTAFStock'!C33</f>
        <v/>
      </c>
      <c r="F1181">
        <f>'T_TTAFStock'!D33</f>
        <v/>
      </c>
      <c r="G1181">
        <f>'T_TTAFStock'!E33</f>
        <v/>
      </c>
      <c r="H1181">
        <f>'T_TTAFStock'!F33</f>
        <v/>
      </c>
      <c r="I1181">
        <f>'T_TTAFStock'!G33</f>
        <v/>
      </c>
      <c r="J1181">
        <f>'T_TTAFStock'!H33</f>
        <v/>
      </c>
      <c r="K1181">
        <f>'T_TTAFStock'!I33</f>
        <v/>
      </c>
      <c r="L1181">
        <f>'T_TTAFStock'!J33</f>
        <v/>
      </c>
      <c r="M1181">
        <f>'T_TTAFStock'!K33</f>
        <v/>
      </c>
      <c r="N1181">
        <f>'T_TTAFStock'!L33</f>
        <v/>
      </c>
      <c r="O1181">
        <f>'T_TTAFStock'!M33</f>
        <v/>
      </c>
      <c r="P1181">
        <f>'T_TTAFStock'!N33</f>
        <v/>
      </c>
      <c r="Q1181">
        <f>'T_TTAFStock'!O33</f>
        <v/>
      </c>
      <c r="R1181">
        <f>'T_TTAFStock'!P33</f>
        <v/>
      </c>
      <c r="S1181">
        <f>'T_TTAFStock'!Q33</f>
        <v/>
      </c>
      <c r="T1181">
        <f>'T_TTAFStock'!R33</f>
        <v/>
      </c>
      <c r="U1181">
        <f>'T_TTAFStock'!S33</f>
        <v/>
      </c>
      <c r="V1181">
        <f>'T_TTAFStock'!T33</f>
        <v/>
      </c>
      <c r="W1181">
        <f>'T_TTAFStock'!U33</f>
        <v/>
      </c>
      <c r="X1181">
        <f>'T_TTAFStock'!V33</f>
        <v/>
      </c>
      <c r="Y1181">
        <f>'T_TTAFStock'!W33</f>
        <v/>
      </c>
      <c r="Z1181">
        <f>'T_TTAFStock'!X33</f>
        <v/>
      </c>
      <c r="AA1181">
        <f>'T_TTAFStock'!Y33</f>
        <v/>
      </c>
      <c r="AB1181">
        <f>'T_TTAFStock'!Z33</f>
        <v/>
      </c>
      <c r="AC1181">
        <f>'T_TTAFStock'!AA33</f>
        <v/>
      </c>
      <c r="AD1181">
        <f>'T_TTAFStock'!AB33</f>
        <v/>
      </c>
      <c r="AE1181">
        <f>'T_TTAFStock'!AC33</f>
        <v/>
      </c>
      <c r="AF1181">
        <f>'T_TTAFStock'!AD33</f>
        <v/>
      </c>
      <c r="AG1181">
        <f>'T_TTAFStock'!AE33</f>
        <v/>
      </c>
      <c r="AH1181">
        <f>'T_TTAFStock'!AF33</f>
        <v/>
      </c>
      <c r="AI1181">
        <f>'T_TTAFStock'!AG33</f>
        <v/>
      </c>
      <c r="AJ1181">
        <f>'T_TTAFStock'!AH33</f>
        <v/>
      </c>
      <c r="AK1181">
        <f>'T_TTAFStock'!AI33</f>
        <v/>
      </c>
      <c r="AL1181">
        <f>'T_TTAFStock'!AJ33</f>
        <v/>
      </c>
      <c r="AM1181">
        <f>'T_TTAFStock'!AK33</f>
        <v/>
      </c>
      <c r="AN1181">
        <f>'T_TTAFStock'!AL33</f>
        <v/>
      </c>
      <c r="AO1181">
        <f>'T_TTAFStock'!AM33</f>
        <v/>
      </c>
      <c r="AP1181">
        <f>'T_TTAFStock'!AN33</f>
        <v/>
      </c>
      <c r="AQ1181">
        <f>'T_TTAFStock'!AO33</f>
        <v/>
      </c>
      <c r="AR1181">
        <f>'T_TTAFStock'!AP33</f>
        <v/>
      </c>
      <c r="AS1181">
        <f>'T_TTAFStock'!AQ33</f>
        <v/>
      </c>
      <c r="AT1181">
        <f>'T_TTAFStock'!AR33</f>
        <v/>
      </c>
      <c r="AU1181">
        <f>'T_TTAFStock'!AS33</f>
        <v/>
      </c>
      <c r="AV1181">
        <f>'T_TTAFStock'!AT33</f>
        <v/>
      </c>
      <c r="AW1181">
        <f>'T_TTAFStock'!AU33</f>
        <v/>
      </c>
      <c r="AX1181">
        <f>'T_TTAFStock'!AV33</f>
        <v/>
      </c>
      <c r="AY1181">
        <f>'T_TTAFStock'!AW33</f>
        <v/>
      </c>
      <c r="AZ1181">
        <f>'T_TTAFStock'!AX33</f>
        <v/>
      </c>
      <c r="BA1181">
        <f>'T_TTAFStock'!AY33</f>
        <v/>
      </c>
      <c r="BB1181">
        <f>'T_TTAFStock'!AZ33</f>
        <v/>
      </c>
      <c r="BC1181">
        <f>'T_TTAFStock'!BA33</f>
        <v/>
      </c>
      <c r="BD1181">
        <f>'T_TTAFStock'!BB33</f>
        <v/>
      </c>
      <c r="BE1181">
        <f>'T_TTAFStock'!BC33</f>
        <v/>
      </c>
      <c r="BF1181">
        <f>'T_TTAFStock'!BD33</f>
        <v/>
      </c>
      <c r="BG1181">
        <f>'T_TTAFStock'!BE33</f>
        <v/>
      </c>
      <c r="BH1181">
        <f>'T_TTAFStock'!BF33</f>
        <v/>
      </c>
      <c r="BI1181">
        <f>'T_TTAFStock'!BG33</f>
        <v/>
      </c>
      <c r="BJ1181">
        <f>'T_TTAFStock'!BH33</f>
        <v/>
      </c>
      <c r="BK1181">
        <f>'T_TTAFStock'!BI33</f>
        <v/>
      </c>
      <c r="BL1181">
        <f>'T_TTAFStock'!BJ33</f>
        <v/>
      </c>
      <c r="BM1181">
        <f>'T_TTAFStock'!BK33</f>
        <v/>
      </c>
      <c r="BN1181">
        <f>'T_TTAFStock'!BL33</f>
        <v/>
      </c>
      <c r="BO1181">
        <f>'T_TTAFStock'!BM33</f>
        <v/>
      </c>
      <c r="BP1181">
        <f>'T_TTAFStock'!BN33</f>
        <v/>
      </c>
      <c r="BQ1181">
        <f>'T_TTAFStock'!BO33</f>
        <v/>
      </c>
      <c r="BR1181">
        <f>'T_TTAFStock'!BP33</f>
        <v/>
      </c>
      <c r="BS1181">
        <f>'T_TTAFStock'!BQ33</f>
        <v/>
      </c>
      <c r="BT1181">
        <f>'T_TTAFStock'!BR33</f>
        <v/>
      </c>
      <c r="BU1181">
        <f>'T_TTAFStock'!BS33</f>
        <v/>
      </c>
      <c r="BV1181">
        <f>'T_TTAFStock'!BT33</f>
        <v/>
      </c>
      <c r="BW1181">
        <f>'T_TTAFStock'!BU33</f>
        <v/>
      </c>
      <c r="BX1181">
        <f>'T_TTAFStock'!BV33</f>
        <v/>
      </c>
      <c r="BY1181">
        <f>'T_TTAFStock'!BW33</f>
        <v/>
      </c>
      <c r="BZ1181">
        <f>'T_TTAFStock'!BX33</f>
        <v/>
      </c>
      <c r="CA1181">
        <f>'T_TTAFStock'!BY33</f>
        <v/>
      </c>
      <c r="CB1181">
        <f>'T_TTAFStock'!BZ33</f>
        <v/>
      </c>
      <c r="CC1181">
        <f>'T_TTAFStock'!CA33</f>
        <v/>
      </c>
      <c r="CD1181">
        <f>'T_TTAFStock'!CB33</f>
        <v/>
      </c>
      <c r="CE1181">
        <f>'T_TTAFStock'!CC33</f>
        <v/>
      </c>
      <c r="CF1181">
        <f>'T_TTAFStock'!CD33</f>
        <v/>
      </c>
      <c r="CG1181">
        <f>'T_TTAFStock'!CE33</f>
        <v/>
      </c>
      <c r="CH1181">
        <f>'T_TTAFStock'!CF33</f>
        <v/>
      </c>
      <c r="CI1181">
        <f>'T_TTAFStock'!CG33</f>
        <v/>
      </c>
      <c r="CJ1181">
        <f>'T_TTAFStock'!CH33</f>
        <v/>
      </c>
      <c r="CK1181">
        <f>'T_TTAFStock'!CI33</f>
        <v/>
      </c>
      <c r="CL1181">
        <f>'T_TTAFStock'!CJ33</f>
        <v/>
      </c>
      <c r="CM1181">
        <f>'T_TTAFStock'!CK33</f>
        <v/>
      </c>
      <c r="CN1181">
        <f>'T_TTAFStock'!CL33</f>
        <v/>
      </c>
      <c r="CO1181">
        <f>'T_TTAFStock'!CM33</f>
        <v/>
      </c>
      <c r="CP1181">
        <f>'T_TTAFStock'!CN33</f>
        <v/>
      </c>
      <c r="CQ1181">
        <f>'T_TTAFStock'!CO33</f>
        <v/>
      </c>
      <c r="CR1181">
        <f>'T_TTAFStock'!CP33</f>
        <v/>
      </c>
      <c r="CS1181">
        <f>'T_TTAFStock'!CQ33</f>
        <v/>
      </c>
      <c r="CT1181">
        <f>'T_TTAFStock'!CR33</f>
        <v/>
      </c>
      <c r="CU1181">
        <f>'T_TTAFStock'!CS33</f>
        <v/>
      </c>
      <c r="CV1181">
        <f>'T_TTAFStock'!CT33</f>
        <v/>
      </c>
      <c r="CW1181">
        <f>'T_TTAFStock'!CU33</f>
        <v/>
      </c>
      <c r="CX1181">
        <f>'T_TTAFStock'!CV33</f>
        <v/>
      </c>
      <c r="CY1181">
        <f>'T_TTAFStock'!CW33</f>
        <v/>
      </c>
      <c r="CZ1181">
        <f>'T_TTAFStock'!CX33</f>
        <v/>
      </c>
      <c r="DA1181">
        <f>'T_TTAFStock'!CY33</f>
        <v/>
      </c>
      <c r="DB1181">
        <f>'T_TTAFStock'!CZ33</f>
        <v/>
      </c>
      <c r="DC1181">
        <f>'T_TTAFStock'!DA33</f>
        <v/>
      </c>
    </row>
    <row r="1182">
      <c r="B1182" t="inlineStr">
        <is>
          <t>自社在庫(実績,kg)</t>
        </is>
      </c>
      <c r="D1182">
        <f>'T_SelfStock'!B33</f>
        <v/>
      </c>
      <c r="E1182">
        <f>'T_SelfStock'!C33</f>
        <v/>
      </c>
      <c r="F1182">
        <f>'T_SelfStock'!D33</f>
        <v/>
      </c>
      <c r="G1182">
        <f>'T_SelfStock'!E33</f>
        <v/>
      </c>
      <c r="H1182">
        <f>'T_SelfStock'!F33</f>
        <v/>
      </c>
      <c r="I1182">
        <f>'T_SelfStock'!G33</f>
        <v/>
      </c>
      <c r="J1182">
        <f>'T_SelfStock'!H33</f>
        <v/>
      </c>
      <c r="K1182">
        <f>'T_SelfStock'!I33</f>
        <v/>
      </c>
      <c r="L1182">
        <f>'T_SelfStock'!J33</f>
        <v/>
      </c>
      <c r="M1182">
        <f>'T_SelfStock'!K33</f>
        <v/>
      </c>
      <c r="N1182">
        <f>'T_SelfStock'!L33</f>
        <v/>
      </c>
      <c r="O1182">
        <f>'T_SelfStock'!M33</f>
        <v/>
      </c>
      <c r="P1182">
        <f>'T_SelfStock'!N33</f>
        <v/>
      </c>
      <c r="Q1182">
        <f>'T_SelfStock'!O33</f>
        <v/>
      </c>
      <c r="R1182">
        <f>'T_SelfStock'!P33</f>
        <v/>
      </c>
      <c r="S1182">
        <f>'T_SelfStock'!Q33</f>
        <v/>
      </c>
      <c r="T1182">
        <f>'T_SelfStock'!R33</f>
        <v/>
      </c>
      <c r="U1182">
        <f>'T_SelfStock'!S33</f>
        <v/>
      </c>
      <c r="V1182">
        <f>'T_SelfStock'!T33</f>
        <v/>
      </c>
      <c r="W1182">
        <f>'T_SelfStock'!U33</f>
        <v/>
      </c>
      <c r="X1182">
        <f>'T_SelfStock'!V33</f>
        <v/>
      </c>
      <c r="Y1182">
        <f>'T_SelfStock'!W33</f>
        <v/>
      </c>
      <c r="Z1182">
        <f>'T_SelfStock'!X33</f>
        <v/>
      </c>
      <c r="AA1182">
        <f>'T_SelfStock'!Y33</f>
        <v/>
      </c>
      <c r="AB1182">
        <f>'T_SelfStock'!Z33</f>
        <v/>
      </c>
      <c r="AC1182">
        <f>'T_SelfStock'!AA33</f>
        <v/>
      </c>
      <c r="AD1182">
        <f>'T_SelfStock'!AB33</f>
        <v/>
      </c>
      <c r="AE1182">
        <f>'T_SelfStock'!AC33</f>
        <v/>
      </c>
      <c r="AF1182">
        <f>'T_SelfStock'!AD33</f>
        <v/>
      </c>
      <c r="AG1182">
        <f>'T_SelfStock'!AE33</f>
        <v/>
      </c>
      <c r="AH1182">
        <f>'T_SelfStock'!AF33</f>
        <v/>
      </c>
      <c r="AI1182">
        <f>'T_SelfStock'!AG33</f>
        <v/>
      </c>
      <c r="AJ1182">
        <f>'T_SelfStock'!AH33</f>
        <v/>
      </c>
      <c r="AK1182">
        <f>'T_SelfStock'!AI33</f>
        <v/>
      </c>
      <c r="AL1182">
        <f>'T_SelfStock'!AJ33</f>
        <v/>
      </c>
      <c r="AM1182">
        <f>'T_SelfStock'!AK33</f>
        <v/>
      </c>
      <c r="AN1182">
        <f>'T_SelfStock'!AL33</f>
        <v/>
      </c>
      <c r="AO1182">
        <f>'T_SelfStock'!AM33</f>
        <v/>
      </c>
      <c r="AP1182">
        <f>'T_SelfStock'!AN33</f>
        <v/>
      </c>
      <c r="AQ1182">
        <f>'T_SelfStock'!AO33</f>
        <v/>
      </c>
      <c r="AR1182">
        <f>'T_SelfStock'!AP33</f>
        <v/>
      </c>
      <c r="AS1182">
        <f>'T_SelfStock'!AQ33</f>
        <v/>
      </c>
      <c r="AT1182">
        <f>'T_SelfStock'!AR33</f>
        <v/>
      </c>
      <c r="AU1182">
        <f>'T_SelfStock'!AS33</f>
        <v/>
      </c>
      <c r="AV1182">
        <f>'T_SelfStock'!AT33</f>
        <v/>
      </c>
      <c r="AW1182">
        <f>'T_SelfStock'!AU33</f>
        <v/>
      </c>
      <c r="AX1182">
        <f>'T_SelfStock'!AV33</f>
        <v/>
      </c>
      <c r="AY1182">
        <f>'T_SelfStock'!AW33</f>
        <v/>
      </c>
      <c r="AZ1182">
        <f>'T_SelfStock'!AX33</f>
        <v/>
      </c>
      <c r="BA1182">
        <f>'T_SelfStock'!AY33</f>
        <v/>
      </c>
      <c r="BB1182">
        <f>'T_SelfStock'!AZ33</f>
        <v/>
      </c>
      <c r="BC1182">
        <f>'T_SelfStock'!BA33</f>
        <v/>
      </c>
      <c r="BD1182">
        <f>'T_SelfStock'!BB33</f>
        <v/>
      </c>
      <c r="BE1182">
        <f>'T_SelfStock'!BC33</f>
        <v/>
      </c>
      <c r="BF1182">
        <f>'T_SelfStock'!BD33</f>
        <v/>
      </c>
      <c r="BG1182">
        <f>'T_SelfStock'!BE33</f>
        <v/>
      </c>
      <c r="BH1182">
        <f>'T_SelfStock'!BF33</f>
        <v/>
      </c>
      <c r="BI1182">
        <f>'T_SelfStock'!BG33</f>
        <v/>
      </c>
      <c r="BJ1182">
        <f>'T_SelfStock'!BH33</f>
        <v/>
      </c>
      <c r="BK1182">
        <f>'T_SelfStock'!BI33</f>
        <v/>
      </c>
      <c r="BL1182">
        <f>'T_SelfStock'!BJ33</f>
        <v/>
      </c>
      <c r="BM1182">
        <f>'T_SelfStock'!BK33</f>
        <v/>
      </c>
      <c r="BN1182">
        <f>'T_SelfStock'!BL33</f>
        <v/>
      </c>
      <c r="BO1182">
        <f>'T_SelfStock'!BM33</f>
        <v/>
      </c>
      <c r="BP1182">
        <f>'T_SelfStock'!BN33</f>
        <v/>
      </c>
      <c r="BQ1182">
        <f>'T_SelfStock'!BO33</f>
        <v/>
      </c>
      <c r="BR1182">
        <f>'T_SelfStock'!BP33</f>
        <v/>
      </c>
      <c r="BS1182">
        <f>'T_SelfStock'!BQ33</f>
        <v/>
      </c>
      <c r="BT1182">
        <f>'T_SelfStock'!BR33</f>
        <v/>
      </c>
      <c r="BU1182">
        <f>'T_SelfStock'!BS33</f>
        <v/>
      </c>
      <c r="BV1182">
        <f>'T_SelfStock'!BT33</f>
        <v/>
      </c>
      <c r="BW1182">
        <f>'T_SelfStock'!BU33</f>
        <v/>
      </c>
      <c r="BX1182">
        <f>'T_SelfStock'!BV33</f>
        <v/>
      </c>
      <c r="BY1182">
        <f>'T_SelfStock'!BW33</f>
        <v/>
      </c>
      <c r="BZ1182">
        <f>'T_SelfStock'!BX33</f>
        <v/>
      </c>
      <c r="CA1182">
        <f>'T_SelfStock'!BY33</f>
        <v/>
      </c>
      <c r="CB1182">
        <f>'T_SelfStock'!BZ33</f>
        <v/>
      </c>
      <c r="CC1182">
        <f>'T_SelfStock'!CA33</f>
        <v/>
      </c>
      <c r="CD1182">
        <f>'T_SelfStock'!CB33</f>
        <v/>
      </c>
      <c r="CE1182">
        <f>'T_SelfStock'!CC33</f>
        <v/>
      </c>
      <c r="CF1182">
        <f>'T_SelfStock'!CD33</f>
        <v/>
      </c>
      <c r="CG1182">
        <f>'T_SelfStock'!CE33</f>
        <v/>
      </c>
      <c r="CH1182">
        <f>'T_SelfStock'!CF33</f>
        <v/>
      </c>
      <c r="CI1182">
        <f>'T_SelfStock'!CG33</f>
        <v/>
      </c>
      <c r="CJ1182">
        <f>'T_SelfStock'!CH33</f>
        <v/>
      </c>
      <c r="CK1182">
        <f>'T_SelfStock'!CI33</f>
        <v/>
      </c>
      <c r="CL1182">
        <f>'T_SelfStock'!CJ33</f>
        <v/>
      </c>
      <c r="CM1182">
        <f>'T_SelfStock'!CK33</f>
        <v/>
      </c>
      <c r="CN1182">
        <f>'T_SelfStock'!CL33</f>
        <v/>
      </c>
      <c r="CO1182">
        <f>'T_SelfStock'!CM33</f>
        <v/>
      </c>
      <c r="CP1182">
        <f>'T_SelfStock'!CN33</f>
        <v/>
      </c>
      <c r="CQ1182">
        <f>'T_SelfStock'!CO33</f>
        <v/>
      </c>
      <c r="CR1182">
        <f>'T_SelfStock'!CP33</f>
        <v/>
      </c>
      <c r="CS1182">
        <f>'T_SelfStock'!CQ33</f>
        <v/>
      </c>
      <c r="CT1182">
        <f>'T_SelfStock'!CR33</f>
        <v/>
      </c>
      <c r="CU1182">
        <f>'T_SelfStock'!CS33</f>
        <v/>
      </c>
      <c r="CV1182">
        <f>'T_SelfStock'!CT33</f>
        <v/>
      </c>
      <c r="CW1182">
        <f>'T_SelfStock'!CU33</f>
        <v/>
      </c>
      <c r="CX1182">
        <f>'T_SelfStock'!CV33</f>
        <v/>
      </c>
      <c r="CY1182">
        <f>'T_SelfStock'!CW33</f>
        <v/>
      </c>
      <c r="CZ1182">
        <f>'T_SelfStock'!CX33</f>
        <v/>
      </c>
      <c r="DA1182">
        <f>'T_SelfStock'!CY33</f>
        <v/>
      </c>
      <c r="DB1182">
        <f>'T_SelfStock'!CZ33</f>
        <v/>
      </c>
      <c r="DC1182">
        <f>'T_SelfStock'!DA33</f>
        <v/>
      </c>
    </row>
    <row r="1183">
      <c r="B1183" t="inlineStr">
        <is>
          <t>Order(発注予定,kg)</t>
        </is>
      </c>
      <c r="D1183">
        <f>IF(SUMIFS(T_PlannedOrders[EffectiveQty],T_PlannedOrders[Part Name],$A1175,T_PlannedOrders[WeekIndex],1)=0,"",SUMIFS(T_PlannedOrders[EffectiveQty],T_PlannedOrders[Part Name],$A1175,T_PlannedOrders[WeekIndex],1)&amp;" ("&amp;TEXT(SUMPRODUCT(MAX((T_PlannedOrders[Part Name]=$A1175)*(T_PlannedOrders[WeekIndex]=1)*(T_PlannedOrders[EffectiveQty]&gt;0)*T_PlannedOrders[Order_Month])),"m月")&amp;"発注)")</f>
        <v/>
      </c>
      <c r="E1183">
        <f>IF(SUMIFS(T_PlannedOrders[EffectiveQty],T_PlannedOrders[Part Name],$A1175,T_PlannedOrders[WeekIndex],2)=0,"",SUMIFS(T_PlannedOrders[EffectiveQty],T_PlannedOrders[Part Name],$A1175,T_PlannedOrders[WeekIndex],2)&amp;" ("&amp;TEXT(SUMPRODUCT(MAX((T_PlannedOrders[Part Name]=$A1175)*(T_PlannedOrders[WeekIndex]=2)*(T_PlannedOrders[EffectiveQty]&gt;0)*T_PlannedOrders[Order_Month])),"m月")&amp;"発注)")</f>
        <v/>
      </c>
      <c r="F1183">
        <f>IF(SUMIFS(T_PlannedOrders[EffectiveQty],T_PlannedOrders[Part Name],$A1175,T_PlannedOrders[WeekIndex],3)=0,"",SUMIFS(T_PlannedOrders[EffectiveQty],T_PlannedOrders[Part Name],$A1175,T_PlannedOrders[WeekIndex],3)&amp;" ("&amp;TEXT(SUMPRODUCT(MAX((T_PlannedOrders[Part Name]=$A1175)*(T_PlannedOrders[WeekIndex]=3)*(T_PlannedOrders[EffectiveQty]&gt;0)*T_PlannedOrders[Order_Month])),"m月")&amp;"発注)")</f>
        <v/>
      </c>
      <c r="G1183">
        <f>IF(SUMIFS(T_PlannedOrders[EffectiveQty],T_PlannedOrders[Part Name],$A1175,T_PlannedOrders[WeekIndex],4)=0,"",SUMIFS(T_PlannedOrders[EffectiveQty],T_PlannedOrders[Part Name],$A1175,T_PlannedOrders[WeekIndex],4)&amp;" ("&amp;TEXT(SUMPRODUCT(MAX((T_PlannedOrders[Part Name]=$A1175)*(T_PlannedOrders[WeekIndex]=4)*(T_PlannedOrders[EffectiveQty]&gt;0)*T_PlannedOrders[Order_Month])),"m月")&amp;"発注)")</f>
        <v/>
      </c>
      <c r="H1183">
        <f>IF(SUMIFS(T_PlannedOrders[EffectiveQty],T_PlannedOrders[Part Name],$A1175,T_PlannedOrders[WeekIndex],5)=0,"",SUMIFS(T_PlannedOrders[EffectiveQty],T_PlannedOrders[Part Name],$A1175,T_PlannedOrders[WeekIndex],5)&amp;" ("&amp;TEXT(SUMPRODUCT(MAX((T_PlannedOrders[Part Name]=$A1175)*(T_PlannedOrders[WeekIndex]=5)*(T_PlannedOrders[EffectiveQty]&gt;0)*T_PlannedOrders[Order_Month])),"m月")&amp;"発注)")</f>
        <v/>
      </c>
      <c r="I1183">
        <f>IF(SUMIFS(T_PlannedOrders[EffectiveQty],T_PlannedOrders[Part Name],$A1175,T_PlannedOrders[WeekIndex],6)=0,"",SUMIFS(T_PlannedOrders[EffectiveQty],T_PlannedOrders[Part Name],$A1175,T_PlannedOrders[WeekIndex],6)&amp;" ("&amp;TEXT(SUMPRODUCT(MAX((T_PlannedOrders[Part Name]=$A1175)*(T_PlannedOrders[WeekIndex]=6)*(T_PlannedOrders[EffectiveQty]&gt;0)*T_PlannedOrders[Order_Month])),"m月")&amp;"発注)")</f>
        <v/>
      </c>
      <c r="J1183">
        <f>IF(SUMIFS(T_PlannedOrders[EffectiveQty],T_PlannedOrders[Part Name],$A1175,T_PlannedOrders[WeekIndex],7)=0,"",SUMIFS(T_PlannedOrders[EffectiveQty],T_PlannedOrders[Part Name],$A1175,T_PlannedOrders[WeekIndex],7)&amp;" ("&amp;TEXT(SUMPRODUCT(MAX((T_PlannedOrders[Part Name]=$A1175)*(T_PlannedOrders[WeekIndex]=7)*(T_PlannedOrders[EffectiveQty]&gt;0)*T_PlannedOrders[Order_Month])),"m月")&amp;"発注)")</f>
        <v/>
      </c>
      <c r="K1183">
        <f>IF(SUMIFS(T_PlannedOrders[EffectiveQty],T_PlannedOrders[Part Name],$A1175,T_PlannedOrders[WeekIndex],8)=0,"",SUMIFS(T_PlannedOrders[EffectiveQty],T_PlannedOrders[Part Name],$A1175,T_PlannedOrders[WeekIndex],8)&amp;" ("&amp;TEXT(SUMPRODUCT(MAX((T_PlannedOrders[Part Name]=$A1175)*(T_PlannedOrders[WeekIndex]=8)*(T_PlannedOrders[EffectiveQty]&gt;0)*T_PlannedOrders[Order_Month])),"m月")&amp;"発注)")</f>
        <v/>
      </c>
      <c r="L1183">
        <f>IF(SUMIFS(T_PlannedOrders[EffectiveQty],T_PlannedOrders[Part Name],$A1175,T_PlannedOrders[WeekIndex],9)=0,"",SUMIFS(T_PlannedOrders[EffectiveQty],T_PlannedOrders[Part Name],$A1175,T_PlannedOrders[WeekIndex],9)&amp;" ("&amp;TEXT(SUMPRODUCT(MAX((T_PlannedOrders[Part Name]=$A1175)*(T_PlannedOrders[WeekIndex]=9)*(T_PlannedOrders[EffectiveQty]&gt;0)*T_PlannedOrders[Order_Month])),"m月")&amp;"発注)")</f>
        <v/>
      </c>
      <c r="M1183">
        <f>IF(SUMIFS(T_PlannedOrders[EffectiveQty],T_PlannedOrders[Part Name],$A1175,T_PlannedOrders[WeekIndex],10)=0,"",SUMIFS(T_PlannedOrders[EffectiveQty],T_PlannedOrders[Part Name],$A1175,T_PlannedOrders[WeekIndex],10)&amp;" ("&amp;TEXT(SUMPRODUCT(MAX((T_PlannedOrders[Part Name]=$A1175)*(T_PlannedOrders[WeekIndex]=10)*(T_PlannedOrders[EffectiveQty]&gt;0)*T_PlannedOrders[Order_Month])),"m月")&amp;"発注)")</f>
        <v/>
      </c>
      <c r="N1183">
        <f>IF(SUMIFS(T_PlannedOrders[EffectiveQty],T_PlannedOrders[Part Name],$A1175,T_PlannedOrders[WeekIndex],11)=0,"",SUMIFS(T_PlannedOrders[EffectiveQty],T_PlannedOrders[Part Name],$A1175,T_PlannedOrders[WeekIndex],11)&amp;" ("&amp;TEXT(SUMPRODUCT(MAX((T_PlannedOrders[Part Name]=$A1175)*(T_PlannedOrders[WeekIndex]=11)*(T_PlannedOrders[EffectiveQty]&gt;0)*T_PlannedOrders[Order_Month])),"m月")&amp;"発注)")</f>
        <v/>
      </c>
      <c r="O1183">
        <f>IF(SUMIFS(T_PlannedOrders[EffectiveQty],T_PlannedOrders[Part Name],$A1175,T_PlannedOrders[WeekIndex],12)=0,"",SUMIFS(T_PlannedOrders[EffectiveQty],T_PlannedOrders[Part Name],$A1175,T_PlannedOrders[WeekIndex],12)&amp;" ("&amp;TEXT(SUMPRODUCT(MAX((T_PlannedOrders[Part Name]=$A1175)*(T_PlannedOrders[WeekIndex]=12)*(T_PlannedOrders[EffectiveQty]&gt;0)*T_PlannedOrders[Order_Month])),"m月")&amp;"発注)")</f>
        <v/>
      </c>
      <c r="P1183">
        <f>IF(SUMIFS(T_PlannedOrders[EffectiveQty],T_PlannedOrders[Part Name],$A1175,T_PlannedOrders[WeekIndex],13)=0,"",SUMIFS(T_PlannedOrders[EffectiveQty],T_PlannedOrders[Part Name],$A1175,T_PlannedOrders[WeekIndex],13)&amp;" ("&amp;TEXT(SUMPRODUCT(MAX((T_PlannedOrders[Part Name]=$A1175)*(T_PlannedOrders[WeekIndex]=13)*(T_PlannedOrders[EffectiveQty]&gt;0)*T_PlannedOrders[Order_Month])),"m月")&amp;"発注)")</f>
        <v/>
      </c>
      <c r="Q1183">
        <f>IF(SUMIFS(T_PlannedOrders[EffectiveQty],T_PlannedOrders[Part Name],$A1175,T_PlannedOrders[WeekIndex],14)=0,"",SUMIFS(T_PlannedOrders[EffectiveQty],T_PlannedOrders[Part Name],$A1175,T_PlannedOrders[WeekIndex],14)&amp;" ("&amp;TEXT(SUMPRODUCT(MAX((T_PlannedOrders[Part Name]=$A1175)*(T_PlannedOrders[WeekIndex]=14)*(T_PlannedOrders[EffectiveQty]&gt;0)*T_PlannedOrders[Order_Month])),"m月")&amp;"発注)")</f>
        <v/>
      </c>
      <c r="R1183">
        <f>IF(SUMIFS(T_PlannedOrders[EffectiveQty],T_PlannedOrders[Part Name],$A1175,T_PlannedOrders[WeekIndex],15)=0,"",SUMIFS(T_PlannedOrders[EffectiveQty],T_PlannedOrders[Part Name],$A1175,T_PlannedOrders[WeekIndex],15)&amp;" ("&amp;TEXT(SUMPRODUCT(MAX((T_PlannedOrders[Part Name]=$A1175)*(T_PlannedOrders[WeekIndex]=15)*(T_PlannedOrders[EffectiveQty]&gt;0)*T_PlannedOrders[Order_Month])),"m月")&amp;"発注)")</f>
        <v/>
      </c>
      <c r="S1183">
        <f>IF(SUMIFS(T_PlannedOrders[EffectiveQty],T_PlannedOrders[Part Name],$A1175,T_PlannedOrders[WeekIndex],16)=0,"",SUMIFS(T_PlannedOrders[EffectiveQty],T_PlannedOrders[Part Name],$A1175,T_PlannedOrders[WeekIndex],16)&amp;" ("&amp;TEXT(SUMPRODUCT(MAX((T_PlannedOrders[Part Name]=$A1175)*(T_PlannedOrders[WeekIndex]=16)*(T_PlannedOrders[EffectiveQty]&gt;0)*T_PlannedOrders[Order_Month])),"m月")&amp;"発注)")</f>
        <v/>
      </c>
      <c r="T1183">
        <f>IF(SUMIFS(T_PlannedOrders[EffectiveQty],T_PlannedOrders[Part Name],$A1175,T_PlannedOrders[WeekIndex],17)=0,"",SUMIFS(T_PlannedOrders[EffectiveQty],T_PlannedOrders[Part Name],$A1175,T_PlannedOrders[WeekIndex],17)&amp;" ("&amp;TEXT(SUMPRODUCT(MAX((T_PlannedOrders[Part Name]=$A1175)*(T_PlannedOrders[WeekIndex]=17)*(T_PlannedOrders[EffectiveQty]&gt;0)*T_PlannedOrders[Order_Month])),"m月")&amp;"発注)")</f>
        <v/>
      </c>
      <c r="U1183">
        <f>IF(SUMIFS(T_PlannedOrders[EffectiveQty],T_PlannedOrders[Part Name],$A1175,T_PlannedOrders[WeekIndex],18)=0,"",SUMIFS(T_PlannedOrders[EffectiveQty],T_PlannedOrders[Part Name],$A1175,T_PlannedOrders[WeekIndex],18)&amp;" ("&amp;TEXT(SUMPRODUCT(MAX((T_PlannedOrders[Part Name]=$A1175)*(T_PlannedOrders[WeekIndex]=18)*(T_PlannedOrders[EffectiveQty]&gt;0)*T_PlannedOrders[Order_Month])),"m月")&amp;"発注)")</f>
        <v/>
      </c>
      <c r="V1183">
        <f>IF(SUMIFS(T_PlannedOrders[EffectiveQty],T_PlannedOrders[Part Name],$A1175,T_PlannedOrders[WeekIndex],19)=0,"",SUMIFS(T_PlannedOrders[EffectiveQty],T_PlannedOrders[Part Name],$A1175,T_PlannedOrders[WeekIndex],19)&amp;" ("&amp;TEXT(SUMPRODUCT(MAX((T_PlannedOrders[Part Name]=$A1175)*(T_PlannedOrders[WeekIndex]=19)*(T_PlannedOrders[EffectiveQty]&gt;0)*T_PlannedOrders[Order_Month])),"m月")&amp;"発注)")</f>
        <v/>
      </c>
      <c r="W1183">
        <f>IF(SUMIFS(T_PlannedOrders[EffectiveQty],T_PlannedOrders[Part Name],$A1175,T_PlannedOrders[WeekIndex],20)=0,"",SUMIFS(T_PlannedOrders[EffectiveQty],T_PlannedOrders[Part Name],$A1175,T_PlannedOrders[WeekIndex],20)&amp;" ("&amp;TEXT(SUMPRODUCT(MAX((T_PlannedOrders[Part Name]=$A1175)*(T_PlannedOrders[WeekIndex]=20)*(T_PlannedOrders[EffectiveQty]&gt;0)*T_PlannedOrders[Order_Month])),"m月")&amp;"発注)")</f>
        <v/>
      </c>
      <c r="X1183">
        <f>IF(SUMIFS(T_PlannedOrders[EffectiveQty],T_PlannedOrders[Part Name],$A1175,T_PlannedOrders[WeekIndex],21)=0,"",SUMIFS(T_PlannedOrders[EffectiveQty],T_PlannedOrders[Part Name],$A1175,T_PlannedOrders[WeekIndex],21)&amp;" ("&amp;TEXT(SUMPRODUCT(MAX((T_PlannedOrders[Part Name]=$A1175)*(T_PlannedOrders[WeekIndex]=21)*(T_PlannedOrders[EffectiveQty]&gt;0)*T_PlannedOrders[Order_Month])),"m月")&amp;"発注)")</f>
        <v/>
      </c>
      <c r="Y1183">
        <f>IF(SUMIFS(T_PlannedOrders[EffectiveQty],T_PlannedOrders[Part Name],$A1175,T_PlannedOrders[WeekIndex],22)=0,"",SUMIFS(T_PlannedOrders[EffectiveQty],T_PlannedOrders[Part Name],$A1175,T_PlannedOrders[WeekIndex],22)&amp;" ("&amp;TEXT(SUMPRODUCT(MAX((T_PlannedOrders[Part Name]=$A1175)*(T_PlannedOrders[WeekIndex]=22)*(T_PlannedOrders[EffectiveQty]&gt;0)*T_PlannedOrders[Order_Month])),"m月")&amp;"発注)")</f>
        <v/>
      </c>
      <c r="Z1183">
        <f>IF(SUMIFS(T_PlannedOrders[EffectiveQty],T_PlannedOrders[Part Name],$A1175,T_PlannedOrders[WeekIndex],23)=0,"",SUMIFS(T_PlannedOrders[EffectiveQty],T_PlannedOrders[Part Name],$A1175,T_PlannedOrders[WeekIndex],23)&amp;" ("&amp;TEXT(SUMPRODUCT(MAX((T_PlannedOrders[Part Name]=$A1175)*(T_PlannedOrders[WeekIndex]=23)*(T_PlannedOrders[EffectiveQty]&gt;0)*T_PlannedOrders[Order_Month])),"m月")&amp;"発注)")</f>
        <v/>
      </c>
      <c r="AA1183">
        <f>IF(SUMIFS(T_PlannedOrders[EffectiveQty],T_PlannedOrders[Part Name],$A1175,T_PlannedOrders[WeekIndex],24)=0,"",SUMIFS(T_PlannedOrders[EffectiveQty],T_PlannedOrders[Part Name],$A1175,T_PlannedOrders[WeekIndex],24)&amp;" ("&amp;TEXT(SUMPRODUCT(MAX((T_PlannedOrders[Part Name]=$A1175)*(T_PlannedOrders[WeekIndex]=24)*(T_PlannedOrders[EffectiveQty]&gt;0)*T_PlannedOrders[Order_Month])),"m月")&amp;"発注)")</f>
        <v/>
      </c>
      <c r="AB1183">
        <f>IF(SUMIFS(T_PlannedOrders[EffectiveQty],T_PlannedOrders[Part Name],$A1175,T_PlannedOrders[WeekIndex],25)=0,"",SUMIFS(T_PlannedOrders[EffectiveQty],T_PlannedOrders[Part Name],$A1175,T_PlannedOrders[WeekIndex],25)&amp;" ("&amp;TEXT(SUMPRODUCT(MAX((T_PlannedOrders[Part Name]=$A1175)*(T_PlannedOrders[WeekIndex]=25)*(T_PlannedOrders[EffectiveQty]&gt;0)*T_PlannedOrders[Order_Month])),"m月")&amp;"発注)")</f>
        <v/>
      </c>
      <c r="AC1183">
        <f>IF(SUMIFS(T_PlannedOrders[EffectiveQty],T_PlannedOrders[Part Name],$A1175,T_PlannedOrders[WeekIndex],26)=0,"",SUMIFS(T_PlannedOrders[EffectiveQty],T_PlannedOrders[Part Name],$A1175,T_PlannedOrders[WeekIndex],26)&amp;" ("&amp;TEXT(SUMPRODUCT(MAX((T_PlannedOrders[Part Name]=$A1175)*(T_PlannedOrders[WeekIndex]=26)*(T_PlannedOrders[EffectiveQty]&gt;0)*T_PlannedOrders[Order_Month])),"m月")&amp;"発注)")</f>
        <v/>
      </c>
      <c r="AD1183">
        <f>IF(SUMIFS(T_PlannedOrders[EffectiveQty],T_PlannedOrders[Part Name],$A1175,T_PlannedOrders[WeekIndex],27)=0,"",SUMIFS(T_PlannedOrders[EffectiveQty],T_PlannedOrders[Part Name],$A1175,T_PlannedOrders[WeekIndex],27)&amp;" ("&amp;TEXT(SUMPRODUCT(MAX((T_PlannedOrders[Part Name]=$A1175)*(T_PlannedOrders[WeekIndex]=27)*(T_PlannedOrders[EffectiveQty]&gt;0)*T_PlannedOrders[Order_Month])),"m月")&amp;"発注)")</f>
        <v/>
      </c>
      <c r="AE1183">
        <f>IF(SUMIFS(T_PlannedOrders[EffectiveQty],T_PlannedOrders[Part Name],$A1175,T_PlannedOrders[WeekIndex],28)=0,"",SUMIFS(T_PlannedOrders[EffectiveQty],T_PlannedOrders[Part Name],$A1175,T_PlannedOrders[WeekIndex],28)&amp;" ("&amp;TEXT(SUMPRODUCT(MAX((T_PlannedOrders[Part Name]=$A1175)*(T_PlannedOrders[WeekIndex]=28)*(T_PlannedOrders[EffectiveQty]&gt;0)*T_PlannedOrders[Order_Month])),"m月")&amp;"発注)")</f>
        <v/>
      </c>
      <c r="AF1183">
        <f>IF(SUMIFS(T_PlannedOrders[EffectiveQty],T_PlannedOrders[Part Name],$A1175,T_PlannedOrders[WeekIndex],29)=0,"",SUMIFS(T_PlannedOrders[EffectiveQty],T_PlannedOrders[Part Name],$A1175,T_PlannedOrders[WeekIndex],29)&amp;" ("&amp;TEXT(SUMPRODUCT(MAX((T_PlannedOrders[Part Name]=$A1175)*(T_PlannedOrders[WeekIndex]=29)*(T_PlannedOrders[EffectiveQty]&gt;0)*T_PlannedOrders[Order_Month])),"m月")&amp;"発注)")</f>
        <v/>
      </c>
      <c r="AG1183">
        <f>IF(SUMIFS(T_PlannedOrders[EffectiveQty],T_PlannedOrders[Part Name],$A1175,T_PlannedOrders[WeekIndex],30)=0,"",SUMIFS(T_PlannedOrders[EffectiveQty],T_PlannedOrders[Part Name],$A1175,T_PlannedOrders[WeekIndex],30)&amp;" ("&amp;TEXT(SUMPRODUCT(MAX((T_PlannedOrders[Part Name]=$A1175)*(T_PlannedOrders[WeekIndex]=30)*(T_PlannedOrders[EffectiveQty]&gt;0)*T_PlannedOrders[Order_Month])),"m月")&amp;"発注)")</f>
        <v/>
      </c>
      <c r="AH1183">
        <f>IF(SUMIFS(T_PlannedOrders[EffectiveQty],T_PlannedOrders[Part Name],$A1175,T_PlannedOrders[WeekIndex],31)=0,"",SUMIFS(T_PlannedOrders[EffectiveQty],T_PlannedOrders[Part Name],$A1175,T_PlannedOrders[WeekIndex],31)&amp;" ("&amp;TEXT(SUMPRODUCT(MAX((T_PlannedOrders[Part Name]=$A1175)*(T_PlannedOrders[WeekIndex]=31)*(T_PlannedOrders[EffectiveQty]&gt;0)*T_PlannedOrders[Order_Month])),"m月")&amp;"発注)")</f>
        <v/>
      </c>
      <c r="AI1183">
        <f>IF(SUMIFS(T_PlannedOrders[EffectiveQty],T_PlannedOrders[Part Name],$A1175,T_PlannedOrders[WeekIndex],32)=0,"",SUMIFS(T_PlannedOrders[EffectiveQty],T_PlannedOrders[Part Name],$A1175,T_PlannedOrders[WeekIndex],32)&amp;" ("&amp;TEXT(SUMPRODUCT(MAX((T_PlannedOrders[Part Name]=$A1175)*(T_PlannedOrders[WeekIndex]=32)*(T_PlannedOrders[EffectiveQty]&gt;0)*T_PlannedOrders[Order_Month])),"m月")&amp;"発注)")</f>
        <v/>
      </c>
      <c r="AJ1183">
        <f>IF(SUMIFS(T_PlannedOrders[EffectiveQty],T_PlannedOrders[Part Name],$A1175,T_PlannedOrders[WeekIndex],33)=0,"",SUMIFS(T_PlannedOrders[EffectiveQty],T_PlannedOrders[Part Name],$A1175,T_PlannedOrders[WeekIndex],33)&amp;" ("&amp;TEXT(SUMPRODUCT(MAX((T_PlannedOrders[Part Name]=$A1175)*(T_PlannedOrders[WeekIndex]=33)*(T_PlannedOrders[EffectiveQty]&gt;0)*T_PlannedOrders[Order_Month])),"m月")&amp;"発注)")</f>
        <v/>
      </c>
      <c r="AK1183">
        <f>IF(SUMIFS(T_PlannedOrders[EffectiveQty],T_PlannedOrders[Part Name],$A1175,T_PlannedOrders[WeekIndex],34)=0,"",SUMIFS(T_PlannedOrders[EffectiveQty],T_PlannedOrders[Part Name],$A1175,T_PlannedOrders[WeekIndex],34)&amp;" ("&amp;TEXT(SUMPRODUCT(MAX((T_PlannedOrders[Part Name]=$A1175)*(T_PlannedOrders[WeekIndex]=34)*(T_PlannedOrders[EffectiveQty]&gt;0)*T_PlannedOrders[Order_Month])),"m月")&amp;"発注)")</f>
        <v/>
      </c>
      <c r="AL1183">
        <f>IF(SUMIFS(T_PlannedOrders[EffectiveQty],T_PlannedOrders[Part Name],$A1175,T_PlannedOrders[WeekIndex],35)=0,"",SUMIFS(T_PlannedOrders[EffectiveQty],T_PlannedOrders[Part Name],$A1175,T_PlannedOrders[WeekIndex],35)&amp;" ("&amp;TEXT(SUMPRODUCT(MAX((T_PlannedOrders[Part Name]=$A1175)*(T_PlannedOrders[WeekIndex]=35)*(T_PlannedOrders[EffectiveQty]&gt;0)*T_PlannedOrders[Order_Month])),"m月")&amp;"発注)")</f>
        <v/>
      </c>
      <c r="AM1183">
        <f>IF(SUMIFS(T_PlannedOrders[EffectiveQty],T_PlannedOrders[Part Name],$A1175,T_PlannedOrders[WeekIndex],36)=0,"",SUMIFS(T_PlannedOrders[EffectiveQty],T_PlannedOrders[Part Name],$A1175,T_PlannedOrders[WeekIndex],36)&amp;" ("&amp;TEXT(SUMPRODUCT(MAX((T_PlannedOrders[Part Name]=$A1175)*(T_PlannedOrders[WeekIndex]=36)*(T_PlannedOrders[EffectiveQty]&gt;0)*T_PlannedOrders[Order_Month])),"m月")&amp;"発注)")</f>
        <v/>
      </c>
      <c r="AN1183">
        <f>IF(SUMIFS(T_PlannedOrders[EffectiveQty],T_PlannedOrders[Part Name],$A1175,T_PlannedOrders[WeekIndex],37)=0,"",SUMIFS(T_PlannedOrders[EffectiveQty],T_PlannedOrders[Part Name],$A1175,T_PlannedOrders[WeekIndex],37)&amp;" ("&amp;TEXT(SUMPRODUCT(MAX((T_PlannedOrders[Part Name]=$A1175)*(T_PlannedOrders[WeekIndex]=37)*(T_PlannedOrders[EffectiveQty]&gt;0)*T_PlannedOrders[Order_Month])),"m月")&amp;"発注)")</f>
        <v/>
      </c>
      <c r="AO1183">
        <f>IF(SUMIFS(T_PlannedOrders[EffectiveQty],T_PlannedOrders[Part Name],$A1175,T_PlannedOrders[WeekIndex],38)=0,"",SUMIFS(T_PlannedOrders[EffectiveQty],T_PlannedOrders[Part Name],$A1175,T_PlannedOrders[WeekIndex],38)&amp;" ("&amp;TEXT(SUMPRODUCT(MAX((T_PlannedOrders[Part Name]=$A1175)*(T_PlannedOrders[WeekIndex]=38)*(T_PlannedOrders[EffectiveQty]&gt;0)*T_PlannedOrders[Order_Month])),"m月")&amp;"発注)")</f>
        <v/>
      </c>
      <c r="AP1183">
        <f>IF(SUMIFS(T_PlannedOrders[EffectiveQty],T_PlannedOrders[Part Name],$A1175,T_PlannedOrders[WeekIndex],39)=0,"",SUMIFS(T_PlannedOrders[EffectiveQty],T_PlannedOrders[Part Name],$A1175,T_PlannedOrders[WeekIndex],39)&amp;" ("&amp;TEXT(SUMPRODUCT(MAX((T_PlannedOrders[Part Name]=$A1175)*(T_PlannedOrders[WeekIndex]=39)*(T_PlannedOrders[EffectiveQty]&gt;0)*T_PlannedOrders[Order_Month])),"m月")&amp;"発注)")</f>
        <v/>
      </c>
      <c r="AQ1183">
        <f>IF(SUMIFS(T_PlannedOrders[EffectiveQty],T_PlannedOrders[Part Name],$A1175,T_PlannedOrders[WeekIndex],40)=0,"",SUMIFS(T_PlannedOrders[EffectiveQty],T_PlannedOrders[Part Name],$A1175,T_PlannedOrders[WeekIndex],40)&amp;" ("&amp;TEXT(SUMPRODUCT(MAX((T_PlannedOrders[Part Name]=$A1175)*(T_PlannedOrders[WeekIndex]=40)*(T_PlannedOrders[EffectiveQty]&gt;0)*T_PlannedOrders[Order_Month])),"m月")&amp;"発注)")</f>
        <v/>
      </c>
      <c r="AR1183">
        <f>IF(SUMIFS(T_PlannedOrders[EffectiveQty],T_PlannedOrders[Part Name],$A1175,T_PlannedOrders[WeekIndex],41)=0,"",SUMIFS(T_PlannedOrders[EffectiveQty],T_PlannedOrders[Part Name],$A1175,T_PlannedOrders[WeekIndex],41)&amp;" ("&amp;TEXT(SUMPRODUCT(MAX((T_PlannedOrders[Part Name]=$A1175)*(T_PlannedOrders[WeekIndex]=41)*(T_PlannedOrders[EffectiveQty]&gt;0)*T_PlannedOrders[Order_Month])),"m月")&amp;"発注)")</f>
        <v/>
      </c>
      <c r="AS1183">
        <f>IF(SUMIFS(T_PlannedOrders[EffectiveQty],T_PlannedOrders[Part Name],$A1175,T_PlannedOrders[WeekIndex],42)=0,"",SUMIFS(T_PlannedOrders[EffectiveQty],T_PlannedOrders[Part Name],$A1175,T_PlannedOrders[WeekIndex],42)&amp;" ("&amp;TEXT(SUMPRODUCT(MAX((T_PlannedOrders[Part Name]=$A1175)*(T_PlannedOrders[WeekIndex]=42)*(T_PlannedOrders[EffectiveQty]&gt;0)*T_PlannedOrders[Order_Month])),"m月")&amp;"発注)")</f>
        <v/>
      </c>
      <c r="AT1183">
        <f>IF(SUMIFS(T_PlannedOrders[EffectiveQty],T_PlannedOrders[Part Name],$A1175,T_PlannedOrders[WeekIndex],43)=0,"",SUMIFS(T_PlannedOrders[EffectiveQty],T_PlannedOrders[Part Name],$A1175,T_PlannedOrders[WeekIndex],43)&amp;" ("&amp;TEXT(SUMPRODUCT(MAX((T_PlannedOrders[Part Name]=$A1175)*(T_PlannedOrders[WeekIndex]=43)*(T_PlannedOrders[EffectiveQty]&gt;0)*T_PlannedOrders[Order_Month])),"m月")&amp;"発注)")</f>
        <v/>
      </c>
      <c r="AU1183">
        <f>IF(SUMIFS(T_PlannedOrders[EffectiveQty],T_PlannedOrders[Part Name],$A1175,T_PlannedOrders[WeekIndex],44)=0,"",SUMIFS(T_PlannedOrders[EffectiveQty],T_PlannedOrders[Part Name],$A1175,T_PlannedOrders[WeekIndex],44)&amp;" ("&amp;TEXT(SUMPRODUCT(MAX((T_PlannedOrders[Part Name]=$A1175)*(T_PlannedOrders[WeekIndex]=44)*(T_PlannedOrders[EffectiveQty]&gt;0)*T_PlannedOrders[Order_Month])),"m月")&amp;"発注)")</f>
        <v/>
      </c>
      <c r="AV1183">
        <f>IF(SUMIFS(T_PlannedOrders[EffectiveQty],T_PlannedOrders[Part Name],$A1175,T_PlannedOrders[WeekIndex],45)=0,"",SUMIFS(T_PlannedOrders[EffectiveQty],T_PlannedOrders[Part Name],$A1175,T_PlannedOrders[WeekIndex],45)&amp;" ("&amp;TEXT(SUMPRODUCT(MAX((T_PlannedOrders[Part Name]=$A1175)*(T_PlannedOrders[WeekIndex]=45)*(T_PlannedOrders[EffectiveQty]&gt;0)*T_PlannedOrders[Order_Month])),"m月")&amp;"発注)")</f>
        <v/>
      </c>
      <c r="AW1183">
        <f>IF(SUMIFS(T_PlannedOrders[EffectiveQty],T_PlannedOrders[Part Name],$A1175,T_PlannedOrders[WeekIndex],46)=0,"",SUMIFS(T_PlannedOrders[EffectiveQty],T_PlannedOrders[Part Name],$A1175,T_PlannedOrders[WeekIndex],46)&amp;" ("&amp;TEXT(SUMPRODUCT(MAX((T_PlannedOrders[Part Name]=$A1175)*(T_PlannedOrders[WeekIndex]=46)*(T_PlannedOrders[EffectiveQty]&gt;0)*T_PlannedOrders[Order_Month])),"m月")&amp;"発注)")</f>
        <v/>
      </c>
      <c r="AX1183">
        <f>IF(SUMIFS(T_PlannedOrders[EffectiveQty],T_PlannedOrders[Part Name],$A1175,T_PlannedOrders[WeekIndex],47)=0,"",SUMIFS(T_PlannedOrders[EffectiveQty],T_PlannedOrders[Part Name],$A1175,T_PlannedOrders[WeekIndex],47)&amp;" ("&amp;TEXT(SUMPRODUCT(MAX((T_PlannedOrders[Part Name]=$A1175)*(T_PlannedOrders[WeekIndex]=47)*(T_PlannedOrders[EffectiveQty]&gt;0)*T_PlannedOrders[Order_Month])),"m月")&amp;"発注)")</f>
        <v/>
      </c>
      <c r="AY1183">
        <f>IF(SUMIFS(T_PlannedOrders[EffectiveQty],T_PlannedOrders[Part Name],$A1175,T_PlannedOrders[WeekIndex],48)=0,"",SUMIFS(T_PlannedOrders[EffectiveQty],T_PlannedOrders[Part Name],$A1175,T_PlannedOrders[WeekIndex],48)&amp;" ("&amp;TEXT(SUMPRODUCT(MAX((T_PlannedOrders[Part Name]=$A1175)*(T_PlannedOrders[WeekIndex]=48)*(T_PlannedOrders[EffectiveQty]&gt;0)*T_PlannedOrders[Order_Month])),"m月")&amp;"発注)")</f>
        <v/>
      </c>
      <c r="AZ1183">
        <f>IF(SUMIFS(T_PlannedOrders[EffectiveQty],T_PlannedOrders[Part Name],$A1175,T_PlannedOrders[WeekIndex],49)=0,"",SUMIFS(T_PlannedOrders[EffectiveQty],T_PlannedOrders[Part Name],$A1175,T_PlannedOrders[WeekIndex],49)&amp;" ("&amp;TEXT(SUMPRODUCT(MAX((T_PlannedOrders[Part Name]=$A1175)*(T_PlannedOrders[WeekIndex]=49)*(T_PlannedOrders[EffectiveQty]&gt;0)*T_PlannedOrders[Order_Month])),"m月")&amp;"発注)")</f>
        <v/>
      </c>
      <c r="BA1183">
        <f>IF(SUMIFS(T_PlannedOrders[EffectiveQty],T_PlannedOrders[Part Name],$A1175,T_PlannedOrders[WeekIndex],50)=0,"",SUMIFS(T_PlannedOrders[EffectiveQty],T_PlannedOrders[Part Name],$A1175,T_PlannedOrders[WeekIndex],50)&amp;" ("&amp;TEXT(SUMPRODUCT(MAX((T_PlannedOrders[Part Name]=$A1175)*(T_PlannedOrders[WeekIndex]=50)*(T_PlannedOrders[EffectiveQty]&gt;0)*T_PlannedOrders[Order_Month])),"m月")&amp;"発注)")</f>
        <v/>
      </c>
      <c r="BB1183">
        <f>IF(SUMIFS(T_PlannedOrders[EffectiveQty],T_PlannedOrders[Part Name],$A1175,T_PlannedOrders[WeekIndex],51)=0,"",SUMIFS(T_PlannedOrders[EffectiveQty],T_PlannedOrders[Part Name],$A1175,T_PlannedOrders[WeekIndex],51)&amp;" ("&amp;TEXT(SUMPRODUCT(MAX((T_PlannedOrders[Part Name]=$A1175)*(T_PlannedOrders[WeekIndex]=51)*(T_PlannedOrders[EffectiveQty]&gt;0)*T_PlannedOrders[Order_Month])),"m月")&amp;"発注)")</f>
        <v/>
      </c>
      <c r="BC1183">
        <f>IF(SUMIFS(T_PlannedOrders[EffectiveQty],T_PlannedOrders[Part Name],$A1175,T_PlannedOrders[WeekIndex],52)=0,"",SUMIFS(T_PlannedOrders[EffectiveQty],T_PlannedOrders[Part Name],$A1175,T_PlannedOrders[WeekIndex],52)&amp;" ("&amp;TEXT(SUMPRODUCT(MAX((T_PlannedOrders[Part Name]=$A1175)*(T_PlannedOrders[WeekIndex]=52)*(T_PlannedOrders[EffectiveQty]&gt;0)*T_PlannedOrders[Order_Month])),"m月")&amp;"発注)")</f>
        <v/>
      </c>
      <c r="BD1183">
        <f>IF(SUMIFS(T_PlannedOrders[EffectiveQty],T_PlannedOrders[Part Name],$A1175,T_PlannedOrders[WeekIndex],53)=0,"",SUMIFS(T_PlannedOrders[EffectiveQty],T_PlannedOrders[Part Name],$A1175,T_PlannedOrders[WeekIndex],53)&amp;" ("&amp;TEXT(SUMPRODUCT(MAX((T_PlannedOrders[Part Name]=$A1175)*(T_PlannedOrders[WeekIndex]=53)*(T_PlannedOrders[EffectiveQty]&gt;0)*T_PlannedOrders[Order_Month])),"m月")&amp;"発注)")</f>
        <v/>
      </c>
      <c r="BE1183">
        <f>IF(SUMIFS(T_PlannedOrders[EffectiveQty],T_PlannedOrders[Part Name],$A1175,T_PlannedOrders[WeekIndex],54)=0,"",SUMIFS(T_PlannedOrders[EffectiveQty],T_PlannedOrders[Part Name],$A1175,T_PlannedOrders[WeekIndex],54)&amp;" ("&amp;TEXT(SUMPRODUCT(MAX((T_PlannedOrders[Part Name]=$A1175)*(T_PlannedOrders[WeekIndex]=54)*(T_PlannedOrders[EffectiveQty]&gt;0)*T_PlannedOrders[Order_Month])),"m月")&amp;"発注)")</f>
        <v/>
      </c>
      <c r="BF1183">
        <f>IF(SUMIFS(T_PlannedOrders[EffectiveQty],T_PlannedOrders[Part Name],$A1175,T_PlannedOrders[WeekIndex],55)=0,"",SUMIFS(T_PlannedOrders[EffectiveQty],T_PlannedOrders[Part Name],$A1175,T_PlannedOrders[WeekIndex],55)&amp;" ("&amp;TEXT(SUMPRODUCT(MAX((T_PlannedOrders[Part Name]=$A1175)*(T_PlannedOrders[WeekIndex]=55)*(T_PlannedOrders[EffectiveQty]&gt;0)*T_PlannedOrders[Order_Month])),"m月")&amp;"発注)")</f>
        <v/>
      </c>
      <c r="BG1183">
        <f>IF(SUMIFS(T_PlannedOrders[EffectiveQty],T_PlannedOrders[Part Name],$A1175,T_PlannedOrders[WeekIndex],56)=0,"",SUMIFS(T_PlannedOrders[EffectiveQty],T_PlannedOrders[Part Name],$A1175,T_PlannedOrders[WeekIndex],56)&amp;" ("&amp;TEXT(SUMPRODUCT(MAX((T_PlannedOrders[Part Name]=$A1175)*(T_PlannedOrders[WeekIndex]=56)*(T_PlannedOrders[EffectiveQty]&gt;0)*T_PlannedOrders[Order_Month])),"m月")&amp;"発注)")</f>
        <v/>
      </c>
      <c r="BH1183">
        <f>IF(SUMIFS(T_PlannedOrders[EffectiveQty],T_PlannedOrders[Part Name],$A1175,T_PlannedOrders[WeekIndex],57)=0,"",SUMIFS(T_PlannedOrders[EffectiveQty],T_PlannedOrders[Part Name],$A1175,T_PlannedOrders[WeekIndex],57)&amp;" ("&amp;TEXT(SUMPRODUCT(MAX((T_PlannedOrders[Part Name]=$A1175)*(T_PlannedOrders[WeekIndex]=57)*(T_PlannedOrders[EffectiveQty]&gt;0)*T_PlannedOrders[Order_Month])),"m月")&amp;"発注)")</f>
        <v/>
      </c>
      <c r="BI1183">
        <f>IF(SUMIFS(T_PlannedOrders[EffectiveQty],T_PlannedOrders[Part Name],$A1175,T_PlannedOrders[WeekIndex],58)=0,"",SUMIFS(T_PlannedOrders[EffectiveQty],T_PlannedOrders[Part Name],$A1175,T_PlannedOrders[WeekIndex],58)&amp;" ("&amp;TEXT(SUMPRODUCT(MAX((T_PlannedOrders[Part Name]=$A1175)*(T_PlannedOrders[WeekIndex]=58)*(T_PlannedOrders[EffectiveQty]&gt;0)*T_PlannedOrders[Order_Month])),"m月")&amp;"発注)")</f>
        <v/>
      </c>
      <c r="BJ1183">
        <f>IF(SUMIFS(T_PlannedOrders[EffectiveQty],T_PlannedOrders[Part Name],$A1175,T_PlannedOrders[WeekIndex],59)=0,"",SUMIFS(T_PlannedOrders[EffectiveQty],T_PlannedOrders[Part Name],$A1175,T_PlannedOrders[WeekIndex],59)&amp;" ("&amp;TEXT(SUMPRODUCT(MAX((T_PlannedOrders[Part Name]=$A1175)*(T_PlannedOrders[WeekIndex]=59)*(T_PlannedOrders[EffectiveQty]&gt;0)*T_PlannedOrders[Order_Month])),"m月")&amp;"発注)")</f>
        <v/>
      </c>
      <c r="BK1183">
        <f>IF(SUMIFS(T_PlannedOrders[EffectiveQty],T_PlannedOrders[Part Name],$A1175,T_PlannedOrders[WeekIndex],60)=0,"",SUMIFS(T_PlannedOrders[EffectiveQty],T_PlannedOrders[Part Name],$A1175,T_PlannedOrders[WeekIndex],60)&amp;" ("&amp;TEXT(SUMPRODUCT(MAX((T_PlannedOrders[Part Name]=$A1175)*(T_PlannedOrders[WeekIndex]=60)*(T_PlannedOrders[EffectiveQty]&gt;0)*T_PlannedOrders[Order_Month])),"m月")&amp;"発注)")</f>
        <v/>
      </c>
      <c r="BL1183">
        <f>IF(SUMIFS(T_PlannedOrders[EffectiveQty],T_PlannedOrders[Part Name],$A1175,T_PlannedOrders[WeekIndex],61)=0,"",SUMIFS(T_PlannedOrders[EffectiveQty],T_PlannedOrders[Part Name],$A1175,T_PlannedOrders[WeekIndex],61)&amp;" ("&amp;TEXT(SUMPRODUCT(MAX((T_PlannedOrders[Part Name]=$A1175)*(T_PlannedOrders[WeekIndex]=61)*(T_PlannedOrders[EffectiveQty]&gt;0)*T_PlannedOrders[Order_Month])),"m月")&amp;"発注)")</f>
        <v/>
      </c>
      <c r="BM1183">
        <f>IF(SUMIFS(T_PlannedOrders[EffectiveQty],T_PlannedOrders[Part Name],$A1175,T_PlannedOrders[WeekIndex],62)=0,"",SUMIFS(T_PlannedOrders[EffectiveQty],T_PlannedOrders[Part Name],$A1175,T_PlannedOrders[WeekIndex],62)&amp;" ("&amp;TEXT(SUMPRODUCT(MAX((T_PlannedOrders[Part Name]=$A1175)*(T_PlannedOrders[WeekIndex]=62)*(T_PlannedOrders[EffectiveQty]&gt;0)*T_PlannedOrders[Order_Month])),"m月")&amp;"発注)")</f>
        <v/>
      </c>
      <c r="BN1183">
        <f>IF(SUMIFS(T_PlannedOrders[EffectiveQty],T_PlannedOrders[Part Name],$A1175,T_PlannedOrders[WeekIndex],63)=0,"",SUMIFS(T_PlannedOrders[EffectiveQty],T_PlannedOrders[Part Name],$A1175,T_PlannedOrders[WeekIndex],63)&amp;" ("&amp;TEXT(SUMPRODUCT(MAX((T_PlannedOrders[Part Name]=$A1175)*(T_PlannedOrders[WeekIndex]=63)*(T_PlannedOrders[EffectiveQty]&gt;0)*T_PlannedOrders[Order_Month])),"m月")&amp;"発注)")</f>
        <v/>
      </c>
      <c r="BO1183">
        <f>IF(SUMIFS(T_PlannedOrders[EffectiveQty],T_PlannedOrders[Part Name],$A1175,T_PlannedOrders[WeekIndex],64)=0,"",SUMIFS(T_PlannedOrders[EffectiveQty],T_PlannedOrders[Part Name],$A1175,T_PlannedOrders[WeekIndex],64)&amp;" ("&amp;TEXT(SUMPRODUCT(MAX((T_PlannedOrders[Part Name]=$A1175)*(T_PlannedOrders[WeekIndex]=64)*(T_PlannedOrders[EffectiveQty]&gt;0)*T_PlannedOrders[Order_Month])),"m月")&amp;"発注)")</f>
        <v/>
      </c>
      <c r="BP1183">
        <f>IF(SUMIFS(T_PlannedOrders[EffectiveQty],T_PlannedOrders[Part Name],$A1175,T_PlannedOrders[WeekIndex],65)=0,"",SUMIFS(T_PlannedOrders[EffectiveQty],T_PlannedOrders[Part Name],$A1175,T_PlannedOrders[WeekIndex],65)&amp;" ("&amp;TEXT(SUMPRODUCT(MAX((T_PlannedOrders[Part Name]=$A1175)*(T_PlannedOrders[WeekIndex]=65)*(T_PlannedOrders[EffectiveQty]&gt;0)*T_PlannedOrders[Order_Month])),"m月")&amp;"発注)")</f>
        <v/>
      </c>
      <c r="BQ1183">
        <f>IF(SUMIFS(T_PlannedOrders[EffectiveQty],T_PlannedOrders[Part Name],$A1175,T_PlannedOrders[WeekIndex],66)=0,"",SUMIFS(T_PlannedOrders[EffectiveQty],T_PlannedOrders[Part Name],$A1175,T_PlannedOrders[WeekIndex],66)&amp;" ("&amp;TEXT(SUMPRODUCT(MAX((T_PlannedOrders[Part Name]=$A1175)*(T_PlannedOrders[WeekIndex]=66)*(T_PlannedOrders[EffectiveQty]&gt;0)*T_PlannedOrders[Order_Month])),"m月")&amp;"発注)")</f>
        <v/>
      </c>
      <c r="BR1183">
        <f>IF(SUMIFS(T_PlannedOrders[EffectiveQty],T_PlannedOrders[Part Name],$A1175,T_PlannedOrders[WeekIndex],67)=0,"",SUMIFS(T_PlannedOrders[EffectiveQty],T_PlannedOrders[Part Name],$A1175,T_PlannedOrders[WeekIndex],67)&amp;" ("&amp;TEXT(SUMPRODUCT(MAX((T_PlannedOrders[Part Name]=$A1175)*(T_PlannedOrders[WeekIndex]=67)*(T_PlannedOrders[EffectiveQty]&gt;0)*T_PlannedOrders[Order_Month])),"m月")&amp;"発注)")</f>
        <v/>
      </c>
      <c r="BS1183">
        <f>IF(SUMIFS(T_PlannedOrders[EffectiveQty],T_PlannedOrders[Part Name],$A1175,T_PlannedOrders[WeekIndex],68)=0,"",SUMIFS(T_PlannedOrders[EffectiveQty],T_PlannedOrders[Part Name],$A1175,T_PlannedOrders[WeekIndex],68)&amp;" ("&amp;TEXT(SUMPRODUCT(MAX((T_PlannedOrders[Part Name]=$A1175)*(T_PlannedOrders[WeekIndex]=68)*(T_PlannedOrders[EffectiveQty]&gt;0)*T_PlannedOrders[Order_Month])),"m月")&amp;"発注)")</f>
        <v/>
      </c>
      <c r="BT1183">
        <f>IF(SUMIFS(T_PlannedOrders[EffectiveQty],T_PlannedOrders[Part Name],$A1175,T_PlannedOrders[WeekIndex],69)=0,"",SUMIFS(T_PlannedOrders[EffectiveQty],T_PlannedOrders[Part Name],$A1175,T_PlannedOrders[WeekIndex],69)&amp;" ("&amp;TEXT(SUMPRODUCT(MAX((T_PlannedOrders[Part Name]=$A1175)*(T_PlannedOrders[WeekIndex]=69)*(T_PlannedOrders[EffectiveQty]&gt;0)*T_PlannedOrders[Order_Month])),"m月")&amp;"発注)")</f>
        <v/>
      </c>
      <c r="BU1183">
        <f>IF(SUMIFS(T_PlannedOrders[EffectiveQty],T_PlannedOrders[Part Name],$A1175,T_PlannedOrders[WeekIndex],70)=0,"",SUMIFS(T_PlannedOrders[EffectiveQty],T_PlannedOrders[Part Name],$A1175,T_PlannedOrders[WeekIndex],70)&amp;" ("&amp;TEXT(SUMPRODUCT(MAX((T_PlannedOrders[Part Name]=$A1175)*(T_PlannedOrders[WeekIndex]=70)*(T_PlannedOrders[EffectiveQty]&gt;0)*T_PlannedOrders[Order_Month])),"m月")&amp;"発注)")</f>
        <v/>
      </c>
      <c r="BV1183">
        <f>IF(SUMIFS(T_PlannedOrders[EffectiveQty],T_PlannedOrders[Part Name],$A1175,T_PlannedOrders[WeekIndex],71)=0,"",SUMIFS(T_PlannedOrders[EffectiveQty],T_PlannedOrders[Part Name],$A1175,T_PlannedOrders[WeekIndex],71)&amp;" ("&amp;TEXT(SUMPRODUCT(MAX((T_PlannedOrders[Part Name]=$A1175)*(T_PlannedOrders[WeekIndex]=71)*(T_PlannedOrders[EffectiveQty]&gt;0)*T_PlannedOrders[Order_Month])),"m月")&amp;"発注)")</f>
        <v/>
      </c>
      <c r="BW1183">
        <f>IF(SUMIFS(T_PlannedOrders[EffectiveQty],T_PlannedOrders[Part Name],$A1175,T_PlannedOrders[WeekIndex],72)=0,"",SUMIFS(T_PlannedOrders[EffectiveQty],T_PlannedOrders[Part Name],$A1175,T_PlannedOrders[WeekIndex],72)&amp;" ("&amp;TEXT(SUMPRODUCT(MAX((T_PlannedOrders[Part Name]=$A1175)*(T_PlannedOrders[WeekIndex]=72)*(T_PlannedOrders[EffectiveQty]&gt;0)*T_PlannedOrders[Order_Month])),"m月")&amp;"発注)")</f>
        <v/>
      </c>
      <c r="BX1183">
        <f>IF(SUMIFS(T_PlannedOrders[EffectiveQty],T_PlannedOrders[Part Name],$A1175,T_PlannedOrders[WeekIndex],73)=0,"",SUMIFS(T_PlannedOrders[EffectiveQty],T_PlannedOrders[Part Name],$A1175,T_PlannedOrders[WeekIndex],73)&amp;" ("&amp;TEXT(SUMPRODUCT(MAX((T_PlannedOrders[Part Name]=$A1175)*(T_PlannedOrders[WeekIndex]=73)*(T_PlannedOrders[EffectiveQty]&gt;0)*T_PlannedOrders[Order_Month])),"m月")&amp;"発注)")</f>
        <v/>
      </c>
      <c r="BY1183">
        <f>IF(SUMIFS(T_PlannedOrders[EffectiveQty],T_PlannedOrders[Part Name],$A1175,T_PlannedOrders[WeekIndex],74)=0,"",SUMIFS(T_PlannedOrders[EffectiveQty],T_PlannedOrders[Part Name],$A1175,T_PlannedOrders[WeekIndex],74)&amp;" ("&amp;TEXT(SUMPRODUCT(MAX((T_PlannedOrders[Part Name]=$A1175)*(T_PlannedOrders[WeekIndex]=74)*(T_PlannedOrders[EffectiveQty]&gt;0)*T_PlannedOrders[Order_Month])),"m月")&amp;"発注)")</f>
        <v/>
      </c>
      <c r="BZ1183">
        <f>IF(SUMIFS(T_PlannedOrders[EffectiveQty],T_PlannedOrders[Part Name],$A1175,T_PlannedOrders[WeekIndex],75)=0,"",SUMIFS(T_PlannedOrders[EffectiveQty],T_PlannedOrders[Part Name],$A1175,T_PlannedOrders[WeekIndex],75)&amp;" ("&amp;TEXT(SUMPRODUCT(MAX((T_PlannedOrders[Part Name]=$A1175)*(T_PlannedOrders[WeekIndex]=75)*(T_PlannedOrders[EffectiveQty]&gt;0)*T_PlannedOrders[Order_Month])),"m月")&amp;"発注)")</f>
        <v/>
      </c>
      <c r="CA1183">
        <f>IF(SUMIFS(T_PlannedOrders[EffectiveQty],T_PlannedOrders[Part Name],$A1175,T_PlannedOrders[WeekIndex],76)=0,"",SUMIFS(T_PlannedOrders[EffectiveQty],T_PlannedOrders[Part Name],$A1175,T_PlannedOrders[WeekIndex],76)&amp;" ("&amp;TEXT(SUMPRODUCT(MAX((T_PlannedOrders[Part Name]=$A1175)*(T_PlannedOrders[WeekIndex]=76)*(T_PlannedOrders[EffectiveQty]&gt;0)*T_PlannedOrders[Order_Month])),"m月")&amp;"発注)")</f>
        <v/>
      </c>
      <c r="CB1183">
        <f>IF(SUMIFS(T_PlannedOrders[EffectiveQty],T_PlannedOrders[Part Name],$A1175,T_PlannedOrders[WeekIndex],77)=0,"",SUMIFS(T_PlannedOrders[EffectiveQty],T_PlannedOrders[Part Name],$A1175,T_PlannedOrders[WeekIndex],77)&amp;" ("&amp;TEXT(SUMPRODUCT(MAX((T_PlannedOrders[Part Name]=$A1175)*(T_PlannedOrders[WeekIndex]=77)*(T_PlannedOrders[EffectiveQty]&gt;0)*T_PlannedOrders[Order_Month])),"m月")&amp;"発注)")</f>
        <v/>
      </c>
      <c r="CC1183">
        <f>IF(SUMIFS(T_PlannedOrders[EffectiveQty],T_PlannedOrders[Part Name],$A1175,T_PlannedOrders[WeekIndex],78)=0,"",SUMIFS(T_PlannedOrders[EffectiveQty],T_PlannedOrders[Part Name],$A1175,T_PlannedOrders[WeekIndex],78)&amp;" ("&amp;TEXT(SUMPRODUCT(MAX((T_PlannedOrders[Part Name]=$A1175)*(T_PlannedOrders[WeekIndex]=78)*(T_PlannedOrders[EffectiveQty]&gt;0)*T_PlannedOrders[Order_Month])),"m月")&amp;"発注)")</f>
        <v/>
      </c>
      <c r="CD1183">
        <f>IF(SUMIFS(T_PlannedOrders[EffectiveQty],T_PlannedOrders[Part Name],$A1175,T_PlannedOrders[WeekIndex],79)=0,"",SUMIFS(T_PlannedOrders[EffectiveQty],T_PlannedOrders[Part Name],$A1175,T_PlannedOrders[WeekIndex],79)&amp;" ("&amp;TEXT(SUMPRODUCT(MAX((T_PlannedOrders[Part Name]=$A1175)*(T_PlannedOrders[WeekIndex]=79)*(T_PlannedOrders[EffectiveQty]&gt;0)*T_PlannedOrders[Order_Month])),"m月")&amp;"発注)")</f>
        <v/>
      </c>
      <c r="CE1183">
        <f>IF(SUMIFS(T_PlannedOrders[EffectiveQty],T_PlannedOrders[Part Name],$A1175,T_PlannedOrders[WeekIndex],80)=0,"",SUMIFS(T_PlannedOrders[EffectiveQty],T_PlannedOrders[Part Name],$A1175,T_PlannedOrders[WeekIndex],80)&amp;" ("&amp;TEXT(SUMPRODUCT(MAX((T_PlannedOrders[Part Name]=$A1175)*(T_PlannedOrders[WeekIndex]=80)*(T_PlannedOrders[EffectiveQty]&gt;0)*T_PlannedOrders[Order_Month])),"m月")&amp;"発注)")</f>
        <v/>
      </c>
      <c r="CF1183">
        <f>IF(SUMIFS(T_PlannedOrders[EffectiveQty],T_PlannedOrders[Part Name],$A1175,T_PlannedOrders[WeekIndex],81)=0,"",SUMIFS(T_PlannedOrders[EffectiveQty],T_PlannedOrders[Part Name],$A1175,T_PlannedOrders[WeekIndex],81)&amp;" ("&amp;TEXT(SUMPRODUCT(MAX((T_PlannedOrders[Part Name]=$A1175)*(T_PlannedOrders[WeekIndex]=81)*(T_PlannedOrders[EffectiveQty]&gt;0)*T_PlannedOrders[Order_Month])),"m月")&amp;"発注)")</f>
        <v/>
      </c>
      <c r="CG1183">
        <f>IF(SUMIFS(T_PlannedOrders[EffectiveQty],T_PlannedOrders[Part Name],$A1175,T_PlannedOrders[WeekIndex],82)=0,"",SUMIFS(T_PlannedOrders[EffectiveQty],T_PlannedOrders[Part Name],$A1175,T_PlannedOrders[WeekIndex],82)&amp;" ("&amp;TEXT(SUMPRODUCT(MAX((T_PlannedOrders[Part Name]=$A1175)*(T_PlannedOrders[WeekIndex]=82)*(T_PlannedOrders[EffectiveQty]&gt;0)*T_PlannedOrders[Order_Month])),"m月")&amp;"発注)")</f>
        <v/>
      </c>
      <c r="CH1183">
        <f>IF(SUMIFS(T_PlannedOrders[EffectiveQty],T_PlannedOrders[Part Name],$A1175,T_PlannedOrders[WeekIndex],83)=0,"",SUMIFS(T_PlannedOrders[EffectiveQty],T_PlannedOrders[Part Name],$A1175,T_PlannedOrders[WeekIndex],83)&amp;" ("&amp;TEXT(SUMPRODUCT(MAX((T_PlannedOrders[Part Name]=$A1175)*(T_PlannedOrders[WeekIndex]=83)*(T_PlannedOrders[EffectiveQty]&gt;0)*T_PlannedOrders[Order_Month])),"m月")&amp;"発注)")</f>
        <v/>
      </c>
      <c r="CI1183">
        <f>IF(SUMIFS(T_PlannedOrders[EffectiveQty],T_PlannedOrders[Part Name],$A1175,T_PlannedOrders[WeekIndex],84)=0,"",SUMIFS(T_PlannedOrders[EffectiveQty],T_PlannedOrders[Part Name],$A1175,T_PlannedOrders[WeekIndex],84)&amp;" ("&amp;TEXT(SUMPRODUCT(MAX((T_PlannedOrders[Part Name]=$A1175)*(T_PlannedOrders[WeekIndex]=84)*(T_PlannedOrders[EffectiveQty]&gt;0)*T_PlannedOrders[Order_Month])),"m月")&amp;"発注)")</f>
        <v/>
      </c>
      <c r="CJ1183">
        <f>IF(SUMIFS(T_PlannedOrders[EffectiveQty],T_PlannedOrders[Part Name],$A1175,T_PlannedOrders[WeekIndex],85)=0,"",SUMIFS(T_PlannedOrders[EffectiveQty],T_PlannedOrders[Part Name],$A1175,T_PlannedOrders[WeekIndex],85)&amp;" ("&amp;TEXT(SUMPRODUCT(MAX((T_PlannedOrders[Part Name]=$A1175)*(T_PlannedOrders[WeekIndex]=85)*(T_PlannedOrders[EffectiveQty]&gt;0)*T_PlannedOrders[Order_Month])),"m月")&amp;"発注)")</f>
        <v/>
      </c>
      <c r="CK1183">
        <f>IF(SUMIFS(T_PlannedOrders[EffectiveQty],T_PlannedOrders[Part Name],$A1175,T_PlannedOrders[WeekIndex],86)=0,"",SUMIFS(T_PlannedOrders[EffectiveQty],T_PlannedOrders[Part Name],$A1175,T_PlannedOrders[WeekIndex],86)&amp;" ("&amp;TEXT(SUMPRODUCT(MAX((T_PlannedOrders[Part Name]=$A1175)*(T_PlannedOrders[WeekIndex]=86)*(T_PlannedOrders[EffectiveQty]&gt;0)*T_PlannedOrders[Order_Month])),"m月")&amp;"発注)")</f>
        <v/>
      </c>
      <c r="CL1183">
        <f>IF(SUMIFS(T_PlannedOrders[EffectiveQty],T_PlannedOrders[Part Name],$A1175,T_PlannedOrders[WeekIndex],87)=0,"",SUMIFS(T_PlannedOrders[EffectiveQty],T_PlannedOrders[Part Name],$A1175,T_PlannedOrders[WeekIndex],87)&amp;" ("&amp;TEXT(SUMPRODUCT(MAX((T_PlannedOrders[Part Name]=$A1175)*(T_PlannedOrders[WeekIndex]=87)*(T_PlannedOrders[EffectiveQty]&gt;0)*T_PlannedOrders[Order_Month])),"m月")&amp;"発注)")</f>
        <v/>
      </c>
      <c r="CM1183">
        <f>IF(SUMIFS(T_PlannedOrders[EffectiveQty],T_PlannedOrders[Part Name],$A1175,T_PlannedOrders[WeekIndex],88)=0,"",SUMIFS(T_PlannedOrders[EffectiveQty],T_PlannedOrders[Part Name],$A1175,T_PlannedOrders[WeekIndex],88)&amp;" ("&amp;TEXT(SUMPRODUCT(MAX((T_PlannedOrders[Part Name]=$A1175)*(T_PlannedOrders[WeekIndex]=88)*(T_PlannedOrders[EffectiveQty]&gt;0)*T_PlannedOrders[Order_Month])),"m月")&amp;"発注)")</f>
        <v/>
      </c>
      <c r="CN1183">
        <f>IF(SUMIFS(T_PlannedOrders[EffectiveQty],T_PlannedOrders[Part Name],$A1175,T_PlannedOrders[WeekIndex],89)=0,"",SUMIFS(T_PlannedOrders[EffectiveQty],T_PlannedOrders[Part Name],$A1175,T_PlannedOrders[WeekIndex],89)&amp;" ("&amp;TEXT(SUMPRODUCT(MAX((T_PlannedOrders[Part Name]=$A1175)*(T_PlannedOrders[WeekIndex]=89)*(T_PlannedOrders[EffectiveQty]&gt;0)*T_PlannedOrders[Order_Month])),"m月")&amp;"発注)")</f>
        <v/>
      </c>
      <c r="CO1183">
        <f>IF(SUMIFS(T_PlannedOrders[EffectiveQty],T_PlannedOrders[Part Name],$A1175,T_PlannedOrders[WeekIndex],90)=0,"",SUMIFS(T_PlannedOrders[EffectiveQty],T_PlannedOrders[Part Name],$A1175,T_PlannedOrders[WeekIndex],90)&amp;" ("&amp;TEXT(SUMPRODUCT(MAX((T_PlannedOrders[Part Name]=$A1175)*(T_PlannedOrders[WeekIndex]=90)*(T_PlannedOrders[EffectiveQty]&gt;0)*T_PlannedOrders[Order_Month])),"m月")&amp;"発注)")</f>
        <v/>
      </c>
      <c r="CP1183">
        <f>IF(SUMIFS(T_PlannedOrders[EffectiveQty],T_PlannedOrders[Part Name],$A1175,T_PlannedOrders[WeekIndex],91)=0,"",SUMIFS(T_PlannedOrders[EffectiveQty],T_PlannedOrders[Part Name],$A1175,T_PlannedOrders[WeekIndex],91)&amp;" ("&amp;TEXT(SUMPRODUCT(MAX((T_PlannedOrders[Part Name]=$A1175)*(T_PlannedOrders[WeekIndex]=91)*(T_PlannedOrders[EffectiveQty]&gt;0)*T_PlannedOrders[Order_Month])),"m月")&amp;"発注)")</f>
        <v/>
      </c>
      <c r="CQ1183">
        <f>IF(SUMIFS(T_PlannedOrders[EffectiveQty],T_PlannedOrders[Part Name],$A1175,T_PlannedOrders[WeekIndex],92)=0,"",SUMIFS(T_PlannedOrders[EffectiveQty],T_PlannedOrders[Part Name],$A1175,T_PlannedOrders[WeekIndex],92)&amp;" ("&amp;TEXT(SUMPRODUCT(MAX((T_PlannedOrders[Part Name]=$A1175)*(T_PlannedOrders[WeekIndex]=92)*(T_PlannedOrders[EffectiveQty]&gt;0)*T_PlannedOrders[Order_Month])),"m月")&amp;"発注)")</f>
        <v/>
      </c>
      <c r="CR1183">
        <f>IF(SUMIFS(T_PlannedOrders[EffectiveQty],T_PlannedOrders[Part Name],$A1175,T_PlannedOrders[WeekIndex],93)=0,"",SUMIFS(T_PlannedOrders[EffectiveQty],T_PlannedOrders[Part Name],$A1175,T_PlannedOrders[WeekIndex],93)&amp;" ("&amp;TEXT(SUMPRODUCT(MAX((T_PlannedOrders[Part Name]=$A1175)*(T_PlannedOrders[WeekIndex]=93)*(T_PlannedOrders[EffectiveQty]&gt;0)*T_PlannedOrders[Order_Month])),"m月")&amp;"発注)")</f>
        <v/>
      </c>
      <c r="CS1183">
        <f>IF(SUMIFS(T_PlannedOrders[EffectiveQty],T_PlannedOrders[Part Name],$A1175,T_PlannedOrders[WeekIndex],94)=0,"",SUMIFS(T_PlannedOrders[EffectiveQty],T_PlannedOrders[Part Name],$A1175,T_PlannedOrders[WeekIndex],94)&amp;" ("&amp;TEXT(SUMPRODUCT(MAX((T_PlannedOrders[Part Name]=$A1175)*(T_PlannedOrders[WeekIndex]=94)*(T_PlannedOrders[EffectiveQty]&gt;0)*T_PlannedOrders[Order_Month])),"m月")&amp;"発注)")</f>
        <v/>
      </c>
      <c r="CT1183">
        <f>IF(SUMIFS(T_PlannedOrders[EffectiveQty],T_PlannedOrders[Part Name],$A1175,T_PlannedOrders[WeekIndex],95)=0,"",SUMIFS(T_PlannedOrders[EffectiveQty],T_PlannedOrders[Part Name],$A1175,T_PlannedOrders[WeekIndex],95)&amp;" ("&amp;TEXT(SUMPRODUCT(MAX((T_PlannedOrders[Part Name]=$A1175)*(T_PlannedOrders[WeekIndex]=95)*(T_PlannedOrders[EffectiveQty]&gt;0)*T_PlannedOrders[Order_Month])),"m月")&amp;"発注)")</f>
        <v/>
      </c>
      <c r="CU1183">
        <f>IF(SUMIFS(T_PlannedOrders[EffectiveQty],T_PlannedOrders[Part Name],$A1175,T_PlannedOrders[WeekIndex],96)=0,"",SUMIFS(T_PlannedOrders[EffectiveQty],T_PlannedOrders[Part Name],$A1175,T_PlannedOrders[WeekIndex],96)&amp;" ("&amp;TEXT(SUMPRODUCT(MAX((T_PlannedOrders[Part Name]=$A1175)*(T_PlannedOrders[WeekIndex]=96)*(T_PlannedOrders[EffectiveQty]&gt;0)*T_PlannedOrders[Order_Month])),"m月")&amp;"発注)")</f>
        <v/>
      </c>
      <c r="CV1183">
        <f>IF(SUMIFS(T_PlannedOrders[EffectiveQty],T_PlannedOrders[Part Name],$A1175,T_PlannedOrders[WeekIndex],97)=0,"",SUMIFS(T_PlannedOrders[EffectiveQty],T_PlannedOrders[Part Name],$A1175,T_PlannedOrders[WeekIndex],97)&amp;" ("&amp;TEXT(SUMPRODUCT(MAX((T_PlannedOrders[Part Name]=$A1175)*(T_PlannedOrders[WeekIndex]=97)*(T_PlannedOrders[EffectiveQty]&gt;0)*T_PlannedOrders[Order_Month])),"m月")&amp;"発注)")</f>
        <v/>
      </c>
      <c r="CW1183">
        <f>IF(SUMIFS(T_PlannedOrders[EffectiveQty],T_PlannedOrders[Part Name],$A1175,T_PlannedOrders[WeekIndex],98)=0,"",SUMIFS(T_PlannedOrders[EffectiveQty],T_PlannedOrders[Part Name],$A1175,T_PlannedOrders[WeekIndex],98)&amp;" ("&amp;TEXT(SUMPRODUCT(MAX((T_PlannedOrders[Part Name]=$A1175)*(T_PlannedOrders[WeekIndex]=98)*(T_PlannedOrders[EffectiveQty]&gt;0)*T_PlannedOrders[Order_Month])),"m月")&amp;"発注)")</f>
        <v/>
      </c>
      <c r="CX1183">
        <f>IF(SUMIFS(T_PlannedOrders[EffectiveQty],T_PlannedOrders[Part Name],$A1175,T_PlannedOrders[WeekIndex],99)=0,"",SUMIFS(T_PlannedOrders[EffectiveQty],T_PlannedOrders[Part Name],$A1175,T_PlannedOrders[WeekIndex],99)&amp;" ("&amp;TEXT(SUMPRODUCT(MAX((T_PlannedOrders[Part Name]=$A1175)*(T_PlannedOrders[WeekIndex]=99)*(T_PlannedOrders[EffectiveQty]&gt;0)*T_PlannedOrders[Order_Month])),"m月")&amp;"発注)")</f>
        <v/>
      </c>
      <c r="CY1183">
        <f>IF(SUMIFS(T_PlannedOrders[EffectiveQty],T_PlannedOrders[Part Name],$A1175,T_PlannedOrders[WeekIndex],100)=0,"",SUMIFS(T_PlannedOrders[EffectiveQty],T_PlannedOrders[Part Name],$A1175,T_PlannedOrders[WeekIndex],100)&amp;" ("&amp;TEXT(SUMPRODUCT(MAX((T_PlannedOrders[Part Name]=$A1175)*(T_PlannedOrders[WeekIndex]=100)*(T_PlannedOrders[EffectiveQty]&gt;0)*T_PlannedOrders[Order_Month])),"m月")&amp;"発注)")</f>
        <v/>
      </c>
      <c r="CZ1183">
        <f>IF(SUMIFS(T_PlannedOrders[EffectiveQty],T_PlannedOrders[Part Name],$A1175,T_PlannedOrders[WeekIndex],101)=0,"",SUMIFS(T_PlannedOrders[EffectiveQty],T_PlannedOrders[Part Name],$A1175,T_PlannedOrders[WeekIndex],101)&amp;" ("&amp;TEXT(SUMPRODUCT(MAX((T_PlannedOrders[Part Name]=$A1175)*(T_PlannedOrders[WeekIndex]=101)*(T_PlannedOrders[EffectiveQty]&gt;0)*T_PlannedOrders[Order_Month])),"m月")&amp;"発注)")</f>
        <v/>
      </c>
      <c r="DA1183">
        <f>IF(SUMIFS(T_PlannedOrders[EffectiveQty],T_PlannedOrders[Part Name],$A1175,T_PlannedOrders[WeekIndex],102)=0,"",SUMIFS(T_PlannedOrders[EffectiveQty],T_PlannedOrders[Part Name],$A1175,T_PlannedOrders[WeekIndex],102)&amp;" ("&amp;TEXT(SUMPRODUCT(MAX((T_PlannedOrders[Part Name]=$A1175)*(T_PlannedOrders[WeekIndex]=102)*(T_PlannedOrders[EffectiveQty]&gt;0)*T_PlannedOrders[Order_Month])),"m月")&amp;"発注)")</f>
        <v/>
      </c>
      <c r="DB1183">
        <f>IF(SUMIFS(T_PlannedOrders[EffectiveQty],T_PlannedOrders[Part Name],$A1175,T_PlannedOrders[WeekIndex],103)=0,"",SUMIFS(T_PlannedOrders[EffectiveQty],T_PlannedOrders[Part Name],$A1175,T_PlannedOrders[WeekIndex],103)&amp;" ("&amp;TEXT(SUMPRODUCT(MAX((T_PlannedOrders[Part Name]=$A1175)*(T_PlannedOrders[WeekIndex]=103)*(T_PlannedOrders[EffectiveQty]&gt;0)*T_PlannedOrders[Order_Month])),"m月")&amp;"発注)")</f>
        <v/>
      </c>
      <c r="DC1183">
        <f>IF(SUMIFS(T_PlannedOrders[EffectiveQty],T_PlannedOrders[Part Name],$A1175,T_PlannedOrders[WeekIndex],104)=0,"",SUMIFS(T_PlannedOrders[EffectiveQty],T_PlannedOrders[Part Name],$A1175,T_PlannedOrders[WeekIndex],104)&amp;" ("&amp;TEXT(SUMPRODUCT(MAX((T_PlannedOrders[Part Name]=$A1175)*(T_PlannedOrders[WeekIndex]=104)*(T_PlannedOrders[EffectiveQty]&gt;0)*T_PlannedOrders[Order_Month])),"m月")&amp;"発注)")</f>
        <v/>
      </c>
    </row>
    <row r="1184">
      <c r="B1184" s="9" t="inlineStr">
        <is>
          <t>合計在庫(週末時点,kg)</t>
        </is>
      </c>
      <c r="D1184">
        <f>'Grid_Stock'!B29</f>
        <v/>
      </c>
      <c r="E1184">
        <f>'Grid_Stock'!C29</f>
        <v/>
      </c>
      <c r="F1184">
        <f>'Grid_Stock'!D29</f>
        <v/>
      </c>
      <c r="G1184">
        <f>'Grid_Stock'!E29</f>
        <v/>
      </c>
      <c r="H1184">
        <f>'Grid_Stock'!F29</f>
        <v/>
      </c>
      <c r="I1184">
        <f>'Grid_Stock'!G29</f>
        <v/>
      </c>
      <c r="J1184">
        <f>'Grid_Stock'!H29</f>
        <v/>
      </c>
      <c r="K1184">
        <f>'Grid_Stock'!I29</f>
        <v/>
      </c>
      <c r="L1184">
        <f>'Grid_Stock'!J29</f>
        <v/>
      </c>
      <c r="M1184">
        <f>'Grid_Stock'!K29</f>
        <v/>
      </c>
      <c r="N1184">
        <f>'Grid_Stock'!L29</f>
        <v/>
      </c>
      <c r="O1184">
        <f>'Grid_Stock'!M29</f>
        <v/>
      </c>
      <c r="P1184">
        <f>'Grid_Stock'!N29</f>
        <v/>
      </c>
      <c r="Q1184">
        <f>'Grid_Stock'!O29</f>
        <v/>
      </c>
      <c r="R1184">
        <f>'Grid_Stock'!P29</f>
        <v/>
      </c>
      <c r="S1184">
        <f>'Grid_Stock'!Q29</f>
        <v/>
      </c>
      <c r="T1184">
        <f>'Grid_Stock'!R29</f>
        <v/>
      </c>
      <c r="U1184">
        <f>'Grid_Stock'!S29</f>
        <v/>
      </c>
      <c r="V1184">
        <f>'Grid_Stock'!T29</f>
        <v/>
      </c>
      <c r="W1184">
        <f>'Grid_Stock'!U29</f>
        <v/>
      </c>
      <c r="X1184">
        <f>'Grid_Stock'!V29</f>
        <v/>
      </c>
      <c r="Y1184">
        <f>'Grid_Stock'!W29</f>
        <v/>
      </c>
      <c r="Z1184">
        <f>'Grid_Stock'!X29</f>
        <v/>
      </c>
      <c r="AA1184">
        <f>'Grid_Stock'!Y29</f>
        <v/>
      </c>
      <c r="AB1184">
        <f>'Grid_Stock'!Z29</f>
        <v/>
      </c>
      <c r="AC1184">
        <f>'Grid_Stock'!AA29</f>
        <v/>
      </c>
      <c r="AD1184">
        <f>'Grid_Stock'!AB29</f>
        <v/>
      </c>
      <c r="AE1184">
        <f>'Grid_Stock'!AC29</f>
        <v/>
      </c>
      <c r="AF1184">
        <f>'Grid_Stock'!AD29</f>
        <v/>
      </c>
      <c r="AG1184">
        <f>'Grid_Stock'!AE29</f>
        <v/>
      </c>
      <c r="AH1184">
        <f>'Grid_Stock'!AF29</f>
        <v/>
      </c>
      <c r="AI1184">
        <f>'Grid_Stock'!AG29</f>
        <v/>
      </c>
      <c r="AJ1184">
        <f>'Grid_Stock'!AH29</f>
        <v/>
      </c>
      <c r="AK1184">
        <f>'Grid_Stock'!AI29</f>
        <v/>
      </c>
      <c r="AL1184">
        <f>'Grid_Stock'!AJ29</f>
        <v/>
      </c>
      <c r="AM1184">
        <f>'Grid_Stock'!AK29</f>
        <v/>
      </c>
      <c r="AN1184">
        <f>'Grid_Stock'!AL29</f>
        <v/>
      </c>
      <c r="AO1184">
        <f>'Grid_Stock'!AM29</f>
        <v/>
      </c>
      <c r="AP1184">
        <f>'Grid_Stock'!AN29</f>
        <v/>
      </c>
      <c r="AQ1184">
        <f>'Grid_Stock'!AO29</f>
        <v/>
      </c>
      <c r="AR1184">
        <f>'Grid_Stock'!AP29</f>
        <v/>
      </c>
      <c r="AS1184">
        <f>'Grid_Stock'!AQ29</f>
        <v/>
      </c>
      <c r="AT1184">
        <f>'Grid_Stock'!AR29</f>
        <v/>
      </c>
      <c r="AU1184">
        <f>'Grid_Stock'!AS29</f>
        <v/>
      </c>
      <c r="AV1184">
        <f>'Grid_Stock'!AT29</f>
        <v/>
      </c>
      <c r="AW1184">
        <f>'Grid_Stock'!AU29</f>
        <v/>
      </c>
      <c r="AX1184">
        <f>'Grid_Stock'!AV29</f>
        <v/>
      </c>
      <c r="AY1184">
        <f>'Grid_Stock'!AW29</f>
        <v/>
      </c>
      <c r="AZ1184">
        <f>'Grid_Stock'!AX29</f>
        <v/>
      </c>
      <c r="BA1184">
        <f>'Grid_Stock'!AY29</f>
        <v/>
      </c>
      <c r="BB1184">
        <f>'Grid_Stock'!AZ29</f>
        <v/>
      </c>
      <c r="BC1184">
        <f>'Grid_Stock'!BA29</f>
        <v/>
      </c>
      <c r="BD1184">
        <f>'Grid_Stock'!BB29</f>
        <v/>
      </c>
      <c r="BE1184">
        <f>'Grid_Stock'!BC29</f>
        <v/>
      </c>
      <c r="BF1184">
        <f>'Grid_Stock'!BD29</f>
        <v/>
      </c>
      <c r="BG1184">
        <f>'Grid_Stock'!BE29</f>
        <v/>
      </c>
      <c r="BH1184">
        <f>'Grid_Stock'!BF29</f>
        <v/>
      </c>
      <c r="BI1184">
        <f>'Grid_Stock'!BG29</f>
        <v/>
      </c>
      <c r="BJ1184">
        <f>'Grid_Stock'!BH29</f>
        <v/>
      </c>
      <c r="BK1184">
        <f>'Grid_Stock'!BI29</f>
        <v/>
      </c>
      <c r="BL1184">
        <f>'Grid_Stock'!BJ29</f>
        <v/>
      </c>
      <c r="BM1184">
        <f>'Grid_Stock'!BK29</f>
        <v/>
      </c>
      <c r="BN1184">
        <f>'Grid_Stock'!BL29</f>
        <v/>
      </c>
      <c r="BO1184">
        <f>'Grid_Stock'!BM29</f>
        <v/>
      </c>
      <c r="BP1184">
        <f>'Grid_Stock'!BN29</f>
        <v/>
      </c>
      <c r="BQ1184">
        <f>'Grid_Stock'!BO29</f>
        <v/>
      </c>
      <c r="BR1184">
        <f>'Grid_Stock'!BP29</f>
        <v/>
      </c>
      <c r="BS1184">
        <f>'Grid_Stock'!BQ29</f>
        <v/>
      </c>
      <c r="BT1184">
        <f>'Grid_Stock'!BR29</f>
        <v/>
      </c>
      <c r="BU1184">
        <f>'Grid_Stock'!BS29</f>
        <v/>
      </c>
      <c r="BV1184">
        <f>'Grid_Stock'!BT29</f>
        <v/>
      </c>
      <c r="BW1184">
        <f>'Grid_Stock'!BU29</f>
        <v/>
      </c>
      <c r="BX1184">
        <f>'Grid_Stock'!BV29</f>
        <v/>
      </c>
      <c r="BY1184">
        <f>'Grid_Stock'!BW29</f>
        <v/>
      </c>
      <c r="BZ1184">
        <f>'Grid_Stock'!BX29</f>
        <v/>
      </c>
      <c r="CA1184">
        <f>'Grid_Stock'!BY29</f>
        <v/>
      </c>
      <c r="CB1184">
        <f>'Grid_Stock'!BZ29</f>
        <v/>
      </c>
      <c r="CC1184">
        <f>'Grid_Stock'!CA29</f>
        <v/>
      </c>
      <c r="CD1184">
        <f>'Grid_Stock'!CB29</f>
        <v/>
      </c>
      <c r="CE1184">
        <f>'Grid_Stock'!CC29</f>
        <v/>
      </c>
      <c r="CF1184">
        <f>'Grid_Stock'!CD29</f>
        <v/>
      </c>
      <c r="CG1184">
        <f>'Grid_Stock'!CE29</f>
        <v/>
      </c>
      <c r="CH1184">
        <f>'Grid_Stock'!CF29</f>
        <v/>
      </c>
      <c r="CI1184">
        <f>'Grid_Stock'!CG29</f>
        <v/>
      </c>
      <c r="CJ1184">
        <f>'Grid_Stock'!CH29</f>
        <v/>
      </c>
      <c r="CK1184">
        <f>'Grid_Stock'!CI29</f>
        <v/>
      </c>
      <c r="CL1184">
        <f>'Grid_Stock'!CJ29</f>
        <v/>
      </c>
      <c r="CM1184">
        <f>'Grid_Stock'!CK29</f>
        <v/>
      </c>
      <c r="CN1184">
        <f>'Grid_Stock'!CL29</f>
        <v/>
      </c>
      <c r="CO1184">
        <f>'Grid_Stock'!CM29</f>
        <v/>
      </c>
      <c r="CP1184">
        <f>'Grid_Stock'!CN29</f>
        <v/>
      </c>
      <c r="CQ1184">
        <f>'Grid_Stock'!CO29</f>
        <v/>
      </c>
      <c r="CR1184">
        <f>'Grid_Stock'!CP29</f>
        <v/>
      </c>
      <c r="CS1184">
        <f>'Grid_Stock'!CQ29</f>
        <v/>
      </c>
      <c r="CT1184">
        <f>'Grid_Stock'!CR29</f>
        <v/>
      </c>
      <c r="CU1184">
        <f>'Grid_Stock'!CS29</f>
        <v/>
      </c>
      <c r="CV1184">
        <f>'Grid_Stock'!CT29</f>
        <v/>
      </c>
      <c r="CW1184">
        <f>'Grid_Stock'!CU29</f>
        <v/>
      </c>
      <c r="CX1184">
        <f>'Grid_Stock'!CV29</f>
        <v/>
      </c>
      <c r="CY1184">
        <f>'Grid_Stock'!CW29</f>
        <v/>
      </c>
      <c r="CZ1184">
        <f>'Grid_Stock'!CX29</f>
        <v/>
      </c>
      <c r="DA1184">
        <f>'Grid_Stock'!CY29</f>
        <v/>
      </c>
      <c r="DB1184">
        <f>'Grid_Stock'!CZ29</f>
        <v/>
      </c>
      <c r="DC1184">
        <f>'Grid_Stock'!DA29</f>
        <v/>
      </c>
    </row>
    <row r="1185">
      <c r="B1185" s="21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49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2" t="n">
        <v>46233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3" t="n">
        <v>31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4" t="inlineStr">
        <is>
          <t>Part Name</t>
        </is>
      </c>
      <c r="C14" s="24" t="inlineStr">
        <is>
          <t>TTAF Code</t>
        </is>
      </c>
      <c r="D14" s="24" t="inlineStr">
        <is>
          <t>CSA Code</t>
        </is>
      </c>
      <c r="E14" s="24" t="inlineStr">
        <is>
          <t>UOM</t>
        </is>
      </c>
      <c r="F14" s="24" t="inlineStr">
        <is>
          <t>SafetyStock</t>
        </is>
      </c>
      <c r="G14" s="24" t="inlineStr">
        <is>
          <t>CurrentStock</t>
        </is>
      </c>
      <c r="H14" s="24">
        <f>INDEX(Cal_Weeks[Label],$P$7+0)</f>
        <v/>
      </c>
      <c r="I14" s="24">
        <f>INDEX(Cal_Weeks[Label],$P$7+1)</f>
        <v/>
      </c>
      <c r="J14" s="24">
        <f>INDEX(Cal_Weeks[Label],$P$7+2)</f>
        <v/>
      </c>
      <c r="K14" s="24">
        <f>INDEX(Cal_Weeks[Label],$P$7+3)</f>
        <v/>
      </c>
      <c r="L14" s="24">
        <f>INDEX(Cal_Weeks[Label],$P$7+4)</f>
        <v/>
      </c>
      <c r="M14" s="24">
        <f>INDEX(Cal_Weeks[Label],$P$7+5)</f>
        <v/>
      </c>
      <c r="N14" s="24">
        <f>INDEX(Cal_Weeks[Label],$P$7+6)</f>
        <v/>
      </c>
      <c r="O14" s="24">
        <f>INDEX(Cal_Weeks[Label],$P$7+7)</f>
        <v/>
      </c>
      <c r="P14" s="24">
        <f>INDEX(Cal_Weeks[Label],$P$7+8)</f>
        <v/>
      </c>
      <c r="Q14" s="24">
        <f>INDEX(Cal_Weeks[Label],$P$7+9)</f>
        <v/>
      </c>
      <c r="R14" s="24">
        <f>INDEX(Cal_Weeks[Label],$P$7+10)</f>
        <v/>
      </c>
      <c r="S14" s="24">
        <f>INDEX(Cal_Weeks[Label],$P$7+11)</f>
        <v/>
      </c>
      <c r="T14" s="24">
        <f>INDEX(Cal_Weeks[Label],$P$7+12)</f>
        <v/>
      </c>
      <c r="U14" s="24" t="inlineStr">
        <is>
          <t>Total</t>
        </is>
      </c>
    </row>
    <row r="15">
      <c r="B15" s="17">
        <f>IFERROR(INDEX(M_RawMaterials[Description],MATCH("CHEM-1250",M_RawMaterials[Part Name],0)),"")</f>
        <v/>
      </c>
      <c r="C15" s="17" t="inlineStr">
        <is>
          <t>71288614901</t>
        </is>
      </c>
      <c r="D15" s="17" t="inlineStr">
        <is>
          <t>CHEM-1250</t>
        </is>
      </c>
      <c r="E15" s="17" t="inlineStr">
        <is>
          <t>kg</t>
        </is>
      </c>
      <c r="F15" s="17">
        <f>IFERROR(INDEX(M_RawMaterials[基準在庫下限_要入力],MATCH("CHEM-1250",M_RawMaterials[Part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8">
        <f>IFERROR(INDEX(M_RawMaterials[Description],MATCH("CHEM-1670",M_RawMaterials[Part Name],0)),"")</f>
        <v/>
      </c>
      <c r="C16" s="18" t="inlineStr">
        <is>
          <t>712886265</t>
        </is>
      </c>
      <c r="D16" s="18" t="inlineStr">
        <is>
          <t>CHEM-1670</t>
        </is>
      </c>
      <c r="E16" s="18" t="inlineStr">
        <is>
          <t>kg</t>
        </is>
      </c>
      <c r="F16" s="18">
        <f>IFERROR(INDEX(M_RawMaterials[基準在庫下限_要入力],MATCH("CHEM-1670",M_RawMaterials[Part Name],0)),0)</f>
        <v/>
      </c>
      <c r="G16" s="18">
        <f>INDEX(Grid_Stock[#Data],MATCH($D16,Grid_Stock[Part Name],0),$P$7)</f>
        <v/>
      </c>
      <c r="H16" s="18">
        <f>MAX(0,$F16-INDEX(Grid_Stock[#Data],MATCH($D16,Grid_Stock[Part Name],0),$P$7+0))</f>
        <v/>
      </c>
      <c r="I16" s="18">
        <f>MAX(0,$F16-INDEX(Grid_Stock[#Data],MATCH($D16,Grid_Stock[Part Name],0),$P$7+1))</f>
        <v/>
      </c>
      <c r="J16" s="18">
        <f>MAX(0,$F16-INDEX(Grid_Stock[#Data],MATCH($D16,Grid_Stock[Part Name],0),$P$7+2))</f>
        <v/>
      </c>
      <c r="K16" s="18">
        <f>MAX(0,$F16-INDEX(Grid_Stock[#Data],MATCH($D16,Grid_Stock[Part Name],0),$P$7+3))</f>
        <v/>
      </c>
      <c r="L16" s="18">
        <f>MAX(0,$F16-INDEX(Grid_Stock[#Data],MATCH($D16,Grid_Stock[Part Name],0),$P$7+4))</f>
        <v/>
      </c>
      <c r="M16" s="18">
        <f>MAX(0,$F16-INDEX(Grid_Stock[#Data],MATCH($D16,Grid_Stock[Part Name],0),$P$7+5))</f>
        <v/>
      </c>
      <c r="N16" s="18">
        <f>MAX(0,$F16-INDEX(Grid_Stock[#Data],MATCH($D16,Grid_Stock[Part Name],0),$P$7+6))</f>
        <v/>
      </c>
      <c r="O16" s="18">
        <f>MAX(0,$F16-INDEX(Grid_Stock[#Data],MATCH($D16,Grid_Stock[Part Name],0),$P$7+7))</f>
        <v/>
      </c>
      <c r="P16" s="18">
        <f>MAX(0,$F16-INDEX(Grid_Stock[#Data],MATCH($D16,Grid_Stock[Part Name],0),$P$7+8))</f>
        <v/>
      </c>
      <c r="Q16" s="18">
        <f>MAX(0,$F16-INDEX(Grid_Stock[#Data],MATCH($D16,Grid_Stock[Part Name],0),$P$7+9))</f>
        <v/>
      </c>
      <c r="R16" s="18">
        <f>MAX(0,$F16-INDEX(Grid_Stock[#Data],MATCH($D16,Grid_Stock[Part Name],0),$P$7+10))</f>
        <v/>
      </c>
      <c r="S16" s="18">
        <f>MAX(0,$F16-INDEX(Grid_Stock[#Data],MATCH($D16,Grid_Stock[Part Name],0),$P$7+11))</f>
        <v/>
      </c>
      <c r="T16" s="18">
        <f>MAX(0,$F16-INDEX(Grid_Stock[#Data],MATCH($D16,Grid_Stock[Part Name],0),$P$7+12))</f>
        <v/>
      </c>
      <c r="U16" s="18">
        <f>SUM(H16:T16)</f>
        <v/>
      </c>
    </row>
    <row r="17">
      <c r="B17" s="17">
        <f>IFERROR(INDEX(M_RawMaterials[Description],MATCH("CHEM-1700",M_RawMaterials[Part Name],0)),"")</f>
        <v/>
      </c>
      <c r="C17" s="17" t="inlineStr">
        <is>
          <t>712886270</t>
        </is>
      </c>
      <c r="D17" s="17" t="inlineStr">
        <is>
          <t>CHEM-1700</t>
        </is>
      </c>
      <c r="E17" s="17" t="inlineStr">
        <is>
          <t>kg</t>
        </is>
      </c>
      <c r="F17" s="17">
        <f>IFERROR(INDEX(M_RawMaterials[基準在庫下限_要入力],MATCH("CHEM-1700",M_RawMaterials[Part Name],0)),0)</f>
        <v/>
      </c>
      <c r="G17" s="17">
        <f>INDEX(Grid_Stock[#Data],MATCH($D17,Grid_Stock[Part Name],0),$P$7)</f>
        <v/>
      </c>
      <c r="H17" s="17">
        <f>MAX(0,$F17-INDEX(Grid_Stock[#Data],MATCH($D17,Grid_Stock[Part Name],0),$P$7+0))</f>
        <v/>
      </c>
      <c r="I17" s="17">
        <f>MAX(0,$F17-INDEX(Grid_Stock[#Data],MATCH($D17,Grid_Stock[Part Name],0),$P$7+1))</f>
        <v/>
      </c>
      <c r="J17" s="17">
        <f>MAX(0,$F17-INDEX(Grid_Stock[#Data],MATCH($D17,Grid_Stock[Part Name],0),$P$7+2))</f>
        <v/>
      </c>
      <c r="K17" s="17">
        <f>MAX(0,$F17-INDEX(Grid_Stock[#Data],MATCH($D17,Grid_Stock[Part Name],0),$P$7+3))</f>
        <v/>
      </c>
      <c r="L17" s="17">
        <f>MAX(0,$F17-INDEX(Grid_Stock[#Data],MATCH($D17,Grid_Stock[Part Name],0),$P$7+4))</f>
        <v/>
      </c>
      <c r="M17" s="17">
        <f>MAX(0,$F17-INDEX(Grid_Stock[#Data],MATCH($D17,Grid_Stock[Part Name],0),$P$7+5))</f>
        <v/>
      </c>
      <c r="N17" s="17">
        <f>MAX(0,$F17-INDEX(Grid_Stock[#Data],MATCH($D17,Grid_Stock[Part Name],0),$P$7+6))</f>
        <v/>
      </c>
      <c r="O17" s="17">
        <f>MAX(0,$F17-INDEX(Grid_Stock[#Data],MATCH($D17,Grid_Stock[Part Name],0),$P$7+7))</f>
        <v/>
      </c>
      <c r="P17" s="17">
        <f>MAX(0,$F17-INDEX(Grid_Stock[#Data],MATCH($D17,Grid_Stock[Part Name],0),$P$7+8))</f>
        <v/>
      </c>
      <c r="Q17" s="17">
        <f>MAX(0,$F17-INDEX(Grid_Stock[#Data],MATCH($D17,Grid_Stock[Part Name],0),$P$7+9))</f>
        <v/>
      </c>
      <c r="R17" s="17">
        <f>MAX(0,$F17-INDEX(Grid_Stock[#Data],MATCH($D17,Grid_Stock[Part Name],0),$P$7+10))</f>
        <v/>
      </c>
      <c r="S17" s="17">
        <f>MAX(0,$F17-INDEX(Grid_Stock[#Data],MATCH($D17,Grid_Stock[Part Name],0),$P$7+11))</f>
        <v/>
      </c>
      <c r="T17" s="17">
        <f>MAX(0,$F17-INDEX(Grid_Stock[#Data],MATCH($D17,Grid_Stock[Part Name],0),$P$7+12))</f>
        <v/>
      </c>
      <c r="U17" s="17">
        <f>SUM(H17:T17)</f>
        <v/>
      </c>
    </row>
    <row r="18">
      <c r="B18" s="18">
        <f>IFERROR(INDEX(M_RawMaterials[Description],MATCH("CHEM-1420",M_RawMaterials[Part Name],0)),"")</f>
        <v/>
      </c>
      <c r="C18" s="18" t="inlineStr">
        <is>
          <t>71288629601</t>
        </is>
      </c>
      <c r="D18" s="18" t="inlineStr">
        <is>
          <t>CHEM-1420</t>
        </is>
      </c>
      <c r="E18" s="18" t="inlineStr">
        <is>
          <t>kg</t>
        </is>
      </c>
      <c r="F18" s="18">
        <f>IFERROR(INDEX(M_RawMaterials[基準在庫下限_要入力],MATCH("CHEM-1420",M_RawMaterials[Part Name],0)),0)</f>
        <v/>
      </c>
      <c r="G18" s="18">
        <f>INDEX(Grid_Stock[#Data],MATCH($D18,Grid_Stock[Part Name],0),$P$7)</f>
        <v/>
      </c>
      <c r="H18" s="18">
        <f>MAX(0,$F18-INDEX(Grid_Stock[#Data],MATCH($D18,Grid_Stock[Part Name],0),$P$7+0))</f>
        <v/>
      </c>
      <c r="I18" s="18">
        <f>MAX(0,$F18-INDEX(Grid_Stock[#Data],MATCH($D18,Grid_Stock[Part Name],0),$P$7+1))</f>
        <v/>
      </c>
      <c r="J18" s="18">
        <f>MAX(0,$F18-INDEX(Grid_Stock[#Data],MATCH($D18,Grid_Stock[Part Name],0),$P$7+2))</f>
        <v/>
      </c>
      <c r="K18" s="18">
        <f>MAX(0,$F18-INDEX(Grid_Stock[#Data],MATCH($D18,Grid_Stock[Part Name],0),$P$7+3))</f>
        <v/>
      </c>
      <c r="L18" s="18">
        <f>MAX(0,$F18-INDEX(Grid_Stock[#Data],MATCH($D18,Grid_Stock[Part Name],0),$P$7+4))</f>
        <v/>
      </c>
      <c r="M18" s="18">
        <f>MAX(0,$F18-INDEX(Grid_Stock[#Data],MATCH($D18,Grid_Stock[Part Name],0),$P$7+5))</f>
        <v/>
      </c>
      <c r="N18" s="18">
        <f>MAX(0,$F18-INDEX(Grid_Stock[#Data],MATCH($D18,Grid_Stock[Part Name],0),$P$7+6))</f>
        <v/>
      </c>
      <c r="O18" s="18">
        <f>MAX(0,$F18-INDEX(Grid_Stock[#Data],MATCH($D18,Grid_Stock[Part Name],0),$P$7+7))</f>
        <v/>
      </c>
      <c r="P18" s="18">
        <f>MAX(0,$F18-INDEX(Grid_Stock[#Data],MATCH($D18,Grid_Stock[Part Name],0),$P$7+8))</f>
        <v/>
      </c>
      <c r="Q18" s="18">
        <f>MAX(0,$F18-INDEX(Grid_Stock[#Data],MATCH($D18,Grid_Stock[Part Name],0),$P$7+9))</f>
        <v/>
      </c>
      <c r="R18" s="18">
        <f>MAX(0,$F18-INDEX(Grid_Stock[#Data],MATCH($D18,Grid_Stock[Part Name],0),$P$7+10))</f>
        <v/>
      </c>
      <c r="S18" s="18">
        <f>MAX(0,$F18-INDEX(Grid_Stock[#Data],MATCH($D18,Grid_Stock[Part Name],0),$P$7+11))</f>
        <v/>
      </c>
      <c r="T18" s="18">
        <f>MAX(0,$F18-INDEX(Grid_Stock[#Data],MATCH($D18,Grid_Stock[Part Name],0),$P$7+12))</f>
        <v/>
      </c>
      <c r="U18" s="18">
        <f>SUM(H18:T18)</f>
        <v/>
      </c>
    </row>
    <row r="19">
      <c r="B19" s="17">
        <f>IFERROR(INDEX(M_RawMaterials[Description],MATCH("CHEM-1530",M_RawMaterials[Part Name],0)),"")</f>
        <v/>
      </c>
      <c r="C19" s="17" t="inlineStr">
        <is>
          <t>71388003501</t>
        </is>
      </c>
      <c r="D19" s="17" t="inlineStr">
        <is>
          <t>CHEM-1530</t>
        </is>
      </c>
      <c r="E19" s="17" t="inlineStr">
        <is>
          <t>kg</t>
        </is>
      </c>
      <c r="F19" s="17">
        <f>IFERROR(INDEX(M_RawMaterials[基準在庫下限_要入力],MATCH("CHEM-1530",M_RawMaterials[Part Name],0)),0)</f>
        <v/>
      </c>
      <c r="G19" s="17">
        <f>INDEX(Grid_Stock[#Data],MATCH($D19,Grid_Stock[Part Name],0),$P$7)</f>
        <v/>
      </c>
      <c r="H19" s="17">
        <f>MAX(0,$F19-INDEX(Grid_Stock[#Data],MATCH($D19,Grid_Stock[Part Name],0),$P$7+0))</f>
        <v/>
      </c>
      <c r="I19" s="17">
        <f>MAX(0,$F19-INDEX(Grid_Stock[#Data],MATCH($D19,Grid_Stock[Part Name],0),$P$7+1))</f>
        <v/>
      </c>
      <c r="J19" s="17">
        <f>MAX(0,$F19-INDEX(Grid_Stock[#Data],MATCH($D19,Grid_Stock[Part Name],0),$P$7+2))</f>
        <v/>
      </c>
      <c r="K19" s="17">
        <f>MAX(0,$F19-INDEX(Grid_Stock[#Data],MATCH($D19,Grid_Stock[Part Name],0),$P$7+3))</f>
        <v/>
      </c>
      <c r="L19" s="17">
        <f>MAX(0,$F19-INDEX(Grid_Stock[#Data],MATCH($D19,Grid_Stock[Part Name],0),$P$7+4))</f>
        <v/>
      </c>
      <c r="M19" s="17">
        <f>MAX(0,$F19-INDEX(Grid_Stock[#Data],MATCH($D19,Grid_Stock[Part Name],0),$P$7+5))</f>
        <v/>
      </c>
      <c r="N19" s="17">
        <f>MAX(0,$F19-INDEX(Grid_Stock[#Data],MATCH($D19,Grid_Stock[Part Name],0),$P$7+6))</f>
        <v/>
      </c>
      <c r="O19" s="17">
        <f>MAX(0,$F19-INDEX(Grid_Stock[#Data],MATCH($D19,Grid_Stock[Part Name],0),$P$7+7))</f>
        <v/>
      </c>
      <c r="P19" s="17">
        <f>MAX(0,$F19-INDEX(Grid_Stock[#Data],MATCH($D19,Grid_Stock[Part Name],0),$P$7+8))</f>
        <v/>
      </c>
      <c r="Q19" s="17">
        <f>MAX(0,$F19-INDEX(Grid_Stock[#Data],MATCH($D19,Grid_Stock[Part Name],0),$P$7+9))</f>
        <v/>
      </c>
      <c r="R19" s="17">
        <f>MAX(0,$F19-INDEX(Grid_Stock[#Data],MATCH($D19,Grid_Stock[Part Name],0),$P$7+10))</f>
        <v/>
      </c>
      <c r="S19" s="17">
        <f>MAX(0,$F19-INDEX(Grid_Stock[#Data],MATCH($D19,Grid_Stock[Part Name],0),$P$7+11))</f>
        <v/>
      </c>
      <c r="T19" s="17">
        <f>MAX(0,$F19-INDEX(Grid_Stock[#Data],MATCH($D19,Grid_Stock[Part Name],0),$P$7+12))</f>
        <v/>
      </c>
      <c r="U19" s="17">
        <f>SUM(H19:T19)</f>
        <v/>
      </c>
    </row>
    <row r="20">
      <c r="B20" s="18">
        <f>IFERROR(INDEX(M_RawMaterials[Description],MATCH("CHEM-1540",M_RawMaterials[Part Name],0)),"")</f>
        <v/>
      </c>
      <c r="C20" s="18" t="inlineStr">
        <is>
          <t>71388005801</t>
        </is>
      </c>
      <c r="D20" s="18" t="inlineStr">
        <is>
          <t>CHEM-1540</t>
        </is>
      </c>
      <c r="E20" s="18" t="inlineStr">
        <is>
          <t>kg</t>
        </is>
      </c>
      <c r="F20" s="18">
        <f>IFERROR(INDEX(M_RawMaterials[基準在庫下限_要入力],MATCH("CHEM-1540",M_RawMaterials[Part Name],0)),0)</f>
        <v/>
      </c>
      <c r="G20" s="18">
        <f>INDEX(Grid_Stock[#Data],MATCH($D20,Grid_Stock[Part Name],0),$P$7)</f>
        <v/>
      </c>
      <c r="H20" s="18">
        <f>MAX(0,$F20-INDEX(Grid_Stock[#Data],MATCH($D20,Grid_Stock[Part Name],0),$P$7+0))</f>
        <v/>
      </c>
      <c r="I20" s="18">
        <f>MAX(0,$F20-INDEX(Grid_Stock[#Data],MATCH($D20,Grid_Stock[Part Name],0),$P$7+1))</f>
        <v/>
      </c>
      <c r="J20" s="18">
        <f>MAX(0,$F20-INDEX(Grid_Stock[#Data],MATCH($D20,Grid_Stock[Part Name],0),$P$7+2))</f>
        <v/>
      </c>
      <c r="K20" s="18">
        <f>MAX(0,$F20-INDEX(Grid_Stock[#Data],MATCH($D20,Grid_Stock[Part Name],0),$P$7+3))</f>
        <v/>
      </c>
      <c r="L20" s="18">
        <f>MAX(0,$F20-INDEX(Grid_Stock[#Data],MATCH($D20,Grid_Stock[Part Name],0),$P$7+4))</f>
        <v/>
      </c>
      <c r="M20" s="18">
        <f>MAX(0,$F20-INDEX(Grid_Stock[#Data],MATCH($D20,Grid_Stock[Part Name],0),$P$7+5))</f>
        <v/>
      </c>
      <c r="N20" s="18">
        <f>MAX(0,$F20-INDEX(Grid_Stock[#Data],MATCH($D20,Grid_Stock[Part Name],0),$P$7+6))</f>
        <v/>
      </c>
      <c r="O20" s="18">
        <f>MAX(0,$F20-INDEX(Grid_Stock[#Data],MATCH($D20,Grid_Stock[Part Name],0),$P$7+7))</f>
        <v/>
      </c>
      <c r="P20" s="18">
        <f>MAX(0,$F20-INDEX(Grid_Stock[#Data],MATCH($D20,Grid_Stock[Part Name],0),$P$7+8))</f>
        <v/>
      </c>
      <c r="Q20" s="18">
        <f>MAX(0,$F20-INDEX(Grid_Stock[#Data],MATCH($D20,Grid_Stock[Part Name],0),$P$7+9))</f>
        <v/>
      </c>
      <c r="R20" s="18">
        <f>MAX(0,$F20-INDEX(Grid_Stock[#Data],MATCH($D20,Grid_Stock[Part Name],0),$P$7+10))</f>
        <v/>
      </c>
      <c r="S20" s="18">
        <f>MAX(0,$F20-INDEX(Grid_Stock[#Data],MATCH($D20,Grid_Stock[Part Name],0),$P$7+11))</f>
        <v/>
      </c>
      <c r="T20" s="18">
        <f>MAX(0,$F20-INDEX(Grid_Stock[#Data],MATCH($D20,Grid_Stock[Part Name],0),$P$7+12))</f>
        <v/>
      </c>
      <c r="U20" s="18">
        <f>SUM(H20:T20)</f>
        <v/>
      </c>
    </row>
    <row r="21">
      <c r="B21" s="17">
        <f>IFERROR(INDEX(M_RawMaterials[Description],MATCH("CHEM-1690",M_RawMaterials[Part Name],0)),"")</f>
        <v/>
      </c>
      <c r="C21" s="17" t="inlineStr">
        <is>
          <t>734831040</t>
        </is>
      </c>
      <c r="D21" s="17" t="inlineStr">
        <is>
          <t>CHEM-1690</t>
        </is>
      </c>
      <c r="E21" s="17" t="inlineStr">
        <is>
          <t>kg</t>
        </is>
      </c>
      <c r="F21" s="17">
        <f>IFERROR(INDEX(M_RawMaterials[基準在庫下限_要入力],MATCH("CHEM-1690",M_RawMaterials[Part Name],0)),0)</f>
        <v/>
      </c>
      <c r="G21" s="17">
        <f>INDEX(Grid_Stock[#Data],MATCH($D21,Grid_Stock[Part Name],0),$P$7)</f>
        <v/>
      </c>
      <c r="H21" s="17">
        <f>MAX(0,$F21-INDEX(Grid_Stock[#Data],MATCH($D21,Grid_Stock[Part Name],0),$P$7+0))</f>
        <v/>
      </c>
      <c r="I21" s="17">
        <f>MAX(0,$F21-INDEX(Grid_Stock[#Data],MATCH($D21,Grid_Stock[Part Name],0),$P$7+1))</f>
        <v/>
      </c>
      <c r="J21" s="17">
        <f>MAX(0,$F21-INDEX(Grid_Stock[#Data],MATCH($D21,Grid_Stock[Part Name],0),$P$7+2))</f>
        <v/>
      </c>
      <c r="K21" s="17">
        <f>MAX(0,$F21-INDEX(Grid_Stock[#Data],MATCH($D21,Grid_Stock[Part Name],0),$P$7+3))</f>
        <v/>
      </c>
      <c r="L21" s="17">
        <f>MAX(0,$F21-INDEX(Grid_Stock[#Data],MATCH($D21,Grid_Stock[Part Name],0),$P$7+4))</f>
        <v/>
      </c>
      <c r="M21" s="17">
        <f>MAX(0,$F21-INDEX(Grid_Stock[#Data],MATCH($D21,Grid_Stock[Part Name],0),$P$7+5))</f>
        <v/>
      </c>
      <c r="N21" s="17">
        <f>MAX(0,$F21-INDEX(Grid_Stock[#Data],MATCH($D21,Grid_Stock[Part Name],0),$P$7+6))</f>
        <v/>
      </c>
      <c r="O21" s="17">
        <f>MAX(0,$F21-INDEX(Grid_Stock[#Data],MATCH($D21,Grid_Stock[Part Name],0),$P$7+7))</f>
        <v/>
      </c>
      <c r="P21" s="17">
        <f>MAX(0,$F21-INDEX(Grid_Stock[#Data],MATCH($D21,Grid_Stock[Part Name],0),$P$7+8))</f>
        <v/>
      </c>
      <c r="Q21" s="17">
        <f>MAX(0,$F21-INDEX(Grid_Stock[#Data],MATCH($D21,Grid_Stock[Part Name],0),$P$7+9))</f>
        <v/>
      </c>
      <c r="R21" s="17">
        <f>MAX(0,$F21-INDEX(Grid_Stock[#Data],MATCH($D21,Grid_Stock[Part Name],0),$P$7+10))</f>
        <v/>
      </c>
      <c r="S21" s="17">
        <f>MAX(0,$F21-INDEX(Grid_Stock[#Data],MATCH($D21,Grid_Stock[Part Name],0),$P$7+11))</f>
        <v/>
      </c>
      <c r="T21" s="17">
        <f>MAX(0,$F21-INDEX(Grid_Stock[#Data],MATCH($D21,Grid_Stock[Part Name],0),$P$7+12))</f>
        <v/>
      </c>
      <c r="U21" s="17">
        <f>SUM(H21:T21)</f>
        <v/>
      </c>
    </row>
    <row r="22">
      <c r="B22" s="18">
        <f>IFERROR(INDEX(M_RawMaterials[Description],MATCH("CHEM-1720",M_RawMaterials[Part Name],0)),"")</f>
        <v/>
      </c>
      <c r="C22" s="18" t="inlineStr">
        <is>
          <t>734831050</t>
        </is>
      </c>
      <c r="D22" s="18" t="inlineStr">
        <is>
          <t>CHEM-1720</t>
        </is>
      </c>
      <c r="E22" s="18" t="inlineStr">
        <is>
          <t>kg</t>
        </is>
      </c>
      <c r="F22" s="18">
        <f>IFERROR(INDEX(M_RawMaterials[基準在庫下限_要入力],MATCH("CHEM-1720",M_RawMaterials[Part Name],0)),0)</f>
        <v/>
      </c>
      <c r="G22" s="18">
        <f>INDEX(Grid_Stock[#Data],MATCH($D22,Grid_Stock[Part Name],0),$P$7)</f>
        <v/>
      </c>
      <c r="H22" s="18">
        <f>MAX(0,$F22-INDEX(Grid_Stock[#Data],MATCH($D22,Grid_Stock[Part Name],0),$P$7+0))</f>
        <v/>
      </c>
      <c r="I22" s="18">
        <f>MAX(0,$F22-INDEX(Grid_Stock[#Data],MATCH($D22,Grid_Stock[Part Name],0),$P$7+1))</f>
        <v/>
      </c>
      <c r="J22" s="18">
        <f>MAX(0,$F22-INDEX(Grid_Stock[#Data],MATCH($D22,Grid_Stock[Part Name],0),$P$7+2))</f>
        <v/>
      </c>
      <c r="K22" s="18">
        <f>MAX(0,$F22-INDEX(Grid_Stock[#Data],MATCH($D22,Grid_Stock[Part Name],0),$P$7+3))</f>
        <v/>
      </c>
      <c r="L22" s="18">
        <f>MAX(0,$F22-INDEX(Grid_Stock[#Data],MATCH($D22,Grid_Stock[Part Name],0),$P$7+4))</f>
        <v/>
      </c>
      <c r="M22" s="18">
        <f>MAX(0,$F22-INDEX(Grid_Stock[#Data],MATCH($D22,Grid_Stock[Part Name],0),$P$7+5))</f>
        <v/>
      </c>
      <c r="N22" s="18">
        <f>MAX(0,$F22-INDEX(Grid_Stock[#Data],MATCH($D22,Grid_Stock[Part Name],0),$P$7+6))</f>
        <v/>
      </c>
      <c r="O22" s="18">
        <f>MAX(0,$F22-INDEX(Grid_Stock[#Data],MATCH($D22,Grid_Stock[Part Name],0),$P$7+7))</f>
        <v/>
      </c>
      <c r="P22" s="18">
        <f>MAX(0,$F22-INDEX(Grid_Stock[#Data],MATCH($D22,Grid_Stock[Part Name],0),$P$7+8))</f>
        <v/>
      </c>
      <c r="Q22" s="18">
        <f>MAX(0,$F22-INDEX(Grid_Stock[#Data],MATCH($D22,Grid_Stock[Part Name],0),$P$7+9))</f>
        <v/>
      </c>
      <c r="R22" s="18">
        <f>MAX(0,$F22-INDEX(Grid_Stock[#Data],MATCH($D22,Grid_Stock[Part Name],0),$P$7+10))</f>
        <v/>
      </c>
      <c r="S22" s="18">
        <f>MAX(0,$F22-INDEX(Grid_Stock[#Data],MATCH($D22,Grid_Stock[Part Name],0),$P$7+11))</f>
        <v/>
      </c>
      <c r="T22" s="18">
        <f>MAX(0,$F22-INDEX(Grid_Stock[#Data],MATCH($D22,Grid_Stock[Part Name],0),$P$7+12))</f>
        <v/>
      </c>
      <c r="U22" s="18">
        <f>SUM(H22:T22)</f>
        <v/>
      </c>
    </row>
    <row r="23">
      <c r="B23" s="17">
        <f>IFERROR(INDEX(M_RawMaterials[Description],MATCH("CHEM-1440",M_RawMaterials[Part Name],0)),"")</f>
        <v/>
      </c>
      <c r="C23" s="17" t="inlineStr">
        <is>
          <t>83988005701</t>
        </is>
      </c>
      <c r="D23" s="17" t="inlineStr">
        <is>
          <t>CHEM-1440</t>
        </is>
      </c>
      <c r="E23" s="17" t="inlineStr">
        <is>
          <t>kg</t>
        </is>
      </c>
      <c r="F23" s="17">
        <f>IFERROR(INDEX(M_RawMaterials[基準在庫下限_要入力],MATCH("CHEM-1440",M_RawMaterials[Part Name],0)),0)</f>
        <v/>
      </c>
      <c r="G23" s="17">
        <f>INDEX(Grid_Stock[#Data],MATCH($D23,Grid_Stock[Part Name],0),$P$7)</f>
        <v/>
      </c>
      <c r="H23" s="17">
        <f>MAX(0,$F23-INDEX(Grid_Stock[#Data],MATCH($D23,Grid_Stock[Part Name],0),$P$7+0))</f>
        <v/>
      </c>
      <c r="I23" s="17">
        <f>MAX(0,$F23-INDEX(Grid_Stock[#Data],MATCH($D23,Grid_Stock[Part Name],0),$P$7+1))</f>
        <v/>
      </c>
      <c r="J23" s="17">
        <f>MAX(0,$F23-INDEX(Grid_Stock[#Data],MATCH($D23,Grid_Stock[Part Name],0),$P$7+2))</f>
        <v/>
      </c>
      <c r="K23" s="17">
        <f>MAX(0,$F23-INDEX(Grid_Stock[#Data],MATCH($D23,Grid_Stock[Part Name],0),$P$7+3))</f>
        <v/>
      </c>
      <c r="L23" s="17">
        <f>MAX(0,$F23-INDEX(Grid_Stock[#Data],MATCH($D23,Grid_Stock[Part Name],0),$P$7+4))</f>
        <v/>
      </c>
      <c r="M23" s="17">
        <f>MAX(0,$F23-INDEX(Grid_Stock[#Data],MATCH($D23,Grid_Stock[Part Name],0),$P$7+5))</f>
        <v/>
      </c>
      <c r="N23" s="17">
        <f>MAX(0,$F23-INDEX(Grid_Stock[#Data],MATCH($D23,Grid_Stock[Part Name],0),$P$7+6))</f>
        <v/>
      </c>
      <c r="O23" s="17">
        <f>MAX(0,$F23-INDEX(Grid_Stock[#Data],MATCH($D23,Grid_Stock[Part Name],0),$P$7+7))</f>
        <v/>
      </c>
      <c r="P23" s="17">
        <f>MAX(0,$F23-INDEX(Grid_Stock[#Data],MATCH($D23,Grid_Stock[Part Name],0),$P$7+8))</f>
        <v/>
      </c>
      <c r="Q23" s="17">
        <f>MAX(0,$F23-INDEX(Grid_Stock[#Data],MATCH($D23,Grid_Stock[Part Name],0),$P$7+9))</f>
        <v/>
      </c>
      <c r="R23" s="17">
        <f>MAX(0,$F23-INDEX(Grid_Stock[#Data],MATCH($D23,Grid_Stock[Part Name],0),$P$7+10))</f>
        <v/>
      </c>
      <c r="S23" s="17">
        <f>MAX(0,$F23-INDEX(Grid_Stock[#Data],MATCH($D23,Grid_Stock[Part Name],0),$P$7+11))</f>
        <v/>
      </c>
      <c r="T23" s="17">
        <f>MAX(0,$F23-INDEX(Grid_Stock[#Data],MATCH($D23,Grid_Stock[Part Name],0),$P$7+12))</f>
        <v/>
      </c>
      <c r="U23" s="17">
        <f>SUM(H23:T23)</f>
        <v/>
      </c>
    </row>
    <row r="24">
      <c r="B24" s="18">
        <f>IFERROR(INDEX(M_RawMaterials[Description],MATCH("4HL",M_RawMaterials[Part Name],0)),"")</f>
        <v/>
      </c>
      <c r="C24" s="18" t="inlineStr">
        <is>
          <t>N60H27R08-JP</t>
        </is>
      </c>
      <c r="D24" s="18" t="inlineStr">
        <is>
          <t>4HL</t>
        </is>
      </c>
      <c r="E24" s="18" t="inlineStr">
        <is>
          <t>kg</t>
        </is>
      </c>
      <c r="F24" s="18">
        <f>IFERROR(INDEX(M_RawMaterials[基準在庫下限_要入力],MATCH("4HL",M_RawMaterials[Part Name],0)),0)</f>
        <v/>
      </c>
      <c r="G24" s="18">
        <f>INDEX(Grid_Stock[#Data],MATCH($D24,Grid_Stock[Part Name],0),$P$7)</f>
        <v/>
      </c>
      <c r="H24" s="18">
        <f>MAX(0,$F24-INDEX(Grid_Stock[#Data],MATCH($D24,Grid_Stock[Part Name],0),$P$7+0))</f>
        <v/>
      </c>
      <c r="I24" s="18">
        <f>MAX(0,$F24-INDEX(Grid_Stock[#Data],MATCH($D24,Grid_Stock[Part Name],0),$P$7+1))</f>
        <v/>
      </c>
      <c r="J24" s="18">
        <f>MAX(0,$F24-INDEX(Grid_Stock[#Data],MATCH($D24,Grid_Stock[Part Name],0),$P$7+2))</f>
        <v/>
      </c>
      <c r="K24" s="18">
        <f>MAX(0,$F24-INDEX(Grid_Stock[#Data],MATCH($D24,Grid_Stock[Part Name],0),$P$7+3))</f>
        <v/>
      </c>
      <c r="L24" s="18">
        <f>MAX(0,$F24-INDEX(Grid_Stock[#Data],MATCH($D24,Grid_Stock[Part Name],0),$P$7+4))</f>
        <v/>
      </c>
      <c r="M24" s="18">
        <f>MAX(0,$F24-INDEX(Grid_Stock[#Data],MATCH($D24,Grid_Stock[Part Name],0),$P$7+5))</f>
        <v/>
      </c>
      <c r="N24" s="18">
        <f>MAX(0,$F24-INDEX(Grid_Stock[#Data],MATCH($D24,Grid_Stock[Part Name],0),$P$7+6))</f>
        <v/>
      </c>
      <c r="O24" s="18">
        <f>MAX(0,$F24-INDEX(Grid_Stock[#Data],MATCH($D24,Grid_Stock[Part Name],0),$P$7+7))</f>
        <v/>
      </c>
      <c r="P24" s="18">
        <f>MAX(0,$F24-INDEX(Grid_Stock[#Data],MATCH($D24,Grid_Stock[Part Name],0),$P$7+8))</f>
        <v/>
      </c>
      <c r="Q24" s="18">
        <f>MAX(0,$F24-INDEX(Grid_Stock[#Data],MATCH($D24,Grid_Stock[Part Name],0),$P$7+9))</f>
        <v/>
      </c>
      <c r="R24" s="18">
        <f>MAX(0,$F24-INDEX(Grid_Stock[#Data],MATCH($D24,Grid_Stock[Part Name],0),$P$7+10))</f>
        <v/>
      </c>
      <c r="S24" s="18">
        <f>MAX(0,$F24-INDEX(Grid_Stock[#Data],MATCH($D24,Grid_Stock[Part Name],0),$P$7+11))</f>
        <v/>
      </c>
      <c r="T24" s="18">
        <f>MAX(0,$F24-INDEX(Grid_Stock[#Data],MATCH($D24,Grid_Stock[Part Name],0),$P$7+12))</f>
        <v/>
      </c>
      <c r="U24" s="18">
        <f>SUM(H24:T24)</f>
        <v/>
      </c>
    </row>
    <row r="25">
      <c r="B25" s="17">
        <f>IFERROR(INDEX(M_RawMaterials[Description],MATCH("1EK",M_RawMaterials[Part Name],0)),"")</f>
        <v/>
      </c>
      <c r="C25" s="17" t="inlineStr">
        <is>
          <t>N60H29R08-JP</t>
        </is>
      </c>
      <c r="D25" s="17" t="inlineStr">
        <is>
          <t>1EK</t>
        </is>
      </c>
      <c r="E25" s="17" t="inlineStr">
        <is>
          <t>kg</t>
        </is>
      </c>
      <c r="F25" s="17">
        <f>IFERROR(INDEX(M_RawMaterials[基準在庫下限_要入力],MATCH("1EK",M_RawMaterials[Part Name],0)),0)</f>
        <v/>
      </c>
      <c r="G25" s="17">
        <f>INDEX(Grid_Stock[#Data],MATCH($D25,Grid_Stock[Part Name],0),$P$7)</f>
        <v/>
      </c>
      <c r="H25" s="17">
        <f>MAX(0,$F25-INDEX(Grid_Stock[#Data],MATCH($D25,Grid_Stock[Part Name],0),$P$7+0))</f>
        <v/>
      </c>
      <c r="I25" s="17">
        <f>MAX(0,$F25-INDEX(Grid_Stock[#Data],MATCH($D25,Grid_Stock[Part Name],0),$P$7+1))</f>
        <v/>
      </c>
      <c r="J25" s="17">
        <f>MAX(0,$F25-INDEX(Grid_Stock[#Data],MATCH($D25,Grid_Stock[Part Name],0),$P$7+2))</f>
        <v/>
      </c>
      <c r="K25" s="17">
        <f>MAX(0,$F25-INDEX(Grid_Stock[#Data],MATCH($D25,Grid_Stock[Part Name],0),$P$7+3))</f>
        <v/>
      </c>
      <c r="L25" s="17">
        <f>MAX(0,$F25-INDEX(Grid_Stock[#Data],MATCH($D25,Grid_Stock[Part Name],0),$P$7+4))</f>
        <v/>
      </c>
      <c r="M25" s="17">
        <f>MAX(0,$F25-INDEX(Grid_Stock[#Data],MATCH($D25,Grid_Stock[Part Name],0),$P$7+5))</f>
        <v/>
      </c>
      <c r="N25" s="17">
        <f>MAX(0,$F25-INDEX(Grid_Stock[#Data],MATCH($D25,Grid_Stock[Part Name],0),$P$7+6))</f>
        <v/>
      </c>
      <c r="O25" s="17">
        <f>MAX(0,$F25-INDEX(Grid_Stock[#Data],MATCH($D25,Grid_Stock[Part Name],0),$P$7+7))</f>
        <v/>
      </c>
      <c r="P25" s="17">
        <f>MAX(0,$F25-INDEX(Grid_Stock[#Data],MATCH($D25,Grid_Stock[Part Name],0),$P$7+8))</f>
        <v/>
      </c>
      <c r="Q25" s="17">
        <f>MAX(0,$F25-INDEX(Grid_Stock[#Data],MATCH($D25,Grid_Stock[Part Name],0),$P$7+9))</f>
        <v/>
      </c>
      <c r="R25" s="17">
        <f>MAX(0,$F25-INDEX(Grid_Stock[#Data],MATCH($D25,Grid_Stock[Part Name],0),$P$7+10))</f>
        <v/>
      </c>
      <c r="S25" s="17">
        <f>MAX(0,$F25-INDEX(Grid_Stock[#Data],MATCH($D25,Grid_Stock[Part Name],0),$P$7+11))</f>
        <v/>
      </c>
      <c r="T25" s="17">
        <f>MAX(0,$F25-INDEX(Grid_Stock[#Data],MATCH($D25,Grid_Stock[Part Name],0),$P$7+12))</f>
        <v/>
      </c>
      <c r="U25" s="17">
        <f>SUM(H25:T25)</f>
        <v/>
      </c>
    </row>
    <row r="26">
      <c r="B26" s="18">
        <f>IFERROR(INDEX(M_RawMaterials[Description],MATCH("7CL",M_RawMaterials[Part Name],0)),"")</f>
        <v/>
      </c>
      <c r="C26" s="18" t="inlineStr">
        <is>
          <t>N75H28R08-JP</t>
        </is>
      </c>
      <c r="D26" s="18" t="inlineStr">
        <is>
          <t>7CL</t>
        </is>
      </c>
      <c r="E26" s="18" t="inlineStr">
        <is>
          <t>kg</t>
        </is>
      </c>
      <c r="F26" s="18">
        <f>IFERROR(INDEX(M_RawMaterials[基準在庫下限_要入力],MATCH("7CL",M_RawMaterials[Part Name],0)),0)</f>
        <v/>
      </c>
      <c r="G26" s="18">
        <f>INDEX(Grid_Stock[#Data],MATCH($D26,Grid_Stock[Part Name],0),$P$7)</f>
        <v/>
      </c>
      <c r="H26" s="18">
        <f>MAX(0,$F26-INDEX(Grid_Stock[#Data],MATCH($D26,Grid_Stock[Part Name],0),$P$7+0))</f>
        <v/>
      </c>
      <c r="I26" s="18">
        <f>MAX(0,$F26-INDEX(Grid_Stock[#Data],MATCH($D26,Grid_Stock[Part Name],0),$P$7+1))</f>
        <v/>
      </c>
      <c r="J26" s="18">
        <f>MAX(0,$F26-INDEX(Grid_Stock[#Data],MATCH($D26,Grid_Stock[Part Name],0),$P$7+2))</f>
        <v/>
      </c>
      <c r="K26" s="18">
        <f>MAX(0,$F26-INDEX(Grid_Stock[#Data],MATCH($D26,Grid_Stock[Part Name],0),$P$7+3))</f>
        <v/>
      </c>
      <c r="L26" s="18">
        <f>MAX(0,$F26-INDEX(Grid_Stock[#Data],MATCH($D26,Grid_Stock[Part Name],0),$P$7+4))</f>
        <v/>
      </c>
      <c r="M26" s="18">
        <f>MAX(0,$F26-INDEX(Grid_Stock[#Data],MATCH($D26,Grid_Stock[Part Name],0),$P$7+5))</f>
        <v/>
      </c>
      <c r="N26" s="18">
        <f>MAX(0,$F26-INDEX(Grid_Stock[#Data],MATCH($D26,Grid_Stock[Part Name],0),$P$7+6))</f>
        <v/>
      </c>
      <c r="O26" s="18">
        <f>MAX(0,$F26-INDEX(Grid_Stock[#Data],MATCH($D26,Grid_Stock[Part Name],0),$P$7+7))</f>
        <v/>
      </c>
      <c r="P26" s="18">
        <f>MAX(0,$F26-INDEX(Grid_Stock[#Data],MATCH($D26,Grid_Stock[Part Name],0),$P$7+8))</f>
        <v/>
      </c>
      <c r="Q26" s="18">
        <f>MAX(0,$F26-INDEX(Grid_Stock[#Data],MATCH($D26,Grid_Stock[Part Name],0),$P$7+9))</f>
        <v/>
      </c>
      <c r="R26" s="18">
        <f>MAX(0,$F26-INDEX(Grid_Stock[#Data],MATCH($D26,Grid_Stock[Part Name],0),$P$7+10))</f>
        <v/>
      </c>
      <c r="S26" s="18">
        <f>MAX(0,$F26-INDEX(Grid_Stock[#Data],MATCH($D26,Grid_Stock[Part Name],0),$P$7+11))</f>
        <v/>
      </c>
      <c r="T26" s="18">
        <f>MAX(0,$F26-INDEX(Grid_Stock[#Data],MATCH($D26,Grid_Stock[Part Name],0),$P$7+12))</f>
        <v/>
      </c>
      <c r="U26" s="18">
        <f>SUM(H26:T26)</f>
        <v/>
      </c>
    </row>
    <row r="27">
      <c r="B27" s="17">
        <f>IFERROR(INDEX(M_RawMaterials[Description],MATCH("CHEM-1400",M_RawMaterials[Part Name],0)),"")</f>
        <v/>
      </c>
      <c r="C27" s="17" t="inlineStr">
        <is>
          <t>71288617001</t>
        </is>
      </c>
      <c r="D27" s="17" t="inlineStr">
        <is>
          <t>CHEM-1400</t>
        </is>
      </c>
      <c r="E27" s="17" t="inlineStr">
        <is>
          <t>kg</t>
        </is>
      </c>
      <c r="F27" s="17">
        <f>IFERROR(INDEX(M_RawMaterials[基準在庫下限_要入力],MATCH("CHEM-1400",M_RawMaterials[Part Name],0)),0)</f>
        <v/>
      </c>
      <c r="G27" s="17">
        <f>INDEX(Grid_Stock[#Data],MATCH($D27,Grid_Stock[Part Name],0),$P$7)</f>
        <v/>
      </c>
      <c r="H27" s="17">
        <f>MAX(0,$F27-INDEX(Grid_Stock[#Data],MATCH($D27,Grid_Stock[Part Name],0),$P$7+0))</f>
        <v/>
      </c>
      <c r="I27" s="17">
        <f>MAX(0,$F27-INDEX(Grid_Stock[#Data],MATCH($D27,Grid_Stock[Part Name],0),$P$7+1))</f>
        <v/>
      </c>
      <c r="J27" s="17">
        <f>MAX(0,$F27-INDEX(Grid_Stock[#Data],MATCH($D27,Grid_Stock[Part Name],0),$P$7+2))</f>
        <v/>
      </c>
      <c r="K27" s="17">
        <f>MAX(0,$F27-INDEX(Grid_Stock[#Data],MATCH($D27,Grid_Stock[Part Name],0),$P$7+3))</f>
        <v/>
      </c>
      <c r="L27" s="17">
        <f>MAX(0,$F27-INDEX(Grid_Stock[#Data],MATCH($D27,Grid_Stock[Part Name],0),$P$7+4))</f>
        <v/>
      </c>
      <c r="M27" s="17">
        <f>MAX(0,$F27-INDEX(Grid_Stock[#Data],MATCH($D27,Grid_Stock[Part Name],0),$P$7+5))</f>
        <v/>
      </c>
      <c r="N27" s="17">
        <f>MAX(0,$F27-INDEX(Grid_Stock[#Data],MATCH($D27,Grid_Stock[Part Name],0),$P$7+6))</f>
        <v/>
      </c>
      <c r="O27" s="17">
        <f>MAX(0,$F27-INDEX(Grid_Stock[#Data],MATCH($D27,Grid_Stock[Part Name],0),$P$7+7))</f>
        <v/>
      </c>
      <c r="P27" s="17">
        <f>MAX(0,$F27-INDEX(Grid_Stock[#Data],MATCH($D27,Grid_Stock[Part Name],0),$P$7+8))</f>
        <v/>
      </c>
      <c r="Q27" s="17">
        <f>MAX(0,$F27-INDEX(Grid_Stock[#Data],MATCH($D27,Grid_Stock[Part Name],0),$P$7+9))</f>
        <v/>
      </c>
      <c r="R27" s="17">
        <f>MAX(0,$F27-INDEX(Grid_Stock[#Data],MATCH($D27,Grid_Stock[Part Name],0),$P$7+10))</f>
        <v/>
      </c>
      <c r="S27" s="17">
        <f>MAX(0,$F27-INDEX(Grid_Stock[#Data],MATCH($D27,Grid_Stock[Part Name],0),$P$7+11))</f>
        <v/>
      </c>
      <c r="T27" s="17">
        <f>MAX(0,$F27-INDEX(Grid_Stock[#Data],MATCH($D27,Grid_Stock[Part Name],0),$P$7+12))</f>
        <v/>
      </c>
      <c r="U27" s="17">
        <f>SUM(H27:T27)</f>
        <v/>
      </c>
    </row>
    <row r="28">
      <c r="B28" s="18">
        <f>IFERROR(INDEX(M_RawMaterials[Description],MATCH("CHEM-1570",M_RawMaterials[Part Name],0)),"")</f>
        <v/>
      </c>
      <c r="C28" s="18" t="inlineStr">
        <is>
          <t>71288624802</t>
        </is>
      </c>
      <c r="D28" s="18" t="inlineStr">
        <is>
          <t>CHEM-1570</t>
        </is>
      </c>
      <c r="E28" s="18" t="inlineStr">
        <is>
          <t>kg</t>
        </is>
      </c>
      <c r="F28" s="18">
        <f>IFERROR(INDEX(M_RawMaterials[基準在庫下限_要入力],MATCH("CHEM-1570",M_RawMaterials[Part Name],0)),0)</f>
        <v/>
      </c>
      <c r="G28" s="18">
        <f>INDEX(Grid_Stock[#Data],MATCH($D28,Grid_Stock[Part Name],0),$P$7)</f>
        <v/>
      </c>
      <c r="H28" s="18">
        <f>MAX(0,$F28-INDEX(Grid_Stock[#Data],MATCH($D28,Grid_Stock[Part Name],0),$P$7+0))</f>
        <v/>
      </c>
      <c r="I28" s="18">
        <f>MAX(0,$F28-INDEX(Grid_Stock[#Data],MATCH($D28,Grid_Stock[Part Name],0),$P$7+1))</f>
        <v/>
      </c>
      <c r="J28" s="18">
        <f>MAX(0,$F28-INDEX(Grid_Stock[#Data],MATCH($D28,Grid_Stock[Part Name],0),$P$7+2))</f>
        <v/>
      </c>
      <c r="K28" s="18">
        <f>MAX(0,$F28-INDEX(Grid_Stock[#Data],MATCH($D28,Grid_Stock[Part Name],0),$P$7+3))</f>
        <v/>
      </c>
      <c r="L28" s="18">
        <f>MAX(0,$F28-INDEX(Grid_Stock[#Data],MATCH($D28,Grid_Stock[Part Name],0),$P$7+4))</f>
        <v/>
      </c>
      <c r="M28" s="18">
        <f>MAX(0,$F28-INDEX(Grid_Stock[#Data],MATCH($D28,Grid_Stock[Part Name],0),$P$7+5))</f>
        <v/>
      </c>
      <c r="N28" s="18">
        <f>MAX(0,$F28-INDEX(Grid_Stock[#Data],MATCH($D28,Grid_Stock[Part Name],0),$P$7+6))</f>
        <v/>
      </c>
      <c r="O28" s="18">
        <f>MAX(0,$F28-INDEX(Grid_Stock[#Data],MATCH($D28,Grid_Stock[Part Name],0),$P$7+7))</f>
        <v/>
      </c>
      <c r="P28" s="18">
        <f>MAX(0,$F28-INDEX(Grid_Stock[#Data],MATCH($D28,Grid_Stock[Part Name],0),$P$7+8))</f>
        <v/>
      </c>
      <c r="Q28" s="18">
        <f>MAX(0,$F28-INDEX(Grid_Stock[#Data],MATCH($D28,Grid_Stock[Part Name],0),$P$7+9))</f>
        <v/>
      </c>
      <c r="R28" s="18">
        <f>MAX(0,$F28-INDEX(Grid_Stock[#Data],MATCH($D28,Grid_Stock[Part Name],0),$P$7+10))</f>
        <v/>
      </c>
      <c r="S28" s="18">
        <f>MAX(0,$F28-INDEX(Grid_Stock[#Data],MATCH($D28,Grid_Stock[Part Name],0),$P$7+11))</f>
        <v/>
      </c>
      <c r="T28" s="18">
        <f>MAX(0,$F28-INDEX(Grid_Stock[#Data],MATCH($D28,Grid_Stock[Part Name],0),$P$7+12))</f>
        <v/>
      </c>
      <c r="U28" s="18">
        <f>SUM(H28:T28)</f>
        <v/>
      </c>
    </row>
    <row r="29">
      <c r="B29" s="17">
        <f>IFERROR(INDEX(M_RawMaterials[Description],MATCH("CHEM-1650",M_RawMaterials[Part Name],0)),"")</f>
        <v/>
      </c>
      <c r="C29" s="17" t="inlineStr">
        <is>
          <t>712886256</t>
        </is>
      </c>
      <c r="D29" s="17" t="inlineStr">
        <is>
          <t>CHEM-1650</t>
        </is>
      </c>
      <c r="E29" s="17" t="inlineStr">
        <is>
          <t>kg</t>
        </is>
      </c>
      <c r="F29" s="17">
        <f>IFERROR(INDEX(M_RawMaterials[基準在庫下限_要入力],MATCH("CHEM-1650",M_RawMaterials[Part Name],0)),0)</f>
        <v/>
      </c>
      <c r="G29" s="17">
        <f>INDEX(Grid_Stock[#Data],MATCH($D29,Grid_Stock[Part Name],0),$P$7)</f>
        <v/>
      </c>
      <c r="H29" s="17">
        <f>MAX(0,$F29-INDEX(Grid_Stock[#Data],MATCH($D29,Grid_Stock[Part Name],0),$P$7+0))</f>
        <v/>
      </c>
      <c r="I29" s="17">
        <f>MAX(0,$F29-INDEX(Grid_Stock[#Data],MATCH($D29,Grid_Stock[Part Name],0),$P$7+1))</f>
        <v/>
      </c>
      <c r="J29" s="17">
        <f>MAX(0,$F29-INDEX(Grid_Stock[#Data],MATCH($D29,Grid_Stock[Part Name],0),$P$7+2))</f>
        <v/>
      </c>
      <c r="K29" s="17">
        <f>MAX(0,$F29-INDEX(Grid_Stock[#Data],MATCH($D29,Grid_Stock[Part Name],0),$P$7+3))</f>
        <v/>
      </c>
      <c r="L29" s="17">
        <f>MAX(0,$F29-INDEX(Grid_Stock[#Data],MATCH($D29,Grid_Stock[Part Name],0),$P$7+4))</f>
        <v/>
      </c>
      <c r="M29" s="17">
        <f>MAX(0,$F29-INDEX(Grid_Stock[#Data],MATCH($D29,Grid_Stock[Part Name],0),$P$7+5))</f>
        <v/>
      </c>
      <c r="N29" s="17">
        <f>MAX(0,$F29-INDEX(Grid_Stock[#Data],MATCH($D29,Grid_Stock[Part Name],0),$P$7+6))</f>
        <v/>
      </c>
      <c r="O29" s="17">
        <f>MAX(0,$F29-INDEX(Grid_Stock[#Data],MATCH($D29,Grid_Stock[Part Name],0),$P$7+7))</f>
        <v/>
      </c>
      <c r="P29" s="17">
        <f>MAX(0,$F29-INDEX(Grid_Stock[#Data],MATCH($D29,Grid_Stock[Part Name],0),$P$7+8))</f>
        <v/>
      </c>
      <c r="Q29" s="17">
        <f>MAX(0,$F29-INDEX(Grid_Stock[#Data],MATCH($D29,Grid_Stock[Part Name],0),$P$7+9))</f>
        <v/>
      </c>
      <c r="R29" s="17">
        <f>MAX(0,$F29-INDEX(Grid_Stock[#Data],MATCH($D29,Grid_Stock[Part Name],0),$P$7+10))</f>
        <v/>
      </c>
      <c r="S29" s="17">
        <f>MAX(0,$F29-INDEX(Grid_Stock[#Data],MATCH($D29,Grid_Stock[Part Name],0),$P$7+11))</f>
        <v/>
      </c>
      <c r="T29" s="17">
        <f>MAX(0,$F29-INDEX(Grid_Stock[#Data],MATCH($D29,Grid_Stock[Part Name],0),$P$7+12))</f>
        <v/>
      </c>
      <c r="U29" s="17">
        <f>SUM(H29:T29)</f>
        <v/>
      </c>
    </row>
    <row r="30">
      <c r="B30" s="18">
        <f>IFERROR(INDEX(M_RawMaterials[Description],MATCH("CHEM-1600",M_RawMaterials[Part Name],0)),"")</f>
        <v/>
      </c>
      <c r="C30" s="18" t="inlineStr">
        <is>
          <t>71388005101</t>
        </is>
      </c>
      <c r="D30" s="18" t="inlineStr">
        <is>
          <t>CHEM-1600</t>
        </is>
      </c>
      <c r="E30" s="18" t="inlineStr">
        <is>
          <t>kg</t>
        </is>
      </c>
      <c r="F30" s="18">
        <f>IFERROR(INDEX(M_RawMaterials[基準在庫下限_要入力],MATCH("CHEM-1600",M_RawMaterials[Part Name],0)),0)</f>
        <v/>
      </c>
      <c r="G30" s="18">
        <f>INDEX(Grid_Stock[#Data],MATCH($D30,Grid_Stock[Part Name],0),$P$7)</f>
        <v/>
      </c>
      <c r="H30" s="18">
        <f>MAX(0,$F30-INDEX(Grid_Stock[#Data],MATCH($D30,Grid_Stock[Part Name],0),$P$7+0))</f>
        <v/>
      </c>
      <c r="I30" s="18">
        <f>MAX(0,$F30-INDEX(Grid_Stock[#Data],MATCH($D30,Grid_Stock[Part Name],0),$P$7+1))</f>
        <v/>
      </c>
      <c r="J30" s="18">
        <f>MAX(0,$F30-INDEX(Grid_Stock[#Data],MATCH($D30,Grid_Stock[Part Name],0),$P$7+2))</f>
        <v/>
      </c>
      <c r="K30" s="18">
        <f>MAX(0,$F30-INDEX(Grid_Stock[#Data],MATCH($D30,Grid_Stock[Part Name],0),$P$7+3))</f>
        <v/>
      </c>
      <c r="L30" s="18">
        <f>MAX(0,$F30-INDEX(Grid_Stock[#Data],MATCH($D30,Grid_Stock[Part Name],0),$P$7+4))</f>
        <v/>
      </c>
      <c r="M30" s="18">
        <f>MAX(0,$F30-INDEX(Grid_Stock[#Data],MATCH($D30,Grid_Stock[Part Name],0),$P$7+5))</f>
        <v/>
      </c>
      <c r="N30" s="18">
        <f>MAX(0,$F30-INDEX(Grid_Stock[#Data],MATCH($D30,Grid_Stock[Part Name],0),$P$7+6))</f>
        <v/>
      </c>
      <c r="O30" s="18">
        <f>MAX(0,$F30-INDEX(Grid_Stock[#Data],MATCH($D30,Grid_Stock[Part Name],0),$P$7+7))</f>
        <v/>
      </c>
      <c r="P30" s="18">
        <f>MAX(0,$F30-INDEX(Grid_Stock[#Data],MATCH($D30,Grid_Stock[Part Name],0),$P$7+8))</f>
        <v/>
      </c>
      <c r="Q30" s="18">
        <f>MAX(0,$F30-INDEX(Grid_Stock[#Data],MATCH($D30,Grid_Stock[Part Name],0),$P$7+9))</f>
        <v/>
      </c>
      <c r="R30" s="18">
        <f>MAX(0,$F30-INDEX(Grid_Stock[#Data],MATCH($D30,Grid_Stock[Part Name],0),$P$7+10))</f>
        <v/>
      </c>
      <c r="S30" s="18">
        <f>MAX(0,$F30-INDEX(Grid_Stock[#Data],MATCH($D30,Grid_Stock[Part Name],0),$P$7+11))</f>
        <v/>
      </c>
      <c r="T30" s="18">
        <f>MAX(0,$F30-INDEX(Grid_Stock[#Data],MATCH($D30,Grid_Stock[Part Name],0),$P$7+12))</f>
        <v/>
      </c>
      <c r="U30" s="18">
        <f>SUM(H30:T30)</f>
        <v/>
      </c>
    </row>
    <row r="31">
      <c r="B31" s="17">
        <f>IFERROR(INDEX(M_RawMaterials[Description],MATCH("CHEM-1240",M_RawMaterials[Part Name],0)),"")</f>
        <v/>
      </c>
      <c r="C31" s="17" t="inlineStr">
        <is>
          <t>83988008101</t>
        </is>
      </c>
      <c r="D31" s="17" t="inlineStr">
        <is>
          <t>CHEM-1240</t>
        </is>
      </c>
      <c r="E31" s="17" t="inlineStr">
        <is>
          <t>kg</t>
        </is>
      </c>
      <c r="F31" s="17">
        <f>IFERROR(INDEX(M_RawMaterials[基準在庫下限_要入力],MATCH("CHEM-1240",M_RawMaterials[Part Name],0)),0)</f>
        <v/>
      </c>
      <c r="G31" s="17">
        <f>INDEX(Grid_Stock[#Data],MATCH($D31,Grid_Stock[Part Name],0),$P$7)</f>
        <v/>
      </c>
      <c r="H31" s="17">
        <f>MAX(0,$F31-INDEX(Grid_Stock[#Data],MATCH($D31,Grid_Stock[Part Name],0),$P$7+0))</f>
        <v/>
      </c>
      <c r="I31" s="17">
        <f>MAX(0,$F31-INDEX(Grid_Stock[#Data],MATCH($D31,Grid_Stock[Part Name],0),$P$7+1))</f>
        <v/>
      </c>
      <c r="J31" s="17">
        <f>MAX(0,$F31-INDEX(Grid_Stock[#Data],MATCH($D31,Grid_Stock[Part Name],0),$P$7+2))</f>
        <v/>
      </c>
      <c r="K31" s="17">
        <f>MAX(0,$F31-INDEX(Grid_Stock[#Data],MATCH($D31,Grid_Stock[Part Name],0),$P$7+3))</f>
        <v/>
      </c>
      <c r="L31" s="17">
        <f>MAX(0,$F31-INDEX(Grid_Stock[#Data],MATCH($D31,Grid_Stock[Part Name],0),$P$7+4))</f>
        <v/>
      </c>
      <c r="M31" s="17">
        <f>MAX(0,$F31-INDEX(Grid_Stock[#Data],MATCH($D31,Grid_Stock[Part Name],0),$P$7+5))</f>
        <v/>
      </c>
      <c r="N31" s="17">
        <f>MAX(0,$F31-INDEX(Grid_Stock[#Data],MATCH($D31,Grid_Stock[Part Name],0),$P$7+6))</f>
        <v/>
      </c>
      <c r="O31" s="17">
        <f>MAX(0,$F31-INDEX(Grid_Stock[#Data],MATCH($D31,Grid_Stock[Part Name],0),$P$7+7))</f>
        <v/>
      </c>
      <c r="P31" s="17">
        <f>MAX(0,$F31-INDEX(Grid_Stock[#Data],MATCH($D31,Grid_Stock[Part Name],0),$P$7+8))</f>
        <v/>
      </c>
      <c r="Q31" s="17">
        <f>MAX(0,$F31-INDEX(Grid_Stock[#Data],MATCH($D31,Grid_Stock[Part Name],0),$P$7+9))</f>
        <v/>
      </c>
      <c r="R31" s="17">
        <f>MAX(0,$F31-INDEX(Grid_Stock[#Data],MATCH($D31,Grid_Stock[Part Name],0),$P$7+10))</f>
        <v/>
      </c>
      <c r="S31" s="17">
        <f>MAX(0,$F31-INDEX(Grid_Stock[#Data],MATCH($D31,Grid_Stock[Part Name],0),$P$7+11))</f>
        <v/>
      </c>
      <c r="T31" s="17">
        <f>MAX(0,$F31-INDEX(Grid_Stock[#Data],MATCH($D31,Grid_Stock[Part Name],0),$P$7+12))</f>
        <v/>
      </c>
      <c r="U31" s="17">
        <f>SUM(H31:T31)</f>
        <v/>
      </c>
    </row>
    <row r="32">
      <c r="B32" s="18">
        <f>IFERROR(INDEX(M_RawMaterials[Description],MATCH("CHEM-1760",M_RawMaterials[Part Name],0)),"")</f>
        <v/>
      </c>
      <c r="C32" s="18" t="inlineStr">
        <is>
          <t>713880079</t>
        </is>
      </c>
      <c r="D32" s="18" t="inlineStr">
        <is>
          <t>CHEM-1760</t>
        </is>
      </c>
      <c r="E32" s="18" t="inlineStr">
        <is>
          <t>kg</t>
        </is>
      </c>
      <c r="F32" s="18">
        <f>IFERROR(INDEX(M_RawMaterials[基準在庫下限_要入力],MATCH("CHEM-1760",M_RawMaterials[Part Name],0)),0)</f>
        <v/>
      </c>
      <c r="G32" s="18">
        <f>INDEX(Grid_Stock[#Data],MATCH($D32,Grid_Stock[Part Name],0),$P$7)</f>
        <v/>
      </c>
      <c r="H32" s="18">
        <f>MAX(0,$F32-INDEX(Grid_Stock[#Data],MATCH($D32,Grid_Stock[Part Name],0),$P$7+0))</f>
        <v/>
      </c>
      <c r="I32" s="18">
        <f>MAX(0,$F32-INDEX(Grid_Stock[#Data],MATCH($D32,Grid_Stock[Part Name],0),$P$7+1))</f>
        <v/>
      </c>
      <c r="J32" s="18">
        <f>MAX(0,$F32-INDEX(Grid_Stock[#Data],MATCH($D32,Grid_Stock[Part Name],0),$P$7+2))</f>
        <v/>
      </c>
      <c r="K32" s="18">
        <f>MAX(0,$F32-INDEX(Grid_Stock[#Data],MATCH($D32,Grid_Stock[Part Name],0),$P$7+3))</f>
        <v/>
      </c>
      <c r="L32" s="18">
        <f>MAX(0,$F32-INDEX(Grid_Stock[#Data],MATCH($D32,Grid_Stock[Part Name],0),$P$7+4))</f>
        <v/>
      </c>
      <c r="M32" s="18">
        <f>MAX(0,$F32-INDEX(Grid_Stock[#Data],MATCH($D32,Grid_Stock[Part Name],0),$P$7+5))</f>
        <v/>
      </c>
      <c r="N32" s="18">
        <f>MAX(0,$F32-INDEX(Grid_Stock[#Data],MATCH($D32,Grid_Stock[Part Name],0),$P$7+6))</f>
        <v/>
      </c>
      <c r="O32" s="18">
        <f>MAX(0,$F32-INDEX(Grid_Stock[#Data],MATCH($D32,Grid_Stock[Part Name],0),$P$7+7))</f>
        <v/>
      </c>
      <c r="P32" s="18">
        <f>MAX(0,$F32-INDEX(Grid_Stock[#Data],MATCH($D32,Grid_Stock[Part Name],0),$P$7+8))</f>
        <v/>
      </c>
      <c r="Q32" s="18">
        <f>MAX(0,$F32-INDEX(Grid_Stock[#Data],MATCH($D32,Grid_Stock[Part Name],0),$P$7+9))</f>
        <v/>
      </c>
      <c r="R32" s="18">
        <f>MAX(0,$F32-INDEX(Grid_Stock[#Data],MATCH($D32,Grid_Stock[Part Name],0),$P$7+10))</f>
        <v/>
      </c>
      <c r="S32" s="18">
        <f>MAX(0,$F32-INDEX(Grid_Stock[#Data],MATCH($D32,Grid_Stock[Part Name],0),$P$7+11))</f>
        <v/>
      </c>
      <c r="T32" s="18">
        <f>MAX(0,$F32-INDEX(Grid_Stock[#Data],MATCH($D32,Grid_Stock[Part Name],0),$P$7+12))</f>
        <v/>
      </c>
      <c r="U32" s="18">
        <f>SUM(H32:T32)</f>
        <v/>
      </c>
    </row>
    <row r="33">
      <c r="B33" s="17">
        <f>IFERROR(INDEX(M_RawMaterials[Description],MATCH("Original Towel",M_RawMaterials[Part Name],0)),"")</f>
        <v/>
      </c>
      <c r="C33" s="17" t="inlineStr">
        <is>
          <t>859882220</t>
        </is>
      </c>
      <c r="D33" s="17" t="inlineStr">
        <is>
          <t>Original Towel</t>
        </is>
      </c>
      <c r="E33" s="17" t="inlineStr">
        <is>
          <t>kg</t>
        </is>
      </c>
      <c r="F33" s="17">
        <f>IFERROR(INDEX(M_RawMaterials[基準在庫下限_要入力],MATCH("Original Towel",M_RawMaterials[Part Name],0)),0)</f>
        <v/>
      </c>
      <c r="G33" s="17">
        <f>INDEX(Grid_Stock[#Data],MATCH($D33,Grid_Stock[Part Name],0),$P$7)</f>
        <v/>
      </c>
      <c r="H33" s="17">
        <f>MAX(0,$F33-INDEX(Grid_Stock[#Data],MATCH($D33,Grid_Stock[Part Name],0),$P$7+0))</f>
        <v/>
      </c>
      <c r="I33" s="17">
        <f>MAX(0,$F33-INDEX(Grid_Stock[#Data],MATCH($D33,Grid_Stock[Part Name],0),$P$7+1))</f>
        <v/>
      </c>
      <c r="J33" s="17">
        <f>MAX(0,$F33-INDEX(Grid_Stock[#Data],MATCH($D33,Grid_Stock[Part Name],0),$P$7+2))</f>
        <v/>
      </c>
      <c r="K33" s="17">
        <f>MAX(0,$F33-INDEX(Grid_Stock[#Data],MATCH($D33,Grid_Stock[Part Name],0),$P$7+3))</f>
        <v/>
      </c>
      <c r="L33" s="17">
        <f>MAX(0,$F33-INDEX(Grid_Stock[#Data],MATCH($D33,Grid_Stock[Part Name],0),$P$7+4))</f>
        <v/>
      </c>
      <c r="M33" s="17">
        <f>MAX(0,$F33-INDEX(Grid_Stock[#Data],MATCH($D33,Grid_Stock[Part Name],0),$P$7+5))</f>
        <v/>
      </c>
      <c r="N33" s="17">
        <f>MAX(0,$F33-INDEX(Grid_Stock[#Data],MATCH($D33,Grid_Stock[Part Name],0),$P$7+6))</f>
        <v/>
      </c>
      <c r="O33" s="17">
        <f>MAX(0,$F33-INDEX(Grid_Stock[#Data],MATCH($D33,Grid_Stock[Part Name],0),$P$7+7))</f>
        <v/>
      </c>
      <c r="P33" s="17">
        <f>MAX(0,$F33-INDEX(Grid_Stock[#Data],MATCH($D33,Grid_Stock[Part Name],0),$P$7+8))</f>
        <v/>
      </c>
      <c r="Q33" s="17">
        <f>MAX(0,$F33-INDEX(Grid_Stock[#Data],MATCH($D33,Grid_Stock[Part Name],0),$P$7+9))</f>
        <v/>
      </c>
      <c r="R33" s="17">
        <f>MAX(0,$F33-INDEX(Grid_Stock[#Data],MATCH($D33,Grid_Stock[Part Name],0),$P$7+10))</f>
        <v/>
      </c>
      <c r="S33" s="17">
        <f>MAX(0,$F33-INDEX(Grid_Stock[#Data],MATCH($D33,Grid_Stock[Part Name],0),$P$7+11))</f>
        <v/>
      </c>
      <c r="T33" s="17">
        <f>MAX(0,$F33-INDEX(Grid_Stock[#Data],MATCH($D33,Grid_Stock[Part Name],0),$P$7+12))</f>
        <v/>
      </c>
      <c r="U33" s="17">
        <f>SUM(H33:T33)</f>
        <v/>
      </c>
    </row>
    <row r="34">
      <c r="B34" s="18">
        <f>IFERROR(INDEX(M_RawMaterials[Description],MATCH("CHEM-1200",M_RawMaterials[Part Name],0)),"")</f>
        <v/>
      </c>
      <c r="C34" s="18" t="inlineStr">
        <is>
          <t>839880012</t>
        </is>
      </c>
      <c r="D34" s="18" t="inlineStr">
        <is>
          <t>CHEM-1200</t>
        </is>
      </c>
      <c r="E34" s="18" t="inlineStr">
        <is>
          <t>kg</t>
        </is>
      </c>
      <c r="F34" s="18">
        <f>IFERROR(INDEX(M_RawMaterials[基準在庫下限_要入力],MATCH("CHEM-1200",M_RawMaterials[Part Name],0)),0)</f>
        <v/>
      </c>
      <c r="G34" s="18">
        <f>INDEX(Grid_Stock[#Data],MATCH($D34,Grid_Stock[Part Name],0),$P$7)</f>
        <v/>
      </c>
      <c r="H34" s="18">
        <f>MAX(0,$F34-INDEX(Grid_Stock[#Data],MATCH($D34,Grid_Stock[Part Name],0),$P$7+0))</f>
        <v/>
      </c>
      <c r="I34" s="18">
        <f>MAX(0,$F34-INDEX(Grid_Stock[#Data],MATCH($D34,Grid_Stock[Part Name],0),$P$7+1))</f>
        <v/>
      </c>
      <c r="J34" s="18">
        <f>MAX(0,$F34-INDEX(Grid_Stock[#Data],MATCH($D34,Grid_Stock[Part Name],0),$P$7+2))</f>
        <v/>
      </c>
      <c r="K34" s="18">
        <f>MAX(0,$F34-INDEX(Grid_Stock[#Data],MATCH($D34,Grid_Stock[Part Name],0),$P$7+3))</f>
        <v/>
      </c>
      <c r="L34" s="18">
        <f>MAX(0,$F34-INDEX(Grid_Stock[#Data],MATCH($D34,Grid_Stock[Part Name],0),$P$7+4))</f>
        <v/>
      </c>
      <c r="M34" s="18">
        <f>MAX(0,$F34-INDEX(Grid_Stock[#Data],MATCH($D34,Grid_Stock[Part Name],0),$P$7+5))</f>
        <v/>
      </c>
      <c r="N34" s="18">
        <f>MAX(0,$F34-INDEX(Grid_Stock[#Data],MATCH($D34,Grid_Stock[Part Name],0),$P$7+6))</f>
        <v/>
      </c>
      <c r="O34" s="18">
        <f>MAX(0,$F34-INDEX(Grid_Stock[#Data],MATCH($D34,Grid_Stock[Part Name],0),$P$7+7))</f>
        <v/>
      </c>
      <c r="P34" s="18">
        <f>MAX(0,$F34-INDEX(Grid_Stock[#Data],MATCH($D34,Grid_Stock[Part Name],0),$P$7+8))</f>
        <v/>
      </c>
      <c r="Q34" s="18">
        <f>MAX(0,$F34-INDEX(Grid_Stock[#Data],MATCH($D34,Grid_Stock[Part Name],0),$P$7+9))</f>
        <v/>
      </c>
      <c r="R34" s="18">
        <f>MAX(0,$F34-INDEX(Grid_Stock[#Data],MATCH($D34,Grid_Stock[Part Name],0),$P$7+10))</f>
        <v/>
      </c>
      <c r="S34" s="18">
        <f>MAX(0,$F34-INDEX(Grid_Stock[#Data],MATCH($D34,Grid_Stock[Part Name],0),$P$7+11))</f>
        <v/>
      </c>
      <c r="T34" s="18">
        <f>MAX(0,$F34-INDEX(Grid_Stock[#Data],MATCH($D34,Grid_Stock[Part Name],0),$P$7+12))</f>
        <v/>
      </c>
      <c r="U34" s="18">
        <f>SUM(H34:T34)</f>
        <v/>
      </c>
    </row>
    <row r="35">
      <c r="B35" s="17">
        <f>IFERROR(INDEX(M_RawMaterials[Description],MATCH("CHEM-1830",M_RawMaterials[Part Name],0)),"")</f>
        <v/>
      </c>
      <c r="C35" s="17" t="inlineStr">
        <is>
          <t>713880083</t>
        </is>
      </c>
      <c r="D35" s="17" t="inlineStr">
        <is>
          <t>CHEM-1830</t>
        </is>
      </c>
      <c r="E35" s="17" t="inlineStr">
        <is>
          <t>kg</t>
        </is>
      </c>
      <c r="F35" s="17">
        <f>IFERROR(INDEX(M_RawMaterials[基準在庫下限_要入力],MATCH("CHEM-1830",M_RawMaterials[Part Name],0)),0)</f>
        <v/>
      </c>
      <c r="G35" s="17">
        <f>INDEX(Grid_Stock[#Data],MATCH($D35,Grid_Stock[Part Name],0),$P$7)</f>
        <v/>
      </c>
      <c r="H35" s="17">
        <f>MAX(0,$F35-INDEX(Grid_Stock[#Data],MATCH($D35,Grid_Stock[Part Name],0),$P$7+0))</f>
        <v/>
      </c>
      <c r="I35" s="17">
        <f>MAX(0,$F35-INDEX(Grid_Stock[#Data],MATCH($D35,Grid_Stock[Part Name],0),$P$7+1))</f>
        <v/>
      </c>
      <c r="J35" s="17">
        <f>MAX(0,$F35-INDEX(Grid_Stock[#Data],MATCH($D35,Grid_Stock[Part Name],0),$P$7+2))</f>
        <v/>
      </c>
      <c r="K35" s="17">
        <f>MAX(0,$F35-INDEX(Grid_Stock[#Data],MATCH($D35,Grid_Stock[Part Name],0),$P$7+3))</f>
        <v/>
      </c>
      <c r="L35" s="17">
        <f>MAX(0,$F35-INDEX(Grid_Stock[#Data],MATCH($D35,Grid_Stock[Part Name],0),$P$7+4))</f>
        <v/>
      </c>
      <c r="M35" s="17">
        <f>MAX(0,$F35-INDEX(Grid_Stock[#Data],MATCH($D35,Grid_Stock[Part Name],0),$P$7+5))</f>
        <v/>
      </c>
      <c r="N35" s="17">
        <f>MAX(0,$F35-INDEX(Grid_Stock[#Data],MATCH($D35,Grid_Stock[Part Name],0),$P$7+6))</f>
        <v/>
      </c>
      <c r="O35" s="17">
        <f>MAX(0,$F35-INDEX(Grid_Stock[#Data],MATCH($D35,Grid_Stock[Part Name],0),$P$7+7))</f>
        <v/>
      </c>
      <c r="P35" s="17">
        <f>MAX(0,$F35-INDEX(Grid_Stock[#Data],MATCH($D35,Grid_Stock[Part Name],0),$P$7+8))</f>
        <v/>
      </c>
      <c r="Q35" s="17">
        <f>MAX(0,$F35-INDEX(Grid_Stock[#Data],MATCH($D35,Grid_Stock[Part Name],0),$P$7+9))</f>
        <v/>
      </c>
      <c r="R35" s="17">
        <f>MAX(0,$F35-INDEX(Grid_Stock[#Data],MATCH($D35,Grid_Stock[Part Name],0),$P$7+10))</f>
        <v/>
      </c>
      <c r="S35" s="17">
        <f>MAX(0,$F35-INDEX(Grid_Stock[#Data],MATCH($D35,Grid_Stock[Part Name],0),$P$7+11))</f>
        <v/>
      </c>
      <c r="T35" s="17">
        <f>MAX(0,$F35-INDEX(Grid_Stock[#Data],MATCH($D35,Grid_Stock[Part Name],0),$P$7+12))</f>
        <v/>
      </c>
      <c r="U35" s="17">
        <f>SUM(H35:T35)</f>
        <v/>
      </c>
    </row>
    <row r="36">
      <c r="B36" s="18">
        <f>IFERROR(INDEX(M_RawMaterials[Description],MATCH("CHEM-1680",M_RawMaterials[Part Name],0)),"")</f>
        <v/>
      </c>
      <c r="C36" s="18" t="inlineStr">
        <is>
          <t>713880069</t>
        </is>
      </c>
      <c r="D36" s="18" t="inlineStr">
        <is>
          <t>CHEM-1680</t>
        </is>
      </c>
      <c r="E36" s="18" t="inlineStr">
        <is>
          <t>kg</t>
        </is>
      </c>
      <c r="F36" s="18">
        <f>IFERROR(INDEX(M_RawMaterials[基準在庫下限_要入力],MATCH("CHEM-1680",M_RawMaterials[Part Name],0)),0)</f>
        <v/>
      </c>
      <c r="G36" s="18">
        <f>INDEX(Grid_Stock[#Data],MATCH($D36,Grid_Stock[Part Name],0),$P$7)</f>
        <v/>
      </c>
      <c r="H36" s="18">
        <f>MAX(0,$F36-INDEX(Grid_Stock[#Data],MATCH($D36,Grid_Stock[Part Name],0),$P$7+0))</f>
        <v/>
      </c>
      <c r="I36" s="18">
        <f>MAX(0,$F36-INDEX(Grid_Stock[#Data],MATCH($D36,Grid_Stock[Part Name],0),$P$7+1))</f>
        <v/>
      </c>
      <c r="J36" s="18">
        <f>MAX(0,$F36-INDEX(Grid_Stock[#Data],MATCH($D36,Grid_Stock[Part Name],0),$P$7+2))</f>
        <v/>
      </c>
      <c r="K36" s="18">
        <f>MAX(0,$F36-INDEX(Grid_Stock[#Data],MATCH($D36,Grid_Stock[Part Name],0),$P$7+3))</f>
        <v/>
      </c>
      <c r="L36" s="18">
        <f>MAX(0,$F36-INDEX(Grid_Stock[#Data],MATCH($D36,Grid_Stock[Part Name],0),$P$7+4))</f>
        <v/>
      </c>
      <c r="M36" s="18">
        <f>MAX(0,$F36-INDEX(Grid_Stock[#Data],MATCH($D36,Grid_Stock[Part Name],0),$P$7+5))</f>
        <v/>
      </c>
      <c r="N36" s="18">
        <f>MAX(0,$F36-INDEX(Grid_Stock[#Data],MATCH($D36,Grid_Stock[Part Name],0),$P$7+6))</f>
        <v/>
      </c>
      <c r="O36" s="18">
        <f>MAX(0,$F36-INDEX(Grid_Stock[#Data],MATCH($D36,Grid_Stock[Part Name],0),$P$7+7))</f>
        <v/>
      </c>
      <c r="P36" s="18">
        <f>MAX(0,$F36-INDEX(Grid_Stock[#Data],MATCH($D36,Grid_Stock[Part Name],0),$P$7+8))</f>
        <v/>
      </c>
      <c r="Q36" s="18">
        <f>MAX(0,$F36-INDEX(Grid_Stock[#Data],MATCH($D36,Grid_Stock[Part Name],0),$P$7+9))</f>
        <v/>
      </c>
      <c r="R36" s="18">
        <f>MAX(0,$F36-INDEX(Grid_Stock[#Data],MATCH($D36,Grid_Stock[Part Name],0),$P$7+10))</f>
        <v/>
      </c>
      <c r="S36" s="18">
        <f>MAX(0,$F36-INDEX(Grid_Stock[#Data],MATCH($D36,Grid_Stock[Part Name],0),$P$7+11))</f>
        <v/>
      </c>
      <c r="T36" s="18">
        <f>MAX(0,$F36-INDEX(Grid_Stock[#Data],MATCH($D36,Grid_Stock[Part Name],0),$P$7+12))</f>
        <v/>
      </c>
      <c r="U36" s="18">
        <f>SUM(H36:T36)</f>
        <v/>
      </c>
    </row>
    <row r="37">
      <c r="B37" s="17">
        <f>IFERROR(INDEX(M_RawMaterials[Description],MATCH("CHEM-1820",M_RawMaterials[Part Name],0)),"")</f>
        <v/>
      </c>
      <c r="C37" s="17" t="inlineStr">
        <is>
          <t>713880091</t>
        </is>
      </c>
      <c r="D37" s="17" t="inlineStr">
        <is>
          <t>CHEM-1820</t>
        </is>
      </c>
      <c r="E37" s="17" t="inlineStr">
        <is>
          <t>kg</t>
        </is>
      </c>
      <c r="F37" s="17">
        <f>IFERROR(INDEX(M_RawMaterials[基準在庫下限_要入力],MATCH("CHEM-1820",M_RawMaterials[Part Name],0)),0)</f>
        <v/>
      </c>
      <c r="G37" s="17">
        <f>INDEX(Grid_Stock[#Data],MATCH($D37,Grid_Stock[Part Name],0),$P$7)</f>
        <v/>
      </c>
      <c r="H37" s="17">
        <f>MAX(0,$F37-INDEX(Grid_Stock[#Data],MATCH($D37,Grid_Stock[Part Name],0),$P$7+0))</f>
        <v/>
      </c>
      <c r="I37" s="17">
        <f>MAX(0,$F37-INDEX(Grid_Stock[#Data],MATCH($D37,Grid_Stock[Part Name],0),$P$7+1))</f>
        <v/>
      </c>
      <c r="J37" s="17">
        <f>MAX(0,$F37-INDEX(Grid_Stock[#Data],MATCH($D37,Grid_Stock[Part Name],0),$P$7+2))</f>
        <v/>
      </c>
      <c r="K37" s="17">
        <f>MAX(0,$F37-INDEX(Grid_Stock[#Data],MATCH($D37,Grid_Stock[Part Name],0),$P$7+3))</f>
        <v/>
      </c>
      <c r="L37" s="17">
        <f>MAX(0,$F37-INDEX(Grid_Stock[#Data],MATCH($D37,Grid_Stock[Part Name],0),$P$7+4))</f>
        <v/>
      </c>
      <c r="M37" s="17">
        <f>MAX(0,$F37-INDEX(Grid_Stock[#Data],MATCH($D37,Grid_Stock[Part Name],0),$P$7+5))</f>
        <v/>
      </c>
      <c r="N37" s="17">
        <f>MAX(0,$F37-INDEX(Grid_Stock[#Data],MATCH($D37,Grid_Stock[Part Name],0),$P$7+6))</f>
        <v/>
      </c>
      <c r="O37" s="17">
        <f>MAX(0,$F37-INDEX(Grid_Stock[#Data],MATCH($D37,Grid_Stock[Part Name],0),$P$7+7))</f>
        <v/>
      </c>
      <c r="P37" s="17">
        <f>MAX(0,$F37-INDEX(Grid_Stock[#Data],MATCH($D37,Grid_Stock[Part Name],0),$P$7+8))</f>
        <v/>
      </c>
      <c r="Q37" s="17">
        <f>MAX(0,$F37-INDEX(Grid_Stock[#Data],MATCH($D37,Grid_Stock[Part Name],0),$P$7+9))</f>
        <v/>
      </c>
      <c r="R37" s="17">
        <f>MAX(0,$F37-INDEX(Grid_Stock[#Data],MATCH($D37,Grid_Stock[Part Name],0),$P$7+10))</f>
        <v/>
      </c>
      <c r="S37" s="17">
        <f>MAX(0,$F37-INDEX(Grid_Stock[#Data],MATCH($D37,Grid_Stock[Part Name],0),$P$7+11))</f>
        <v/>
      </c>
      <c r="T37" s="17">
        <f>MAX(0,$F37-INDEX(Grid_Stock[#Data],MATCH($D37,Grid_Stock[Part Name],0),$P$7+12))</f>
        <v/>
      </c>
      <c r="U37" s="17">
        <f>SUM(H37:T37)</f>
        <v/>
      </c>
    </row>
    <row r="38">
      <c r="B38" s="18">
        <f>IFERROR(INDEX(M_RawMaterials[Description],MATCH("CHEM-1840",M_RawMaterials[Part Name],0)),"")</f>
        <v/>
      </c>
      <c r="C38" s="18" t="inlineStr">
        <is>
          <t>712886281</t>
        </is>
      </c>
      <c r="D38" s="18" t="inlineStr">
        <is>
          <t>CHEM-1840</t>
        </is>
      </c>
      <c r="E38" s="18" t="inlineStr">
        <is>
          <t>kg</t>
        </is>
      </c>
      <c r="F38" s="18">
        <f>IFERROR(INDEX(M_RawMaterials[基準在庫下限_要入力],MATCH("CHEM-1840",M_RawMaterials[Part Name],0)),0)</f>
        <v/>
      </c>
      <c r="G38" s="18">
        <f>INDEX(Grid_Stock[#Data],MATCH($D38,Grid_Stock[Part Name],0),$P$7)</f>
        <v/>
      </c>
      <c r="H38" s="18">
        <f>MAX(0,$F38-INDEX(Grid_Stock[#Data],MATCH($D38,Grid_Stock[Part Name],0),$P$7+0))</f>
        <v/>
      </c>
      <c r="I38" s="18">
        <f>MAX(0,$F38-INDEX(Grid_Stock[#Data],MATCH($D38,Grid_Stock[Part Name],0),$P$7+1))</f>
        <v/>
      </c>
      <c r="J38" s="18">
        <f>MAX(0,$F38-INDEX(Grid_Stock[#Data],MATCH($D38,Grid_Stock[Part Name],0),$P$7+2))</f>
        <v/>
      </c>
      <c r="K38" s="18">
        <f>MAX(0,$F38-INDEX(Grid_Stock[#Data],MATCH($D38,Grid_Stock[Part Name],0),$P$7+3))</f>
        <v/>
      </c>
      <c r="L38" s="18">
        <f>MAX(0,$F38-INDEX(Grid_Stock[#Data],MATCH($D38,Grid_Stock[Part Name],0),$P$7+4))</f>
        <v/>
      </c>
      <c r="M38" s="18">
        <f>MAX(0,$F38-INDEX(Grid_Stock[#Data],MATCH($D38,Grid_Stock[Part Name],0),$P$7+5))</f>
        <v/>
      </c>
      <c r="N38" s="18">
        <f>MAX(0,$F38-INDEX(Grid_Stock[#Data],MATCH($D38,Grid_Stock[Part Name],0),$P$7+6))</f>
        <v/>
      </c>
      <c r="O38" s="18">
        <f>MAX(0,$F38-INDEX(Grid_Stock[#Data],MATCH($D38,Grid_Stock[Part Name],0),$P$7+7))</f>
        <v/>
      </c>
      <c r="P38" s="18">
        <f>MAX(0,$F38-INDEX(Grid_Stock[#Data],MATCH($D38,Grid_Stock[Part Name],0),$P$7+8))</f>
        <v/>
      </c>
      <c r="Q38" s="18">
        <f>MAX(0,$F38-INDEX(Grid_Stock[#Data],MATCH($D38,Grid_Stock[Part Name],0),$P$7+9))</f>
        <v/>
      </c>
      <c r="R38" s="18">
        <f>MAX(0,$F38-INDEX(Grid_Stock[#Data],MATCH($D38,Grid_Stock[Part Name],0),$P$7+10))</f>
        <v/>
      </c>
      <c r="S38" s="18">
        <f>MAX(0,$F38-INDEX(Grid_Stock[#Data],MATCH($D38,Grid_Stock[Part Name],0),$P$7+11))</f>
        <v/>
      </c>
      <c r="T38" s="18">
        <f>MAX(0,$F38-INDEX(Grid_Stock[#Data],MATCH($D38,Grid_Stock[Part Name],0),$P$7+12))</f>
        <v/>
      </c>
      <c r="U38" s="18">
        <f>SUM(H38:T38)</f>
        <v/>
      </c>
    </row>
    <row r="39">
      <c r="B39" s="17">
        <f>IFERROR(INDEX(M_RawMaterials[Description],MATCH("CHEM-1730",M_RawMaterials[Part Name],0)),"")</f>
        <v/>
      </c>
      <c r="C39" s="17" t="inlineStr">
        <is>
          <t>71388007701</t>
        </is>
      </c>
      <c r="D39" s="17" t="inlineStr">
        <is>
          <t>CHEM-1730</t>
        </is>
      </c>
      <c r="E39" s="17" t="inlineStr">
        <is>
          <t>kg</t>
        </is>
      </c>
      <c r="F39" s="17">
        <f>IFERROR(INDEX(M_RawMaterials[基準在庫下限_要入力],MATCH("CHEM-1730",M_RawMaterials[Part Name],0)),0)</f>
        <v/>
      </c>
      <c r="G39" s="17">
        <f>INDEX(Grid_Stock[#Data],MATCH($D39,Grid_Stock[Part Name],0),$P$7)</f>
        <v/>
      </c>
      <c r="H39" s="17">
        <f>MAX(0,$F39-INDEX(Grid_Stock[#Data],MATCH($D39,Grid_Stock[Part Name],0),$P$7+0))</f>
        <v/>
      </c>
      <c r="I39" s="17">
        <f>MAX(0,$F39-INDEX(Grid_Stock[#Data],MATCH($D39,Grid_Stock[Part Name],0),$P$7+1))</f>
        <v/>
      </c>
      <c r="J39" s="17">
        <f>MAX(0,$F39-INDEX(Grid_Stock[#Data],MATCH($D39,Grid_Stock[Part Name],0),$P$7+2))</f>
        <v/>
      </c>
      <c r="K39" s="17">
        <f>MAX(0,$F39-INDEX(Grid_Stock[#Data],MATCH($D39,Grid_Stock[Part Name],0),$P$7+3))</f>
        <v/>
      </c>
      <c r="L39" s="17">
        <f>MAX(0,$F39-INDEX(Grid_Stock[#Data],MATCH($D39,Grid_Stock[Part Name],0),$P$7+4))</f>
        <v/>
      </c>
      <c r="M39" s="17">
        <f>MAX(0,$F39-INDEX(Grid_Stock[#Data],MATCH($D39,Grid_Stock[Part Name],0),$P$7+5))</f>
        <v/>
      </c>
      <c r="N39" s="17">
        <f>MAX(0,$F39-INDEX(Grid_Stock[#Data],MATCH($D39,Grid_Stock[Part Name],0),$P$7+6))</f>
        <v/>
      </c>
      <c r="O39" s="17">
        <f>MAX(0,$F39-INDEX(Grid_Stock[#Data],MATCH($D39,Grid_Stock[Part Name],0),$P$7+7))</f>
        <v/>
      </c>
      <c r="P39" s="17">
        <f>MAX(0,$F39-INDEX(Grid_Stock[#Data],MATCH($D39,Grid_Stock[Part Name],0),$P$7+8))</f>
        <v/>
      </c>
      <c r="Q39" s="17">
        <f>MAX(0,$F39-INDEX(Grid_Stock[#Data],MATCH($D39,Grid_Stock[Part Name],0),$P$7+9))</f>
        <v/>
      </c>
      <c r="R39" s="17">
        <f>MAX(0,$F39-INDEX(Grid_Stock[#Data],MATCH($D39,Grid_Stock[Part Name],0),$P$7+10))</f>
        <v/>
      </c>
      <c r="S39" s="17">
        <f>MAX(0,$F39-INDEX(Grid_Stock[#Data],MATCH($D39,Grid_Stock[Part Name],0),$P$7+11))</f>
        <v/>
      </c>
      <c r="T39" s="17">
        <f>MAX(0,$F39-INDEX(Grid_Stock[#Data],MATCH($D39,Grid_Stock[Part Name],0),$P$7+12))</f>
        <v/>
      </c>
      <c r="U39" s="17">
        <f>SUM(H39:T39)</f>
        <v/>
      </c>
    </row>
    <row r="40">
      <c r="B40" s="18">
        <f>IFERROR(INDEX(M_RawMaterials[Description],MATCH("CHEM-1430",M_RawMaterials[Part Name],0)),"")</f>
        <v/>
      </c>
      <c r="C40" s="18" t="inlineStr">
        <is>
          <t>71388004301</t>
        </is>
      </c>
      <c r="D40" s="18" t="inlineStr">
        <is>
          <t>CHEM-1430</t>
        </is>
      </c>
      <c r="E40" s="18" t="inlineStr">
        <is>
          <t>kg</t>
        </is>
      </c>
      <c r="F40" s="18">
        <f>IFERROR(INDEX(M_RawMaterials[基準在庫下限_要入力],MATCH("CHEM-1430",M_RawMaterials[Part Name],0)),0)</f>
        <v/>
      </c>
      <c r="G40" s="18">
        <f>INDEX(Grid_Stock[#Data],MATCH($D40,Grid_Stock[Part Name],0),$P$7)</f>
        <v/>
      </c>
      <c r="H40" s="18">
        <f>MAX(0,$F40-INDEX(Grid_Stock[#Data],MATCH($D40,Grid_Stock[Part Name],0),$P$7+0))</f>
        <v/>
      </c>
      <c r="I40" s="18">
        <f>MAX(0,$F40-INDEX(Grid_Stock[#Data],MATCH($D40,Grid_Stock[Part Name],0),$P$7+1))</f>
        <v/>
      </c>
      <c r="J40" s="18">
        <f>MAX(0,$F40-INDEX(Grid_Stock[#Data],MATCH($D40,Grid_Stock[Part Name],0),$P$7+2))</f>
        <v/>
      </c>
      <c r="K40" s="18">
        <f>MAX(0,$F40-INDEX(Grid_Stock[#Data],MATCH($D40,Grid_Stock[Part Name],0),$P$7+3))</f>
        <v/>
      </c>
      <c r="L40" s="18">
        <f>MAX(0,$F40-INDEX(Grid_Stock[#Data],MATCH($D40,Grid_Stock[Part Name],0),$P$7+4))</f>
        <v/>
      </c>
      <c r="M40" s="18">
        <f>MAX(0,$F40-INDEX(Grid_Stock[#Data],MATCH($D40,Grid_Stock[Part Name],0),$P$7+5))</f>
        <v/>
      </c>
      <c r="N40" s="18">
        <f>MAX(0,$F40-INDEX(Grid_Stock[#Data],MATCH($D40,Grid_Stock[Part Name],0),$P$7+6))</f>
        <v/>
      </c>
      <c r="O40" s="18">
        <f>MAX(0,$F40-INDEX(Grid_Stock[#Data],MATCH($D40,Grid_Stock[Part Name],0),$P$7+7))</f>
        <v/>
      </c>
      <c r="P40" s="18">
        <f>MAX(0,$F40-INDEX(Grid_Stock[#Data],MATCH($D40,Grid_Stock[Part Name],0),$P$7+8))</f>
        <v/>
      </c>
      <c r="Q40" s="18">
        <f>MAX(0,$F40-INDEX(Grid_Stock[#Data],MATCH($D40,Grid_Stock[Part Name],0),$P$7+9))</f>
        <v/>
      </c>
      <c r="R40" s="18">
        <f>MAX(0,$F40-INDEX(Grid_Stock[#Data],MATCH($D40,Grid_Stock[Part Name],0),$P$7+10))</f>
        <v/>
      </c>
      <c r="S40" s="18">
        <f>MAX(0,$F40-INDEX(Grid_Stock[#Data],MATCH($D40,Grid_Stock[Part Name],0),$P$7+11))</f>
        <v/>
      </c>
      <c r="T40" s="18">
        <f>MAX(0,$F40-INDEX(Grid_Stock[#Data],MATCH($D40,Grid_Stock[Part Name],0),$P$7+12))</f>
        <v/>
      </c>
      <c r="U40" s="18">
        <f>SUM(H40:T40)</f>
        <v/>
      </c>
    </row>
    <row r="41">
      <c r="B41" s="17">
        <f>IFERROR(INDEX(M_RawMaterials[Description],MATCH("CHEM-1480",M_RawMaterials[Part Name],0)),"")</f>
        <v/>
      </c>
      <c r="C41" s="17" t="inlineStr">
        <is>
          <t>NAT30</t>
        </is>
      </c>
      <c r="D41" s="17" t="inlineStr">
        <is>
          <t>CHEM-1480</t>
        </is>
      </c>
      <c r="E41" s="17" t="inlineStr">
        <is>
          <t>kg</t>
        </is>
      </c>
      <c r="F41" s="17">
        <f>IFERROR(INDEX(M_RawMaterials[基準在庫下限_要入力],MATCH("CHEM-1480",M_RawMaterials[Part Name],0)),0)</f>
        <v/>
      </c>
      <c r="G41" s="17">
        <f>INDEX(Grid_Stock[#Data],MATCH($D41,Grid_Stock[Part Name],0),$P$7)</f>
        <v/>
      </c>
      <c r="H41" s="17">
        <f>MAX(0,$F41-INDEX(Grid_Stock[#Data],MATCH($D41,Grid_Stock[Part Name],0),$P$7+0))</f>
        <v/>
      </c>
      <c r="I41" s="17">
        <f>MAX(0,$F41-INDEX(Grid_Stock[#Data],MATCH($D41,Grid_Stock[Part Name],0),$P$7+1))</f>
        <v/>
      </c>
      <c r="J41" s="17">
        <f>MAX(0,$F41-INDEX(Grid_Stock[#Data],MATCH($D41,Grid_Stock[Part Name],0),$P$7+2))</f>
        <v/>
      </c>
      <c r="K41" s="17">
        <f>MAX(0,$F41-INDEX(Grid_Stock[#Data],MATCH($D41,Grid_Stock[Part Name],0),$P$7+3))</f>
        <v/>
      </c>
      <c r="L41" s="17">
        <f>MAX(0,$F41-INDEX(Grid_Stock[#Data],MATCH($D41,Grid_Stock[Part Name],0),$P$7+4))</f>
        <v/>
      </c>
      <c r="M41" s="17">
        <f>MAX(0,$F41-INDEX(Grid_Stock[#Data],MATCH($D41,Grid_Stock[Part Name],0),$P$7+5))</f>
        <v/>
      </c>
      <c r="N41" s="17">
        <f>MAX(0,$F41-INDEX(Grid_Stock[#Data],MATCH($D41,Grid_Stock[Part Name],0),$P$7+6))</f>
        <v/>
      </c>
      <c r="O41" s="17">
        <f>MAX(0,$F41-INDEX(Grid_Stock[#Data],MATCH($D41,Grid_Stock[Part Name],0),$P$7+7))</f>
        <v/>
      </c>
      <c r="P41" s="17">
        <f>MAX(0,$F41-INDEX(Grid_Stock[#Data],MATCH($D41,Grid_Stock[Part Name],0),$P$7+8))</f>
        <v/>
      </c>
      <c r="Q41" s="17">
        <f>MAX(0,$F41-INDEX(Grid_Stock[#Data],MATCH($D41,Grid_Stock[Part Name],0),$P$7+9))</f>
        <v/>
      </c>
      <c r="R41" s="17">
        <f>MAX(0,$F41-INDEX(Grid_Stock[#Data],MATCH($D41,Grid_Stock[Part Name],0),$P$7+10))</f>
        <v/>
      </c>
      <c r="S41" s="17">
        <f>MAX(0,$F41-INDEX(Grid_Stock[#Data],MATCH($D41,Grid_Stock[Part Name],0),$P$7+11))</f>
        <v/>
      </c>
      <c r="T41" s="17">
        <f>MAX(0,$F41-INDEX(Grid_Stock[#Data],MATCH($D41,Grid_Stock[Part Name],0),$P$7+12))</f>
        <v/>
      </c>
      <c r="U41" s="17">
        <f>SUM(H41:T41)</f>
        <v/>
      </c>
    </row>
    <row r="42">
      <c r="B42" s="18">
        <f>IFERROR(INDEX(M_RawMaterials[Description],MATCH("CHEM-1560",M_RawMaterials[Part Name],0)),"")</f>
        <v/>
      </c>
      <c r="C42" s="18" t="inlineStr">
        <is>
          <t>734831030</t>
        </is>
      </c>
      <c r="D42" s="18" t="inlineStr">
        <is>
          <t>CHEM-1560</t>
        </is>
      </c>
      <c r="E42" s="18" t="inlineStr">
        <is>
          <t>kg</t>
        </is>
      </c>
      <c r="F42" s="18">
        <f>IFERROR(INDEX(M_RawMaterials[基準在庫下限_要入力],MATCH("CHEM-1560",M_RawMaterials[Part Name],0)),0)</f>
        <v/>
      </c>
      <c r="G42" s="18">
        <f>INDEX(Grid_Stock[#Data],MATCH($D42,Grid_Stock[Part Name],0),$P$7)</f>
        <v/>
      </c>
      <c r="H42" s="18">
        <f>MAX(0,$F42-INDEX(Grid_Stock[#Data],MATCH($D42,Grid_Stock[Part Name],0),$P$7+0))</f>
        <v/>
      </c>
      <c r="I42" s="18">
        <f>MAX(0,$F42-INDEX(Grid_Stock[#Data],MATCH($D42,Grid_Stock[Part Name],0),$P$7+1))</f>
        <v/>
      </c>
      <c r="J42" s="18">
        <f>MAX(0,$F42-INDEX(Grid_Stock[#Data],MATCH($D42,Grid_Stock[Part Name],0),$P$7+2))</f>
        <v/>
      </c>
      <c r="K42" s="18">
        <f>MAX(0,$F42-INDEX(Grid_Stock[#Data],MATCH($D42,Grid_Stock[Part Name],0),$P$7+3))</f>
        <v/>
      </c>
      <c r="L42" s="18">
        <f>MAX(0,$F42-INDEX(Grid_Stock[#Data],MATCH($D42,Grid_Stock[Part Name],0),$P$7+4))</f>
        <v/>
      </c>
      <c r="M42" s="18">
        <f>MAX(0,$F42-INDEX(Grid_Stock[#Data],MATCH($D42,Grid_Stock[Part Name],0),$P$7+5))</f>
        <v/>
      </c>
      <c r="N42" s="18">
        <f>MAX(0,$F42-INDEX(Grid_Stock[#Data],MATCH($D42,Grid_Stock[Part Name],0),$P$7+6))</f>
        <v/>
      </c>
      <c r="O42" s="18">
        <f>MAX(0,$F42-INDEX(Grid_Stock[#Data],MATCH($D42,Grid_Stock[Part Name],0),$P$7+7))</f>
        <v/>
      </c>
      <c r="P42" s="18">
        <f>MAX(0,$F42-INDEX(Grid_Stock[#Data],MATCH($D42,Grid_Stock[Part Name],0),$P$7+8))</f>
        <v/>
      </c>
      <c r="Q42" s="18">
        <f>MAX(0,$F42-INDEX(Grid_Stock[#Data],MATCH($D42,Grid_Stock[Part Name],0),$P$7+9))</f>
        <v/>
      </c>
      <c r="R42" s="18">
        <f>MAX(0,$F42-INDEX(Grid_Stock[#Data],MATCH($D42,Grid_Stock[Part Name],0),$P$7+10))</f>
        <v/>
      </c>
      <c r="S42" s="18">
        <f>MAX(0,$F42-INDEX(Grid_Stock[#Data],MATCH($D42,Grid_Stock[Part Name],0),$P$7+11))</f>
        <v/>
      </c>
      <c r="T42" s="18">
        <f>MAX(0,$F42-INDEX(Grid_Stock[#Data],MATCH($D42,Grid_Stock[Part Name],0),$P$7+12))</f>
        <v/>
      </c>
      <c r="U42" s="18">
        <f>SUM(H42:T42)</f>
        <v/>
      </c>
    </row>
    <row r="43">
      <c r="B43" s="17">
        <f>IFERROR(INDEX(M_RawMaterials[Description],MATCH("CHEM-1510",M_RawMaterials[Part Name],0)),"")</f>
        <v/>
      </c>
      <c r="C43" s="17" t="inlineStr">
        <is>
          <t>71288625001</t>
        </is>
      </c>
      <c r="D43" s="17" t="inlineStr">
        <is>
          <t>CHEM-1510</t>
        </is>
      </c>
      <c r="E43" s="17" t="inlineStr">
        <is>
          <t>kg</t>
        </is>
      </c>
      <c r="F43" s="17">
        <f>IFERROR(INDEX(M_RawMaterials[基準在庫下限_要入力],MATCH("CHEM-1510",M_RawMaterials[Part Name],0)),0)</f>
        <v/>
      </c>
      <c r="G43" s="17">
        <f>INDEX(Grid_Stock[#Data],MATCH($D43,Grid_Stock[Part Name],0),$P$7)</f>
        <v/>
      </c>
      <c r="H43" s="17">
        <f>MAX(0,$F43-INDEX(Grid_Stock[#Data],MATCH($D43,Grid_Stock[Part Name],0),$P$7+0))</f>
        <v/>
      </c>
      <c r="I43" s="17">
        <f>MAX(0,$F43-INDEX(Grid_Stock[#Data],MATCH($D43,Grid_Stock[Part Name],0),$P$7+1))</f>
        <v/>
      </c>
      <c r="J43" s="17">
        <f>MAX(0,$F43-INDEX(Grid_Stock[#Data],MATCH($D43,Grid_Stock[Part Name],0),$P$7+2))</f>
        <v/>
      </c>
      <c r="K43" s="17">
        <f>MAX(0,$F43-INDEX(Grid_Stock[#Data],MATCH($D43,Grid_Stock[Part Name],0),$P$7+3))</f>
        <v/>
      </c>
      <c r="L43" s="17">
        <f>MAX(0,$F43-INDEX(Grid_Stock[#Data],MATCH($D43,Grid_Stock[Part Name],0),$P$7+4))</f>
        <v/>
      </c>
      <c r="M43" s="17">
        <f>MAX(0,$F43-INDEX(Grid_Stock[#Data],MATCH($D43,Grid_Stock[Part Name],0),$P$7+5))</f>
        <v/>
      </c>
      <c r="N43" s="17">
        <f>MAX(0,$F43-INDEX(Grid_Stock[#Data],MATCH($D43,Grid_Stock[Part Name],0),$P$7+6))</f>
        <v/>
      </c>
      <c r="O43" s="17">
        <f>MAX(0,$F43-INDEX(Grid_Stock[#Data],MATCH($D43,Grid_Stock[Part Name],0),$P$7+7))</f>
        <v/>
      </c>
      <c r="P43" s="17">
        <f>MAX(0,$F43-INDEX(Grid_Stock[#Data],MATCH($D43,Grid_Stock[Part Name],0),$P$7+8))</f>
        <v/>
      </c>
      <c r="Q43" s="17">
        <f>MAX(0,$F43-INDEX(Grid_Stock[#Data],MATCH($D43,Grid_Stock[Part Name],0),$P$7+9))</f>
        <v/>
      </c>
      <c r="R43" s="17">
        <f>MAX(0,$F43-INDEX(Grid_Stock[#Data],MATCH($D43,Grid_Stock[Part Name],0),$P$7+10))</f>
        <v/>
      </c>
      <c r="S43" s="17">
        <f>MAX(0,$F43-INDEX(Grid_Stock[#Data],MATCH($D43,Grid_Stock[Part Name],0),$P$7+11))</f>
        <v/>
      </c>
      <c r="T43" s="17">
        <f>MAX(0,$F43-INDEX(Grid_Stock[#Data],MATCH($D43,Grid_Stock[Part Name],0),$P$7+12))</f>
        <v/>
      </c>
      <c r="U43" s="17">
        <f>SUM(H43:T43)</f>
        <v/>
      </c>
    </row>
    <row r="44">
      <c r="B44" s="18">
        <f>IFERROR(INDEX(M_RawMaterials[Description],MATCH("CHEM-1770",M_RawMaterials[Part Name],0)),"")</f>
        <v/>
      </c>
      <c r="C44" s="18" t="inlineStr">
        <is>
          <t>New</t>
        </is>
      </c>
      <c r="D44" s="18" t="inlineStr">
        <is>
          <t>CHEM-1770</t>
        </is>
      </c>
      <c r="E44" s="18" t="inlineStr">
        <is>
          <t>kg</t>
        </is>
      </c>
      <c r="F44" s="18">
        <f>IFERROR(INDEX(M_RawMaterials[基準在庫下限_要入力],MATCH("CHEM-1770",M_RawMaterials[Part Name],0)),0)</f>
        <v/>
      </c>
      <c r="G44" s="18">
        <f>INDEX(Grid_Stock[#Data],MATCH($D44,Grid_Stock[Part Name],0),$P$7)</f>
        <v/>
      </c>
      <c r="H44" s="18">
        <f>MAX(0,$F44-INDEX(Grid_Stock[#Data],MATCH($D44,Grid_Stock[Part Name],0),$P$7+0))</f>
        <v/>
      </c>
      <c r="I44" s="18">
        <f>MAX(0,$F44-INDEX(Grid_Stock[#Data],MATCH($D44,Grid_Stock[Part Name],0),$P$7+1))</f>
        <v/>
      </c>
      <c r="J44" s="18">
        <f>MAX(0,$F44-INDEX(Grid_Stock[#Data],MATCH($D44,Grid_Stock[Part Name],0),$P$7+2))</f>
        <v/>
      </c>
      <c r="K44" s="18">
        <f>MAX(0,$F44-INDEX(Grid_Stock[#Data],MATCH($D44,Grid_Stock[Part Name],0),$P$7+3))</f>
        <v/>
      </c>
      <c r="L44" s="18">
        <f>MAX(0,$F44-INDEX(Grid_Stock[#Data],MATCH($D44,Grid_Stock[Part Name],0),$P$7+4))</f>
        <v/>
      </c>
      <c r="M44" s="18">
        <f>MAX(0,$F44-INDEX(Grid_Stock[#Data],MATCH($D44,Grid_Stock[Part Name],0),$P$7+5))</f>
        <v/>
      </c>
      <c r="N44" s="18">
        <f>MAX(0,$F44-INDEX(Grid_Stock[#Data],MATCH($D44,Grid_Stock[Part Name],0),$P$7+6))</f>
        <v/>
      </c>
      <c r="O44" s="18">
        <f>MAX(0,$F44-INDEX(Grid_Stock[#Data],MATCH($D44,Grid_Stock[Part Name],0),$P$7+7))</f>
        <v/>
      </c>
      <c r="P44" s="18">
        <f>MAX(0,$F44-INDEX(Grid_Stock[#Data],MATCH($D44,Grid_Stock[Part Name],0),$P$7+8))</f>
        <v/>
      </c>
      <c r="Q44" s="18">
        <f>MAX(0,$F44-INDEX(Grid_Stock[#Data],MATCH($D44,Grid_Stock[Part Name],0),$P$7+9))</f>
        <v/>
      </c>
      <c r="R44" s="18">
        <f>MAX(0,$F44-INDEX(Grid_Stock[#Data],MATCH($D44,Grid_Stock[Part Name],0),$P$7+10))</f>
        <v/>
      </c>
      <c r="S44" s="18">
        <f>MAX(0,$F44-INDEX(Grid_Stock[#Data],MATCH($D44,Grid_Stock[Part Name],0),$P$7+11))</f>
        <v/>
      </c>
      <c r="T44" s="18">
        <f>MAX(0,$F44-INDEX(Grid_Stock[#Data],MATCH($D44,Grid_Stock[Part Name],0),$P$7+12))</f>
        <v/>
      </c>
      <c r="U44" s="18">
        <f>SUM(H44:T44)</f>
        <v/>
      </c>
    </row>
    <row r="45">
      <c r="B45" s="17">
        <f>IFERROR(INDEX(M_RawMaterials[Description],MATCH("CHEM-1020",M_RawMaterials[Part Name],0)),"")</f>
        <v/>
      </c>
      <c r="C45" s="17" t="inlineStr"/>
      <c r="D45" s="17" t="inlineStr">
        <is>
          <t>CHEM-1020</t>
        </is>
      </c>
      <c r="E45" s="17" t="inlineStr">
        <is>
          <t>kg</t>
        </is>
      </c>
      <c r="F45" s="17">
        <f>IFERROR(INDEX(M_RawMaterials[基準在庫下限_要入力],MATCH("CHEM-1020",M_RawMaterials[Part Name],0)),0)</f>
        <v/>
      </c>
      <c r="G45" s="17">
        <f>INDEX(Grid_Stock[#Data],MATCH($D45,Grid_Stock[Part Name],0),$P$7)</f>
        <v/>
      </c>
      <c r="H45" s="17">
        <f>MAX(0,$F45-INDEX(Grid_Stock[#Data],MATCH($D45,Grid_Stock[Part Name],0),$P$7+0))</f>
        <v/>
      </c>
      <c r="I45" s="17">
        <f>MAX(0,$F45-INDEX(Grid_Stock[#Data],MATCH($D45,Grid_Stock[Part Name],0),$P$7+1))</f>
        <v/>
      </c>
      <c r="J45" s="17">
        <f>MAX(0,$F45-INDEX(Grid_Stock[#Data],MATCH($D45,Grid_Stock[Part Name],0),$P$7+2))</f>
        <v/>
      </c>
      <c r="K45" s="17">
        <f>MAX(0,$F45-INDEX(Grid_Stock[#Data],MATCH($D45,Grid_Stock[Part Name],0),$P$7+3))</f>
        <v/>
      </c>
      <c r="L45" s="17">
        <f>MAX(0,$F45-INDEX(Grid_Stock[#Data],MATCH($D45,Grid_Stock[Part Name],0),$P$7+4))</f>
        <v/>
      </c>
      <c r="M45" s="17">
        <f>MAX(0,$F45-INDEX(Grid_Stock[#Data],MATCH($D45,Grid_Stock[Part Name],0),$P$7+5))</f>
        <v/>
      </c>
      <c r="N45" s="17">
        <f>MAX(0,$F45-INDEX(Grid_Stock[#Data],MATCH($D45,Grid_Stock[Part Name],0),$P$7+6))</f>
        <v/>
      </c>
      <c r="O45" s="17">
        <f>MAX(0,$F45-INDEX(Grid_Stock[#Data],MATCH($D45,Grid_Stock[Part Name],0),$P$7+7))</f>
        <v/>
      </c>
      <c r="P45" s="17">
        <f>MAX(0,$F45-INDEX(Grid_Stock[#Data],MATCH($D45,Grid_Stock[Part Name],0),$P$7+8))</f>
        <v/>
      </c>
      <c r="Q45" s="17">
        <f>MAX(0,$F45-INDEX(Grid_Stock[#Data],MATCH($D45,Grid_Stock[Part Name],0),$P$7+9))</f>
        <v/>
      </c>
      <c r="R45" s="17">
        <f>MAX(0,$F45-INDEX(Grid_Stock[#Data],MATCH($D45,Grid_Stock[Part Name],0),$P$7+10))</f>
        <v/>
      </c>
      <c r="S45" s="17">
        <f>MAX(0,$F45-INDEX(Grid_Stock[#Data],MATCH($D45,Grid_Stock[Part Name],0),$P$7+11))</f>
        <v/>
      </c>
      <c r="T45" s="17">
        <f>MAX(0,$F45-INDEX(Grid_Stock[#Data],MATCH($D45,Grid_Stock[Part Name],0),$P$7+12))</f>
        <v/>
      </c>
      <c r="U45" s="17">
        <f>SUM(H45:T45)</f>
        <v/>
      </c>
    </row>
    <row r="46">
      <c r="B46" s="18">
        <f>IFERROR(INDEX(M_RawMaterials[Description],MATCH("1JN",M_RawMaterials[Part Name],0)),"")</f>
        <v/>
      </c>
      <c r="C46" s="18" t="inlineStr"/>
      <c r="D46" s="18" t="inlineStr">
        <is>
          <t>1JN</t>
        </is>
      </c>
      <c r="E46" s="18" t="inlineStr">
        <is>
          <t>kg</t>
        </is>
      </c>
      <c r="F46" s="18">
        <f>IFERROR(INDEX(M_RawMaterials[基準在庫下限_要入力],MATCH("1JN",M_RawMaterials[Part Name],0)),0)</f>
        <v/>
      </c>
      <c r="G46" s="18">
        <f>INDEX(Grid_Stock[#Data],MATCH($D46,Grid_Stock[Part Name],0),$P$7)</f>
        <v/>
      </c>
      <c r="H46" s="18">
        <f>MAX(0,$F46-INDEX(Grid_Stock[#Data],MATCH($D46,Grid_Stock[Part Name],0),$P$7+0))</f>
        <v/>
      </c>
      <c r="I46" s="18">
        <f>MAX(0,$F46-INDEX(Grid_Stock[#Data],MATCH($D46,Grid_Stock[Part Name],0),$P$7+1))</f>
        <v/>
      </c>
      <c r="J46" s="18">
        <f>MAX(0,$F46-INDEX(Grid_Stock[#Data],MATCH($D46,Grid_Stock[Part Name],0),$P$7+2))</f>
        <v/>
      </c>
      <c r="K46" s="18">
        <f>MAX(0,$F46-INDEX(Grid_Stock[#Data],MATCH($D46,Grid_Stock[Part Name],0),$P$7+3))</f>
        <v/>
      </c>
      <c r="L46" s="18">
        <f>MAX(0,$F46-INDEX(Grid_Stock[#Data],MATCH($D46,Grid_Stock[Part Name],0),$P$7+4))</f>
        <v/>
      </c>
      <c r="M46" s="18">
        <f>MAX(0,$F46-INDEX(Grid_Stock[#Data],MATCH($D46,Grid_Stock[Part Name],0),$P$7+5))</f>
        <v/>
      </c>
      <c r="N46" s="18">
        <f>MAX(0,$F46-INDEX(Grid_Stock[#Data],MATCH($D46,Grid_Stock[Part Name],0),$P$7+6))</f>
        <v/>
      </c>
      <c r="O46" s="18">
        <f>MAX(0,$F46-INDEX(Grid_Stock[#Data],MATCH($D46,Grid_Stock[Part Name],0),$P$7+7))</f>
        <v/>
      </c>
      <c r="P46" s="18">
        <f>MAX(0,$F46-INDEX(Grid_Stock[#Data],MATCH($D46,Grid_Stock[Part Name],0),$P$7+8))</f>
        <v/>
      </c>
      <c r="Q46" s="18">
        <f>MAX(0,$F46-INDEX(Grid_Stock[#Data],MATCH($D46,Grid_Stock[Part Name],0),$P$7+9))</f>
        <v/>
      </c>
      <c r="R46" s="18">
        <f>MAX(0,$F46-INDEX(Grid_Stock[#Data],MATCH($D46,Grid_Stock[Part Name],0),$P$7+10))</f>
        <v/>
      </c>
      <c r="S46" s="18">
        <f>MAX(0,$F46-INDEX(Grid_Stock[#Data],MATCH($D46,Grid_Stock[Part Name],0),$P$7+11))</f>
        <v/>
      </c>
      <c r="T46" s="18">
        <f>MAX(0,$F46-INDEX(Grid_Stock[#Data],MATCH($D46,Grid_Stock[Part Name],0),$P$7+12))</f>
        <v/>
      </c>
      <c r="U46" s="18">
        <f>SUM(H46:T46)</f>
        <v/>
      </c>
    </row>
    <row r="47">
      <c r="B47" s="17">
        <f>IFERROR(INDEX(M_RawMaterials[Description],MATCH("V03",M_RawMaterials[Part Name],0)),"")</f>
        <v/>
      </c>
      <c r="C47" s="17" t="inlineStr"/>
      <c r="D47" s="17" t="inlineStr">
        <is>
          <t>V03</t>
        </is>
      </c>
      <c r="E47" s="17" t="inlineStr">
        <is>
          <t>kg</t>
        </is>
      </c>
      <c r="F47" s="17">
        <f>IFERROR(INDEX(M_RawMaterials[基準在庫下限_要入力],MATCH("V03",M_RawMaterials[Part Name],0)),0)</f>
        <v/>
      </c>
      <c r="G47" s="17">
        <f>INDEX(Grid_Stock[#Data],MATCH($D47,Grid_Stock[Part Name],0),$P$7)</f>
        <v/>
      </c>
      <c r="H47" s="17">
        <f>MAX(0,$F47-INDEX(Grid_Stock[#Data],MATCH($D47,Grid_Stock[Part Name],0),$P$7+0))</f>
        <v/>
      </c>
      <c r="I47" s="17">
        <f>MAX(0,$F47-INDEX(Grid_Stock[#Data],MATCH($D47,Grid_Stock[Part Name],0),$P$7+1))</f>
        <v/>
      </c>
      <c r="J47" s="17">
        <f>MAX(0,$F47-INDEX(Grid_Stock[#Data],MATCH($D47,Grid_Stock[Part Name],0),$P$7+2))</f>
        <v/>
      </c>
      <c r="K47" s="17">
        <f>MAX(0,$F47-INDEX(Grid_Stock[#Data],MATCH($D47,Grid_Stock[Part Name],0),$P$7+3))</f>
        <v/>
      </c>
      <c r="L47" s="17">
        <f>MAX(0,$F47-INDEX(Grid_Stock[#Data],MATCH($D47,Grid_Stock[Part Name],0),$P$7+4))</f>
        <v/>
      </c>
      <c r="M47" s="17">
        <f>MAX(0,$F47-INDEX(Grid_Stock[#Data],MATCH($D47,Grid_Stock[Part Name],0),$P$7+5))</f>
        <v/>
      </c>
      <c r="N47" s="17">
        <f>MAX(0,$F47-INDEX(Grid_Stock[#Data],MATCH($D47,Grid_Stock[Part Name],0),$P$7+6))</f>
        <v/>
      </c>
      <c r="O47" s="17">
        <f>MAX(0,$F47-INDEX(Grid_Stock[#Data],MATCH($D47,Grid_Stock[Part Name],0),$P$7+7))</f>
        <v/>
      </c>
      <c r="P47" s="17">
        <f>MAX(0,$F47-INDEX(Grid_Stock[#Data],MATCH($D47,Grid_Stock[Part Name],0),$P$7+8))</f>
        <v/>
      </c>
      <c r="Q47" s="17">
        <f>MAX(0,$F47-INDEX(Grid_Stock[#Data],MATCH($D47,Grid_Stock[Part Name],0),$P$7+9))</f>
        <v/>
      </c>
      <c r="R47" s="17">
        <f>MAX(0,$F47-INDEX(Grid_Stock[#Data],MATCH($D47,Grid_Stock[Part Name],0),$P$7+10))</f>
        <v/>
      </c>
      <c r="S47" s="17">
        <f>MAX(0,$F47-INDEX(Grid_Stock[#Data],MATCH($D47,Grid_Stock[Part Name],0),$P$7+11))</f>
        <v/>
      </c>
      <c r="T47" s="17">
        <f>MAX(0,$F47-INDEX(Grid_Stock[#Data],MATCH($D47,Grid_Stock[Part Name],0),$P$7+12))</f>
        <v/>
      </c>
      <c r="U47" s="17">
        <f>SUM(H47:T47)</f>
        <v/>
      </c>
    </row>
    <row r="48">
      <c r="B48" s="18">
        <f>IFERROR(INDEX(M_RawMaterials[Description],MATCH("V19",M_RawMaterials[Part Name],0)),"")</f>
        <v/>
      </c>
      <c r="C48" s="18" t="inlineStr"/>
      <c r="D48" s="18" t="inlineStr">
        <is>
          <t>V19</t>
        </is>
      </c>
      <c r="E48" s="18" t="inlineStr">
        <is>
          <t>kg</t>
        </is>
      </c>
      <c r="F48" s="18">
        <f>IFERROR(INDEX(M_RawMaterials[基準在庫下限_要入力],MATCH("V19",M_RawMaterials[Part Name],0)),0)</f>
        <v/>
      </c>
      <c r="G48" s="18">
        <f>INDEX(Grid_Stock[#Data],MATCH($D48,Grid_Stock[Part Name],0),$P$7)</f>
        <v/>
      </c>
      <c r="H48" s="18">
        <f>MAX(0,$F48-INDEX(Grid_Stock[#Data],MATCH($D48,Grid_Stock[Part Name],0),$P$7+0))</f>
        <v/>
      </c>
      <c r="I48" s="18">
        <f>MAX(0,$F48-INDEX(Grid_Stock[#Data],MATCH($D48,Grid_Stock[Part Name],0),$P$7+1))</f>
        <v/>
      </c>
      <c r="J48" s="18">
        <f>MAX(0,$F48-INDEX(Grid_Stock[#Data],MATCH($D48,Grid_Stock[Part Name],0),$P$7+2))</f>
        <v/>
      </c>
      <c r="K48" s="18">
        <f>MAX(0,$F48-INDEX(Grid_Stock[#Data],MATCH($D48,Grid_Stock[Part Name],0),$P$7+3))</f>
        <v/>
      </c>
      <c r="L48" s="18">
        <f>MAX(0,$F48-INDEX(Grid_Stock[#Data],MATCH($D48,Grid_Stock[Part Name],0),$P$7+4))</f>
        <v/>
      </c>
      <c r="M48" s="18">
        <f>MAX(0,$F48-INDEX(Grid_Stock[#Data],MATCH($D48,Grid_Stock[Part Name],0),$P$7+5))</f>
        <v/>
      </c>
      <c r="N48" s="18">
        <f>MAX(0,$F48-INDEX(Grid_Stock[#Data],MATCH($D48,Grid_Stock[Part Name],0),$P$7+6))</f>
        <v/>
      </c>
      <c r="O48" s="18">
        <f>MAX(0,$F48-INDEX(Grid_Stock[#Data],MATCH($D48,Grid_Stock[Part Name],0),$P$7+7))</f>
        <v/>
      </c>
      <c r="P48" s="18">
        <f>MAX(0,$F48-INDEX(Grid_Stock[#Data],MATCH($D48,Grid_Stock[Part Name],0),$P$7+8))</f>
        <v/>
      </c>
      <c r="Q48" s="18">
        <f>MAX(0,$F48-INDEX(Grid_Stock[#Data],MATCH($D48,Grid_Stock[Part Name],0),$P$7+9))</f>
        <v/>
      </c>
      <c r="R48" s="18">
        <f>MAX(0,$F48-INDEX(Grid_Stock[#Data],MATCH($D48,Grid_Stock[Part Name],0),$P$7+10))</f>
        <v/>
      </c>
      <c r="S48" s="18">
        <f>MAX(0,$F48-INDEX(Grid_Stock[#Data],MATCH($D48,Grid_Stock[Part Name],0),$P$7+11))</f>
        <v/>
      </c>
      <c r="T48" s="18">
        <f>MAX(0,$F48-INDEX(Grid_Stock[#Data],MATCH($D48,Grid_Stock[Part Name],0),$P$7+12))</f>
        <v/>
      </c>
      <c r="U48" s="18">
        <f>SUM(H48:T48)</f>
        <v/>
      </c>
    </row>
    <row r="49">
      <c r="B49" s="17">
        <f>IFERROR(INDEX(M_RawMaterials[Description],MATCH("A043",M_RawMaterials[Part Name],0)),"")</f>
        <v/>
      </c>
      <c r="C49" s="17" t="inlineStr"/>
      <c r="D49" s="17" t="inlineStr">
        <is>
          <t>A043</t>
        </is>
      </c>
      <c r="E49" s="17" t="inlineStr">
        <is>
          <t>kg</t>
        </is>
      </c>
      <c r="F49" s="17">
        <f>IFERROR(INDEX(M_RawMaterials[基準在庫下限_要入力],MATCH("A043",M_RawMaterials[Part Name],0)),0)</f>
        <v/>
      </c>
      <c r="G49" s="17">
        <f>INDEX(Grid_Stock[#Data],MATCH($D49,Grid_Stock[Part Name],0),$P$7)</f>
        <v/>
      </c>
      <c r="H49" s="17">
        <f>MAX(0,$F49-INDEX(Grid_Stock[#Data],MATCH($D49,Grid_Stock[Part Name],0),$P$7+0))</f>
        <v/>
      </c>
      <c r="I49" s="17">
        <f>MAX(0,$F49-INDEX(Grid_Stock[#Data],MATCH($D49,Grid_Stock[Part Name],0),$P$7+1))</f>
        <v/>
      </c>
      <c r="J49" s="17">
        <f>MAX(0,$F49-INDEX(Grid_Stock[#Data],MATCH($D49,Grid_Stock[Part Name],0),$P$7+2))</f>
        <v/>
      </c>
      <c r="K49" s="17">
        <f>MAX(0,$F49-INDEX(Grid_Stock[#Data],MATCH($D49,Grid_Stock[Part Name],0),$P$7+3))</f>
        <v/>
      </c>
      <c r="L49" s="17">
        <f>MAX(0,$F49-INDEX(Grid_Stock[#Data],MATCH($D49,Grid_Stock[Part Name],0),$P$7+4))</f>
        <v/>
      </c>
      <c r="M49" s="17">
        <f>MAX(0,$F49-INDEX(Grid_Stock[#Data],MATCH($D49,Grid_Stock[Part Name],0),$P$7+5))</f>
        <v/>
      </c>
      <c r="N49" s="17">
        <f>MAX(0,$F49-INDEX(Grid_Stock[#Data],MATCH($D49,Grid_Stock[Part Name],0),$P$7+6))</f>
        <v/>
      </c>
      <c r="O49" s="17">
        <f>MAX(0,$F49-INDEX(Grid_Stock[#Data],MATCH($D49,Grid_Stock[Part Name],0),$P$7+7))</f>
        <v/>
      </c>
      <c r="P49" s="17">
        <f>MAX(0,$F49-INDEX(Grid_Stock[#Data],MATCH($D49,Grid_Stock[Part Name],0),$P$7+8))</f>
        <v/>
      </c>
      <c r="Q49" s="17">
        <f>MAX(0,$F49-INDEX(Grid_Stock[#Data],MATCH($D49,Grid_Stock[Part Name],0),$P$7+9))</f>
        <v/>
      </c>
      <c r="R49" s="17">
        <f>MAX(0,$F49-INDEX(Grid_Stock[#Data],MATCH($D49,Grid_Stock[Part Name],0),$P$7+10))</f>
        <v/>
      </c>
      <c r="S49" s="17">
        <f>MAX(0,$F49-INDEX(Grid_Stock[#Data],MATCH($D49,Grid_Stock[Part Name],0),$P$7+11))</f>
        <v/>
      </c>
      <c r="T49" s="17">
        <f>MAX(0,$F49-INDEX(Grid_Stock[#Data],MATCH($D49,Grid_Stock[Part Name],0),$P$7+12))</f>
        <v/>
      </c>
      <c r="U49" s="17">
        <f>SUM(H49:T49)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2" t="n">
        <v>46233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3" t="n">
        <v>31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4" t="inlineStr">
        <is>
          <t>Part Name</t>
        </is>
      </c>
      <c r="C14" s="24" t="inlineStr">
        <is>
          <t>TTAF Code</t>
        </is>
      </c>
      <c r="D14" s="24" t="inlineStr">
        <is>
          <t>CSA Code</t>
        </is>
      </c>
      <c r="E14" s="24" t="inlineStr">
        <is>
          <t>UOM</t>
        </is>
      </c>
      <c r="F14" s="24" t="inlineStr">
        <is>
          <t>SafetyStock</t>
        </is>
      </c>
      <c r="G14" s="24" t="inlineStr">
        <is>
          <t>CurrentStock</t>
        </is>
      </c>
      <c r="H14" s="24">
        <f>INDEX(Cal_Weeks[Label],$P$7+0)</f>
        <v/>
      </c>
      <c r="I14" s="24">
        <f>INDEX(Cal_Weeks[Label],$P$7+1)</f>
        <v/>
      </c>
      <c r="J14" s="24">
        <f>INDEX(Cal_Weeks[Label],$P$7+2)</f>
        <v/>
      </c>
      <c r="K14" s="24">
        <f>INDEX(Cal_Weeks[Label],$P$7+3)</f>
        <v/>
      </c>
      <c r="L14" s="24">
        <f>INDEX(Cal_Weeks[Label],$P$7+4)</f>
        <v/>
      </c>
      <c r="M14" s="24">
        <f>INDEX(Cal_Weeks[Label],$P$7+5)</f>
        <v/>
      </c>
      <c r="N14" s="24">
        <f>INDEX(Cal_Weeks[Label],$P$7+6)</f>
        <v/>
      </c>
      <c r="O14" s="24">
        <f>INDEX(Cal_Weeks[Label],$P$7+7)</f>
        <v/>
      </c>
      <c r="P14" s="24">
        <f>INDEX(Cal_Weeks[Label],$P$7+8)</f>
        <v/>
      </c>
      <c r="Q14" s="24">
        <f>INDEX(Cal_Weeks[Label],$P$7+9)</f>
        <v/>
      </c>
      <c r="R14" s="24">
        <f>INDEX(Cal_Weeks[Label],$P$7+10)</f>
        <v/>
      </c>
      <c r="S14" s="24">
        <f>INDEX(Cal_Weeks[Label],$P$7+11)</f>
        <v/>
      </c>
      <c r="T14" s="24">
        <f>INDEX(Cal_Weeks[Label],$P$7+12)</f>
        <v/>
      </c>
      <c r="U14" s="24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8">
        <f>IFERROR(INDEX(M_RawMaterials[Description],MATCH("CHEM-1280",M_RawMaterials[Part Name],0)),"")</f>
        <v/>
      </c>
      <c r="C16" s="18" t="inlineStr">
        <is>
          <t>83988002202</t>
        </is>
      </c>
      <c r="D16" s="18" t="inlineStr">
        <is>
          <t>CHEM-1280</t>
        </is>
      </c>
      <c r="E16" s="18" t="inlineStr">
        <is>
          <t>kg</t>
        </is>
      </c>
      <c r="F16" s="18">
        <f>IFERROR(INDEX(M_RawMaterials[基準在庫下限_要入力],MATCH("CHEM-1280",M_RawMaterials[Part Name],0)),0)</f>
        <v/>
      </c>
      <c r="G16" s="18">
        <f>INDEX(Grid_Stock[#Data],MATCH($D16,Grid_Stock[Part Name],0),$P$7)</f>
        <v/>
      </c>
      <c r="H16" s="18">
        <f>MAX(0,$F16-INDEX(Grid_Stock[#Data],MATCH($D16,Grid_Stock[Part Name],0),$P$7+0))</f>
        <v/>
      </c>
      <c r="I16" s="18">
        <f>MAX(0,$F16-INDEX(Grid_Stock[#Data],MATCH($D16,Grid_Stock[Part Name],0),$P$7+1))</f>
        <v/>
      </c>
      <c r="J16" s="18">
        <f>MAX(0,$F16-INDEX(Grid_Stock[#Data],MATCH($D16,Grid_Stock[Part Name],0),$P$7+2))</f>
        <v/>
      </c>
      <c r="K16" s="18">
        <f>MAX(0,$F16-INDEX(Grid_Stock[#Data],MATCH($D16,Grid_Stock[Part Name],0),$P$7+3))</f>
        <v/>
      </c>
      <c r="L16" s="18">
        <f>MAX(0,$F16-INDEX(Grid_Stock[#Data],MATCH($D16,Grid_Stock[Part Name],0),$P$7+4))</f>
        <v/>
      </c>
      <c r="M16" s="18">
        <f>MAX(0,$F16-INDEX(Grid_Stock[#Data],MATCH($D16,Grid_Stock[Part Name],0),$P$7+5))</f>
        <v/>
      </c>
      <c r="N16" s="18">
        <f>MAX(0,$F16-INDEX(Grid_Stock[#Data],MATCH($D16,Grid_Stock[Part Name],0),$P$7+6))</f>
        <v/>
      </c>
      <c r="O16" s="18">
        <f>MAX(0,$F16-INDEX(Grid_Stock[#Data],MATCH($D16,Grid_Stock[Part Name],0),$P$7+7))</f>
        <v/>
      </c>
      <c r="P16" s="18">
        <f>MAX(0,$F16-INDEX(Grid_Stock[#Data],MATCH($D16,Grid_Stock[Part Name],0),$P$7+8))</f>
        <v/>
      </c>
      <c r="Q16" s="18">
        <f>MAX(0,$F16-INDEX(Grid_Stock[#Data],MATCH($D16,Grid_Stock[Part Name],0),$P$7+9))</f>
        <v/>
      </c>
      <c r="R16" s="18">
        <f>MAX(0,$F16-INDEX(Grid_Stock[#Data],MATCH($D16,Grid_Stock[Part Name],0),$P$7+10))</f>
        <v/>
      </c>
      <c r="S16" s="18">
        <f>MAX(0,$F16-INDEX(Grid_Stock[#Data],MATCH($D16,Grid_Stock[Part Name],0),$P$7+11))</f>
        <v/>
      </c>
      <c r="T16" s="18">
        <f>MAX(0,$F16-INDEX(Grid_Stock[#Data],MATCH($D16,Grid_Stock[Part Name],0),$P$7+12))</f>
        <v/>
      </c>
      <c r="U16" s="18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21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2" t="n">
        <v>46233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3" t="n">
        <v>31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4" t="inlineStr">
        <is>
          <t>Part Name</t>
        </is>
      </c>
      <c r="C14" s="24" t="inlineStr">
        <is>
          <t>TTAF Code</t>
        </is>
      </c>
      <c r="D14" s="24" t="inlineStr">
        <is>
          <t>CSA Code</t>
        </is>
      </c>
      <c r="E14" s="24" t="inlineStr">
        <is>
          <t>UOM</t>
        </is>
      </c>
      <c r="F14" s="24" t="inlineStr">
        <is>
          <t>SafetyStock</t>
        </is>
      </c>
      <c r="G14" s="24" t="inlineStr">
        <is>
          <t>CurrentStock</t>
        </is>
      </c>
      <c r="H14" s="24">
        <f>INDEX(Cal_Weeks[Label],$P$7+0)</f>
        <v/>
      </c>
      <c r="I14" s="24">
        <f>INDEX(Cal_Weeks[Label],$P$7+1)</f>
        <v/>
      </c>
      <c r="J14" s="24">
        <f>INDEX(Cal_Weeks[Label],$P$7+2)</f>
        <v/>
      </c>
      <c r="K14" s="24">
        <f>INDEX(Cal_Weeks[Label],$P$7+3)</f>
        <v/>
      </c>
      <c r="L14" s="24">
        <f>INDEX(Cal_Weeks[Label],$P$7+4)</f>
        <v/>
      </c>
      <c r="M14" s="24">
        <f>INDEX(Cal_Weeks[Label],$P$7+5)</f>
        <v/>
      </c>
      <c r="N14" s="24">
        <f>INDEX(Cal_Weeks[Label],$P$7+6)</f>
        <v/>
      </c>
      <c r="O14" s="24">
        <f>INDEX(Cal_Weeks[Label],$P$7+7)</f>
        <v/>
      </c>
      <c r="P14" s="24">
        <f>INDEX(Cal_Weeks[Label],$P$7+8)</f>
        <v/>
      </c>
      <c r="Q14" s="24">
        <f>INDEX(Cal_Weeks[Label],$P$7+9)</f>
        <v/>
      </c>
      <c r="R14" s="24">
        <f>INDEX(Cal_Weeks[Label],$P$7+10)</f>
        <v/>
      </c>
      <c r="S14" s="24">
        <f>INDEX(Cal_Weeks[Label],$P$7+11)</f>
        <v/>
      </c>
      <c r="T14" s="24">
        <f>INDEX(Cal_Weeks[Label],$P$7+12)</f>
        <v/>
      </c>
      <c r="U14" s="24" t="inlineStr">
        <is>
          <t>Total</t>
        </is>
      </c>
    </row>
    <row r="15">
      <c r="B15" s="17">
        <f>IFERROR(INDEX(M_RawMaterials[Description],MATCH("9RN",M_RawMaterials[Part Name],0)),"")</f>
        <v/>
      </c>
      <c r="C15" s="17" t="inlineStr">
        <is>
          <t>1846515030 ( 4FK13117080Z)</t>
        </is>
      </c>
      <c r="D15" s="17" t="inlineStr">
        <is>
          <t>9RN</t>
        </is>
      </c>
      <c r="E15" s="17" t="inlineStr">
        <is>
          <t>kg</t>
        </is>
      </c>
      <c r="F15" s="17">
        <f>IFERROR(INDEX(M_RawMaterials[基準在庫下限_要入力],MATCH("9RN",M_RawMaterials[Part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8">
        <f>IFERROR(INDEX(M_RawMaterials[Description],MATCH("0JN",M_RawMaterials[Part Name],0)),"")</f>
        <v/>
      </c>
      <c r="C16" s="18" t="inlineStr">
        <is>
          <t>KFD13117100</t>
        </is>
      </c>
      <c r="D16" s="18" t="inlineStr">
        <is>
          <t>0JN</t>
        </is>
      </c>
      <c r="E16" s="18" t="inlineStr">
        <is>
          <t>kg</t>
        </is>
      </c>
      <c r="F16" s="18">
        <f>IFERROR(INDEX(M_RawMaterials[基準在庫下限_要入力],MATCH("0JN",M_RawMaterials[Part Name],0)),0)</f>
        <v/>
      </c>
      <c r="G16" s="18">
        <f>INDEX(Grid_Stock[#Data],MATCH($D16,Grid_Stock[Part Name],0),$P$7)</f>
        <v/>
      </c>
      <c r="H16" s="18">
        <f>MAX(0,$F16-INDEX(Grid_Stock[#Data],MATCH($D16,Grid_Stock[Part Name],0),$P$7+0))</f>
        <v/>
      </c>
      <c r="I16" s="18">
        <f>MAX(0,$F16-INDEX(Grid_Stock[#Data],MATCH($D16,Grid_Stock[Part Name],0),$P$7+1))</f>
        <v/>
      </c>
      <c r="J16" s="18">
        <f>MAX(0,$F16-INDEX(Grid_Stock[#Data],MATCH($D16,Grid_Stock[Part Name],0),$P$7+2))</f>
        <v/>
      </c>
      <c r="K16" s="18">
        <f>MAX(0,$F16-INDEX(Grid_Stock[#Data],MATCH($D16,Grid_Stock[Part Name],0),$P$7+3))</f>
        <v/>
      </c>
      <c r="L16" s="18">
        <f>MAX(0,$F16-INDEX(Grid_Stock[#Data],MATCH($D16,Grid_Stock[Part Name],0),$P$7+4))</f>
        <v/>
      </c>
      <c r="M16" s="18">
        <f>MAX(0,$F16-INDEX(Grid_Stock[#Data],MATCH($D16,Grid_Stock[Part Name],0),$P$7+5))</f>
        <v/>
      </c>
      <c r="N16" s="18">
        <f>MAX(0,$F16-INDEX(Grid_Stock[#Data],MATCH($D16,Grid_Stock[Part Name],0),$P$7+6))</f>
        <v/>
      </c>
      <c r="O16" s="18">
        <f>MAX(0,$F16-INDEX(Grid_Stock[#Data],MATCH($D16,Grid_Stock[Part Name],0),$P$7+7))</f>
        <v/>
      </c>
      <c r="P16" s="18">
        <f>MAX(0,$F16-INDEX(Grid_Stock[#Data],MATCH($D16,Grid_Stock[Part Name],0),$P$7+8))</f>
        <v/>
      </c>
      <c r="Q16" s="18">
        <f>MAX(0,$F16-INDEX(Grid_Stock[#Data],MATCH($D16,Grid_Stock[Part Name],0),$P$7+9))</f>
        <v/>
      </c>
      <c r="R16" s="18">
        <f>MAX(0,$F16-INDEX(Grid_Stock[#Data],MATCH($D16,Grid_Stock[Part Name],0),$P$7+10))</f>
        <v/>
      </c>
      <c r="S16" s="18">
        <f>MAX(0,$F16-INDEX(Grid_Stock[#Data],MATCH($D16,Grid_Stock[Part Name],0),$P$7+11))</f>
        <v/>
      </c>
      <c r="T16" s="18">
        <f>MAX(0,$F16-INDEX(Grid_Stock[#Data],MATCH($D16,Grid_Stock[Part Name],0),$P$7+12))</f>
        <v/>
      </c>
      <c r="U16" s="18">
        <f>SUM(H16:T16)</f>
        <v/>
      </c>
    </row>
    <row r="17">
      <c r="B17" s="17">
        <f>IFERROR(INDEX(M_RawMaterials[Description],MATCH("TDJ",M_RawMaterials[Part Name],0)),"")</f>
        <v/>
      </c>
      <c r="C17" s="17" t="inlineStr">
        <is>
          <t>1846537010</t>
        </is>
      </c>
      <c r="D17" s="17" t="inlineStr">
        <is>
          <t>TDJ</t>
        </is>
      </c>
      <c r="E17" s="17" t="inlineStr">
        <is>
          <t>kg</t>
        </is>
      </c>
      <c r="F17" s="17">
        <f>IFERROR(INDEX(M_RawMaterials[基準在庫下限_要入力],MATCH("TDJ",M_RawMaterials[Part Name],0)),0)</f>
        <v/>
      </c>
      <c r="G17" s="17">
        <f>INDEX(Grid_Stock[#Data],MATCH($D17,Grid_Stock[Part Name],0),$P$7)</f>
        <v/>
      </c>
      <c r="H17" s="17">
        <f>MAX(0,$F17-INDEX(Grid_Stock[#Data],MATCH($D17,Grid_Stock[Part Name],0),$P$7+0))</f>
        <v/>
      </c>
      <c r="I17" s="17">
        <f>MAX(0,$F17-INDEX(Grid_Stock[#Data],MATCH($D17,Grid_Stock[Part Name],0),$P$7+1))</f>
        <v/>
      </c>
      <c r="J17" s="17">
        <f>MAX(0,$F17-INDEX(Grid_Stock[#Data],MATCH($D17,Grid_Stock[Part Name],0),$P$7+2))</f>
        <v/>
      </c>
      <c r="K17" s="17">
        <f>MAX(0,$F17-INDEX(Grid_Stock[#Data],MATCH($D17,Grid_Stock[Part Name],0),$P$7+3))</f>
        <v/>
      </c>
      <c r="L17" s="17">
        <f>MAX(0,$F17-INDEX(Grid_Stock[#Data],MATCH($D17,Grid_Stock[Part Name],0),$P$7+4))</f>
        <v/>
      </c>
      <c r="M17" s="17">
        <f>MAX(0,$F17-INDEX(Grid_Stock[#Data],MATCH($D17,Grid_Stock[Part Name],0),$P$7+5))</f>
        <v/>
      </c>
      <c r="N17" s="17">
        <f>MAX(0,$F17-INDEX(Grid_Stock[#Data],MATCH($D17,Grid_Stock[Part Name],0),$P$7+6))</f>
        <v/>
      </c>
      <c r="O17" s="17">
        <f>MAX(0,$F17-INDEX(Grid_Stock[#Data],MATCH($D17,Grid_Stock[Part Name],0),$P$7+7))</f>
        <v/>
      </c>
      <c r="P17" s="17">
        <f>MAX(0,$F17-INDEX(Grid_Stock[#Data],MATCH($D17,Grid_Stock[Part Name],0),$P$7+8))</f>
        <v/>
      </c>
      <c r="Q17" s="17">
        <f>MAX(0,$F17-INDEX(Grid_Stock[#Data],MATCH($D17,Grid_Stock[Part Name],0),$P$7+9))</f>
        <v/>
      </c>
      <c r="R17" s="17">
        <f>MAX(0,$F17-INDEX(Grid_Stock[#Data],MATCH($D17,Grid_Stock[Part Name],0),$P$7+10))</f>
        <v/>
      </c>
      <c r="S17" s="17">
        <f>MAX(0,$F17-INDEX(Grid_Stock[#Data],MATCH($D17,Grid_Stock[Part Name],0),$P$7+11))</f>
        <v/>
      </c>
      <c r="T17" s="17">
        <f>MAX(0,$F17-INDEX(Grid_Stock[#Data],MATCH($D17,Grid_Stock[Part Name],0),$P$7+12))</f>
        <v/>
      </c>
      <c r="U17" s="17">
        <f>SUM(H17:T17)</f>
        <v/>
      </c>
    </row>
    <row r="18">
      <c r="B18" s="18">
        <f>IFERROR(INDEX(M_RawMaterials[Description],MATCH("Ester Film",M_RawMaterials[Part Name],0)),"")</f>
        <v/>
      </c>
      <c r="C18" s="18" t="inlineStr"/>
      <c r="D18" s="18" t="inlineStr">
        <is>
          <t>Ester Film</t>
        </is>
      </c>
      <c r="E18" s="18" t="inlineStr">
        <is>
          <t>kg</t>
        </is>
      </c>
      <c r="F18" s="18">
        <f>IFERROR(INDEX(M_RawMaterials[基準在庫下限_要入力],MATCH("Ester Film",M_RawMaterials[Part Name],0)),0)</f>
        <v/>
      </c>
      <c r="G18" s="18">
        <f>INDEX(Grid_Stock[#Data],MATCH($D18,Grid_Stock[Part Name],0),$P$7)</f>
        <v/>
      </c>
      <c r="H18" s="18">
        <f>MAX(0,$F18-INDEX(Grid_Stock[#Data],MATCH($D18,Grid_Stock[Part Name],0),$P$7+0))</f>
        <v/>
      </c>
      <c r="I18" s="18">
        <f>MAX(0,$F18-INDEX(Grid_Stock[#Data],MATCH($D18,Grid_Stock[Part Name],0),$P$7+1))</f>
        <v/>
      </c>
      <c r="J18" s="18">
        <f>MAX(0,$F18-INDEX(Grid_Stock[#Data],MATCH($D18,Grid_Stock[Part Name],0),$P$7+2))</f>
        <v/>
      </c>
      <c r="K18" s="18">
        <f>MAX(0,$F18-INDEX(Grid_Stock[#Data],MATCH($D18,Grid_Stock[Part Name],0),$P$7+3))</f>
        <v/>
      </c>
      <c r="L18" s="18">
        <f>MAX(0,$F18-INDEX(Grid_Stock[#Data],MATCH($D18,Grid_Stock[Part Name],0),$P$7+4))</f>
        <v/>
      </c>
      <c r="M18" s="18">
        <f>MAX(0,$F18-INDEX(Grid_Stock[#Data],MATCH($D18,Grid_Stock[Part Name],0),$P$7+5))</f>
        <v/>
      </c>
      <c r="N18" s="18">
        <f>MAX(0,$F18-INDEX(Grid_Stock[#Data],MATCH($D18,Grid_Stock[Part Name],0),$P$7+6))</f>
        <v/>
      </c>
      <c r="O18" s="18">
        <f>MAX(0,$F18-INDEX(Grid_Stock[#Data],MATCH($D18,Grid_Stock[Part Name],0),$P$7+7))</f>
        <v/>
      </c>
      <c r="P18" s="18">
        <f>MAX(0,$F18-INDEX(Grid_Stock[#Data],MATCH($D18,Grid_Stock[Part Name],0),$P$7+8))</f>
        <v/>
      </c>
      <c r="Q18" s="18">
        <f>MAX(0,$F18-INDEX(Grid_Stock[#Data],MATCH($D18,Grid_Stock[Part Name],0),$P$7+9))</f>
        <v/>
      </c>
      <c r="R18" s="18">
        <f>MAX(0,$F18-INDEX(Grid_Stock[#Data],MATCH($D18,Grid_Stock[Part Name],0),$P$7+10))</f>
        <v/>
      </c>
      <c r="S18" s="18">
        <f>MAX(0,$F18-INDEX(Grid_Stock[#Data],MATCH($D18,Grid_Stock[Part Name],0),$P$7+11))</f>
        <v/>
      </c>
      <c r="T18" s="18">
        <f>MAX(0,$F18-INDEX(Grid_Stock[#Data],MATCH($D18,Grid_Stock[Part Name],0),$P$7+12))</f>
        <v/>
      </c>
      <c r="U18" s="18">
        <f>SUM(H18:T18)</f>
        <v/>
      </c>
    </row>
    <row r="19">
      <c r="B19" s="17">
        <f>IFERROR(INDEX(M_RawMaterials[Description],MATCH("PP Film",M_RawMaterials[Part Name],0)),"")</f>
        <v/>
      </c>
      <c r="C19" s="17" t="inlineStr">
        <is>
          <t>83988405701</t>
        </is>
      </c>
      <c r="D19" s="17" t="inlineStr">
        <is>
          <t>PP Film</t>
        </is>
      </c>
      <c r="E19" s="17" t="inlineStr">
        <is>
          <t>kg</t>
        </is>
      </c>
      <c r="F19" s="17">
        <f>IFERROR(INDEX(M_RawMaterials[基準在庫下限_要入力],MATCH("PP Film",M_RawMaterials[Part Name],0)),0)</f>
        <v/>
      </c>
      <c r="G19" s="17">
        <f>INDEX(Grid_Stock[#Data],MATCH($D19,Grid_Stock[Part Name],0),$P$7)</f>
        <v/>
      </c>
      <c r="H19" s="17">
        <f>MAX(0,$F19-INDEX(Grid_Stock[#Data],MATCH($D19,Grid_Stock[Part Name],0),$P$7+0))</f>
        <v/>
      </c>
      <c r="I19" s="17">
        <f>MAX(0,$F19-INDEX(Grid_Stock[#Data],MATCH($D19,Grid_Stock[Part Name],0),$P$7+1))</f>
        <v/>
      </c>
      <c r="J19" s="17">
        <f>MAX(0,$F19-INDEX(Grid_Stock[#Data],MATCH($D19,Grid_Stock[Part Name],0),$P$7+2))</f>
        <v/>
      </c>
      <c r="K19" s="17">
        <f>MAX(0,$F19-INDEX(Grid_Stock[#Data],MATCH($D19,Grid_Stock[Part Name],0),$P$7+3))</f>
        <v/>
      </c>
      <c r="L19" s="17">
        <f>MAX(0,$F19-INDEX(Grid_Stock[#Data],MATCH($D19,Grid_Stock[Part Name],0),$P$7+4))</f>
        <v/>
      </c>
      <c r="M19" s="17">
        <f>MAX(0,$F19-INDEX(Grid_Stock[#Data],MATCH($D19,Grid_Stock[Part Name],0),$P$7+5))</f>
        <v/>
      </c>
      <c r="N19" s="17">
        <f>MAX(0,$F19-INDEX(Grid_Stock[#Data],MATCH($D19,Grid_Stock[Part Name],0),$P$7+6))</f>
        <v/>
      </c>
      <c r="O19" s="17">
        <f>MAX(0,$F19-INDEX(Grid_Stock[#Data],MATCH($D19,Grid_Stock[Part Name],0),$P$7+7))</f>
        <v/>
      </c>
      <c r="P19" s="17">
        <f>MAX(0,$F19-INDEX(Grid_Stock[#Data],MATCH($D19,Grid_Stock[Part Name],0),$P$7+8))</f>
        <v/>
      </c>
      <c r="Q19" s="17">
        <f>MAX(0,$F19-INDEX(Grid_Stock[#Data],MATCH($D19,Grid_Stock[Part Name],0),$P$7+9))</f>
        <v/>
      </c>
      <c r="R19" s="17">
        <f>MAX(0,$F19-INDEX(Grid_Stock[#Data],MATCH($D19,Grid_Stock[Part Name],0),$P$7+10))</f>
        <v/>
      </c>
      <c r="S19" s="17">
        <f>MAX(0,$F19-INDEX(Grid_Stock[#Data],MATCH($D19,Grid_Stock[Part Name],0),$P$7+11))</f>
        <v/>
      </c>
      <c r="T19" s="17">
        <f>MAX(0,$F19-INDEX(Grid_Stock[#Data],MATCH($D19,Grid_Stock[Part Name],0),$P$7+12))</f>
        <v/>
      </c>
      <c r="U19" s="17">
        <f>SUM(H19:T19)</f>
        <v/>
      </c>
    </row>
    <row r="20">
      <c r="B20" s="18">
        <f>IFERROR(INDEX(M_RawMaterials[Description],MATCH("5SN",M_RawMaterials[Part Name],0)),"")</f>
        <v/>
      </c>
      <c r="C20" s="18" t="inlineStr"/>
      <c r="D20" s="18" t="inlineStr">
        <is>
          <t>5SN</t>
        </is>
      </c>
      <c r="E20" s="18" t="inlineStr">
        <is>
          <t>kg</t>
        </is>
      </c>
      <c r="F20" s="18">
        <f>IFERROR(INDEX(M_RawMaterials[基準在庫下限_要入力],MATCH("5SN",M_RawMaterials[Part Name],0)),0)</f>
        <v/>
      </c>
      <c r="G20" s="18">
        <f>INDEX(Grid_Stock[#Data],MATCH($D20,Grid_Stock[Part Name],0),$P$7)</f>
        <v/>
      </c>
      <c r="H20" s="18">
        <f>MAX(0,$F20-INDEX(Grid_Stock[#Data],MATCH($D20,Grid_Stock[Part Name],0),$P$7+0))</f>
        <v/>
      </c>
      <c r="I20" s="18">
        <f>MAX(0,$F20-INDEX(Grid_Stock[#Data],MATCH($D20,Grid_Stock[Part Name],0),$P$7+1))</f>
        <v/>
      </c>
      <c r="J20" s="18">
        <f>MAX(0,$F20-INDEX(Grid_Stock[#Data],MATCH($D20,Grid_Stock[Part Name],0),$P$7+2))</f>
        <v/>
      </c>
      <c r="K20" s="18">
        <f>MAX(0,$F20-INDEX(Grid_Stock[#Data],MATCH($D20,Grid_Stock[Part Name],0),$P$7+3))</f>
        <v/>
      </c>
      <c r="L20" s="18">
        <f>MAX(0,$F20-INDEX(Grid_Stock[#Data],MATCH($D20,Grid_Stock[Part Name],0),$P$7+4))</f>
        <v/>
      </c>
      <c r="M20" s="18">
        <f>MAX(0,$F20-INDEX(Grid_Stock[#Data],MATCH($D20,Grid_Stock[Part Name],0),$P$7+5))</f>
        <v/>
      </c>
      <c r="N20" s="18">
        <f>MAX(0,$F20-INDEX(Grid_Stock[#Data],MATCH($D20,Grid_Stock[Part Name],0),$P$7+6))</f>
        <v/>
      </c>
      <c r="O20" s="18">
        <f>MAX(0,$F20-INDEX(Grid_Stock[#Data],MATCH($D20,Grid_Stock[Part Name],0),$P$7+7))</f>
        <v/>
      </c>
      <c r="P20" s="18">
        <f>MAX(0,$F20-INDEX(Grid_Stock[#Data],MATCH($D20,Grid_Stock[Part Name],0),$P$7+8))</f>
        <v/>
      </c>
      <c r="Q20" s="18">
        <f>MAX(0,$F20-INDEX(Grid_Stock[#Data],MATCH($D20,Grid_Stock[Part Name],0),$P$7+9))</f>
        <v/>
      </c>
      <c r="R20" s="18">
        <f>MAX(0,$F20-INDEX(Grid_Stock[#Data],MATCH($D20,Grid_Stock[Part Name],0),$P$7+10))</f>
        <v/>
      </c>
      <c r="S20" s="18">
        <f>MAX(0,$F20-INDEX(Grid_Stock[#Data],MATCH($D20,Grid_Stock[Part Name],0),$P$7+11))</f>
        <v/>
      </c>
      <c r="T20" s="18">
        <f>MAX(0,$F20-INDEX(Grid_Stock[#Data],MATCH($D20,Grid_Stock[Part Name],0),$P$7+12))</f>
        <v/>
      </c>
      <c r="U20" s="18">
        <f>SUM(H20:T20)</f>
        <v/>
      </c>
    </row>
    <row r="21">
      <c r="B21" s="17">
        <f>IFERROR(INDEX(M_RawMaterials[Description],MATCH("3TP",M_RawMaterials[Part Name],0)),"")</f>
        <v/>
      </c>
      <c r="C21" s="17" t="inlineStr"/>
      <c r="D21" s="17" t="inlineStr">
        <is>
          <t>3TP</t>
        </is>
      </c>
      <c r="E21" s="17" t="inlineStr">
        <is>
          <t>kg</t>
        </is>
      </c>
      <c r="F21" s="17">
        <f>IFERROR(INDEX(M_RawMaterials[基準在庫下限_要入力],MATCH("3TP",M_RawMaterials[Part Name],0)),0)</f>
        <v/>
      </c>
      <c r="G21" s="17">
        <f>INDEX(Grid_Stock[#Data],MATCH($D21,Grid_Stock[Part Name],0),$P$7)</f>
        <v/>
      </c>
      <c r="H21" s="17">
        <f>MAX(0,$F21-INDEX(Grid_Stock[#Data],MATCH($D21,Grid_Stock[Part Name],0),$P$7+0))</f>
        <v/>
      </c>
      <c r="I21" s="17">
        <f>MAX(0,$F21-INDEX(Grid_Stock[#Data],MATCH($D21,Grid_Stock[Part Name],0),$P$7+1))</f>
        <v/>
      </c>
      <c r="J21" s="17">
        <f>MAX(0,$F21-INDEX(Grid_Stock[#Data],MATCH($D21,Grid_Stock[Part Name],0),$P$7+2))</f>
        <v/>
      </c>
      <c r="K21" s="17">
        <f>MAX(0,$F21-INDEX(Grid_Stock[#Data],MATCH($D21,Grid_Stock[Part Name],0),$P$7+3))</f>
        <v/>
      </c>
      <c r="L21" s="17">
        <f>MAX(0,$F21-INDEX(Grid_Stock[#Data],MATCH($D21,Grid_Stock[Part Name],0),$P$7+4))</f>
        <v/>
      </c>
      <c r="M21" s="17">
        <f>MAX(0,$F21-INDEX(Grid_Stock[#Data],MATCH($D21,Grid_Stock[Part Name],0),$P$7+5))</f>
        <v/>
      </c>
      <c r="N21" s="17">
        <f>MAX(0,$F21-INDEX(Grid_Stock[#Data],MATCH($D21,Grid_Stock[Part Name],0),$P$7+6))</f>
        <v/>
      </c>
      <c r="O21" s="17">
        <f>MAX(0,$F21-INDEX(Grid_Stock[#Data],MATCH($D21,Grid_Stock[Part Name],0),$P$7+7))</f>
        <v/>
      </c>
      <c r="P21" s="17">
        <f>MAX(0,$F21-INDEX(Grid_Stock[#Data],MATCH($D21,Grid_Stock[Part Name],0),$P$7+8))</f>
        <v/>
      </c>
      <c r="Q21" s="17">
        <f>MAX(0,$F21-INDEX(Grid_Stock[#Data],MATCH($D21,Grid_Stock[Part Name],0),$P$7+9))</f>
        <v/>
      </c>
      <c r="R21" s="17">
        <f>MAX(0,$F21-INDEX(Grid_Stock[#Data],MATCH($D21,Grid_Stock[Part Name],0),$P$7+10))</f>
        <v/>
      </c>
      <c r="S21" s="17">
        <f>MAX(0,$F21-INDEX(Grid_Stock[#Data],MATCH($D21,Grid_Stock[Part Name],0),$P$7+11))</f>
        <v/>
      </c>
      <c r="T21" s="17">
        <f>MAX(0,$F21-INDEX(Grid_Stock[#Data],MATCH($D21,Grid_Stock[Part Name],0),$P$7+12))</f>
        <v/>
      </c>
      <c r="U21" s="17">
        <f>SUM(H21:T21)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5" t="inlineStr">
        <is>
          <t>Part Name</t>
        </is>
      </c>
      <c r="B1" s="5" t="inlineStr">
        <is>
          <t>PO_No</t>
        </is>
      </c>
      <c r="C1" s="5" t="inlineStr">
        <is>
          <t>Order_Date_発注日</t>
        </is>
      </c>
      <c r="D1" s="5" t="inlineStr">
        <is>
          <t>Confirmed_Qty</t>
        </is>
      </c>
      <c r="E1" s="5" t="inlineStr">
        <is>
          <t>Latest_ETA</t>
        </is>
      </c>
      <c r="F1" s="5" t="inlineStr">
        <is>
          <t>Received_Date</t>
        </is>
      </c>
      <c r="G1" s="5" t="inlineStr">
        <is>
          <t>Status</t>
        </is>
      </c>
      <c r="H1" s="5" t="inlineStr">
        <is>
          <t>Effective_Week</t>
        </is>
      </c>
      <c r="I1" s="5" t="inlineStr">
        <is>
          <t>Order_Month</t>
        </is>
      </c>
    </row>
    <row r="2">
      <c r="A2" t="inlineStr">
        <is>
          <t>1EK</t>
        </is>
      </c>
      <c r="B2" t="inlineStr">
        <is>
          <t>PO065838</t>
        </is>
      </c>
      <c r="C2" s="25" t="n"/>
      <c r="D2" t="n">
        <v>9120</v>
      </c>
      <c r="E2" s="22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  <c r="I2" s="26" t="n"/>
    </row>
    <row r="3">
      <c r="A3" t="inlineStr">
        <is>
          <t>0JN</t>
        </is>
      </c>
      <c r="B3" t="inlineStr">
        <is>
          <t>PO066017</t>
        </is>
      </c>
      <c r="C3" s="25" t="n"/>
      <c r="D3" t="n">
        <v>10913</v>
      </c>
      <c r="E3" s="22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  <c r="I3" s="26" t="n"/>
    </row>
    <row r="4">
      <c r="A4" t="inlineStr">
        <is>
          <t>4HL</t>
        </is>
      </c>
      <c r="B4" t="inlineStr">
        <is>
          <t>PO066191</t>
        </is>
      </c>
      <c r="C4" s="25" t="n"/>
      <c r="D4" t="n">
        <v>960</v>
      </c>
      <c r="E4" s="22" t="n">
        <v>46007</v>
      </c>
      <c r="F4" s="22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  <c r="I4" s="26" t="n"/>
    </row>
    <row r="5">
      <c r="A5" t="inlineStr">
        <is>
          <t>4HL</t>
        </is>
      </c>
      <c r="B5" t="inlineStr">
        <is>
          <t>PO066191</t>
        </is>
      </c>
      <c r="C5" s="25" t="n"/>
      <c r="D5" t="n">
        <v>9600</v>
      </c>
      <c r="E5" s="22" t="n">
        <v>46008</v>
      </c>
      <c r="F5" s="22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  <c r="I5" s="26" t="n"/>
    </row>
    <row r="6">
      <c r="A6" t="inlineStr">
        <is>
          <t>4HL</t>
        </is>
      </c>
      <c r="B6" t="inlineStr">
        <is>
          <t>PO066191</t>
        </is>
      </c>
      <c r="C6" s="25" t="n"/>
      <c r="D6" t="n">
        <v>9600</v>
      </c>
      <c r="E6" s="22" t="n">
        <v>46007</v>
      </c>
      <c r="F6" s="22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  <c r="I6" s="26" t="n"/>
    </row>
    <row r="7">
      <c r="A7" t="inlineStr">
        <is>
          <t>4HL</t>
        </is>
      </c>
      <c r="B7" t="inlineStr">
        <is>
          <t>PO066191</t>
        </is>
      </c>
      <c r="C7" s="25" t="n"/>
      <c r="D7" t="n">
        <v>9120</v>
      </c>
      <c r="E7" s="22" t="n">
        <v>46012</v>
      </c>
      <c r="F7" s="22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  <c r="I7" s="26" t="n"/>
    </row>
    <row r="8">
      <c r="A8" t="inlineStr">
        <is>
          <t>1EK</t>
        </is>
      </c>
      <c r="B8" t="inlineStr">
        <is>
          <t>PO066191</t>
        </is>
      </c>
      <c r="C8" s="25" t="n"/>
      <c r="D8" t="n">
        <v>8160</v>
      </c>
      <c r="E8" s="22" t="n">
        <v>46007</v>
      </c>
      <c r="F8" s="22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  <c r="I8" s="26" t="n"/>
    </row>
    <row r="9">
      <c r="A9" t="inlineStr">
        <is>
          <t>CHEM-1250</t>
        </is>
      </c>
      <c r="B9" t="inlineStr">
        <is>
          <t>PO066524</t>
        </is>
      </c>
      <c r="C9" s="25" t="n"/>
      <c r="D9" t="n">
        <v>75</v>
      </c>
      <c r="E9" s="22" t="n">
        <v>46006</v>
      </c>
      <c r="F9" s="22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  <c r="I9" s="26" t="n"/>
    </row>
    <row r="10">
      <c r="A10" t="inlineStr">
        <is>
          <t>CHEM-1400</t>
        </is>
      </c>
      <c r="B10" t="inlineStr">
        <is>
          <t>PO066524</t>
        </is>
      </c>
      <c r="C10" s="25" t="n"/>
      <c r="D10" t="n">
        <v>400</v>
      </c>
      <c r="E10" s="22" t="n">
        <v>46006</v>
      </c>
      <c r="F10" s="22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  <c r="I10" s="26" t="n"/>
    </row>
    <row r="11">
      <c r="A11" t="inlineStr">
        <is>
          <t>CHEM-1570</t>
        </is>
      </c>
      <c r="B11" t="inlineStr">
        <is>
          <t>PO066524</t>
        </is>
      </c>
      <c r="C11" s="25" t="n"/>
      <c r="D11" t="n">
        <v>18</v>
      </c>
      <c r="E11" s="22" t="n">
        <v>46006</v>
      </c>
      <c r="F11" s="22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  <c r="I11" s="26" t="n"/>
    </row>
    <row r="12">
      <c r="A12" t="inlineStr">
        <is>
          <t>CHEM-1670</t>
        </is>
      </c>
      <c r="B12" t="inlineStr">
        <is>
          <t>PO066524</t>
        </is>
      </c>
      <c r="C12" s="25" t="n"/>
      <c r="D12" t="n">
        <v>360</v>
      </c>
      <c r="E12" s="22" t="n">
        <v>46006</v>
      </c>
      <c r="F12" s="22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  <c r="I12" s="26" t="n"/>
    </row>
    <row r="13">
      <c r="A13" t="inlineStr">
        <is>
          <t>CHEM-1700</t>
        </is>
      </c>
      <c r="B13" t="inlineStr">
        <is>
          <t>PO066524</t>
        </is>
      </c>
      <c r="C13" s="25" t="n"/>
      <c r="D13" t="n">
        <v>60</v>
      </c>
      <c r="E13" s="22" t="n">
        <v>46006</v>
      </c>
      <c r="F13" s="22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  <c r="I13" s="26" t="n"/>
    </row>
    <row r="14">
      <c r="A14" t="inlineStr">
        <is>
          <t>CHEM-1660</t>
        </is>
      </c>
      <c r="B14" t="inlineStr">
        <is>
          <t>PO066513</t>
        </is>
      </c>
      <c r="C14" s="25" t="n"/>
      <c r="D14" t="n">
        <v>135</v>
      </c>
      <c r="E14" s="22" t="n">
        <v>46006</v>
      </c>
      <c r="F14" s="22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  <c r="I14" s="26" t="n"/>
    </row>
    <row r="15">
      <c r="A15" t="inlineStr">
        <is>
          <t>CHEM-1420</t>
        </is>
      </c>
      <c r="B15" t="inlineStr">
        <is>
          <t>PO066524</t>
        </is>
      </c>
      <c r="C15" s="25" t="n"/>
      <c r="D15" t="n">
        <v>240</v>
      </c>
      <c r="E15" s="22" t="n">
        <v>46006</v>
      </c>
      <c r="F15" s="22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  <c r="I15" s="26" t="n"/>
    </row>
    <row r="16">
      <c r="A16" t="inlineStr">
        <is>
          <t>CHEM-1530</t>
        </is>
      </c>
      <c r="B16" t="inlineStr">
        <is>
          <t>PO066524</t>
        </is>
      </c>
      <c r="C16" s="25" t="n"/>
      <c r="D16" t="n">
        <v>2100</v>
      </c>
      <c r="E16" s="22" t="n">
        <v>46006</v>
      </c>
      <c r="F16" s="22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  <c r="I16" s="26" t="n"/>
    </row>
    <row r="17">
      <c r="A17" t="inlineStr">
        <is>
          <t>CHEM-1600</t>
        </is>
      </c>
      <c r="B17" t="inlineStr">
        <is>
          <t>PO066524</t>
        </is>
      </c>
      <c r="C17" s="25" t="n"/>
      <c r="D17" t="n">
        <v>425</v>
      </c>
      <c r="E17" s="22" t="n">
        <v>46006</v>
      </c>
      <c r="F17" s="22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  <c r="I17" s="26" t="n"/>
    </row>
    <row r="18">
      <c r="A18" t="inlineStr">
        <is>
          <t>CHEM-1540</t>
        </is>
      </c>
      <c r="B18" t="inlineStr">
        <is>
          <t>PO066524</t>
        </is>
      </c>
      <c r="C18" s="25" t="n"/>
      <c r="D18" t="n">
        <v>2500</v>
      </c>
      <c r="E18" s="22" t="n">
        <v>46006</v>
      </c>
      <c r="F18" s="22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  <c r="I18" s="26" t="n"/>
    </row>
    <row r="19">
      <c r="A19" t="inlineStr">
        <is>
          <t>CHEM-1720</t>
        </is>
      </c>
      <c r="B19" t="inlineStr">
        <is>
          <t>PO066524</t>
        </is>
      </c>
      <c r="C19" s="25" t="n"/>
      <c r="D19" t="n">
        <v>1200</v>
      </c>
      <c r="E19" s="22" t="n">
        <v>46006</v>
      </c>
      <c r="F19" s="22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  <c r="I19" s="26" t="n"/>
    </row>
    <row r="20">
      <c r="A20" t="inlineStr">
        <is>
          <t>CHEM-1280</t>
        </is>
      </c>
      <c r="B20" t="inlineStr">
        <is>
          <t>PO066513</t>
        </is>
      </c>
      <c r="C20" s="25" t="n"/>
      <c r="D20" t="n">
        <v>1000</v>
      </c>
      <c r="E20" s="22" t="n">
        <v>46006</v>
      </c>
      <c r="F20" s="22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  <c r="I20" s="26" t="n"/>
    </row>
    <row r="21">
      <c r="A21" t="inlineStr">
        <is>
          <t>CHEM-1440</t>
        </is>
      </c>
      <c r="B21" t="inlineStr">
        <is>
          <t>PO066524</t>
        </is>
      </c>
      <c r="C21" s="25" t="n"/>
      <c r="D21" t="n">
        <v>150</v>
      </c>
      <c r="E21" s="22" t="n">
        <v>46006</v>
      </c>
      <c r="F21" s="22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  <c r="I21" s="26" t="n"/>
    </row>
    <row r="22">
      <c r="A22" t="inlineStr">
        <is>
          <t>CHEM-1240</t>
        </is>
      </c>
      <c r="B22" t="inlineStr">
        <is>
          <t>PO066524</t>
        </is>
      </c>
      <c r="C22" s="25" t="n"/>
      <c r="D22" t="n">
        <v>440</v>
      </c>
      <c r="E22" s="22" t="n">
        <v>46006</v>
      </c>
      <c r="F22" s="22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  <c r="I22" s="26" t="n"/>
    </row>
    <row r="23">
      <c r="A23" t="inlineStr">
        <is>
          <t>4HL</t>
        </is>
      </c>
      <c r="B23" t="inlineStr">
        <is>
          <t>PO066428</t>
        </is>
      </c>
      <c r="C23" s="25" t="n"/>
      <c r="D23" t="n">
        <v>2400</v>
      </c>
      <c r="E23" s="22" t="n">
        <v>46035</v>
      </c>
      <c r="F23" s="22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  <c r="I23" s="26" t="n"/>
    </row>
    <row r="24">
      <c r="A24" t="inlineStr">
        <is>
          <t>4HL</t>
        </is>
      </c>
      <c r="B24" t="inlineStr">
        <is>
          <t>PO066428</t>
        </is>
      </c>
      <c r="C24" s="25" t="n"/>
      <c r="D24" t="n">
        <v>9120</v>
      </c>
      <c r="E24" s="22" t="n">
        <v>46019</v>
      </c>
      <c r="F24" s="22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  <c r="I24" s="26" t="n"/>
    </row>
    <row r="25">
      <c r="A25" t="inlineStr">
        <is>
          <t>4HL</t>
        </is>
      </c>
      <c r="B25" t="inlineStr">
        <is>
          <t>PO066428</t>
        </is>
      </c>
      <c r="C25" s="25" t="n"/>
      <c r="D25" t="n">
        <v>9600</v>
      </c>
      <c r="E25" s="22" t="n">
        <v>46035</v>
      </c>
      <c r="F25" s="22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  <c r="I25" s="26" t="n"/>
    </row>
    <row r="26">
      <c r="A26" t="inlineStr">
        <is>
          <t>4HL</t>
        </is>
      </c>
      <c r="B26" t="inlineStr">
        <is>
          <t>PO066428</t>
        </is>
      </c>
      <c r="C26" s="25" t="n"/>
      <c r="D26" t="n">
        <v>9600</v>
      </c>
      <c r="E26" s="22" t="n">
        <v>46042</v>
      </c>
      <c r="F26" s="22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  <c r="I26" s="26" t="n"/>
    </row>
    <row r="27">
      <c r="A27" t="inlineStr">
        <is>
          <t>4HL</t>
        </is>
      </c>
      <c r="B27" t="inlineStr">
        <is>
          <t>PO066428</t>
        </is>
      </c>
      <c r="C27" s="25" t="n"/>
      <c r="D27" t="n">
        <v>9600</v>
      </c>
      <c r="E27" s="22" t="n">
        <v>46029</v>
      </c>
      <c r="F27" s="22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  <c r="I27" s="26" t="n"/>
    </row>
    <row r="28">
      <c r="A28" t="inlineStr">
        <is>
          <t>1EK</t>
        </is>
      </c>
      <c r="B28" t="inlineStr">
        <is>
          <t>PO066428</t>
        </is>
      </c>
      <c r="C28" s="25" t="n"/>
      <c r="D28" t="n">
        <v>3840</v>
      </c>
      <c r="E28" s="22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  <c r="I28" s="26" t="n"/>
    </row>
    <row r="29">
      <c r="A29" t="inlineStr">
        <is>
          <t>1EK</t>
        </is>
      </c>
      <c r="B29" t="inlineStr">
        <is>
          <t>PO066428</t>
        </is>
      </c>
      <c r="C29" s="25" t="n"/>
      <c r="D29" t="n">
        <v>5760</v>
      </c>
      <c r="E29" s="22" t="n">
        <v>46035</v>
      </c>
      <c r="F29" s="22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  <c r="I29" s="26" t="n"/>
    </row>
    <row r="30">
      <c r="A30" t="inlineStr">
        <is>
          <t>1EK</t>
        </is>
      </c>
      <c r="B30" t="inlineStr">
        <is>
          <t>PO066428</t>
        </is>
      </c>
      <c r="C30" s="25" t="n"/>
      <c r="D30" t="n">
        <v>9600</v>
      </c>
      <c r="E30" s="22" t="n">
        <v>46021</v>
      </c>
      <c r="F30" s="22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  <c r="I30" s="26" t="n"/>
    </row>
    <row r="31">
      <c r="A31" t="inlineStr">
        <is>
          <t>1EK</t>
        </is>
      </c>
      <c r="B31" t="inlineStr">
        <is>
          <t>PO066428</t>
        </is>
      </c>
      <c r="C31" s="25" t="n"/>
      <c r="D31" t="n">
        <v>9600</v>
      </c>
      <c r="E31" s="22" t="n">
        <v>46029</v>
      </c>
      <c r="F31" s="22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  <c r="I31" s="26" t="n"/>
    </row>
    <row r="32">
      <c r="A32" t="inlineStr">
        <is>
          <t>1EK</t>
        </is>
      </c>
      <c r="B32" t="inlineStr">
        <is>
          <t>PO066428</t>
        </is>
      </c>
      <c r="C32" s="25" t="n"/>
      <c r="D32" t="n">
        <v>4800</v>
      </c>
      <c r="E32" s="22" t="n">
        <v>46050</v>
      </c>
      <c r="F32" s="22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  <c r="I32" s="26" t="n"/>
    </row>
    <row r="33">
      <c r="A33" t="inlineStr">
        <is>
          <t>7CL</t>
        </is>
      </c>
      <c r="B33" t="inlineStr">
        <is>
          <t>PO066428</t>
        </is>
      </c>
      <c r="C33" s="25" t="n"/>
      <c r="D33" t="n">
        <v>8100</v>
      </c>
      <c r="E33" s="22" t="n">
        <v>46035</v>
      </c>
      <c r="F33" s="22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  <c r="I33" s="26" t="n"/>
    </row>
    <row r="34">
      <c r="A34" t="inlineStr">
        <is>
          <t>9RN</t>
        </is>
      </c>
      <c r="B34" t="inlineStr">
        <is>
          <t>PO066528</t>
        </is>
      </c>
      <c r="C34" s="25" t="n"/>
      <c r="D34" t="n">
        <v>21274</v>
      </c>
      <c r="E34" s="22" t="n">
        <v>46018</v>
      </c>
      <c r="F34" s="22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  <c r="I34" s="26" t="n"/>
    </row>
    <row r="35">
      <c r="A35" t="inlineStr">
        <is>
          <t>9RN</t>
        </is>
      </c>
      <c r="B35" t="inlineStr">
        <is>
          <t>PO066528</t>
        </is>
      </c>
      <c r="C35" s="25" t="n"/>
      <c r="D35" t="n">
        <v>9702</v>
      </c>
      <c r="E35" s="22" t="n">
        <v>46018</v>
      </c>
      <c r="F35" s="22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  <c r="I35" s="26" t="n"/>
    </row>
    <row r="36">
      <c r="A36" t="inlineStr">
        <is>
          <t>0JN</t>
        </is>
      </c>
      <c r="B36" t="inlineStr">
        <is>
          <t>PO066525</t>
        </is>
      </c>
      <c r="C36" s="25" t="n"/>
      <c r="D36" t="n">
        <v>18609</v>
      </c>
      <c r="E36" s="22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  <c r="I36" s="26" t="n"/>
    </row>
    <row r="37">
      <c r="A37" t="inlineStr">
        <is>
          <t>CHEM-1250</t>
        </is>
      </c>
      <c r="B37" t="inlineStr">
        <is>
          <t>PO066734</t>
        </is>
      </c>
      <c r="C37" s="25" t="n"/>
      <c r="D37" t="n">
        <v>100</v>
      </c>
      <c r="E37" s="22" t="n">
        <v>46027</v>
      </c>
      <c r="F37" s="22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  <c r="I37" s="26" t="n"/>
    </row>
    <row r="38">
      <c r="A38" t="inlineStr">
        <is>
          <t>CHEM-1200</t>
        </is>
      </c>
      <c r="B38" t="inlineStr">
        <is>
          <t>PO066734</t>
        </is>
      </c>
      <c r="C38" s="25" t="n"/>
      <c r="D38" t="n">
        <v>25</v>
      </c>
      <c r="E38" s="22" t="n">
        <v>46027</v>
      </c>
      <c r="F38" s="22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  <c r="I38" s="26" t="n"/>
    </row>
    <row r="39">
      <c r="A39" t="inlineStr">
        <is>
          <t>CHEM-1570</t>
        </is>
      </c>
      <c r="B39" t="inlineStr">
        <is>
          <t>PO066734</t>
        </is>
      </c>
      <c r="C39" s="25" t="n"/>
      <c r="D39" t="n">
        <v>36</v>
      </c>
      <c r="E39" s="22" t="n">
        <v>46027</v>
      </c>
      <c r="F39" s="22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  <c r="I39" s="26" t="n"/>
    </row>
    <row r="40">
      <c r="A40" t="inlineStr">
        <is>
          <t>CHEM-1670</t>
        </is>
      </c>
      <c r="B40" t="inlineStr">
        <is>
          <t>PO066734</t>
        </is>
      </c>
      <c r="C40" s="25" t="n"/>
      <c r="D40" t="n">
        <v>180</v>
      </c>
      <c r="E40" s="22" t="n">
        <v>46027</v>
      </c>
      <c r="F40" s="22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  <c r="I40" s="26" t="n"/>
    </row>
    <row r="41">
      <c r="A41" t="inlineStr">
        <is>
          <t>CHEM-1700</t>
        </is>
      </c>
      <c r="B41" t="inlineStr">
        <is>
          <t>PO066734</t>
        </is>
      </c>
      <c r="C41" s="25" t="n"/>
      <c r="D41" t="n">
        <v>90</v>
      </c>
      <c r="E41" s="22" t="n">
        <v>46027</v>
      </c>
      <c r="F41" s="22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  <c r="I41" s="26" t="n"/>
    </row>
    <row r="42">
      <c r="A42" t="inlineStr">
        <is>
          <t>CHEM-1660</t>
        </is>
      </c>
      <c r="B42" t="inlineStr"/>
      <c r="C42" s="25" t="n"/>
      <c r="D42" t="n">
        <v>60</v>
      </c>
      <c r="E42" s="22" t="n">
        <v>46027</v>
      </c>
      <c r="F42" s="22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  <c r="I42" s="26" t="n"/>
    </row>
    <row r="43">
      <c r="A43" t="inlineStr">
        <is>
          <t>CHEM-1420</t>
        </is>
      </c>
      <c r="B43" t="inlineStr">
        <is>
          <t>PO066734</t>
        </is>
      </c>
      <c r="C43" s="25" t="n"/>
      <c r="D43" t="n">
        <v>240</v>
      </c>
      <c r="E43" s="22" t="n">
        <v>46027</v>
      </c>
      <c r="F43" s="22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  <c r="I43" s="26" t="n"/>
    </row>
    <row r="44">
      <c r="A44" t="inlineStr">
        <is>
          <t>CHEM-1530</t>
        </is>
      </c>
      <c r="B44" t="inlineStr">
        <is>
          <t>PO066734</t>
        </is>
      </c>
      <c r="C44" s="25" t="n"/>
      <c r="D44" t="n">
        <v>1400</v>
      </c>
      <c r="E44" s="22" t="n">
        <v>46027</v>
      </c>
      <c r="F44" s="22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  <c r="I44" s="26" t="n"/>
    </row>
    <row r="45">
      <c r="A45" t="inlineStr">
        <is>
          <t>CHEM-1600</t>
        </is>
      </c>
      <c r="B45" t="inlineStr">
        <is>
          <t>PO066734</t>
        </is>
      </c>
      <c r="C45" s="25" t="n"/>
      <c r="D45" t="n">
        <v>250</v>
      </c>
      <c r="E45" s="22" t="n">
        <v>46027</v>
      </c>
      <c r="F45" s="22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  <c r="I45" s="26" t="n"/>
    </row>
    <row r="46">
      <c r="A46" t="inlineStr">
        <is>
          <t>CHEM-1540</t>
        </is>
      </c>
      <c r="B46" t="inlineStr">
        <is>
          <t>PO066734</t>
        </is>
      </c>
      <c r="C46" s="25" t="n"/>
      <c r="D46" t="n">
        <v>5000</v>
      </c>
      <c r="E46" s="22" t="n">
        <v>46027</v>
      </c>
      <c r="F46" s="22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  <c r="I46" s="26" t="n"/>
    </row>
    <row r="47">
      <c r="A47" t="inlineStr">
        <is>
          <t>CHEM-1720</t>
        </is>
      </c>
      <c r="B47" t="inlineStr">
        <is>
          <t>PO066734</t>
        </is>
      </c>
      <c r="C47" s="25" t="n"/>
      <c r="D47" t="n">
        <v>1920</v>
      </c>
      <c r="E47" s="22" t="n">
        <v>46027</v>
      </c>
      <c r="F47" s="22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  <c r="I47" s="26" t="n"/>
    </row>
    <row r="48">
      <c r="A48" t="inlineStr">
        <is>
          <t>CHEM-1280</t>
        </is>
      </c>
      <c r="B48" t="inlineStr"/>
      <c r="C48" s="25" t="n"/>
      <c r="D48" t="n">
        <v>1000</v>
      </c>
      <c r="E48" s="22" t="n">
        <v>46027</v>
      </c>
      <c r="F48" s="22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  <c r="I48" s="26" t="n"/>
    </row>
    <row r="49">
      <c r="A49" t="inlineStr">
        <is>
          <t>CHEM-1440</t>
        </is>
      </c>
      <c r="B49" t="inlineStr">
        <is>
          <t>PO066734</t>
        </is>
      </c>
      <c r="C49" s="25" t="n"/>
      <c r="D49" t="n">
        <v>200</v>
      </c>
      <c r="E49" s="22" t="n">
        <v>46027</v>
      </c>
      <c r="F49" s="22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  <c r="I49" s="26" t="n"/>
    </row>
    <row r="50">
      <c r="A50" t="inlineStr">
        <is>
          <t>CHEM-1240</t>
        </is>
      </c>
      <c r="B50" t="inlineStr">
        <is>
          <t>PO066734</t>
        </is>
      </c>
      <c r="C50" s="25" t="n"/>
      <c r="D50" t="n">
        <v>660</v>
      </c>
      <c r="E50" s="22" t="n">
        <v>46027</v>
      </c>
      <c r="F50" s="22" t="n">
        <v>46037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  <c r="I50" s="26" t="n"/>
    </row>
    <row r="51">
      <c r="A51" t="inlineStr">
        <is>
          <t>CHEM-1830</t>
        </is>
      </c>
      <c r="B51" t="inlineStr">
        <is>
          <t>PO066761</t>
        </is>
      </c>
      <c r="C51" s="25" t="n"/>
      <c r="D51" t="n">
        <v>150</v>
      </c>
      <c r="E51" s="22" t="n">
        <v>46027</v>
      </c>
      <c r="F51" s="22" t="n">
        <v>46037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  <c r="I51" s="26" t="n"/>
    </row>
    <row r="52">
      <c r="A52" t="inlineStr">
        <is>
          <t>4HL</t>
        </is>
      </c>
      <c r="B52" t="inlineStr"/>
      <c r="C52" s="25" t="n"/>
      <c r="D52" t="n">
        <v>9600</v>
      </c>
      <c r="E52" s="22" t="n">
        <v>46048</v>
      </c>
      <c r="F52" s="22" t="n">
        <v>46051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  <c r="I52" s="26" t="n"/>
    </row>
    <row r="53">
      <c r="A53" t="inlineStr">
        <is>
          <t>4HL</t>
        </is>
      </c>
      <c r="B53" t="inlineStr"/>
      <c r="C53" s="25" t="n"/>
      <c r="D53" t="n">
        <v>17280</v>
      </c>
      <c r="E53" s="22" t="n">
        <v>46069</v>
      </c>
      <c r="F53" s="22" t="n">
        <v>46070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  <c r="I53" s="26" t="n"/>
    </row>
    <row r="54">
      <c r="A54" t="inlineStr">
        <is>
          <t>4HL</t>
        </is>
      </c>
      <c r="B54" t="inlineStr"/>
      <c r="C54" s="25" t="n"/>
      <c r="D54" t="n">
        <v>9600</v>
      </c>
      <c r="E54" s="22" t="n">
        <v>46056</v>
      </c>
      <c r="F54" s="22" t="n">
        <v>46062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  <c r="I54" s="26" t="n"/>
    </row>
    <row r="55">
      <c r="A55" t="inlineStr">
        <is>
          <t>4HL</t>
        </is>
      </c>
      <c r="B55" t="inlineStr"/>
      <c r="C55" s="25" t="n"/>
      <c r="D55" t="n">
        <v>1920</v>
      </c>
      <c r="E55" s="22" t="n">
        <v>46069</v>
      </c>
      <c r="F55" s="22" t="n">
        <v>46069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  <c r="I55" s="26" t="n"/>
    </row>
    <row r="56">
      <c r="A56" t="inlineStr">
        <is>
          <t>4HL</t>
        </is>
      </c>
      <c r="B56" t="inlineStr"/>
      <c r="C56" s="25" t="n"/>
      <c r="D56" t="n">
        <v>5280</v>
      </c>
      <c r="E56" s="22" t="n">
        <v>46087</v>
      </c>
      <c r="F56" s="22" t="n">
        <v>46092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  <c r="I56" s="26" t="n"/>
    </row>
    <row r="57">
      <c r="A57" t="inlineStr">
        <is>
          <t>4HL</t>
        </is>
      </c>
      <c r="B57" t="inlineStr"/>
      <c r="C57" s="25" t="n"/>
      <c r="D57" t="n">
        <v>365</v>
      </c>
      <c r="E57" s="22" t="n">
        <v>46069</v>
      </c>
      <c r="F57" s="22" t="n">
        <v>46070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  <c r="I57" s="26" t="n"/>
    </row>
    <row r="58">
      <c r="A58" t="inlineStr">
        <is>
          <t>1EK</t>
        </is>
      </c>
      <c r="B58" t="inlineStr"/>
      <c r="C58" s="25" t="n"/>
      <c r="D58" t="n">
        <v>7200</v>
      </c>
      <c r="E58" s="22" t="n">
        <v>46069</v>
      </c>
      <c r="F58" s="22" t="n">
        <v>46069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  <c r="I58" s="26" t="n"/>
    </row>
    <row r="59">
      <c r="A59" t="inlineStr">
        <is>
          <t>1EK</t>
        </is>
      </c>
      <c r="B59" t="inlineStr"/>
      <c r="C59" s="25" t="n"/>
      <c r="D59" t="n">
        <v>6720</v>
      </c>
      <c r="E59" s="22" t="n">
        <v>46087</v>
      </c>
      <c r="F59" s="22" t="n">
        <v>46092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  <c r="I59" s="26" t="n"/>
    </row>
    <row r="60">
      <c r="A60" t="inlineStr">
        <is>
          <t>1EK</t>
        </is>
      </c>
      <c r="B60" t="inlineStr"/>
      <c r="C60" s="25" t="n"/>
      <c r="D60" t="n">
        <v>160</v>
      </c>
      <c r="E60" s="22" t="n">
        <v>46069</v>
      </c>
      <c r="F60" s="22" t="n">
        <v>46069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  <c r="I60" s="26" t="n"/>
    </row>
    <row r="61">
      <c r="A61" t="inlineStr">
        <is>
          <t>1EK</t>
        </is>
      </c>
      <c r="B61" t="inlineStr"/>
      <c r="C61" s="25" t="n"/>
      <c r="D61" t="n">
        <v>474</v>
      </c>
      <c r="E61" s="22" t="n">
        <v>46087</v>
      </c>
      <c r="F61" s="22" t="n">
        <v>46092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  <c r="I61" s="26" t="n"/>
    </row>
    <row r="62">
      <c r="A62" t="inlineStr">
        <is>
          <t>7CL</t>
        </is>
      </c>
      <c r="B62" t="inlineStr"/>
      <c r="C62" s="25" t="n"/>
      <c r="D62" t="n">
        <v>1620</v>
      </c>
      <c r="E62" s="22" t="n">
        <v>46069</v>
      </c>
      <c r="F62" s="22" t="n">
        <v>46070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  <c r="I62" s="26" t="n"/>
    </row>
    <row r="63">
      <c r="A63" t="inlineStr">
        <is>
          <t>9RN</t>
        </is>
      </c>
      <c r="B63" t="inlineStr">
        <is>
          <t>PO066735</t>
        </is>
      </c>
      <c r="C63" s="25" t="n"/>
      <c r="D63" t="n">
        <v>19206</v>
      </c>
      <c r="E63" s="22" t="n">
        <v>46033</v>
      </c>
      <c r="F63" s="22" t="n">
        <v>46041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  <c r="I63" s="26" t="n"/>
    </row>
    <row r="64">
      <c r="A64" t="inlineStr">
        <is>
          <t>9RN</t>
        </is>
      </c>
      <c r="B64" t="inlineStr">
        <is>
          <t>PO066735</t>
        </is>
      </c>
      <c r="C64" s="25" t="n"/>
      <c r="D64" t="n">
        <v>15642</v>
      </c>
      <c r="E64" s="22" t="n">
        <v>46033</v>
      </c>
      <c r="F64" s="22" t="n">
        <v>46041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  <c r="I64" s="26" t="n"/>
    </row>
    <row r="65">
      <c r="A65" t="inlineStr">
        <is>
          <t>0JN</t>
        </is>
      </c>
      <c r="B65" t="inlineStr">
        <is>
          <t>PO066755</t>
        </is>
      </c>
      <c r="C65" s="25" t="n"/>
      <c r="D65" t="n">
        <v>1584</v>
      </c>
      <c r="E65" s="22" t="n">
        <v>46047</v>
      </c>
      <c r="F65" s="22" t="n">
        <v>46049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  <c r="I65" s="26" t="n"/>
    </row>
    <row r="66">
      <c r="A66" t="inlineStr">
        <is>
          <t>0JN</t>
        </is>
      </c>
      <c r="B66" t="inlineStr">
        <is>
          <t>PO066755</t>
        </is>
      </c>
      <c r="C66" s="25" t="n"/>
      <c r="D66" t="n">
        <v>18530</v>
      </c>
      <c r="E66" s="22" t="n">
        <v>46076</v>
      </c>
      <c r="F66" s="22" t="n">
        <v>46079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  <c r="I66" s="26" t="n"/>
    </row>
    <row r="67">
      <c r="A67" t="inlineStr">
        <is>
          <t>CHEM-1240</t>
        </is>
      </c>
      <c r="B67" t="inlineStr">
        <is>
          <t>PO066939</t>
        </is>
      </c>
      <c r="C67" s="25" t="n"/>
      <c r="D67" t="n">
        <v>880</v>
      </c>
      <c r="E67" s="22" t="n">
        <v>46068</v>
      </c>
      <c r="F67" s="22" t="n">
        <v>46072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  <c r="I67" s="26" t="n"/>
    </row>
    <row r="68">
      <c r="A68" t="inlineStr">
        <is>
          <t>CHEM-1250</t>
        </is>
      </c>
      <c r="B68" t="inlineStr">
        <is>
          <t>PO066939</t>
        </is>
      </c>
      <c r="C68" s="25" t="n"/>
      <c r="D68" t="n">
        <v>50</v>
      </c>
      <c r="E68" s="22" t="n">
        <v>46068</v>
      </c>
      <c r="F68" s="22" t="n">
        <v>46072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  <c r="I68" s="26" t="n"/>
    </row>
    <row r="69">
      <c r="A69" t="inlineStr">
        <is>
          <t>CHEM-1400</t>
        </is>
      </c>
      <c r="B69" t="inlineStr">
        <is>
          <t>PO066939</t>
        </is>
      </c>
      <c r="C69" s="25" t="n"/>
      <c r="D69" t="n">
        <v>250</v>
      </c>
      <c r="E69" s="22" t="n">
        <v>46068</v>
      </c>
      <c r="F69" s="22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  <c r="I69" s="26" t="n"/>
    </row>
    <row r="70">
      <c r="A70" t="inlineStr">
        <is>
          <t>CHEM-1420</t>
        </is>
      </c>
      <c r="B70" t="inlineStr">
        <is>
          <t>PO066939</t>
        </is>
      </c>
      <c r="C70" s="25" t="n"/>
      <c r="D70" t="n">
        <v>240</v>
      </c>
      <c r="E70" s="22" t="n">
        <v>46068</v>
      </c>
      <c r="F70" s="22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  <c r="I70" s="26" t="n"/>
    </row>
    <row r="71">
      <c r="A71" t="inlineStr">
        <is>
          <t>CHEM-1440</t>
        </is>
      </c>
      <c r="B71" t="inlineStr">
        <is>
          <t>PO066939</t>
        </is>
      </c>
      <c r="C71" s="25" t="n"/>
      <c r="D71" t="n">
        <v>200</v>
      </c>
      <c r="E71" s="22" t="n">
        <v>46068</v>
      </c>
      <c r="F71" s="22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  <c r="I71" s="26" t="n"/>
    </row>
    <row r="72">
      <c r="A72" t="inlineStr">
        <is>
          <t>CHEM-1540</t>
        </is>
      </c>
      <c r="B72" t="inlineStr">
        <is>
          <t>PO066939</t>
        </is>
      </c>
      <c r="C72" s="25" t="n"/>
      <c r="D72" t="n">
        <v>2500</v>
      </c>
      <c r="E72" s="22" t="n">
        <v>46068</v>
      </c>
      <c r="F72" s="22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  <c r="I72" s="26" t="n"/>
    </row>
    <row r="73">
      <c r="A73" t="inlineStr">
        <is>
          <t>CHEM-1530</t>
        </is>
      </c>
      <c r="B73" t="inlineStr">
        <is>
          <t>PO066939</t>
        </is>
      </c>
      <c r="C73" s="25" t="n"/>
      <c r="D73" t="n">
        <v>2100</v>
      </c>
      <c r="E73" s="22" t="n">
        <v>46068</v>
      </c>
      <c r="F73" s="22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  <c r="I73" s="26" t="n"/>
    </row>
    <row r="74">
      <c r="A74" t="inlineStr">
        <is>
          <t>CHEM-1600</t>
        </is>
      </c>
      <c r="B74" t="inlineStr">
        <is>
          <t>PO066939</t>
        </is>
      </c>
      <c r="C74" s="25" t="n"/>
      <c r="D74" t="n">
        <v>300</v>
      </c>
      <c r="E74" s="22" t="n">
        <v>46068</v>
      </c>
      <c r="F74" s="22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  <c r="I74" s="26" t="n"/>
    </row>
    <row r="75">
      <c r="A75" t="inlineStr">
        <is>
          <t>CHEM-1570</t>
        </is>
      </c>
      <c r="B75" t="inlineStr">
        <is>
          <t>PO066939</t>
        </is>
      </c>
      <c r="C75" s="25" t="n"/>
      <c r="D75" t="n">
        <v>36</v>
      </c>
      <c r="E75" s="22" t="n">
        <v>46068</v>
      </c>
      <c r="F75" s="22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  <c r="I75" s="26" t="n"/>
    </row>
    <row r="76">
      <c r="A76" t="inlineStr">
        <is>
          <t>CHEM-1670</t>
        </is>
      </c>
      <c r="B76" t="inlineStr">
        <is>
          <t>PO066939</t>
        </is>
      </c>
      <c r="C76" s="25" t="n"/>
      <c r="D76" t="n">
        <v>180</v>
      </c>
      <c r="E76" s="22" t="n">
        <v>46068</v>
      </c>
      <c r="F76" s="22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  <c r="I76" s="26" t="n"/>
    </row>
    <row r="77">
      <c r="A77" t="inlineStr">
        <is>
          <t>CHEM-1690</t>
        </is>
      </c>
      <c r="B77" t="inlineStr">
        <is>
          <t>PO066939</t>
        </is>
      </c>
      <c r="C77" s="25" t="n"/>
      <c r="D77" t="n">
        <v>135</v>
      </c>
      <c r="E77" s="22" t="n">
        <v>46068</v>
      </c>
      <c r="F77" s="22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  <c r="I77" s="26" t="n"/>
    </row>
    <row r="78">
      <c r="A78" t="inlineStr">
        <is>
          <t>CHEM-1700</t>
        </is>
      </c>
      <c r="B78" t="inlineStr">
        <is>
          <t>PO066939</t>
        </is>
      </c>
      <c r="C78" s="25" t="n"/>
      <c r="D78" t="n">
        <v>60</v>
      </c>
      <c r="E78" s="22" t="n">
        <v>46068</v>
      </c>
      <c r="F78" s="22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  <c r="I78" s="26" t="n"/>
    </row>
    <row r="79">
      <c r="A79" t="inlineStr">
        <is>
          <t>CHEM-1720</t>
        </is>
      </c>
      <c r="B79" t="inlineStr">
        <is>
          <t>PO066939</t>
        </is>
      </c>
      <c r="C79" s="25" t="n"/>
      <c r="D79" t="n">
        <v>2040</v>
      </c>
      <c r="E79" s="22" t="n">
        <v>46068</v>
      </c>
      <c r="F79" s="22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  <c r="I79" s="26" t="n"/>
    </row>
    <row r="80">
      <c r="A80" t="inlineStr">
        <is>
          <t>CHEM-1760</t>
        </is>
      </c>
      <c r="B80" t="inlineStr">
        <is>
          <t>PO066939</t>
        </is>
      </c>
      <c r="C80" s="25" t="n"/>
      <c r="D80" t="n">
        <v>17</v>
      </c>
      <c r="E80" s="22" t="n">
        <v>46068</v>
      </c>
      <c r="F80" s="22" t="n">
        <v>46072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  <c r="I80" s="26" t="n"/>
    </row>
    <row r="81">
      <c r="A81" t="inlineStr">
        <is>
          <t>CHEM-1200</t>
        </is>
      </c>
      <c r="B81" t="inlineStr">
        <is>
          <t>PO066939</t>
        </is>
      </c>
      <c r="C81" s="25" t="n"/>
      <c r="D81" t="n">
        <v>25</v>
      </c>
      <c r="E81" s="22" t="n">
        <v>46068</v>
      </c>
      <c r="F81" s="22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  <c r="I81" s="26" t="n"/>
    </row>
    <row r="82">
      <c r="A82" t="inlineStr">
        <is>
          <t>CHEM-1680</t>
        </is>
      </c>
      <c r="B82" t="inlineStr">
        <is>
          <t>PO066939</t>
        </is>
      </c>
      <c r="C82" s="25" t="n"/>
      <c r="D82" t="n">
        <v>200</v>
      </c>
      <c r="E82" s="22" t="n">
        <v>46068</v>
      </c>
      <c r="F82" s="22" t="n">
        <v>46072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  <c r="I82" s="26" t="n"/>
    </row>
    <row r="83">
      <c r="A83" t="inlineStr">
        <is>
          <t>CHEM-1660</t>
        </is>
      </c>
      <c r="B83" t="inlineStr">
        <is>
          <t>PO066949</t>
        </is>
      </c>
      <c r="C83" s="25" t="n"/>
      <c r="D83" t="n">
        <v>60</v>
      </c>
      <c r="E83" s="22" t="n">
        <v>46056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  <c r="I83" s="26" t="n"/>
    </row>
    <row r="84">
      <c r="A84" t="inlineStr">
        <is>
          <t>CHEM-1830</t>
        </is>
      </c>
      <c r="B84" t="inlineStr"/>
      <c r="C84" s="25" t="n"/>
      <c r="D84" t="n">
        <v>75</v>
      </c>
      <c r="E84" s="22" t="n">
        <v>46068</v>
      </c>
      <c r="F84" s="22" t="n">
        <v>46072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  <c r="I84" s="26" t="n"/>
    </row>
    <row r="85">
      <c r="A85" t="inlineStr">
        <is>
          <t>CHEM-1820</t>
        </is>
      </c>
      <c r="B85" t="inlineStr"/>
      <c r="C85" s="25" t="n"/>
      <c r="D85" t="n">
        <v>500</v>
      </c>
      <c r="E85" s="22" t="n">
        <v>46068</v>
      </c>
      <c r="F85" s="22" t="n">
        <v>46072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  <c r="I85" s="26" t="n"/>
    </row>
    <row r="86">
      <c r="A86" t="inlineStr">
        <is>
          <t>CHEM-1840</t>
        </is>
      </c>
      <c r="B86" t="inlineStr"/>
      <c r="C86" s="25" t="n"/>
      <c r="D86" t="n">
        <v>18</v>
      </c>
      <c r="E86" s="22" t="n">
        <v>46068</v>
      </c>
      <c r="F86" s="22" t="n">
        <v>46072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  <c r="I86" s="26" t="n"/>
    </row>
    <row r="87">
      <c r="A87" t="inlineStr">
        <is>
          <t>4HL</t>
        </is>
      </c>
      <c r="B87" t="inlineStr"/>
      <c r="C87" s="25" t="n"/>
      <c r="D87" t="n">
        <v>9120</v>
      </c>
      <c r="E87" s="22" t="n">
        <v>46075</v>
      </c>
      <c r="F87" s="22" t="n">
        <v>46079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  <c r="I87" s="26" t="n"/>
    </row>
    <row r="88">
      <c r="A88" t="inlineStr">
        <is>
          <t>4HL</t>
        </is>
      </c>
      <c r="B88" t="inlineStr"/>
      <c r="C88" s="25" t="n"/>
      <c r="D88" t="n">
        <v>14400</v>
      </c>
      <c r="E88" s="22" t="n">
        <v>46097</v>
      </c>
      <c r="F88" s="22" t="n">
        <v>46102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  <c r="I88" s="26" t="n"/>
    </row>
    <row r="89">
      <c r="A89" t="inlineStr">
        <is>
          <t>4HL</t>
        </is>
      </c>
      <c r="B89" t="inlineStr"/>
      <c r="C89" s="25" t="n"/>
      <c r="D89" t="n">
        <v>14400</v>
      </c>
      <c r="E89" s="22" t="n">
        <v>46082</v>
      </c>
      <c r="F89" s="22" t="n">
        <v>46090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  <c r="I89" s="26" t="n"/>
    </row>
    <row r="90">
      <c r="A90" t="inlineStr">
        <is>
          <t>4HL</t>
        </is>
      </c>
      <c r="B90" t="inlineStr"/>
      <c r="C90" s="25" t="n"/>
      <c r="D90" t="n">
        <v>20640</v>
      </c>
      <c r="E90" s="22" t="n">
        <v>46092</v>
      </c>
      <c r="F90" s="22" t="n">
        <v>46098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  <c r="I90" s="26" t="n"/>
    </row>
    <row r="91">
      <c r="A91" t="inlineStr">
        <is>
          <t>4HL</t>
        </is>
      </c>
      <c r="B91" t="inlineStr"/>
      <c r="C91" s="25" t="n"/>
      <c r="D91" t="n">
        <v>16320</v>
      </c>
      <c r="E91" s="22" t="n">
        <v>46103</v>
      </c>
      <c r="F91" s="22" t="n">
        <v>46108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  <c r="I91" s="26" t="n"/>
    </row>
    <row r="92">
      <c r="A92" t="inlineStr">
        <is>
          <t>4HL</t>
        </is>
      </c>
      <c r="B92" t="inlineStr"/>
      <c r="C92" s="25" t="n"/>
      <c r="D92" t="n">
        <v>960</v>
      </c>
      <c r="E92" s="22" t="n">
        <v>46104</v>
      </c>
      <c r="F92" s="22" t="n">
        <v>46112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  <c r="I92" s="26" t="n"/>
    </row>
    <row r="93">
      <c r="A93" t="inlineStr">
        <is>
          <t>4HL</t>
        </is>
      </c>
      <c r="B93" t="inlineStr"/>
      <c r="C93" s="25" t="n"/>
      <c r="D93" t="n">
        <v>432</v>
      </c>
      <c r="E93" s="22" t="n">
        <v>46075</v>
      </c>
      <c r="F93" s="22" t="n">
        <v>46079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  <c r="I93" s="26" t="n"/>
    </row>
    <row r="94">
      <c r="A94" t="inlineStr">
        <is>
          <t>1EK</t>
        </is>
      </c>
      <c r="B94" t="inlineStr"/>
      <c r="C94" s="25" t="n"/>
      <c r="D94" t="n">
        <v>14400</v>
      </c>
      <c r="E94" s="22" t="n">
        <v>46075</v>
      </c>
      <c r="F94" s="22" t="n">
        <v>46079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  <c r="I94" s="26" t="n"/>
    </row>
    <row r="95">
      <c r="A95" t="inlineStr">
        <is>
          <t>1EK</t>
        </is>
      </c>
      <c r="B95" t="inlineStr"/>
      <c r="C95" s="25" t="n"/>
      <c r="D95" t="n">
        <v>14400</v>
      </c>
      <c r="E95" s="22" t="n">
        <v>46082</v>
      </c>
      <c r="F95" s="22" t="n">
        <v>46090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  <c r="I95" s="26" t="n"/>
    </row>
    <row r="96">
      <c r="A96" t="inlineStr">
        <is>
          <t>1EK</t>
        </is>
      </c>
      <c r="B96" t="inlineStr"/>
      <c r="C96" s="25" t="n"/>
      <c r="D96" t="n">
        <v>9120</v>
      </c>
      <c r="E96" s="22" t="n">
        <v>46092</v>
      </c>
      <c r="F96" s="22" t="n">
        <v>46098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  <c r="I96" s="26" t="n"/>
    </row>
    <row r="97">
      <c r="A97" t="inlineStr">
        <is>
          <t>TDJ</t>
        </is>
      </c>
      <c r="B97" t="inlineStr">
        <is>
          <t>PO066946</t>
        </is>
      </c>
      <c r="C97" s="25" t="n"/>
      <c r="D97" t="n">
        <v>784</v>
      </c>
      <c r="E97" s="22" t="n">
        <v>46112</v>
      </c>
      <c r="F97" s="22" t="n">
        <v>46114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  <c r="I97" s="26" t="n"/>
    </row>
    <row r="98">
      <c r="A98" t="inlineStr">
        <is>
          <t>9RN</t>
        </is>
      </c>
      <c r="B98" t="inlineStr">
        <is>
          <t>PO066934</t>
        </is>
      </c>
      <c r="C98" s="25" t="n"/>
      <c r="D98" t="n">
        <v>21780</v>
      </c>
      <c r="E98" s="22" t="n">
        <v>46068</v>
      </c>
      <c r="F98" s="22" t="n">
        <v>46072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  <c r="I98" s="26" t="n"/>
    </row>
    <row r="99">
      <c r="A99" t="inlineStr">
        <is>
          <t>0JN</t>
        </is>
      </c>
      <c r="B99" t="inlineStr">
        <is>
          <t>PO066940</t>
        </is>
      </c>
      <c r="C99" s="25" t="n"/>
      <c r="D99" t="n">
        <v>8243</v>
      </c>
      <c r="E99" s="22" t="n">
        <v>46095</v>
      </c>
      <c r="F99" s="22" t="n">
        <v>46099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  <c r="I99" s="26" t="n"/>
    </row>
    <row r="100">
      <c r="A100" t="inlineStr">
        <is>
          <t>CHEM-1240</t>
        </is>
      </c>
      <c r="B100" t="inlineStr">
        <is>
          <t>PO067067</t>
        </is>
      </c>
      <c r="C100" s="25" t="n"/>
      <c r="D100" t="n">
        <v>440</v>
      </c>
      <c r="E100" s="22" t="n">
        <v>46092</v>
      </c>
      <c r="F100" s="22" t="n">
        <v>46099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  <c r="I100" s="26" t="n"/>
    </row>
    <row r="101">
      <c r="A101" t="inlineStr">
        <is>
          <t>CHEM-1250</t>
        </is>
      </c>
      <c r="B101" t="inlineStr">
        <is>
          <t>PO067067</t>
        </is>
      </c>
      <c r="C101" s="25" t="n"/>
      <c r="D101" t="n">
        <v>100</v>
      </c>
      <c r="E101" s="22" t="n">
        <v>46092</v>
      </c>
      <c r="F101" s="22" t="n">
        <v>46099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  <c r="I101" s="26" t="n"/>
    </row>
    <row r="102">
      <c r="A102" t="inlineStr">
        <is>
          <t>CHEM-1400</t>
        </is>
      </c>
      <c r="B102" t="inlineStr">
        <is>
          <t>PO067067</t>
        </is>
      </c>
      <c r="C102" s="25" t="n"/>
      <c r="D102" t="n">
        <v>100</v>
      </c>
      <c r="E102" s="22" t="n">
        <v>46092</v>
      </c>
      <c r="F102" s="22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  <c r="I102" s="26" t="n"/>
    </row>
    <row r="103">
      <c r="A103" t="inlineStr">
        <is>
          <t>CHEM-1420</t>
        </is>
      </c>
      <c r="B103" t="inlineStr">
        <is>
          <t>PO067067</t>
        </is>
      </c>
      <c r="C103" s="25" t="n"/>
      <c r="D103" t="n">
        <v>160</v>
      </c>
      <c r="E103" s="22" t="n">
        <v>46092</v>
      </c>
      <c r="F103" s="22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  <c r="I103" s="26" t="n"/>
    </row>
    <row r="104">
      <c r="A104" t="inlineStr">
        <is>
          <t>CHEM-1440</t>
        </is>
      </c>
      <c r="B104" t="inlineStr">
        <is>
          <t>PO067067</t>
        </is>
      </c>
      <c r="C104" s="25" t="n"/>
      <c r="D104" t="n">
        <v>200</v>
      </c>
      <c r="E104" s="22" t="n">
        <v>46092</v>
      </c>
      <c r="F104" s="22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  <c r="I104" s="26" t="n"/>
    </row>
    <row r="105">
      <c r="A105" t="inlineStr">
        <is>
          <t>CHEM-1540</t>
        </is>
      </c>
      <c r="B105" t="inlineStr">
        <is>
          <t>PO067067</t>
        </is>
      </c>
      <c r="C105" s="25" t="n"/>
      <c r="D105" t="n">
        <v>3000</v>
      </c>
      <c r="E105" s="22" t="n">
        <v>46092</v>
      </c>
      <c r="F105" s="22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  <c r="I105" s="26" t="n"/>
    </row>
    <row r="106">
      <c r="A106" t="inlineStr">
        <is>
          <t>CHEM-1530</t>
        </is>
      </c>
      <c r="B106" t="inlineStr">
        <is>
          <t>PO067067</t>
        </is>
      </c>
      <c r="C106" s="25" t="n"/>
      <c r="D106" t="n">
        <v>2100</v>
      </c>
      <c r="E106" s="22" t="n">
        <v>46092</v>
      </c>
      <c r="F106" s="22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  <c r="I106" s="26" t="n"/>
    </row>
    <row r="107">
      <c r="A107" t="inlineStr">
        <is>
          <t>CHEM-1600</t>
        </is>
      </c>
      <c r="B107" t="inlineStr">
        <is>
          <t>PO067067</t>
        </is>
      </c>
      <c r="C107" s="25" t="n"/>
      <c r="D107" t="n">
        <v>100</v>
      </c>
      <c r="E107" s="22" t="n">
        <v>46092</v>
      </c>
      <c r="F107" s="22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  <c r="I107" s="26" t="n"/>
    </row>
    <row r="108">
      <c r="A108" t="inlineStr">
        <is>
          <t>CHEM-1570</t>
        </is>
      </c>
      <c r="B108" t="inlineStr">
        <is>
          <t>PO067067</t>
        </is>
      </c>
      <c r="C108" s="25" t="n"/>
      <c r="D108" t="n">
        <v>36</v>
      </c>
      <c r="E108" s="22" t="n">
        <v>46092</v>
      </c>
      <c r="F108" s="22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  <c r="I108" s="26" t="n"/>
    </row>
    <row r="109">
      <c r="A109" t="inlineStr">
        <is>
          <t>CHEM-1670</t>
        </is>
      </c>
      <c r="B109" t="inlineStr">
        <is>
          <t>PO067067</t>
        </is>
      </c>
      <c r="C109" s="25" t="n"/>
      <c r="D109" t="n">
        <v>180</v>
      </c>
      <c r="E109" s="22" t="n">
        <v>46092</v>
      </c>
      <c r="F109" s="22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  <c r="I109" s="26" t="n"/>
    </row>
    <row r="110">
      <c r="A110" t="inlineStr">
        <is>
          <t>CHEM-1700</t>
        </is>
      </c>
      <c r="B110" t="inlineStr">
        <is>
          <t>PO067067</t>
        </is>
      </c>
      <c r="C110" s="25" t="n"/>
      <c r="D110" t="n">
        <v>60</v>
      </c>
      <c r="E110" s="22" t="n">
        <v>46092</v>
      </c>
      <c r="F110" s="22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  <c r="I110" s="26" t="n"/>
    </row>
    <row r="111">
      <c r="A111" t="inlineStr">
        <is>
          <t>CHEM-1720</t>
        </is>
      </c>
      <c r="B111" t="inlineStr">
        <is>
          <t>PO067067</t>
        </is>
      </c>
      <c r="C111" s="25" t="n"/>
      <c r="D111" t="n">
        <v>720</v>
      </c>
      <c r="E111" s="22" t="n">
        <v>46092</v>
      </c>
      <c r="F111" s="22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  <c r="I111" s="26" t="n"/>
    </row>
    <row r="112">
      <c r="A112" t="inlineStr">
        <is>
          <t>PP Film</t>
        </is>
      </c>
      <c r="B112" t="inlineStr">
        <is>
          <t>PO067067</t>
        </is>
      </c>
      <c r="C112" s="25" t="n"/>
      <c r="D112" t="n">
        <v>3000</v>
      </c>
      <c r="E112" s="22" t="n">
        <v>46092</v>
      </c>
      <c r="F112" s="22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  <c r="I112" s="26" t="n"/>
    </row>
    <row r="113">
      <c r="A113" t="inlineStr">
        <is>
          <t>CHEM-1650</t>
        </is>
      </c>
      <c r="B113" t="inlineStr">
        <is>
          <t>PO067067</t>
        </is>
      </c>
      <c r="C113" s="25" t="n"/>
      <c r="D113" t="n">
        <v>25</v>
      </c>
      <c r="E113" s="22" t="n">
        <v>46092</v>
      </c>
      <c r="F113" s="22" t="n">
        <v>46099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  <c r="I113" s="26" t="n"/>
    </row>
    <row r="114">
      <c r="A114" t="inlineStr">
        <is>
          <t>Original Towel</t>
        </is>
      </c>
      <c r="B114" t="inlineStr">
        <is>
          <t>PO067067</t>
        </is>
      </c>
      <c r="C114" s="25" t="n"/>
      <c r="D114" t="n">
        <v>10000</v>
      </c>
      <c r="E114" s="22" t="n">
        <v>46092</v>
      </c>
      <c r="F114" s="22" t="n">
        <v>46099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  <c r="I114" s="26" t="n"/>
    </row>
    <row r="115">
      <c r="A115" t="inlineStr">
        <is>
          <t>CHEM-1660</t>
        </is>
      </c>
      <c r="B115" t="inlineStr">
        <is>
          <t>PO067070</t>
        </is>
      </c>
      <c r="C115" s="25" t="n"/>
      <c r="D115" t="n">
        <v>180</v>
      </c>
      <c r="E115" s="22" t="n">
        <v>46092</v>
      </c>
      <c r="F115" s="22" t="n">
        <v>46099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  <c r="I115" s="26" t="n"/>
    </row>
    <row r="116">
      <c r="A116" t="inlineStr">
        <is>
          <t>CHEM-1280</t>
        </is>
      </c>
      <c r="B116" t="inlineStr">
        <is>
          <t>PO067070</t>
        </is>
      </c>
      <c r="C116" s="25" t="n"/>
      <c r="D116" t="n">
        <v>1000</v>
      </c>
      <c r="E116" s="22" t="n">
        <v>46092</v>
      </c>
      <c r="F116" s="22" t="n">
        <v>46099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  <c r="I116" s="26" t="n"/>
    </row>
    <row r="117">
      <c r="A117" t="inlineStr">
        <is>
          <t>4HL</t>
        </is>
      </c>
      <c r="B117" t="inlineStr"/>
      <c r="C117" s="25" t="n"/>
      <c r="D117" t="n">
        <v>960</v>
      </c>
      <c r="E117" s="22" t="n">
        <v>46112</v>
      </c>
      <c r="F117" s="22" t="n">
        <v>46119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  <c r="I117" s="26" t="n"/>
    </row>
    <row r="118">
      <c r="A118" t="inlineStr">
        <is>
          <t>4HL</t>
        </is>
      </c>
      <c r="B118" t="inlineStr"/>
      <c r="C118" s="25" t="n"/>
      <c r="D118" t="n">
        <v>9600</v>
      </c>
      <c r="E118" s="22" t="n">
        <v>46120</v>
      </c>
      <c r="F118" s="22" t="n">
        <v>46128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  <c r="I118" s="26" t="n"/>
    </row>
    <row r="119">
      <c r="A119" t="inlineStr">
        <is>
          <t>4HL</t>
        </is>
      </c>
      <c r="B119" t="inlineStr"/>
      <c r="C119" s="25" t="n"/>
      <c r="D119" t="n">
        <v>4800</v>
      </c>
      <c r="E119" s="22" t="n">
        <v>46112</v>
      </c>
      <c r="F119" s="22" t="n">
        <v>46125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  <c r="I119" s="26" t="n"/>
    </row>
    <row r="120">
      <c r="A120" t="inlineStr">
        <is>
          <t>4HL</t>
        </is>
      </c>
      <c r="B120" t="inlineStr"/>
      <c r="C120" s="25" t="n"/>
      <c r="D120" t="n">
        <v>480</v>
      </c>
      <c r="E120" s="22" t="n">
        <v>46112</v>
      </c>
      <c r="F120" s="22" t="n">
        <v>46114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  <c r="I120" s="26" t="n"/>
    </row>
    <row r="121">
      <c r="A121" t="inlineStr">
        <is>
          <t>4HL</t>
        </is>
      </c>
      <c r="B121" t="inlineStr"/>
      <c r="C121" s="25" t="n"/>
      <c r="D121" t="n">
        <v>5760</v>
      </c>
      <c r="E121" s="22" t="n">
        <v>46125</v>
      </c>
      <c r="F121" s="22" t="n">
        <v>46132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  <c r="I121" s="26" t="n"/>
    </row>
    <row r="122">
      <c r="A122" t="inlineStr">
        <is>
          <t>4HL</t>
        </is>
      </c>
      <c r="B122" t="inlineStr"/>
      <c r="C122" s="25" t="n"/>
      <c r="D122" t="n">
        <v>156</v>
      </c>
      <c r="E122" s="22" t="n">
        <v>46112</v>
      </c>
      <c r="F122" s="22" t="n">
        <v>46114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  <c r="I122" s="26" t="n"/>
    </row>
    <row r="123">
      <c r="A123" t="inlineStr">
        <is>
          <t>4HL</t>
        </is>
      </c>
      <c r="B123" t="inlineStr"/>
      <c r="C123" s="25" t="n"/>
      <c r="D123" t="n">
        <v>144</v>
      </c>
      <c r="E123" s="22" t="n">
        <v>46112</v>
      </c>
      <c r="F123" s="22" t="n">
        <v>46126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  <c r="I123" s="26" t="n"/>
    </row>
    <row r="124">
      <c r="A124" t="inlineStr">
        <is>
          <t>1EK</t>
        </is>
      </c>
      <c r="B124" t="inlineStr"/>
      <c r="C124" s="25" t="n"/>
      <c r="D124" t="n">
        <v>4800</v>
      </c>
      <c r="E124" s="22" t="n">
        <v>46098</v>
      </c>
      <c r="F124" s="22" t="n">
        <v>46105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  <c r="I124" s="26" t="n"/>
    </row>
    <row r="125">
      <c r="A125" t="inlineStr">
        <is>
          <t>1EK</t>
        </is>
      </c>
      <c r="B125" t="inlineStr"/>
      <c r="C125" s="25" t="n"/>
      <c r="D125" t="n">
        <v>10080</v>
      </c>
      <c r="E125" s="22" t="n">
        <v>46112</v>
      </c>
      <c r="F125" s="22" t="n">
        <v>46115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  <c r="I125" s="26" t="n"/>
    </row>
    <row r="126">
      <c r="A126" t="inlineStr">
        <is>
          <t>1EK</t>
        </is>
      </c>
      <c r="B126" t="inlineStr"/>
      <c r="C126" s="25" t="n"/>
      <c r="D126" t="n">
        <v>1920</v>
      </c>
      <c r="E126" s="22" t="n">
        <v>46112</v>
      </c>
      <c r="F126" s="22" t="n">
        <v>46114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  <c r="I126" s="26" t="n"/>
    </row>
    <row r="127">
      <c r="A127" t="inlineStr">
        <is>
          <t>TDJ</t>
        </is>
      </c>
      <c r="B127" t="inlineStr">
        <is>
          <t>PO067121</t>
        </is>
      </c>
      <c r="C127" s="25" t="n"/>
      <c r="D127" t="n">
        <v>784</v>
      </c>
      <c r="E127" s="22" t="n">
        <v>46136</v>
      </c>
      <c r="F127" s="22" t="n">
        <v>46147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  <c r="I127" s="26" t="n"/>
    </row>
    <row r="128">
      <c r="A128" t="inlineStr">
        <is>
          <t>TDJ</t>
        </is>
      </c>
      <c r="B128" t="inlineStr">
        <is>
          <t>PO067121</t>
        </is>
      </c>
      <c r="C128" s="25" t="n"/>
      <c r="D128" t="n">
        <v>205</v>
      </c>
      <c r="E128" s="22" t="n">
        <v>46136</v>
      </c>
      <c r="F128" s="22" t="n">
        <v>46147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  <c r="I128" s="26" t="n"/>
    </row>
    <row r="129">
      <c r="A129" t="inlineStr">
        <is>
          <t>9RN</t>
        </is>
      </c>
      <c r="B129" t="inlineStr">
        <is>
          <t>PO067086</t>
        </is>
      </c>
      <c r="C129" s="25" t="n"/>
      <c r="D129" t="n">
        <v>22792</v>
      </c>
      <c r="E129" s="22" t="n">
        <v>46112</v>
      </c>
      <c r="F129" s="22" t="n">
        <v>46125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  <c r="I129" s="26" t="n"/>
    </row>
    <row r="130">
      <c r="A130" t="inlineStr">
        <is>
          <t>9RN</t>
        </is>
      </c>
      <c r="B130" t="inlineStr">
        <is>
          <t>PO067086</t>
        </is>
      </c>
      <c r="C130" s="25" t="n"/>
      <c r="D130" t="n">
        <v>4796</v>
      </c>
      <c r="E130" s="22" t="n">
        <v>46112</v>
      </c>
      <c r="F130" s="22" t="n">
        <v>46125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  <c r="I130" s="26" t="n"/>
    </row>
    <row r="131">
      <c r="A131" t="inlineStr">
        <is>
          <t>0JN</t>
        </is>
      </c>
      <c r="B131" t="inlineStr">
        <is>
          <t>PO067071</t>
        </is>
      </c>
      <c r="C131" s="25" t="n"/>
      <c r="D131" t="n">
        <v>18835</v>
      </c>
      <c r="E131" s="22" t="n">
        <v>46103</v>
      </c>
      <c r="F131" s="22" t="n">
        <v>46112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  <c r="I131" s="26" t="n"/>
    </row>
    <row r="132">
      <c r="A132" t="inlineStr">
        <is>
          <t>0JN</t>
        </is>
      </c>
      <c r="B132" t="inlineStr">
        <is>
          <t>PO067071</t>
        </is>
      </c>
      <c r="C132" s="25" t="n"/>
      <c r="D132" t="n">
        <v>9289</v>
      </c>
      <c r="E132" s="22" t="n">
        <v>46116</v>
      </c>
      <c r="F132" s="22" t="n">
        <v>46120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  <c r="I132" s="26" t="n"/>
    </row>
    <row r="133">
      <c r="A133" t="inlineStr">
        <is>
          <t>0JN</t>
        </is>
      </c>
      <c r="B133" t="inlineStr">
        <is>
          <t>PO067071</t>
        </is>
      </c>
      <c r="C133" s="25" t="n"/>
      <c r="D133" t="n">
        <v>11522</v>
      </c>
      <c r="E133" s="22" t="n">
        <v>46138</v>
      </c>
      <c r="F133" s="22" t="n">
        <v>46147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  <c r="I133" s="26" t="n"/>
    </row>
    <row r="134">
      <c r="A134" t="inlineStr">
        <is>
          <t>CHEM-1250</t>
        </is>
      </c>
      <c r="B134" t="inlineStr">
        <is>
          <t>PO067281</t>
        </is>
      </c>
      <c r="C134" s="25" t="n"/>
      <c r="D134" t="n">
        <v>150</v>
      </c>
      <c r="E134" s="22" t="n">
        <v>46117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  <c r="I134" s="26" t="n"/>
    </row>
    <row r="135">
      <c r="A135" t="inlineStr">
        <is>
          <t>CHEM-1400</t>
        </is>
      </c>
      <c r="B135" t="inlineStr">
        <is>
          <t>PO067281</t>
        </is>
      </c>
      <c r="C135" s="25" t="n"/>
      <c r="D135" t="n">
        <v>300</v>
      </c>
      <c r="E135" s="22" t="n">
        <v>46117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  <c r="I135" s="26" t="n"/>
    </row>
    <row r="136">
      <c r="A136" t="inlineStr">
        <is>
          <t>CHEM-1420</t>
        </is>
      </c>
      <c r="B136" t="inlineStr">
        <is>
          <t>PO067281</t>
        </is>
      </c>
      <c r="C136" s="25" t="n"/>
      <c r="D136" t="n">
        <v>240</v>
      </c>
      <c r="E136" s="22" t="n">
        <v>46117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  <c r="I136" s="26" t="n"/>
    </row>
    <row r="137">
      <c r="A137" t="inlineStr">
        <is>
          <t>CHEM-1440</t>
        </is>
      </c>
      <c r="B137" t="inlineStr">
        <is>
          <t>PO067281</t>
        </is>
      </c>
      <c r="C137" s="25" t="n"/>
      <c r="D137" t="n">
        <v>200</v>
      </c>
      <c r="E137" s="22" t="n">
        <v>46117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  <c r="I137" s="26" t="n"/>
    </row>
    <row r="138">
      <c r="A138" t="inlineStr">
        <is>
          <t>CHEM-1540</t>
        </is>
      </c>
      <c r="B138" t="inlineStr">
        <is>
          <t>PO067281</t>
        </is>
      </c>
      <c r="C138" s="25" t="n"/>
      <c r="D138" t="n">
        <v>2000</v>
      </c>
      <c r="E138" s="22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  <c r="I138" s="26" t="n"/>
    </row>
    <row r="139">
      <c r="A139" t="inlineStr">
        <is>
          <t>CHEM-1530</t>
        </is>
      </c>
      <c r="B139" t="inlineStr">
        <is>
          <t>PO067281</t>
        </is>
      </c>
      <c r="C139" s="25" t="n"/>
      <c r="D139" t="n">
        <v>2800</v>
      </c>
      <c r="E139" s="22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  <c r="I139" s="26" t="n"/>
    </row>
    <row r="140">
      <c r="A140" t="inlineStr">
        <is>
          <t>CHEM-1600</t>
        </is>
      </c>
      <c r="B140" t="inlineStr">
        <is>
          <t>PO067281</t>
        </is>
      </c>
      <c r="C140" s="25" t="n"/>
      <c r="D140" t="n">
        <v>250</v>
      </c>
      <c r="E140" s="22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  <c r="I140" s="26" t="n"/>
    </row>
    <row r="141">
      <c r="A141" t="inlineStr">
        <is>
          <t>CHEM-1570</t>
        </is>
      </c>
      <c r="B141" t="inlineStr">
        <is>
          <t>PO067281</t>
        </is>
      </c>
      <c r="C141" s="25" t="n"/>
      <c r="D141" t="n">
        <v>36</v>
      </c>
      <c r="E141" s="22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  <c r="I141" s="26" t="n"/>
    </row>
    <row r="142">
      <c r="A142" t="inlineStr">
        <is>
          <t>CHEM-1670</t>
        </is>
      </c>
      <c r="B142" t="inlineStr">
        <is>
          <t>PO067281</t>
        </is>
      </c>
      <c r="C142" s="25" t="n"/>
      <c r="D142" t="n">
        <v>180</v>
      </c>
      <c r="E142" s="22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  <c r="I142" s="26" t="n"/>
    </row>
    <row r="143">
      <c r="A143" t="inlineStr">
        <is>
          <t>CHEM-1690</t>
        </is>
      </c>
      <c r="B143" t="inlineStr">
        <is>
          <t>PO067281</t>
        </is>
      </c>
      <c r="C143" s="25" t="n"/>
      <c r="D143" t="n">
        <v>135</v>
      </c>
      <c r="E143" s="22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  <c r="I143" s="26" t="n"/>
    </row>
    <row r="144">
      <c r="A144" t="inlineStr">
        <is>
          <t>CHEM-1700</t>
        </is>
      </c>
      <c r="B144" t="inlineStr">
        <is>
          <t>PO067281</t>
        </is>
      </c>
      <c r="C144" s="25" t="n"/>
      <c r="D144" t="n">
        <v>60</v>
      </c>
      <c r="E144" s="22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  <c r="I144" s="26" t="n"/>
    </row>
    <row r="145">
      <c r="A145" t="inlineStr">
        <is>
          <t>CHEM-1720</t>
        </is>
      </c>
      <c r="B145" t="inlineStr">
        <is>
          <t>PO067281</t>
        </is>
      </c>
      <c r="C145" s="25" t="n"/>
      <c r="D145" t="n">
        <v>720</v>
      </c>
      <c r="E145" s="22" t="n">
        <v>46117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  <c r="I145" s="26" t="n"/>
    </row>
    <row r="146">
      <c r="A146" t="inlineStr">
        <is>
          <t>CHEM-1760</t>
        </is>
      </c>
      <c r="B146" t="inlineStr">
        <is>
          <t>PO067281</t>
        </is>
      </c>
      <c r="C146" s="25" t="n"/>
      <c r="D146" t="n">
        <v>17</v>
      </c>
      <c r="E146" s="22" t="n">
        <v>46117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  <c r="I146" s="26" t="n"/>
    </row>
    <row r="147">
      <c r="A147" t="inlineStr">
        <is>
          <t>CHEM-1200</t>
        </is>
      </c>
      <c r="B147" t="inlineStr">
        <is>
          <t>PO067281</t>
        </is>
      </c>
      <c r="C147" s="25" t="n"/>
      <c r="D147" t="n">
        <v>25</v>
      </c>
      <c r="E147" s="22" t="n">
        <v>46117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  <c r="I147" s="26" t="n"/>
    </row>
    <row r="148">
      <c r="A148" t="inlineStr">
        <is>
          <t>CHEM-1680</t>
        </is>
      </c>
      <c r="B148" t="inlineStr">
        <is>
          <t>PO067281</t>
        </is>
      </c>
      <c r="C148" s="25" t="n"/>
      <c r="D148" t="n">
        <v>200</v>
      </c>
      <c r="E148" s="22" t="n">
        <v>46117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  <c r="I148" s="26" t="n"/>
    </row>
    <row r="149">
      <c r="A149" t="inlineStr">
        <is>
          <t>CHEM-1660</t>
        </is>
      </c>
      <c r="B149" t="inlineStr">
        <is>
          <t>PO067274</t>
        </is>
      </c>
      <c r="C149" s="25" t="n"/>
      <c r="D149" t="n">
        <v>180</v>
      </c>
      <c r="E149" s="22" t="n">
        <v>46117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  <c r="I149" s="26" t="n"/>
    </row>
    <row r="150">
      <c r="A150" t="inlineStr">
        <is>
          <t>4HL</t>
        </is>
      </c>
      <c r="B150" t="inlineStr"/>
      <c r="C150" s="25" t="n"/>
      <c r="D150" t="n">
        <v>19200</v>
      </c>
      <c r="E150" s="22" t="n">
        <v>46131</v>
      </c>
      <c r="F150" s="22" t="n">
        <v>46135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  <c r="I150" s="26" t="n"/>
    </row>
    <row r="151">
      <c r="A151" t="inlineStr">
        <is>
          <t>4HL</t>
        </is>
      </c>
      <c r="B151" t="inlineStr"/>
      <c r="C151" s="25" t="n"/>
      <c r="D151" t="n">
        <v>19200</v>
      </c>
      <c r="E151" s="22" t="n">
        <v>46136</v>
      </c>
      <c r="F151" s="22" t="n">
        <v>46136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  <c r="I151" s="26" t="n"/>
    </row>
    <row r="152">
      <c r="A152" t="inlineStr">
        <is>
          <t>4HL</t>
        </is>
      </c>
      <c r="B152" t="inlineStr"/>
      <c r="C152" s="25" t="n"/>
      <c r="D152" t="n">
        <v>15840</v>
      </c>
      <c r="E152" s="22" t="n">
        <v>46155</v>
      </c>
      <c r="F152" s="22" t="n">
        <v>46161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  <c r="I152" s="26" t="n"/>
    </row>
    <row r="153">
      <c r="A153" t="inlineStr">
        <is>
          <t>4HL</t>
        </is>
      </c>
      <c r="B153" t="inlineStr"/>
      <c r="C153" s="25" t="n"/>
      <c r="D153" t="n">
        <v>5760</v>
      </c>
      <c r="E153" s="22" t="n">
        <v>46159</v>
      </c>
      <c r="F153" s="22" t="n">
        <v>46167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  <c r="I153" s="26" t="n"/>
    </row>
    <row r="154">
      <c r="A154" t="inlineStr">
        <is>
          <t>4HL</t>
        </is>
      </c>
      <c r="B154" t="inlineStr"/>
      <c r="C154" s="25" t="n"/>
      <c r="D154" t="n">
        <v>246</v>
      </c>
      <c r="E154" s="22" t="n">
        <v>46155</v>
      </c>
      <c r="F154" s="22" t="n">
        <v>46161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  <c r="I154" s="26" t="n"/>
    </row>
    <row r="155">
      <c r="A155" t="inlineStr">
        <is>
          <t>1EK</t>
        </is>
      </c>
      <c r="B155" t="inlineStr"/>
      <c r="C155" s="25" t="n"/>
      <c r="D155" t="n">
        <v>8640</v>
      </c>
      <c r="E155" s="22" t="n">
        <v>46146</v>
      </c>
      <c r="F155" s="22" t="n">
        <v>46150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  <c r="I155" s="26" t="n"/>
    </row>
    <row r="156">
      <c r="A156" t="inlineStr">
        <is>
          <t>1EK</t>
        </is>
      </c>
      <c r="B156" t="inlineStr"/>
      <c r="C156" s="25" t="n"/>
      <c r="D156" t="n">
        <v>9120</v>
      </c>
      <c r="E156" s="22" t="n">
        <v>46155</v>
      </c>
      <c r="F156" s="22" t="n">
        <v>46161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  <c r="I156" s="26" t="n"/>
    </row>
    <row r="157">
      <c r="A157" t="inlineStr">
        <is>
          <t>1EK</t>
        </is>
      </c>
      <c r="B157" t="inlineStr"/>
      <c r="C157" s="25" t="n"/>
      <c r="D157" t="n">
        <v>9600</v>
      </c>
      <c r="E157" s="22" t="n">
        <v>46151</v>
      </c>
      <c r="F157" s="22" t="n">
        <v>46161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  <c r="I157" s="26" t="n"/>
    </row>
    <row r="158">
      <c r="A158" t="inlineStr">
        <is>
          <t>1EK</t>
        </is>
      </c>
      <c r="B158" t="inlineStr"/>
      <c r="C158" s="25" t="n"/>
      <c r="D158" t="n">
        <v>2880</v>
      </c>
      <c r="E158" s="22" t="n">
        <v>46155</v>
      </c>
      <c r="F158" s="22" t="n">
        <v>46161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  <c r="I158" s="26" t="n"/>
    </row>
    <row r="159">
      <c r="A159" t="inlineStr">
        <is>
          <t>1EK</t>
        </is>
      </c>
      <c r="B159" t="inlineStr"/>
      <c r="C159" s="25" t="n"/>
      <c r="D159" t="n">
        <v>392</v>
      </c>
      <c r="E159" s="22" t="n">
        <v>46155</v>
      </c>
      <c r="F159" s="22" t="n">
        <v>46161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  <c r="I159" s="26" t="n"/>
    </row>
    <row r="160">
      <c r="A160" t="inlineStr">
        <is>
          <t>1EK</t>
        </is>
      </c>
      <c r="B160" t="inlineStr"/>
      <c r="C160" s="25" t="n"/>
      <c r="D160" t="n">
        <v>745</v>
      </c>
      <c r="E160" s="22" t="n">
        <v>46146</v>
      </c>
      <c r="F160" s="22" t="n">
        <v>46153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  <c r="I160" s="26" t="n"/>
    </row>
    <row r="161">
      <c r="A161" t="inlineStr">
        <is>
          <t>9RN</t>
        </is>
      </c>
      <c r="B161" t="inlineStr">
        <is>
          <t>PO067280</t>
        </is>
      </c>
      <c r="C161" s="25" t="n"/>
      <c r="D161" t="n">
        <v>22869</v>
      </c>
      <c r="E161" s="22" t="n">
        <v>46131</v>
      </c>
      <c r="F161" s="22" t="n">
        <v>46136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  <c r="I161" s="26" t="n"/>
    </row>
    <row r="162">
      <c r="A162" t="inlineStr">
        <is>
          <t>9RN</t>
        </is>
      </c>
      <c r="B162" t="inlineStr">
        <is>
          <t>PO067280</t>
        </is>
      </c>
      <c r="C162" s="25" t="n"/>
      <c r="D162" t="n">
        <v>18216</v>
      </c>
      <c r="E162" s="22" t="n">
        <v>46131</v>
      </c>
      <c r="F162" s="22" t="n">
        <v>46136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  <c r="I162" s="26" t="n"/>
    </row>
    <row r="163">
      <c r="A163" t="inlineStr">
        <is>
          <t>9RN</t>
        </is>
      </c>
      <c r="B163" t="inlineStr">
        <is>
          <t>PO067280</t>
        </is>
      </c>
      <c r="C163" s="25" t="n"/>
      <c r="D163" t="n">
        <v>19140</v>
      </c>
      <c r="E163" s="22" t="n">
        <v>46164</v>
      </c>
      <c r="F163" s="22" t="n">
        <v>46170</v>
      </c>
      <c r="G163" t="inlineStr">
        <is>
          <t>TTAF Stock</t>
        </is>
      </c>
      <c r="H163">
        <f>IFERROR(MAX(1,MIN(104,INT((IF(F163="",E163,F163)-(DATE(Cal_Weeks!$B$1,1,1)-WEEKDAY(DATE(Cal_Weeks!$B$1,1,1),3)))/7)+1)),"")</f>
        <v/>
      </c>
      <c r="I163" s="26" t="n"/>
    </row>
    <row r="164">
      <c r="A164" t="inlineStr">
        <is>
          <t>9RN</t>
        </is>
      </c>
      <c r="B164" t="inlineStr">
        <is>
          <t>PO067280</t>
        </is>
      </c>
      <c r="C164" s="25" t="n"/>
      <c r="D164" t="n">
        <v>14795</v>
      </c>
      <c r="E164" s="22" t="n">
        <v>46164</v>
      </c>
      <c r="F164" s="22" t="n">
        <v>46169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  <c r="I164" s="26" t="n"/>
    </row>
    <row r="165">
      <c r="A165" t="inlineStr">
        <is>
          <t>0JN</t>
        </is>
      </c>
      <c r="B165" t="inlineStr">
        <is>
          <t>PO067278</t>
        </is>
      </c>
      <c r="C165" s="25" t="n"/>
      <c r="D165" t="n">
        <v>7117</v>
      </c>
      <c r="E165" s="22" t="n">
        <v>46138</v>
      </c>
      <c r="F165" s="22" t="n">
        <v>46147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  <c r="I165" s="26" t="n"/>
    </row>
    <row r="166">
      <c r="A166" t="inlineStr">
        <is>
          <t>0JN</t>
        </is>
      </c>
      <c r="B166" t="inlineStr">
        <is>
          <t>PO067278</t>
        </is>
      </c>
      <c r="C166" s="25" t="n"/>
      <c r="D166" t="n">
        <v>12672</v>
      </c>
      <c r="E166" s="22" t="n">
        <v>46138</v>
      </c>
      <c r="F166" s="22" t="n">
        <v>46147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  <c r="I166" s="26" t="n"/>
    </row>
    <row r="167">
      <c r="A167" t="inlineStr">
        <is>
          <t>0JN</t>
        </is>
      </c>
      <c r="B167" t="inlineStr">
        <is>
          <t>PO067278</t>
        </is>
      </c>
      <c r="C167" s="25" t="n"/>
      <c r="D167" t="n">
        <v>18825</v>
      </c>
      <c r="E167" s="22" t="n">
        <v>46165</v>
      </c>
      <c r="F167" s="22" t="n">
        <v>46170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  <c r="I167" s="26" t="n"/>
    </row>
    <row r="168">
      <c r="A168" t="inlineStr">
        <is>
          <t>0JN</t>
        </is>
      </c>
      <c r="B168" t="inlineStr">
        <is>
          <t>PO067278</t>
        </is>
      </c>
      <c r="C168" s="25" t="n"/>
      <c r="D168" t="n">
        <v>1188</v>
      </c>
      <c r="E168" s="22" t="n">
        <v>46172</v>
      </c>
      <c r="G168" t="inlineStr">
        <is>
          <t>In-transit</t>
        </is>
      </c>
      <c r="H168">
        <f>IFERROR(MAX(1,MIN(104,INT((IF(F168="",E168,F168)-(DATE(Cal_Weeks!$B$1,1,1)-WEEKDAY(DATE(Cal_Weeks!$B$1,1,1),3)))/7)+1)),"")</f>
        <v/>
      </c>
      <c r="I168" s="26" t="n"/>
    </row>
    <row r="169">
      <c r="A169" t="inlineStr">
        <is>
          <t>CHEM-1240</t>
        </is>
      </c>
      <c r="B169" t="inlineStr">
        <is>
          <t>PO067529</t>
        </is>
      </c>
      <c r="C169" s="25" t="n"/>
      <c r="D169" t="n">
        <v>660</v>
      </c>
      <c r="E169" s="22" t="n">
        <v>46156</v>
      </c>
      <c r="F169" s="22" t="n">
        <v>46164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  <c r="I169" s="26" t="n"/>
    </row>
    <row r="170">
      <c r="A170" t="inlineStr">
        <is>
          <t>CHEM-1250</t>
        </is>
      </c>
      <c r="B170" t="inlineStr">
        <is>
          <t>PO067529</t>
        </is>
      </c>
      <c r="C170" s="25" t="n"/>
      <c r="D170" t="n">
        <v>150</v>
      </c>
      <c r="E170" s="22" t="n">
        <v>46156</v>
      </c>
      <c r="F170" s="22" t="n">
        <v>46164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  <c r="I170" s="26" t="n"/>
    </row>
    <row r="171">
      <c r="A171" t="inlineStr">
        <is>
          <t>CHEM-1400</t>
        </is>
      </c>
      <c r="B171" t="inlineStr">
        <is>
          <t>PO067529</t>
        </is>
      </c>
      <c r="C171" s="25" t="n"/>
      <c r="D171" t="n">
        <v>350</v>
      </c>
      <c r="E171" s="22" t="n">
        <v>46156</v>
      </c>
      <c r="F171" s="22" t="n">
        <v>46164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  <c r="I171" s="26" t="n"/>
    </row>
    <row r="172">
      <c r="A172" t="inlineStr">
        <is>
          <t>CHEM-1420</t>
        </is>
      </c>
      <c r="B172" t="inlineStr">
        <is>
          <t>PO067529</t>
        </is>
      </c>
      <c r="C172" s="25" t="n"/>
      <c r="D172" t="n">
        <v>320</v>
      </c>
      <c r="E172" s="22" t="n">
        <v>46156</v>
      </c>
      <c r="F172" s="22" t="n">
        <v>46164</v>
      </c>
      <c r="G172" t="inlineStr">
        <is>
          <t>TTAF Stock</t>
        </is>
      </c>
      <c r="H172">
        <f>IFERROR(MAX(1,MIN(104,INT((IF(F172="",E172,F172)-(DATE(Cal_Weeks!$B$1,1,1)-WEEKDAY(DATE(Cal_Weeks!$B$1,1,1),3)))/7)+1)),"")</f>
        <v/>
      </c>
      <c r="I172" s="26" t="n"/>
    </row>
    <row r="173">
      <c r="A173" t="inlineStr">
        <is>
          <t>CHEM-1440</t>
        </is>
      </c>
      <c r="B173" t="inlineStr">
        <is>
          <t>PO067529</t>
        </is>
      </c>
      <c r="C173" s="25" t="n"/>
      <c r="D173" t="n">
        <v>200</v>
      </c>
      <c r="E173" s="22" t="n">
        <v>46156</v>
      </c>
      <c r="F173" s="22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  <c r="I173" s="26" t="n"/>
    </row>
    <row r="174">
      <c r="A174" t="inlineStr">
        <is>
          <t>CHEM-1540</t>
        </is>
      </c>
      <c r="B174" t="inlineStr">
        <is>
          <t>PO067529</t>
        </is>
      </c>
      <c r="C174" s="25" t="n"/>
      <c r="D174" t="n">
        <v>2500</v>
      </c>
      <c r="E174" s="22" t="n">
        <v>46156</v>
      </c>
      <c r="F174" s="22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  <c r="I174" s="26" t="n"/>
    </row>
    <row r="175">
      <c r="A175" t="inlineStr">
        <is>
          <t>CHEM-1530</t>
        </is>
      </c>
      <c r="B175" t="inlineStr">
        <is>
          <t>PO067529</t>
        </is>
      </c>
      <c r="C175" s="25" t="n"/>
      <c r="D175" t="n">
        <v>3500</v>
      </c>
      <c r="E175" s="22" t="n">
        <v>46156</v>
      </c>
      <c r="F175" s="22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  <c r="I175" s="26" t="n"/>
    </row>
    <row r="176">
      <c r="A176" t="inlineStr">
        <is>
          <t>CHEM-1600</t>
        </is>
      </c>
      <c r="B176" t="inlineStr">
        <is>
          <t>PO067529</t>
        </is>
      </c>
      <c r="C176" s="25" t="n"/>
      <c r="D176" t="n">
        <v>350</v>
      </c>
      <c r="E176" s="22" t="n">
        <v>46156</v>
      </c>
      <c r="F176" s="22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  <c r="I176" s="26" t="n"/>
    </row>
    <row r="177">
      <c r="A177" t="inlineStr">
        <is>
          <t>CHEM-1570</t>
        </is>
      </c>
      <c r="B177" t="inlineStr">
        <is>
          <t>PO067529</t>
        </is>
      </c>
      <c r="C177" s="25" t="n"/>
      <c r="D177" t="n">
        <v>36</v>
      </c>
      <c r="E177" s="22" t="n">
        <v>46156</v>
      </c>
      <c r="F177" s="22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  <c r="I177" s="26" t="n"/>
    </row>
    <row r="178">
      <c r="A178" t="inlineStr">
        <is>
          <t>CHEM-1670</t>
        </is>
      </c>
      <c r="B178" t="inlineStr">
        <is>
          <t>PO067529</t>
        </is>
      </c>
      <c r="C178" s="25" t="n"/>
      <c r="D178" t="n">
        <v>180</v>
      </c>
      <c r="E178" s="22" t="n">
        <v>46156</v>
      </c>
      <c r="F178" s="22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  <c r="I178" s="26" t="n"/>
    </row>
    <row r="179">
      <c r="A179" t="inlineStr">
        <is>
          <t>CHEM-1690</t>
        </is>
      </c>
      <c r="B179" t="inlineStr">
        <is>
          <t>PO067529</t>
        </is>
      </c>
      <c r="C179" s="25" t="n"/>
      <c r="D179" t="n">
        <v>135</v>
      </c>
      <c r="E179" s="22" t="n">
        <v>46156</v>
      </c>
      <c r="F179" s="22" t="n">
        <v>46164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  <c r="I179" s="26" t="n"/>
    </row>
    <row r="180">
      <c r="A180" t="inlineStr">
        <is>
          <t>CHEM-1700</t>
        </is>
      </c>
      <c r="B180" t="inlineStr">
        <is>
          <t>PO067529</t>
        </is>
      </c>
      <c r="C180" s="25" t="n"/>
      <c r="D180" t="n">
        <v>60</v>
      </c>
      <c r="E180" s="22" t="n">
        <v>46156</v>
      </c>
      <c r="F180" s="22" t="n">
        <v>46164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  <c r="I180" s="26" t="n"/>
    </row>
    <row r="181">
      <c r="A181" t="inlineStr">
        <is>
          <t>CHEM-1720</t>
        </is>
      </c>
      <c r="B181" t="inlineStr">
        <is>
          <t>PO067529</t>
        </is>
      </c>
      <c r="C181" s="25" t="n"/>
      <c r="D181" t="n">
        <v>1080</v>
      </c>
      <c r="E181" s="22" t="n">
        <v>46156</v>
      </c>
      <c r="F181" s="22" t="n">
        <v>46164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  <c r="I181" s="26" t="n"/>
    </row>
    <row r="182">
      <c r="A182" t="inlineStr">
        <is>
          <t>CHEM-1680</t>
        </is>
      </c>
      <c r="B182" t="inlineStr">
        <is>
          <t>PO067529</t>
        </is>
      </c>
      <c r="C182" s="25" t="n"/>
      <c r="D182" t="n">
        <v>200</v>
      </c>
      <c r="E182" s="22" t="n">
        <v>46156</v>
      </c>
      <c r="F182" s="22" t="n">
        <v>46164</v>
      </c>
      <c r="G182" t="inlineStr">
        <is>
          <t>TTAF Stock</t>
        </is>
      </c>
      <c r="H182">
        <f>IFERROR(MAX(1,MIN(104,INT((IF(F182="",E182,F182)-(DATE(Cal_Weeks!$B$1,1,1)-WEEKDAY(DATE(Cal_Weeks!$B$1,1,1),3)))/7)+1)),"")</f>
        <v/>
      </c>
      <c r="I182" s="26" t="n"/>
    </row>
    <row r="183">
      <c r="A183" t="inlineStr">
        <is>
          <t>CHEM-1730</t>
        </is>
      </c>
      <c r="B183" t="inlineStr">
        <is>
          <t>PO067529</t>
        </is>
      </c>
      <c r="C183" s="25" t="n"/>
      <c r="D183" t="n">
        <v>200</v>
      </c>
      <c r="E183" s="22" t="n">
        <v>46156</v>
      </c>
      <c r="F183" s="22" t="n">
        <v>46164</v>
      </c>
      <c r="G183" t="inlineStr">
        <is>
          <t>TTAF Stock</t>
        </is>
      </c>
      <c r="H183">
        <f>IFERROR(MAX(1,MIN(104,INT((IF(F183="",E183,F183)-(DATE(Cal_Weeks!$B$1,1,1)-WEEKDAY(DATE(Cal_Weeks!$B$1,1,1),3)))/7)+1)),"")</f>
        <v/>
      </c>
      <c r="I183" s="26" t="n"/>
    </row>
    <row r="184">
      <c r="A184" t="inlineStr">
        <is>
          <t>CHEM-1660</t>
        </is>
      </c>
      <c r="B184" t="inlineStr">
        <is>
          <t>PO067514</t>
        </is>
      </c>
      <c r="C184" s="25" t="n"/>
      <c r="D184" t="n">
        <v>120</v>
      </c>
      <c r="E184" s="22" t="n">
        <v>46155</v>
      </c>
      <c r="F184" s="22" t="n">
        <v>46163</v>
      </c>
      <c r="G184" t="inlineStr">
        <is>
          <t>TTAF Stock</t>
        </is>
      </c>
      <c r="H184">
        <f>IFERROR(MAX(1,MIN(104,INT((IF(F184="",E184,F184)-(DATE(Cal_Weeks!$B$1,1,1)-WEEKDAY(DATE(Cal_Weeks!$B$1,1,1),3)))/7)+1)),"")</f>
        <v/>
      </c>
      <c r="I184" s="26" t="n"/>
    </row>
    <row r="185">
      <c r="A185" t="inlineStr">
        <is>
          <t>CHEM-1280</t>
        </is>
      </c>
      <c r="B185" t="inlineStr">
        <is>
          <t>PO067514</t>
        </is>
      </c>
      <c r="C185" s="25" t="n"/>
      <c r="D185" t="n">
        <v>1000</v>
      </c>
      <c r="E185" s="22" t="n">
        <v>46155</v>
      </c>
      <c r="F185" s="22" t="n">
        <v>46163</v>
      </c>
      <c r="G185" t="inlineStr">
        <is>
          <t>TTAF Stock</t>
        </is>
      </c>
      <c r="H185">
        <f>IFERROR(MAX(1,MIN(104,INT((IF(F185="",E185,F185)-(DATE(Cal_Weeks!$B$1,1,1)-WEEKDAY(DATE(Cal_Weeks!$B$1,1,1),3)))/7)+1)),"")</f>
        <v/>
      </c>
      <c r="I185" s="26" t="n"/>
    </row>
    <row r="186">
      <c r="A186" t="inlineStr">
        <is>
          <t>4HL</t>
        </is>
      </c>
      <c r="B186" t="inlineStr"/>
      <c r="C186" s="25" t="n"/>
      <c r="D186" t="n">
        <v>6720</v>
      </c>
      <c r="E186" s="22" t="n">
        <v>46164</v>
      </c>
      <c r="F186" s="22" t="n">
        <v>46169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  <c r="I186" s="26" t="n"/>
    </row>
    <row r="187">
      <c r="A187" t="inlineStr">
        <is>
          <t>4HL</t>
        </is>
      </c>
      <c r="B187" t="inlineStr"/>
      <c r="C187" s="25" t="n"/>
      <c r="D187" t="n">
        <v>14400</v>
      </c>
      <c r="E187" s="22" t="n">
        <v>46170</v>
      </c>
      <c r="G187" t="inlineStr">
        <is>
          <t>In-transit</t>
        </is>
      </c>
      <c r="H187">
        <f>IFERROR(MAX(1,MIN(104,INT((IF(F187="",E187,F187)-(DATE(Cal_Weeks!$B$1,1,1)-WEEKDAY(DATE(Cal_Weeks!$B$1,1,1),3)))/7)+1)),"")</f>
        <v/>
      </c>
      <c r="I187" s="26" t="n"/>
    </row>
    <row r="188">
      <c r="A188" t="inlineStr">
        <is>
          <t>4HL</t>
        </is>
      </c>
      <c r="B188" t="inlineStr"/>
      <c r="C188" s="25" t="n"/>
      <c r="D188" t="n">
        <v>9600</v>
      </c>
      <c r="E188" s="22" t="n">
        <v>46175</v>
      </c>
      <c r="G188" t="inlineStr">
        <is>
          <t>In-transit</t>
        </is>
      </c>
      <c r="H188">
        <f>IFERROR(MAX(1,MIN(104,INT((IF(F188="",E188,F188)-(DATE(Cal_Weeks!$B$1,1,1)-WEEKDAY(DATE(Cal_Weeks!$B$1,1,1),3)))/7)+1)),"")</f>
        <v/>
      </c>
      <c r="I188" s="26" t="n"/>
    </row>
    <row r="189">
      <c r="A189" t="inlineStr">
        <is>
          <t>4HL</t>
        </is>
      </c>
      <c r="B189" t="inlineStr"/>
      <c r="C189" s="25" t="n"/>
      <c r="D189" t="n">
        <v>13440</v>
      </c>
      <c r="E189" s="22" t="n">
        <v>46181</v>
      </c>
      <c r="G189" t="inlineStr">
        <is>
          <t>In-transit</t>
        </is>
      </c>
      <c r="H189">
        <f>IFERROR(MAX(1,MIN(104,INT((IF(F189="",E189,F189)-(DATE(Cal_Weeks!$B$1,1,1)-WEEKDAY(DATE(Cal_Weeks!$B$1,1,1),3)))/7)+1)),"")</f>
        <v/>
      </c>
      <c r="I189" s="26" t="n"/>
    </row>
    <row r="190">
      <c r="A190" t="inlineStr">
        <is>
          <t>4HL</t>
        </is>
      </c>
      <c r="B190" t="inlineStr"/>
      <c r="C190" s="25" t="n"/>
      <c r="D190" t="n">
        <v>11040</v>
      </c>
      <c r="E190" s="22" t="n">
        <v>46181</v>
      </c>
      <c r="G190" t="inlineStr">
        <is>
          <t>In-transit</t>
        </is>
      </c>
      <c r="H190">
        <f>IFERROR(MAX(1,MIN(104,INT((IF(F190="",E190,F190)-(DATE(Cal_Weeks!$B$1,1,1)-WEEKDAY(DATE(Cal_Weeks!$B$1,1,1),3)))/7)+1)),"")</f>
        <v/>
      </c>
      <c r="I190" s="26" t="n"/>
    </row>
    <row r="191">
      <c r="A191" t="inlineStr">
        <is>
          <t>4HL</t>
        </is>
      </c>
      <c r="B191" t="inlineStr"/>
      <c r="C191" s="25" t="n"/>
      <c r="D191" t="n">
        <v>346</v>
      </c>
      <c r="E191" s="22" t="n">
        <v>46164</v>
      </c>
      <c r="F191" s="22" t="n">
        <v>46169</v>
      </c>
      <c r="G191" t="inlineStr">
        <is>
          <t>TTAF Stock</t>
        </is>
      </c>
      <c r="H191">
        <f>IFERROR(MAX(1,MIN(104,INT((IF(F191="",E191,F191)-(DATE(Cal_Weeks!$B$1,1,1)-WEEKDAY(DATE(Cal_Weeks!$B$1,1,1),3)))/7)+1)),"")</f>
        <v/>
      </c>
      <c r="I191" s="26" t="n"/>
    </row>
    <row r="192">
      <c r="A192" t="inlineStr">
        <is>
          <t>1EK</t>
        </is>
      </c>
      <c r="B192" t="inlineStr"/>
      <c r="C192" s="25" t="n"/>
      <c r="D192" t="n">
        <v>4800</v>
      </c>
      <c r="E192" s="22" t="n">
        <v>46164</v>
      </c>
      <c r="F192" s="22" t="n">
        <v>46169</v>
      </c>
      <c r="G192" t="inlineStr">
        <is>
          <t>TTAF Stock</t>
        </is>
      </c>
      <c r="H192">
        <f>IFERROR(MAX(1,MIN(104,INT((IF(F192="",E192,F192)-(DATE(Cal_Weeks!$B$1,1,1)-WEEKDAY(DATE(Cal_Weeks!$B$1,1,1),3)))/7)+1)),"")</f>
        <v/>
      </c>
      <c r="I192" s="26" t="n"/>
    </row>
    <row r="193">
      <c r="A193" t="inlineStr">
        <is>
          <t>1EK</t>
        </is>
      </c>
      <c r="B193" t="inlineStr"/>
      <c r="C193" s="25" t="n"/>
      <c r="D193" t="n">
        <v>434</v>
      </c>
      <c r="E193" s="22" t="n">
        <v>46164</v>
      </c>
      <c r="F193" s="22" t="n">
        <v>46169</v>
      </c>
      <c r="G193" t="inlineStr">
        <is>
          <t>TTAF Stock</t>
        </is>
      </c>
      <c r="H193">
        <f>IFERROR(MAX(1,MIN(104,INT((IF(F193="",E193,F193)-(DATE(Cal_Weeks!$B$1,1,1)-WEEKDAY(DATE(Cal_Weeks!$B$1,1,1),3)))/7)+1)),"")</f>
        <v/>
      </c>
      <c r="I193" s="26" t="n"/>
    </row>
    <row r="194">
      <c r="A194" t="inlineStr">
        <is>
          <t>9RN</t>
        </is>
      </c>
      <c r="B194" t="inlineStr">
        <is>
          <t>PO067508</t>
        </is>
      </c>
      <c r="C194" s="25" t="n"/>
      <c r="D194" t="n">
        <v>15554</v>
      </c>
      <c r="E194" s="22" t="n">
        <v>46175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  <c r="I194" s="26" t="n"/>
    </row>
    <row r="195">
      <c r="A195" t="inlineStr">
        <is>
          <t>9RN</t>
        </is>
      </c>
      <c r="B195" t="inlineStr">
        <is>
          <t>PO067508</t>
        </is>
      </c>
      <c r="C195" s="25" t="n"/>
      <c r="D195" t="n">
        <v>20746</v>
      </c>
      <c r="E195" s="22" t="n">
        <v>46188</v>
      </c>
      <c r="G195" t="inlineStr">
        <is>
          <t>In-transit</t>
        </is>
      </c>
      <c r="H195">
        <f>IFERROR(MAX(1,MIN(104,INT((IF(F195="",E195,F195)-(DATE(Cal_Weeks!$B$1,1,1)-WEEKDAY(DATE(Cal_Weeks!$B$1,1,1),3)))/7)+1)),"")</f>
        <v/>
      </c>
      <c r="I195" s="26" t="n"/>
    </row>
    <row r="196">
      <c r="A196" t="inlineStr">
        <is>
          <t>0JN</t>
        </is>
      </c>
      <c r="B196" t="inlineStr">
        <is>
          <t>PO067515</t>
        </is>
      </c>
      <c r="C196" s="25" t="n"/>
      <c r="D196" t="n">
        <v>7919</v>
      </c>
      <c r="E196" s="22" t="n">
        <v>46172</v>
      </c>
      <c r="G196" t="inlineStr">
        <is>
          <t>In-transit</t>
        </is>
      </c>
      <c r="H196">
        <f>IFERROR(MAX(1,MIN(104,INT((IF(F196="",E196,F196)-(DATE(Cal_Weeks!$B$1,1,1)-WEEKDAY(DATE(Cal_Weeks!$B$1,1,1),3)))/7)+1)),"")</f>
        <v/>
      </c>
      <c r="I196" s="26" t="n"/>
    </row>
    <row r="197">
      <c r="A197" t="inlineStr">
        <is>
          <t>CHEM-1240</t>
        </is>
      </c>
      <c r="B197" t="inlineStr">
        <is>
          <t>PO068015</t>
        </is>
      </c>
      <c r="C197" s="25" t="n"/>
      <c r="D197" t="n">
        <v>660</v>
      </c>
      <c r="E197" s="22" t="n">
        <v>46181</v>
      </c>
      <c r="G197" t="inlineStr">
        <is>
          <t>In-transit</t>
        </is>
      </c>
      <c r="H197">
        <f>IFERROR(MAX(1,MIN(104,INT((IF(F197="",E197,F197)-(DATE(Cal_Weeks!$B$1,1,1)-WEEKDAY(DATE(Cal_Weeks!$B$1,1,1),3)))/7)+1)),"")</f>
        <v/>
      </c>
      <c r="I197" s="26" t="n"/>
    </row>
    <row r="198">
      <c r="A198" t="inlineStr">
        <is>
          <t>CHEM-1250</t>
        </is>
      </c>
      <c r="B198" t="inlineStr">
        <is>
          <t>PO068015</t>
        </is>
      </c>
      <c r="C198" s="25" t="n"/>
      <c r="D198" t="n">
        <v>50</v>
      </c>
      <c r="E198" s="22" t="n">
        <v>46181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  <c r="I198" s="26" t="n"/>
    </row>
    <row r="199">
      <c r="A199" t="inlineStr">
        <is>
          <t>CHEM-1400</t>
        </is>
      </c>
      <c r="B199" t="inlineStr">
        <is>
          <t>PO068015</t>
        </is>
      </c>
      <c r="C199" s="25" t="n"/>
      <c r="D199" t="n">
        <v>200</v>
      </c>
      <c r="E199" s="22" t="n">
        <v>46181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  <c r="I199" s="26" t="n"/>
    </row>
    <row r="200">
      <c r="A200" t="inlineStr">
        <is>
          <t>CHEM-1420</t>
        </is>
      </c>
      <c r="B200" t="inlineStr">
        <is>
          <t>PO068015</t>
        </is>
      </c>
      <c r="C200" s="25" t="n"/>
      <c r="D200" t="n">
        <v>240</v>
      </c>
      <c r="E200" s="22" t="n">
        <v>46181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  <c r="I200" s="26" t="n"/>
    </row>
    <row r="201">
      <c r="A201" t="inlineStr">
        <is>
          <t>CHEM-1540</t>
        </is>
      </c>
      <c r="B201" t="inlineStr">
        <is>
          <t>PO068015</t>
        </is>
      </c>
      <c r="C201" s="25" t="n"/>
      <c r="D201" t="n">
        <v>4500</v>
      </c>
      <c r="E201" s="22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  <c r="I201" s="26" t="n"/>
    </row>
    <row r="202">
      <c r="A202" t="inlineStr">
        <is>
          <t>CHEM-1530</t>
        </is>
      </c>
      <c r="B202" t="inlineStr">
        <is>
          <t>PO068015</t>
        </is>
      </c>
      <c r="C202" s="25" t="n"/>
      <c r="D202" t="n">
        <v>2100</v>
      </c>
      <c r="E202" s="22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  <c r="I202" s="26" t="n"/>
    </row>
    <row r="203">
      <c r="A203" t="inlineStr">
        <is>
          <t>CHEM-1570</t>
        </is>
      </c>
      <c r="B203" t="inlineStr">
        <is>
          <t>PO068015</t>
        </is>
      </c>
      <c r="C203" s="25" t="n"/>
      <c r="D203" t="n">
        <v>18</v>
      </c>
      <c r="E203" s="22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  <c r="I203" s="26" t="n"/>
    </row>
    <row r="204">
      <c r="A204" t="inlineStr">
        <is>
          <t>CHEM-1670</t>
        </is>
      </c>
      <c r="B204" t="inlineStr">
        <is>
          <t>PO068015</t>
        </is>
      </c>
      <c r="C204" s="25" t="n"/>
      <c r="D204" t="n">
        <v>360</v>
      </c>
      <c r="E204" s="22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  <c r="I204" s="26" t="n"/>
    </row>
    <row r="205">
      <c r="A205" t="inlineStr">
        <is>
          <t>CHEM-1690</t>
        </is>
      </c>
      <c r="B205" t="inlineStr">
        <is>
          <t>PO068015</t>
        </is>
      </c>
      <c r="C205" s="25" t="n"/>
      <c r="D205" t="n">
        <v>135</v>
      </c>
      <c r="E205" s="22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  <c r="I205" s="26" t="n"/>
    </row>
    <row r="206">
      <c r="A206" t="inlineStr">
        <is>
          <t>CHEM-1700</t>
        </is>
      </c>
      <c r="B206" t="inlineStr">
        <is>
          <t>PO068015</t>
        </is>
      </c>
      <c r="C206" s="25" t="n"/>
      <c r="D206" t="n">
        <v>60</v>
      </c>
      <c r="E206" s="22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  <c r="I206" s="26" t="n"/>
    </row>
    <row r="207">
      <c r="A207" t="inlineStr">
        <is>
          <t>CHEM-1720</t>
        </is>
      </c>
      <c r="B207" t="inlineStr">
        <is>
          <t>PO068015</t>
        </is>
      </c>
      <c r="C207" s="25" t="n"/>
      <c r="D207" t="n">
        <v>1320</v>
      </c>
      <c r="E207" s="22" t="n">
        <v>46181</v>
      </c>
      <c r="G207" t="inlineStr">
        <is>
          <t>In-transit</t>
        </is>
      </c>
      <c r="H207">
        <f>IFERROR(MAX(1,MIN(104,INT((IF(F207="",E207,F207)-(DATE(Cal_Weeks!$B$1,1,1)-WEEKDAY(DATE(Cal_Weeks!$B$1,1,1),3)))/7)+1)),"")</f>
        <v/>
      </c>
      <c r="I207" s="26" t="n"/>
    </row>
    <row r="208">
      <c r="A208" t="inlineStr">
        <is>
          <t>CHEM-1760</t>
        </is>
      </c>
      <c r="B208" t="inlineStr">
        <is>
          <t>PO068015</t>
        </is>
      </c>
      <c r="C208" s="25" t="n"/>
      <c r="D208" t="n">
        <v>17</v>
      </c>
      <c r="E208" s="22" t="n">
        <v>46181</v>
      </c>
      <c r="G208" t="inlineStr">
        <is>
          <t>In-transit</t>
        </is>
      </c>
      <c r="H208">
        <f>IFERROR(MAX(1,MIN(104,INT((IF(F208="",E208,F208)-(DATE(Cal_Weeks!$B$1,1,1)-WEEKDAY(DATE(Cal_Weeks!$B$1,1,1),3)))/7)+1)),"")</f>
        <v/>
      </c>
      <c r="I208" s="26" t="n"/>
    </row>
    <row r="209">
      <c r="A209" t="inlineStr">
        <is>
          <t>CHEM-1200</t>
        </is>
      </c>
      <c r="B209" t="inlineStr">
        <is>
          <t>PO068015</t>
        </is>
      </c>
      <c r="C209" s="25" t="n"/>
      <c r="D209" t="n">
        <v>25</v>
      </c>
      <c r="E209" s="22" t="n">
        <v>46181</v>
      </c>
      <c r="G209" t="inlineStr">
        <is>
          <t>In-transit</t>
        </is>
      </c>
      <c r="H209">
        <f>IFERROR(MAX(1,MIN(104,INT((IF(F209="",E209,F209)-(DATE(Cal_Weeks!$B$1,1,1)-WEEKDAY(DATE(Cal_Weeks!$B$1,1,1),3)))/7)+1)),"")</f>
        <v/>
      </c>
      <c r="I209" s="26" t="n"/>
    </row>
    <row r="210">
      <c r="A210" t="inlineStr">
        <is>
          <t>CHEM-1840</t>
        </is>
      </c>
      <c r="B210" t="inlineStr">
        <is>
          <t>PO068015</t>
        </is>
      </c>
      <c r="C210" s="25" t="n"/>
      <c r="D210" t="n">
        <v>18</v>
      </c>
      <c r="E210" s="22" t="n">
        <v>46181</v>
      </c>
      <c r="G210" t="inlineStr">
        <is>
          <t>In-transit</t>
        </is>
      </c>
      <c r="H210">
        <f>IFERROR(MAX(1,MIN(104,INT((IF(F210="",E210,F210)-(DATE(Cal_Weeks!$B$1,1,1)-WEEKDAY(DATE(Cal_Weeks!$B$1,1,1),3)))/7)+1)),"")</f>
        <v/>
      </c>
      <c r="I210" s="26" t="n"/>
    </row>
    <row r="211">
      <c r="A211" t="inlineStr">
        <is>
          <t>CHEM-1660</t>
        </is>
      </c>
      <c r="B211" t="inlineStr">
        <is>
          <t>PO067957</t>
        </is>
      </c>
      <c r="C211" s="25" t="n"/>
      <c r="D211" t="n">
        <v>180</v>
      </c>
      <c r="E211" s="22" t="n">
        <v>46181</v>
      </c>
      <c r="G211" t="inlineStr">
        <is>
          <t>In-transit</t>
        </is>
      </c>
      <c r="H211">
        <f>IFERROR(MAX(1,MIN(104,INT((IF(F211="",E211,F211)-(DATE(Cal_Weeks!$B$1,1,1)-WEEKDAY(DATE(Cal_Weeks!$B$1,1,1),3)))/7)+1)),"")</f>
        <v/>
      </c>
      <c r="I211" s="26" t="n"/>
    </row>
    <row r="212">
      <c r="A212" t="inlineStr">
        <is>
          <t>CHEM-1280</t>
        </is>
      </c>
      <c r="B212" t="inlineStr">
        <is>
          <t>PO067957</t>
        </is>
      </c>
      <c r="C212" s="25" t="n"/>
      <c r="D212" t="n">
        <v>1000</v>
      </c>
      <c r="E212" s="22" t="n">
        <v>46181</v>
      </c>
      <c r="G212" t="inlineStr">
        <is>
          <t>In-transit</t>
        </is>
      </c>
      <c r="H212">
        <f>IFERROR(MAX(1,MIN(104,INT((IF(F212="",E212,F212)-(DATE(Cal_Weeks!$B$1,1,1)-WEEKDAY(DATE(Cal_Weeks!$B$1,1,1),3)))/7)+1)),"")</f>
        <v/>
      </c>
      <c r="I212" s="26" t="n"/>
    </row>
    <row r="213">
      <c r="A213" t="inlineStr">
        <is>
          <t>4HL</t>
        </is>
      </c>
      <c r="B213" t="inlineStr"/>
      <c r="C213" s="25" t="n"/>
      <c r="D213" t="n">
        <v>12000</v>
      </c>
      <c r="E213" s="22" t="n">
        <v>46213</v>
      </c>
      <c r="G213" t="inlineStr">
        <is>
          <t>Unconfirmed</t>
        </is>
      </c>
      <c r="H213">
        <f>IFERROR(MAX(1,MIN(104,INT((IF(F213="",E213,F213)-(DATE(Cal_Weeks!$B$1,1,1)-WEEKDAY(DATE(Cal_Weeks!$B$1,1,1),3)))/7)+1)),"")</f>
        <v/>
      </c>
      <c r="I213" s="26" t="n"/>
    </row>
    <row r="214">
      <c r="A214" t="inlineStr">
        <is>
          <t>4HL</t>
        </is>
      </c>
      <c r="B214" t="inlineStr"/>
      <c r="C214" s="25" t="n"/>
      <c r="D214" t="n">
        <v>6240</v>
      </c>
      <c r="E214" s="22" t="n">
        <v>46215</v>
      </c>
      <c r="G214" t="inlineStr">
        <is>
          <t>Unconfirmed</t>
        </is>
      </c>
      <c r="H214">
        <f>IFERROR(MAX(1,MIN(104,INT((IF(F214="",E214,F214)-(DATE(Cal_Weeks!$B$1,1,1)-WEEKDAY(DATE(Cal_Weeks!$B$1,1,1),3)))/7)+1)),"")</f>
        <v/>
      </c>
      <c r="I214" s="26" t="n"/>
    </row>
    <row r="215">
      <c r="A215" t="inlineStr">
        <is>
          <t>4HL</t>
        </is>
      </c>
      <c r="B215" t="inlineStr"/>
      <c r="C215" s="25" t="n"/>
      <c r="D215" t="n">
        <v>6240</v>
      </c>
      <c r="E215" s="22" t="n">
        <v>46220</v>
      </c>
      <c r="G215" t="inlineStr">
        <is>
          <t>Unconfirmed</t>
        </is>
      </c>
      <c r="H215">
        <f>IFERROR(MAX(1,MIN(104,INT((IF(F215="",E215,F215)-(DATE(Cal_Weeks!$B$1,1,1)-WEEKDAY(DATE(Cal_Weeks!$B$1,1,1),3)))/7)+1)),"")</f>
        <v/>
      </c>
      <c r="I215" s="26" t="n"/>
    </row>
    <row r="216">
      <c r="A216" t="inlineStr">
        <is>
          <t>4HL</t>
        </is>
      </c>
      <c r="B216" t="inlineStr"/>
      <c r="C216" s="25" t="n"/>
      <c r="D216" t="n">
        <v>5972</v>
      </c>
      <c r="E216" s="22" t="n">
        <v>46222</v>
      </c>
      <c r="G216" t="inlineStr">
        <is>
          <t>Unconfirmed</t>
        </is>
      </c>
      <c r="H216">
        <f>IFERROR(MAX(1,MIN(104,INT((IF(F216="",E216,F216)-(DATE(Cal_Weeks!$B$1,1,1)-WEEKDAY(DATE(Cal_Weeks!$B$1,1,1),3)))/7)+1)),"")</f>
        <v/>
      </c>
      <c r="I216" s="26" t="n"/>
    </row>
    <row r="217">
      <c r="A217" t="inlineStr">
        <is>
          <t>4HL</t>
        </is>
      </c>
      <c r="B217" t="inlineStr"/>
      <c r="C217" s="25" t="n"/>
      <c r="D217" t="n">
        <v>5760</v>
      </c>
      <c r="E217" s="22" t="n">
        <v>46227</v>
      </c>
      <c r="G217" t="inlineStr">
        <is>
          <t>Unconfirmed</t>
        </is>
      </c>
      <c r="H217">
        <f>IFERROR(MAX(1,MIN(104,INT((IF(F217="",E217,F217)-(DATE(Cal_Weeks!$B$1,1,1)-WEEKDAY(DATE(Cal_Weeks!$B$1,1,1),3)))/7)+1)),"")</f>
        <v/>
      </c>
      <c r="I217" s="26" t="n"/>
    </row>
    <row r="218">
      <c r="A218" t="inlineStr">
        <is>
          <t>4HL</t>
        </is>
      </c>
      <c r="B218" t="inlineStr"/>
      <c r="C218" s="25" t="n"/>
      <c r="D218" t="n">
        <v>6240</v>
      </c>
      <c r="E218" s="22" t="n">
        <v>46229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  <c r="I218" s="26" t="n"/>
    </row>
    <row r="219">
      <c r="A219" t="inlineStr">
        <is>
          <t>4HL</t>
        </is>
      </c>
      <c r="B219" t="inlineStr"/>
      <c r="C219" s="25" t="n"/>
      <c r="D219" t="n">
        <v>5902</v>
      </c>
      <c r="E219" s="22" t="n">
        <v>46234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  <c r="I219" s="26" t="n"/>
    </row>
    <row r="220">
      <c r="A220" t="inlineStr">
        <is>
          <t>4HL</t>
        </is>
      </c>
      <c r="B220" t="inlineStr"/>
      <c r="C220" s="25" t="n"/>
      <c r="D220" t="n">
        <v>6240</v>
      </c>
      <c r="E220" s="22" t="n">
        <v>46236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  <c r="I220" s="26" t="n"/>
    </row>
    <row r="221">
      <c r="A221" t="inlineStr">
        <is>
          <t>4HL</t>
        </is>
      </c>
      <c r="B221" t="inlineStr"/>
      <c r="C221" s="25" t="n"/>
      <c r="D221" t="n">
        <v>5760</v>
      </c>
      <c r="E221" s="22" t="n">
        <v>46241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  <c r="I221" s="26" t="n"/>
    </row>
    <row r="222">
      <c r="A222" t="inlineStr">
        <is>
          <t>TDJ</t>
        </is>
      </c>
      <c r="B222" t="inlineStr"/>
      <c r="C222" s="25" t="n"/>
      <c r="D222" t="n">
        <v>392</v>
      </c>
      <c r="E222" s="22" t="n">
        <v>46222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  <c r="I222" s="26" t="n"/>
    </row>
    <row r="223">
      <c r="A223" t="inlineStr">
        <is>
          <t>TDJ</t>
        </is>
      </c>
      <c r="B223" t="inlineStr"/>
      <c r="C223" s="25" t="n"/>
      <c r="D223" t="n">
        <v>200</v>
      </c>
      <c r="E223" s="22" t="n">
        <v>46227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  <c r="I223" s="26" t="n"/>
    </row>
    <row r="224">
      <c r="A224" t="inlineStr">
        <is>
          <t>TDJ</t>
        </is>
      </c>
      <c r="B224" t="inlineStr"/>
      <c r="C224" s="25" t="n"/>
      <c r="D224" t="n">
        <v>392</v>
      </c>
      <c r="E224" s="22" t="n">
        <v>46229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  <c r="I224" s="26" t="n"/>
    </row>
    <row r="225">
      <c r="A225" t="inlineStr">
        <is>
          <t>TDJ</t>
        </is>
      </c>
      <c r="B225" t="inlineStr"/>
      <c r="C225" s="25" t="n"/>
      <c r="D225" t="n">
        <v>392</v>
      </c>
      <c r="E225" s="22" t="n">
        <v>46236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  <c r="I225" s="26" t="n"/>
    </row>
    <row r="226">
      <c r="A226" t="inlineStr">
        <is>
          <t>TDJ</t>
        </is>
      </c>
      <c r="B226" t="inlineStr"/>
      <c r="C226" s="25" t="n"/>
      <c r="D226" t="n">
        <v>392</v>
      </c>
      <c r="E226" s="22" t="n">
        <v>46241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  <c r="I226" s="26" t="n"/>
    </row>
    <row r="227">
      <c r="A227" t="inlineStr">
        <is>
          <t>0JN</t>
        </is>
      </c>
      <c r="B227" t="inlineStr">
        <is>
          <t>PO067815</t>
        </is>
      </c>
      <c r="C227" s="25" t="n"/>
      <c r="D227" t="n">
        <v>12672</v>
      </c>
      <c r="E227" s="22" t="n">
        <v>46203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  <c r="I227" s="26" t="n"/>
    </row>
    <row r="228">
      <c r="A228" t="inlineStr">
        <is>
          <t>CHEM-1240</t>
        </is>
      </c>
      <c r="B228" t="inlineStr">
        <is>
          <t>PO067960</t>
        </is>
      </c>
      <c r="C228" s="25" t="n"/>
      <c r="D228" t="n">
        <v>440</v>
      </c>
      <c r="E228" s="22" t="n">
        <v>46206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  <c r="I228" s="26" t="n"/>
    </row>
    <row r="229">
      <c r="A229" t="inlineStr">
        <is>
          <t>CHEM-1250</t>
        </is>
      </c>
      <c r="B229" t="inlineStr">
        <is>
          <t>PO067960</t>
        </is>
      </c>
      <c r="C229" s="25" t="n"/>
      <c r="D229" t="n">
        <v>125</v>
      </c>
      <c r="E229" s="22" t="n">
        <v>46206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  <c r="I229" s="26" t="n"/>
    </row>
    <row r="230">
      <c r="A230" t="inlineStr">
        <is>
          <t>CHEM-1400</t>
        </is>
      </c>
      <c r="B230" t="inlineStr">
        <is>
          <t>PO067960</t>
        </is>
      </c>
      <c r="C230" s="25" t="n"/>
      <c r="D230" t="n">
        <v>250</v>
      </c>
      <c r="E230" s="22" t="n">
        <v>46206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  <c r="I230" s="26" t="n"/>
    </row>
    <row r="231">
      <c r="A231" t="inlineStr">
        <is>
          <t>CHEM-1420</t>
        </is>
      </c>
      <c r="B231" t="inlineStr">
        <is>
          <t>PO067960</t>
        </is>
      </c>
      <c r="C231" s="25" t="n"/>
      <c r="D231" t="n">
        <v>240</v>
      </c>
      <c r="E231" s="22" t="n">
        <v>46206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  <c r="I231" s="26" t="n"/>
    </row>
    <row r="232">
      <c r="A232" t="inlineStr">
        <is>
          <t>CHEM-1440</t>
        </is>
      </c>
      <c r="B232" t="inlineStr">
        <is>
          <t>PO067960</t>
        </is>
      </c>
      <c r="C232" s="25" t="n"/>
      <c r="D232" t="n">
        <v>200</v>
      </c>
      <c r="E232" s="22" t="n">
        <v>46206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  <c r="I232" s="26" t="n"/>
    </row>
    <row r="233">
      <c r="A233" t="inlineStr">
        <is>
          <t>CHEM-1540</t>
        </is>
      </c>
      <c r="B233" t="inlineStr">
        <is>
          <t>PO067960</t>
        </is>
      </c>
      <c r="C233" s="25" t="n"/>
      <c r="D233" t="n">
        <v>2000</v>
      </c>
      <c r="E233" s="22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  <c r="I233" s="26" t="n"/>
    </row>
    <row r="234">
      <c r="A234" t="inlineStr">
        <is>
          <t>CHEM-1530</t>
        </is>
      </c>
      <c r="B234" t="inlineStr">
        <is>
          <t>PO067960</t>
        </is>
      </c>
      <c r="C234" s="25" t="n"/>
      <c r="D234" t="n">
        <v>2100</v>
      </c>
      <c r="E234" s="22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  <c r="I234" s="26" t="n"/>
    </row>
    <row r="235">
      <c r="A235" t="inlineStr">
        <is>
          <t>CHEM-1600</t>
        </is>
      </c>
      <c r="B235" t="inlineStr">
        <is>
          <t>PO067960</t>
        </is>
      </c>
      <c r="C235" s="25" t="n"/>
      <c r="D235" t="n">
        <v>300</v>
      </c>
      <c r="E235" s="22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  <c r="I235" s="26" t="n"/>
    </row>
    <row r="236">
      <c r="A236" t="inlineStr">
        <is>
          <t>CHEM-1570</t>
        </is>
      </c>
      <c r="B236" t="inlineStr">
        <is>
          <t>PO067960</t>
        </is>
      </c>
      <c r="C236" s="25" t="n"/>
      <c r="D236" t="n">
        <v>54</v>
      </c>
      <c r="E236" s="22" t="n">
        <v>46206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  <c r="I236" s="26" t="n"/>
    </row>
    <row r="237">
      <c r="A237" t="inlineStr">
        <is>
          <t>CHEM-1670</t>
        </is>
      </c>
      <c r="B237" t="inlineStr">
        <is>
          <t>PO067960</t>
        </is>
      </c>
      <c r="C237" s="25" t="n"/>
      <c r="D237" t="n">
        <v>180</v>
      </c>
      <c r="E237" s="22" t="n">
        <v>46206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  <c r="I237" s="26" t="n"/>
    </row>
    <row r="238">
      <c r="A238" t="inlineStr">
        <is>
          <t>CHEM-1700</t>
        </is>
      </c>
      <c r="B238" t="inlineStr">
        <is>
          <t>PO067960</t>
        </is>
      </c>
      <c r="C238" s="25" t="n"/>
      <c r="D238" t="n">
        <v>90</v>
      </c>
      <c r="E238" s="22" t="n">
        <v>46206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  <c r="I238" s="26" t="n"/>
    </row>
    <row r="239">
      <c r="A239" t="inlineStr">
        <is>
          <t>CHEM-1720</t>
        </is>
      </c>
      <c r="B239" t="inlineStr">
        <is>
          <t>PO067960</t>
        </is>
      </c>
      <c r="C239" s="25" t="n"/>
      <c r="D239" t="n">
        <v>960</v>
      </c>
      <c r="E239" s="22" t="n">
        <v>46206</v>
      </c>
      <c r="G239" t="inlineStr">
        <is>
          <t>Unconfirmed</t>
        </is>
      </c>
      <c r="H239">
        <f>IFERROR(MAX(1,MIN(104,INT((IF(F239="",E239,F239)-(DATE(Cal_Weeks!$B$1,1,1)-WEEKDAY(DATE(Cal_Weeks!$B$1,1,1),3)))/7)+1)),"")</f>
        <v/>
      </c>
      <c r="I239" s="26" t="n"/>
    </row>
    <row r="240">
      <c r="A240" t="inlineStr">
        <is>
          <t>CHEM-1200</t>
        </is>
      </c>
      <c r="B240" t="inlineStr">
        <is>
          <t>PO067960</t>
        </is>
      </c>
      <c r="C240" s="25" t="n"/>
      <c r="D240" t="n">
        <v>25</v>
      </c>
      <c r="E240" s="22" t="n">
        <v>46206</v>
      </c>
      <c r="G240" t="inlineStr">
        <is>
          <t>Unconfirmed</t>
        </is>
      </c>
      <c r="H240">
        <f>IFERROR(MAX(1,MIN(104,INT((IF(F240="",E240,F240)-(DATE(Cal_Weeks!$B$1,1,1)-WEEKDAY(DATE(Cal_Weeks!$B$1,1,1),3)))/7)+1)),"")</f>
        <v/>
      </c>
      <c r="I240" s="26" t="n"/>
    </row>
    <row r="241">
      <c r="A241" t="inlineStr">
        <is>
          <t>CHEM-1680</t>
        </is>
      </c>
      <c r="B241" t="inlineStr">
        <is>
          <t>PO067960</t>
        </is>
      </c>
      <c r="C241" s="25" t="n"/>
      <c r="D241" t="n">
        <v>100</v>
      </c>
      <c r="E241" s="22" t="n">
        <v>46206</v>
      </c>
      <c r="G241" t="inlineStr">
        <is>
          <t>Unconfirmed</t>
        </is>
      </c>
      <c r="H241">
        <f>IFERROR(MAX(1,MIN(104,INT((IF(F241="",E241,F241)-(DATE(Cal_Weeks!$B$1,1,1)-WEEKDAY(DATE(Cal_Weeks!$B$1,1,1),3)))/7)+1)),"")</f>
        <v/>
      </c>
      <c r="I241" s="26" t="n"/>
    </row>
    <row r="242">
      <c r="A242" t="inlineStr">
        <is>
          <t>CHEM-1840</t>
        </is>
      </c>
      <c r="B242" t="inlineStr">
        <is>
          <t>PO067960</t>
        </is>
      </c>
      <c r="C242" s="25" t="n"/>
      <c r="D242" t="n">
        <v>18</v>
      </c>
      <c r="E242" s="22" t="n">
        <v>46206</v>
      </c>
      <c r="G242" t="inlineStr">
        <is>
          <t>Unconfirmed</t>
        </is>
      </c>
      <c r="H242">
        <f>IFERROR(MAX(1,MIN(104,INT((IF(F242="",E242,F242)-(DATE(Cal_Weeks!$B$1,1,1)-WEEKDAY(DATE(Cal_Weeks!$B$1,1,1),3)))/7)+1)),"")</f>
        <v/>
      </c>
      <c r="I242" s="26" t="n"/>
    </row>
    <row r="243">
      <c r="A243" t="inlineStr">
        <is>
          <t>CHEM-1660</t>
        </is>
      </c>
      <c r="B243" t="inlineStr">
        <is>
          <t>PO067957</t>
        </is>
      </c>
      <c r="C243" s="25" t="n"/>
      <c r="D243" t="n">
        <v>150</v>
      </c>
      <c r="E243" s="22" t="n">
        <v>46205</v>
      </c>
      <c r="G243" t="inlineStr">
        <is>
          <t>Unconfirmed</t>
        </is>
      </c>
      <c r="H243">
        <f>IFERROR(MAX(1,MIN(104,INT((IF(F243="",E243,F243)-(DATE(Cal_Weeks!$B$1,1,1)-WEEKDAY(DATE(Cal_Weeks!$B$1,1,1),3)))/7)+1)),"")</f>
        <v/>
      </c>
      <c r="I243" s="26" t="n"/>
    </row>
    <row r="244">
      <c r="A244" t="inlineStr">
        <is>
          <t>CHEM-1280</t>
        </is>
      </c>
      <c r="B244" t="inlineStr">
        <is>
          <t>PO067957</t>
        </is>
      </c>
      <c r="C244" s="25" t="n"/>
      <c r="D244" t="n">
        <v>1500</v>
      </c>
      <c r="E244" s="22" t="n">
        <v>46205</v>
      </c>
      <c r="G244" t="inlineStr">
        <is>
          <t>Unconfirmed</t>
        </is>
      </c>
      <c r="H244">
        <f>IFERROR(MAX(1,MIN(104,INT((IF(F244="",E244,F244)-(DATE(Cal_Weeks!$B$1,1,1)-WEEKDAY(DATE(Cal_Weeks!$B$1,1,1),3)))/7)+1)),"")</f>
        <v/>
      </c>
      <c r="I244" s="26" t="n"/>
    </row>
    <row r="245">
      <c r="A245" t="inlineStr">
        <is>
          <t>0JN</t>
        </is>
      </c>
      <c r="B245" t="inlineStr">
        <is>
          <t>PO067959</t>
        </is>
      </c>
      <c r="C245" s="25" t="n"/>
      <c r="D245" t="n">
        <v>18612</v>
      </c>
      <c r="E245" s="22" t="n">
        <v>46234</v>
      </c>
      <c r="G245" t="inlineStr">
        <is>
          <t>Unconfirmed</t>
        </is>
      </c>
      <c r="H245">
        <f>IFERROR(MAX(1,MIN(104,INT((IF(F245="",E245,F245)-(DATE(Cal_Weeks!$B$1,1,1)-WEEKDAY(DATE(Cal_Weeks!$B$1,1,1),3)))/7)+1)),"")</f>
        <v/>
      </c>
      <c r="I245" s="2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5" t="inlineStr">
        <is>
          <t>Part Name</t>
        </is>
      </c>
      <c r="B1" s="5" t="inlineStr">
        <is>
          <t>Qty</t>
        </is>
      </c>
      <c r="C1" s="5" t="inlineStr">
        <is>
          <t>Target_Delivery_Date</t>
        </is>
      </c>
      <c r="D1" s="5" t="inlineStr">
        <is>
          <t>WeekIndex</t>
        </is>
      </c>
      <c r="E1" s="5" t="inlineStr">
        <is>
          <t>Order_Month</t>
        </is>
      </c>
      <c r="F1" s="5" t="inlineStr">
        <is>
          <t>IsReconciled</t>
        </is>
      </c>
      <c r="G1" s="5" t="inlineStr">
        <is>
          <t>EffectiveQty</t>
        </is>
      </c>
    </row>
    <row r="2">
      <c r="A2" s="25" t="inlineStr">
        <is>
          <t>(例) CHEM-1010</t>
        </is>
      </c>
      <c r="B2" s="25" t="n">
        <v>0</v>
      </c>
      <c r="C2" s="27" t="n">
        <v>46020</v>
      </c>
      <c r="D2">
        <f>IFERROR(MAX(1,MIN(104,INT(($C2-(DATE(Cal_Weeks!$B$1,1,1)-WEEKDAY(DATE(Cal_Weeks!$B$1,1,1),3)))/7)+1)),"")</f>
        <v/>
      </c>
      <c r="E2" s="28" t="n">
        <v>45992</v>
      </c>
      <c r="F2">
        <f>SUMPRODUCT((T_PlannedOrders[Part Name]=$A2)*(T_PlannedOrders[Order_Month]&lt;&gt;"")*(TEXT(T_PlannedOrders[Order_Month],"yyyy-mm")=TEXT($E2,"yyyy-mm"))*(T_PlannedOrders[Target_Delivery_Date]&lt;=$C2)*T_PlannedOrders[Qty])&lt;=SUMPRODUCT((T_Shipments[Part Name]=$A2)*(T_Shipments[Order_Month]&lt;&gt;"")*(TEXT(T_Shipments[Order_Month],"yyyy-mm")=TEXT($E2,"yyyy-mm"))*T_Shipments[Confirmed_Qty])</f>
        <v/>
      </c>
      <c r="G2">
        <f>IF($F2,0,$B2)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5" t="inlineStr">
        <is>
          <t>Part Name</t>
        </is>
      </c>
      <c r="B1" s="5" t="inlineStr">
        <is>
          <t>Opening_Qty_要入力</t>
        </is>
      </c>
      <c r="C1" s="5" t="inlineStr">
        <is>
          <t>AsOf</t>
        </is>
      </c>
    </row>
    <row r="2">
      <c r="A2" t="inlineStr">
        <is>
          <t>CHEM-1250</t>
        </is>
      </c>
      <c r="B2" s="25" t="n">
        <v>0</v>
      </c>
      <c r="C2" s="27" t="n">
        <v>46020</v>
      </c>
    </row>
    <row r="3">
      <c r="A3" t="inlineStr">
        <is>
          <t>CHEM-1670</t>
        </is>
      </c>
      <c r="B3" s="25" t="n">
        <v>0</v>
      </c>
      <c r="C3" s="27" t="n">
        <v>46020</v>
      </c>
    </row>
    <row r="4">
      <c r="A4" t="inlineStr">
        <is>
          <t>CHEM-1700</t>
        </is>
      </c>
      <c r="B4" s="25" t="n">
        <v>0</v>
      </c>
      <c r="C4" s="27" t="n">
        <v>46020</v>
      </c>
    </row>
    <row r="5">
      <c r="A5" t="inlineStr">
        <is>
          <t>CHEM-1420</t>
        </is>
      </c>
      <c r="B5" s="25" t="n">
        <v>0</v>
      </c>
      <c r="C5" s="27" t="n">
        <v>46020</v>
      </c>
    </row>
    <row r="6">
      <c r="A6" t="inlineStr">
        <is>
          <t>CHEM-1530</t>
        </is>
      </c>
      <c r="B6" s="25" t="n">
        <v>0</v>
      </c>
      <c r="C6" s="27" t="n">
        <v>46020</v>
      </c>
    </row>
    <row r="7">
      <c r="A7" t="inlineStr">
        <is>
          <t>CHEM-1540</t>
        </is>
      </c>
      <c r="B7" s="25" t="n">
        <v>0</v>
      </c>
      <c r="C7" s="27" t="n">
        <v>46020</v>
      </c>
    </row>
    <row r="8">
      <c r="A8" t="inlineStr">
        <is>
          <t>CHEM-1690</t>
        </is>
      </c>
      <c r="B8" s="25" t="n">
        <v>0</v>
      </c>
      <c r="C8" s="27" t="n">
        <v>46020</v>
      </c>
    </row>
    <row r="9">
      <c r="A9" t="inlineStr">
        <is>
          <t>CHEM-1720</t>
        </is>
      </c>
      <c r="B9" s="25" t="n">
        <v>0</v>
      </c>
      <c r="C9" s="27" t="n">
        <v>46020</v>
      </c>
    </row>
    <row r="10">
      <c r="A10" t="inlineStr">
        <is>
          <t>CHEM-1440</t>
        </is>
      </c>
      <c r="B10" s="25" t="n">
        <v>0</v>
      </c>
      <c r="C10" s="27" t="n">
        <v>46020</v>
      </c>
    </row>
    <row r="11">
      <c r="A11" t="inlineStr">
        <is>
          <t>4HL</t>
        </is>
      </c>
      <c r="B11" s="25" t="n">
        <v>0</v>
      </c>
      <c r="C11" s="27" t="n">
        <v>46020</v>
      </c>
    </row>
    <row r="12">
      <c r="A12" t="inlineStr">
        <is>
          <t>1EK</t>
        </is>
      </c>
      <c r="B12" s="25" t="n">
        <v>0</v>
      </c>
      <c r="C12" s="27" t="n">
        <v>46020</v>
      </c>
    </row>
    <row r="13">
      <c r="A13" t="inlineStr">
        <is>
          <t>7CL</t>
        </is>
      </c>
      <c r="B13" s="25" t="n">
        <v>0</v>
      </c>
      <c r="C13" s="27" t="n">
        <v>46020</v>
      </c>
    </row>
    <row r="14">
      <c r="A14" t="inlineStr">
        <is>
          <t>9RN</t>
        </is>
      </c>
      <c r="B14" s="25" t="n">
        <v>0</v>
      </c>
      <c r="C14" s="27" t="n">
        <v>46020</v>
      </c>
    </row>
    <row r="15">
      <c r="A15" t="inlineStr">
        <is>
          <t>CHEM-1400</t>
        </is>
      </c>
      <c r="B15" s="25" t="n">
        <v>0</v>
      </c>
      <c r="C15" s="27" t="n">
        <v>46020</v>
      </c>
    </row>
    <row r="16">
      <c r="A16" t="inlineStr">
        <is>
          <t>CHEM-1570</t>
        </is>
      </c>
      <c r="B16" s="25" t="n">
        <v>0</v>
      </c>
      <c r="C16" s="27" t="n">
        <v>46020</v>
      </c>
    </row>
    <row r="17">
      <c r="A17" t="inlineStr">
        <is>
          <t>CHEM-1650</t>
        </is>
      </c>
      <c r="B17" s="25" t="n">
        <v>0</v>
      </c>
      <c r="C17" s="27" t="n">
        <v>46020</v>
      </c>
    </row>
    <row r="18">
      <c r="A18" t="inlineStr">
        <is>
          <t>CHEM-1660</t>
        </is>
      </c>
      <c r="B18" s="25" t="n">
        <v>0</v>
      </c>
      <c r="C18" s="27" t="n">
        <v>46020</v>
      </c>
    </row>
    <row r="19">
      <c r="A19" t="inlineStr">
        <is>
          <t>CHEM-1600</t>
        </is>
      </c>
      <c r="B19" s="25" t="n">
        <v>0</v>
      </c>
      <c r="C19" s="27" t="n">
        <v>46020</v>
      </c>
    </row>
    <row r="20">
      <c r="A20" t="inlineStr">
        <is>
          <t>CHEM-1280</t>
        </is>
      </c>
      <c r="B20" s="25" t="n">
        <v>0</v>
      </c>
      <c r="C20" s="27" t="n">
        <v>46020</v>
      </c>
    </row>
    <row r="21">
      <c r="A21" t="inlineStr">
        <is>
          <t>CHEM-1240</t>
        </is>
      </c>
      <c r="B21" s="25" t="n">
        <v>0</v>
      </c>
      <c r="C21" s="27" t="n">
        <v>46020</v>
      </c>
    </row>
    <row r="22">
      <c r="A22" t="inlineStr">
        <is>
          <t>0JN</t>
        </is>
      </c>
      <c r="B22" s="25" t="n">
        <v>0</v>
      </c>
      <c r="C22" s="27" t="n">
        <v>46020</v>
      </c>
    </row>
    <row r="23">
      <c r="A23" t="inlineStr">
        <is>
          <t>CHEM-1760</t>
        </is>
      </c>
      <c r="B23" s="25" t="n">
        <v>0</v>
      </c>
      <c r="C23" s="27" t="n">
        <v>46020</v>
      </c>
    </row>
    <row r="24">
      <c r="A24" t="inlineStr">
        <is>
          <t>Original Towel</t>
        </is>
      </c>
      <c r="B24" s="25" t="n">
        <v>0</v>
      </c>
      <c r="C24" s="27" t="n">
        <v>46020</v>
      </c>
    </row>
    <row r="25">
      <c r="A25" t="inlineStr">
        <is>
          <t>CHEM-1200</t>
        </is>
      </c>
      <c r="B25" s="25" t="n">
        <v>0</v>
      </c>
      <c r="C25" s="27" t="n">
        <v>46020</v>
      </c>
    </row>
    <row r="26">
      <c r="A26" t="inlineStr">
        <is>
          <t>CHEM-1830</t>
        </is>
      </c>
      <c r="B26" s="25" t="n">
        <v>0</v>
      </c>
      <c r="C26" s="27" t="n">
        <v>46020</v>
      </c>
    </row>
    <row r="27">
      <c r="A27" t="inlineStr">
        <is>
          <t>CHEM-1680</t>
        </is>
      </c>
      <c r="B27" s="25" t="n">
        <v>0</v>
      </c>
      <c r="C27" s="27" t="n">
        <v>46020</v>
      </c>
    </row>
    <row r="28">
      <c r="A28" t="inlineStr">
        <is>
          <t>CHEM-1820</t>
        </is>
      </c>
      <c r="B28" s="25" t="n">
        <v>0</v>
      </c>
      <c r="C28" s="27" t="n">
        <v>46020</v>
      </c>
    </row>
    <row r="29">
      <c r="A29" t="inlineStr">
        <is>
          <t>CHEM-1840</t>
        </is>
      </c>
      <c r="B29" s="25" t="n">
        <v>0</v>
      </c>
      <c r="C29" s="27" t="n">
        <v>46020</v>
      </c>
    </row>
    <row r="30">
      <c r="A30" t="inlineStr">
        <is>
          <t>TDJ</t>
        </is>
      </c>
      <c r="B30" s="25" t="n">
        <v>0</v>
      </c>
      <c r="C30" s="27" t="n">
        <v>46020</v>
      </c>
    </row>
    <row r="31">
      <c r="A31" t="inlineStr">
        <is>
          <t>CHEM-1730</t>
        </is>
      </c>
      <c r="B31" s="25" t="n">
        <v>0</v>
      </c>
      <c r="C31" s="27" t="n">
        <v>46020</v>
      </c>
    </row>
    <row r="32">
      <c r="A32" t="inlineStr">
        <is>
          <t>CHEM-1430</t>
        </is>
      </c>
      <c r="B32" s="25" t="n">
        <v>0</v>
      </c>
      <c r="C32" s="27" t="n">
        <v>46020</v>
      </c>
    </row>
    <row r="33">
      <c r="A33" t="inlineStr">
        <is>
          <t>CHEM-1480</t>
        </is>
      </c>
      <c r="B33" s="25" t="n">
        <v>0</v>
      </c>
      <c r="C33" s="27" t="n">
        <v>46020</v>
      </c>
    </row>
    <row r="34">
      <c r="A34" t="inlineStr">
        <is>
          <t>CHEM-1560</t>
        </is>
      </c>
      <c r="B34" s="25" t="n">
        <v>0</v>
      </c>
      <c r="C34" s="27" t="n">
        <v>46020</v>
      </c>
    </row>
    <row r="35">
      <c r="A35" t="inlineStr">
        <is>
          <t>CHEM-1510</t>
        </is>
      </c>
      <c r="B35" s="25" t="n">
        <v>0</v>
      </c>
      <c r="C35" s="27" t="n">
        <v>46020</v>
      </c>
    </row>
    <row r="36">
      <c r="A36" t="inlineStr">
        <is>
          <t>CHEM-1770</t>
        </is>
      </c>
      <c r="B36" s="25" t="n">
        <v>0</v>
      </c>
      <c r="C36" s="27" t="n">
        <v>46020</v>
      </c>
    </row>
    <row r="37">
      <c r="A37" t="inlineStr">
        <is>
          <t>CHEM-1020</t>
        </is>
      </c>
      <c r="B37" s="25" t="n">
        <v>0</v>
      </c>
      <c r="C37" s="27" t="n">
        <v>46020</v>
      </c>
    </row>
    <row r="38">
      <c r="A38" t="inlineStr">
        <is>
          <t>Ester Film</t>
        </is>
      </c>
      <c r="B38" s="25" t="n">
        <v>0</v>
      </c>
      <c r="C38" s="27" t="n">
        <v>46020</v>
      </c>
    </row>
    <row r="39">
      <c r="A39" t="inlineStr">
        <is>
          <t>PP Film</t>
        </is>
      </c>
      <c r="B39" s="25" t="n">
        <v>0</v>
      </c>
      <c r="C39" s="27" t="n">
        <v>46020</v>
      </c>
    </row>
    <row r="40">
      <c r="A40" t="inlineStr">
        <is>
          <t>5SN</t>
        </is>
      </c>
      <c r="B40" s="25" t="n">
        <v>0</v>
      </c>
      <c r="C40" s="27" t="n">
        <v>46020</v>
      </c>
    </row>
    <row r="41">
      <c r="A41" t="inlineStr">
        <is>
          <t>1JN</t>
        </is>
      </c>
      <c r="B41" s="25" t="n">
        <v>0</v>
      </c>
      <c r="C41" s="27" t="n">
        <v>46020</v>
      </c>
    </row>
    <row r="42">
      <c r="A42" t="inlineStr">
        <is>
          <t>V03</t>
        </is>
      </c>
      <c r="B42" s="25" t="n">
        <v>0</v>
      </c>
      <c r="C42" s="27" t="n">
        <v>46020</v>
      </c>
    </row>
    <row r="43">
      <c r="A43" t="inlineStr">
        <is>
          <t>V19</t>
        </is>
      </c>
      <c r="B43" s="25" t="n">
        <v>0</v>
      </c>
      <c r="C43" s="27" t="n">
        <v>46020</v>
      </c>
    </row>
    <row r="44">
      <c r="A44" t="inlineStr">
        <is>
          <t>3TP</t>
        </is>
      </c>
      <c r="B44" s="25" t="n">
        <v>0</v>
      </c>
      <c r="C44" s="27" t="n">
        <v>46020</v>
      </c>
    </row>
    <row r="45">
      <c r="A45" t="inlineStr">
        <is>
          <t>A043</t>
        </is>
      </c>
      <c r="B45" s="25" t="n">
        <v>0</v>
      </c>
      <c r="C45" s="27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5" t="inlineStr">
        <is>
          <t>Part Name</t>
        </is>
      </c>
      <c r="B1" s="5" t="inlineStr">
        <is>
          <t>Date_棚卸実施日</t>
        </is>
      </c>
      <c r="C1" s="5" t="inlineStr">
        <is>
          <t>WeekIndex</t>
        </is>
      </c>
      <c r="D1" s="5" t="inlineStr">
        <is>
          <t>CountedQty</t>
        </is>
      </c>
      <c r="E1" s="5" t="inlineStr">
        <is>
          <t>Notes</t>
        </is>
      </c>
    </row>
    <row r="2">
      <c r="A2" t="inlineStr">
        <is>
          <t>(例) CHEM-1010</t>
        </is>
      </c>
      <c r="B2" s="22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9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CHEM-1250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8" t="inlineStr">
        <is>
          <t>CHEM-1670</t>
        </is>
      </c>
      <c r="B7" s="18">
        <f>IF(COUNTIFS(T_SelfStock_Log[Part Name],$A7,T_SelfStock_Log[WeekIndex],1)=0,"",SUMIFS(T_SelfStock_Log[Self_Qty],T_SelfStock_Log[Part Name],$A7,T_SelfStock_Log[WeekIndex],1))</f>
        <v/>
      </c>
      <c r="C7" s="18">
        <f>IF(COUNTIFS(T_SelfStock_Log[Part Name],$A7,T_SelfStock_Log[WeekIndex],2)=0,"",SUMIFS(T_SelfStock_Log[Self_Qty],T_SelfStock_Log[Part Name],$A7,T_SelfStock_Log[WeekIndex],2))</f>
        <v/>
      </c>
      <c r="D7" s="18">
        <f>IF(COUNTIFS(T_SelfStock_Log[Part Name],$A7,T_SelfStock_Log[WeekIndex],3)=0,"",SUMIFS(T_SelfStock_Log[Self_Qty],T_SelfStock_Log[Part Name],$A7,T_SelfStock_Log[WeekIndex],3))</f>
        <v/>
      </c>
      <c r="E7" s="18">
        <f>IF(COUNTIFS(T_SelfStock_Log[Part Name],$A7,T_SelfStock_Log[WeekIndex],4)=0,"",SUMIFS(T_SelfStock_Log[Self_Qty],T_SelfStock_Log[Part Name],$A7,T_SelfStock_Log[WeekIndex],4))</f>
        <v/>
      </c>
      <c r="F7" s="18">
        <f>IF(COUNTIFS(T_SelfStock_Log[Part Name],$A7,T_SelfStock_Log[WeekIndex],5)=0,"",SUMIFS(T_SelfStock_Log[Self_Qty],T_SelfStock_Log[Part Name],$A7,T_SelfStock_Log[WeekIndex],5))</f>
        <v/>
      </c>
      <c r="G7" s="18">
        <f>IF(COUNTIFS(T_SelfStock_Log[Part Name],$A7,T_SelfStock_Log[WeekIndex],6)=0,"",SUMIFS(T_SelfStock_Log[Self_Qty],T_SelfStock_Log[Part Name],$A7,T_SelfStock_Log[WeekIndex],6))</f>
        <v/>
      </c>
      <c r="H7" s="18">
        <f>IF(COUNTIFS(T_SelfStock_Log[Part Name],$A7,T_SelfStock_Log[WeekIndex],7)=0,"",SUMIFS(T_SelfStock_Log[Self_Qty],T_SelfStock_Log[Part Name],$A7,T_SelfStock_Log[WeekIndex],7))</f>
        <v/>
      </c>
      <c r="I7" s="18">
        <f>IF(COUNTIFS(T_SelfStock_Log[Part Name],$A7,T_SelfStock_Log[WeekIndex],8)=0,"",SUMIFS(T_SelfStock_Log[Self_Qty],T_SelfStock_Log[Part Name],$A7,T_SelfStock_Log[WeekIndex],8))</f>
        <v/>
      </c>
      <c r="J7" s="18">
        <f>IF(COUNTIFS(T_SelfStock_Log[Part Name],$A7,T_SelfStock_Log[WeekIndex],9)=0,"",SUMIFS(T_SelfStock_Log[Self_Qty],T_SelfStock_Log[Part Name],$A7,T_SelfStock_Log[WeekIndex],9))</f>
        <v/>
      </c>
      <c r="K7" s="18">
        <f>IF(COUNTIFS(T_SelfStock_Log[Part Name],$A7,T_SelfStock_Log[WeekIndex],10)=0,"",SUMIFS(T_SelfStock_Log[Self_Qty],T_SelfStock_Log[Part Name],$A7,T_SelfStock_Log[WeekIndex],10))</f>
        <v/>
      </c>
      <c r="L7" s="18">
        <f>IF(COUNTIFS(T_SelfStock_Log[Part Name],$A7,T_SelfStock_Log[WeekIndex],11)=0,"",SUMIFS(T_SelfStock_Log[Self_Qty],T_SelfStock_Log[Part Name],$A7,T_SelfStock_Log[WeekIndex],11))</f>
        <v/>
      </c>
      <c r="M7" s="18">
        <f>IF(COUNTIFS(T_SelfStock_Log[Part Name],$A7,T_SelfStock_Log[WeekIndex],12)=0,"",SUMIFS(T_SelfStock_Log[Self_Qty],T_SelfStock_Log[Part Name],$A7,T_SelfStock_Log[WeekIndex],12))</f>
        <v/>
      </c>
      <c r="N7" s="18">
        <f>IF(COUNTIFS(T_SelfStock_Log[Part Name],$A7,T_SelfStock_Log[WeekIndex],13)=0,"",SUMIFS(T_SelfStock_Log[Self_Qty],T_SelfStock_Log[Part Name],$A7,T_SelfStock_Log[WeekIndex],13))</f>
        <v/>
      </c>
      <c r="O7" s="18">
        <f>IF(COUNTIFS(T_SelfStock_Log[Part Name],$A7,T_SelfStock_Log[WeekIndex],14)=0,"",SUMIFS(T_SelfStock_Log[Self_Qty],T_SelfStock_Log[Part Name],$A7,T_SelfStock_Log[WeekIndex],14))</f>
        <v/>
      </c>
      <c r="P7" s="18">
        <f>IF(COUNTIFS(T_SelfStock_Log[Part Name],$A7,T_SelfStock_Log[WeekIndex],15)=0,"",SUMIFS(T_SelfStock_Log[Self_Qty],T_SelfStock_Log[Part Name],$A7,T_SelfStock_Log[WeekIndex],15))</f>
        <v/>
      </c>
      <c r="Q7" s="18">
        <f>IF(COUNTIFS(T_SelfStock_Log[Part Name],$A7,T_SelfStock_Log[WeekIndex],16)=0,"",SUMIFS(T_SelfStock_Log[Self_Qty],T_SelfStock_Log[Part Name],$A7,T_SelfStock_Log[WeekIndex],16))</f>
        <v/>
      </c>
      <c r="R7" s="18">
        <f>IF(COUNTIFS(T_SelfStock_Log[Part Name],$A7,T_SelfStock_Log[WeekIndex],17)=0,"",SUMIFS(T_SelfStock_Log[Self_Qty],T_SelfStock_Log[Part Name],$A7,T_SelfStock_Log[WeekIndex],17))</f>
        <v/>
      </c>
      <c r="S7" s="18">
        <f>IF(COUNTIFS(T_SelfStock_Log[Part Name],$A7,T_SelfStock_Log[WeekIndex],18)=0,"",SUMIFS(T_SelfStock_Log[Self_Qty],T_SelfStock_Log[Part Name],$A7,T_SelfStock_Log[WeekIndex],18))</f>
        <v/>
      </c>
      <c r="T7" s="18">
        <f>IF(COUNTIFS(T_SelfStock_Log[Part Name],$A7,T_SelfStock_Log[WeekIndex],19)=0,"",SUMIFS(T_SelfStock_Log[Self_Qty],T_SelfStock_Log[Part Name],$A7,T_SelfStock_Log[WeekIndex],19))</f>
        <v/>
      </c>
      <c r="U7" s="18">
        <f>IF(COUNTIFS(T_SelfStock_Log[Part Name],$A7,T_SelfStock_Log[WeekIndex],20)=0,"",SUMIFS(T_SelfStock_Log[Self_Qty],T_SelfStock_Log[Part Name],$A7,T_SelfStock_Log[WeekIndex],20))</f>
        <v/>
      </c>
      <c r="V7" s="18">
        <f>IF(COUNTIFS(T_SelfStock_Log[Part Name],$A7,T_SelfStock_Log[WeekIndex],21)=0,"",SUMIFS(T_SelfStock_Log[Self_Qty],T_SelfStock_Log[Part Name],$A7,T_SelfStock_Log[WeekIndex],21))</f>
        <v/>
      </c>
      <c r="W7" s="18">
        <f>IF(COUNTIFS(T_SelfStock_Log[Part Name],$A7,T_SelfStock_Log[WeekIndex],22)=0,"",SUMIFS(T_SelfStock_Log[Self_Qty],T_SelfStock_Log[Part Name],$A7,T_SelfStock_Log[WeekIndex],22))</f>
        <v/>
      </c>
      <c r="X7" s="18">
        <f>IF(COUNTIFS(T_SelfStock_Log[Part Name],$A7,T_SelfStock_Log[WeekIndex],23)=0,"",SUMIFS(T_SelfStock_Log[Self_Qty],T_SelfStock_Log[Part Name],$A7,T_SelfStock_Log[WeekIndex],23))</f>
        <v/>
      </c>
      <c r="Y7" s="18">
        <f>IF(COUNTIFS(T_SelfStock_Log[Part Name],$A7,T_SelfStock_Log[WeekIndex],24)=0,"",SUMIFS(T_SelfStock_Log[Self_Qty],T_SelfStock_Log[Part Name],$A7,T_SelfStock_Log[WeekIndex],24))</f>
        <v/>
      </c>
      <c r="Z7" s="18">
        <f>IF(COUNTIFS(T_SelfStock_Log[Part Name],$A7,T_SelfStock_Log[WeekIndex],25)=0,"",SUMIFS(T_SelfStock_Log[Self_Qty],T_SelfStock_Log[Part Name],$A7,T_SelfStock_Log[WeekIndex],25))</f>
        <v/>
      </c>
      <c r="AA7" s="18">
        <f>IF(COUNTIFS(T_SelfStock_Log[Part Name],$A7,T_SelfStock_Log[WeekIndex],26)=0,"",SUMIFS(T_SelfStock_Log[Self_Qty],T_SelfStock_Log[Part Name],$A7,T_SelfStock_Log[WeekIndex],26))</f>
        <v/>
      </c>
      <c r="AB7" s="18">
        <f>IF(COUNTIFS(T_SelfStock_Log[Part Name],$A7,T_SelfStock_Log[WeekIndex],27)=0,"",SUMIFS(T_SelfStock_Log[Self_Qty],T_SelfStock_Log[Part Name],$A7,T_SelfStock_Log[WeekIndex],27))</f>
        <v/>
      </c>
      <c r="AC7" s="18">
        <f>IF(COUNTIFS(T_SelfStock_Log[Part Name],$A7,T_SelfStock_Log[WeekIndex],28)=0,"",SUMIFS(T_SelfStock_Log[Self_Qty],T_SelfStock_Log[Part Name],$A7,T_SelfStock_Log[WeekIndex],28))</f>
        <v/>
      </c>
      <c r="AD7" s="18">
        <f>IF(COUNTIFS(T_SelfStock_Log[Part Name],$A7,T_SelfStock_Log[WeekIndex],29)=0,"",SUMIFS(T_SelfStock_Log[Self_Qty],T_SelfStock_Log[Part Name],$A7,T_SelfStock_Log[WeekIndex],29))</f>
        <v/>
      </c>
      <c r="AE7" s="18">
        <f>IF(COUNTIFS(T_SelfStock_Log[Part Name],$A7,T_SelfStock_Log[WeekIndex],30)=0,"",SUMIFS(T_SelfStock_Log[Self_Qty],T_SelfStock_Log[Part Name],$A7,T_SelfStock_Log[WeekIndex],30))</f>
        <v/>
      </c>
      <c r="AF7" s="18">
        <f>IF(COUNTIFS(T_SelfStock_Log[Part Name],$A7,T_SelfStock_Log[WeekIndex],31)=0,"",SUMIFS(T_SelfStock_Log[Self_Qty],T_SelfStock_Log[Part Name],$A7,T_SelfStock_Log[WeekIndex],31))</f>
        <v/>
      </c>
      <c r="AG7" s="18">
        <f>IF(COUNTIFS(T_SelfStock_Log[Part Name],$A7,T_SelfStock_Log[WeekIndex],32)=0,"",SUMIFS(T_SelfStock_Log[Self_Qty],T_SelfStock_Log[Part Name],$A7,T_SelfStock_Log[WeekIndex],32))</f>
        <v/>
      </c>
      <c r="AH7" s="18">
        <f>IF(COUNTIFS(T_SelfStock_Log[Part Name],$A7,T_SelfStock_Log[WeekIndex],33)=0,"",SUMIFS(T_SelfStock_Log[Self_Qty],T_SelfStock_Log[Part Name],$A7,T_SelfStock_Log[WeekIndex],33))</f>
        <v/>
      </c>
      <c r="AI7" s="18">
        <f>IF(COUNTIFS(T_SelfStock_Log[Part Name],$A7,T_SelfStock_Log[WeekIndex],34)=0,"",SUMIFS(T_SelfStock_Log[Self_Qty],T_SelfStock_Log[Part Name],$A7,T_SelfStock_Log[WeekIndex],34))</f>
        <v/>
      </c>
      <c r="AJ7" s="18">
        <f>IF(COUNTIFS(T_SelfStock_Log[Part Name],$A7,T_SelfStock_Log[WeekIndex],35)=0,"",SUMIFS(T_SelfStock_Log[Self_Qty],T_SelfStock_Log[Part Name],$A7,T_SelfStock_Log[WeekIndex],35))</f>
        <v/>
      </c>
      <c r="AK7" s="18">
        <f>IF(COUNTIFS(T_SelfStock_Log[Part Name],$A7,T_SelfStock_Log[WeekIndex],36)=0,"",SUMIFS(T_SelfStock_Log[Self_Qty],T_SelfStock_Log[Part Name],$A7,T_SelfStock_Log[WeekIndex],36))</f>
        <v/>
      </c>
      <c r="AL7" s="18">
        <f>IF(COUNTIFS(T_SelfStock_Log[Part Name],$A7,T_SelfStock_Log[WeekIndex],37)=0,"",SUMIFS(T_SelfStock_Log[Self_Qty],T_SelfStock_Log[Part Name],$A7,T_SelfStock_Log[WeekIndex],37))</f>
        <v/>
      </c>
      <c r="AM7" s="18">
        <f>IF(COUNTIFS(T_SelfStock_Log[Part Name],$A7,T_SelfStock_Log[WeekIndex],38)=0,"",SUMIFS(T_SelfStock_Log[Self_Qty],T_SelfStock_Log[Part Name],$A7,T_SelfStock_Log[WeekIndex],38))</f>
        <v/>
      </c>
      <c r="AN7" s="18">
        <f>IF(COUNTIFS(T_SelfStock_Log[Part Name],$A7,T_SelfStock_Log[WeekIndex],39)=0,"",SUMIFS(T_SelfStock_Log[Self_Qty],T_SelfStock_Log[Part Name],$A7,T_SelfStock_Log[WeekIndex],39))</f>
        <v/>
      </c>
      <c r="AO7" s="18">
        <f>IF(COUNTIFS(T_SelfStock_Log[Part Name],$A7,T_SelfStock_Log[WeekIndex],40)=0,"",SUMIFS(T_SelfStock_Log[Self_Qty],T_SelfStock_Log[Part Name],$A7,T_SelfStock_Log[WeekIndex],40))</f>
        <v/>
      </c>
      <c r="AP7" s="18">
        <f>IF(COUNTIFS(T_SelfStock_Log[Part Name],$A7,T_SelfStock_Log[WeekIndex],41)=0,"",SUMIFS(T_SelfStock_Log[Self_Qty],T_SelfStock_Log[Part Name],$A7,T_SelfStock_Log[WeekIndex],41))</f>
        <v/>
      </c>
      <c r="AQ7" s="18">
        <f>IF(COUNTIFS(T_SelfStock_Log[Part Name],$A7,T_SelfStock_Log[WeekIndex],42)=0,"",SUMIFS(T_SelfStock_Log[Self_Qty],T_SelfStock_Log[Part Name],$A7,T_SelfStock_Log[WeekIndex],42))</f>
        <v/>
      </c>
      <c r="AR7" s="18">
        <f>IF(COUNTIFS(T_SelfStock_Log[Part Name],$A7,T_SelfStock_Log[WeekIndex],43)=0,"",SUMIFS(T_SelfStock_Log[Self_Qty],T_SelfStock_Log[Part Name],$A7,T_SelfStock_Log[WeekIndex],43))</f>
        <v/>
      </c>
      <c r="AS7" s="18">
        <f>IF(COUNTIFS(T_SelfStock_Log[Part Name],$A7,T_SelfStock_Log[WeekIndex],44)=0,"",SUMIFS(T_SelfStock_Log[Self_Qty],T_SelfStock_Log[Part Name],$A7,T_SelfStock_Log[WeekIndex],44))</f>
        <v/>
      </c>
      <c r="AT7" s="18">
        <f>IF(COUNTIFS(T_SelfStock_Log[Part Name],$A7,T_SelfStock_Log[WeekIndex],45)=0,"",SUMIFS(T_SelfStock_Log[Self_Qty],T_SelfStock_Log[Part Name],$A7,T_SelfStock_Log[WeekIndex],45))</f>
        <v/>
      </c>
      <c r="AU7" s="18">
        <f>IF(COUNTIFS(T_SelfStock_Log[Part Name],$A7,T_SelfStock_Log[WeekIndex],46)=0,"",SUMIFS(T_SelfStock_Log[Self_Qty],T_SelfStock_Log[Part Name],$A7,T_SelfStock_Log[WeekIndex],46))</f>
        <v/>
      </c>
      <c r="AV7" s="18">
        <f>IF(COUNTIFS(T_SelfStock_Log[Part Name],$A7,T_SelfStock_Log[WeekIndex],47)=0,"",SUMIFS(T_SelfStock_Log[Self_Qty],T_SelfStock_Log[Part Name],$A7,T_SelfStock_Log[WeekIndex],47))</f>
        <v/>
      </c>
      <c r="AW7" s="18">
        <f>IF(COUNTIFS(T_SelfStock_Log[Part Name],$A7,T_SelfStock_Log[WeekIndex],48)=0,"",SUMIFS(T_SelfStock_Log[Self_Qty],T_SelfStock_Log[Part Name],$A7,T_SelfStock_Log[WeekIndex],48))</f>
        <v/>
      </c>
      <c r="AX7" s="18">
        <f>IF(COUNTIFS(T_SelfStock_Log[Part Name],$A7,T_SelfStock_Log[WeekIndex],49)=0,"",SUMIFS(T_SelfStock_Log[Self_Qty],T_SelfStock_Log[Part Name],$A7,T_SelfStock_Log[WeekIndex],49))</f>
        <v/>
      </c>
      <c r="AY7" s="18">
        <f>IF(COUNTIFS(T_SelfStock_Log[Part Name],$A7,T_SelfStock_Log[WeekIndex],50)=0,"",SUMIFS(T_SelfStock_Log[Self_Qty],T_SelfStock_Log[Part Name],$A7,T_SelfStock_Log[WeekIndex],50))</f>
        <v/>
      </c>
      <c r="AZ7" s="18">
        <f>IF(COUNTIFS(T_SelfStock_Log[Part Name],$A7,T_SelfStock_Log[WeekIndex],51)=0,"",SUMIFS(T_SelfStock_Log[Self_Qty],T_SelfStock_Log[Part Name],$A7,T_SelfStock_Log[WeekIndex],51))</f>
        <v/>
      </c>
      <c r="BA7" s="18">
        <f>IF(COUNTIFS(T_SelfStock_Log[Part Name],$A7,T_SelfStock_Log[WeekIndex],52)=0,"",SUMIFS(T_SelfStock_Log[Self_Qty],T_SelfStock_Log[Part Name],$A7,T_SelfStock_Log[WeekIndex],52))</f>
        <v/>
      </c>
      <c r="BB7" s="18">
        <f>IF(COUNTIFS(T_SelfStock_Log[Part Name],$A7,T_SelfStock_Log[WeekIndex],53)=0,"",SUMIFS(T_SelfStock_Log[Self_Qty],T_SelfStock_Log[Part Name],$A7,T_SelfStock_Log[WeekIndex],53))</f>
        <v/>
      </c>
      <c r="BC7" s="18">
        <f>IF(COUNTIFS(T_SelfStock_Log[Part Name],$A7,T_SelfStock_Log[WeekIndex],54)=0,"",SUMIFS(T_SelfStock_Log[Self_Qty],T_SelfStock_Log[Part Name],$A7,T_SelfStock_Log[WeekIndex],54))</f>
        <v/>
      </c>
      <c r="BD7" s="18">
        <f>IF(COUNTIFS(T_SelfStock_Log[Part Name],$A7,T_SelfStock_Log[WeekIndex],55)=0,"",SUMIFS(T_SelfStock_Log[Self_Qty],T_SelfStock_Log[Part Name],$A7,T_SelfStock_Log[WeekIndex],55))</f>
        <v/>
      </c>
      <c r="BE7" s="18">
        <f>IF(COUNTIFS(T_SelfStock_Log[Part Name],$A7,T_SelfStock_Log[WeekIndex],56)=0,"",SUMIFS(T_SelfStock_Log[Self_Qty],T_SelfStock_Log[Part Name],$A7,T_SelfStock_Log[WeekIndex],56))</f>
        <v/>
      </c>
      <c r="BF7" s="18">
        <f>IF(COUNTIFS(T_SelfStock_Log[Part Name],$A7,T_SelfStock_Log[WeekIndex],57)=0,"",SUMIFS(T_SelfStock_Log[Self_Qty],T_SelfStock_Log[Part Name],$A7,T_SelfStock_Log[WeekIndex],57))</f>
        <v/>
      </c>
      <c r="BG7" s="18">
        <f>IF(COUNTIFS(T_SelfStock_Log[Part Name],$A7,T_SelfStock_Log[WeekIndex],58)=0,"",SUMIFS(T_SelfStock_Log[Self_Qty],T_SelfStock_Log[Part Name],$A7,T_SelfStock_Log[WeekIndex],58))</f>
        <v/>
      </c>
      <c r="BH7" s="18">
        <f>IF(COUNTIFS(T_SelfStock_Log[Part Name],$A7,T_SelfStock_Log[WeekIndex],59)=0,"",SUMIFS(T_SelfStock_Log[Self_Qty],T_SelfStock_Log[Part Name],$A7,T_SelfStock_Log[WeekIndex],59))</f>
        <v/>
      </c>
      <c r="BI7" s="18">
        <f>IF(COUNTIFS(T_SelfStock_Log[Part Name],$A7,T_SelfStock_Log[WeekIndex],60)=0,"",SUMIFS(T_SelfStock_Log[Self_Qty],T_SelfStock_Log[Part Name],$A7,T_SelfStock_Log[WeekIndex],60))</f>
        <v/>
      </c>
      <c r="BJ7" s="18">
        <f>IF(COUNTIFS(T_SelfStock_Log[Part Name],$A7,T_SelfStock_Log[WeekIndex],61)=0,"",SUMIFS(T_SelfStock_Log[Self_Qty],T_SelfStock_Log[Part Name],$A7,T_SelfStock_Log[WeekIndex],61))</f>
        <v/>
      </c>
      <c r="BK7" s="18">
        <f>IF(COUNTIFS(T_SelfStock_Log[Part Name],$A7,T_SelfStock_Log[WeekIndex],62)=0,"",SUMIFS(T_SelfStock_Log[Self_Qty],T_SelfStock_Log[Part Name],$A7,T_SelfStock_Log[WeekIndex],62))</f>
        <v/>
      </c>
      <c r="BL7" s="18">
        <f>IF(COUNTIFS(T_SelfStock_Log[Part Name],$A7,T_SelfStock_Log[WeekIndex],63)=0,"",SUMIFS(T_SelfStock_Log[Self_Qty],T_SelfStock_Log[Part Name],$A7,T_SelfStock_Log[WeekIndex],63))</f>
        <v/>
      </c>
      <c r="BM7" s="18">
        <f>IF(COUNTIFS(T_SelfStock_Log[Part Name],$A7,T_SelfStock_Log[WeekIndex],64)=0,"",SUMIFS(T_SelfStock_Log[Self_Qty],T_SelfStock_Log[Part Name],$A7,T_SelfStock_Log[WeekIndex],64))</f>
        <v/>
      </c>
      <c r="BN7" s="18">
        <f>IF(COUNTIFS(T_SelfStock_Log[Part Name],$A7,T_SelfStock_Log[WeekIndex],65)=0,"",SUMIFS(T_SelfStock_Log[Self_Qty],T_SelfStock_Log[Part Name],$A7,T_SelfStock_Log[WeekIndex],65))</f>
        <v/>
      </c>
      <c r="BO7" s="18">
        <f>IF(COUNTIFS(T_SelfStock_Log[Part Name],$A7,T_SelfStock_Log[WeekIndex],66)=0,"",SUMIFS(T_SelfStock_Log[Self_Qty],T_SelfStock_Log[Part Name],$A7,T_SelfStock_Log[WeekIndex],66))</f>
        <v/>
      </c>
      <c r="BP7" s="18">
        <f>IF(COUNTIFS(T_SelfStock_Log[Part Name],$A7,T_SelfStock_Log[WeekIndex],67)=0,"",SUMIFS(T_SelfStock_Log[Self_Qty],T_SelfStock_Log[Part Name],$A7,T_SelfStock_Log[WeekIndex],67))</f>
        <v/>
      </c>
      <c r="BQ7" s="18">
        <f>IF(COUNTIFS(T_SelfStock_Log[Part Name],$A7,T_SelfStock_Log[WeekIndex],68)=0,"",SUMIFS(T_SelfStock_Log[Self_Qty],T_SelfStock_Log[Part Name],$A7,T_SelfStock_Log[WeekIndex],68))</f>
        <v/>
      </c>
      <c r="BR7" s="18">
        <f>IF(COUNTIFS(T_SelfStock_Log[Part Name],$A7,T_SelfStock_Log[WeekIndex],69)=0,"",SUMIFS(T_SelfStock_Log[Self_Qty],T_SelfStock_Log[Part Name],$A7,T_SelfStock_Log[WeekIndex],69))</f>
        <v/>
      </c>
      <c r="BS7" s="18">
        <f>IF(COUNTIFS(T_SelfStock_Log[Part Name],$A7,T_SelfStock_Log[WeekIndex],70)=0,"",SUMIFS(T_SelfStock_Log[Self_Qty],T_SelfStock_Log[Part Name],$A7,T_SelfStock_Log[WeekIndex],70))</f>
        <v/>
      </c>
      <c r="BT7" s="18">
        <f>IF(COUNTIFS(T_SelfStock_Log[Part Name],$A7,T_SelfStock_Log[WeekIndex],71)=0,"",SUMIFS(T_SelfStock_Log[Self_Qty],T_SelfStock_Log[Part Name],$A7,T_SelfStock_Log[WeekIndex],71))</f>
        <v/>
      </c>
      <c r="BU7" s="18">
        <f>IF(COUNTIFS(T_SelfStock_Log[Part Name],$A7,T_SelfStock_Log[WeekIndex],72)=0,"",SUMIFS(T_SelfStock_Log[Self_Qty],T_SelfStock_Log[Part Name],$A7,T_SelfStock_Log[WeekIndex],72))</f>
        <v/>
      </c>
      <c r="BV7" s="18">
        <f>IF(COUNTIFS(T_SelfStock_Log[Part Name],$A7,T_SelfStock_Log[WeekIndex],73)=0,"",SUMIFS(T_SelfStock_Log[Self_Qty],T_SelfStock_Log[Part Name],$A7,T_SelfStock_Log[WeekIndex],73))</f>
        <v/>
      </c>
      <c r="BW7" s="18">
        <f>IF(COUNTIFS(T_SelfStock_Log[Part Name],$A7,T_SelfStock_Log[WeekIndex],74)=0,"",SUMIFS(T_SelfStock_Log[Self_Qty],T_SelfStock_Log[Part Name],$A7,T_SelfStock_Log[WeekIndex],74))</f>
        <v/>
      </c>
      <c r="BX7" s="18">
        <f>IF(COUNTIFS(T_SelfStock_Log[Part Name],$A7,T_SelfStock_Log[WeekIndex],75)=0,"",SUMIFS(T_SelfStock_Log[Self_Qty],T_SelfStock_Log[Part Name],$A7,T_SelfStock_Log[WeekIndex],75))</f>
        <v/>
      </c>
      <c r="BY7" s="18">
        <f>IF(COUNTIFS(T_SelfStock_Log[Part Name],$A7,T_SelfStock_Log[WeekIndex],76)=0,"",SUMIFS(T_SelfStock_Log[Self_Qty],T_SelfStock_Log[Part Name],$A7,T_SelfStock_Log[WeekIndex],76))</f>
        <v/>
      </c>
      <c r="BZ7" s="18">
        <f>IF(COUNTIFS(T_SelfStock_Log[Part Name],$A7,T_SelfStock_Log[WeekIndex],77)=0,"",SUMIFS(T_SelfStock_Log[Self_Qty],T_SelfStock_Log[Part Name],$A7,T_SelfStock_Log[WeekIndex],77))</f>
        <v/>
      </c>
      <c r="CA7" s="18">
        <f>IF(COUNTIFS(T_SelfStock_Log[Part Name],$A7,T_SelfStock_Log[WeekIndex],78)=0,"",SUMIFS(T_SelfStock_Log[Self_Qty],T_SelfStock_Log[Part Name],$A7,T_SelfStock_Log[WeekIndex],78))</f>
        <v/>
      </c>
      <c r="CB7" s="18">
        <f>IF(COUNTIFS(T_SelfStock_Log[Part Name],$A7,T_SelfStock_Log[WeekIndex],79)=0,"",SUMIFS(T_SelfStock_Log[Self_Qty],T_SelfStock_Log[Part Name],$A7,T_SelfStock_Log[WeekIndex],79))</f>
        <v/>
      </c>
      <c r="CC7" s="18">
        <f>IF(COUNTIFS(T_SelfStock_Log[Part Name],$A7,T_SelfStock_Log[WeekIndex],80)=0,"",SUMIFS(T_SelfStock_Log[Self_Qty],T_SelfStock_Log[Part Name],$A7,T_SelfStock_Log[WeekIndex],80))</f>
        <v/>
      </c>
      <c r="CD7" s="18">
        <f>IF(COUNTIFS(T_SelfStock_Log[Part Name],$A7,T_SelfStock_Log[WeekIndex],81)=0,"",SUMIFS(T_SelfStock_Log[Self_Qty],T_SelfStock_Log[Part Name],$A7,T_SelfStock_Log[WeekIndex],81))</f>
        <v/>
      </c>
      <c r="CE7" s="18">
        <f>IF(COUNTIFS(T_SelfStock_Log[Part Name],$A7,T_SelfStock_Log[WeekIndex],82)=0,"",SUMIFS(T_SelfStock_Log[Self_Qty],T_SelfStock_Log[Part Name],$A7,T_SelfStock_Log[WeekIndex],82))</f>
        <v/>
      </c>
      <c r="CF7" s="18">
        <f>IF(COUNTIFS(T_SelfStock_Log[Part Name],$A7,T_SelfStock_Log[WeekIndex],83)=0,"",SUMIFS(T_SelfStock_Log[Self_Qty],T_SelfStock_Log[Part Name],$A7,T_SelfStock_Log[WeekIndex],83))</f>
        <v/>
      </c>
      <c r="CG7" s="18">
        <f>IF(COUNTIFS(T_SelfStock_Log[Part Name],$A7,T_SelfStock_Log[WeekIndex],84)=0,"",SUMIFS(T_SelfStock_Log[Self_Qty],T_SelfStock_Log[Part Name],$A7,T_SelfStock_Log[WeekIndex],84))</f>
        <v/>
      </c>
      <c r="CH7" s="18">
        <f>IF(COUNTIFS(T_SelfStock_Log[Part Name],$A7,T_SelfStock_Log[WeekIndex],85)=0,"",SUMIFS(T_SelfStock_Log[Self_Qty],T_SelfStock_Log[Part Name],$A7,T_SelfStock_Log[WeekIndex],85))</f>
        <v/>
      </c>
      <c r="CI7" s="18">
        <f>IF(COUNTIFS(T_SelfStock_Log[Part Name],$A7,T_SelfStock_Log[WeekIndex],86)=0,"",SUMIFS(T_SelfStock_Log[Self_Qty],T_SelfStock_Log[Part Name],$A7,T_SelfStock_Log[WeekIndex],86))</f>
        <v/>
      </c>
      <c r="CJ7" s="18">
        <f>IF(COUNTIFS(T_SelfStock_Log[Part Name],$A7,T_SelfStock_Log[WeekIndex],87)=0,"",SUMIFS(T_SelfStock_Log[Self_Qty],T_SelfStock_Log[Part Name],$A7,T_SelfStock_Log[WeekIndex],87))</f>
        <v/>
      </c>
      <c r="CK7" s="18">
        <f>IF(COUNTIFS(T_SelfStock_Log[Part Name],$A7,T_SelfStock_Log[WeekIndex],88)=0,"",SUMIFS(T_SelfStock_Log[Self_Qty],T_SelfStock_Log[Part Name],$A7,T_SelfStock_Log[WeekIndex],88))</f>
        <v/>
      </c>
      <c r="CL7" s="18">
        <f>IF(COUNTIFS(T_SelfStock_Log[Part Name],$A7,T_SelfStock_Log[WeekIndex],89)=0,"",SUMIFS(T_SelfStock_Log[Self_Qty],T_SelfStock_Log[Part Name],$A7,T_SelfStock_Log[WeekIndex],89))</f>
        <v/>
      </c>
      <c r="CM7" s="18">
        <f>IF(COUNTIFS(T_SelfStock_Log[Part Name],$A7,T_SelfStock_Log[WeekIndex],90)=0,"",SUMIFS(T_SelfStock_Log[Self_Qty],T_SelfStock_Log[Part Name],$A7,T_SelfStock_Log[WeekIndex],90))</f>
        <v/>
      </c>
      <c r="CN7" s="18">
        <f>IF(COUNTIFS(T_SelfStock_Log[Part Name],$A7,T_SelfStock_Log[WeekIndex],91)=0,"",SUMIFS(T_SelfStock_Log[Self_Qty],T_SelfStock_Log[Part Name],$A7,T_SelfStock_Log[WeekIndex],91))</f>
        <v/>
      </c>
      <c r="CO7" s="18">
        <f>IF(COUNTIFS(T_SelfStock_Log[Part Name],$A7,T_SelfStock_Log[WeekIndex],92)=0,"",SUMIFS(T_SelfStock_Log[Self_Qty],T_SelfStock_Log[Part Name],$A7,T_SelfStock_Log[WeekIndex],92))</f>
        <v/>
      </c>
      <c r="CP7" s="18">
        <f>IF(COUNTIFS(T_SelfStock_Log[Part Name],$A7,T_SelfStock_Log[WeekIndex],93)=0,"",SUMIFS(T_SelfStock_Log[Self_Qty],T_SelfStock_Log[Part Name],$A7,T_SelfStock_Log[WeekIndex],93))</f>
        <v/>
      </c>
      <c r="CQ7" s="18">
        <f>IF(COUNTIFS(T_SelfStock_Log[Part Name],$A7,T_SelfStock_Log[WeekIndex],94)=0,"",SUMIFS(T_SelfStock_Log[Self_Qty],T_SelfStock_Log[Part Name],$A7,T_SelfStock_Log[WeekIndex],94))</f>
        <v/>
      </c>
      <c r="CR7" s="18">
        <f>IF(COUNTIFS(T_SelfStock_Log[Part Name],$A7,T_SelfStock_Log[WeekIndex],95)=0,"",SUMIFS(T_SelfStock_Log[Self_Qty],T_SelfStock_Log[Part Name],$A7,T_SelfStock_Log[WeekIndex],95))</f>
        <v/>
      </c>
      <c r="CS7" s="18">
        <f>IF(COUNTIFS(T_SelfStock_Log[Part Name],$A7,T_SelfStock_Log[WeekIndex],96)=0,"",SUMIFS(T_SelfStock_Log[Self_Qty],T_SelfStock_Log[Part Name],$A7,T_SelfStock_Log[WeekIndex],96))</f>
        <v/>
      </c>
      <c r="CT7" s="18">
        <f>IF(COUNTIFS(T_SelfStock_Log[Part Name],$A7,T_SelfStock_Log[WeekIndex],97)=0,"",SUMIFS(T_SelfStock_Log[Self_Qty],T_SelfStock_Log[Part Name],$A7,T_SelfStock_Log[WeekIndex],97))</f>
        <v/>
      </c>
      <c r="CU7" s="18">
        <f>IF(COUNTIFS(T_SelfStock_Log[Part Name],$A7,T_SelfStock_Log[WeekIndex],98)=0,"",SUMIFS(T_SelfStock_Log[Self_Qty],T_SelfStock_Log[Part Name],$A7,T_SelfStock_Log[WeekIndex],98))</f>
        <v/>
      </c>
      <c r="CV7" s="18">
        <f>IF(COUNTIFS(T_SelfStock_Log[Part Name],$A7,T_SelfStock_Log[WeekIndex],99)=0,"",SUMIFS(T_SelfStock_Log[Self_Qty],T_SelfStock_Log[Part Name],$A7,T_SelfStock_Log[WeekIndex],99))</f>
        <v/>
      </c>
      <c r="CW7" s="18">
        <f>IF(COUNTIFS(T_SelfStock_Log[Part Name],$A7,T_SelfStock_Log[WeekIndex],100)=0,"",SUMIFS(T_SelfStock_Log[Self_Qty],T_SelfStock_Log[Part Name],$A7,T_SelfStock_Log[WeekIndex],100))</f>
        <v/>
      </c>
      <c r="CX7" s="18">
        <f>IF(COUNTIFS(T_SelfStock_Log[Part Name],$A7,T_SelfStock_Log[WeekIndex],101)=0,"",SUMIFS(T_SelfStock_Log[Self_Qty],T_SelfStock_Log[Part Name],$A7,T_SelfStock_Log[WeekIndex],101))</f>
        <v/>
      </c>
      <c r="CY7" s="18">
        <f>IF(COUNTIFS(T_SelfStock_Log[Part Name],$A7,T_SelfStock_Log[WeekIndex],102)=0,"",SUMIFS(T_SelfStock_Log[Self_Qty],T_SelfStock_Log[Part Name],$A7,T_SelfStock_Log[WeekIndex],102))</f>
        <v/>
      </c>
      <c r="CZ7" s="18">
        <f>IF(COUNTIFS(T_SelfStock_Log[Part Name],$A7,T_SelfStock_Log[WeekIndex],103)=0,"",SUMIFS(T_SelfStock_Log[Self_Qty],T_SelfStock_Log[Part Name],$A7,T_SelfStock_Log[WeekIndex],103))</f>
        <v/>
      </c>
      <c r="DA7" s="18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CHEM-1700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8" t="inlineStr">
        <is>
          <t>CHEM-1420</t>
        </is>
      </c>
      <c r="B9" s="18">
        <f>IF(COUNTIFS(T_SelfStock_Log[Part Name],$A9,T_SelfStock_Log[WeekIndex],1)=0,"",SUMIFS(T_SelfStock_Log[Self_Qty],T_SelfStock_Log[Part Name],$A9,T_SelfStock_Log[WeekIndex],1))</f>
        <v/>
      </c>
      <c r="C9" s="18">
        <f>IF(COUNTIFS(T_SelfStock_Log[Part Name],$A9,T_SelfStock_Log[WeekIndex],2)=0,"",SUMIFS(T_SelfStock_Log[Self_Qty],T_SelfStock_Log[Part Name],$A9,T_SelfStock_Log[WeekIndex],2))</f>
        <v/>
      </c>
      <c r="D9" s="18">
        <f>IF(COUNTIFS(T_SelfStock_Log[Part Name],$A9,T_SelfStock_Log[WeekIndex],3)=0,"",SUMIFS(T_SelfStock_Log[Self_Qty],T_SelfStock_Log[Part Name],$A9,T_SelfStock_Log[WeekIndex],3))</f>
        <v/>
      </c>
      <c r="E9" s="18">
        <f>IF(COUNTIFS(T_SelfStock_Log[Part Name],$A9,T_SelfStock_Log[WeekIndex],4)=0,"",SUMIFS(T_SelfStock_Log[Self_Qty],T_SelfStock_Log[Part Name],$A9,T_SelfStock_Log[WeekIndex],4))</f>
        <v/>
      </c>
      <c r="F9" s="18">
        <f>IF(COUNTIFS(T_SelfStock_Log[Part Name],$A9,T_SelfStock_Log[WeekIndex],5)=0,"",SUMIFS(T_SelfStock_Log[Self_Qty],T_SelfStock_Log[Part Name],$A9,T_SelfStock_Log[WeekIndex],5))</f>
        <v/>
      </c>
      <c r="G9" s="18">
        <f>IF(COUNTIFS(T_SelfStock_Log[Part Name],$A9,T_SelfStock_Log[WeekIndex],6)=0,"",SUMIFS(T_SelfStock_Log[Self_Qty],T_SelfStock_Log[Part Name],$A9,T_SelfStock_Log[WeekIndex],6))</f>
        <v/>
      </c>
      <c r="H9" s="18">
        <f>IF(COUNTIFS(T_SelfStock_Log[Part Name],$A9,T_SelfStock_Log[WeekIndex],7)=0,"",SUMIFS(T_SelfStock_Log[Self_Qty],T_SelfStock_Log[Part Name],$A9,T_SelfStock_Log[WeekIndex],7))</f>
        <v/>
      </c>
      <c r="I9" s="18">
        <f>IF(COUNTIFS(T_SelfStock_Log[Part Name],$A9,T_SelfStock_Log[WeekIndex],8)=0,"",SUMIFS(T_SelfStock_Log[Self_Qty],T_SelfStock_Log[Part Name],$A9,T_SelfStock_Log[WeekIndex],8))</f>
        <v/>
      </c>
      <c r="J9" s="18">
        <f>IF(COUNTIFS(T_SelfStock_Log[Part Name],$A9,T_SelfStock_Log[WeekIndex],9)=0,"",SUMIFS(T_SelfStock_Log[Self_Qty],T_SelfStock_Log[Part Name],$A9,T_SelfStock_Log[WeekIndex],9))</f>
        <v/>
      </c>
      <c r="K9" s="18">
        <f>IF(COUNTIFS(T_SelfStock_Log[Part Name],$A9,T_SelfStock_Log[WeekIndex],10)=0,"",SUMIFS(T_SelfStock_Log[Self_Qty],T_SelfStock_Log[Part Name],$A9,T_SelfStock_Log[WeekIndex],10))</f>
        <v/>
      </c>
      <c r="L9" s="18">
        <f>IF(COUNTIFS(T_SelfStock_Log[Part Name],$A9,T_SelfStock_Log[WeekIndex],11)=0,"",SUMIFS(T_SelfStock_Log[Self_Qty],T_SelfStock_Log[Part Name],$A9,T_SelfStock_Log[WeekIndex],11))</f>
        <v/>
      </c>
      <c r="M9" s="18">
        <f>IF(COUNTIFS(T_SelfStock_Log[Part Name],$A9,T_SelfStock_Log[WeekIndex],12)=0,"",SUMIFS(T_SelfStock_Log[Self_Qty],T_SelfStock_Log[Part Name],$A9,T_SelfStock_Log[WeekIndex],12))</f>
        <v/>
      </c>
      <c r="N9" s="18">
        <f>IF(COUNTIFS(T_SelfStock_Log[Part Name],$A9,T_SelfStock_Log[WeekIndex],13)=0,"",SUMIFS(T_SelfStock_Log[Self_Qty],T_SelfStock_Log[Part Name],$A9,T_SelfStock_Log[WeekIndex],13))</f>
        <v/>
      </c>
      <c r="O9" s="18">
        <f>IF(COUNTIFS(T_SelfStock_Log[Part Name],$A9,T_SelfStock_Log[WeekIndex],14)=0,"",SUMIFS(T_SelfStock_Log[Self_Qty],T_SelfStock_Log[Part Name],$A9,T_SelfStock_Log[WeekIndex],14))</f>
        <v/>
      </c>
      <c r="P9" s="18">
        <f>IF(COUNTIFS(T_SelfStock_Log[Part Name],$A9,T_SelfStock_Log[WeekIndex],15)=0,"",SUMIFS(T_SelfStock_Log[Self_Qty],T_SelfStock_Log[Part Name],$A9,T_SelfStock_Log[WeekIndex],15))</f>
        <v/>
      </c>
      <c r="Q9" s="18">
        <f>IF(COUNTIFS(T_SelfStock_Log[Part Name],$A9,T_SelfStock_Log[WeekIndex],16)=0,"",SUMIFS(T_SelfStock_Log[Self_Qty],T_SelfStock_Log[Part Name],$A9,T_SelfStock_Log[WeekIndex],16))</f>
        <v/>
      </c>
      <c r="R9" s="18">
        <f>IF(COUNTIFS(T_SelfStock_Log[Part Name],$A9,T_SelfStock_Log[WeekIndex],17)=0,"",SUMIFS(T_SelfStock_Log[Self_Qty],T_SelfStock_Log[Part Name],$A9,T_SelfStock_Log[WeekIndex],17))</f>
        <v/>
      </c>
      <c r="S9" s="18">
        <f>IF(COUNTIFS(T_SelfStock_Log[Part Name],$A9,T_SelfStock_Log[WeekIndex],18)=0,"",SUMIFS(T_SelfStock_Log[Self_Qty],T_SelfStock_Log[Part Name],$A9,T_SelfStock_Log[WeekIndex],18))</f>
        <v/>
      </c>
      <c r="T9" s="18">
        <f>IF(COUNTIFS(T_SelfStock_Log[Part Name],$A9,T_SelfStock_Log[WeekIndex],19)=0,"",SUMIFS(T_SelfStock_Log[Self_Qty],T_SelfStock_Log[Part Name],$A9,T_SelfStock_Log[WeekIndex],19))</f>
        <v/>
      </c>
      <c r="U9" s="18">
        <f>IF(COUNTIFS(T_SelfStock_Log[Part Name],$A9,T_SelfStock_Log[WeekIndex],20)=0,"",SUMIFS(T_SelfStock_Log[Self_Qty],T_SelfStock_Log[Part Name],$A9,T_SelfStock_Log[WeekIndex],20))</f>
        <v/>
      </c>
      <c r="V9" s="18">
        <f>IF(COUNTIFS(T_SelfStock_Log[Part Name],$A9,T_SelfStock_Log[WeekIndex],21)=0,"",SUMIFS(T_SelfStock_Log[Self_Qty],T_SelfStock_Log[Part Name],$A9,T_SelfStock_Log[WeekIndex],21))</f>
        <v/>
      </c>
      <c r="W9" s="18">
        <f>IF(COUNTIFS(T_SelfStock_Log[Part Name],$A9,T_SelfStock_Log[WeekIndex],22)=0,"",SUMIFS(T_SelfStock_Log[Self_Qty],T_SelfStock_Log[Part Name],$A9,T_SelfStock_Log[WeekIndex],22))</f>
        <v/>
      </c>
      <c r="X9" s="18">
        <f>IF(COUNTIFS(T_SelfStock_Log[Part Name],$A9,T_SelfStock_Log[WeekIndex],23)=0,"",SUMIFS(T_SelfStock_Log[Self_Qty],T_SelfStock_Log[Part Name],$A9,T_SelfStock_Log[WeekIndex],23))</f>
        <v/>
      </c>
      <c r="Y9" s="18">
        <f>IF(COUNTIFS(T_SelfStock_Log[Part Name],$A9,T_SelfStock_Log[WeekIndex],24)=0,"",SUMIFS(T_SelfStock_Log[Self_Qty],T_SelfStock_Log[Part Name],$A9,T_SelfStock_Log[WeekIndex],24))</f>
        <v/>
      </c>
      <c r="Z9" s="18">
        <f>IF(COUNTIFS(T_SelfStock_Log[Part Name],$A9,T_SelfStock_Log[WeekIndex],25)=0,"",SUMIFS(T_SelfStock_Log[Self_Qty],T_SelfStock_Log[Part Name],$A9,T_SelfStock_Log[WeekIndex],25))</f>
        <v/>
      </c>
      <c r="AA9" s="18">
        <f>IF(COUNTIFS(T_SelfStock_Log[Part Name],$A9,T_SelfStock_Log[WeekIndex],26)=0,"",SUMIFS(T_SelfStock_Log[Self_Qty],T_SelfStock_Log[Part Name],$A9,T_SelfStock_Log[WeekIndex],26))</f>
        <v/>
      </c>
      <c r="AB9" s="18">
        <f>IF(COUNTIFS(T_SelfStock_Log[Part Name],$A9,T_SelfStock_Log[WeekIndex],27)=0,"",SUMIFS(T_SelfStock_Log[Self_Qty],T_SelfStock_Log[Part Name],$A9,T_SelfStock_Log[WeekIndex],27))</f>
        <v/>
      </c>
      <c r="AC9" s="18">
        <f>IF(COUNTIFS(T_SelfStock_Log[Part Name],$A9,T_SelfStock_Log[WeekIndex],28)=0,"",SUMIFS(T_SelfStock_Log[Self_Qty],T_SelfStock_Log[Part Name],$A9,T_SelfStock_Log[WeekIndex],28))</f>
        <v/>
      </c>
      <c r="AD9" s="18">
        <f>IF(COUNTIFS(T_SelfStock_Log[Part Name],$A9,T_SelfStock_Log[WeekIndex],29)=0,"",SUMIFS(T_SelfStock_Log[Self_Qty],T_SelfStock_Log[Part Name],$A9,T_SelfStock_Log[WeekIndex],29))</f>
        <v/>
      </c>
      <c r="AE9" s="18">
        <f>IF(COUNTIFS(T_SelfStock_Log[Part Name],$A9,T_SelfStock_Log[WeekIndex],30)=0,"",SUMIFS(T_SelfStock_Log[Self_Qty],T_SelfStock_Log[Part Name],$A9,T_SelfStock_Log[WeekIndex],30))</f>
        <v/>
      </c>
      <c r="AF9" s="18">
        <f>IF(COUNTIFS(T_SelfStock_Log[Part Name],$A9,T_SelfStock_Log[WeekIndex],31)=0,"",SUMIFS(T_SelfStock_Log[Self_Qty],T_SelfStock_Log[Part Name],$A9,T_SelfStock_Log[WeekIndex],31))</f>
        <v/>
      </c>
      <c r="AG9" s="18">
        <f>IF(COUNTIFS(T_SelfStock_Log[Part Name],$A9,T_SelfStock_Log[WeekIndex],32)=0,"",SUMIFS(T_SelfStock_Log[Self_Qty],T_SelfStock_Log[Part Name],$A9,T_SelfStock_Log[WeekIndex],32))</f>
        <v/>
      </c>
      <c r="AH9" s="18">
        <f>IF(COUNTIFS(T_SelfStock_Log[Part Name],$A9,T_SelfStock_Log[WeekIndex],33)=0,"",SUMIFS(T_SelfStock_Log[Self_Qty],T_SelfStock_Log[Part Name],$A9,T_SelfStock_Log[WeekIndex],33))</f>
        <v/>
      </c>
      <c r="AI9" s="18">
        <f>IF(COUNTIFS(T_SelfStock_Log[Part Name],$A9,T_SelfStock_Log[WeekIndex],34)=0,"",SUMIFS(T_SelfStock_Log[Self_Qty],T_SelfStock_Log[Part Name],$A9,T_SelfStock_Log[WeekIndex],34))</f>
        <v/>
      </c>
      <c r="AJ9" s="18">
        <f>IF(COUNTIFS(T_SelfStock_Log[Part Name],$A9,T_SelfStock_Log[WeekIndex],35)=0,"",SUMIFS(T_SelfStock_Log[Self_Qty],T_SelfStock_Log[Part Name],$A9,T_SelfStock_Log[WeekIndex],35))</f>
        <v/>
      </c>
      <c r="AK9" s="18">
        <f>IF(COUNTIFS(T_SelfStock_Log[Part Name],$A9,T_SelfStock_Log[WeekIndex],36)=0,"",SUMIFS(T_SelfStock_Log[Self_Qty],T_SelfStock_Log[Part Name],$A9,T_SelfStock_Log[WeekIndex],36))</f>
        <v/>
      </c>
      <c r="AL9" s="18">
        <f>IF(COUNTIFS(T_SelfStock_Log[Part Name],$A9,T_SelfStock_Log[WeekIndex],37)=0,"",SUMIFS(T_SelfStock_Log[Self_Qty],T_SelfStock_Log[Part Name],$A9,T_SelfStock_Log[WeekIndex],37))</f>
        <v/>
      </c>
      <c r="AM9" s="18">
        <f>IF(COUNTIFS(T_SelfStock_Log[Part Name],$A9,T_SelfStock_Log[WeekIndex],38)=0,"",SUMIFS(T_SelfStock_Log[Self_Qty],T_SelfStock_Log[Part Name],$A9,T_SelfStock_Log[WeekIndex],38))</f>
        <v/>
      </c>
      <c r="AN9" s="18">
        <f>IF(COUNTIFS(T_SelfStock_Log[Part Name],$A9,T_SelfStock_Log[WeekIndex],39)=0,"",SUMIFS(T_SelfStock_Log[Self_Qty],T_SelfStock_Log[Part Name],$A9,T_SelfStock_Log[WeekIndex],39))</f>
        <v/>
      </c>
      <c r="AO9" s="18">
        <f>IF(COUNTIFS(T_SelfStock_Log[Part Name],$A9,T_SelfStock_Log[WeekIndex],40)=0,"",SUMIFS(T_SelfStock_Log[Self_Qty],T_SelfStock_Log[Part Name],$A9,T_SelfStock_Log[WeekIndex],40))</f>
        <v/>
      </c>
      <c r="AP9" s="18">
        <f>IF(COUNTIFS(T_SelfStock_Log[Part Name],$A9,T_SelfStock_Log[WeekIndex],41)=0,"",SUMIFS(T_SelfStock_Log[Self_Qty],T_SelfStock_Log[Part Name],$A9,T_SelfStock_Log[WeekIndex],41))</f>
        <v/>
      </c>
      <c r="AQ9" s="18">
        <f>IF(COUNTIFS(T_SelfStock_Log[Part Name],$A9,T_SelfStock_Log[WeekIndex],42)=0,"",SUMIFS(T_SelfStock_Log[Self_Qty],T_SelfStock_Log[Part Name],$A9,T_SelfStock_Log[WeekIndex],42))</f>
        <v/>
      </c>
      <c r="AR9" s="18">
        <f>IF(COUNTIFS(T_SelfStock_Log[Part Name],$A9,T_SelfStock_Log[WeekIndex],43)=0,"",SUMIFS(T_SelfStock_Log[Self_Qty],T_SelfStock_Log[Part Name],$A9,T_SelfStock_Log[WeekIndex],43))</f>
        <v/>
      </c>
      <c r="AS9" s="18">
        <f>IF(COUNTIFS(T_SelfStock_Log[Part Name],$A9,T_SelfStock_Log[WeekIndex],44)=0,"",SUMIFS(T_SelfStock_Log[Self_Qty],T_SelfStock_Log[Part Name],$A9,T_SelfStock_Log[WeekIndex],44))</f>
        <v/>
      </c>
      <c r="AT9" s="18">
        <f>IF(COUNTIFS(T_SelfStock_Log[Part Name],$A9,T_SelfStock_Log[WeekIndex],45)=0,"",SUMIFS(T_SelfStock_Log[Self_Qty],T_SelfStock_Log[Part Name],$A9,T_SelfStock_Log[WeekIndex],45))</f>
        <v/>
      </c>
      <c r="AU9" s="18">
        <f>IF(COUNTIFS(T_SelfStock_Log[Part Name],$A9,T_SelfStock_Log[WeekIndex],46)=0,"",SUMIFS(T_SelfStock_Log[Self_Qty],T_SelfStock_Log[Part Name],$A9,T_SelfStock_Log[WeekIndex],46))</f>
        <v/>
      </c>
      <c r="AV9" s="18">
        <f>IF(COUNTIFS(T_SelfStock_Log[Part Name],$A9,T_SelfStock_Log[WeekIndex],47)=0,"",SUMIFS(T_SelfStock_Log[Self_Qty],T_SelfStock_Log[Part Name],$A9,T_SelfStock_Log[WeekIndex],47))</f>
        <v/>
      </c>
      <c r="AW9" s="18">
        <f>IF(COUNTIFS(T_SelfStock_Log[Part Name],$A9,T_SelfStock_Log[WeekIndex],48)=0,"",SUMIFS(T_SelfStock_Log[Self_Qty],T_SelfStock_Log[Part Name],$A9,T_SelfStock_Log[WeekIndex],48))</f>
        <v/>
      </c>
      <c r="AX9" s="18">
        <f>IF(COUNTIFS(T_SelfStock_Log[Part Name],$A9,T_SelfStock_Log[WeekIndex],49)=0,"",SUMIFS(T_SelfStock_Log[Self_Qty],T_SelfStock_Log[Part Name],$A9,T_SelfStock_Log[WeekIndex],49))</f>
        <v/>
      </c>
      <c r="AY9" s="18">
        <f>IF(COUNTIFS(T_SelfStock_Log[Part Name],$A9,T_SelfStock_Log[WeekIndex],50)=0,"",SUMIFS(T_SelfStock_Log[Self_Qty],T_SelfStock_Log[Part Name],$A9,T_SelfStock_Log[WeekIndex],50))</f>
        <v/>
      </c>
      <c r="AZ9" s="18">
        <f>IF(COUNTIFS(T_SelfStock_Log[Part Name],$A9,T_SelfStock_Log[WeekIndex],51)=0,"",SUMIFS(T_SelfStock_Log[Self_Qty],T_SelfStock_Log[Part Name],$A9,T_SelfStock_Log[WeekIndex],51))</f>
        <v/>
      </c>
      <c r="BA9" s="18">
        <f>IF(COUNTIFS(T_SelfStock_Log[Part Name],$A9,T_SelfStock_Log[WeekIndex],52)=0,"",SUMIFS(T_SelfStock_Log[Self_Qty],T_SelfStock_Log[Part Name],$A9,T_SelfStock_Log[WeekIndex],52))</f>
        <v/>
      </c>
      <c r="BB9" s="18">
        <f>IF(COUNTIFS(T_SelfStock_Log[Part Name],$A9,T_SelfStock_Log[WeekIndex],53)=0,"",SUMIFS(T_SelfStock_Log[Self_Qty],T_SelfStock_Log[Part Name],$A9,T_SelfStock_Log[WeekIndex],53))</f>
        <v/>
      </c>
      <c r="BC9" s="18">
        <f>IF(COUNTIFS(T_SelfStock_Log[Part Name],$A9,T_SelfStock_Log[WeekIndex],54)=0,"",SUMIFS(T_SelfStock_Log[Self_Qty],T_SelfStock_Log[Part Name],$A9,T_SelfStock_Log[WeekIndex],54))</f>
        <v/>
      </c>
      <c r="BD9" s="18">
        <f>IF(COUNTIFS(T_SelfStock_Log[Part Name],$A9,T_SelfStock_Log[WeekIndex],55)=0,"",SUMIFS(T_SelfStock_Log[Self_Qty],T_SelfStock_Log[Part Name],$A9,T_SelfStock_Log[WeekIndex],55))</f>
        <v/>
      </c>
      <c r="BE9" s="18">
        <f>IF(COUNTIFS(T_SelfStock_Log[Part Name],$A9,T_SelfStock_Log[WeekIndex],56)=0,"",SUMIFS(T_SelfStock_Log[Self_Qty],T_SelfStock_Log[Part Name],$A9,T_SelfStock_Log[WeekIndex],56))</f>
        <v/>
      </c>
      <c r="BF9" s="18">
        <f>IF(COUNTIFS(T_SelfStock_Log[Part Name],$A9,T_SelfStock_Log[WeekIndex],57)=0,"",SUMIFS(T_SelfStock_Log[Self_Qty],T_SelfStock_Log[Part Name],$A9,T_SelfStock_Log[WeekIndex],57))</f>
        <v/>
      </c>
      <c r="BG9" s="18">
        <f>IF(COUNTIFS(T_SelfStock_Log[Part Name],$A9,T_SelfStock_Log[WeekIndex],58)=0,"",SUMIFS(T_SelfStock_Log[Self_Qty],T_SelfStock_Log[Part Name],$A9,T_SelfStock_Log[WeekIndex],58))</f>
        <v/>
      </c>
      <c r="BH9" s="18">
        <f>IF(COUNTIFS(T_SelfStock_Log[Part Name],$A9,T_SelfStock_Log[WeekIndex],59)=0,"",SUMIFS(T_SelfStock_Log[Self_Qty],T_SelfStock_Log[Part Name],$A9,T_SelfStock_Log[WeekIndex],59))</f>
        <v/>
      </c>
      <c r="BI9" s="18">
        <f>IF(COUNTIFS(T_SelfStock_Log[Part Name],$A9,T_SelfStock_Log[WeekIndex],60)=0,"",SUMIFS(T_SelfStock_Log[Self_Qty],T_SelfStock_Log[Part Name],$A9,T_SelfStock_Log[WeekIndex],60))</f>
        <v/>
      </c>
      <c r="BJ9" s="18">
        <f>IF(COUNTIFS(T_SelfStock_Log[Part Name],$A9,T_SelfStock_Log[WeekIndex],61)=0,"",SUMIFS(T_SelfStock_Log[Self_Qty],T_SelfStock_Log[Part Name],$A9,T_SelfStock_Log[WeekIndex],61))</f>
        <v/>
      </c>
      <c r="BK9" s="18">
        <f>IF(COUNTIFS(T_SelfStock_Log[Part Name],$A9,T_SelfStock_Log[WeekIndex],62)=0,"",SUMIFS(T_SelfStock_Log[Self_Qty],T_SelfStock_Log[Part Name],$A9,T_SelfStock_Log[WeekIndex],62))</f>
        <v/>
      </c>
      <c r="BL9" s="18">
        <f>IF(COUNTIFS(T_SelfStock_Log[Part Name],$A9,T_SelfStock_Log[WeekIndex],63)=0,"",SUMIFS(T_SelfStock_Log[Self_Qty],T_SelfStock_Log[Part Name],$A9,T_SelfStock_Log[WeekIndex],63))</f>
        <v/>
      </c>
      <c r="BM9" s="18">
        <f>IF(COUNTIFS(T_SelfStock_Log[Part Name],$A9,T_SelfStock_Log[WeekIndex],64)=0,"",SUMIFS(T_SelfStock_Log[Self_Qty],T_SelfStock_Log[Part Name],$A9,T_SelfStock_Log[WeekIndex],64))</f>
        <v/>
      </c>
      <c r="BN9" s="18">
        <f>IF(COUNTIFS(T_SelfStock_Log[Part Name],$A9,T_SelfStock_Log[WeekIndex],65)=0,"",SUMIFS(T_SelfStock_Log[Self_Qty],T_SelfStock_Log[Part Name],$A9,T_SelfStock_Log[WeekIndex],65))</f>
        <v/>
      </c>
      <c r="BO9" s="18">
        <f>IF(COUNTIFS(T_SelfStock_Log[Part Name],$A9,T_SelfStock_Log[WeekIndex],66)=0,"",SUMIFS(T_SelfStock_Log[Self_Qty],T_SelfStock_Log[Part Name],$A9,T_SelfStock_Log[WeekIndex],66))</f>
        <v/>
      </c>
      <c r="BP9" s="18">
        <f>IF(COUNTIFS(T_SelfStock_Log[Part Name],$A9,T_SelfStock_Log[WeekIndex],67)=0,"",SUMIFS(T_SelfStock_Log[Self_Qty],T_SelfStock_Log[Part Name],$A9,T_SelfStock_Log[WeekIndex],67))</f>
        <v/>
      </c>
      <c r="BQ9" s="18">
        <f>IF(COUNTIFS(T_SelfStock_Log[Part Name],$A9,T_SelfStock_Log[WeekIndex],68)=0,"",SUMIFS(T_SelfStock_Log[Self_Qty],T_SelfStock_Log[Part Name],$A9,T_SelfStock_Log[WeekIndex],68))</f>
        <v/>
      </c>
      <c r="BR9" s="18">
        <f>IF(COUNTIFS(T_SelfStock_Log[Part Name],$A9,T_SelfStock_Log[WeekIndex],69)=0,"",SUMIFS(T_SelfStock_Log[Self_Qty],T_SelfStock_Log[Part Name],$A9,T_SelfStock_Log[WeekIndex],69))</f>
        <v/>
      </c>
      <c r="BS9" s="18">
        <f>IF(COUNTIFS(T_SelfStock_Log[Part Name],$A9,T_SelfStock_Log[WeekIndex],70)=0,"",SUMIFS(T_SelfStock_Log[Self_Qty],T_SelfStock_Log[Part Name],$A9,T_SelfStock_Log[WeekIndex],70))</f>
        <v/>
      </c>
      <c r="BT9" s="18">
        <f>IF(COUNTIFS(T_SelfStock_Log[Part Name],$A9,T_SelfStock_Log[WeekIndex],71)=0,"",SUMIFS(T_SelfStock_Log[Self_Qty],T_SelfStock_Log[Part Name],$A9,T_SelfStock_Log[WeekIndex],71))</f>
        <v/>
      </c>
      <c r="BU9" s="18">
        <f>IF(COUNTIFS(T_SelfStock_Log[Part Name],$A9,T_SelfStock_Log[WeekIndex],72)=0,"",SUMIFS(T_SelfStock_Log[Self_Qty],T_SelfStock_Log[Part Name],$A9,T_SelfStock_Log[WeekIndex],72))</f>
        <v/>
      </c>
      <c r="BV9" s="18">
        <f>IF(COUNTIFS(T_SelfStock_Log[Part Name],$A9,T_SelfStock_Log[WeekIndex],73)=0,"",SUMIFS(T_SelfStock_Log[Self_Qty],T_SelfStock_Log[Part Name],$A9,T_SelfStock_Log[WeekIndex],73))</f>
        <v/>
      </c>
      <c r="BW9" s="18">
        <f>IF(COUNTIFS(T_SelfStock_Log[Part Name],$A9,T_SelfStock_Log[WeekIndex],74)=0,"",SUMIFS(T_SelfStock_Log[Self_Qty],T_SelfStock_Log[Part Name],$A9,T_SelfStock_Log[WeekIndex],74))</f>
        <v/>
      </c>
      <c r="BX9" s="18">
        <f>IF(COUNTIFS(T_SelfStock_Log[Part Name],$A9,T_SelfStock_Log[WeekIndex],75)=0,"",SUMIFS(T_SelfStock_Log[Self_Qty],T_SelfStock_Log[Part Name],$A9,T_SelfStock_Log[WeekIndex],75))</f>
        <v/>
      </c>
      <c r="BY9" s="18">
        <f>IF(COUNTIFS(T_SelfStock_Log[Part Name],$A9,T_SelfStock_Log[WeekIndex],76)=0,"",SUMIFS(T_SelfStock_Log[Self_Qty],T_SelfStock_Log[Part Name],$A9,T_SelfStock_Log[WeekIndex],76))</f>
        <v/>
      </c>
      <c r="BZ9" s="18">
        <f>IF(COUNTIFS(T_SelfStock_Log[Part Name],$A9,T_SelfStock_Log[WeekIndex],77)=0,"",SUMIFS(T_SelfStock_Log[Self_Qty],T_SelfStock_Log[Part Name],$A9,T_SelfStock_Log[WeekIndex],77))</f>
        <v/>
      </c>
      <c r="CA9" s="18">
        <f>IF(COUNTIFS(T_SelfStock_Log[Part Name],$A9,T_SelfStock_Log[WeekIndex],78)=0,"",SUMIFS(T_SelfStock_Log[Self_Qty],T_SelfStock_Log[Part Name],$A9,T_SelfStock_Log[WeekIndex],78))</f>
        <v/>
      </c>
      <c r="CB9" s="18">
        <f>IF(COUNTIFS(T_SelfStock_Log[Part Name],$A9,T_SelfStock_Log[WeekIndex],79)=0,"",SUMIFS(T_SelfStock_Log[Self_Qty],T_SelfStock_Log[Part Name],$A9,T_SelfStock_Log[WeekIndex],79))</f>
        <v/>
      </c>
      <c r="CC9" s="18">
        <f>IF(COUNTIFS(T_SelfStock_Log[Part Name],$A9,T_SelfStock_Log[WeekIndex],80)=0,"",SUMIFS(T_SelfStock_Log[Self_Qty],T_SelfStock_Log[Part Name],$A9,T_SelfStock_Log[WeekIndex],80))</f>
        <v/>
      </c>
      <c r="CD9" s="18">
        <f>IF(COUNTIFS(T_SelfStock_Log[Part Name],$A9,T_SelfStock_Log[WeekIndex],81)=0,"",SUMIFS(T_SelfStock_Log[Self_Qty],T_SelfStock_Log[Part Name],$A9,T_SelfStock_Log[WeekIndex],81))</f>
        <v/>
      </c>
      <c r="CE9" s="18">
        <f>IF(COUNTIFS(T_SelfStock_Log[Part Name],$A9,T_SelfStock_Log[WeekIndex],82)=0,"",SUMIFS(T_SelfStock_Log[Self_Qty],T_SelfStock_Log[Part Name],$A9,T_SelfStock_Log[WeekIndex],82))</f>
        <v/>
      </c>
      <c r="CF9" s="18">
        <f>IF(COUNTIFS(T_SelfStock_Log[Part Name],$A9,T_SelfStock_Log[WeekIndex],83)=0,"",SUMIFS(T_SelfStock_Log[Self_Qty],T_SelfStock_Log[Part Name],$A9,T_SelfStock_Log[WeekIndex],83))</f>
        <v/>
      </c>
      <c r="CG9" s="18">
        <f>IF(COUNTIFS(T_SelfStock_Log[Part Name],$A9,T_SelfStock_Log[WeekIndex],84)=0,"",SUMIFS(T_SelfStock_Log[Self_Qty],T_SelfStock_Log[Part Name],$A9,T_SelfStock_Log[WeekIndex],84))</f>
        <v/>
      </c>
      <c r="CH9" s="18">
        <f>IF(COUNTIFS(T_SelfStock_Log[Part Name],$A9,T_SelfStock_Log[WeekIndex],85)=0,"",SUMIFS(T_SelfStock_Log[Self_Qty],T_SelfStock_Log[Part Name],$A9,T_SelfStock_Log[WeekIndex],85))</f>
        <v/>
      </c>
      <c r="CI9" s="18">
        <f>IF(COUNTIFS(T_SelfStock_Log[Part Name],$A9,T_SelfStock_Log[WeekIndex],86)=0,"",SUMIFS(T_SelfStock_Log[Self_Qty],T_SelfStock_Log[Part Name],$A9,T_SelfStock_Log[WeekIndex],86))</f>
        <v/>
      </c>
      <c r="CJ9" s="18">
        <f>IF(COUNTIFS(T_SelfStock_Log[Part Name],$A9,T_SelfStock_Log[WeekIndex],87)=0,"",SUMIFS(T_SelfStock_Log[Self_Qty],T_SelfStock_Log[Part Name],$A9,T_SelfStock_Log[WeekIndex],87))</f>
        <v/>
      </c>
      <c r="CK9" s="18">
        <f>IF(COUNTIFS(T_SelfStock_Log[Part Name],$A9,T_SelfStock_Log[WeekIndex],88)=0,"",SUMIFS(T_SelfStock_Log[Self_Qty],T_SelfStock_Log[Part Name],$A9,T_SelfStock_Log[WeekIndex],88))</f>
        <v/>
      </c>
      <c r="CL9" s="18">
        <f>IF(COUNTIFS(T_SelfStock_Log[Part Name],$A9,T_SelfStock_Log[WeekIndex],89)=0,"",SUMIFS(T_SelfStock_Log[Self_Qty],T_SelfStock_Log[Part Name],$A9,T_SelfStock_Log[WeekIndex],89))</f>
        <v/>
      </c>
      <c r="CM9" s="18">
        <f>IF(COUNTIFS(T_SelfStock_Log[Part Name],$A9,T_SelfStock_Log[WeekIndex],90)=0,"",SUMIFS(T_SelfStock_Log[Self_Qty],T_SelfStock_Log[Part Name],$A9,T_SelfStock_Log[WeekIndex],90))</f>
        <v/>
      </c>
      <c r="CN9" s="18">
        <f>IF(COUNTIFS(T_SelfStock_Log[Part Name],$A9,T_SelfStock_Log[WeekIndex],91)=0,"",SUMIFS(T_SelfStock_Log[Self_Qty],T_SelfStock_Log[Part Name],$A9,T_SelfStock_Log[WeekIndex],91))</f>
        <v/>
      </c>
      <c r="CO9" s="18">
        <f>IF(COUNTIFS(T_SelfStock_Log[Part Name],$A9,T_SelfStock_Log[WeekIndex],92)=0,"",SUMIFS(T_SelfStock_Log[Self_Qty],T_SelfStock_Log[Part Name],$A9,T_SelfStock_Log[WeekIndex],92))</f>
        <v/>
      </c>
      <c r="CP9" s="18">
        <f>IF(COUNTIFS(T_SelfStock_Log[Part Name],$A9,T_SelfStock_Log[WeekIndex],93)=0,"",SUMIFS(T_SelfStock_Log[Self_Qty],T_SelfStock_Log[Part Name],$A9,T_SelfStock_Log[WeekIndex],93))</f>
        <v/>
      </c>
      <c r="CQ9" s="18">
        <f>IF(COUNTIFS(T_SelfStock_Log[Part Name],$A9,T_SelfStock_Log[WeekIndex],94)=0,"",SUMIFS(T_SelfStock_Log[Self_Qty],T_SelfStock_Log[Part Name],$A9,T_SelfStock_Log[WeekIndex],94))</f>
        <v/>
      </c>
      <c r="CR9" s="18">
        <f>IF(COUNTIFS(T_SelfStock_Log[Part Name],$A9,T_SelfStock_Log[WeekIndex],95)=0,"",SUMIFS(T_SelfStock_Log[Self_Qty],T_SelfStock_Log[Part Name],$A9,T_SelfStock_Log[WeekIndex],95))</f>
        <v/>
      </c>
      <c r="CS9" s="18">
        <f>IF(COUNTIFS(T_SelfStock_Log[Part Name],$A9,T_SelfStock_Log[WeekIndex],96)=0,"",SUMIFS(T_SelfStock_Log[Self_Qty],T_SelfStock_Log[Part Name],$A9,T_SelfStock_Log[WeekIndex],96))</f>
        <v/>
      </c>
      <c r="CT9" s="18">
        <f>IF(COUNTIFS(T_SelfStock_Log[Part Name],$A9,T_SelfStock_Log[WeekIndex],97)=0,"",SUMIFS(T_SelfStock_Log[Self_Qty],T_SelfStock_Log[Part Name],$A9,T_SelfStock_Log[WeekIndex],97))</f>
        <v/>
      </c>
      <c r="CU9" s="18">
        <f>IF(COUNTIFS(T_SelfStock_Log[Part Name],$A9,T_SelfStock_Log[WeekIndex],98)=0,"",SUMIFS(T_SelfStock_Log[Self_Qty],T_SelfStock_Log[Part Name],$A9,T_SelfStock_Log[WeekIndex],98))</f>
        <v/>
      </c>
      <c r="CV9" s="18">
        <f>IF(COUNTIFS(T_SelfStock_Log[Part Name],$A9,T_SelfStock_Log[WeekIndex],99)=0,"",SUMIFS(T_SelfStock_Log[Self_Qty],T_SelfStock_Log[Part Name],$A9,T_SelfStock_Log[WeekIndex],99))</f>
        <v/>
      </c>
      <c r="CW9" s="18">
        <f>IF(COUNTIFS(T_SelfStock_Log[Part Name],$A9,T_SelfStock_Log[WeekIndex],100)=0,"",SUMIFS(T_SelfStock_Log[Self_Qty],T_SelfStock_Log[Part Name],$A9,T_SelfStock_Log[WeekIndex],100))</f>
        <v/>
      </c>
      <c r="CX9" s="18">
        <f>IF(COUNTIFS(T_SelfStock_Log[Part Name],$A9,T_SelfStock_Log[WeekIndex],101)=0,"",SUMIFS(T_SelfStock_Log[Self_Qty],T_SelfStock_Log[Part Name],$A9,T_SelfStock_Log[WeekIndex],101))</f>
        <v/>
      </c>
      <c r="CY9" s="18">
        <f>IF(COUNTIFS(T_SelfStock_Log[Part Name],$A9,T_SelfStock_Log[WeekIndex],102)=0,"",SUMIFS(T_SelfStock_Log[Self_Qty],T_SelfStock_Log[Part Name],$A9,T_SelfStock_Log[WeekIndex],102))</f>
        <v/>
      </c>
      <c r="CZ9" s="18">
        <f>IF(COUNTIFS(T_SelfStock_Log[Part Name],$A9,T_SelfStock_Log[WeekIndex],103)=0,"",SUMIFS(T_SelfStock_Log[Self_Qty],T_SelfStock_Log[Part Name],$A9,T_SelfStock_Log[WeekIndex],103))</f>
        <v/>
      </c>
      <c r="DA9" s="18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CHEM-1530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8" t="inlineStr">
        <is>
          <t>CHEM-1540</t>
        </is>
      </c>
      <c r="B11" s="18">
        <f>IF(COUNTIFS(T_SelfStock_Log[Part Name],$A11,T_SelfStock_Log[WeekIndex],1)=0,"",SUMIFS(T_SelfStock_Log[Self_Qty],T_SelfStock_Log[Part Name],$A11,T_SelfStock_Log[WeekIndex],1))</f>
        <v/>
      </c>
      <c r="C11" s="18">
        <f>IF(COUNTIFS(T_SelfStock_Log[Part Name],$A11,T_SelfStock_Log[WeekIndex],2)=0,"",SUMIFS(T_SelfStock_Log[Self_Qty],T_SelfStock_Log[Part Name],$A11,T_SelfStock_Log[WeekIndex],2))</f>
        <v/>
      </c>
      <c r="D11" s="18">
        <f>IF(COUNTIFS(T_SelfStock_Log[Part Name],$A11,T_SelfStock_Log[WeekIndex],3)=0,"",SUMIFS(T_SelfStock_Log[Self_Qty],T_SelfStock_Log[Part Name],$A11,T_SelfStock_Log[WeekIndex],3))</f>
        <v/>
      </c>
      <c r="E11" s="18">
        <f>IF(COUNTIFS(T_SelfStock_Log[Part Name],$A11,T_SelfStock_Log[WeekIndex],4)=0,"",SUMIFS(T_SelfStock_Log[Self_Qty],T_SelfStock_Log[Part Name],$A11,T_SelfStock_Log[WeekIndex],4))</f>
        <v/>
      </c>
      <c r="F11" s="18">
        <f>IF(COUNTIFS(T_SelfStock_Log[Part Name],$A11,T_SelfStock_Log[WeekIndex],5)=0,"",SUMIFS(T_SelfStock_Log[Self_Qty],T_SelfStock_Log[Part Name],$A11,T_SelfStock_Log[WeekIndex],5))</f>
        <v/>
      </c>
      <c r="G11" s="18">
        <f>IF(COUNTIFS(T_SelfStock_Log[Part Name],$A11,T_SelfStock_Log[WeekIndex],6)=0,"",SUMIFS(T_SelfStock_Log[Self_Qty],T_SelfStock_Log[Part Name],$A11,T_SelfStock_Log[WeekIndex],6))</f>
        <v/>
      </c>
      <c r="H11" s="18">
        <f>IF(COUNTIFS(T_SelfStock_Log[Part Name],$A11,T_SelfStock_Log[WeekIndex],7)=0,"",SUMIFS(T_SelfStock_Log[Self_Qty],T_SelfStock_Log[Part Name],$A11,T_SelfStock_Log[WeekIndex],7))</f>
        <v/>
      </c>
      <c r="I11" s="18">
        <f>IF(COUNTIFS(T_SelfStock_Log[Part Name],$A11,T_SelfStock_Log[WeekIndex],8)=0,"",SUMIFS(T_SelfStock_Log[Self_Qty],T_SelfStock_Log[Part Name],$A11,T_SelfStock_Log[WeekIndex],8))</f>
        <v/>
      </c>
      <c r="J11" s="18">
        <f>IF(COUNTIFS(T_SelfStock_Log[Part Name],$A11,T_SelfStock_Log[WeekIndex],9)=0,"",SUMIFS(T_SelfStock_Log[Self_Qty],T_SelfStock_Log[Part Name],$A11,T_SelfStock_Log[WeekIndex],9))</f>
        <v/>
      </c>
      <c r="K11" s="18">
        <f>IF(COUNTIFS(T_SelfStock_Log[Part Name],$A11,T_SelfStock_Log[WeekIndex],10)=0,"",SUMIFS(T_SelfStock_Log[Self_Qty],T_SelfStock_Log[Part Name],$A11,T_SelfStock_Log[WeekIndex],10))</f>
        <v/>
      </c>
      <c r="L11" s="18">
        <f>IF(COUNTIFS(T_SelfStock_Log[Part Name],$A11,T_SelfStock_Log[WeekIndex],11)=0,"",SUMIFS(T_SelfStock_Log[Self_Qty],T_SelfStock_Log[Part Name],$A11,T_SelfStock_Log[WeekIndex],11))</f>
        <v/>
      </c>
      <c r="M11" s="18">
        <f>IF(COUNTIFS(T_SelfStock_Log[Part Name],$A11,T_SelfStock_Log[WeekIndex],12)=0,"",SUMIFS(T_SelfStock_Log[Self_Qty],T_SelfStock_Log[Part Name],$A11,T_SelfStock_Log[WeekIndex],12))</f>
        <v/>
      </c>
      <c r="N11" s="18">
        <f>IF(COUNTIFS(T_SelfStock_Log[Part Name],$A11,T_SelfStock_Log[WeekIndex],13)=0,"",SUMIFS(T_SelfStock_Log[Self_Qty],T_SelfStock_Log[Part Name],$A11,T_SelfStock_Log[WeekIndex],13))</f>
        <v/>
      </c>
      <c r="O11" s="18">
        <f>IF(COUNTIFS(T_SelfStock_Log[Part Name],$A11,T_SelfStock_Log[WeekIndex],14)=0,"",SUMIFS(T_SelfStock_Log[Self_Qty],T_SelfStock_Log[Part Name],$A11,T_SelfStock_Log[WeekIndex],14))</f>
        <v/>
      </c>
      <c r="P11" s="18">
        <f>IF(COUNTIFS(T_SelfStock_Log[Part Name],$A11,T_SelfStock_Log[WeekIndex],15)=0,"",SUMIFS(T_SelfStock_Log[Self_Qty],T_SelfStock_Log[Part Name],$A11,T_SelfStock_Log[WeekIndex],15))</f>
        <v/>
      </c>
      <c r="Q11" s="18">
        <f>IF(COUNTIFS(T_SelfStock_Log[Part Name],$A11,T_SelfStock_Log[WeekIndex],16)=0,"",SUMIFS(T_SelfStock_Log[Self_Qty],T_SelfStock_Log[Part Name],$A11,T_SelfStock_Log[WeekIndex],16))</f>
        <v/>
      </c>
      <c r="R11" s="18">
        <f>IF(COUNTIFS(T_SelfStock_Log[Part Name],$A11,T_SelfStock_Log[WeekIndex],17)=0,"",SUMIFS(T_SelfStock_Log[Self_Qty],T_SelfStock_Log[Part Name],$A11,T_SelfStock_Log[WeekIndex],17))</f>
        <v/>
      </c>
      <c r="S11" s="18">
        <f>IF(COUNTIFS(T_SelfStock_Log[Part Name],$A11,T_SelfStock_Log[WeekIndex],18)=0,"",SUMIFS(T_SelfStock_Log[Self_Qty],T_SelfStock_Log[Part Name],$A11,T_SelfStock_Log[WeekIndex],18))</f>
        <v/>
      </c>
      <c r="T11" s="18">
        <f>IF(COUNTIFS(T_SelfStock_Log[Part Name],$A11,T_SelfStock_Log[WeekIndex],19)=0,"",SUMIFS(T_SelfStock_Log[Self_Qty],T_SelfStock_Log[Part Name],$A11,T_SelfStock_Log[WeekIndex],19))</f>
        <v/>
      </c>
      <c r="U11" s="18">
        <f>IF(COUNTIFS(T_SelfStock_Log[Part Name],$A11,T_SelfStock_Log[WeekIndex],20)=0,"",SUMIFS(T_SelfStock_Log[Self_Qty],T_SelfStock_Log[Part Name],$A11,T_SelfStock_Log[WeekIndex],20))</f>
        <v/>
      </c>
      <c r="V11" s="18">
        <f>IF(COUNTIFS(T_SelfStock_Log[Part Name],$A11,T_SelfStock_Log[WeekIndex],21)=0,"",SUMIFS(T_SelfStock_Log[Self_Qty],T_SelfStock_Log[Part Name],$A11,T_SelfStock_Log[WeekIndex],21))</f>
        <v/>
      </c>
      <c r="W11" s="18">
        <f>IF(COUNTIFS(T_SelfStock_Log[Part Name],$A11,T_SelfStock_Log[WeekIndex],22)=0,"",SUMIFS(T_SelfStock_Log[Self_Qty],T_SelfStock_Log[Part Name],$A11,T_SelfStock_Log[WeekIndex],22))</f>
        <v/>
      </c>
      <c r="X11" s="18">
        <f>IF(COUNTIFS(T_SelfStock_Log[Part Name],$A11,T_SelfStock_Log[WeekIndex],23)=0,"",SUMIFS(T_SelfStock_Log[Self_Qty],T_SelfStock_Log[Part Name],$A11,T_SelfStock_Log[WeekIndex],23))</f>
        <v/>
      </c>
      <c r="Y11" s="18">
        <f>IF(COUNTIFS(T_SelfStock_Log[Part Name],$A11,T_SelfStock_Log[WeekIndex],24)=0,"",SUMIFS(T_SelfStock_Log[Self_Qty],T_SelfStock_Log[Part Name],$A11,T_SelfStock_Log[WeekIndex],24))</f>
        <v/>
      </c>
      <c r="Z11" s="18">
        <f>IF(COUNTIFS(T_SelfStock_Log[Part Name],$A11,T_SelfStock_Log[WeekIndex],25)=0,"",SUMIFS(T_SelfStock_Log[Self_Qty],T_SelfStock_Log[Part Name],$A11,T_SelfStock_Log[WeekIndex],25))</f>
        <v/>
      </c>
      <c r="AA11" s="18">
        <f>IF(COUNTIFS(T_SelfStock_Log[Part Name],$A11,T_SelfStock_Log[WeekIndex],26)=0,"",SUMIFS(T_SelfStock_Log[Self_Qty],T_SelfStock_Log[Part Name],$A11,T_SelfStock_Log[WeekIndex],26))</f>
        <v/>
      </c>
      <c r="AB11" s="18">
        <f>IF(COUNTIFS(T_SelfStock_Log[Part Name],$A11,T_SelfStock_Log[WeekIndex],27)=0,"",SUMIFS(T_SelfStock_Log[Self_Qty],T_SelfStock_Log[Part Name],$A11,T_SelfStock_Log[WeekIndex],27))</f>
        <v/>
      </c>
      <c r="AC11" s="18">
        <f>IF(COUNTIFS(T_SelfStock_Log[Part Name],$A11,T_SelfStock_Log[WeekIndex],28)=0,"",SUMIFS(T_SelfStock_Log[Self_Qty],T_SelfStock_Log[Part Name],$A11,T_SelfStock_Log[WeekIndex],28))</f>
        <v/>
      </c>
      <c r="AD11" s="18">
        <f>IF(COUNTIFS(T_SelfStock_Log[Part Name],$A11,T_SelfStock_Log[WeekIndex],29)=0,"",SUMIFS(T_SelfStock_Log[Self_Qty],T_SelfStock_Log[Part Name],$A11,T_SelfStock_Log[WeekIndex],29))</f>
        <v/>
      </c>
      <c r="AE11" s="18">
        <f>IF(COUNTIFS(T_SelfStock_Log[Part Name],$A11,T_SelfStock_Log[WeekIndex],30)=0,"",SUMIFS(T_SelfStock_Log[Self_Qty],T_SelfStock_Log[Part Name],$A11,T_SelfStock_Log[WeekIndex],30))</f>
        <v/>
      </c>
      <c r="AF11" s="18">
        <f>IF(COUNTIFS(T_SelfStock_Log[Part Name],$A11,T_SelfStock_Log[WeekIndex],31)=0,"",SUMIFS(T_SelfStock_Log[Self_Qty],T_SelfStock_Log[Part Name],$A11,T_SelfStock_Log[WeekIndex],31))</f>
        <v/>
      </c>
      <c r="AG11" s="18">
        <f>IF(COUNTIFS(T_SelfStock_Log[Part Name],$A11,T_SelfStock_Log[WeekIndex],32)=0,"",SUMIFS(T_SelfStock_Log[Self_Qty],T_SelfStock_Log[Part Name],$A11,T_SelfStock_Log[WeekIndex],32))</f>
        <v/>
      </c>
      <c r="AH11" s="18">
        <f>IF(COUNTIFS(T_SelfStock_Log[Part Name],$A11,T_SelfStock_Log[WeekIndex],33)=0,"",SUMIFS(T_SelfStock_Log[Self_Qty],T_SelfStock_Log[Part Name],$A11,T_SelfStock_Log[WeekIndex],33))</f>
        <v/>
      </c>
      <c r="AI11" s="18">
        <f>IF(COUNTIFS(T_SelfStock_Log[Part Name],$A11,T_SelfStock_Log[WeekIndex],34)=0,"",SUMIFS(T_SelfStock_Log[Self_Qty],T_SelfStock_Log[Part Name],$A11,T_SelfStock_Log[WeekIndex],34))</f>
        <v/>
      </c>
      <c r="AJ11" s="18">
        <f>IF(COUNTIFS(T_SelfStock_Log[Part Name],$A11,T_SelfStock_Log[WeekIndex],35)=0,"",SUMIFS(T_SelfStock_Log[Self_Qty],T_SelfStock_Log[Part Name],$A11,T_SelfStock_Log[WeekIndex],35))</f>
        <v/>
      </c>
      <c r="AK11" s="18">
        <f>IF(COUNTIFS(T_SelfStock_Log[Part Name],$A11,T_SelfStock_Log[WeekIndex],36)=0,"",SUMIFS(T_SelfStock_Log[Self_Qty],T_SelfStock_Log[Part Name],$A11,T_SelfStock_Log[WeekIndex],36))</f>
        <v/>
      </c>
      <c r="AL11" s="18">
        <f>IF(COUNTIFS(T_SelfStock_Log[Part Name],$A11,T_SelfStock_Log[WeekIndex],37)=0,"",SUMIFS(T_SelfStock_Log[Self_Qty],T_SelfStock_Log[Part Name],$A11,T_SelfStock_Log[WeekIndex],37))</f>
        <v/>
      </c>
      <c r="AM11" s="18">
        <f>IF(COUNTIFS(T_SelfStock_Log[Part Name],$A11,T_SelfStock_Log[WeekIndex],38)=0,"",SUMIFS(T_SelfStock_Log[Self_Qty],T_SelfStock_Log[Part Name],$A11,T_SelfStock_Log[WeekIndex],38))</f>
        <v/>
      </c>
      <c r="AN11" s="18">
        <f>IF(COUNTIFS(T_SelfStock_Log[Part Name],$A11,T_SelfStock_Log[WeekIndex],39)=0,"",SUMIFS(T_SelfStock_Log[Self_Qty],T_SelfStock_Log[Part Name],$A11,T_SelfStock_Log[WeekIndex],39))</f>
        <v/>
      </c>
      <c r="AO11" s="18">
        <f>IF(COUNTIFS(T_SelfStock_Log[Part Name],$A11,T_SelfStock_Log[WeekIndex],40)=0,"",SUMIFS(T_SelfStock_Log[Self_Qty],T_SelfStock_Log[Part Name],$A11,T_SelfStock_Log[WeekIndex],40))</f>
        <v/>
      </c>
      <c r="AP11" s="18">
        <f>IF(COUNTIFS(T_SelfStock_Log[Part Name],$A11,T_SelfStock_Log[WeekIndex],41)=0,"",SUMIFS(T_SelfStock_Log[Self_Qty],T_SelfStock_Log[Part Name],$A11,T_SelfStock_Log[WeekIndex],41))</f>
        <v/>
      </c>
      <c r="AQ11" s="18">
        <f>IF(COUNTIFS(T_SelfStock_Log[Part Name],$A11,T_SelfStock_Log[WeekIndex],42)=0,"",SUMIFS(T_SelfStock_Log[Self_Qty],T_SelfStock_Log[Part Name],$A11,T_SelfStock_Log[WeekIndex],42))</f>
        <v/>
      </c>
      <c r="AR11" s="18">
        <f>IF(COUNTIFS(T_SelfStock_Log[Part Name],$A11,T_SelfStock_Log[WeekIndex],43)=0,"",SUMIFS(T_SelfStock_Log[Self_Qty],T_SelfStock_Log[Part Name],$A11,T_SelfStock_Log[WeekIndex],43))</f>
        <v/>
      </c>
      <c r="AS11" s="18">
        <f>IF(COUNTIFS(T_SelfStock_Log[Part Name],$A11,T_SelfStock_Log[WeekIndex],44)=0,"",SUMIFS(T_SelfStock_Log[Self_Qty],T_SelfStock_Log[Part Name],$A11,T_SelfStock_Log[WeekIndex],44))</f>
        <v/>
      </c>
      <c r="AT11" s="18">
        <f>IF(COUNTIFS(T_SelfStock_Log[Part Name],$A11,T_SelfStock_Log[WeekIndex],45)=0,"",SUMIFS(T_SelfStock_Log[Self_Qty],T_SelfStock_Log[Part Name],$A11,T_SelfStock_Log[WeekIndex],45))</f>
        <v/>
      </c>
      <c r="AU11" s="18">
        <f>IF(COUNTIFS(T_SelfStock_Log[Part Name],$A11,T_SelfStock_Log[WeekIndex],46)=0,"",SUMIFS(T_SelfStock_Log[Self_Qty],T_SelfStock_Log[Part Name],$A11,T_SelfStock_Log[WeekIndex],46))</f>
        <v/>
      </c>
      <c r="AV11" s="18">
        <f>IF(COUNTIFS(T_SelfStock_Log[Part Name],$A11,T_SelfStock_Log[WeekIndex],47)=0,"",SUMIFS(T_SelfStock_Log[Self_Qty],T_SelfStock_Log[Part Name],$A11,T_SelfStock_Log[WeekIndex],47))</f>
        <v/>
      </c>
      <c r="AW11" s="18">
        <f>IF(COUNTIFS(T_SelfStock_Log[Part Name],$A11,T_SelfStock_Log[WeekIndex],48)=0,"",SUMIFS(T_SelfStock_Log[Self_Qty],T_SelfStock_Log[Part Name],$A11,T_SelfStock_Log[WeekIndex],48))</f>
        <v/>
      </c>
      <c r="AX11" s="18">
        <f>IF(COUNTIFS(T_SelfStock_Log[Part Name],$A11,T_SelfStock_Log[WeekIndex],49)=0,"",SUMIFS(T_SelfStock_Log[Self_Qty],T_SelfStock_Log[Part Name],$A11,T_SelfStock_Log[WeekIndex],49))</f>
        <v/>
      </c>
      <c r="AY11" s="18">
        <f>IF(COUNTIFS(T_SelfStock_Log[Part Name],$A11,T_SelfStock_Log[WeekIndex],50)=0,"",SUMIFS(T_SelfStock_Log[Self_Qty],T_SelfStock_Log[Part Name],$A11,T_SelfStock_Log[WeekIndex],50))</f>
        <v/>
      </c>
      <c r="AZ11" s="18">
        <f>IF(COUNTIFS(T_SelfStock_Log[Part Name],$A11,T_SelfStock_Log[WeekIndex],51)=0,"",SUMIFS(T_SelfStock_Log[Self_Qty],T_SelfStock_Log[Part Name],$A11,T_SelfStock_Log[WeekIndex],51))</f>
        <v/>
      </c>
      <c r="BA11" s="18">
        <f>IF(COUNTIFS(T_SelfStock_Log[Part Name],$A11,T_SelfStock_Log[WeekIndex],52)=0,"",SUMIFS(T_SelfStock_Log[Self_Qty],T_SelfStock_Log[Part Name],$A11,T_SelfStock_Log[WeekIndex],52))</f>
        <v/>
      </c>
      <c r="BB11" s="18">
        <f>IF(COUNTIFS(T_SelfStock_Log[Part Name],$A11,T_SelfStock_Log[WeekIndex],53)=0,"",SUMIFS(T_SelfStock_Log[Self_Qty],T_SelfStock_Log[Part Name],$A11,T_SelfStock_Log[WeekIndex],53))</f>
        <v/>
      </c>
      <c r="BC11" s="18">
        <f>IF(COUNTIFS(T_SelfStock_Log[Part Name],$A11,T_SelfStock_Log[WeekIndex],54)=0,"",SUMIFS(T_SelfStock_Log[Self_Qty],T_SelfStock_Log[Part Name],$A11,T_SelfStock_Log[WeekIndex],54))</f>
        <v/>
      </c>
      <c r="BD11" s="18">
        <f>IF(COUNTIFS(T_SelfStock_Log[Part Name],$A11,T_SelfStock_Log[WeekIndex],55)=0,"",SUMIFS(T_SelfStock_Log[Self_Qty],T_SelfStock_Log[Part Name],$A11,T_SelfStock_Log[WeekIndex],55))</f>
        <v/>
      </c>
      <c r="BE11" s="18">
        <f>IF(COUNTIFS(T_SelfStock_Log[Part Name],$A11,T_SelfStock_Log[WeekIndex],56)=0,"",SUMIFS(T_SelfStock_Log[Self_Qty],T_SelfStock_Log[Part Name],$A11,T_SelfStock_Log[WeekIndex],56))</f>
        <v/>
      </c>
      <c r="BF11" s="18">
        <f>IF(COUNTIFS(T_SelfStock_Log[Part Name],$A11,T_SelfStock_Log[WeekIndex],57)=0,"",SUMIFS(T_SelfStock_Log[Self_Qty],T_SelfStock_Log[Part Name],$A11,T_SelfStock_Log[WeekIndex],57))</f>
        <v/>
      </c>
      <c r="BG11" s="18">
        <f>IF(COUNTIFS(T_SelfStock_Log[Part Name],$A11,T_SelfStock_Log[WeekIndex],58)=0,"",SUMIFS(T_SelfStock_Log[Self_Qty],T_SelfStock_Log[Part Name],$A11,T_SelfStock_Log[WeekIndex],58))</f>
        <v/>
      </c>
      <c r="BH11" s="18">
        <f>IF(COUNTIFS(T_SelfStock_Log[Part Name],$A11,T_SelfStock_Log[WeekIndex],59)=0,"",SUMIFS(T_SelfStock_Log[Self_Qty],T_SelfStock_Log[Part Name],$A11,T_SelfStock_Log[WeekIndex],59))</f>
        <v/>
      </c>
      <c r="BI11" s="18">
        <f>IF(COUNTIFS(T_SelfStock_Log[Part Name],$A11,T_SelfStock_Log[WeekIndex],60)=0,"",SUMIFS(T_SelfStock_Log[Self_Qty],T_SelfStock_Log[Part Name],$A11,T_SelfStock_Log[WeekIndex],60))</f>
        <v/>
      </c>
      <c r="BJ11" s="18">
        <f>IF(COUNTIFS(T_SelfStock_Log[Part Name],$A11,T_SelfStock_Log[WeekIndex],61)=0,"",SUMIFS(T_SelfStock_Log[Self_Qty],T_SelfStock_Log[Part Name],$A11,T_SelfStock_Log[WeekIndex],61))</f>
        <v/>
      </c>
      <c r="BK11" s="18">
        <f>IF(COUNTIFS(T_SelfStock_Log[Part Name],$A11,T_SelfStock_Log[WeekIndex],62)=0,"",SUMIFS(T_SelfStock_Log[Self_Qty],T_SelfStock_Log[Part Name],$A11,T_SelfStock_Log[WeekIndex],62))</f>
        <v/>
      </c>
      <c r="BL11" s="18">
        <f>IF(COUNTIFS(T_SelfStock_Log[Part Name],$A11,T_SelfStock_Log[WeekIndex],63)=0,"",SUMIFS(T_SelfStock_Log[Self_Qty],T_SelfStock_Log[Part Name],$A11,T_SelfStock_Log[WeekIndex],63))</f>
        <v/>
      </c>
      <c r="BM11" s="18">
        <f>IF(COUNTIFS(T_SelfStock_Log[Part Name],$A11,T_SelfStock_Log[WeekIndex],64)=0,"",SUMIFS(T_SelfStock_Log[Self_Qty],T_SelfStock_Log[Part Name],$A11,T_SelfStock_Log[WeekIndex],64))</f>
        <v/>
      </c>
      <c r="BN11" s="18">
        <f>IF(COUNTIFS(T_SelfStock_Log[Part Name],$A11,T_SelfStock_Log[WeekIndex],65)=0,"",SUMIFS(T_SelfStock_Log[Self_Qty],T_SelfStock_Log[Part Name],$A11,T_SelfStock_Log[WeekIndex],65))</f>
        <v/>
      </c>
      <c r="BO11" s="18">
        <f>IF(COUNTIFS(T_SelfStock_Log[Part Name],$A11,T_SelfStock_Log[WeekIndex],66)=0,"",SUMIFS(T_SelfStock_Log[Self_Qty],T_SelfStock_Log[Part Name],$A11,T_SelfStock_Log[WeekIndex],66))</f>
        <v/>
      </c>
      <c r="BP11" s="18">
        <f>IF(COUNTIFS(T_SelfStock_Log[Part Name],$A11,T_SelfStock_Log[WeekIndex],67)=0,"",SUMIFS(T_SelfStock_Log[Self_Qty],T_SelfStock_Log[Part Name],$A11,T_SelfStock_Log[WeekIndex],67))</f>
        <v/>
      </c>
      <c r="BQ11" s="18">
        <f>IF(COUNTIFS(T_SelfStock_Log[Part Name],$A11,T_SelfStock_Log[WeekIndex],68)=0,"",SUMIFS(T_SelfStock_Log[Self_Qty],T_SelfStock_Log[Part Name],$A11,T_SelfStock_Log[WeekIndex],68))</f>
        <v/>
      </c>
      <c r="BR11" s="18">
        <f>IF(COUNTIFS(T_SelfStock_Log[Part Name],$A11,T_SelfStock_Log[WeekIndex],69)=0,"",SUMIFS(T_SelfStock_Log[Self_Qty],T_SelfStock_Log[Part Name],$A11,T_SelfStock_Log[WeekIndex],69))</f>
        <v/>
      </c>
      <c r="BS11" s="18">
        <f>IF(COUNTIFS(T_SelfStock_Log[Part Name],$A11,T_SelfStock_Log[WeekIndex],70)=0,"",SUMIFS(T_SelfStock_Log[Self_Qty],T_SelfStock_Log[Part Name],$A11,T_SelfStock_Log[WeekIndex],70))</f>
        <v/>
      </c>
      <c r="BT11" s="18">
        <f>IF(COUNTIFS(T_SelfStock_Log[Part Name],$A11,T_SelfStock_Log[WeekIndex],71)=0,"",SUMIFS(T_SelfStock_Log[Self_Qty],T_SelfStock_Log[Part Name],$A11,T_SelfStock_Log[WeekIndex],71))</f>
        <v/>
      </c>
      <c r="BU11" s="18">
        <f>IF(COUNTIFS(T_SelfStock_Log[Part Name],$A11,T_SelfStock_Log[WeekIndex],72)=0,"",SUMIFS(T_SelfStock_Log[Self_Qty],T_SelfStock_Log[Part Name],$A11,T_SelfStock_Log[WeekIndex],72))</f>
        <v/>
      </c>
      <c r="BV11" s="18">
        <f>IF(COUNTIFS(T_SelfStock_Log[Part Name],$A11,T_SelfStock_Log[WeekIndex],73)=0,"",SUMIFS(T_SelfStock_Log[Self_Qty],T_SelfStock_Log[Part Name],$A11,T_SelfStock_Log[WeekIndex],73))</f>
        <v/>
      </c>
      <c r="BW11" s="18">
        <f>IF(COUNTIFS(T_SelfStock_Log[Part Name],$A11,T_SelfStock_Log[WeekIndex],74)=0,"",SUMIFS(T_SelfStock_Log[Self_Qty],T_SelfStock_Log[Part Name],$A11,T_SelfStock_Log[WeekIndex],74))</f>
        <v/>
      </c>
      <c r="BX11" s="18">
        <f>IF(COUNTIFS(T_SelfStock_Log[Part Name],$A11,T_SelfStock_Log[WeekIndex],75)=0,"",SUMIFS(T_SelfStock_Log[Self_Qty],T_SelfStock_Log[Part Name],$A11,T_SelfStock_Log[WeekIndex],75))</f>
        <v/>
      </c>
      <c r="BY11" s="18">
        <f>IF(COUNTIFS(T_SelfStock_Log[Part Name],$A11,T_SelfStock_Log[WeekIndex],76)=0,"",SUMIFS(T_SelfStock_Log[Self_Qty],T_SelfStock_Log[Part Name],$A11,T_SelfStock_Log[WeekIndex],76))</f>
        <v/>
      </c>
      <c r="BZ11" s="18">
        <f>IF(COUNTIFS(T_SelfStock_Log[Part Name],$A11,T_SelfStock_Log[WeekIndex],77)=0,"",SUMIFS(T_SelfStock_Log[Self_Qty],T_SelfStock_Log[Part Name],$A11,T_SelfStock_Log[WeekIndex],77))</f>
        <v/>
      </c>
      <c r="CA11" s="18">
        <f>IF(COUNTIFS(T_SelfStock_Log[Part Name],$A11,T_SelfStock_Log[WeekIndex],78)=0,"",SUMIFS(T_SelfStock_Log[Self_Qty],T_SelfStock_Log[Part Name],$A11,T_SelfStock_Log[WeekIndex],78))</f>
        <v/>
      </c>
      <c r="CB11" s="18">
        <f>IF(COUNTIFS(T_SelfStock_Log[Part Name],$A11,T_SelfStock_Log[WeekIndex],79)=0,"",SUMIFS(T_SelfStock_Log[Self_Qty],T_SelfStock_Log[Part Name],$A11,T_SelfStock_Log[WeekIndex],79))</f>
        <v/>
      </c>
      <c r="CC11" s="18">
        <f>IF(COUNTIFS(T_SelfStock_Log[Part Name],$A11,T_SelfStock_Log[WeekIndex],80)=0,"",SUMIFS(T_SelfStock_Log[Self_Qty],T_SelfStock_Log[Part Name],$A11,T_SelfStock_Log[WeekIndex],80))</f>
        <v/>
      </c>
      <c r="CD11" s="18">
        <f>IF(COUNTIFS(T_SelfStock_Log[Part Name],$A11,T_SelfStock_Log[WeekIndex],81)=0,"",SUMIFS(T_SelfStock_Log[Self_Qty],T_SelfStock_Log[Part Name],$A11,T_SelfStock_Log[WeekIndex],81))</f>
        <v/>
      </c>
      <c r="CE11" s="18">
        <f>IF(COUNTIFS(T_SelfStock_Log[Part Name],$A11,T_SelfStock_Log[WeekIndex],82)=0,"",SUMIFS(T_SelfStock_Log[Self_Qty],T_SelfStock_Log[Part Name],$A11,T_SelfStock_Log[WeekIndex],82))</f>
        <v/>
      </c>
      <c r="CF11" s="18">
        <f>IF(COUNTIFS(T_SelfStock_Log[Part Name],$A11,T_SelfStock_Log[WeekIndex],83)=0,"",SUMIFS(T_SelfStock_Log[Self_Qty],T_SelfStock_Log[Part Name],$A11,T_SelfStock_Log[WeekIndex],83))</f>
        <v/>
      </c>
      <c r="CG11" s="18">
        <f>IF(COUNTIFS(T_SelfStock_Log[Part Name],$A11,T_SelfStock_Log[WeekIndex],84)=0,"",SUMIFS(T_SelfStock_Log[Self_Qty],T_SelfStock_Log[Part Name],$A11,T_SelfStock_Log[WeekIndex],84))</f>
        <v/>
      </c>
      <c r="CH11" s="18">
        <f>IF(COUNTIFS(T_SelfStock_Log[Part Name],$A11,T_SelfStock_Log[WeekIndex],85)=0,"",SUMIFS(T_SelfStock_Log[Self_Qty],T_SelfStock_Log[Part Name],$A11,T_SelfStock_Log[WeekIndex],85))</f>
        <v/>
      </c>
      <c r="CI11" s="18">
        <f>IF(COUNTIFS(T_SelfStock_Log[Part Name],$A11,T_SelfStock_Log[WeekIndex],86)=0,"",SUMIFS(T_SelfStock_Log[Self_Qty],T_SelfStock_Log[Part Name],$A11,T_SelfStock_Log[WeekIndex],86))</f>
        <v/>
      </c>
      <c r="CJ11" s="18">
        <f>IF(COUNTIFS(T_SelfStock_Log[Part Name],$A11,T_SelfStock_Log[WeekIndex],87)=0,"",SUMIFS(T_SelfStock_Log[Self_Qty],T_SelfStock_Log[Part Name],$A11,T_SelfStock_Log[WeekIndex],87))</f>
        <v/>
      </c>
      <c r="CK11" s="18">
        <f>IF(COUNTIFS(T_SelfStock_Log[Part Name],$A11,T_SelfStock_Log[WeekIndex],88)=0,"",SUMIFS(T_SelfStock_Log[Self_Qty],T_SelfStock_Log[Part Name],$A11,T_SelfStock_Log[WeekIndex],88))</f>
        <v/>
      </c>
      <c r="CL11" s="18">
        <f>IF(COUNTIFS(T_SelfStock_Log[Part Name],$A11,T_SelfStock_Log[WeekIndex],89)=0,"",SUMIFS(T_SelfStock_Log[Self_Qty],T_SelfStock_Log[Part Name],$A11,T_SelfStock_Log[WeekIndex],89))</f>
        <v/>
      </c>
      <c r="CM11" s="18">
        <f>IF(COUNTIFS(T_SelfStock_Log[Part Name],$A11,T_SelfStock_Log[WeekIndex],90)=0,"",SUMIFS(T_SelfStock_Log[Self_Qty],T_SelfStock_Log[Part Name],$A11,T_SelfStock_Log[WeekIndex],90))</f>
        <v/>
      </c>
      <c r="CN11" s="18">
        <f>IF(COUNTIFS(T_SelfStock_Log[Part Name],$A11,T_SelfStock_Log[WeekIndex],91)=0,"",SUMIFS(T_SelfStock_Log[Self_Qty],T_SelfStock_Log[Part Name],$A11,T_SelfStock_Log[WeekIndex],91))</f>
        <v/>
      </c>
      <c r="CO11" s="18">
        <f>IF(COUNTIFS(T_SelfStock_Log[Part Name],$A11,T_SelfStock_Log[WeekIndex],92)=0,"",SUMIFS(T_SelfStock_Log[Self_Qty],T_SelfStock_Log[Part Name],$A11,T_SelfStock_Log[WeekIndex],92))</f>
        <v/>
      </c>
      <c r="CP11" s="18">
        <f>IF(COUNTIFS(T_SelfStock_Log[Part Name],$A11,T_SelfStock_Log[WeekIndex],93)=0,"",SUMIFS(T_SelfStock_Log[Self_Qty],T_SelfStock_Log[Part Name],$A11,T_SelfStock_Log[WeekIndex],93))</f>
        <v/>
      </c>
      <c r="CQ11" s="18">
        <f>IF(COUNTIFS(T_SelfStock_Log[Part Name],$A11,T_SelfStock_Log[WeekIndex],94)=0,"",SUMIFS(T_SelfStock_Log[Self_Qty],T_SelfStock_Log[Part Name],$A11,T_SelfStock_Log[WeekIndex],94))</f>
        <v/>
      </c>
      <c r="CR11" s="18">
        <f>IF(COUNTIFS(T_SelfStock_Log[Part Name],$A11,T_SelfStock_Log[WeekIndex],95)=0,"",SUMIFS(T_SelfStock_Log[Self_Qty],T_SelfStock_Log[Part Name],$A11,T_SelfStock_Log[WeekIndex],95))</f>
        <v/>
      </c>
      <c r="CS11" s="18">
        <f>IF(COUNTIFS(T_SelfStock_Log[Part Name],$A11,T_SelfStock_Log[WeekIndex],96)=0,"",SUMIFS(T_SelfStock_Log[Self_Qty],T_SelfStock_Log[Part Name],$A11,T_SelfStock_Log[WeekIndex],96))</f>
        <v/>
      </c>
      <c r="CT11" s="18">
        <f>IF(COUNTIFS(T_SelfStock_Log[Part Name],$A11,T_SelfStock_Log[WeekIndex],97)=0,"",SUMIFS(T_SelfStock_Log[Self_Qty],T_SelfStock_Log[Part Name],$A11,T_SelfStock_Log[WeekIndex],97))</f>
        <v/>
      </c>
      <c r="CU11" s="18">
        <f>IF(COUNTIFS(T_SelfStock_Log[Part Name],$A11,T_SelfStock_Log[WeekIndex],98)=0,"",SUMIFS(T_SelfStock_Log[Self_Qty],T_SelfStock_Log[Part Name],$A11,T_SelfStock_Log[WeekIndex],98))</f>
        <v/>
      </c>
      <c r="CV11" s="18">
        <f>IF(COUNTIFS(T_SelfStock_Log[Part Name],$A11,T_SelfStock_Log[WeekIndex],99)=0,"",SUMIFS(T_SelfStock_Log[Self_Qty],T_SelfStock_Log[Part Name],$A11,T_SelfStock_Log[WeekIndex],99))</f>
        <v/>
      </c>
      <c r="CW11" s="18">
        <f>IF(COUNTIFS(T_SelfStock_Log[Part Name],$A11,T_SelfStock_Log[WeekIndex],100)=0,"",SUMIFS(T_SelfStock_Log[Self_Qty],T_SelfStock_Log[Part Name],$A11,T_SelfStock_Log[WeekIndex],100))</f>
        <v/>
      </c>
      <c r="CX11" s="18">
        <f>IF(COUNTIFS(T_SelfStock_Log[Part Name],$A11,T_SelfStock_Log[WeekIndex],101)=0,"",SUMIFS(T_SelfStock_Log[Self_Qty],T_SelfStock_Log[Part Name],$A11,T_SelfStock_Log[WeekIndex],101))</f>
        <v/>
      </c>
      <c r="CY11" s="18">
        <f>IF(COUNTIFS(T_SelfStock_Log[Part Name],$A11,T_SelfStock_Log[WeekIndex],102)=0,"",SUMIFS(T_SelfStock_Log[Self_Qty],T_SelfStock_Log[Part Name],$A11,T_SelfStock_Log[WeekIndex],102))</f>
        <v/>
      </c>
      <c r="CZ11" s="18">
        <f>IF(COUNTIFS(T_SelfStock_Log[Part Name],$A11,T_SelfStock_Log[WeekIndex],103)=0,"",SUMIFS(T_SelfStock_Log[Self_Qty],T_SelfStock_Log[Part Name],$A11,T_SelfStock_Log[WeekIndex],103))</f>
        <v/>
      </c>
      <c r="DA11" s="18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CHEM-1690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8" t="inlineStr">
        <is>
          <t>CHEM-1720</t>
        </is>
      </c>
      <c r="B13" s="18">
        <f>IF(COUNTIFS(T_SelfStock_Log[Part Name],$A13,T_SelfStock_Log[WeekIndex],1)=0,"",SUMIFS(T_SelfStock_Log[Self_Qty],T_SelfStock_Log[Part Name],$A13,T_SelfStock_Log[WeekIndex],1))</f>
        <v/>
      </c>
      <c r="C13" s="18">
        <f>IF(COUNTIFS(T_SelfStock_Log[Part Name],$A13,T_SelfStock_Log[WeekIndex],2)=0,"",SUMIFS(T_SelfStock_Log[Self_Qty],T_SelfStock_Log[Part Name],$A13,T_SelfStock_Log[WeekIndex],2))</f>
        <v/>
      </c>
      <c r="D13" s="18">
        <f>IF(COUNTIFS(T_SelfStock_Log[Part Name],$A13,T_SelfStock_Log[WeekIndex],3)=0,"",SUMIFS(T_SelfStock_Log[Self_Qty],T_SelfStock_Log[Part Name],$A13,T_SelfStock_Log[WeekIndex],3))</f>
        <v/>
      </c>
      <c r="E13" s="18">
        <f>IF(COUNTIFS(T_SelfStock_Log[Part Name],$A13,T_SelfStock_Log[WeekIndex],4)=0,"",SUMIFS(T_SelfStock_Log[Self_Qty],T_SelfStock_Log[Part Name],$A13,T_SelfStock_Log[WeekIndex],4))</f>
        <v/>
      </c>
      <c r="F13" s="18">
        <f>IF(COUNTIFS(T_SelfStock_Log[Part Name],$A13,T_SelfStock_Log[WeekIndex],5)=0,"",SUMIFS(T_SelfStock_Log[Self_Qty],T_SelfStock_Log[Part Name],$A13,T_SelfStock_Log[WeekIndex],5))</f>
        <v/>
      </c>
      <c r="G13" s="18">
        <f>IF(COUNTIFS(T_SelfStock_Log[Part Name],$A13,T_SelfStock_Log[WeekIndex],6)=0,"",SUMIFS(T_SelfStock_Log[Self_Qty],T_SelfStock_Log[Part Name],$A13,T_SelfStock_Log[WeekIndex],6))</f>
        <v/>
      </c>
      <c r="H13" s="18">
        <f>IF(COUNTIFS(T_SelfStock_Log[Part Name],$A13,T_SelfStock_Log[WeekIndex],7)=0,"",SUMIFS(T_SelfStock_Log[Self_Qty],T_SelfStock_Log[Part Name],$A13,T_SelfStock_Log[WeekIndex],7))</f>
        <v/>
      </c>
      <c r="I13" s="18">
        <f>IF(COUNTIFS(T_SelfStock_Log[Part Name],$A13,T_SelfStock_Log[WeekIndex],8)=0,"",SUMIFS(T_SelfStock_Log[Self_Qty],T_SelfStock_Log[Part Name],$A13,T_SelfStock_Log[WeekIndex],8))</f>
        <v/>
      </c>
      <c r="J13" s="18">
        <f>IF(COUNTIFS(T_SelfStock_Log[Part Name],$A13,T_SelfStock_Log[WeekIndex],9)=0,"",SUMIFS(T_SelfStock_Log[Self_Qty],T_SelfStock_Log[Part Name],$A13,T_SelfStock_Log[WeekIndex],9))</f>
        <v/>
      </c>
      <c r="K13" s="18">
        <f>IF(COUNTIFS(T_SelfStock_Log[Part Name],$A13,T_SelfStock_Log[WeekIndex],10)=0,"",SUMIFS(T_SelfStock_Log[Self_Qty],T_SelfStock_Log[Part Name],$A13,T_SelfStock_Log[WeekIndex],10))</f>
        <v/>
      </c>
      <c r="L13" s="18">
        <f>IF(COUNTIFS(T_SelfStock_Log[Part Name],$A13,T_SelfStock_Log[WeekIndex],11)=0,"",SUMIFS(T_SelfStock_Log[Self_Qty],T_SelfStock_Log[Part Name],$A13,T_SelfStock_Log[WeekIndex],11))</f>
        <v/>
      </c>
      <c r="M13" s="18">
        <f>IF(COUNTIFS(T_SelfStock_Log[Part Name],$A13,T_SelfStock_Log[WeekIndex],12)=0,"",SUMIFS(T_SelfStock_Log[Self_Qty],T_SelfStock_Log[Part Name],$A13,T_SelfStock_Log[WeekIndex],12))</f>
        <v/>
      </c>
      <c r="N13" s="18">
        <f>IF(COUNTIFS(T_SelfStock_Log[Part Name],$A13,T_SelfStock_Log[WeekIndex],13)=0,"",SUMIFS(T_SelfStock_Log[Self_Qty],T_SelfStock_Log[Part Name],$A13,T_SelfStock_Log[WeekIndex],13))</f>
        <v/>
      </c>
      <c r="O13" s="18">
        <f>IF(COUNTIFS(T_SelfStock_Log[Part Name],$A13,T_SelfStock_Log[WeekIndex],14)=0,"",SUMIFS(T_SelfStock_Log[Self_Qty],T_SelfStock_Log[Part Name],$A13,T_SelfStock_Log[WeekIndex],14))</f>
        <v/>
      </c>
      <c r="P13" s="18">
        <f>IF(COUNTIFS(T_SelfStock_Log[Part Name],$A13,T_SelfStock_Log[WeekIndex],15)=0,"",SUMIFS(T_SelfStock_Log[Self_Qty],T_SelfStock_Log[Part Name],$A13,T_SelfStock_Log[WeekIndex],15))</f>
        <v/>
      </c>
      <c r="Q13" s="18">
        <f>IF(COUNTIFS(T_SelfStock_Log[Part Name],$A13,T_SelfStock_Log[WeekIndex],16)=0,"",SUMIFS(T_SelfStock_Log[Self_Qty],T_SelfStock_Log[Part Name],$A13,T_SelfStock_Log[WeekIndex],16))</f>
        <v/>
      </c>
      <c r="R13" s="18">
        <f>IF(COUNTIFS(T_SelfStock_Log[Part Name],$A13,T_SelfStock_Log[WeekIndex],17)=0,"",SUMIFS(T_SelfStock_Log[Self_Qty],T_SelfStock_Log[Part Name],$A13,T_SelfStock_Log[WeekIndex],17))</f>
        <v/>
      </c>
      <c r="S13" s="18">
        <f>IF(COUNTIFS(T_SelfStock_Log[Part Name],$A13,T_SelfStock_Log[WeekIndex],18)=0,"",SUMIFS(T_SelfStock_Log[Self_Qty],T_SelfStock_Log[Part Name],$A13,T_SelfStock_Log[WeekIndex],18))</f>
        <v/>
      </c>
      <c r="T13" s="18">
        <f>IF(COUNTIFS(T_SelfStock_Log[Part Name],$A13,T_SelfStock_Log[WeekIndex],19)=0,"",SUMIFS(T_SelfStock_Log[Self_Qty],T_SelfStock_Log[Part Name],$A13,T_SelfStock_Log[WeekIndex],19))</f>
        <v/>
      </c>
      <c r="U13" s="18">
        <f>IF(COUNTIFS(T_SelfStock_Log[Part Name],$A13,T_SelfStock_Log[WeekIndex],20)=0,"",SUMIFS(T_SelfStock_Log[Self_Qty],T_SelfStock_Log[Part Name],$A13,T_SelfStock_Log[WeekIndex],20))</f>
        <v/>
      </c>
      <c r="V13" s="18">
        <f>IF(COUNTIFS(T_SelfStock_Log[Part Name],$A13,T_SelfStock_Log[WeekIndex],21)=0,"",SUMIFS(T_SelfStock_Log[Self_Qty],T_SelfStock_Log[Part Name],$A13,T_SelfStock_Log[WeekIndex],21))</f>
        <v/>
      </c>
      <c r="W13" s="18">
        <f>IF(COUNTIFS(T_SelfStock_Log[Part Name],$A13,T_SelfStock_Log[WeekIndex],22)=0,"",SUMIFS(T_SelfStock_Log[Self_Qty],T_SelfStock_Log[Part Name],$A13,T_SelfStock_Log[WeekIndex],22))</f>
        <v/>
      </c>
      <c r="X13" s="18">
        <f>IF(COUNTIFS(T_SelfStock_Log[Part Name],$A13,T_SelfStock_Log[WeekIndex],23)=0,"",SUMIFS(T_SelfStock_Log[Self_Qty],T_SelfStock_Log[Part Name],$A13,T_SelfStock_Log[WeekIndex],23))</f>
        <v/>
      </c>
      <c r="Y13" s="18">
        <f>IF(COUNTIFS(T_SelfStock_Log[Part Name],$A13,T_SelfStock_Log[WeekIndex],24)=0,"",SUMIFS(T_SelfStock_Log[Self_Qty],T_SelfStock_Log[Part Name],$A13,T_SelfStock_Log[WeekIndex],24))</f>
        <v/>
      </c>
      <c r="Z13" s="18">
        <f>IF(COUNTIFS(T_SelfStock_Log[Part Name],$A13,T_SelfStock_Log[WeekIndex],25)=0,"",SUMIFS(T_SelfStock_Log[Self_Qty],T_SelfStock_Log[Part Name],$A13,T_SelfStock_Log[WeekIndex],25))</f>
        <v/>
      </c>
      <c r="AA13" s="18">
        <f>IF(COUNTIFS(T_SelfStock_Log[Part Name],$A13,T_SelfStock_Log[WeekIndex],26)=0,"",SUMIFS(T_SelfStock_Log[Self_Qty],T_SelfStock_Log[Part Name],$A13,T_SelfStock_Log[WeekIndex],26))</f>
        <v/>
      </c>
      <c r="AB13" s="18">
        <f>IF(COUNTIFS(T_SelfStock_Log[Part Name],$A13,T_SelfStock_Log[WeekIndex],27)=0,"",SUMIFS(T_SelfStock_Log[Self_Qty],T_SelfStock_Log[Part Name],$A13,T_SelfStock_Log[WeekIndex],27))</f>
        <v/>
      </c>
      <c r="AC13" s="18">
        <f>IF(COUNTIFS(T_SelfStock_Log[Part Name],$A13,T_SelfStock_Log[WeekIndex],28)=0,"",SUMIFS(T_SelfStock_Log[Self_Qty],T_SelfStock_Log[Part Name],$A13,T_SelfStock_Log[WeekIndex],28))</f>
        <v/>
      </c>
      <c r="AD13" s="18">
        <f>IF(COUNTIFS(T_SelfStock_Log[Part Name],$A13,T_SelfStock_Log[WeekIndex],29)=0,"",SUMIFS(T_SelfStock_Log[Self_Qty],T_SelfStock_Log[Part Name],$A13,T_SelfStock_Log[WeekIndex],29))</f>
        <v/>
      </c>
      <c r="AE13" s="18">
        <f>IF(COUNTIFS(T_SelfStock_Log[Part Name],$A13,T_SelfStock_Log[WeekIndex],30)=0,"",SUMIFS(T_SelfStock_Log[Self_Qty],T_SelfStock_Log[Part Name],$A13,T_SelfStock_Log[WeekIndex],30))</f>
        <v/>
      </c>
      <c r="AF13" s="18">
        <f>IF(COUNTIFS(T_SelfStock_Log[Part Name],$A13,T_SelfStock_Log[WeekIndex],31)=0,"",SUMIFS(T_SelfStock_Log[Self_Qty],T_SelfStock_Log[Part Name],$A13,T_SelfStock_Log[WeekIndex],31))</f>
        <v/>
      </c>
      <c r="AG13" s="18">
        <f>IF(COUNTIFS(T_SelfStock_Log[Part Name],$A13,T_SelfStock_Log[WeekIndex],32)=0,"",SUMIFS(T_SelfStock_Log[Self_Qty],T_SelfStock_Log[Part Name],$A13,T_SelfStock_Log[WeekIndex],32))</f>
        <v/>
      </c>
      <c r="AH13" s="18">
        <f>IF(COUNTIFS(T_SelfStock_Log[Part Name],$A13,T_SelfStock_Log[WeekIndex],33)=0,"",SUMIFS(T_SelfStock_Log[Self_Qty],T_SelfStock_Log[Part Name],$A13,T_SelfStock_Log[WeekIndex],33))</f>
        <v/>
      </c>
      <c r="AI13" s="18">
        <f>IF(COUNTIFS(T_SelfStock_Log[Part Name],$A13,T_SelfStock_Log[WeekIndex],34)=0,"",SUMIFS(T_SelfStock_Log[Self_Qty],T_SelfStock_Log[Part Name],$A13,T_SelfStock_Log[WeekIndex],34))</f>
        <v/>
      </c>
      <c r="AJ13" s="18">
        <f>IF(COUNTIFS(T_SelfStock_Log[Part Name],$A13,T_SelfStock_Log[WeekIndex],35)=0,"",SUMIFS(T_SelfStock_Log[Self_Qty],T_SelfStock_Log[Part Name],$A13,T_SelfStock_Log[WeekIndex],35))</f>
        <v/>
      </c>
      <c r="AK13" s="18">
        <f>IF(COUNTIFS(T_SelfStock_Log[Part Name],$A13,T_SelfStock_Log[WeekIndex],36)=0,"",SUMIFS(T_SelfStock_Log[Self_Qty],T_SelfStock_Log[Part Name],$A13,T_SelfStock_Log[WeekIndex],36))</f>
        <v/>
      </c>
      <c r="AL13" s="18">
        <f>IF(COUNTIFS(T_SelfStock_Log[Part Name],$A13,T_SelfStock_Log[WeekIndex],37)=0,"",SUMIFS(T_SelfStock_Log[Self_Qty],T_SelfStock_Log[Part Name],$A13,T_SelfStock_Log[WeekIndex],37))</f>
        <v/>
      </c>
      <c r="AM13" s="18">
        <f>IF(COUNTIFS(T_SelfStock_Log[Part Name],$A13,T_SelfStock_Log[WeekIndex],38)=0,"",SUMIFS(T_SelfStock_Log[Self_Qty],T_SelfStock_Log[Part Name],$A13,T_SelfStock_Log[WeekIndex],38))</f>
        <v/>
      </c>
      <c r="AN13" s="18">
        <f>IF(COUNTIFS(T_SelfStock_Log[Part Name],$A13,T_SelfStock_Log[WeekIndex],39)=0,"",SUMIFS(T_SelfStock_Log[Self_Qty],T_SelfStock_Log[Part Name],$A13,T_SelfStock_Log[WeekIndex],39))</f>
        <v/>
      </c>
      <c r="AO13" s="18">
        <f>IF(COUNTIFS(T_SelfStock_Log[Part Name],$A13,T_SelfStock_Log[WeekIndex],40)=0,"",SUMIFS(T_SelfStock_Log[Self_Qty],T_SelfStock_Log[Part Name],$A13,T_SelfStock_Log[WeekIndex],40))</f>
        <v/>
      </c>
      <c r="AP13" s="18">
        <f>IF(COUNTIFS(T_SelfStock_Log[Part Name],$A13,T_SelfStock_Log[WeekIndex],41)=0,"",SUMIFS(T_SelfStock_Log[Self_Qty],T_SelfStock_Log[Part Name],$A13,T_SelfStock_Log[WeekIndex],41))</f>
        <v/>
      </c>
      <c r="AQ13" s="18">
        <f>IF(COUNTIFS(T_SelfStock_Log[Part Name],$A13,T_SelfStock_Log[WeekIndex],42)=0,"",SUMIFS(T_SelfStock_Log[Self_Qty],T_SelfStock_Log[Part Name],$A13,T_SelfStock_Log[WeekIndex],42))</f>
        <v/>
      </c>
      <c r="AR13" s="18">
        <f>IF(COUNTIFS(T_SelfStock_Log[Part Name],$A13,T_SelfStock_Log[WeekIndex],43)=0,"",SUMIFS(T_SelfStock_Log[Self_Qty],T_SelfStock_Log[Part Name],$A13,T_SelfStock_Log[WeekIndex],43))</f>
        <v/>
      </c>
      <c r="AS13" s="18">
        <f>IF(COUNTIFS(T_SelfStock_Log[Part Name],$A13,T_SelfStock_Log[WeekIndex],44)=0,"",SUMIFS(T_SelfStock_Log[Self_Qty],T_SelfStock_Log[Part Name],$A13,T_SelfStock_Log[WeekIndex],44))</f>
        <v/>
      </c>
      <c r="AT13" s="18">
        <f>IF(COUNTIFS(T_SelfStock_Log[Part Name],$A13,T_SelfStock_Log[WeekIndex],45)=0,"",SUMIFS(T_SelfStock_Log[Self_Qty],T_SelfStock_Log[Part Name],$A13,T_SelfStock_Log[WeekIndex],45))</f>
        <v/>
      </c>
      <c r="AU13" s="18">
        <f>IF(COUNTIFS(T_SelfStock_Log[Part Name],$A13,T_SelfStock_Log[WeekIndex],46)=0,"",SUMIFS(T_SelfStock_Log[Self_Qty],T_SelfStock_Log[Part Name],$A13,T_SelfStock_Log[WeekIndex],46))</f>
        <v/>
      </c>
      <c r="AV13" s="18">
        <f>IF(COUNTIFS(T_SelfStock_Log[Part Name],$A13,T_SelfStock_Log[WeekIndex],47)=0,"",SUMIFS(T_SelfStock_Log[Self_Qty],T_SelfStock_Log[Part Name],$A13,T_SelfStock_Log[WeekIndex],47))</f>
        <v/>
      </c>
      <c r="AW13" s="18">
        <f>IF(COUNTIFS(T_SelfStock_Log[Part Name],$A13,T_SelfStock_Log[WeekIndex],48)=0,"",SUMIFS(T_SelfStock_Log[Self_Qty],T_SelfStock_Log[Part Name],$A13,T_SelfStock_Log[WeekIndex],48))</f>
        <v/>
      </c>
      <c r="AX13" s="18">
        <f>IF(COUNTIFS(T_SelfStock_Log[Part Name],$A13,T_SelfStock_Log[WeekIndex],49)=0,"",SUMIFS(T_SelfStock_Log[Self_Qty],T_SelfStock_Log[Part Name],$A13,T_SelfStock_Log[WeekIndex],49))</f>
        <v/>
      </c>
      <c r="AY13" s="18">
        <f>IF(COUNTIFS(T_SelfStock_Log[Part Name],$A13,T_SelfStock_Log[WeekIndex],50)=0,"",SUMIFS(T_SelfStock_Log[Self_Qty],T_SelfStock_Log[Part Name],$A13,T_SelfStock_Log[WeekIndex],50))</f>
        <v/>
      </c>
      <c r="AZ13" s="18">
        <f>IF(COUNTIFS(T_SelfStock_Log[Part Name],$A13,T_SelfStock_Log[WeekIndex],51)=0,"",SUMIFS(T_SelfStock_Log[Self_Qty],T_SelfStock_Log[Part Name],$A13,T_SelfStock_Log[WeekIndex],51))</f>
        <v/>
      </c>
      <c r="BA13" s="18">
        <f>IF(COUNTIFS(T_SelfStock_Log[Part Name],$A13,T_SelfStock_Log[WeekIndex],52)=0,"",SUMIFS(T_SelfStock_Log[Self_Qty],T_SelfStock_Log[Part Name],$A13,T_SelfStock_Log[WeekIndex],52))</f>
        <v/>
      </c>
      <c r="BB13" s="18">
        <f>IF(COUNTIFS(T_SelfStock_Log[Part Name],$A13,T_SelfStock_Log[WeekIndex],53)=0,"",SUMIFS(T_SelfStock_Log[Self_Qty],T_SelfStock_Log[Part Name],$A13,T_SelfStock_Log[WeekIndex],53))</f>
        <v/>
      </c>
      <c r="BC13" s="18">
        <f>IF(COUNTIFS(T_SelfStock_Log[Part Name],$A13,T_SelfStock_Log[WeekIndex],54)=0,"",SUMIFS(T_SelfStock_Log[Self_Qty],T_SelfStock_Log[Part Name],$A13,T_SelfStock_Log[WeekIndex],54))</f>
        <v/>
      </c>
      <c r="BD13" s="18">
        <f>IF(COUNTIFS(T_SelfStock_Log[Part Name],$A13,T_SelfStock_Log[WeekIndex],55)=0,"",SUMIFS(T_SelfStock_Log[Self_Qty],T_SelfStock_Log[Part Name],$A13,T_SelfStock_Log[WeekIndex],55))</f>
        <v/>
      </c>
      <c r="BE13" s="18">
        <f>IF(COUNTIFS(T_SelfStock_Log[Part Name],$A13,T_SelfStock_Log[WeekIndex],56)=0,"",SUMIFS(T_SelfStock_Log[Self_Qty],T_SelfStock_Log[Part Name],$A13,T_SelfStock_Log[WeekIndex],56))</f>
        <v/>
      </c>
      <c r="BF13" s="18">
        <f>IF(COUNTIFS(T_SelfStock_Log[Part Name],$A13,T_SelfStock_Log[WeekIndex],57)=0,"",SUMIFS(T_SelfStock_Log[Self_Qty],T_SelfStock_Log[Part Name],$A13,T_SelfStock_Log[WeekIndex],57))</f>
        <v/>
      </c>
      <c r="BG13" s="18">
        <f>IF(COUNTIFS(T_SelfStock_Log[Part Name],$A13,T_SelfStock_Log[WeekIndex],58)=0,"",SUMIFS(T_SelfStock_Log[Self_Qty],T_SelfStock_Log[Part Name],$A13,T_SelfStock_Log[WeekIndex],58))</f>
        <v/>
      </c>
      <c r="BH13" s="18">
        <f>IF(COUNTIFS(T_SelfStock_Log[Part Name],$A13,T_SelfStock_Log[WeekIndex],59)=0,"",SUMIFS(T_SelfStock_Log[Self_Qty],T_SelfStock_Log[Part Name],$A13,T_SelfStock_Log[WeekIndex],59))</f>
        <v/>
      </c>
      <c r="BI13" s="18">
        <f>IF(COUNTIFS(T_SelfStock_Log[Part Name],$A13,T_SelfStock_Log[WeekIndex],60)=0,"",SUMIFS(T_SelfStock_Log[Self_Qty],T_SelfStock_Log[Part Name],$A13,T_SelfStock_Log[WeekIndex],60))</f>
        <v/>
      </c>
      <c r="BJ13" s="18">
        <f>IF(COUNTIFS(T_SelfStock_Log[Part Name],$A13,T_SelfStock_Log[WeekIndex],61)=0,"",SUMIFS(T_SelfStock_Log[Self_Qty],T_SelfStock_Log[Part Name],$A13,T_SelfStock_Log[WeekIndex],61))</f>
        <v/>
      </c>
      <c r="BK13" s="18">
        <f>IF(COUNTIFS(T_SelfStock_Log[Part Name],$A13,T_SelfStock_Log[WeekIndex],62)=0,"",SUMIFS(T_SelfStock_Log[Self_Qty],T_SelfStock_Log[Part Name],$A13,T_SelfStock_Log[WeekIndex],62))</f>
        <v/>
      </c>
      <c r="BL13" s="18">
        <f>IF(COUNTIFS(T_SelfStock_Log[Part Name],$A13,T_SelfStock_Log[WeekIndex],63)=0,"",SUMIFS(T_SelfStock_Log[Self_Qty],T_SelfStock_Log[Part Name],$A13,T_SelfStock_Log[WeekIndex],63))</f>
        <v/>
      </c>
      <c r="BM13" s="18">
        <f>IF(COUNTIFS(T_SelfStock_Log[Part Name],$A13,T_SelfStock_Log[WeekIndex],64)=0,"",SUMIFS(T_SelfStock_Log[Self_Qty],T_SelfStock_Log[Part Name],$A13,T_SelfStock_Log[WeekIndex],64))</f>
        <v/>
      </c>
      <c r="BN13" s="18">
        <f>IF(COUNTIFS(T_SelfStock_Log[Part Name],$A13,T_SelfStock_Log[WeekIndex],65)=0,"",SUMIFS(T_SelfStock_Log[Self_Qty],T_SelfStock_Log[Part Name],$A13,T_SelfStock_Log[WeekIndex],65))</f>
        <v/>
      </c>
      <c r="BO13" s="18">
        <f>IF(COUNTIFS(T_SelfStock_Log[Part Name],$A13,T_SelfStock_Log[WeekIndex],66)=0,"",SUMIFS(T_SelfStock_Log[Self_Qty],T_SelfStock_Log[Part Name],$A13,T_SelfStock_Log[WeekIndex],66))</f>
        <v/>
      </c>
      <c r="BP13" s="18">
        <f>IF(COUNTIFS(T_SelfStock_Log[Part Name],$A13,T_SelfStock_Log[WeekIndex],67)=0,"",SUMIFS(T_SelfStock_Log[Self_Qty],T_SelfStock_Log[Part Name],$A13,T_SelfStock_Log[WeekIndex],67))</f>
        <v/>
      </c>
      <c r="BQ13" s="18">
        <f>IF(COUNTIFS(T_SelfStock_Log[Part Name],$A13,T_SelfStock_Log[WeekIndex],68)=0,"",SUMIFS(T_SelfStock_Log[Self_Qty],T_SelfStock_Log[Part Name],$A13,T_SelfStock_Log[WeekIndex],68))</f>
        <v/>
      </c>
      <c r="BR13" s="18">
        <f>IF(COUNTIFS(T_SelfStock_Log[Part Name],$A13,T_SelfStock_Log[WeekIndex],69)=0,"",SUMIFS(T_SelfStock_Log[Self_Qty],T_SelfStock_Log[Part Name],$A13,T_SelfStock_Log[WeekIndex],69))</f>
        <v/>
      </c>
      <c r="BS13" s="18">
        <f>IF(COUNTIFS(T_SelfStock_Log[Part Name],$A13,T_SelfStock_Log[WeekIndex],70)=0,"",SUMIFS(T_SelfStock_Log[Self_Qty],T_SelfStock_Log[Part Name],$A13,T_SelfStock_Log[WeekIndex],70))</f>
        <v/>
      </c>
      <c r="BT13" s="18">
        <f>IF(COUNTIFS(T_SelfStock_Log[Part Name],$A13,T_SelfStock_Log[WeekIndex],71)=0,"",SUMIFS(T_SelfStock_Log[Self_Qty],T_SelfStock_Log[Part Name],$A13,T_SelfStock_Log[WeekIndex],71))</f>
        <v/>
      </c>
      <c r="BU13" s="18">
        <f>IF(COUNTIFS(T_SelfStock_Log[Part Name],$A13,T_SelfStock_Log[WeekIndex],72)=0,"",SUMIFS(T_SelfStock_Log[Self_Qty],T_SelfStock_Log[Part Name],$A13,T_SelfStock_Log[WeekIndex],72))</f>
        <v/>
      </c>
      <c r="BV13" s="18">
        <f>IF(COUNTIFS(T_SelfStock_Log[Part Name],$A13,T_SelfStock_Log[WeekIndex],73)=0,"",SUMIFS(T_SelfStock_Log[Self_Qty],T_SelfStock_Log[Part Name],$A13,T_SelfStock_Log[WeekIndex],73))</f>
        <v/>
      </c>
      <c r="BW13" s="18">
        <f>IF(COUNTIFS(T_SelfStock_Log[Part Name],$A13,T_SelfStock_Log[WeekIndex],74)=0,"",SUMIFS(T_SelfStock_Log[Self_Qty],T_SelfStock_Log[Part Name],$A13,T_SelfStock_Log[WeekIndex],74))</f>
        <v/>
      </c>
      <c r="BX13" s="18">
        <f>IF(COUNTIFS(T_SelfStock_Log[Part Name],$A13,T_SelfStock_Log[WeekIndex],75)=0,"",SUMIFS(T_SelfStock_Log[Self_Qty],T_SelfStock_Log[Part Name],$A13,T_SelfStock_Log[WeekIndex],75))</f>
        <v/>
      </c>
      <c r="BY13" s="18">
        <f>IF(COUNTIFS(T_SelfStock_Log[Part Name],$A13,T_SelfStock_Log[WeekIndex],76)=0,"",SUMIFS(T_SelfStock_Log[Self_Qty],T_SelfStock_Log[Part Name],$A13,T_SelfStock_Log[WeekIndex],76))</f>
        <v/>
      </c>
      <c r="BZ13" s="18">
        <f>IF(COUNTIFS(T_SelfStock_Log[Part Name],$A13,T_SelfStock_Log[WeekIndex],77)=0,"",SUMIFS(T_SelfStock_Log[Self_Qty],T_SelfStock_Log[Part Name],$A13,T_SelfStock_Log[WeekIndex],77))</f>
        <v/>
      </c>
      <c r="CA13" s="18">
        <f>IF(COUNTIFS(T_SelfStock_Log[Part Name],$A13,T_SelfStock_Log[WeekIndex],78)=0,"",SUMIFS(T_SelfStock_Log[Self_Qty],T_SelfStock_Log[Part Name],$A13,T_SelfStock_Log[WeekIndex],78))</f>
        <v/>
      </c>
      <c r="CB13" s="18">
        <f>IF(COUNTIFS(T_SelfStock_Log[Part Name],$A13,T_SelfStock_Log[WeekIndex],79)=0,"",SUMIFS(T_SelfStock_Log[Self_Qty],T_SelfStock_Log[Part Name],$A13,T_SelfStock_Log[WeekIndex],79))</f>
        <v/>
      </c>
      <c r="CC13" s="18">
        <f>IF(COUNTIFS(T_SelfStock_Log[Part Name],$A13,T_SelfStock_Log[WeekIndex],80)=0,"",SUMIFS(T_SelfStock_Log[Self_Qty],T_SelfStock_Log[Part Name],$A13,T_SelfStock_Log[WeekIndex],80))</f>
        <v/>
      </c>
      <c r="CD13" s="18">
        <f>IF(COUNTIFS(T_SelfStock_Log[Part Name],$A13,T_SelfStock_Log[WeekIndex],81)=0,"",SUMIFS(T_SelfStock_Log[Self_Qty],T_SelfStock_Log[Part Name],$A13,T_SelfStock_Log[WeekIndex],81))</f>
        <v/>
      </c>
      <c r="CE13" s="18">
        <f>IF(COUNTIFS(T_SelfStock_Log[Part Name],$A13,T_SelfStock_Log[WeekIndex],82)=0,"",SUMIFS(T_SelfStock_Log[Self_Qty],T_SelfStock_Log[Part Name],$A13,T_SelfStock_Log[WeekIndex],82))</f>
        <v/>
      </c>
      <c r="CF13" s="18">
        <f>IF(COUNTIFS(T_SelfStock_Log[Part Name],$A13,T_SelfStock_Log[WeekIndex],83)=0,"",SUMIFS(T_SelfStock_Log[Self_Qty],T_SelfStock_Log[Part Name],$A13,T_SelfStock_Log[WeekIndex],83))</f>
        <v/>
      </c>
      <c r="CG13" s="18">
        <f>IF(COUNTIFS(T_SelfStock_Log[Part Name],$A13,T_SelfStock_Log[WeekIndex],84)=0,"",SUMIFS(T_SelfStock_Log[Self_Qty],T_SelfStock_Log[Part Name],$A13,T_SelfStock_Log[WeekIndex],84))</f>
        <v/>
      </c>
      <c r="CH13" s="18">
        <f>IF(COUNTIFS(T_SelfStock_Log[Part Name],$A13,T_SelfStock_Log[WeekIndex],85)=0,"",SUMIFS(T_SelfStock_Log[Self_Qty],T_SelfStock_Log[Part Name],$A13,T_SelfStock_Log[WeekIndex],85))</f>
        <v/>
      </c>
      <c r="CI13" s="18">
        <f>IF(COUNTIFS(T_SelfStock_Log[Part Name],$A13,T_SelfStock_Log[WeekIndex],86)=0,"",SUMIFS(T_SelfStock_Log[Self_Qty],T_SelfStock_Log[Part Name],$A13,T_SelfStock_Log[WeekIndex],86))</f>
        <v/>
      </c>
      <c r="CJ13" s="18">
        <f>IF(COUNTIFS(T_SelfStock_Log[Part Name],$A13,T_SelfStock_Log[WeekIndex],87)=0,"",SUMIFS(T_SelfStock_Log[Self_Qty],T_SelfStock_Log[Part Name],$A13,T_SelfStock_Log[WeekIndex],87))</f>
        <v/>
      </c>
      <c r="CK13" s="18">
        <f>IF(COUNTIFS(T_SelfStock_Log[Part Name],$A13,T_SelfStock_Log[WeekIndex],88)=0,"",SUMIFS(T_SelfStock_Log[Self_Qty],T_SelfStock_Log[Part Name],$A13,T_SelfStock_Log[WeekIndex],88))</f>
        <v/>
      </c>
      <c r="CL13" s="18">
        <f>IF(COUNTIFS(T_SelfStock_Log[Part Name],$A13,T_SelfStock_Log[WeekIndex],89)=0,"",SUMIFS(T_SelfStock_Log[Self_Qty],T_SelfStock_Log[Part Name],$A13,T_SelfStock_Log[WeekIndex],89))</f>
        <v/>
      </c>
      <c r="CM13" s="18">
        <f>IF(COUNTIFS(T_SelfStock_Log[Part Name],$A13,T_SelfStock_Log[WeekIndex],90)=0,"",SUMIFS(T_SelfStock_Log[Self_Qty],T_SelfStock_Log[Part Name],$A13,T_SelfStock_Log[WeekIndex],90))</f>
        <v/>
      </c>
      <c r="CN13" s="18">
        <f>IF(COUNTIFS(T_SelfStock_Log[Part Name],$A13,T_SelfStock_Log[WeekIndex],91)=0,"",SUMIFS(T_SelfStock_Log[Self_Qty],T_SelfStock_Log[Part Name],$A13,T_SelfStock_Log[WeekIndex],91))</f>
        <v/>
      </c>
      <c r="CO13" s="18">
        <f>IF(COUNTIFS(T_SelfStock_Log[Part Name],$A13,T_SelfStock_Log[WeekIndex],92)=0,"",SUMIFS(T_SelfStock_Log[Self_Qty],T_SelfStock_Log[Part Name],$A13,T_SelfStock_Log[WeekIndex],92))</f>
        <v/>
      </c>
      <c r="CP13" s="18">
        <f>IF(COUNTIFS(T_SelfStock_Log[Part Name],$A13,T_SelfStock_Log[WeekIndex],93)=0,"",SUMIFS(T_SelfStock_Log[Self_Qty],T_SelfStock_Log[Part Name],$A13,T_SelfStock_Log[WeekIndex],93))</f>
        <v/>
      </c>
      <c r="CQ13" s="18">
        <f>IF(COUNTIFS(T_SelfStock_Log[Part Name],$A13,T_SelfStock_Log[WeekIndex],94)=0,"",SUMIFS(T_SelfStock_Log[Self_Qty],T_SelfStock_Log[Part Name],$A13,T_SelfStock_Log[WeekIndex],94))</f>
        <v/>
      </c>
      <c r="CR13" s="18">
        <f>IF(COUNTIFS(T_SelfStock_Log[Part Name],$A13,T_SelfStock_Log[WeekIndex],95)=0,"",SUMIFS(T_SelfStock_Log[Self_Qty],T_SelfStock_Log[Part Name],$A13,T_SelfStock_Log[WeekIndex],95))</f>
        <v/>
      </c>
      <c r="CS13" s="18">
        <f>IF(COUNTIFS(T_SelfStock_Log[Part Name],$A13,T_SelfStock_Log[WeekIndex],96)=0,"",SUMIFS(T_SelfStock_Log[Self_Qty],T_SelfStock_Log[Part Name],$A13,T_SelfStock_Log[WeekIndex],96))</f>
        <v/>
      </c>
      <c r="CT13" s="18">
        <f>IF(COUNTIFS(T_SelfStock_Log[Part Name],$A13,T_SelfStock_Log[WeekIndex],97)=0,"",SUMIFS(T_SelfStock_Log[Self_Qty],T_SelfStock_Log[Part Name],$A13,T_SelfStock_Log[WeekIndex],97))</f>
        <v/>
      </c>
      <c r="CU13" s="18">
        <f>IF(COUNTIFS(T_SelfStock_Log[Part Name],$A13,T_SelfStock_Log[WeekIndex],98)=0,"",SUMIFS(T_SelfStock_Log[Self_Qty],T_SelfStock_Log[Part Name],$A13,T_SelfStock_Log[WeekIndex],98))</f>
        <v/>
      </c>
      <c r="CV13" s="18">
        <f>IF(COUNTIFS(T_SelfStock_Log[Part Name],$A13,T_SelfStock_Log[WeekIndex],99)=0,"",SUMIFS(T_SelfStock_Log[Self_Qty],T_SelfStock_Log[Part Name],$A13,T_SelfStock_Log[WeekIndex],99))</f>
        <v/>
      </c>
      <c r="CW13" s="18">
        <f>IF(COUNTIFS(T_SelfStock_Log[Part Name],$A13,T_SelfStock_Log[WeekIndex],100)=0,"",SUMIFS(T_SelfStock_Log[Self_Qty],T_SelfStock_Log[Part Name],$A13,T_SelfStock_Log[WeekIndex],100))</f>
        <v/>
      </c>
      <c r="CX13" s="18">
        <f>IF(COUNTIFS(T_SelfStock_Log[Part Name],$A13,T_SelfStock_Log[WeekIndex],101)=0,"",SUMIFS(T_SelfStock_Log[Self_Qty],T_SelfStock_Log[Part Name],$A13,T_SelfStock_Log[WeekIndex],101))</f>
        <v/>
      </c>
      <c r="CY13" s="18">
        <f>IF(COUNTIFS(T_SelfStock_Log[Part Name],$A13,T_SelfStock_Log[WeekIndex],102)=0,"",SUMIFS(T_SelfStock_Log[Self_Qty],T_SelfStock_Log[Part Name],$A13,T_SelfStock_Log[WeekIndex],102))</f>
        <v/>
      </c>
      <c r="CZ13" s="18">
        <f>IF(COUNTIFS(T_SelfStock_Log[Part Name],$A13,T_SelfStock_Log[WeekIndex],103)=0,"",SUMIFS(T_SelfStock_Log[Self_Qty],T_SelfStock_Log[Part Name],$A13,T_SelfStock_Log[WeekIndex],103))</f>
        <v/>
      </c>
      <c r="DA13" s="18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CHEM-1440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8" t="inlineStr">
        <is>
          <t>4HL</t>
        </is>
      </c>
      <c r="B15" s="18">
        <f>IF(COUNTIFS(T_SelfStock_Log[Part Name],$A15,T_SelfStock_Log[WeekIndex],1)=0,"",SUMIFS(T_SelfStock_Log[Self_Qty],T_SelfStock_Log[Part Name],$A15,T_SelfStock_Log[WeekIndex],1))</f>
        <v/>
      </c>
      <c r="C15" s="18">
        <f>IF(COUNTIFS(T_SelfStock_Log[Part Name],$A15,T_SelfStock_Log[WeekIndex],2)=0,"",SUMIFS(T_SelfStock_Log[Self_Qty],T_SelfStock_Log[Part Name],$A15,T_SelfStock_Log[WeekIndex],2))</f>
        <v/>
      </c>
      <c r="D15" s="18">
        <f>IF(COUNTIFS(T_SelfStock_Log[Part Name],$A15,T_SelfStock_Log[WeekIndex],3)=0,"",SUMIFS(T_SelfStock_Log[Self_Qty],T_SelfStock_Log[Part Name],$A15,T_SelfStock_Log[WeekIndex],3))</f>
        <v/>
      </c>
      <c r="E15" s="18">
        <f>IF(COUNTIFS(T_SelfStock_Log[Part Name],$A15,T_SelfStock_Log[WeekIndex],4)=0,"",SUMIFS(T_SelfStock_Log[Self_Qty],T_SelfStock_Log[Part Name],$A15,T_SelfStock_Log[WeekIndex],4))</f>
        <v/>
      </c>
      <c r="F15" s="18">
        <f>IF(COUNTIFS(T_SelfStock_Log[Part Name],$A15,T_SelfStock_Log[WeekIndex],5)=0,"",SUMIFS(T_SelfStock_Log[Self_Qty],T_SelfStock_Log[Part Name],$A15,T_SelfStock_Log[WeekIndex],5))</f>
        <v/>
      </c>
      <c r="G15" s="18">
        <f>IF(COUNTIFS(T_SelfStock_Log[Part Name],$A15,T_SelfStock_Log[WeekIndex],6)=0,"",SUMIFS(T_SelfStock_Log[Self_Qty],T_SelfStock_Log[Part Name],$A15,T_SelfStock_Log[WeekIndex],6))</f>
        <v/>
      </c>
      <c r="H15" s="18">
        <f>IF(COUNTIFS(T_SelfStock_Log[Part Name],$A15,T_SelfStock_Log[WeekIndex],7)=0,"",SUMIFS(T_SelfStock_Log[Self_Qty],T_SelfStock_Log[Part Name],$A15,T_SelfStock_Log[WeekIndex],7))</f>
        <v/>
      </c>
      <c r="I15" s="18">
        <f>IF(COUNTIFS(T_SelfStock_Log[Part Name],$A15,T_SelfStock_Log[WeekIndex],8)=0,"",SUMIFS(T_SelfStock_Log[Self_Qty],T_SelfStock_Log[Part Name],$A15,T_SelfStock_Log[WeekIndex],8))</f>
        <v/>
      </c>
      <c r="J15" s="18">
        <f>IF(COUNTIFS(T_SelfStock_Log[Part Name],$A15,T_SelfStock_Log[WeekIndex],9)=0,"",SUMIFS(T_SelfStock_Log[Self_Qty],T_SelfStock_Log[Part Name],$A15,T_SelfStock_Log[WeekIndex],9))</f>
        <v/>
      </c>
      <c r="K15" s="18">
        <f>IF(COUNTIFS(T_SelfStock_Log[Part Name],$A15,T_SelfStock_Log[WeekIndex],10)=0,"",SUMIFS(T_SelfStock_Log[Self_Qty],T_SelfStock_Log[Part Name],$A15,T_SelfStock_Log[WeekIndex],10))</f>
        <v/>
      </c>
      <c r="L15" s="18">
        <f>IF(COUNTIFS(T_SelfStock_Log[Part Name],$A15,T_SelfStock_Log[WeekIndex],11)=0,"",SUMIFS(T_SelfStock_Log[Self_Qty],T_SelfStock_Log[Part Name],$A15,T_SelfStock_Log[WeekIndex],11))</f>
        <v/>
      </c>
      <c r="M15" s="18">
        <f>IF(COUNTIFS(T_SelfStock_Log[Part Name],$A15,T_SelfStock_Log[WeekIndex],12)=0,"",SUMIFS(T_SelfStock_Log[Self_Qty],T_SelfStock_Log[Part Name],$A15,T_SelfStock_Log[WeekIndex],12))</f>
        <v/>
      </c>
      <c r="N15" s="18">
        <f>IF(COUNTIFS(T_SelfStock_Log[Part Name],$A15,T_SelfStock_Log[WeekIndex],13)=0,"",SUMIFS(T_SelfStock_Log[Self_Qty],T_SelfStock_Log[Part Name],$A15,T_SelfStock_Log[WeekIndex],13))</f>
        <v/>
      </c>
      <c r="O15" s="18">
        <f>IF(COUNTIFS(T_SelfStock_Log[Part Name],$A15,T_SelfStock_Log[WeekIndex],14)=0,"",SUMIFS(T_SelfStock_Log[Self_Qty],T_SelfStock_Log[Part Name],$A15,T_SelfStock_Log[WeekIndex],14))</f>
        <v/>
      </c>
      <c r="P15" s="18">
        <f>IF(COUNTIFS(T_SelfStock_Log[Part Name],$A15,T_SelfStock_Log[WeekIndex],15)=0,"",SUMIFS(T_SelfStock_Log[Self_Qty],T_SelfStock_Log[Part Name],$A15,T_SelfStock_Log[WeekIndex],15))</f>
        <v/>
      </c>
      <c r="Q15" s="18">
        <f>IF(COUNTIFS(T_SelfStock_Log[Part Name],$A15,T_SelfStock_Log[WeekIndex],16)=0,"",SUMIFS(T_SelfStock_Log[Self_Qty],T_SelfStock_Log[Part Name],$A15,T_SelfStock_Log[WeekIndex],16))</f>
        <v/>
      </c>
      <c r="R15" s="18">
        <f>IF(COUNTIFS(T_SelfStock_Log[Part Name],$A15,T_SelfStock_Log[WeekIndex],17)=0,"",SUMIFS(T_SelfStock_Log[Self_Qty],T_SelfStock_Log[Part Name],$A15,T_SelfStock_Log[WeekIndex],17))</f>
        <v/>
      </c>
      <c r="S15" s="18">
        <f>IF(COUNTIFS(T_SelfStock_Log[Part Name],$A15,T_SelfStock_Log[WeekIndex],18)=0,"",SUMIFS(T_SelfStock_Log[Self_Qty],T_SelfStock_Log[Part Name],$A15,T_SelfStock_Log[WeekIndex],18))</f>
        <v/>
      </c>
      <c r="T15" s="18">
        <f>IF(COUNTIFS(T_SelfStock_Log[Part Name],$A15,T_SelfStock_Log[WeekIndex],19)=0,"",SUMIFS(T_SelfStock_Log[Self_Qty],T_SelfStock_Log[Part Name],$A15,T_SelfStock_Log[WeekIndex],19))</f>
        <v/>
      </c>
      <c r="U15" s="18">
        <f>IF(COUNTIFS(T_SelfStock_Log[Part Name],$A15,T_SelfStock_Log[WeekIndex],20)=0,"",SUMIFS(T_SelfStock_Log[Self_Qty],T_SelfStock_Log[Part Name],$A15,T_SelfStock_Log[WeekIndex],20))</f>
        <v/>
      </c>
      <c r="V15" s="18">
        <f>IF(COUNTIFS(T_SelfStock_Log[Part Name],$A15,T_SelfStock_Log[WeekIndex],21)=0,"",SUMIFS(T_SelfStock_Log[Self_Qty],T_SelfStock_Log[Part Name],$A15,T_SelfStock_Log[WeekIndex],21))</f>
        <v/>
      </c>
      <c r="W15" s="18">
        <f>IF(COUNTIFS(T_SelfStock_Log[Part Name],$A15,T_SelfStock_Log[WeekIndex],22)=0,"",SUMIFS(T_SelfStock_Log[Self_Qty],T_SelfStock_Log[Part Name],$A15,T_SelfStock_Log[WeekIndex],22))</f>
        <v/>
      </c>
      <c r="X15" s="18">
        <f>IF(COUNTIFS(T_SelfStock_Log[Part Name],$A15,T_SelfStock_Log[WeekIndex],23)=0,"",SUMIFS(T_SelfStock_Log[Self_Qty],T_SelfStock_Log[Part Name],$A15,T_SelfStock_Log[WeekIndex],23))</f>
        <v/>
      </c>
      <c r="Y15" s="18">
        <f>IF(COUNTIFS(T_SelfStock_Log[Part Name],$A15,T_SelfStock_Log[WeekIndex],24)=0,"",SUMIFS(T_SelfStock_Log[Self_Qty],T_SelfStock_Log[Part Name],$A15,T_SelfStock_Log[WeekIndex],24))</f>
        <v/>
      </c>
      <c r="Z15" s="18">
        <f>IF(COUNTIFS(T_SelfStock_Log[Part Name],$A15,T_SelfStock_Log[WeekIndex],25)=0,"",SUMIFS(T_SelfStock_Log[Self_Qty],T_SelfStock_Log[Part Name],$A15,T_SelfStock_Log[WeekIndex],25))</f>
        <v/>
      </c>
      <c r="AA15" s="18">
        <f>IF(COUNTIFS(T_SelfStock_Log[Part Name],$A15,T_SelfStock_Log[WeekIndex],26)=0,"",SUMIFS(T_SelfStock_Log[Self_Qty],T_SelfStock_Log[Part Name],$A15,T_SelfStock_Log[WeekIndex],26))</f>
        <v/>
      </c>
      <c r="AB15" s="18">
        <f>IF(COUNTIFS(T_SelfStock_Log[Part Name],$A15,T_SelfStock_Log[WeekIndex],27)=0,"",SUMIFS(T_SelfStock_Log[Self_Qty],T_SelfStock_Log[Part Name],$A15,T_SelfStock_Log[WeekIndex],27))</f>
        <v/>
      </c>
      <c r="AC15" s="18">
        <f>IF(COUNTIFS(T_SelfStock_Log[Part Name],$A15,T_SelfStock_Log[WeekIndex],28)=0,"",SUMIFS(T_SelfStock_Log[Self_Qty],T_SelfStock_Log[Part Name],$A15,T_SelfStock_Log[WeekIndex],28))</f>
        <v/>
      </c>
      <c r="AD15" s="18">
        <f>IF(COUNTIFS(T_SelfStock_Log[Part Name],$A15,T_SelfStock_Log[WeekIndex],29)=0,"",SUMIFS(T_SelfStock_Log[Self_Qty],T_SelfStock_Log[Part Name],$A15,T_SelfStock_Log[WeekIndex],29))</f>
        <v/>
      </c>
      <c r="AE15" s="18">
        <f>IF(COUNTIFS(T_SelfStock_Log[Part Name],$A15,T_SelfStock_Log[WeekIndex],30)=0,"",SUMIFS(T_SelfStock_Log[Self_Qty],T_SelfStock_Log[Part Name],$A15,T_SelfStock_Log[WeekIndex],30))</f>
        <v/>
      </c>
      <c r="AF15" s="18">
        <f>IF(COUNTIFS(T_SelfStock_Log[Part Name],$A15,T_SelfStock_Log[WeekIndex],31)=0,"",SUMIFS(T_SelfStock_Log[Self_Qty],T_SelfStock_Log[Part Name],$A15,T_SelfStock_Log[WeekIndex],31))</f>
        <v/>
      </c>
      <c r="AG15" s="18">
        <f>IF(COUNTIFS(T_SelfStock_Log[Part Name],$A15,T_SelfStock_Log[WeekIndex],32)=0,"",SUMIFS(T_SelfStock_Log[Self_Qty],T_SelfStock_Log[Part Name],$A15,T_SelfStock_Log[WeekIndex],32))</f>
        <v/>
      </c>
      <c r="AH15" s="18">
        <f>IF(COUNTIFS(T_SelfStock_Log[Part Name],$A15,T_SelfStock_Log[WeekIndex],33)=0,"",SUMIFS(T_SelfStock_Log[Self_Qty],T_SelfStock_Log[Part Name],$A15,T_SelfStock_Log[WeekIndex],33))</f>
        <v/>
      </c>
      <c r="AI15" s="18">
        <f>IF(COUNTIFS(T_SelfStock_Log[Part Name],$A15,T_SelfStock_Log[WeekIndex],34)=0,"",SUMIFS(T_SelfStock_Log[Self_Qty],T_SelfStock_Log[Part Name],$A15,T_SelfStock_Log[WeekIndex],34))</f>
        <v/>
      </c>
      <c r="AJ15" s="18">
        <f>IF(COUNTIFS(T_SelfStock_Log[Part Name],$A15,T_SelfStock_Log[WeekIndex],35)=0,"",SUMIFS(T_SelfStock_Log[Self_Qty],T_SelfStock_Log[Part Name],$A15,T_SelfStock_Log[WeekIndex],35))</f>
        <v/>
      </c>
      <c r="AK15" s="18">
        <f>IF(COUNTIFS(T_SelfStock_Log[Part Name],$A15,T_SelfStock_Log[WeekIndex],36)=0,"",SUMIFS(T_SelfStock_Log[Self_Qty],T_SelfStock_Log[Part Name],$A15,T_SelfStock_Log[WeekIndex],36))</f>
        <v/>
      </c>
      <c r="AL15" s="18">
        <f>IF(COUNTIFS(T_SelfStock_Log[Part Name],$A15,T_SelfStock_Log[WeekIndex],37)=0,"",SUMIFS(T_SelfStock_Log[Self_Qty],T_SelfStock_Log[Part Name],$A15,T_SelfStock_Log[WeekIndex],37))</f>
        <v/>
      </c>
      <c r="AM15" s="18">
        <f>IF(COUNTIFS(T_SelfStock_Log[Part Name],$A15,T_SelfStock_Log[WeekIndex],38)=0,"",SUMIFS(T_SelfStock_Log[Self_Qty],T_SelfStock_Log[Part Name],$A15,T_SelfStock_Log[WeekIndex],38))</f>
        <v/>
      </c>
      <c r="AN15" s="18">
        <f>IF(COUNTIFS(T_SelfStock_Log[Part Name],$A15,T_SelfStock_Log[WeekIndex],39)=0,"",SUMIFS(T_SelfStock_Log[Self_Qty],T_SelfStock_Log[Part Name],$A15,T_SelfStock_Log[WeekIndex],39))</f>
        <v/>
      </c>
      <c r="AO15" s="18">
        <f>IF(COUNTIFS(T_SelfStock_Log[Part Name],$A15,T_SelfStock_Log[WeekIndex],40)=0,"",SUMIFS(T_SelfStock_Log[Self_Qty],T_SelfStock_Log[Part Name],$A15,T_SelfStock_Log[WeekIndex],40))</f>
        <v/>
      </c>
      <c r="AP15" s="18">
        <f>IF(COUNTIFS(T_SelfStock_Log[Part Name],$A15,T_SelfStock_Log[WeekIndex],41)=0,"",SUMIFS(T_SelfStock_Log[Self_Qty],T_SelfStock_Log[Part Name],$A15,T_SelfStock_Log[WeekIndex],41))</f>
        <v/>
      </c>
      <c r="AQ15" s="18">
        <f>IF(COUNTIFS(T_SelfStock_Log[Part Name],$A15,T_SelfStock_Log[WeekIndex],42)=0,"",SUMIFS(T_SelfStock_Log[Self_Qty],T_SelfStock_Log[Part Name],$A15,T_SelfStock_Log[WeekIndex],42))</f>
        <v/>
      </c>
      <c r="AR15" s="18">
        <f>IF(COUNTIFS(T_SelfStock_Log[Part Name],$A15,T_SelfStock_Log[WeekIndex],43)=0,"",SUMIFS(T_SelfStock_Log[Self_Qty],T_SelfStock_Log[Part Name],$A15,T_SelfStock_Log[WeekIndex],43))</f>
        <v/>
      </c>
      <c r="AS15" s="18">
        <f>IF(COUNTIFS(T_SelfStock_Log[Part Name],$A15,T_SelfStock_Log[WeekIndex],44)=0,"",SUMIFS(T_SelfStock_Log[Self_Qty],T_SelfStock_Log[Part Name],$A15,T_SelfStock_Log[WeekIndex],44))</f>
        <v/>
      </c>
      <c r="AT15" s="18">
        <f>IF(COUNTIFS(T_SelfStock_Log[Part Name],$A15,T_SelfStock_Log[WeekIndex],45)=0,"",SUMIFS(T_SelfStock_Log[Self_Qty],T_SelfStock_Log[Part Name],$A15,T_SelfStock_Log[WeekIndex],45))</f>
        <v/>
      </c>
      <c r="AU15" s="18">
        <f>IF(COUNTIFS(T_SelfStock_Log[Part Name],$A15,T_SelfStock_Log[WeekIndex],46)=0,"",SUMIFS(T_SelfStock_Log[Self_Qty],T_SelfStock_Log[Part Name],$A15,T_SelfStock_Log[WeekIndex],46))</f>
        <v/>
      </c>
      <c r="AV15" s="18">
        <f>IF(COUNTIFS(T_SelfStock_Log[Part Name],$A15,T_SelfStock_Log[WeekIndex],47)=0,"",SUMIFS(T_SelfStock_Log[Self_Qty],T_SelfStock_Log[Part Name],$A15,T_SelfStock_Log[WeekIndex],47))</f>
        <v/>
      </c>
      <c r="AW15" s="18">
        <f>IF(COUNTIFS(T_SelfStock_Log[Part Name],$A15,T_SelfStock_Log[WeekIndex],48)=0,"",SUMIFS(T_SelfStock_Log[Self_Qty],T_SelfStock_Log[Part Name],$A15,T_SelfStock_Log[WeekIndex],48))</f>
        <v/>
      </c>
      <c r="AX15" s="18">
        <f>IF(COUNTIFS(T_SelfStock_Log[Part Name],$A15,T_SelfStock_Log[WeekIndex],49)=0,"",SUMIFS(T_SelfStock_Log[Self_Qty],T_SelfStock_Log[Part Name],$A15,T_SelfStock_Log[WeekIndex],49))</f>
        <v/>
      </c>
      <c r="AY15" s="18">
        <f>IF(COUNTIFS(T_SelfStock_Log[Part Name],$A15,T_SelfStock_Log[WeekIndex],50)=0,"",SUMIFS(T_SelfStock_Log[Self_Qty],T_SelfStock_Log[Part Name],$A15,T_SelfStock_Log[WeekIndex],50))</f>
        <v/>
      </c>
      <c r="AZ15" s="18">
        <f>IF(COUNTIFS(T_SelfStock_Log[Part Name],$A15,T_SelfStock_Log[WeekIndex],51)=0,"",SUMIFS(T_SelfStock_Log[Self_Qty],T_SelfStock_Log[Part Name],$A15,T_SelfStock_Log[WeekIndex],51))</f>
        <v/>
      </c>
      <c r="BA15" s="18">
        <f>IF(COUNTIFS(T_SelfStock_Log[Part Name],$A15,T_SelfStock_Log[WeekIndex],52)=0,"",SUMIFS(T_SelfStock_Log[Self_Qty],T_SelfStock_Log[Part Name],$A15,T_SelfStock_Log[WeekIndex],52))</f>
        <v/>
      </c>
      <c r="BB15" s="18">
        <f>IF(COUNTIFS(T_SelfStock_Log[Part Name],$A15,T_SelfStock_Log[WeekIndex],53)=0,"",SUMIFS(T_SelfStock_Log[Self_Qty],T_SelfStock_Log[Part Name],$A15,T_SelfStock_Log[WeekIndex],53))</f>
        <v/>
      </c>
      <c r="BC15" s="18">
        <f>IF(COUNTIFS(T_SelfStock_Log[Part Name],$A15,T_SelfStock_Log[WeekIndex],54)=0,"",SUMIFS(T_SelfStock_Log[Self_Qty],T_SelfStock_Log[Part Name],$A15,T_SelfStock_Log[WeekIndex],54))</f>
        <v/>
      </c>
      <c r="BD15" s="18">
        <f>IF(COUNTIFS(T_SelfStock_Log[Part Name],$A15,T_SelfStock_Log[WeekIndex],55)=0,"",SUMIFS(T_SelfStock_Log[Self_Qty],T_SelfStock_Log[Part Name],$A15,T_SelfStock_Log[WeekIndex],55))</f>
        <v/>
      </c>
      <c r="BE15" s="18">
        <f>IF(COUNTIFS(T_SelfStock_Log[Part Name],$A15,T_SelfStock_Log[WeekIndex],56)=0,"",SUMIFS(T_SelfStock_Log[Self_Qty],T_SelfStock_Log[Part Name],$A15,T_SelfStock_Log[WeekIndex],56))</f>
        <v/>
      </c>
      <c r="BF15" s="18">
        <f>IF(COUNTIFS(T_SelfStock_Log[Part Name],$A15,T_SelfStock_Log[WeekIndex],57)=0,"",SUMIFS(T_SelfStock_Log[Self_Qty],T_SelfStock_Log[Part Name],$A15,T_SelfStock_Log[WeekIndex],57))</f>
        <v/>
      </c>
      <c r="BG15" s="18">
        <f>IF(COUNTIFS(T_SelfStock_Log[Part Name],$A15,T_SelfStock_Log[WeekIndex],58)=0,"",SUMIFS(T_SelfStock_Log[Self_Qty],T_SelfStock_Log[Part Name],$A15,T_SelfStock_Log[WeekIndex],58))</f>
        <v/>
      </c>
      <c r="BH15" s="18">
        <f>IF(COUNTIFS(T_SelfStock_Log[Part Name],$A15,T_SelfStock_Log[WeekIndex],59)=0,"",SUMIFS(T_SelfStock_Log[Self_Qty],T_SelfStock_Log[Part Name],$A15,T_SelfStock_Log[WeekIndex],59))</f>
        <v/>
      </c>
      <c r="BI15" s="18">
        <f>IF(COUNTIFS(T_SelfStock_Log[Part Name],$A15,T_SelfStock_Log[WeekIndex],60)=0,"",SUMIFS(T_SelfStock_Log[Self_Qty],T_SelfStock_Log[Part Name],$A15,T_SelfStock_Log[WeekIndex],60))</f>
        <v/>
      </c>
      <c r="BJ15" s="18">
        <f>IF(COUNTIFS(T_SelfStock_Log[Part Name],$A15,T_SelfStock_Log[WeekIndex],61)=0,"",SUMIFS(T_SelfStock_Log[Self_Qty],T_SelfStock_Log[Part Name],$A15,T_SelfStock_Log[WeekIndex],61))</f>
        <v/>
      </c>
      <c r="BK15" s="18">
        <f>IF(COUNTIFS(T_SelfStock_Log[Part Name],$A15,T_SelfStock_Log[WeekIndex],62)=0,"",SUMIFS(T_SelfStock_Log[Self_Qty],T_SelfStock_Log[Part Name],$A15,T_SelfStock_Log[WeekIndex],62))</f>
        <v/>
      </c>
      <c r="BL15" s="18">
        <f>IF(COUNTIFS(T_SelfStock_Log[Part Name],$A15,T_SelfStock_Log[WeekIndex],63)=0,"",SUMIFS(T_SelfStock_Log[Self_Qty],T_SelfStock_Log[Part Name],$A15,T_SelfStock_Log[WeekIndex],63))</f>
        <v/>
      </c>
      <c r="BM15" s="18">
        <f>IF(COUNTIFS(T_SelfStock_Log[Part Name],$A15,T_SelfStock_Log[WeekIndex],64)=0,"",SUMIFS(T_SelfStock_Log[Self_Qty],T_SelfStock_Log[Part Name],$A15,T_SelfStock_Log[WeekIndex],64))</f>
        <v/>
      </c>
      <c r="BN15" s="18">
        <f>IF(COUNTIFS(T_SelfStock_Log[Part Name],$A15,T_SelfStock_Log[WeekIndex],65)=0,"",SUMIFS(T_SelfStock_Log[Self_Qty],T_SelfStock_Log[Part Name],$A15,T_SelfStock_Log[WeekIndex],65))</f>
        <v/>
      </c>
      <c r="BO15" s="18">
        <f>IF(COUNTIFS(T_SelfStock_Log[Part Name],$A15,T_SelfStock_Log[WeekIndex],66)=0,"",SUMIFS(T_SelfStock_Log[Self_Qty],T_SelfStock_Log[Part Name],$A15,T_SelfStock_Log[WeekIndex],66))</f>
        <v/>
      </c>
      <c r="BP15" s="18">
        <f>IF(COUNTIFS(T_SelfStock_Log[Part Name],$A15,T_SelfStock_Log[WeekIndex],67)=0,"",SUMIFS(T_SelfStock_Log[Self_Qty],T_SelfStock_Log[Part Name],$A15,T_SelfStock_Log[WeekIndex],67))</f>
        <v/>
      </c>
      <c r="BQ15" s="18">
        <f>IF(COUNTIFS(T_SelfStock_Log[Part Name],$A15,T_SelfStock_Log[WeekIndex],68)=0,"",SUMIFS(T_SelfStock_Log[Self_Qty],T_SelfStock_Log[Part Name],$A15,T_SelfStock_Log[WeekIndex],68))</f>
        <v/>
      </c>
      <c r="BR15" s="18">
        <f>IF(COUNTIFS(T_SelfStock_Log[Part Name],$A15,T_SelfStock_Log[WeekIndex],69)=0,"",SUMIFS(T_SelfStock_Log[Self_Qty],T_SelfStock_Log[Part Name],$A15,T_SelfStock_Log[WeekIndex],69))</f>
        <v/>
      </c>
      <c r="BS15" s="18">
        <f>IF(COUNTIFS(T_SelfStock_Log[Part Name],$A15,T_SelfStock_Log[WeekIndex],70)=0,"",SUMIFS(T_SelfStock_Log[Self_Qty],T_SelfStock_Log[Part Name],$A15,T_SelfStock_Log[WeekIndex],70))</f>
        <v/>
      </c>
      <c r="BT15" s="18">
        <f>IF(COUNTIFS(T_SelfStock_Log[Part Name],$A15,T_SelfStock_Log[WeekIndex],71)=0,"",SUMIFS(T_SelfStock_Log[Self_Qty],T_SelfStock_Log[Part Name],$A15,T_SelfStock_Log[WeekIndex],71))</f>
        <v/>
      </c>
      <c r="BU15" s="18">
        <f>IF(COUNTIFS(T_SelfStock_Log[Part Name],$A15,T_SelfStock_Log[WeekIndex],72)=0,"",SUMIFS(T_SelfStock_Log[Self_Qty],T_SelfStock_Log[Part Name],$A15,T_SelfStock_Log[WeekIndex],72))</f>
        <v/>
      </c>
      <c r="BV15" s="18">
        <f>IF(COUNTIFS(T_SelfStock_Log[Part Name],$A15,T_SelfStock_Log[WeekIndex],73)=0,"",SUMIFS(T_SelfStock_Log[Self_Qty],T_SelfStock_Log[Part Name],$A15,T_SelfStock_Log[WeekIndex],73))</f>
        <v/>
      </c>
      <c r="BW15" s="18">
        <f>IF(COUNTIFS(T_SelfStock_Log[Part Name],$A15,T_SelfStock_Log[WeekIndex],74)=0,"",SUMIFS(T_SelfStock_Log[Self_Qty],T_SelfStock_Log[Part Name],$A15,T_SelfStock_Log[WeekIndex],74))</f>
        <v/>
      </c>
      <c r="BX15" s="18">
        <f>IF(COUNTIFS(T_SelfStock_Log[Part Name],$A15,T_SelfStock_Log[WeekIndex],75)=0,"",SUMIFS(T_SelfStock_Log[Self_Qty],T_SelfStock_Log[Part Name],$A15,T_SelfStock_Log[WeekIndex],75))</f>
        <v/>
      </c>
      <c r="BY15" s="18">
        <f>IF(COUNTIFS(T_SelfStock_Log[Part Name],$A15,T_SelfStock_Log[WeekIndex],76)=0,"",SUMIFS(T_SelfStock_Log[Self_Qty],T_SelfStock_Log[Part Name],$A15,T_SelfStock_Log[WeekIndex],76))</f>
        <v/>
      </c>
      <c r="BZ15" s="18">
        <f>IF(COUNTIFS(T_SelfStock_Log[Part Name],$A15,T_SelfStock_Log[WeekIndex],77)=0,"",SUMIFS(T_SelfStock_Log[Self_Qty],T_SelfStock_Log[Part Name],$A15,T_SelfStock_Log[WeekIndex],77))</f>
        <v/>
      </c>
      <c r="CA15" s="18">
        <f>IF(COUNTIFS(T_SelfStock_Log[Part Name],$A15,T_SelfStock_Log[WeekIndex],78)=0,"",SUMIFS(T_SelfStock_Log[Self_Qty],T_SelfStock_Log[Part Name],$A15,T_SelfStock_Log[WeekIndex],78))</f>
        <v/>
      </c>
      <c r="CB15" s="18">
        <f>IF(COUNTIFS(T_SelfStock_Log[Part Name],$A15,T_SelfStock_Log[WeekIndex],79)=0,"",SUMIFS(T_SelfStock_Log[Self_Qty],T_SelfStock_Log[Part Name],$A15,T_SelfStock_Log[WeekIndex],79))</f>
        <v/>
      </c>
      <c r="CC15" s="18">
        <f>IF(COUNTIFS(T_SelfStock_Log[Part Name],$A15,T_SelfStock_Log[WeekIndex],80)=0,"",SUMIFS(T_SelfStock_Log[Self_Qty],T_SelfStock_Log[Part Name],$A15,T_SelfStock_Log[WeekIndex],80))</f>
        <v/>
      </c>
      <c r="CD15" s="18">
        <f>IF(COUNTIFS(T_SelfStock_Log[Part Name],$A15,T_SelfStock_Log[WeekIndex],81)=0,"",SUMIFS(T_SelfStock_Log[Self_Qty],T_SelfStock_Log[Part Name],$A15,T_SelfStock_Log[WeekIndex],81))</f>
        <v/>
      </c>
      <c r="CE15" s="18">
        <f>IF(COUNTIFS(T_SelfStock_Log[Part Name],$A15,T_SelfStock_Log[WeekIndex],82)=0,"",SUMIFS(T_SelfStock_Log[Self_Qty],T_SelfStock_Log[Part Name],$A15,T_SelfStock_Log[WeekIndex],82))</f>
        <v/>
      </c>
      <c r="CF15" s="18">
        <f>IF(COUNTIFS(T_SelfStock_Log[Part Name],$A15,T_SelfStock_Log[WeekIndex],83)=0,"",SUMIFS(T_SelfStock_Log[Self_Qty],T_SelfStock_Log[Part Name],$A15,T_SelfStock_Log[WeekIndex],83))</f>
        <v/>
      </c>
      <c r="CG15" s="18">
        <f>IF(COUNTIFS(T_SelfStock_Log[Part Name],$A15,T_SelfStock_Log[WeekIndex],84)=0,"",SUMIFS(T_SelfStock_Log[Self_Qty],T_SelfStock_Log[Part Name],$A15,T_SelfStock_Log[WeekIndex],84))</f>
        <v/>
      </c>
      <c r="CH15" s="18">
        <f>IF(COUNTIFS(T_SelfStock_Log[Part Name],$A15,T_SelfStock_Log[WeekIndex],85)=0,"",SUMIFS(T_SelfStock_Log[Self_Qty],T_SelfStock_Log[Part Name],$A15,T_SelfStock_Log[WeekIndex],85))</f>
        <v/>
      </c>
      <c r="CI15" s="18">
        <f>IF(COUNTIFS(T_SelfStock_Log[Part Name],$A15,T_SelfStock_Log[WeekIndex],86)=0,"",SUMIFS(T_SelfStock_Log[Self_Qty],T_SelfStock_Log[Part Name],$A15,T_SelfStock_Log[WeekIndex],86))</f>
        <v/>
      </c>
      <c r="CJ15" s="18">
        <f>IF(COUNTIFS(T_SelfStock_Log[Part Name],$A15,T_SelfStock_Log[WeekIndex],87)=0,"",SUMIFS(T_SelfStock_Log[Self_Qty],T_SelfStock_Log[Part Name],$A15,T_SelfStock_Log[WeekIndex],87))</f>
        <v/>
      </c>
      <c r="CK15" s="18">
        <f>IF(COUNTIFS(T_SelfStock_Log[Part Name],$A15,T_SelfStock_Log[WeekIndex],88)=0,"",SUMIFS(T_SelfStock_Log[Self_Qty],T_SelfStock_Log[Part Name],$A15,T_SelfStock_Log[WeekIndex],88))</f>
        <v/>
      </c>
      <c r="CL15" s="18">
        <f>IF(COUNTIFS(T_SelfStock_Log[Part Name],$A15,T_SelfStock_Log[WeekIndex],89)=0,"",SUMIFS(T_SelfStock_Log[Self_Qty],T_SelfStock_Log[Part Name],$A15,T_SelfStock_Log[WeekIndex],89))</f>
        <v/>
      </c>
      <c r="CM15" s="18">
        <f>IF(COUNTIFS(T_SelfStock_Log[Part Name],$A15,T_SelfStock_Log[WeekIndex],90)=0,"",SUMIFS(T_SelfStock_Log[Self_Qty],T_SelfStock_Log[Part Name],$A15,T_SelfStock_Log[WeekIndex],90))</f>
        <v/>
      </c>
      <c r="CN15" s="18">
        <f>IF(COUNTIFS(T_SelfStock_Log[Part Name],$A15,T_SelfStock_Log[WeekIndex],91)=0,"",SUMIFS(T_SelfStock_Log[Self_Qty],T_SelfStock_Log[Part Name],$A15,T_SelfStock_Log[WeekIndex],91))</f>
        <v/>
      </c>
      <c r="CO15" s="18">
        <f>IF(COUNTIFS(T_SelfStock_Log[Part Name],$A15,T_SelfStock_Log[WeekIndex],92)=0,"",SUMIFS(T_SelfStock_Log[Self_Qty],T_SelfStock_Log[Part Name],$A15,T_SelfStock_Log[WeekIndex],92))</f>
        <v/>
      </c>
      <c r="CP15" s="18">
        <f>IF(COUNTIFS(T_SelfStock_Log[Part Name],$A15,T_SelfStock_Log[WeekIndex],93)=0,"",SUMIFS(T_SelfStock_Log[Self_Qty],T_SelfStock_Log[Part Name],$A15,T_SelfStock_Log[WeekIndex],93))</f>
        <v/>
      </c>
      <c r="CQ15" s="18">
        <f>IF(COUNTIFS(T_SelfStock_Log[Part Name],$A15,T_SelfStock_Log[WeekIndex],94)=0,"",SUMIFS(T_SelfStock_Log[Self_Qty],T_SelfStock_Log[Part Name],$A15,T_SelfStock_Log[WeekIndex],94))</f>
        <v/>
      </c>
      <c r="CR15" s="18">
        <f>IF(COUNTIFS(T_SelfStock_Log[Part Name],$A15,T_SelfStock_Log[WeekIndex],95)=0,"",SUMIFS(T_SelfStock_Log[Self_Qty],T_SelfStock_Log[Part Name],$A15,T_SelfStock_Log[WeekIndex],95))</f>
        <v/>
      </c>
      <c r="CS15" s="18">
        <f>IF(COUNTIFS(T_SelfStock_Log[Part Name],$A15,T_SelfStock_Log[WeekIndex],96)=0,"",SUMIFS(T_SelfStock_Log[Self_Qty],T_SelfStock_Log[Part Name],$A15,T_SelfStock_Log[WeekIndex],96))</f>
        <v/>
      </c>
      <c r="CT15" s="18">
        <f>IF(COUNTIFS(T_SelfStock_Log[Part Name],$A15,T_SelfStock_Log[WeekIndex],97)=0,"",SUMIFS(T_SelfStock_Log[Self_Qty],T_SelfStock_Log[Part Name],$A15,T_SelfStock_Log[WeekIndex],97))</f>
        <v/>
      </c>
      <c r="CU15" s="18">
        <f>IF(COUNTIFS(T_SelfStock_Log[Part Name],$A15,T_SelfStock_Log[WeekIndex],98)=0,"",SUMIFS(T_SelfStock_Log[Self_Qty],T_SelfStock_Log[Part Name],$A15,T_SelfStock_Log[WeekIndex],98))</f>
        <v/>
      </c>
      <c r="CV15" s="18">
        <f>IF(COUNTIFS(T_SelfStock_Log[Part Name],$A15,T_SelfStock_Log[WeekIndex],99)=0,"",SUMIFS(T_SelfStock_Log[Self_Qty],T_SelfStock_Log[Part Name],$A15,T_SelfStock_Log[WeekIndex],99))</f>
        <v/>
      </c>
      <c r="CW15" s="18">
        <f>IF(COUNTIFS(T_SelfStock_Log[Part Name],$A15,T_SelfStock_Log[WeekIndex],100)=0,"",SUMIFS(T_SelfStock_Log[Self_Qty],T_SelfStock_Log[Part Name],$A15,T_SelfStock_Log[WeekIndex],100))</f>
        <v/>
      </c>
      <c r="CX15" s="18">
        <f>IF(COUNTIFS(T_SelfStock_Log[Part Name],$A15,T_SelfStock_Log[WeekIndex],101)=0,"",SUMIFS(T_SelfStock_Log[Self_Qty],T_SelfStock_Log[Part Name],$A15,T_SelfStock_Log[WeekIndex],101))</f>
        <v/>
      </c>
      <c r="CY15" s="18">
        <f>IF(COUNTIFS(T_SelfStock_Log[Part Name],$A15,T_SelfStock_Log[WeekIndex],102)=0,"",SUMIFS(T_SelfStock_Log[Self_Qty],T_SelfStock_Log[Part Name],$A15,T_SelfStock_Log[WeekIndex],102))</f>
        <v/>
      </c>
      <c r="CZ15" s="18">
        <f>IF(COUNTIFS(T_SelfStock_Log[Part Name],$A15,T_SelfStock_Log[WeekIndex],103)=0,"",SUMIFS(T_SelfStock_Log[Self_Qty],T_SelfStock_Log[Part Name],$A15,T_SelfStock_Log[WeekIndex],103))</f>
        <v/>
      </c>
      <c r="DA15" s="18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1EK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8" t="inlineStr">
        <is>
          <t>7CL</t>
        </is>
      </c>
      <c r="B17" s="18">
        <f>IF(COUNTIFS(T_SelfStock_Log[Part Name],$A17,T_SelfStock_Log[WeekIndex],1)=0,"",SUMIFS(T_SelfStock_Log[Self_Qty],T_SelfStock_Log[Part Name],$A17,T_SelfStock_Log[WeekIndex],1))</f>
        <v/>
      </c>
      <c r="C17" s="18">
        <f>IF(COUNTIFS(T_SelfStock_Log[Part Name],$A17,T_SelfStock_Log[WeekIndex],2)=0,"",SUMIFS(T_SelfStock_Log[Self_Qty],T_SelfStock_Log[Part Name],$A17,T_SelfStock_Log[WeekIndex],2))</f>
        <v/>
      </c>
      <c r="D17" s="18">
        <f>IF(COUNTIFS(T_SelfStock_Log[Part Name],$A17,T_SelfStock_Log[WeekIndex],3)=0,"",SUMIFS(T_SelfStock_Log[Self_Qty],T_SelfStock_Log[Part Name],$A17,T_SelfStock_Log[WeekIndex],3))</f>
        <v/>
      </c>
      <c r="E17" s="18">
        <f>IF(COUNTIFS(T_SelfStock_Log[Part Name],$A17,T_SelfStock_Log[WeekIndex],4)=0,"",SUMIFS(T_SelfStock_Log[Self_Qty],T_SelfStock_Log[Part Name],$A17,T_SelfStock_Log[WeekIndex],4))</f>
        <v/>
      </c>
      <c r="F17" s="18">
        <f>IF(COUNTIFS(T_SelfStock_Log[Part Name],$A17,T_SelfStock_Log[WeekIndex],5)=0,"",SUMIFS(T_SelfStock_Log[Self_Qty],T_SelfStock_Log[Part Name],$A17,T_SelfStock_Log[WeekIndex],5))</f>
        <v/>
      </c>
      <c r="G17" s="18">
        <f>IF(COUNTIFS(T_SelfStock_Log[Part Name],$A17,T_SelfStock_Log[WeekIndex],6)=0,"",SUMIFS(T_SelfStock_Log[Self_Qty],T_SelfStock_Log[Part Name],$A17,T_SelfStock_Log[WeekIndex],6))</f>
        <v/>
      </c>
      <c r="H17" s="18">
        <f>IF(COUNTIFS(T_SelfStock_Log[Part Name],$A17,T_SelfStock_Log[WeekIndex],7)=0,"",SUMIFS(T_SelfStock_Log[Self_Qty],T_SelfStock_Log[Part Name],$A17,T_SelfStock_Log[WeekIndex],7))</f>
        <v/>
      </c>
      <c r="I17" s="18">
        <f>IF(COUNTIFS(T_SelfStock_Log[Part Name],$A17,T_SelfStock_Log[WeekIndex],8)=0,"",SUMIFS(T_SelfStock_Log[Self_Qty],T_SelfStock_Log[Part Name],$A17,T_SelfStock_Log[WeekIndex],8))</f>
        <v/>
      </c>
      <c r="J17" s="18">
        <f>IF(COUNTIFS(T_SelfStock_Log[Part Name],$A17,T_SelfStock_Log[WeekIndex],9)=0,"",SUMIFS(T_SelfStock_Log[Self_Qty],T_SelfStock_Log[Part Name],$A17,T_SelfStock_Log[WeekIndex],9))</f>
        <v/>
      </c>
      <c r="K17" s="18">
        <f>IF(COUNTIFS(T_SelfStock_Log[Part Name],$A17,T_SelfStock_Log[WeekIndex],10)=0,"",SUMIFS(T_SelfStock_Log[Self_Qty],T_SelfStock_Log[Part Name],$A17,T_SelfStock_Log[WeekIndex],10))</f>
        <v/>
      </c>
      <c r="L17" s="18">
        <f>IF(COUNTIFS(T_SelfStock_Log[Part Name],$A17,T_SelfStock_Log[WeekIndex],11)=0,"",SUMIFS(T_SelfStock_Log[Self_Qty],T_SelfStock_Log[Part Name],$A17,T_SelfStock_Log[WeekIndex],11))</f>
        <v/>
      </c>
      <c r="M17" s="18">
        <f>IF(COUNTIFS(T_SelfStock_Log[Part Name],$A17,T_SelfStock_Log[WeekIndex],12)=0,"",SUMIFS(T_SelfStock_Log[Self_Qty],T_SelfStock_Log[Part Name],$A17,T_SelfStock_Log[WeekIndex],12))</f>
        <v/>
      </c>
      <c r="N17" s="18">
        <f>IF(COUNTIFS(T_SelfStock_Log[Part Name],$A17,T_SelfStock_Log[WeekIndex],13)=0,"",SUMIFS(T_SelfStock_Log[Self_Qty],T_SelfStock_Log[Part Name],$A17,T_SelfStock_Log[WeekIndex],13))</f>
        <v/>
      </c>
      <c r="O17" s="18">
        <f>IF(COUNTIFS(T_SelfStock_Log[Part Name],$A17,T_SelfStock_Log[WeekIndex],14)=0,"",SUMIFS(T_SelfStock_Log[Self_Qty],T_SelfStock_Log[Part Name],$A17,T_SelfStock_Log[WeekIndex],14))</f>
        <v/>
      </c>
      <c r="P17" s="18">
        <f>IF(COUNTIFS(T_SelfStock_Log[Part Name],$A17,T_SelfStock_Log[WeekIndex],15)=0,"",SUMIFS(T_SelfStock_Log[Self_Qty],T_SelfStock_Log[Part Name],$A17,T_SelfStock_Log[WeekIndex],15))</f>
        <v/>
      </c>
      <c r="Q17" s="18">
        <f>IF(COUNTIFS(T_SelfStock_Log[Part Name],$A17,T_SelfStock_Log[WeekIndex],16)=0,"",SUMIFS(T_SelfStock_Log[Self_Qty],T_SelfStock_Log[Part Name],$A17,T_SelfStock_Log[WeekIndex],16))</f>
        <v/>
      </c>
      <c r="R17" s="18">
        <f>IF(COUNTIFS(T_SelfStock_Log[Part Name],$A17,T_SelfStock_Log[WeekIndex],17)=0,"",SUMIFS(T_SelfStock_Log[Self_Qty],T_SelfStock_Log[Part Name],$A17,T_SelfStock_Log[WeekIndex],17))</f>
        <v/>
      </c>
      <c r="S17" s="18">
        <f>IF(COUNTIFS(T_SelfStock_Log[Part Name],$A17,T_SelfStock_Log[WeekIndex],18)=0,"",SUMIFS(T_SelfStock_Log[Self_Qty],T_SelfStock_Log[Part Name],$A17,T_SelfStock_Log[WeekIndex],18))</f>
        <v/>
      </c>
      <c r="T17" s="18">
        <f>IF(COUNTIFS(T_SelfStock_Log[Part Name],$A17,T_SelfStock_Log[WeekIndex],19)=0,"",SUMIFS(T_SelfStock_Log[Self_Qty],T_SelfStock_Log[Part Name],$A17,T_SelfStock_Log[WeekIndex],19))</f>
        <v/>
      </c>
      <c r="U17" s="18">
        <f>IF(COUNTIFS(T_SelfStock_Log[Part Name],$A17,T_SelfStock_Log[WeekIndex],20)=0,"",SUMIFS(T_SelfStock_Log[Self_Qty],T_SelfStock_Log[Part Name],$A17,T_SelfStock_Log[WeekIndex],20))</f>
        <v/>
      </c>
      <c r="V17" s="18">
        <f>IF(COUNTIFS(T_SelfStock_Log[Part Name],$A17,T_SelfStock_Log[WeekIndex],21)=0,"",SUMIFS(T_SelfStock_Log[Self_Qty],T_SelfStock_Log[Part Name],$A17,T_SelfStock_Log[WeekIndex],21))</f>
        <v/>
      </c>
      <c r="W17" s="18">
        <f>IF(COUNTIFS(T_SelfStock_Log[Part Name],$A17,T_SelfStock_Log[WeekIndex],22)=0,"",SUMIFS(T_SelfStock_Log[Self_Qty],T_SelfStock_Log[Part Name],$A17,T_SelfStock_Log[WeekIndex],22))</f>
        <v/>
      </c>
      <c r="X17" s="18">
        <f>IF(COUNTIFS(T_SelfStock_Log[Part Name],$A17,T_SelfStock_Log[WeekIndex],23)=0,"",SUMIFS(T_SelfStock_Log[Self_Qty],T_SelfStock_Log[Part Name],$A17,T_SelfStock_Log[WeekIndex],23))</f>
        <v/>
      </c>
      <c r="Y17" s="18">
        <f>IF(COUNTIFS(T_SelfStock_Log[Part Name],$A17,T_SelfStock_Log[WeekIndex],24)=0,"",SUMIFS(T_SelfStock_Log[Self_Qty],T_SelfStock_Log[Part Name],$A17,T_SelfStock_Log[WeekIndex],24))</f>
        <v/>
      </c>
      <c r="Z17" s="18">
        <f>IF(COUNTIFS(T_SelfStock_Log[Part Name],$A17,T_SelfStock_Log[WeekIndex],25)=0,"",SUMIFS(T_SelfStock_Log[Self_Qty],T_SelfStock_Log[Part Name],$A17,T_SelfStock_Log[WeekIndex],25))</f>
        <v/>
      </c>
      <c r="AA17" s="18">
        <f>IF(COUNTIFS(T_SelfStock_Log[Part Name],$A17,T_SelfStock_Log[WeekIndex],26)=0,"",SUMIFS(T_SelfStock_Log[Self_Qty],T_SelfStock_Log[Part Name],$A17,T_SelfStock_Log[WeekIndex],26))</f>
        <v/>
      </c>
      <c r="AB17" s="18">
        <f>IF(COUNTIFS(T_SelfStock_Log[Part Name],$A17,T_SelfStock_Log[WeekIndex],27)=0,"",SUMIFS(T_SelfStock_Log[Self_Qty],T_SelfStock_Log[Part Name],$A17,T_SelfStock_Log[WeekIndex],27))</f>
        <v/>
      </c>
      <c r="AC17" s="18">
        <f>IF(COUNTIFS(T_SelfStock_Log[Part Name],$A17,T_SelfStock_Log[WeekIndex],28)=0,"",SUMIFS(T_SelfStock_Log[Self_Qty],T_SelfStock_Log[Part Name],$A17,T_SelfStock_Log[WeekIndex],28))</f>
        <v/>
      </c>
      <c r="AD17" s="18">
        <f>IF(COUNTIFS(T_SelfStock_Log[Part Name],$A17,T_SelfStock_Log[WeekIndex],29)=0,"",SUMIFS(T_SelfStock_Log[Self_Qty],T_SelfStock_Log[Part Name],$A17,T_SelfStock_Log[WeekIndex],29))</f>
        <v/>
      </c>
      <c r="AE17" s="18">
        <f>IF(COUNTIFS(T_SelfStock_Log[Part Name],$A17,T_SelfStock_Log[WeekIndex],30)=0,"",SUMIFS(T_SelfStock_Log[Self_Qty],T_SelfStock_Log[Part Name],$A17,T_SelfStock_Log[WeekIndex],30))</f>
        <v/>
      </c>
      <c r="AF17" s="18">
        <f>IF(COUNTIFS(T_SelfStock_Log[Part Name],$A17,T_SelfStock_Log[WeekIndex],31)=0,"",SUMIFS(T_SelfStock_Log[Self_Qty],T_SelfStock_Log[Part Name],$A17,T_SelfStock_Log[WeekIndex],31))</f>
        <v/>
      </c>
      <c r="AG17" s="18">
        <f>IF(COUNTIFS(T_SelfStock_Log[Part Name],$A17,T_SelfStock_Log[WeekIndex],32)=0,"",SUMIFS(T_SelfStock_Log[Self_Qty],T_SelfStock_Log[Part Name],$A17,T_SelfStock_Log[WeekIndex],32))</f>
        <v/>
      </c>
      <c r="AH17" s="18">
        <f>IF(COUNTIFS(T_SelfStock_Log[Part Name],$A17,T_SelfStock_Log[WeekIndex],33)=0,"",SUMIFS(T_SelfStock_Log[Self_Qty],T_SelfStock_Log[Part Name],$A17,T_SelfStock_Log[WeekIndex],33))</f>
        <v/>
      </c>
      <c r="AI17" s="18">
        <f>IF(COUNTIFS(T_SelfStock_Log[Part Name],$A17,T_SelfStock_Log[WeekIndex],34)=0,"",SUMIFS(T_SelfStock_Log[Self_Qty],T_SelfStock_Log[Part Name],$A17,T_SelfStock_Log[WeekIndex],34))</f>
        <v/>
      </c>
      <c r="AJ17" s="18">
        <f>IF(COUNTIFS(T_SelfStock_Log[Part Name],$A17,T_SelfStock_Log[WeekIndex],35)=0,"",SUMIFS(T_SelfStock_Log[Self_Qty],T_SelfStock_Log[Part Name],$A17,T_SelfStock_Log[WeekIndex],35))</f>
        <v/>
      </c>
      <c r="AK17" s="18">
        <f>IF(COUNTIFS(T_SelfStock_Log[Part Name],$A17,T_SelfStock_Log[WeekIndex],36)=0,"",SUMIFS(T_SelfStock_Log[Self_Qty],T_SelfStock_Log[Part Name],$A17,T_SelfStock_Log[WeekIndex],36))</f>
        <v/>
      </c>
      <c r="AL17" s="18">
        <f>IF(COUNTIFS(T_SelfStock_Log[Part Name],$A17,T_SelfStock_Log[WeekIndex],37)=0,"",SUMIFS(T_SelfStock_Log[Self_Qty],T_SelfStock_Log[Part Name],$A17,T_SelfStock_Log[WeekIndex],37))</f>
        <v/>
      </c>
      <c r="AM17" s="18">
        <f>IF(COUNTIFS(T_SelfStock_Log[Part Name],$A17,T_SelfStock_Log[WeekIndex],38)=0,"",SUMIFS(T_SelfStock_Log[Self_Qty],T_SelfStock_Log[Part Name],$A17,T_SelfStock_Log[WeekIndex],38))</f>
        <v/>
      </c>
      <c r="AN17" s="18">
        <f>IF(COUNTIFS(T_SelfStock_Log[Part Name],$A17,T_SelfStock_Log[WeekIndex],39)=0,"",SUMIFS(T_SelfStock_Log[Self_Qty],T_SelfStock_Log[Part Name],$A17,T_SelfStock_Log[WeekIndex],39))</f>
        <v/>
      </c>
      <c r="AO17" s="18">
        <f>IF(COUNTIFS(T_SelfStock_Log[Part Name],$A17,T_SelfStock_Log[WeekIndex],40)=0,"",SUMIFS(T_SelfStock_Log[Self_Qty],T_SelfStock_Log[Part Name],$A17,T_SelfStock_Log[WeekIndex],40))</f>
        <v/>
      </c>
      <c r="AP17" s="18">
        <f>IF(COUNTIFS(T_SelfStock_Log[Part Name],$A17,T_SelfStock_Log[WeekIndex],41)=0,"",SUMIFS(T_SelfStock_Log[Self_Qty],T_SelfStock_Log[Part Name],$A17,T_SelfStock_Log[WeekIndex],41))</f>
        <v/>
      </c>
      <c r="AQ17" s="18">
        <f>IF(COUNTIFS(T_SelfStock_Log[Part Name],$A17,T_SelfStock_Log[WeekIndex],42)=0,"",SUMIFS(T_SelfStock_Log[Self_Qty],T_SelfStock_Log[Part Name],$A17,T_SelfStock_Log[WeekIndex],42))</f>
        <v/>
      </c>
      <c r="AR17" s="18">
        <f>IF(COUNTIFS(T_SelfStock_Log[Part Name],$A17,T_SelfStock_Log[WeekIndex],43)=0,"",SUMIFS(T_SelfStock_Log[Self_Qty],T_SelfStock_Log[Part Name],$A17,T_SelfStock_Log[WeekIndex],43))</f>
        <v/>
      </c>
      <c r="AS17" s="18">
        <f>IF(COUNTIFS(T_SelfStock_Log[Part Name],$A17,T_SelfStock_Log[WeekIndex],44)=0,"",SUMIFS(T_SelfStock_Log[Self_Qty],T_SelfStock_Log[Part Name],$A17,T_SelfStock_Log[WeekIndex],44))</f>
        <v/>
      </c>
      <c r="AT17" s="18">
        <f>IF(COUNTIFS(T_SelfStock_Log[Part Name],$A17,T_SelfStock_Log[WeekIndex],45)=0,"",SUMIFS(T_SelfStock_Log[Self_Qty],T_SelfStock_Log[Part Name],$A17,T_SelfStock_Log[WeekIndex],45))</f>
        <v/>
      </c>
      <c r="AU17" s="18">
        <f>IF(COUNTIFS(T_SelfStock_Log[Part Name],$A17,T_SelfStock_Log[WeekIndex],46)=0,"",SUMIFS(T_SelfStock_Log[Self_Qty],T_SelfStock_Log[Part Name],$A17,T_SelfStock_Log[WeekIndex],46))</f>
        <v/>
      </c>
      <c r="AV17" s="18">
        <f>IF(COUNTIFS(T_SelfStock_Log[Part Name],$A17,T_SelfStock_Log[WeekIndex],47)=0,"",SUMIFS(T_SelfStock_Log[Self_Qty],T_SelfStock_Log[Part Name],$A17,T_SelfStock_Log[WeekIndex],47))</f>
        <v/>
      </c>
      <c r="AW17" s="18">
        <f>IF(COUNTIFS(T_SelfStock_Log[Part Name],$A17,T_SelfStock_Log[WeekIndex],48)=0,"",SUMIFS(T_SelfStock_Log[Self_Qty],T_SelfStock_Log[Part Name],$A17,T_SelfStock_Log[WeekIndex],48))</f>
        <v/>
      </c>
      <c r="AX17" s="18">
        <f>IF(COUNTIFS(T_SelfStock_Log[Part Name],$A17,T_SelfStock_Log[WeekIndex],49)=0,"",SUMIFS(T_SelfStock_Log[Self_Qty],T_SelfStock_Log[Part Name],$A17,T_SelfStock_Log[WeekIndex],49))</f>
        <v/>
      </c>
      <c r="AY17" s="18">
        <f>IF(COUNTIFS(T_SelfStock_Log[Part Name],$A17,T_SelfStock_Log[WeekIndex],50)=0,"",SUMIFS(T_SelfStock_Log[Self_Qty],T_SelfStock_Log[Part Name],$A17,T_SelfStock_Log[WeekIndex],50))</f>
        <v/>
      </c>
      <c r="AZ17" s="18">
        <f>IF(COUNTIFS(T_SelfStock_Log[Part Name],$A17,T_SelfStock_Log[WeekIndex],51)=0,"",SUMIFS(T_SelfStock_Log[Self_Qty],T_SelfStock_Log[Part Name],$A17,T_SelfStock_Log[WeekIndex],51))</f>
        <v/>
      </c>
      <c r="BA17" s="18">
        <f>IF(COUNTIFS(T_SelfStock_Log[Part Name],$A17,T_SelfStock_Log[WeekIndex],52)=0,"",SUMIFS(T_SelfStock_Log[Self_Qty],T_SelfStock_Log[Part Name],$A17,T_SelfStock_Log[WeekIndex],52))</f>
        <v/>
      </c>
      <c r="BB17" s="18">
        <f>IF(COUNTIFS(T_SelfStock_Log[Part Name],$A17,T_SelfStock_Log[WeekIndex],53)=0,"",SUMIFS(T_SelfStock_Log[Self_Qty],T_SelfStock_Log[Part Name],$A17,T_SelfStock_Log[WeekIndex],53))</f>
        <v/>
      </c>
      <c r="BC17" s="18">
        <f>IF(COUNTIFS(T_SelfStock_Log[Part Name],$A17,T_SelfStock_Log[WeekIndex],54)=0,"",SUMIFS(T_SelfStock_Log[Self_Qty],T_SelfStock_Log[Part Name],$A17,T_SelfStock_Log[WeekIndex],54))</f>
        <v/>
      </c>
      <c r="BD17" s="18">
        <f>IF(COUNTIFS(T_SelfStock_Log[Part Name],$A17,T_SelfStock_Log[WeekIndex],55)=0,"",SUMIFS(T_SelfStock_Log[Self_Qty],T_SelfStock_Log[Part Name],$A17,T_SelfStock_Log[WeekIndex],55))</f>
        <v/>
      </c>
      <c r="BE17" s="18">
        <f>IF(COUNTIFS(T_SelfStock_Log[Part Name],$A17,T_SelfStock_Log[WeekIndex],56)=0,"",SUMIFS(T_SelfStock_Log[Self_Qty],T_SelfStock_Log[Part Name],$A17,T_SelfStock_Log[WeekIndex],56))</f>
        <v/>
      </c>
      <c r="BF17" s="18">
        <f>IF(COUNTIFS(T_SelfStock_Log[Part Name],$A17,T_SelfStock_Log[WeekIndex],57)=0,"",SUMIFS(T_SelfStock_Log[Self_Qty],T_SelfStock_Log[Part Name],$A17,T_SelfStock_Log[WeekIndex],57))</f>
        <v/>
      </c>
      <c r="BG17" s="18">
        <f>IF(COUNTIFS(T_SelfStock_Log[Part Name],$A17,T_SelfStock_Log[WeekIndex],58)=0,"",SUMIFS(T_SelfStock_Log[Self_Qty],T_SelfStock_Log[Part Name],$A17,T_SelfStock_Log[WeekIndex],58))</f>
        <v/>
      </c>
      <c r="BH17" s="18">
        <f>IF(COUNTIFS(T_SelfStock_Log[Part Name],$A17,T_SelfStock_Log[WeekIndex],59)=0,"",SUMIFS(T_SelfStock_Log[Self_Qty],T_SelfStock_Log[Part Name],$A17,T_SelfStock_Log[WeekIndex],59))</f>
        <v/>
      </c>
      <c r="BI17" s="18">
        <f>IF(COUNTIFS(T_SelfStock_Log[Part Name],$A17,T_SelfStock_Log[WeekIndex],60)=0,"",SUMIFS(T_SelfStock_Log[Self_Qty],T_SelfStock_Log[Part Name],$A17,T_SelfStock_Log[WeekIndex],60))</f>
        <v/>
      </c>
      <c r="BJ17" s="18">
        <f>IF(COUNTIFS(T_SelfStock_Log[Part Name],$A17,T_SelfStock_Log[WeekIndex],61)=0,"",SUMIFS(T_SelfStock_Log[Self_Qty],T_SelfStock_Log[Part Name],$A17,T_SelfStock_Log[WeekIndex],61))</f>
        <v/>
      </c>
      <c r="BK17" s="18">
        <f>IF(COUNTIFS(T_SelfStock_Log[Part Name],$A17,T_SelfStock_Log[WeekIndex],62)=0,"",SUMIFS(T_SelfStock_Log[Self_Qty],T_SelfStock_Log[Part Name],$A17,T_SelfStock_Log[WeekIndex],62))</f>
        <v/>
      </c>
      <c r="BL17" s="18">
        <f>IF(COUNTIFS(T_SelfStock_Log[Part Name],$A17,T_SelfStock_Log[WeekIndex],63)=0,"",SUMIFS(T_SelfStock_Log[Self_Qty],T_SelfStock_Log[Part Name],$A17,T_SelfStock_Log[WeekIndex],63))</f>
        <v/>
      </c>
      <c r="BM17" s="18">
        <f>IF(COUNTIFS(T_SelfStock_Log[Part Name],$A17,T_SelfStock_Log[WeekIndex],64)=0,"",SUMIFS(T_SelfStock_Log[Self_Qty],T_SelfStock_Log[Part Name],$A17,T_SelfStock_Log[WeekIndex],64))</f>
        <v/>
      </c>
      <c r="BN17" s="18">
        <f>IF(COUNTIFS(T_SelfStock_Log[Part Name],$A17,T_SelfStock_Log[WeekIndex],65)=0,"",SUMIFS(T_SelfStock_Log[Self_Qty],T_SelfStock_Log[Part Name],$A17,T_SelfStock_Log[WeekIndex],65))</f>
        <v/>
      </c>
      <c r="BO17" s="18">
        <f>IF(COUNTIFS(T_SelfStock_Log[Part Name],$A17,T_SelfStock_Log[WeekIndex],66)=0,"",SUMIFS(T_SelfStock_Log[Self_Qty],T_SelfStock_Log[Part Name],$A17,T_SelfStock_Log[WeekIndex],66))</f>
        <v/>
      </c>
      <c r="BP17" s="18">
        <f>IF(COUNTIFS(T_SelfStock_Log[Part Name],$A17,T_SelfStock_Log[WeekIndex],67)=0,"",SUMIFS(T_SelfStock_Log[Self_Qty],T_SelfStock_Log[Part Name],$A17,T_SelfStock_Log[WeekIndex],67))</f>
        <v/>
      </c>
      <c r="BQ17" s="18">
        <f>IF(COUNTIFS(T_SelfStock_Log[Part Name],$A17,T_SelfStock_Log[WeekIndex],68)=0,"",SUMIFS(T_SelfStock_Log[Self_Qty],T_SelfStock_Log[Part Name],$A17,T_SelfStock_Log[WeekIndex],68))</f>
        <v/>
      </c>
      <c r="BR17" s="18">
        <f>IF(COUNTIFS(T_SelfStock_Log[Part Name],$A17,T_SelfStock_Log[WeekIndex],69)=0,"",SUMIFS(T_SelfStock_Log[Self_Qty],T_SelfStock_Log[Part Name],$A17,T_SelfStock_Log[WeekIndex],69))</f>
        <v/>
      </c>
      <c r="BS17" s="18">
        <f>IF(COUNTIFS(T_SelfStock_Log[Part Name],$A17,T_SelfStock_Log[WeekIndex],70)=0,"",SUMIFS(T_SelfStock_Log[Self_Qty],T_SelfStock_Log[Part Name],$A17,T_SelfStock_Log[WeekIndex],70))</f>
        <v/>
      </c>
      <c r="BT17" s="18">
        <f>IF(COUNTIFS(T_SelfStock_Log[Part Name],$A17,T_SelfStock_Log[WeekIndex],71)=0,"",SUMIFS(T_SelfStock_Log[Self_Qty],T_SelfStock_Log[Part Name],$A17,T_SelfStock_Log[WeekIndex],71))</f>
        <v/>
      </c>
      <c r="BU17" s="18">
        <f>IF(COUNTIFS(T_SelfStock_Log[Part Name],$A17,T_SelfStock_Log[WeekIndex],72)=0,"",SUMIFS(T_SelfStock_Log[Self_Qty],T_SelfStock_Log[Part Name],$A17,T_SelfStock_Log[WeekIndex],72))</f>
        <v/>
      </c>
      <c r="BV17" s="18">
        <f>IF(COUNTIFS(T_SelfStock_Log[Part Name],$A17,T_SelfStock_Log[WeekIndex],73)=0,"",SUMIFS(T_SelfStock_Log[Self_Qty],T_SelfStock_Log[Part Name],$A17,T_SelfStock_Log[WeekIndex],73))</f>
        <v/>
      </c>
      <c r="BW17" s="18">
        <f>IF(COUNTIFS(T_SelfStock_Log[Part Name],$A17,T_SelfStock_Log[WeekIndex],74)=0,"",SUMIFS(T_SelfStock_Log[Self_Qty],T_SelfStock_Log[Part Name],$A17,T_SelfStock_Log[WeekIndex],74))</f>
        <v/>
      </c>
      <c r="BX17" s="18">
        <f>IF(COUNTIFS(T_SelfStock_Log[Part Name],$A17,T_SelfStock_Log[WeekIndex],75)=0,"",SUMIFS(T_SelfStock_Log[Self_Qty],T_SelfStock_Log[Part Name],$A17,T_SelfStock_Log[WeekIndex],75))</f>
        <v/>
      </c>
      <c r="BY17" s="18">
        <f>IF(COUNTIFS(T_SelfStock_Log[Part Name],$A17,T_SelfStock_Log[WeekIndex],76)=0,"",SUMIFS(T_SelfStock_Log[Self_Qty],T_SelfStock_Log[Part Name],$A17,T_SelfStock_Log[WeekIndex],76))</f>
        <v/>
      </c>
      <c r="BZ17" s="18">
        <f>IF(COUNTIFS(T_SelfStock_Log[Part Name],$A17,T_SelfStock_Log[WeekIndex],77)=0,"",SUMIFS(T_SelfStock_Log[Self_Qty],T_SelfStock_Log[Part Name],$A17,T_SelfStock_Log[WeekIndex],77))</f>
        <v/>
      </c>
      <c r="CA17" s="18">
        <f>IF(COUNTIFS(T_SelfStock_Log[Part Name],$A17,T_SelfStock_Log[WeekIndex],78)=0,"",SUMIFS(T_SelfStock_Log[Self_Qty],T_SelfStock_Log[Part Name],$A17,T_SelfStock_Log[WeekIndex],78))</f>
        <v/>
      </c>
      <c r="CB17" s="18">
        <f>IF(COUNTIFS(T_SelfStock_Log[Part Name],$A17,T_SelfStock_Log[WeekIndex],79)=0,"",SUMIFS(T_SelfStock_Log[Self_Qty],T_SelfStock_Log[Part Name],$A17,T_SelfStock_Log[WeekIndex],79))</f>
        <v/>
      </c>
      <c r="CC17" s="18">
        <f>IF(COUNTIFS(T_SelfStock_Log[Part Name],$A17,T_SelfStock_Log[WeekIndex],80)=0,"",SUMIFS(T_SelfStock_Log[Self_Qty],T_SelfStock_Log[Part Name],$A17,T_SelfStock_Log[WeekIndex],80))</f>
        <v/>
      </c>
      <c r="CD17" s="18">
        <f>IF(COUNTIFS(T_SelfStock_Log[Part Name],$A17,T_SelfStock_Log[WeekIndex],81)=0,"",SUMIFS(T_SelfStock_Log[Self_Qty],T_SelfStock_Log[Part Name],$A17,T_SelfStock_Log[WeekIndex],81))</f>
        <v/>
      </c>
      <c r="CE17" s="18">
        <f>IF(COUNTIFS(T_SelfStock_Log[Part Name],$A17,T_SelfStock_Log[WeekIndex],82)=0,"",SUMIFS(T_SelfStock_Log[Self_Qty],T_SelfStock_Log[Part Name],$A17,T_SelfStock_Log[WeekIndex],82))</f>
        <v/>
      </c>
      <c r="CF17" s="18">
        <f>IF(COUNTIFS(T_SelfStock_Log[Part Name],$A17,T_SelfStock_Log[WeekIndex],83)=0,"",SUMIFS(T_SelfStock_Log[Self_Qty],T_SelfStock_Log[Part Name],$A17,T_SelfStock_Log[WeekIndex],83))</f>
        <v/>
      </c>
      <c r="CG17" s="18">
        <f>IF(COUNTIFS(T_SelfStock_Log[Part Name],$A17,T_SelfStock_Log[WeekIndex],84)=0,"",SUMIFS(T_SelfStock_Log[Self_Qty],T_SelfStock_Log[Part Name],$A17,T_SelfStock_Log[WeekIndex],84))</f>
        <v/>
      </c>
      <c r="CH17" s="18">
        <f>IF(COUNTIFS(T_SelfStock_Log[Part Name],$A17,T_SelfStock_Log[WeekIndex],85)=0,"",SUMIFS(T_SelfStock_Log[Self_Qty],T_SelfStock_Log[Part Name],$A17,T_SelfStock_Log[WeekIndex],85))</f>
        <v/>
      </c>
      <c r="CI17" s="18">
        <f>IF(COUNTIFS(T_SelfStock_Log[Part Name],$A17,T_SelfStock_Log[WeekIndex],86)=0,"",SUMIFS(T_SelfStock_Log[Self_Qty],T_SelfStock_Log[Part Name],$A17,T_SelfStock_Log[WeekIndex],86))</f>
        <v/>
      </c>
      <c r="CJ17" s="18">
        <f>IF(COUNTIFS(T_SelfStock_Log[Part Name],$A17,T_SelfStock_Log[WeekIndex],87)=0,"",SUMIFS(T_SelfStock_Log[Self_Qty],T_SelfStock_Log[Part Name],$A17,T_SelfStock_Log[WeekIndex],87))</f>
        <v/>
      </c>
      <c r="CK17" s="18">
        <f>IF(COUNTIFS(T_SelfStock_Log[Part Name],$A17,T_SelfStock_Log[WeekIndex],88)=0,"",SUMIFS(T_SelfStock_Log[Self_Qty],T_SelfStock_Log[Part Name],$A17,T_SelfStock_Log[WeekIndex],88))</f>
        <v/>
      </c>
      <c r="CL17" s="18">
        <f>IF(COUNTIFS(T_SelfStock_Log[Part Name],$A17,T_SelfStock_Log[WeekIndex],89)=0,"",SUMIFS(T_SelfStock_Log[Self_Qty],T_SelfStock_Log[Part Name],$A17,T_SelfStock_Log[WeekIndex],89))</f>
        <v/>
      </c>
      <c r="CM17" s="18">
        <f>IF(COUNTIFS(T_SelfStock_Log[Part Name],$A17,T_SelfStock_Log[WeekIndex],90)=0,"",SUMIFS(T_SelfStock_Log[Self_Qty],T_SelfStock_Log[Part Name],$A17,T_SelfStock_Log[WeekIndex],90))</f>
        <v/>
      </c>
      <c r="CN17" s="18">
        <f>IF(COUNTIFS(T_SelfStock_Log[Part Name],$A17,T_SelfStock_Log[WeekIndex],91)=0,"",SUMIFS(T_SelfStock_Log[Self_Qty],T_SelfStock_Log[Part Name],$A17,T_SelfStock_Log[WeekIndex],91))</f>
        <v/>
      </c>
      <c r="CO17" s="18">
        <f>IF(COUNTIFS(T_SelfStock_Log[Part Name],$A17,T_SelfStock_Log[WeekIndex],92)=0,"",SUMIFS(T_SelfStock_Log[Self_Qty],T_SelfStock_Log[Part Name],$A17,T_SelfStock_Log[WeekIndex],92))</f>
        <v/>
      </c>
      <c r="CP17" s="18">
        <f>IF(COUNTIFS(T_SelfStock_Log[Part Name],$A17,T_SelfStock_Log[WeekIndex],93)=0,"",SUMIFS(T_SelfStock_Log[Self_Qty],T_SelfStock_Log[Part Name],$A17,T_SelfStock_Log[WeekIndex],93))</f>
        <v/>
      </c>
      <c r="CQ17" s="18">
        <f>IF(COUNTIFS(T_SelfStock_Log[Part Name],$A17,T_SelfStock_Log[WeekIndex],94)=0,"",SUMIFS(T_SelfStock_Log[Self_Qty],T_SelfStock_Log[Part Name],$A17,T_SelfStock_Log[WeekIndex],94))</f>
        <v/>
      </c>
      <c r="CR17" s="18">
        <f>IF(COUNTIFS(T_SelfStock_Log[Part Name],$A17,T_SelfStock_Log[WeekIndex],95)=0,"",SUMIFS(T_SelfStock_Log[Self_Qty],T_SelfStock_Log[Part Name],$A17,T_SelfStock_Log[WeekIndex],95))</f>
        <v/>
      </c>
      <c r="CS17" s="18">
        <f>IF(COUNTIFS(T_SelfStock_Log[Part Name],$A17,T_SelfStock_Log[WeekIndex],96)=0,"",SUMIFS(T_SelfStock_Log[Self_Qty],T_SelfStock_Log[Part Name],$A17,T_SelfStock_Log[WeekIndex],96))</f>
        <v/>
      </c>
      <c r="CT17" s="18">
        <f>IF(COUNTIFS(T_SelfStock_Log[Part Name],$A17,T_SelfStock_Log[WeekIndex],97)=0,"",SUMIFS(T_SelfStock_Log[Self_Qty],T_SelfStock_Log[Part Name],$A17,T_SelfStock_Log[WeekIndex],97))</f>
        <v/>
      </c>
      <c r="CU17" s="18">
        <f>IF(COUNTIFS(T_SelfStock_Log[Part Name],$A17,T_SelfStock_Log[WeekIndex],98)=0,"",SUMIFS(T_SelfStock_Log[Self_Qty],T_SelfStock_Log[Part Name],$A17,T_SelfStock_Log[WeekIndex],98))</f>
        <v/>
      </c>
      <c r="CV17" s="18">
        <f>IF(COUNTIFS(T_SelfStock_Log[Part Name],$A17,T_SelfStock_Log[WeekIndex],99)=0,"",SUMIFS(T_SelfStock_Log[Self_Qty],T_SelfStock_Log[Part Name],$A17,T_SelfStock_Log[WeekIndex],99))</f>
        <v/>
      </c>
      <c r="CW17" s="18">
        <f>IF(COUNTIFS(T_SelfStock_Log[Part Name],$A17,T_SelfStock_Log[WeekIndex],100)=0,"",SUMIFS(T_SelfStock_Log[Self_Qty],T_SelfStock_Log[Part Name],$A17,T_SelfStock_Log[WeekIndex],100))</f>
        <v/>
      </c>
      <c r="CX17" s="18">
        <f>IF(COUNTIFS(T_SelfStock_Log[Part Name],$A17,T_SelfStock_Log[WeekIndex],101)=0,"",SUMIFS(T_SelfStock_Log[Self_Qty],T_SelfStock_Log[Part Name],$A17,T_SelfStock_Log[WeekIndex],101))</f>
        <v/>
      </c>
      <c r="CY17" s="18">
        <f>IF(COUNTIFS(T_SelfStock_Log[Part Name],$A17,T_SelfStock_Log[WeekIndex],102)=0,"",SUMIFS(T_SelfStock_Log[Self_Qty],T_SelfStock_Log[Part Name],$A17,T_SelfStock_Log[WeekIndex],102))</f>
        <v/>
      </c>
      <c r="CZ17" s="18">
        <f>IF(COUNTIFS(T_SelfStock_Log[Part Name],$A17,T_SelfStock_Log[WeekIndex],103)=0,"",SUMIFS(T_SelfStock_Log[Self_Qty],T_SelfStock_Log[Part Name],$A17,T_SelfStock_Log[WeekIndex],103))</f>
        <v/>
      </c>
      <c r="DA17" s="18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9RN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8" t="inlineStr">
        <is>
          <t>CHEM-1400</t>
        </is>
      </c>
      <c r="B19" s="18">
        <f>IF(COUNTIFS(T_SelfStock_Log[Part Name],$A19,T_SelfStock_Log[WeekIndex],1)=0,"",SUMIFS(T_SelfStock_Log[Self_Qty],T_SelfStock_Log[Part Name],$A19,T_SelfStock_Log[WeekIndex],1))</f>
        <v/>
      </c>
      <c r="C19" s="18">
        <f>IF(COUNTIFS(T_SelfStock_Log[Part Name],$A19,T_SelfStock_Log[WeekIndex],2)=0,"",SUMIFS(T_SelfStock_Log[Self_Qty],T_SelfStock_Log[Part Name],$A19,T_SelfStock_Log[WeekIndex],2))</f>
        <v/>
      </c>
      <c r="D19" s="18">
        <f>IF(COUNTIFS(T_SelfStock_Log[Part Name],$A19,T_SelfStock_Log[WeekIndex],3)=0,"",SUMIFS(T_SelfStock_Log[Self_Qty],T_SelfStock_Log[Part Name],$A19,T_SelfStock_Log[WeekIndex],3))</f>
        <v/>
      </c>
      <c r="E19" s="18">
        <f>IF(COUNTIFS(T_SelfStock_Log[Part Name],$A19,T_SelfStock_Log[WeekIndex],4)=0,"",SUMIFS(T_SelfStock_Log[Self_Qty],T_SelfStock_Log[Part Name],$A19,T_SelfStock_Log[WeekIndex],4))</f>
        <v/>
      </c>
      <c r="F19" s="18">
        <f>IF(COUNTIFS(T_SelfStock_Log[Part Name],$A19,T_SelfStock_Log[WeekIndex],5)=0,"",SUMIFS(T_SelfStock_Log[Self_Qty],T_SelfStock_Log[Part Name],$A19,T_SelfStock_Log[WeekIndex],5))</f>
        <v/>
      </c>
      <c r="G19" s="18">
        <f>IF(COUNTIFS(T_SelfStock_Log[Part Name],$A19,T_SelfStock_Log[WeekIndex],6)=0,"",SUMIFS(T_SelfStock_Log[Self_Qty],T_SelfStock_Log[Part Name],$A19,T_SelfStock_Log[WeekIndex],6))</f>
        <v/>
      </c>
      <c r="H19" s="18">
        <f>IF(COUNTIFS(T_SelfStock_Log[Part Name],$A19,T_SelfStock_Log[WeekIndex],7)=0,"",SUMIFS(T_SelfStock_Log[Self_Qty],T_SelfStock_Log[Part Name],$A19,T_SelfStock_Log[WeekIndex],7))</f>
        <v/>
      </c>
      <c r="I19" s="18">
        <f>IF(COUNTIFS(T_SelfStock_Log[Part Name],$A19,T_SelfStock_Log[WeekIndex],8)=0,"",SUMIFS(T_SelfStock_Log[Self_Qty],T_SelfStock_Log[Part Name],$A19,T_SelfStock_Log[WeekIndex],8))</f>
        <v/>
      </c>
      <c r="J19" s="18">
        <f>IF(COUNTIFS(T_SelfStock_Log[Part Name],$A19,T_SelfStock_Log[WeekIndex],9)=0,"",SUMIFS(T_SelfStock_Log[Self_Qty],T_SelfStock_Log[Part Name],$A19,T_SelfStock_Log[WeekIndex],9))</f>
        <v/>
      </c>
      <c r="K19" s="18">
        <f>IF(COUNTIFS(T_SelfStock_Log[Part Name],$A19,T_SelfStock_Log[WeekIndex],10)=0,"",SUMIFS(T_SelfStock_Log[Self_Qty],T_SelfStock_Log[Part Name],$A19,T_SelfStock_Log[WeekIndex],10))</f>
        <v/>
      </c>
      <c r="L19" s="18">
        <f>IF(COUNTIFS(T_SelfStock_Log[Part Name],$A19,T_SelfStock_Log[WeekIndex],11)=0,"",SUMIFS(T_SelfStock_Log[Self_Qty],T_SelfStock_Log[Part Name],$A19,T_SelfStock_Log[WeekIndex],11))</f>
        <v/>
      </c>
      <c r="M19" s="18">
        <f>IF(COUNTIFS(T_SelfStock_Log[Part Name],$A19,T_SelfStock_Log[WeekIndex],12)=0,"",SUMIFS(T_SelfStock_Log[Self_Qty],T_SelfStock_Log[Part Name],$A19,T_SelfStock_Log[WeekIndex],12))</f>
        <v/>
      </c>
      <c r="N19" s="18">
        <f>IF(COUNTIFS(T_SelfStock_Log[Part Name],$A19,T_SelfStock_Log[WeekIndex],13)=0,"",SUMIFS(T_SelfStock_Log[Self_Qty],T_SelfStock_Log[Part Name],$A19,T_SelfStock_Log[WeekIndex],13))</f>
        <v/>
      </c>
      <c r="O19" s="18">
        <f>IF(COUNTIFS(T_SelfStock_Log[Part Name],$A19,T_SelfStock_Log[WeekIndex],14)=0,"",SUMIFS(T_SelfStock_Log[Self_Qty],T_SelfStock_Log[Part Name],$A19,T_SelfStock_Log[WeekIndex],14))</f>
        <v/>
      </c>
      <c r="P19" s="18">
        <f>IF(COUNTIFS(T_SelfStock_Log[Part Name],$A19,T_SelfStock_Log[WeekIndex],15)=0,"",SUMIFS(T_SelfStock_Log[Self_Qty],T_SelfStock_Log[Part Name],$A19,T_SelfStock_Log[WeekIndex],15))</f>
        <v/>
      </c>
      <c r="Q19" s="18">
        <f>IF(COUNTIFS(T_SelfStock_Log[Part Name],$A19,T_SelfStock_Log[WeekIndex],16)=0,"",SUMIFS(T_SelfStock_Log[Self_Qty],T_SelfStock_Log[Part Name],$A19,T_SelfStock_Log[WeekIndex],16))</f>
        <v/>
      </c>
      <c r="R19" s="18">
        <f>IF(COUNTIFS(T_SelfStock_Log[Part Name],$A19,T_SelfStock_Log[WeekIndex],17)=0,"",SUMIFS(T_SelfStock_Log[Self_Qty],T_SelfStock_Log[Part Name],$A19,T_SelfStock_Log[WeekIndex],17))</f>
        <v/>
      </c>
      <c r="S19" s="18">
        <f>IF(COUNTIFS(T_SelfStock_Log[Part Name],$A19,T_SelfStock_Log[WeekIndex],18)=0,"",SUMIFS(T_SelfStock_Log[Self_Qty],T_SelfStock_Log[Part Name],$A19,T_SelfStock_Log[WeekIndex],18))</f>
        <v/>
      </c>
      <c r="T19" s="18">
        <f>IF(COUNTIFS(T_SelfStock_Log[Part Name],$A19,T_SelfStock_Log[WeekIndex],19)=0,"",SUMIFS(T_SelfStock_Log[Self_Qty],T_SelfStock_Log[Part Name],$A19,T_SelfStock_Log[WeekIndex],19))</f>
        <v/>
      </c>
      <c r="U19" s="18">
        <f>IF(COUNTIFS(T_SelfStock_Log[Part Name],$A19,T_SelfStock_Log[WeekIndex],20)=0,"",SUMIFS(T_SelfStock_Log[Self_Qty],T_SelfStock_Log[Part Name],$A19,T_SelfStock_Log[WeekIndex],20))</f>
        <v/>
      </c>
      <c r="V19" s="18">
        <f>IF(COUNTIFS(T_SelfStock_Log[Part Name],$A19,T_SelfStock_Log[WeekIndex],21)=0,"",SUMIFS(T_SelfStock_Log[Self_Qty],T_SelfStock_Log[Part Name],$A19,T_SelfStock_Log[WeekIndex],21))</f>
        <v/>
      </c>
      <c r="W19" s="18">
        <f>IF(COUNTIFS(T_SelfStock_Log[Part Name],$A19,T_SelfStock_Log[WeekIndex],22)=0,"",SUMIFS(T_SelfStock_Log[Self_Qty],T_SelfStock_Log[Part Name],$A19,T_SelfStock_Log[WeekIndex],22))</f>
        <v/>
      </c>
      <c r="X19" s="18">
        <f>IF(COUNTIFS(T_SelfStock_Log[Part Name],$A19,T_SelfStock_Log[WeekIndex],23)=0,"",SUMIFS(T_SelfStock_Log[Self_Qty],T_SelfStock_Log[Part Name],$A19,T_SelfStock_Log[WeekIndex],23))</f>
        <v/>
      </c>
      <c r="Y19" s="18">
        <f>IF(COUNTIFS(T_SelfStock_Log[Part Name],$A19,T_SelfStock_Log[WeekIndex],24)=0,"",SUMIFS(T_SelfStock_Log[Self_Qty],T_SelfStock_Log[Part Name],$A19,T_SelfStock_Log[WeekIndex],24))</f>
        <v/>
      </c>
      <c r="Z19" s="18">
        <f>IF(COUNTIFS(T_SelfStock_Log[Part Name],$A19,T_SelfStock_Log[WeekIndex],25)=0,"",SUMIFS(T_SelfStock_Log[Self_Qty],T_SelfStock_Log[Part Name],$A19,T_SelfStock_Log[WeekIndex],25))</f>
        <v/>
      </c>
      <c r="AA19" s="18">
        <f>IF(COUNTIFS(T_SelfStock_Log[Part Name],$A19,T_SelfStock_Log[WeekIndex],26)=0,"",SUMIFS(T_SelfStock_Log[Self_Qty],T_SelfStock_Log[Part Name],$A19,T_SelfStock_Log[WeekIndex],26))</f>
        <v/>
      </c>
      <c r="AB19" s="18">
        <f>IF(COUNTIFS(T_SelfStock_Log[Part Name],$A19,T_SelfStock_Log[WeekIndex],27)=0,"",SUMIFS(T_SelfStock_Log[Self_Qty],T_SelfStock_Log[Part Name],$A19,T_SelfStock_Log[WeekIndex],27))</f>
        <v/>
      </c>
      <c r="AC19" s="18">
        <f>IF(COUNTIFS(T_SelfStock_Log[Part Name],$A19,T_SelfStock_Log[WeekIndex],28)=0,"",SUMIFS(T_SelfStock_Log[Self_Qty],T_SelfStock_Log[Part Name],$A19,T_SelfStock_Log[WeekIndex],28))</f>
        <v/>
      </c>
      <c r="AD19" s="18">
        <f>IF(COUNTIFS(T_SelfStock_Log[Part Name],$A19,T_SelfStock_Log[WeekIndex],29)=0,"",SUMIFS(T_SelfStock_Log[Self_Qty],T_SelfStock_Log[Part Name],$A19,T_SelfStock_Log[WeekIndex],29))</f>
        <v/>
      </c>
      <c r="AE19" s="18">
        <f>IF(COUNTIFS(T_SelfStock_Log[Part Name],$A19,T_SelfStock_Log[WeekIndex],30)=0,"",SUMIFS(T_SelfStock_Log[Self_Qty],T_SelfStock_Log[Part Name],$A19,T_SelfStock_Log[WeekIndex],30))</f>
        <v/>
      </c>
      <c r="AF19" s="18">
        <f>IF(COUNTIFS(T_SelfStock_Log[Part Name],$A19,T_SelfStock_Log[WeekIndex],31)=0,"",SUMIFS(T_SelfStock_Log[Self_Qty],T_SelfStock_Log[Part Name],$A19,T_SelfStock_Log[WeekIndex],31))</f>
        <v/>
      </c>
      <c r="AG19" s="18">
        <f>IF(COUNTIFS(T_SelfStock_Log[Part Name],$A19,T_SelfStock_Log[WeekIndex],32)=0,"",SUMIFS(T_SelfStock_Log[Self_Qty],T_SelfStock_Log[Part Name],$A19,T_SelfStock_Log[WeekIndex],32))</f>
        <v/>
      </c>
      <c r="AH19" s="18">
        <f>IF(COUNTIFS(T_SelfStock_Log[Part Name],$A19,T_SelfStock_Log[WeekIndex],33)=0,"",SUMIFS(T_SelfStock_Log[Self_Qty],T_SelfStock_Log[Part Name],$A19,T_SelfStock_Log[WeekIndex],33))</f>
        <v/>
      </c>
      <c r="AI19" s="18">
        <f>IF(COUNTIFS(T_SelfStock_Log[Part Name],$A19,T_SelfStock_Log[WeekIndex],34)=0,"",SUMIFS(T_SelfStock_Log[Self_Qty],T_SelfStock_Log[Part Name],$A19,T_SelfStock_Log[WeekIndex],34))</f>
        <v/>
      </c>
      <c r="AJ19" s="18">
        <f>IF(COUNTIFS(T_SelfStock_Log[Part Name],$A19,T_SelfStock_Log[WeekIndex],35)=0,"",SUMIFS(T_SelfStock_Log[Self_Qty],T_SelfStock_Log[Part Name],$A19,T_SelfStock_Log[WeekIndex],35))</f>
        <v/>
      </c>
      <c r="AK19" s="18">
        <f>IF(COUNTIFS(T_SelfStock_Log[Part Name],$A19,T_SelfStock_Log[WeekIndex],36)=0,"",SUMIFS(T_SelfStock_Log[Self_Qty],T_SelfStock_Log[Part Name],$A19,T_SelfStock_Log[WeekIndex],36))</f>
        <v/>
      </c>
      <c r="AL19" s="18">
        <f>IF(COUNTIFS(T_SelfStock_Log[Part Name],$A19,T_SelfStock_Log[WeekIndex],37)=0,"",SUMIFS(T_SelfStock_Log[Self_Qty],T_SelfStock_Log[Part Name],$A19,T_SelfStock_Log[WeekIndex],37))</f>
        <v/>
      </c>
      <c r="AM19" s="18">
        <f>IF(COUNTIFS(T_SelfStock_Log[Part Name],$A19,T_SelfStock_Log[WeekIndex],38)=0,"",SUMIFS(T_SelfStock_Log[Self_Qty],T_SelfStock_Log[Part Name],$A19,T_SelfStock_Log[WeekIndex],38))</f>
        <v/>
      </c>
      <c r="AN19" s="18">
        <f>IF(COUNTIFS(T_SelfStock_Log[Part Name],$A19,T_SelfStock_Log[WeekIndex],39)=0,"",SUMIFS(T_SelfStock_Log[Self_Qty],T_SelfStock_Log[Part Name],$A19,T_SelfStock_Log[WeekIndex],39))</f>
        <v/>
      </c>
      <c r="AO19" s="18">
        <f>IF(COUNTIFS(T_SelfStock_Log[Part Name],$A19,T_SelfStock_Log[WeekIndex],40)=0,"",SUMIFS(T_SelfStock_Log[Self_Qty],T_SelfStock_Log[Part Name],$A19,T_SelfStock_Log[WeekIndex],40))</f>
        <v/>
      </c>
      <c r="AP19" s="18">
        <f>IF(COUNTIFS(T_SelfStock_Log[Part Name],$A19,T_SelfStock_Log[WeekIndex],41)=0,"",SUMIFS(T_SelfStock_Log[Self_Qty],T_SelfStock_Log[Part Name],$A19,T_SelfStock_Log[WeekIndex],41))</f>
        <v/>
      </c>
      <c r="AQ19" s="18">
        <f>IF(COUNTIFS(T_SelfStock_Log[Part Name],$A19,T_SelfStock_Log[WeekIndex],42)=0,"",SUMIFS(T_SelfStock_Log[Self_Qty],T_SelfStock_Log[Part Name],$A19,T_SelfStock_Log[WeekIndex],42))</f>
        <v/>
      </c>
      <c r="AR19" s="18">
        <f>IF(COUNTIFS(T_SelfStock_Log[Part Name],$A19,T_SelfStock_Log[WeekIndex],43)=0,"",SUMIFS(T_SelfStock_Log[Self_Qty],T_SelfStock_Log[Part Name],$A19,T_SelfStock_Log[WeekIndex],43))</f>
        <v/>
      </c>
      <c r="AS19" s="18">
        <f>IF(COUNTIFS(T_SelfStock_Log[Part Name],$A19,T_SelfStock_Log[WeekIndex],44)=0,"",SUMIFS(T_SelfStock_Log[Self_Qty],T_SelfStock_Log[Part Name],$A19,T_SelfStock_Log[WeekIndex],44))</f>
        <v/>
      </c>
      <c r="AT19" s="18">
        <f>IF(COUNTIFS(T_SelfStock_Log[Part Name],$A19,T_SelfStock_Log[WeekIndex],45)=0,"",SUMIFS(T_SelfStock_Log[Self_Qty],T_SelfStock_Log[Part Name],$A19,T_SelfStock_Log[WeekIndex],45))</f>
        <v/>
      </c>
      <c r="AU19" s="18">
        <f>IF(COUNTIFS(T_SelfStock_Log[Part Name],$A19,T_SelfStock_Log[WeekIndex],46)=0,"",SUMIFS(T_SelfStock_Log[Self_Qty],T_SelfStock_Log[Part Name],$A19,T_SelfStock_Log[WeekIndex],46))</f>
        <v/>
      </c>
      <c r="AV19" s="18">
        <f>IF(COUNTIFS(T_SelfStock_Log[Part Name],$A19,T_SelfStock_Log[WeekIndex],47)=0,"",SUMIFS(T_SelfStock_Log[Self_Qty],T_SelfStock_Log[Part Name],$A19,T_SelfStock_Log[WeekIndex],47))</f>
        <v/>
      </c>
      <c r="AW19" s="18">
        <f>IF(COUNTIFS(T_SelfStock_Log[Part Name],$A19,T_SelfStock_Log[WeekIndex],48)=0,"",SUMIFS(T_SelfStock_Log[Self_Qty],T_SelfStock_Log[Part Name],$A19,T_SelfStock_Log[WeekIndex],48))</f>
        <v/>
      </c>
      <c r="AX19" s="18">
        <f>IF(COUNTIFS(T_SelfStock_Log[Part Name],$A19,T_SelfStock_Log[WeekIndex],49)=0,"",SUMIFS(T_SelfStock_Log[Self_Qty],T_SelfStock_Log[Part Name],$A19,T_SelfStock_Log[WeekIndex],49))</f>
        <v/>
      </c>
      <c r="AY19" s="18">
        <f>IF(COUNTIFS(T_SelfStock_Log[Part Name],$A19,T_SelfStock_Log[WeekIndex],50)=0,"",SUMIFS(T_SelfStock_Log[Self_Qty],T_SelfStock_Log[Part Name],$A19,T_SelfStock_Log[WeekIndex],50))</f>
        <v/>
      </c>
      <c r="AZ19" s="18">
        <f>IF(COUNTIFS(T_SelfStock_Log[Part Name],$A19,T_SelfStock_Log[WeekIndex],51)=0,"",SUMIFS(T_SelfStock_Log[Self_Qty],T_SelfStock_Log[Part Name],$A19,T_SelfStock_Log[WeekIndex],51))</f>
        <v/>
      </c>
      <c r="BA19" s="18">
        <f>IF(COUNTIFS(T_SelfStock_Log[Part Name],$A19,T_SelfStock_Log[WeekIndex],52)=0,"",SUMIFS(T_SelfStock_Log[Self_Qty],T_SelfStock_Log[Part Name],$A19,T_SelfStock_Log[WeekIndex],52))</f>
        <v/>
      </c>
      <c r="BB19" s="18">
        <f>IF(COUNTIFS(T_SelfStock_Log[Part Name],$A19,T_SelfStock_Log[WeekIndex],53)=0,"",SUMIFS(T_SelfStock_Log[Self_Qty],T_SelfStock_Log[Part Name],$A19,T_SelfStock_Log[WeekIndex],53))</f>
        <v/>
      </c>
      <c r="BC19" s="18">
        <f>IF(COUNTIFS(T_SelfStock_Log[Part Name],$A19,T_SelfStock_Log[WeekIndex],54)=0,"",SUMIFS(T_SelfStock_Log[Self_Qty],T_SelfStock_Log[Part Name],$A19,T_SelfStock_Log[WeekIndex],54))</f>
        <v/>
      </c>
      <c r="BD19" s="18">
        <f>IF(COUNTIFS(T_SelfStock_Log[Part Name],$A19,T_SelfStock_Log[WeekIndex],55)=0,"",SUMIFS(T_SelfStock_Log[Self_Qty],T_SelfStock_Log[Part Name],$A19,T_SelfStock_Log[WeekIndex],55))</f>
        <v/>
      </c>
      <c r="BE19" s="18">
        <f>IF(COUNTIFS(T_SelfStock_Log[Part Name],$A19,T_SelfStock_Log[WeekIndex],56)=0,"",SUMIFS(T_SelfStock_Log[Self_Qty],T_SelfStock_Log[Part Name],$A19,T_SelfStock_Log[WeekIndex],56))</f>
        <v/>
      </c>
      <c r="BF19" s="18">
        <f>IF(COUNTIFS(T_SelfStock_Log[Part Name],$A19,T_SelfStock_Log[WeekIndex],57)=0,"",SUMIFS(T_SelfStock_Log[Self_Qty],T_SelfStock_Log[Part Name],$A19,T_SelfStock_Log[WeekIndex],57))</f>
        <v/>
      </c>
      <c r="BG19" s="18">
        <f>IF(COUNTIFS(T_SelfStock_Log[Part Name],$A19,T_SelfStock_Log[WeekIndex],58)=0,"",SUMIFS(T_SelfStock_Log[Self_Qty],T_SelfStock_Log[Part Name],$A19,T_SelfStock_Log[WeekIndex],58))</f>
        <v/>
      </c>
      <c r="BH19" s="18">
        <f>IF(COUNTIFS(T_SelfStock_Log[Part Name],$A19,T_SelfStock_Log[WeekIndex],59)=0,"",SUMIFS(T_SelfStock_Log[Self_Qty],T_SelfStock_Log[Part Name],$A19,T_SelfStock_Log[WeekIndex],59))</f>
        <v/>
      </c>
      <c r="BI19" s="18">
        <f>IF(COUNTIFS(T_SelfStock_Log[Part Name],$A19,T_SelfStock_Log[WeekIndex],60)=0,"",SUMIFS(T_SelfStock_Log[Self_Qty],T_SelfStock_Log[Part Name],$A19,T_SelfStock_Log[WeekIndex],60))</f>
        <v/>
      </c>
      <c r="BJ19" s="18">
        <f>IF(COUNTIFS(T_SelfStock_Log[Part Name],$A19,T_SelfStock_Log[WeekIndex],61)=0,"",SUMIFS(T_SelfStock_Log[Self_Qty],T_SelfStock_Log[Part Name],$A19,T_SelfStock_Log[WeekIndex],61))</f>
        <v/>
      </c>
      <c r="BK19" s="18">
        <f>IF(COUNTIFS(T_SelfStock_Log[Part Name],$A19,T_SelfStock_Log[WeekIndex],62)=0,"",SUMIFS(T_SelfStock_Log[Self_Qty],T_SelfStock_Log[Part Name],$A19,T_SelfStock_Log[WeekIndex],62))</f>
        <v/>
      </c>
      <c r="BL19" s="18">
        <f>IF(COUNTIFS(T_SelfStock_Log[Part Name],$A19,T_SelfStock_Log[WeekIndex],63)=0,"",SUMIFS(T_SelfStock_Log[Self_Qty],T_SelfStock_Log[Part Name],$A19,T_SelfStock_Log[WeekIndex],63))</f>
        <v/>
      </c>
      <c r="BM19" s="18">
        <f>IF(COUNTIFS(T_SelfStock_Log[Part Name],$A19,T_SelfStock_Log[WeekIndex],64)=0,"",SUMIFS(T_SelfStock_Log[Self_Qty],T_SelfStock_Log[Part Name],$A19,T_SelfStock_Log[WeekIndex],64))</f>
        <v/>
      </c>
      <c r="BN19" s="18">
        <f>IF(COUNTIFS(T_SelfStock_Log[Part Name],$A19,T_SelfStock_Log[WeekIndex],65)=0,"",SUMIFS(T_SelfStock_Log[Self_Qty],T_SelfStock_Log[Part Name],$A19,T_SelfStock_Log[WeekIndex],65))</f>
        <v/>
      </c>
      <c r="BO19" s="18">
        <f>IF(COUNTIFS(T_SelfStock_Log[Part Name],$A19,T_SelfStock_Log[WeekIndex],66)=0,"",SUMIFS(T_SelfStock_Log[Self_Qty],T_SelfStock_Log[Part Name],$A19,T_SelfStock_Log[WeekIndex],66))</f>
        <v/>
      </c>
      <c r="BP19" s="18">
        <f>IF(COUNTIFS(T_SelfStock_Log[Part Name],$A19,T_SelfStock_Log[WeekIndex],67)=0,"",SUMIFS(T_SelfStock_Log[Self_Qty],T_SelfStock_Log[Part Name],$A19,T_SelfStock_Log[WeekIndex],67))</f>
        <v/>
      </c>
      <c r="BQ19" s="18">
        <f>IF(COUNTIFS(T_SelfStock_Log[Part Name],$A19,T_SelfStock_Log[WeekIndex],68)=0,"",SUMIFS(T_SelfStock_Log[Self_Qty],T_SelfStock_Log[Part Name],$A19,T_SelfStock_Log[WeekIndex],68))</f>
        <v/>
      </c>
      <c r="BR19" s="18">
        <f>IF(COUNTIFS(T_SelfStock_Log[Part Name],$A19,T_SelfStock_Log[WeekIndex],69)=0,"",SUMIFS(T_SelfStock_Log[Self_Qty],T_SelfStock_Log[Part Name],$A19,T_SelfStock_Log[WeekIndex],69))</f>
        <v/>
      </c>
      <c r="BS19" s="18">
        <f>IF(COUNTIFS(T_SelfStock_Log[Part Name],$A19,T_SelfStock_Log[WeekIndex],70)=0,"",SUMIFS(T_SelfStock_Log[Self_Qty],T_SelfStock_Log[Part Name],$A19,T_SelfStock_Log[WeekIndex],70))</f>
        <v/>
      </c>
      <c r="BT19" s="18">
        <f>IF(COUNTIFS(T_SelfStock_Log[Part Name],$A19,T_SelfStock_Log[WeekIndex],71)=0,"",SUMIFS(T_SelfStock_Log[Self_Qty],T_SelfStock_Log[Part Name],$A19,T_SelfStock_Log[WeekIndex],71))</f>
        <v/>
      </c>
      <c r="BU19" s="18">
        <f>IF(COUNTIFS(T_SelfStock_Log[Part Name],$A19,T_SelfStock_Log[WeekIndex],72)=0,"",SUMIFS(T_SelfStock_Log[Self_Qty],T_SelfStock_Log[Part Name],$A19,T_SelfStock_Log[WeekIndex],72))</f>
        <v/>
      </c>
      <c r="BV19" s="18">
        <f>IF(COUNTIFS(T_SelfStock_Log[Part Name],$A19,T_SelfStock_Log[WeekIndex],73)=0,"",SUMIFS(T_SelfStock_Log[Self_Qty],T_SelfStock_Log[Part Name],$A19,T_SelfStock_Log[WeekIndex],73))</f>
        <v/>
      </c>
      <c r="BW19" s="18">
        <f>IF(COUNTIFS(T_SelfStock_Log[Part Name],$A19,T_SelfStock_Log[WeekIndex],74)=0,"",SUMIFS(T_SelfStock_Log[Self_Qty],T_SelfStock_Log[Part Name],$A19,T_SelfStock_Log[WeekIndex],74))</f>
        <v/>
      </c>
      <c r="BX19" s="18">
        <f>IF(COUNTIFS(T_SelfStock_Log[Part Name],$A19,T_SelfStock_Log[WeekIndex],75)=0,"",SUMIFS(T_SelfStock_Log[Self_Qty],T_SelfStock_Log[Part Name],$A19,T_SelfStock_Log[WeekIndex],75))</f>
        <v/>
      </c>
      <c r="BY19" s="18">
        <f>IF(COUNTIFS(T_SelfStock_Log[Part Name],$A19,T_SelfStock_Log[WeekIndex],76)=0,"",SUMIFS(T_SelfStock_Log[Self_Qty],T_SelfStock_Log[Part Name],$A19,T_SelfStock_Log[WeekIndex],76))</f>
        <v/>
      </c>
      <c r="BZ19" s="18">
        <f>IF(COUNTIFS(T_SelfStock_Log[Part Name],$A19,T_SelfStock_Log[WeekIndex],77)=0,"",SUMIFS(T_SelfStock_Log[Self_Qty],T_SelfStock_Log[Part Name],$A19,T_SelfStock_Log[WeekIndex],77))</f>
        <v/>
      </c>
      <c r="CA19" s="18">
        <f>IF(COUNTIFS(T_SelfStock_Log[Part Name],$A19,T_SelfStock_Log[WeekIndex],78)=0,"",SUMIFS(T_SelfStock_Log[Self_Qty],T_SelfStock_Log[Part Name],$A19,T_SelfStock_Log[WeekIndex],78))</f>
        <v/>
      </c>
      <c r="CB19" s="18">
        <f>IF(COUNTIFS(T_SelfStock_Log[Part Name],$A19,T_SelfStock_Log[WeekIndex],79)=0,"",SUMIFS(T_SelfStock_Log[Self_Qty],T_SelfStock_Log[Part Name],$A19,T_SelfStock_Log[WeekIndex],79))</f>
        <v/>
      </c>
      <c r="CC19" s="18">
        <f>IF(COUNTIFS(T_SelfStock_Log[Part Name],$A19,T_SelfStock_Log[WeekIndex],80)=0,"",SUMIFS(T_SelfStock_Log[Self_Qty],T_SelfStock_Log[Part Name],$A19,T_SelfStock_Log[WeekIndex],80))</f>
        <v/>
      </c>
      <c r="CD19" s="18">
        <f>IF(COUNTIFS(T_SelfStock_Log[Part Name],$A19,T_SelfStock_Log[WeekIndex],81)=0,"",SUMIFS(T_SelfStock_Log[Self_Qty],T_SelfStock_Log[Part Name],$A19,T_SelfStock_Log[WeekIndex],81))</f>
        <v/>
      </c>
      <c r="CE19" s="18">
        <f>IF(COUNTIFS(T_SelfStock_Log[Part Name],$A19,T_SelfStock_Log[WeekIndex],82)=0,"",SUMIFS(T_SelfStock_Log[Self_Qty],T_SelfStock_Log[Part Name],$A19,T_SelfStock_Log[WeekIndex],82))</f>
        <v/>
      </c>
      <c r="CF19" s="18">
        <f>IF(COUNTIFS(T_SelfStock_Log[Part Name],$A19,T_SelfStock_Log[WeekIndex],83)=0,"",SUMIFS(T_SelfStock_Log[Self_Qty],T_SelfStock_Log[Part Name],$A19,T_SelfStock_Log[WeekIndex],83))</f>
        <v/>
      </c>
      <c r="CG19" s="18">
        <f>IF(COUNTIFS(T_SelfStock_Log[Part Name],$A19,T_SelfStock_Log[WeekIndex],84)=0,"",SUMIFS(T_SelfStock_Log[Self_Qty],T_SelfStock_Log[Part Name],$A19,T_SelfStock_Log[WeekIndex],84))</f>
        <v/>
      </c>
      <c r="CH19" s="18">
        <f>IF(COUNTIFS(T_SelfStock_Log[Part Name],$A19,T_SelfStock_Log[WeekIndex],85)=0,"",SUMIFS(T_SelfStock_Log[Self_Qty],T_SelfStock_Log[Part Name],$A19,T_SelfStock_Log[WeekIndex],85))</f>
        <v/>
      </c>
      <c r="CI19" s="18">
        <f>IF(COUNTIFS(T_SelfStock_Log[Part Name],$A19,T_SelfStock_Log[WeekIndex],86)=0,"",SUMIFS(T_SelfStock_Log[Self_Qty],T_SelfStock_Log[Part Name],$A19,T_SelfStock_Log[WeekIndex],86))</f>
        <v/>
      </c>
      <c r="CJ19" s="18">
        <f>IF(COUNTIFS(T_SelfStock_Log[Part Name],$A19,T_SelfStock_Log[WeekIndex],87)=0,"",SUMIFS(T_SelfStock_Log[Self_Qty],T_SelfStock_Log[Part Name],$A19,T_SelfStock_Log[WeekIndex],87))</f>
        <v/>
      </c>
      <c r="CK19" s="18">
        <f>IF(COUNTIFS(T_SelfStock_Log[Part Name],$A19,T_SelfStock_Log[WeekIndex],88)=0,"",SUMIFS(T_SelfStock_Log[Self_Qty],T_SelfStock_Log[Part Name],$A19,T_SelfStock_Log[WeekIndex],88))</f>
        <v/>
      </c>
      <c r="CL19" s="18">
        <f>IF(COUNTIFS(T_SelfStock_Log[Part Name],$A19,T_SelfStock_Log[WeekIndex],89)=0,"",SUMIFS(T_SelfStock_Log[Self_Qty],T_SelfStock_Log[Part Name],$A19,T_SelfStock_Log[WeekIndex],89))</f>
        <v/>
      </c>
      <c r="CM19" s="18">
        <f>IF(COUNTIFS(T_SelfStock_Log[Part Name],$A19,T_SelfStock_Log[WeekIndex],90)=0,"",SUMIFS(T_SelfStock_Log[Self_Qty],T_SelfStock_Log[Part Name],$A19,T_SelfStock_Log[WeekIndex],90))</f>
        <v/>
      </c>
      <c r="CN19" s="18">
        <f>IF(COUNTIFS(T_SelfStock_Log[Part Name],$A19,T_SelfStock_Log[WeekIndex],91)=0,"",SUMIFS(T_SelfStock_Log[Self_Qty],T_SelfStock_Log[Part Name],$A19,T_SelfStock_Log[WeekIndex],91))</f>
        <v/>
      </c>
      <c r="CO19" s="18">
        <f>IF(COUNTIFS(T_SelfStock_Log[Part Name],$A19,T_SelfStock_Log[WeekIndex],92)=0,"",SUMIFS(T_SelfStock_Log[Self_Qty],T_SelfStock_Log[Part Name],$A19,T_SelfStock_Log[WeekIndex],92))</f>
        <v/>
      </c>
      <c r="CP19" s="18">
        <f>IF(COUNTIFS(T_SelfStock_Log[Part Name],$A19,T_SelfStock_Log[WeekIndex],93)=0,"",SUMIFS(T_SelfStock_Log[Self_Qty],T_SelfStock_Log[Part Name],$A19,T_SelfStock_Log[WeekIndex],93))</f>
        <v/>
      </c>
      <c r="CQ19" s="18">
        <f>IF(COUNTIFS(T_SelfStock_Log[Part Name],$A19,T_SelfStock_Log[WeekIndex],94)=0,"",SUMIFS(T_SelfStock_Log[Self_Qty],T_SelfStock_Log[Part Name],$A19,T_SelfStock_Log[WeekIndex],94))</f>
        <v/>
      </c>
      <c r="CR19" s="18">
        <f>IF(COUNTIFS(T_SelfStock_Log[Part Name],$A19,T_SelfStock_Log[WeekIndex],95)=0,"",SUMIFS(T_SelfStock_Log[Self_Qty],T_SelfStock_Log[Part Name],$A19,T_SelfStock_Log[WeekIndex],95))</f>
        <v/>
      </c>
      <c r="CS19" s="18">
        <f>IF(COUNTIFS(T_SelfStock_Log[Part Name],$A19,T_SelfStock_Log[WeekIndex],96)=0,"",SUMIFS(T_SelfStock_Log[Self_Qty],T_SelfStock_Log[Part Name],$A19,T_SelfStock_Log[WeekIndex],96))</f>
        <v/>
      </c>
      <c r="CT19" s="18">
        <f>IF(COUNTIFS(T_SelfStock_Log[Part Name],$A19,T_SelfStock_Log[WeekIndex],97)=0,"",SUMIFS(T_SelfStock_Log[Self_Qty],T_SelfStock_Log[Part Name],$A19,T_SelfStock_Log[WeekIndex],97))</f>
        <v/>
      </c>
      <c r="CU19" s="18">
        <f>IF(COUNTIFS(T_SelfStock_Log[Part Name],$A19,T_SelfStock_Log[WeekIndex],98)=0,"",SUMIFS(T_SelfStock_Log[Self_Qty],T_SelfStock_Log[Part Name],$A19,T_SelfStock_Log[WeekIndex],98))</f>
        <v/>
      </c>
      <c r="CV19" s="18">
        <f>IF(COUNTIFS(T_SelfStock_Log[Part Name],$A19,T_SelfStock_Log[WeekIndex],99)=0,"",SUMIFS(T_SelfStock_Log[Self_Qty],T_SelfStock_Log[Part Name],$A19,T_SelfStock_Log[WeekIndex],99))</f>
        <v/>
      </c>
      <c r="CW19" s="18">
        <f>IF(COUNTIFS(T_SelfStock_Log[Part Name],$A19,T_SelfStock_Log[WeekIndex],100)=0,"",SUMIFS(T_SelfStock_Log[Self_Qty],T_SelfStock_Log[Part Name],$A19,T_SelfStock_Log[WeekIndex],100))</f>
        <v/>
      </c>
      <c r="CX19" s="18">
        <f>IF(COUNTIFS(T_SelfStock_Log[Part Name],$A19,T_SelfStock_Log[WeekIndex],101)=0,"",SUMIFS(T_SelfStock_Log[Self_Qty],T_SelfStock_Log[Part Name],$A19,T_SelfStock_Log[WeekIndex],101))</f>
        <v/>
      </c>
      <c r="CY19" s="18">
        <f>IF(COUNTIFS(T_SelfStock_Log[Part Name],$A19,T_SelfStock_Log[WeekIndex],102)=0,"",SUMIFS(T_SelfStock_Log[Self_Qty],T_SelfStock_Log[Part Name],$A19,T_SelfStock_Log[WeekIndex],102))</f>
        <v/>
      </c>
      <c r="CZ19" s="18">
        <f>IF(COUNTIFS(T_SelfStock_Log[Part Name],$A19,T_SelfStock_Log[WeekIndex],103)=0,"",SUMIFS(T_SelfStock_Log[Self_Qty],T_SelfStock_Log[Part Name],$A19,T_SelfStock_Log[WeekIndex],103))</f>
        <v/>
      </c>
      <c r="DA19" s="18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CHEM-1570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8" t="inlineStr">
        <is>
          <t>CHEM-1650</t>
        </is>
      </c>
      <c r="B21" s="18">
        <f>IF(COUNTIFS(T_SelfStock_Log[Part Name],$A21,T_SelfStock_Log[WeekIndex],1)=0,"",SUMIFS(T_SelfStock_Log[Self_Qty],T_SelfStock_Log[Part Name],$A21,T_SelfStock_Log[WeekIndex],1))</f>
        <v/>
      </c>
      <c r="C21" s="18">
        <f>IF(COUNTIFS(T_SelfStock_Log[Part Name],$A21,T_SelfStock_Log[WeekIndex],2)=0,"",SUMIFS(T_SelfStock_Log[Self_Qty],T_SelfStock_Log[Part Name],$A21,T_SelfStock_Log[WeekIndex],2))</f>
        <v/>
      </c>
      <c r="D21" s="18">
        <f>IF(COUNTIFS(T_SelfStock_Log[Part Name],$A21,T_SelfStock_Log[WeekIndex],3)=0,"",SUMIFS(T_SelfStock_Log[Self_Qty],T_SelfStock_Log[Part Name],$A21,T_SelfStock_Log[WeekIndex],3))</f>
        <v/>
      </c>
      <c r="E21" s="18">
        <f>IF(COUNTIFS(T_SelfStock_Log[Part Name],$A21,T_SelfStock_Log[WeekIndex],4)=0,"",SUMIFS(T_SelfStock_Log[Self_Qty],T_SelfStock_Log[Part Name],$A21,T_SelfStock_Log[WeekIndex],4))</f>
        <v/>
      </c>
      <c r="F21" s="18">
        <f>IF(COUNTIFS(T_SelfStock_Log[Part Name],$A21,T_SelfStock_Log[WeekIndex],5)=0,"",SUMIFS(T_SelfStock_Log[Self_Qty],T_SelfStock_Log[Part Name],$A21,T_SelfStock_Log[WeekIndex],5))</f>
        <v/>
      </c>
      <c r="G21" s="18">
        <f>IF(COUNTIFS(T_SelfStock_Log[Part Name],$A21,T_SelfStock_Log[WeekIndex],6)=0,"",SUMIFS(T_SelfStock_Log[Self_Qty],T_SelfStock_Log[Part Name],$A21,T_SelfStock_Log[WeekIndex],6))</f>
        <v/>
      </c>
      <c r="H21" s="18">
        <f>IF(COUNTIFS(T_SelfStock_Log[Part Name],$A21,T_SelfStock_Log[WeekIndex],7)=0,"",SUMIFS(T_SelfStock_Log[Self_Qty],T_SelfStock_Log[Part Name],$A21,T_SelfStock_Log[WeekIndex],7))</f>
        <v/>
      </c>
      <c r="I21" s="18">
        <f>IF(COUNTIFS(T_SelfStock_Log[Part Name],$A21,T_SelfStock_Log[WeekIndex],8)=0,"",SUMIFS(T_SelfStock_Log[Self_Qty],T_SelfStock_Log[Part Name],$A21,T_SelfStock_Log[WeekIndex],8))</f>
        <v/>
      </c>
      <c r="J21" s="18">
        <f>IF(COUNTIFS(T_SelfStock_Log[Part Name],$A21,T_SelfStock_Log[WeekIndex],9)=0,"",SUMIFS(T_SelfStock_Log[Self_Qty],T_SelfStock_Log[Part Name],$A21,T_SelfStock_Log[WeekIndex],9))</f>
        <v/>
      </c>
      <c r="K21" s="18">
        <f>IF(COUNTIFS(T_SelfStock_Log[Part Name],$A21,T_SelfStock_Log[WeekIndex],10)=0,"",SUMIFS(T_SelfStock_Log[Self_Qty],T_SelfStock_Log[Part Name],$A21,T_SelfStock_Log[WeekIndex],10))</f>
        <v/>
      </c>
      <c r="L21" s="18">
        <f>IF(COUNTIFS(T_SelfStock_Log[Part Name],$A21,T_SelfStock_Log[WeekIndex],11)=0,"",SUMIFS(T_SelfStock_Log[Self_Qty],T_SelfStock_Log[Part Name],$A21,T_SelfStock_Log[WeekIndex],11))</f>
        <v/>
      </c>
      <c r="M21" s="18">
        <f>IF(COUNTIFS(T_SelfStock_Log[Part Name],$A21,T_SelfStock_Log[WeekIndex],12)=0,"",SUMIFS(T_SelfStock_Log[Self_Qty],T_SelfStock_Log[Part Name],$A21,T_SelfStock_Log[WeekIndex],12))</f>
        <v/>
      </c>
      <c r="N21" s="18">
        <f>IF(COUNTIFS(T_SelfStock_Log[Part Name],$A21,T_SelfStock_Log[WeekIndex],13)=0,"",SUMIFS(T_SelfStock_Log[Self_Qty],T_SelfStock_Log[Part Name],$A21,T_SelfStock_Log[WeekIndex],13))</f>
        <v/>
      </c>
      <c r="O21" s="18">
        <f>IF(COUNTIFS(T_SelfStock_Log[Part Name],$A21,T_SelfStock_Log[WeekIndex],14)=0,"",SUMIFS(T_SelfStock_Log[Self_Qty],T_SelfStock_Log[Part Name],$A21,T_SelfStock_Log[WeekIndex],14))</f>
        <v/>
      </c>
      <c r="P21" s="18">
        <f>IF(COUNTIFS(T_SelfStock_Log[Part Name],$A21,T_SelfStock_Log[WeekIndex],15)=0,"",SUMIFS(T_SelfStock_Log[Self_Qty],T_SelfStock_Log[Part Name],$A21,T_SelfStock_Log[WeekIndex],15))</f>
        <v/>
      </c>
      <c r="Q21" s="18">
        <f>IF(COUNTIFS(T_SelfStock_Log[Part Name],$A21,T_SelfStock_Log[WeekIndex],16)=0,"",SUMIFS(T_SelfStock_Log[Self_Qty],T_SelfStock_Log[Part Name],$A21,T_SelfStock_Log[WeekIndex],16))</f>
        <v/>
      </c>
      <c r="R21" s="18">
        <f>IF(COUNTIFS(T_SelfStock_Log[Part Name],$A21,T_SelfStock_Log[WeekIndex],17)=0,"",SUMIFS(T_SelfStock_Log[Self_Qty],T_SelfStock_Log[Part Name],$A21,T_SelfStock_Log[WeekIndex],17))</f>
        <v/>
      </c>
      <c r="S21" s="18">
        <f>IF(COUNTIFS(T_SelfStock_Log[Part Name],$A21,T_SelfStock_Log[WeekIndex],18)=0,"",SUMIFS(T_SelfStock_Log[Self_Qty],T_SelfStock_Log[Part Name],$A21,T_SelfStock_Log[WeekIndex],18))</f>
        <v/>
      </c>
      <c r="T21" s="18">
        <f>IF(COUNTIFS(T_SelfStock_Log[Part Name],$A21,T_SelfStock_Log[WeekIndex],19)=0,"",SUMIFS(T_SelfStock_Log[Self_Qty],T_SelfStock_Log[Part Name],$A21,T_SelfStock_Log[WeekIndex],19))</f>
        <v/>
      </c>
      <c r="U21" s="18">
        <f>IF(COUNTIFS(T_SelfStock_Log[Part Name],$A21,T_SelfStock_Log[WeekIndex],20)=0,"",SUMIFS(T_SelfStock_Log[Self_Qty],T_SelfStock_Log[Part Name],$A21,T_SelfStock_Log[WeekIndex],20))</f>
        <v/>
      </c>
      <c r="V21" s="18">
        <f>IF(COUNTIFS(T_SelfStock_Log[Part Name],$A21,T_SelfStock_Log[WeekIndex],21)=0,"",SUMIFS(T_SelfStock_Log[Self_Qty],T_SelfStock_Log[Part Name],$A21,T_SelfStock_Log[WeekIndex],21))</f>
        <v/>
      </c>
      <c r="W21" s="18">
        <f>IF(COUNTIFS(T_SelfStock_Log[Part Name],$A21,T_SelfStock_Log[WeekIndex],22)=0,"",SUMIFS(T_SelfStock_Log[Self_Qty],T_SelfStock_Log[Part Name],$A21,T_SelfStock_Log[WeekIndex],22))</f>
        <v/>
      </c>
      <c r="X21" s="18">
        <f>IF(COUNTIFS(T_SelfStock_Log[Part Name],$A21,T_SelfStock_Log[WeekIndex],23)=0,"",SUMIFS(T_SelfStock_Log[Self_Qty],T_SelfStock_Log[Part Name],$A21,T_SelfStock_Log[WeekIndex],23))</f>
        <v/>
      </c>
      <c r="Y21" s="18">
        <f>IF(COUNTIFS(T_SelfStock_Log[Part Name],$A21,T_SelfStock_Log[WeekIndex],24)=0,"",SUMIFS(T_SelfStock_Log[Self_Qty],T_SelfStock_Log[Part Name],$A21,T_SelfStock_Log[WeekIndex],24))</f>
        <v/>
      </c>
      <c r="Z21" s="18">
        <f>IF(COUNTIFS(T_SelfStock_Log[Part Name],$A21,T_SelfStock_Log[WeekIndex],25)=0,"",SUMIFS(T_SelfStock_Log[Self_Qty],T_SelfStock_Log[Part Name],$A21,T_SelfStock_Log[WeekIndex],25))</f>
        <v/>
      </c>
      <c r="AA21" s="18">
        <f>IF(COUNTIFS(T_SelfStock_Log[Part Name],$A21,T_SelfStock_Log[WeekIndex],26)=0,"",SUMIFS(T_SelfStock_Log[Self_Qty],T_SelfStock_Log[Part Name],$A21,T_SelfStock_Log[WeekIndex],26))</f>
        <v/>
      </c>
      <c r="AB21" s="18">
        <f>IF(COUNTIFS(T_SelfStock_Log[Part Name],$A21,T_SelfStock_Log[WeekIndex],27)=0,"",SUMIFS(T_SelfStock_Log[Self_Qty],T_SelfStock_Log[Part Name],$A21,T_SelfStock_Log[WeekIndex],27))</f>
        <v/>
      </c>
      <c r="AC21" s="18">
        <f>IF(COUNTIFS(T_SelfStock_Log[Part Name],$A21,T_SelfStock_Log[WeekIndex],28)=0,"",SUMIFS(T_SelfStock_Log[Self_Qty],T_SelfStock_Log[Part Name],$A21,T_SelfStock_Log[WeekIndex],28))</f>
        <v/>
      </c>
      <c r="AD21" s="18">
        <f>IF(COUNTIFS(T_SelfStock_Log[Part Name],$A21,T_SelfStock_Log[WeekIndex],29)=0,"",SUMIFS(T_SelfStock_Log[Self_Qty],T_SelfStock_Log[Part Name],$A21,T_SelfStock_Log[WeekIndex],29))</f>
        <v/>
      </c>
      <c r="AE21" s="18">
        <f>IF(COUNTIFS(T_SelfStock_Log[Part Name],$A21,T_SelfStock_Log[WeekIndex],30)=0,"",SUMIFS(T_SelfStock_Log[Self_Qty],T_SelfStock_Log[Part Name],$A21,T_SelfStock_Log[WeekIndex],30))</f>
        <v/>
      </c>
      <c r="AF21" s="18">
        <f>IF(COUNTIFS(T_SelfStock_Log[Part Name],$A21,T_SelfStock_Log[WeekIndex],31)=0,"",SUMIFS(T_SelfStock_Log[Self_Qty],T_SelfStock_Log[Part Name],$A21,T_SelfStock_Log[WeekIndex],31))</f>
        <v/>
      </c>
      <c r="AG21" s="18">
        <f>IF(COUNTIFS(T_SelfStock_Log[Part Name],$A21,T_SelfStock_Log[WeekIndex],32)=0,"",SUMIFS(T_SelfStock_Log[Self_Qty],T_SelfStock_Log[Part Name],$A21,T_SelfStock_Log[WeekIndex],32))</f>
        <v/>
      </c>
      <c r="AH21" s="18">
        <f>IF(COUNTIFS(T_SelfStock_Log[Part Name],$A21,T_SelfStock_Log[WeekIndex],33)=0,"",SUMIFS(T_SelfStock_Log[Self_Qty],T_SelfStock_Log[Part Name],$A21,T_SelfStock_Log[WeekIndex],33))</f>
        <v/>
      </c>
      <c r="AI21" s="18">
        <f>IF(COUNTIFS(T_SelfStock_Log[Part Name],$A21,T_SelfStock_Log[WeekIndex],34)=0,"",SUMIFS(T_SelfStock_Log[Self_Qty],T_SelfStock_Log[Part Name],$A21,T_SelfStock_Log[WeekIndex],34))</f>
        <v/>
      </c>
      <c r="AJ21" s="18">
        <f>IF(COUNTIFS(T_SelfStock_Log[Part Name],$A21,T_SelfStock_Log[WeekIndex],35)=0,"",SUMIFS(T_SelfStock_Log[Self_Qty],T_SelfStock_Log[Part Name],$A21,T_SelfStock_Log[WeekIndex],35))</f>
        <v/>
      </c>
      <c r="AK21" s="18">
        <f>IF(COUNTIFS(T_SelfStock_Log[Part Name],$A21,T_SelfStock_Log[WeekIndex],36)=0,"",SUMIFS(T_SelfStock_Log[Self_Qty],T_SelfStock_Log[Part Name],$A21,T_SelfStock_Log[WeekIndex],36))</f>
        <v/>
      </c>
      <c r="AL21" s="18">
        <f>IF(COUNTIFS(T_SelfStock_Log[Part Name],$A21,T_SelfStock_Log[WeekIndex],37)=0,"",SUMIFS(T_SelfStock_Log[Self_Qty],T_SelfStock_Log[Part Name],$A21,T_SelfStock_Log[WeekIndex],37))</f>
        <v/>
      </c>
      <c r="AM21" s="18">
        <f>IF(COUNTIFS(T_SelfStock_Log[Part Name],$A21,T_SelfStock_Log[WeekIndex],38)=0,"",SUMIFS(T_SelfStock_Log[Self_Qty],T_SelfStock_Log[Part Name],$A21,T_SelfStock_Log[WeekIndex],38))</f>
        <v/>
      </c>
      <c r="AN21" s="18">
        <f>IF(COUNTIFS(T_SelfStock_Log[Part Name],$A21,T_SelfStock_Log[WeekIndex],39)=0,"",SUMIFS(T_SelfStock_Log[Self_Qty],T_SelfStock_Log[Part Name],$A21,T_SelfStock_Log[WeekIndex],39))</f>
        <v/>
      </c>
      <c r="AO21" s="18">
        <f>IF(COUNTIFS(T_SelfStock_Log[Part Name],$A21,T_SelfStock_Log[WeekIndex],40)=0,"",SUMIFS(T_SelfStock_Log[Self_Qty],T_SelfStock_Log[Part Name],$A21,T_SelfStock_Log[WeekIndex],40))</f>
        <v/>
      </c>
      <c r="AP21" s="18">
        <f>IF(COUNTIFS(T_SelfStock_Log[Part Name],$A21,T_SelfStock_Log[WeekIndex],41)=0,"",SUMIFS(T_SelfStock_Log[Self_Qty],T_SelfStock_Log[Part Name],$A21,T_SelfStock_Log[WeekIndex],41))</f>
        <v/>
      </c>
      <c r="AQ21" s="18">
        <f>IF(COUNTIFS(T_SelfStock_Log[Part Name],$A21,T_SelfStock_Log[WeekIndex],42)=0,"",SUMIFS(T_SelfStock_Log[Self_Qty],T_SelfStock_Log[Part Name],$A21,T_SelfStock_Log[WeekIndex],42))</f>
        <v/>
      </c>
      <c r="AR21" s="18">
        <f>IF(COUNTIFS(T_SelfStock_Log[Part Name],$A21,T_SelfStock_Log[WeekIndex],43)=0,"",SUMIFS(T_SelfStock_Log[Self_Qty],T_SelfStock_Log[Part Name],$A21,T_SelfStock_Log[WeekIndex],43))</f>
        <v/>
      </c>
      <c r="AS21" s="18">
        <f>IF(COUNTIFS(T_SelfStock_Log[Part Name],$A21,T_SelfStock_Log[WeekIndex],44)=0,"",SUMIFS(T_SelfStock_Log[Self_Qty],T_SelfStock_Log[Part Name],$A21,T_SelfStock_Log[WeekIndex],44))</f>
        <v/>
      </c>
      <c r="AT21" s="18">
        <f>IF(COUNTIFS(T_SelfStock_Log[Part Name],$A21,T_SelfStock_Log[WeekIndex],45)=0,"",SUMIFS(T_SelfStock_Log[Self_Qty],T_SelfStock_Log[Part Name],$A21,T_SelfStock_Log[WeekIndex],45))</f>
        <v/>
      </c>
      <c r="AU21" s="18">
        <f>IF(COUNTIFS(T_SelfStock_Log[Part Name],$A21,T_SelfStock_Log[WeekIndex],46)=0,"",SUMIFS(T_SelfStock_Log[Self_Qty],T_SelfStock_Log[Part Name],$A21,T_SelfStock_Log[WeekIndex],46))</f>
        <v/>
      </c>
      <c r="AV21" s="18">
        <f>IF(COUNTIFS(T_SelfStock_Log[Part Name],$A21,T_SelfStock_Log[WeekIndex],47)=0,"",SUMIFS(T_SelfStock_Log[Self_Qty],T_SelfStock_Log[Part Name],$A21,T_SelfStock_Log[WeekIndex],47))</f>
        <v/>
      </c>
      <c r="AW21" s="18">
        <f>IF(COUNTIFS(T_SelfStock_Log[Part Name],$A21,T_SelfStock_Log[WeekIndex],48)=0,"",SUMIFS(T_SelfStock_Log[Self_Qty],T_SelfStock_Log[Part Name],$A21,T_SelfStock_Log[WeekIndex],48))</f>
        <v/>
      </c>
      <c r="AX21" s="18">
        <f>IF(COUNTIFS(T_SelfStock_Log[Part Name],$A21,T_SelfStock_Log[WeekIndex],49)=0,"",SUMIFS(T_SelfStock_Log[Self_Qty],T_SelfStock_Log[Part Name],$A21,T_SelfStock_Log[WeekIndex],49))</f>
        <v/>
      </c>
      <c r="AY21" s="18">
        <f>IF(COUNTIFS(T_SelfStock_Log[Part Name],$A21,T_SelfStock_Log[WeekIndex],50)=0,"",SUMIFS(T_SelfStock_Log[Self_Qty],T_SelfStock_Log[Part Name],$A21,T_SelfStock_Log[WeekIndex],50))</f>
        <v/>
      </c>
      <c r="AZ21" s="18">
        <f>IF(COUNTIFS(T_SelfStock_Log[Part Name],$A21,T_SelfStock_Log[WeekIndex],51)=0,"",SUMIFS(T_SelfStock_Log[Self_Qty],T_SelfStock_Log[Part Name],$A21,T_SelfStock_Log[WeekIndex],51))</f>
        <v/>
      </c>
      <c r="BA21" s="18">
        <f>IF(COUNTIFS(T_SelfStock_Log[Part Name],$A21,T_SelfStock_Log[WeekIndex],52)=0,"",SUMIFS(T_SelfStock_Log[Self_Qty],T_SelfStock_Log[Part Name],$A21,T_SelfStock_Log[WeekIndex],52))</f>
        <v/>
      </c>
      <c r="BB21" s="18">
        <f>IF(COUNTIFS(T_SelfStock_Log[Part Name],$A21,T_SelfStock_Log[WeekIndex],53)=0,"",SUMIFS(T_SelfStock_Log[Self_Qty],T_SelfStock_Log[Part Name],$A21,T_SelfStock_Log[WeekIndex],53))</f>
        <v/>
      </c>
      <c r="BC21" s="18">
        <f>IF(COUNTIFS(T_SelfStock_Log[Part Name],$A21,T_SelfStock_Log[WeekIndex],54)=0,"",SUMIFS(T_SelfStock_Log[Self_Qty],T_SelfStock_Log[Part Name],$A21,T_SelfStock_Log[WeekIndex],54))</f>
        <v/>
      </c>
      <c r="BD21" s="18">
        <f>IF(COUNTIFS(T_SelfStock_Log[Part Name],$A21,T_SelfStock_Log[WeekIndex],55)=0,"",SUMIFS(T_SelfStock_Log[Self_Qty],T_SelfStock_Log[Part Name],$A21,T_SelfStock_Log[WeekIndex],55))</f>
        <v/>
      </c>
      <c r="BE21" s="18">
        <f>IF(COUNTIFS(T_SelfStock_Log[Part Name],$A21,T_SelfStock_Log[WeekIndex],56)=0,"",SUMIFS(T_SelfStock_Log[Self_Qty],T_SelfStock_Log[Part Name],$A21,T_SelfStock_Log[WeekIndex],56))</f>
        <v/>
      </c>
      <c r="BF21" s="18">
        <f>IF(COUNTIFS(T_SelfStock_Log[Part Name],$A21,T_SelfStock_Log[WeekIndex],57)=0,"",SUMIFS(T_SelfStock_Log[Self_Qty],T_SelfStock_Log[Part Name],$A21,T_SelfStock_Log[WeekIndex],57))</f>
        <v/>
      </c>
      <c r="BG21" s="18">
        <f>IF(COUNTIFS(T_SelfStock_Log[Part Name],$A21,T_SelfStock_Log[WeekIndex],58)=0,"",SUMIFS(T_SelfStock_Log[Self_Qty],T_SelfStock_Log[Part Name],$A21,T_SelfStock_Log[WeekIndex],58))</f>
        <v/>
      </c>
      <c r="BH21" s="18">
        <f>IF(COUNTIFS(T_SelfStock_Log[Part Name],$A21,T_SelfStock_Log[WeekIndex],59)=0,"",SUMIFS(T_SelfStock_Log[Self_Qty],T_SelfStock_Log[Part Name],$A21,T_SelfStock_Log[WeekIndex],59))</f>
        <v/>
      </c>
      <c r="BI21" s="18">
        <f>IF(COUNTIFS(T_SelfStock_Log[Part Name],$A21,T_SelfStock_Log[WeekIndex],60)=0,"",SUMIFS(T_SelfStock_Log[Self_Qty],T_SelfStock_Log[Part Name],$A21,T_SelfStock_Log[WeekIndex],60))</f>
        <v/>
      </c>
      <c r="BJ21" s="18">
        <f>IF(COUNTIFS(T_SelfStock_Log[Part Name],$A21,T_SelfStock_Log[WeekIndex],61)=0,"",SUMIFS(T_SelfStock_Log[Self_Qty],T_SelfStock_Log[Part Name],$A21,T_SelfStock_Log[WeekIndex],61))</f>
        <v/>
      </c>
      <c r="BK21" s="18">
        <f>IF(COUNTIFS(T_SelfStock_Log[Part Name],$A21,T_SelfStock_Log[WeekIndex],62)=0,"",SUMIFS(T_SelfStock_Log[Self_Qty],T_SelfStock_Log[Part Name],$A21,T_SelfStock_Log[WeekIndex],62))</f>
        <v/>
      </c>
      <c r="BL21" s="18">
        <f>IF(COUNTIFS(T_SelfStock_Log[Part Name],$A21,T_SelfStock_Log[WeekIndex],63)=0,"",SUMIFS(T_SelfStock_Log[Self_Qty],T_SelfStock_Log[Part Name],$A21,T_SelfStock_Log[WeekIndex],63))</f>
        <v/>
      </c>
      <c r="BM21" s="18">
        <f>IF(COUNTIFS(T_SelfStock_Log[Part Name],$A21,T_SelfStock_Log[WeekIndex],64)=0,"",SUMIFS(T_SelfStock_Log[Self_Qty],T_SelfStock_Log[Part Name],$A21,T_SelfStock_Log[WeekIndex],64))</f>
        <v/>
      </c>
      <c r="BN21" s="18">
        <f>IF(COUNTIFS(T_SelfStock_Log[Part Name],$A21,T_SelfStock_Log[WeekIndex],65)=0,"",SUMIFS(T_SelfStock_Log[Self_Qty],T_SelfStock_Log[Part Name],$A21,T_SelfStock_Log[WeekIndex],65))</f>
        <v/>
      </c>
      <c r="BO21" s="18">
        <f>IF(COUNTIFS(T_SelfStock_Log[Part Name],$A21,T_SelfStock_Log[WeekIndex],66)=0,"",SUMIFS(T_SelfStock_Log[Self_Qty],T_SelfStock_Log[Part Name],$A21,T_SelfStock_Log[WeekIndex],66))</f>
        <v/>
      </c>
      <c r="BP21" s="18">
        <f>IF(COUNTIFS(T_SelfStock_Log[Part Name],$A21,T_SelfStock_Log[WeekIndex],67)=0,"",SUMIFS(T_SelfStock_Log[Self_Qty],T_SelfStock_Log[Part Name],$A21,T_SelfStock_Log[WeekIndex],67))</f>
        <v/>
      </c>
      <c r="BQ21" s="18">
        <f>IF(COUNTIFS(T_SelfStock_Log[Part Name],$A21,T_SelfStock_Log[WeekIndex],68)=0,"",SUMIFS(T_SelfStock_Log[Self_Qty],T_SelfStock_Log[Part Name],$A21,T_SelfStock_Log[WeekIndex],68))</f>
        <v/>
      </c>
      <c r="BR21" s="18">
        <f>IF(COUNTIFS(T_SelfStock_Log[Part Name],$A21,T_SelfStock_Log[WeekIndex],69)=0,"",SUMIFS(T_SelfStock_Log[Self_Qty],T_SelfStock_Log[Part Name],$A21,T_SelfStock_Log[WeekIndex],69))</f>
        <v/>
      </c>
      <c r="BS21" s="18">
        <f>IF(COUNTIFS(T_SelfStock_Log[Part Name],$A21,T_SelfStock_Log[WeekIndex],70)=0,"",SUMIFS(T_SelfStock_Log[Self_Qty],T_SelfStock_Log[Part Name],$A21,T_SelfStock_Log[WeekIndex],70))</f>
        <v/>
      </c>
      <c r="BT21" s="18">
        <f>IF(COUNTIFS(T_SelfStock_Log[Part Name],$A21,T_SelfStock_Log[WeekIndex],71)=0,"",SUMIFS(T_SelfStock_Log[Self_Qty],T_SelfStock_Log[Part Name],$A21,T_SelfStock_Log[WeekIndex],71))</f>
        <v/>
      </c>
      <c r="BU21" s="18">
        <f>IF(COUNTIFS(T_SelfStock_Log[Part Name],$A21,T_SelfStock_Log[WeekIndex],72)=0,"",SUMIFS(T_SelfStock_Log[Self_Qty],T_SelfStock_Log[Part Name],$A21,T_SelfStock_Log[WeekIndex],72))</f>
        <v/>
      </c>
      <c r="BV21" s="18">
        <f>IF(COUNTIFS(T_SelfStock_Log[Part Name],$A21,T_SelfStock_Log[WeekIndex],73)=0,"",SUMIFS(T_SelfStock_Log[Self_Qty],T_SelfStock_Log[Part Name],$A21,T_SelfStock_Log[WeekIndex],73))</f>
        <v/>
      </c>
      <c r="BW21" s="18">
        <f>IF(COUNTIFS(T_SelfStock_Log[Part Name],$A21,T_SelfStock_Log[WeekIndex],74)=0,"",SUMIFS(T_SelfStock_Log[Self_Qty],T_SelfStock_Log[Part Name],$A21,T_SelfStock_Log[WeekIndex],74))</f>
        <v/>
      </c>
      <c r="BX21" s="18">
        <f>IF(COUNTIFS(T_SelfStock_Log[Part Name],$A21,T_SelfStock_Log[WeekIndex],75)=0,"",SUMIFS(T_SelfStock_Log[Self_Qty],T_SelfStock_Log[Part Name],$A21,T_SelfStock_Log[WeekIndex],75))</f>
        <v/>
      </c>
      <c r="BY21" s="18">
        <f>IF(COUNTIFS(T_SelfStock_Log[Part Name],$A21,T_SelfStock_Log[WeekIndex],76)=0,"",SUMIFS(T_SelfStock_Log[Self_Qty],T_SelfStock_Log[Part Name],$A21,T_SelfStock_Log[WeekIndex],76))</f>
        <v/>
      </c>
      <c r="BZ21" s="18">
        <f>IF(COUNTIFS(T_SelfStock_Log[Part Name],$A21,T_SelfStock_Log[WeekIndex],77)=0,"",SUMIFS(T_SelfStock_Log[Self_Qty],T_SelfStock_Log[Part Name],$A21,T_SelfStock_Log[WeekIndex],77))</f>
        <v/>
      </c>
      <c r="CA21" s="18">
        <f>IF(COUNTIFS(T_SelfStock_Log[Part Name],$A21,T_SelfStock_Log[WeekIndex],78)=0,"",SUMIFS(T_SelfStock_Log[Self_Qty],T_SelfStock_Log[Part Name],$A21,T_SelfStock_Log[WeekIndex],78))</f>
        <v/>
      </c>
      <c r="CB21" s="18">
        <f>IF(COUNTIFS(T_SelfStock_Log[Part Name],$A21,T_SelfStock_Log[WeekIndex],79)=0,"",SUMIFS(T_SelfStock_Log[Self_Qty],T_SelfStock_Log[Part Name],$A21,T_SelfStock_Log[WeekIndex],79))</f>
        <v/>
      </c>
      <c r="CC21" s="18">
        <f>IF(COUNTIFS(T_SelfStock_Log[Part Name],$A21,T_SelfStock_Log[WeekIndex],80)=0,"",SUMIFS(T_SelfStock_Log[Self_Qty],T_SelfStock_Log[Part Name],$A21,T_SelfStock_Log[WeekIndex],80))</f>
        <v/>
      </c>
      <c r="CD21" s="18">
        <f>IF(COUNTIFS(T_SelfStock_Log[Part Name],$A21,T_SelfStock_Log[WeekIndex],81)=0,"",SUMIFS(T_SelfStock_Log[Self_Qty],T_SelfStock_Log[Part Name],$A21,T_SelfStock_Log[WeekIndex],81))</f>
        <v/>
      </c>
      <c r="CE21" s="18">
        <f>IF(COUNTIFS(T_SelfStock_Log[Part Name],$A21,T_SelfStock_Log[WeekIndex],82)=0,"",SUMIFS(T_SelfStock_Log[Self_Qty],T_SelfStock_Log[Part Name],$A21,T_SelfStock_Log[WeekIndex],82))</f>
        <v/>
      </c>
      <c r="CF21" s="18">
        <f>IF(COUNTIFS(T_SelfStock_Log[Part Name],$A21,T_SelfStock_Log[WeekIndex],83)=0,"",SUMIFS(T_SelfStock_Log[Self_Qty],T_SelfStock_Log[Part Name],$A21,T_SelfStock_Log[WeekIndex],83))</f>
        <v/>
      </c>
      <c r="CG21" s="18">
        <f>IF(COUNTIFS(T_SelfStock_Log[Part Name],$A21,T_SelfStock_Log[WeekIndex],84)=0,"",SUMIFS(T_SelfStock_Log[Self_Qty],T_SelfStock_Log[Part Name],$A21,T_SelfStock_Log[WeekIndex],84))</f>
        <v/>
      </c>
      <c r="CH21" s="18">
        <f>IF(COUNTIFS(T_SelfStock_Log[Part Name],$A21,T_SelfStock_Log[WeekIndex],85)=0,"",SUMIFS(T_SelfStock_Log[Self_Qty],T_SelfStock_Log[Part Name],$A21,T_SelfStock_Log[WeekIndex],85))</f>
        <v/>
      </c>
      <c r="CI21" s="18">
        <f>IF(COUNTIFS(T_SelfStock_Log[Part Name],$A21,T_SelfStock_Log[WeekIndex],86)=0,"",SUMIFS(T_SelfStock_Log[Self_Qty],T_SelfStock_Log[Part Name],$A21,T_SelfStock_Log[WeekIndex],86))</f>
        <v/>
      </c>
      <c r="CJ21" s="18">
        <f>IF(COUNTIFS(T_SelfStock_Log[Part Name],$A21,T_SelfStock_Log[WeekIndex],87)=0,"",SUMIFS(T_SelfStock_Log[Self_Qty],T_SelfStock_Log[Part Name],$A21,T_SelfStock_Log[WeekIndex],87))</f>
        <v/>
      </c>
      <c r="CK21" s="18">
        <f>IF(COUNTIFS(T_SelfStock_Log[Part Name],$A21,T_SelfStock_Log[WeekIndex],88)=0,"",SUMIFS(T_SelfStock_Log[Self_Qty],T_SelfStock_Log[Part Name],$A21,T_SelfStock_Log[WeekIndex],88))</f>
        <v/>
      </c>
      <c r="CL21" s="18">
        <f>IF(COUNTIFS(T_SelfStock_Log[Part Name],$A21,T_SelfStock_Log[WeekIndex],89)=0,"",SUMIFS(T_SelfStock_Log[Self_Qty],T_SelfStock_Log[Part Name],$A21,T_SelfStock_Log[WeekIndex],89))</f>
        <v/>
      </c>
      <c r="CM21" s="18">
        <f>IF(COUNTIFS(T_SelfStock_Log[Part Name],$A21,T_SelfStock_Log[WeekIndex],90)=0,"",SUMIFS(T_SelfStock_Log[Self_Qty],T_SelfStock_Log[Part Name],$A21,T_SelfStock_Log[WeekIndex],90))</f>
        <v/>
      </c>
      <c r="CN21" s="18">
        <f>IF(COUNTIFS(T_SelfStock_Log[Part Name],$A21,T_SelfStock_Log[WeekIndex],91)=0,"",SUMIFS(T_SelfStock_Log[Self_Qty],T_SelfStock_Log[Part Name],$A21,T_SelfStock_Log[WeekIndex],91))</f>
        <v/>
      </c>
      <c r="CO21" s="18">
        <f>IF(COUNTIFS(T_SelfStock_Log[Part Name],$A21,T_SelfStock_Log[WeekIndex],92)=0,"",SUMIFS(T_SelfStock_Log[Self_Qty],T_SelfStock_Log[Part Name],$A21,T_SelfStock_Log[WeekIndex],92))</f>
        <v/>
      </c>
      <c r="CP21" s="18">
        <f>IF(COUNTIFS(T_SelfStock_Log[Part Name],$A21,T_SelfStock_Log[WeekIndex],93)=0,"",SUMIFS(T_SelfStock_Log[Self_Qty],T_SelfStock_Log[Part Name],$A21,T_SelfStock_Log[WeekIndex],93))</f>
        <v/>
      </c>
      <c r="CQ21" s="18">
        <f>IF(COUNTIFS(T_SelfStock_Log[Part Name],$A21,T_SelfStock_Log[WeekIndex],94)=0,"",SUMIFS(T_SelfStock_Log[Self_Qty],T_SelfStock_Log[Part Name],$A21,T_SelfStock_Log[WeekIndex],94))</f>
        <v/>
      </c>
      <c r="CR21" s="18">
        <f>IF(COUNTIFS(T_SelfStock_Log[Part Name],$A21,T_SelfStock_Log[WeekIndex],95)=0,"",SUMIFS(T_SelfStock_Log[Self_Qty],T_SelfStock_Log[Part Name],$A21,T_SelfStock_Log[WeekIndex],95))</f>
        <v/>
      </c>
      <c r="CS21" s="18">
        <f>IF(COUNTIFS(T_SelfStock_Log[Part Name],$A21,T_SelfStock_Log[WeekIndex],96)=0,"",SUMIFS(T_SelfStock_Log[Self_Qty],T_SelfStock_Log[Part Name],$A21,T_SelfStock_Log[WeekIndex],96))</f>
        <v/>
      </c>
      <c r="CT21" s="18">
        <f>IF(COUNTIFS(T_SelfStock_Log[Part Name],$A21,T_SelfStock_Log[WeekIndex],97)=0,"",SUMIFS(T_SelfStock_Log[Self_Qty],T_SelfStock_Log[Part Name],$A21,T_SelfStock_Log[WeekIndex],97))</f>
        <v/>
      </c>
      <c r="CU21" s="18">
        <f>IF(COUNTIFS(T_SelfStock_Log[Part Name],$A21,T_SelfStock_Log[WeekIndex],98)=0,"",SUMIFS(T_SelfStock_Log[Self_Qty],T_SelfStock_Log[Part Name],$A21,T_SelfStock_Log[WeekIndex],98))</f>
        <v/>
      </c>
      <c r="CV21" s="18">
        <f>IF(COUNTIFS(T_SelfStock_Log[Part Name],$A21,T_SelfStock_Log[WeekIndex],99)=0,"",SUMIFS(T_SelfStock_Log[Self_Qty],T_SelfStock_Log[Part Name],$A21,T_SelfStock_Log[WeekIndex],99))</f>
        <v/>
      </c>
      <c r="CW21" s="18">
        <f>IF(COUNTIFS(T_SelfStock_Log[Part Name],$A21,T_SelfStock_Log[WeekIndex],100)=0,"",SUMIFS(T_SelfStock_Log[Self_Qty],T_SelfStock_Log[Part Name],$A21,T_SelfStock_Log[WeekIndex],100))</f>
        <v/>
      </c>
      <c r="CX21" s="18">
        <f>IF(COUNTIFS(T_SelfStock_Log[Part Name],$A21,T_SelfStock_Log[WeekIndex],101)=0,"",SUMIFS(T_SelfStock_Log[Self_Qty],T_SelfStock_Log[Part Name],$A21,T_SelfStock_Log[WeekIndex],101))</f>
        <v/>
      </c>
      <c r="CY21" s="18">
        <f>IF(COUNTIFS(T_SelfStock_Log[Part Name],$A21,T_SelfStock_Log[WeekIndex],102)=0,"",SUMIFS(T_SelfStock_Log[Self_Qty],T_SelfStock_Log[Part Name],$A21,T_SelfStock_Log[WeekIndex],102))</f>
        <v/>
      </c>
      <c r="CZ21" s="18">
        <f>IF(COUNTIFS(T_SelfStock_Log[Part Name],$A21,T_SelfStock_Log[WeekIndex],103)=0,"",SUMIFS(T_SelfStock_Log[Self_Qty],T_SelfStock_Log[Part Name],$A21,T_SelfStock_Log[WeekIndex],103))</f>
        <v/>
      </c>
      <c r="DA21" s="18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CHEM-1660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8" t="inlineStr">
        <is>
          <t>CHEM-1600</t>
        </is>
      </c>
      <c r="B23" s="18">
        <f>IF(COUNTIFS(T_SelfStock_Log[Part Name],$A23,T_SelfStock_Log[WeekIndex],1)=0,"",SUMIFS(T_SelfStock_Log[Self_Qty],T_SelfStock_Log[Part Name],$A23,T_SelfStock_Log[WeekIndex],1))</f>
        <v/>
      </c>
      <c r="C23" s="18">
        <f>IF(COUNTIFS(T_SelfStock_Log[Part Name],$A23,T_SelfStock_Log[WeekIndex],2)=0,"",SUMIFS(T_SelfStock_Log[Self_Qty],T_SelfStock_Log[Part Name],$A23,T_SelfStock_Log[WeekIndex],2))</f>
        <v/>
      </c>
      <c r="D23" s="18">
        <f>IF(COUNTIFS(T_SelfStock_Log[Part Name],$A23,T_SelfStock_Log[WeekIndex],3)=0,"",SUMIFS(T_SelfStock_Log[Self_Qty],T_SelfStock_Log[Part Name],$A23,T_SelfStock_Log[WeekIndex],3))</f>
        <v/>
      </c>
      <c r="E23" s="18">
        <f>IF(COUNTIFS(T_SelfStock_Log[Part Name],$A23,T_SelfStock_Log[WeekIndex],4)=0,"",SUMIFS(T_SelfStock_Log[Self_Qty],T_SelfStock_Log[Part Name],$A23,T_SelfStock_Log[WeekIndex],4))</f>
        <v/>
      </c>
      <c r="F23" s="18">
        <f>IF(COUNTIFS(T_SelfStock_Log[Part Name],$A23,T_SelfStock_Log[WeekIndex],5)=0,"",SUMIFS(T_SelfStock_Log[Self_Qty],T_SelfStock_Log[Part Name],$A23,T_SelfStock_Log[WeekIndex],5))</f>
        <v/>
      </c>
      <c r="G23" s="18">
        <f>IF(COUNTIFS(T_SelfStock_Log[Part Name],$A23,T_SelfStock_Log[WeekIndex],6)=0,"",SUMIFS(T_SelfStock_Log[Self_Qty],T_SelfStock_Log[Part Name],$A23,T_SelfStock_Log[WeekIndex],6))</f>
        <v/>
      </c>
      <c r="H23" s="18">
        <f>IF(COUNTIFS(T_SelfStock_Log[Part Name],$A23,T_SelfStock_Log[WeekIndex],7)=0,"",SUMIFS(T_SelfStock_Log[Self_Qty],T_SelfStock_Log[Part Name],$A23,T_SelfStock_Log[WeekIndex],7))</f>
        <v/>
      </c>
      <c r="I23" s="18">
        <f>IF(COUNTIFS(T_SelfStock_Log[Part Name],$A23,T_SelfStock_Log[WeekIndex],8)=0,"",SUMIFS(T_SelfStock_Log[Self_Qty],T_SelfStock_Log[Part Name],$A23,T_SelfStock_Log[WeekIndex],8))</f>
        <v/>
      </c>
      <c r="J23" s="18">
        <f>IF(COUNTIFS(T_SelfStock_Log[Part Name],$A23,T_SelfStock_Log[WeekIndex],9)=0,"",SUMIFS(T_SelfStock_Log[Self_Qty],T_SelfStock_Log[Part Name],$A23,T_SelfStock_Log[WeekIndex],9))</f>
        <v/>
      </c>
      <c r="K23" s="18">
        <f>IF(COUNTIFS(T_SelfStock_Log[Part Name],$A23,T_SelfStock_Log[WeekIndex],10)=0,"",SUMIFS(T_SelfStock_Log[Self_Qty],T_SelfStock_Log[Part Name],$A23,T_SelfStock_Log[WeekIndex],10))</f>
        <v/>
      </c>
      <c r="L23" s="18">
        <f>IF(COUNTIFS(T_SelfStock_Log[Part Name],$A23,T_SelfStock_Log[WeekIndex],11)=0,"",SUMIFS(T_SelfStock_Log[Self_Qty],T_SelfStock_Log[Part Name],$A23,T_SelfStock_Log[WeekIndex],11))</f>
        <v/>
      </c>
      <c r="M23" s="18">
        <f>IF(COUNTIFS(T_SelfStock_Log[Part Name],$A23,T_SelfStock_Log[WeekIndex],12)=0,"",SUMIFS(T_SelfStock_Log[Self_Qty],T_SelfStock_Log[Part Name],$A23,T_SelfStock_Log[WeekIndex],12))</f>
        <v/>
      </c>
      <c r="N23" s="18">
        <f>IF(COUNTIFS(T_SelfStock_Log[Part Name],$A23,T_SelfStock_Log[WeekIndex],13)=0,"",SUMIFS(T_SelfStock_Log[Self_Qty],T_SelfStock_Log[Part Name],$A23,T_SelfStock_Log[WeekIndex],13))</f>
        <v/>
      </c>
      <c r="O23" s="18">
        <f>IF(COUNTIFS(T_SelfStock_Log[Part Name],$A23,T_SelfStock_Log[WeekIndex],14)=0,"",SUMIFS(T_SelfStock_Log[Self_Qty],T_SelfStock_Log[Part Name],$A23,T_SelfStock_Log[WeekIndex],14))</f>
        <v/>
      </c>
      <c r="P23" s="18">
        <f>IF(COUNTIFS(T_SelfStock_Log[Part Name],$A23,T_SelfStock_Log[WeekIndex],15)=0,"",SUMIFS(T_SelfStock_Log[Self_Qty],T_SelfStock_Log[Part Name],$A23,T_SelfStock_Log[WeekIndex],15))</f>
        <v/>
      </c>
      <c r="Q23" s="18">
        <f>IF(COUNTIFS(T_SelfStock_Log[Part Name],$A23,T_SelfStock_Log[WeekIndex],16)=0,"",SUMIFS(T_SelfStock_Log[Self_Qty],T_SelfStock_Log[Part Name],$A23,T_SelfStock_Log[WeekIndex],16))</f>
        <v/>
      </c>
      <c r="R23" s="18">
        <f>IF(COUNTIFS(T_SelfStock_Log[Part Name],$A23,T_SelfStock_Log[WeekIndex],17)=0,"",SUMIFS(T_SelfStock_Log[Self_Qty],T_SelfStock_Log[Part Name],$A23,T_SelfStock_Log[WeekIndex],17))</f>
        <v/>
      </c>
      <c r="S23" s="18">
        <f>IF(COUNTIFS(T_SelfStock_Log[Part Name],$A23,T_SelfStock_Log[WeekIndex],18)=0,"",SUMIFS(T_SelfStock_Log[Self_Qty],T_SelfStock_Log[Part Name],$A23,T_SelfStock_Log[WeekIndex],18))</f>
        <v/>
      </c>
      <c r="T23" s="18">
        <f>IF(COUNTIFS(T_SelfStock_Log[Part Name],$A23,T_SelfStock_Log[WeekIndex],19)=0,"",SUMIFS(T_SelfStock_Log[Self_Qty],T_SelfStock_Log[Part Name],$A23,T_SelfStock_Log[WeekIndex],19))</f>
        <v/>
      </c>
      <c r="U23" s="18">
        <f>IF(COUNTIFS(T_SelfStock_Log[Part Name],$A23,T_SelfStock_Log[WeekIndex],20)=0,"",SUMIFS(T_SelfStock_Log[Self_Qty],T_SelfStock_Log[Part Name],$A23,T_SelfStock_Log[WeekIndex],20))</f>
        <v/>
      </c>
      <c r="V23" s="18">
        <f>IF(COUNTIFS(T_SelfStock_Log[Part Name],$A23,T_SelfStock_Log[WeekIndex],21)=0,"",SUMIFS(T_SelfStock_Log[Self_Qty],T_SelfStock_Log[Part Name],$A23,T_SelfStock_Log[WeekIndex],21))</f>
        <v/>
      </c>
      <c r="W23" s="18">
        <f>IF(COUNTIFS(T_SelfStock_Log[Part Name],$A23,T_SelfStock_Log[WeekIndex],22)=0,"",SUMIFS(T_SelfStock_Log[Self_Qty],T_SelfStock_Log[Part Name],$A23,T_SelfStock_Log[WeekIndex],22))</f>
        <v/>
      </c>
      <c r="X23" s="18">
        <f>IF(COUNTIFS(T_SelfStock_Log[Part Name],$A23,T_SelfStock_Log[WeekIndex],23)=0,"",SUMIFS(T_SelfStock_Log[Self_Qty],T_SelfStock_Log[Part Name],$A23,T_SelfStock_Log[WeekIndex],23))</f>
        <v/>
      </c>
      <c r="Y23" s="18">
        <f>IF(COUNTIFS(T_SelfStock_Log[Part Name],$A23,T_SelfStock_Log[WeekIndex],24)=0,"",SUMIFS(T_SelfStock_Log[Self_Qty],T_SelfStock_Log[Part Name],$A23,T_SelfStock_Log[WeekIndex],24))</f>
        <v/>
      </c>
      <c r="Z23" s="18">
        <f>IF(COUNTIFS(T_SelfStock_Log[Part Name],$A23,T_SelfStock_Log[WeekIndex],25)=0,"",SUMIFS(T_SelfStock_Log[Self_Qty],T_SelfStock_Log[Part Name],$A23,T_SelfStock_Log[WeekIndex],25))</f>
        <v/>
      </c>
      <c r="AA23" s="18">
        <f>IF(COUNTIFS(T_SelfStock_Log[Part Name],$A23,T_SelfStock_Log[WeekIndex],26)=0,"",SUMIFS(T_SelfStock_Log[Self_Qty],T_SelfStock_Log[Part Name],$A23,T_SelfStock_Log[WeekIndex],26))</f>
        <v/>
      </c>
      <c r="AB23" s="18">
        <f>IF(COUNTIFS(T_SelfStock_Log[Part Name],$A23,T_SelfStock_Log[WeekIndex],27)=0,"",SUMIFS(T_SelfStock_Log[Self_Qty],T_SelfStock_Log[Part Name],$A23,T_SelfStock_Log[WeekIndex],27))</f>
        <v/>
      </c>
      <c r="AC23" s="18">
        <f>IF(COUNTIFS(T_SelfStock_Log[Part Name],$A23,T_SelfStock_Log[WeekIndex],28)=0,"",SUMIFS(T_SelfStock_Log[Self_Qty],T_SelfStock_Log[Part Name],$A23,T_SelfStock_Log[WeekIndex],28))</f>
        <v/>
      </c>
      <c r="AD23" s="18">
        <f>IF(COUNTIFS(T_SelfStock_Log[Part Name],$A23,T_SelfStock_Log[WeekIndex],29)=0,"",SUMIFS(T_SelfStock_Log[Self_Qty],T_SelfStock_Log[Part Name],$A23,T_SelfStock_Log[WeekIndex],29))</f>
        <v/>
      </c>
      <c r="AE23" s="18">
        <f>IF(COUNTIFS(T_SelfStock_Log[Part Name],$A23,T_SelfStock_Log[WeekIndex],30)=0,"",SUMIFS(T_SelfStock_Log[Self_Qty],T_SelfStock_Log[Part Name],$A23,T_SelfStock_Log[WeekIndex],30))</f>
        <v/>
      </c>
      <c r="AF23" s="18">
        <f>IF(COUNTIFS(T_SelfStock_Log[Part Name],$A23,T_SelfStock_Log[WeekIndex],31)=0,"",SUMIFS(T_SelfStock_Log[Self_Qty],T_SelfStock_Log[Part Name],$A23,T_SelfStock_Log[WeekIndex],31))</f>
        <v/>
      </c>
      <c r="AG23" s="18">
        <f>IF(COUNTIFS(T_SelfStock_Log[Part Name],$A23,T_SelfStock_Log[WeekIndex],32)=0,"",SUMIFS(T_SelfStock_Log[Self_Qty],T_SelfStock_Log[Part Name],$A23,T_SelfStock_Log[WeekIndex],32))</f>
        <v/>
      </c>
      <c r="AH23" s="18">
        <f>IF(COUNTIFS(T_SelfStock_Log[Part Name],$A23,T_SelfStock_Log[WeekIndex],33)=0,"",SUMIFS(T_SelfStock_Log[Self_Qty],T_SelfStock_Log[Part Name],$A23,T_SelfStock_Log[WeekIndex],33))</f>
        <v/>
      </c>
      <c r="AI23" s="18">
        <f>IF(COUNTIFS(T_SelfStock_Log[Part Name],$A23,T_SelfStock_Log[WeekIndex],34)=0,"",SUMIFS(T_SelfStock_Log[Self_Qty],T_SelfStock_Log[Part Name],$A23,T_SelfStock_Log[WeekIndex],34))</f>
        <v/>
      </c>
      <c r="AJ23" s="18">
        <f>IF(COUNTIFS(T_SelfStock_Log[Part Name],$A23,T_SelfStock_Log[WeekIndex],35)=0,"",SUMIFS(T_SelfStock_Log[Self_Qty],T_SelfStock_Log[Part Name],$A23,T_SelfStock_Log[WeekIndex],35))</f>
        <v/>
      </c>
      <c r="AK23" s="18">
        <f>IF(COUNTIFS(T_SelfStock_Log[Part Name],$A23,T_SelfStock_Log[WeekIndex],36)=0,"",SUMIFS(T_SelfStock_Log[Self_Qty],T_SelfStock_Log[Part Name],$A23,T_SelfStock_Log[WeekIndex],36))</f>
        <v/>
      </c>
      <c r="AL23" s="18">
        <f>IF(COUNTIFS(T_SelfStock_Log[Part Name],$A23,T_SelfStock_Log[WeekIndex],37)=0,"",SUMIFS(T_SelfStock_Log[Self_Qty],T_SelfStock_Log[Part Name],$A23,T_SelfStock_Log[WeekIndex],37))</f>
        <v/>
      </c>
      <c r="AM23" s="18">
        <f>IF(COUNTIFS(T_SelfStock_Log[Part Name],$A23,T_SelfStock_Log[WeekIndex],38)=0,"",SUMIFS(T_SelfStock_Log[Self_Qty],T_SelfStock_Log[Part Name],$A23,T_SelfStock_Log[WeekIndex],38))</f>
        <v/>
      </c>
      <c r="AN23" s="18">
        <f>IF(COUNTIFS(T_SelfStock_Log[Part Name],$A23,T_SelfStock_Log[WeekIndex],39)=0,"",SUMIFS(T_SelfStock_Log[Self_Qty],T_SelfStock_Log[Part Name],$A23,T_SelfStock_Log[WeekIndex],39))</f>
        <v/>
      </c>
      <c r="AO23" s="18">
        <f>IF(COUNTIFS(T_SelfStock_Log[Part Name],$A23,T_SelfStock_Log[WeekIndex],40)=0,"",SUMIFS(T_SelfStock_Log[Self_Qty],T_SelfStock_Log[Part Name],$A23,T_SelfStock_Log[WeekIndex],40))</f>
        <v/>
      </c>
      <c r="AP23" s="18">
        <f>IF(COUNTIFS(T_SelfStock_Log[Part Name],$A23,T_SelfStock_Log[WeekIndex],41)=0,"",SUMIFS(T_SelfStock_Log[Self_Qty],T_SelfStock_Log[Part Name],$A23,T_SelfStock_Log[WeekIndex],41))</f>
        <v/>
      </c>
      <c r="AQ23" s="18">
        <f>IF(COUNTIFS(T_SelfStock_Log[Part Name],$A23,T_SelfStock_Log[WeekIndex],42)=0,"",SUMIFS(T_SelfStock_Log[Self_Qty],T_SelfStock_Log[Part Name],$A23,T_SelfStock_Log[WeekIndex],42))</f>
        <v/>
      </c>
      <c r="AR23" s="18">
        <f>IF(COUNTIFS(T_SelfStock_Log[Part Name],$A23,T_SelfStock_Log[WeekIndex],43)=0,"",SUMIFS(T_SelfStock_Log[Self_Qty],T_SelfStock_Log[Part Name],$A23,T_SelfStock_Log[WeekIndex],43))</f>
        <v/>
      </c>
      <c r="AS23" s="18">
        <f>IF(COUNTIFS(T_SelfStock_Log[Part Name],$A23,T_SelfStock_Log[WeekIndex],44)=0,"",SUMIFS(T_SelfStock_Log[Self_Qty],T_SelfStock_Log[Part Name],$A23,T_SelfStock_Log[WeekIndex],44))</f>
        <v/>
      </c>
      <c r="AT23" s="18">
        <f>IF(COUNTIFS(T_SelfStock_Log[Part Name],$A23,T_SelfStock_Log[WeekIndex],45)=0,"",SUMIFS(T_SelfStock_Log[Self_Qty],T_SelfStock_Log[Part Name],$A23,T_SelfStock_Log[WeekIndex],45))</f>
        <v/>
      </c>
      <c r="AU23" s="18">
        <f>IF(COUNTIFS(T_SelfStock_Log[Part Name],$A23,T_SelfStock_Log[WeekIndex],46)=0,"",SUMIFS(T_SelfStock_Log[Self_Qty],T_SelfStock_Log[Part Name],$A23,T_SelfStock_Log[WeekIndex],46))</f>
        <v/>
      </c>
      <c r="AV23" s="18">
        <f>IF(COUNTIFS(T_SelfStock_Log[Part Name],$A23,T_SelfStock_Log[WeekIndex],47)=0,"",SUMIFS(T_SelfStock_Log[Self_Qty],T_SelfStock_Log[Part Name],$A23,T_SelfStock_Log[WeekIndex],47))</f>
        <v/>
      </c>
      <c r="AW23" s="18">
        <f>IF(COUNTIFS(T_SelfStock_Log[Part Name],$A23,T_SelfStock_Log[WeekIndex],48)=0,"",SUMIFS(T_SelfStock_Log[Self_Qty],T_SelfStock_Log[Part Name],$A23,T_SelfStock_Log[WeekIndex],48))</f>
        <v/>
      </c>
      <c r="AX23" s="18">
        <f>IF(COUNTIFS(T_SelfStock_Log[Part Name],$A23,T_SelfStock_Log[WeekIndex],49)=0,"",SUMIFS(T_SelfStock_Log[Self_Qty],T_SelfStock_Log[Part Name],$A23,T_SelfStock_Log[WeekIndex],49))</f>
        <v/>
      </c>
      <c r="AY23" s="18">
        <f>IF(COUNTIFS(T_SelfStock_Log[Part Name],$A23,T_SelfStock_Log[WeekIndex],50)=0,"",SUMIFS(T_SelfStock_Log[Self_Qty],T_SelfStock_Log[Part Name],$A23,T_SelfStock_Log[WeekIndex],50))</f>
        <v/>
      </c>
      <c r="AZ23" s="18">
        <f>IF(COUNTIFS(T_SelfStock_Log[Part Name],$A23,T_SelfStock_Log[WeekIndex],51)=0,"",SUMIFS(T_SelfStock_Log[Self_Qty],T_SelfStock_Log[Part Name],$A23,T_SelfStock_Log[WeekIndex],51))</f>
        <v/>
      </c>
      <c r="BA23" s="18">
        <f>IF(COUNTIFS(T_SelfStock_Log[Part Name],$A23,T_SelfStock_Log[WeekIndex],52)=0,"",SUMIFS(T_SelfStock_Log[Self_Qty],T_SelfStock_Log[Part Name],$A23,T_SelfStock_Log[WeekIndex],52))</f>
        <v/>
      </c>
      <c r="BB23" s="18">
        <f>IF(COUNTIFS(T_SelfStock_Log[Part Name],$A23,T_SelfStock_Log[WeekIndex],53)=0,"",SUMIFS(T_SelfStock_Log[Self_Qty],T_SelfStock_Log[Part Name],$A23,T_SelfStock_Log[WeekIndex],53))</f>
        <v/>
      </c>
      <c r="BC23" s="18">
        <f>IF(COUNTIFS(T_SelfStock_Log[Part Name],$A23,T_SelfStock_Log[WeekIndex],54)=0,"",SUMIFS(T_SelfStock_Log[Self_Qty],T_SelfStock_Log[Part Name],$A23,T_SelfStock_Log[WeekIndex],54))</f>
        <v/>
      </c>
      <c r="BD23" s="18">
        <f>IF(COUNTIFS(T_SelfStock_Log[Part Name],$A23,T_SelfStock_Log[WeekIndex],55)=0,"",SUMIFS(T_SelfStock_Log[Self_Qty],T_SelfStock_Log[Part Name],$A23,T_SelfStock_Log[WeekIndex],55))</f>
        <v/>
      </c>
      <c r="BE23" s="18">
        <f>IF(COUNTIFS(T_SelfStock_Log[Part Name],$A23,T_SelfStock_Log[WeekIndex],56)=0,"",SUMIFS(T_SelfStock_Log[Self_Qty],T_SelfStock_Log[Part Name],$A23,T_SelfStock_Log[WeekIndex],56))</f>
        <v/>
      </c>
      <c r="BF23" s="18">
        <f>IF(COUNTIFS(T_SelfStock_Log[Part Name],$A23,T_SelfStock_Log[WeekIndex],57)=0,"",SUMIFS(T_SelfStock_Log[Self_Qty],T_SelfStock_Log[Part Name],$A23,T_SelfStock_Log[WeekIndex],57))</f>
        <v/>
      </c>
      <c r="BG23" s="18">
        <f>IF(COUNTIFS(T_SelfStock_Log[Part Name],$A23,T_SelfStock_Log[WeekIndex],58)=0,"",SUMIFS(T_SelfStock_Log[Self_Qty],T_SelfStock_Log[Part Name],$A23,T_SelfStock_Log[WeekIndex],58))</f>
        <v/>
      </c>
      <c r="BH23" s="18">
        <f>IF(COUNTIFS(T_SelfStock_Log[Part Name],$A23,T_SelfStock_Log[WeekIndex],59)=0,"",SUMIFS(T_SelfStock_Log[Self_Qty],T_SelfStock_Log[Part Name],$A23,T_SelfStock_Log[WeekIndex],59))</f>
        <v/>
      </c>
      <c r="BI23" s="18">
        <f>IF(COUNTIFS(T_SelfStock_Log[Part Name],$A23,T_SelfStock_Log[WeekIndex],60)=0,"",SUMIFS(T_SelfStock_Log[Self_Qty],T_SelfStock_Log[Part Name],$A23,T_SelfStock_Log[WeekIndex],60))</f>
        <v/>
      </c>
      <c r="BJ23" s="18">
        <f>IF(COUNTIFS(T_SelfStock_Log[Part Name],$A23,T_SelfStock_Log[WeekIndex],61)=0,"",SUMIFS(T_SelfStock_Log[Self_Qty],T_SelfStock_Log[Part Name],$A23,T_SelfStock_Log[WeekIndex],61))</f>
        <v/>
      </c>
      <c r="BK23" s="18">
        <f>IF(COUNTIFS(T_SelfStock_Log[Part Name],$A23,T_SelfStock_Log[WeekIndex],62)=0,"",SUMIFS(T_SelfStock_Log[Self_Qty],T_SelfStock_Log[Part Name],$A23,T_SelfStock_Log[WeekIndex],62))</f>
        <v/>
      </c>
      <c r="BL23" s="18">
        <f>IF(COUNTIFS(T_SelfStock_Log[Part Name],$A23,T_SelfStock_Log[WeekIndex],63)=0,"",SUMIFS(T_SelfStock_Log[Self_Qty],T_SelfStock_Log[Part Name],$A23,T_SelfStock_Log[WeekIndex],63))</f>
        <v/>
      </c>
      <c r="BM23" s="18">
        <f>IF(COUNTIFS(T_SelfStock_Log[Part Name],$A23,T_SelfStock_Log[WeekIndex],64)=0,"",SUMIFS(T_SelfStock_Log[Self_Qty],T_SelfStock_Log[Part Name],$A23,T_SelfStock_Log[WeekIndex],64))</f>
        <v/>
      </c>
      <c r="BN23" s="18">
        <f>IF(COUNTIFS(T_SelfStock_Log[Part Name],$A23,T_SelfStock_Log[WeekIndex],65)=0,"",SUMIFS(T_SelfStock_Log[Self_Qty],T_SelfStock_Log[Part Name],$A23,T_SelfStock_Log[WeekIndex],65))</f>
        <v/>
      </c>
      <c r="BO23" s="18">
        <f>IF(COUNTIFS(T_SelfStock_Log[Part Name],$A23,T_SelfStock_Log[WeekIndex],66)=0,"",SUMIFS(T_SelfStock_Log[Self_Qty],T_SelfStock_Log[Part Name],$A23,T_SelfStock_Log[WeekIndex],66))</f>
        <v/>
      </c>
      <c r="BP23" s="18">
        <f>IF(COUNTIFS(T_SelfStock_Log[Part Name],$A23,T_SelfStock_Log[WeekIndex],67)=0,"",SUMIFS(T_SelfStock_Log[Self_Qty],T_SelfStock_Log[Part Name],$A23,T_SelfStock_Log[WeekIndex],67))</f>
        <v/>
      </c>
      <c r="BQ23" s="18">
        <f>IF(COUNTIFS(T_SelfStock_Log[Part Name],$A23,T_SelfStock_Log[WeekIndex],68)=0,"",SUMIFS(T_SelfStock_Log[Self_Qty],T_SelfStock_Log[Part Name],$A23,T_SelfStock_Log[WeekIndex],68))</f>
        <v/>
      </c>
      <c r="BR23" s="18">
        <f>IF(COUNTIFS(T_SelfStock_Log[Part Name],$A23,T_SelfStock_Log[WeekIndex],69)=0,"",SUMIFS(T_SelfStock_Log[Self_Qty],T_SelfStock_Log[Part Name],$A23,T_SelfStock_Log[WeekIndex],69))</f>
        <v/>
      </c>
      <c r="BS23" s="18">
        <f>IF(COUNTIFS(T_SelfStock_Log[Part Name],$A23,T_SelfStock_Log[WeekIndex],70)=0,"",SUMIFS(T_SelfStock_Log[Self_Qty],T_SelfStock_Log[Part Name],$A23,T_SelfStock_Log[WeekIndex],70))</f>
        <v/>
      </c>
      <c r="BT23" s="18">
        <f>IF(COUNTIFS(T_SelfStock_Log[Part Name],$A23,T_SelfStock_Log[WeekIndex],71)=0,"",SUMIFS(T_SelfStock_Log[Self_Qty],T_SelfStock_Log[Part Name],$A23,T_SelfStock_Log[WeekIndex],71))</f>
        <v/>
      </c>
      <c r="BU23" s="18">
        <f>IF(COUNTIFS(T_SelfStock_Log[Part Name],$A23,T_SelfStock_Log[WeekIndex],72)=0,"",SUMIFS(T_SelfStock_Log[Self_Qty],T_SelfStock_Log[Part Name],$A23,T_SelfStock_Log[WeekIndex],72))</f>
        <v/>
      </c>
      <c r="BV23" s="18">
        <f>IF(COUNTIFS(T_SelfStock_Log[Part Name],$A23,T_SelfStock_Log[WeekIndex],73)=0,"",SUMIFS(T_SelfStock_Log[Self_Qty],T_SelfStock_Log[Part Name],$A23,T_SelfStock_Log[WeekIndex],73))</f>
        <v/>
      </c>
      <c r="BW23" s="18">
        <f>IF(COUNTIFS(T_SelfStock_Log[Part Name],$A23,T_SelfStock_Log[WeekIndex],74)=0,"",SUMIFS(T_SelfStock_Log[Self_Qty],T_SelfStock_Log[Part Name],$A23,T_SelfStock_Log[WeekIndex],74))</f>
        <v/>
      </c>
      <c r="BX23" s="18">
        <f>IF(COUNTIFS(T_SelfStock_Log[Part Name],$A23,T_SelfStock_Log[WeekIndex],75)=0,"",SUMIFS(T_SelfStock_Log[Self_Qty],T_SelfStock_Log[Part Name],$A23,T_SelfStock_Log[WeekIndex],75))</f>
        <v/>
      </c>
      <c r="BY23" s="18">
        <f>IF(COUNTIFS(T_SelfStock_Log[Part Name],$A23,T_SelfStock_Log[WeekIndex],76)=0,"",SUMIFS(T_SelfStock_Log[Self_Qty],T_SelfStock_Log[Part Name],$A23,T_SelfStock_Log[WeekIndex],76))</f>
        <v/>
      </c>
      <c r="BZ23" s="18">
        <f>IF(COUNTIFS(T_SelfStock_Log[Part Name],$A23,T_SelfStock_Log[WeekIndex],77)=0,"",SUMIFS(T_SelfStock_Log[Self_Qty],T_SelfStock_Log[Part Name],$A23,T_SelfStock_Log[WeekIndex],77))</f>
        <v/>
      </c>
      <c r="CA23" s="18">
        <f>IF(COUNTIFS(T_SelfStock_Log[Part Name],$A23,T_SelfStock_Log[WeekIndex],78)=0,"",SUMIFS(T_SelfStock_Log[Self_Qty],T_SelfStock_Log[Part Name],$A23,T_SelfStock_Log[WeekIndex],78))</f>
        <v/>
      </c>
      <c r="CB23" s="18">
        <f>IF(COUNTIFS(T_SelfStock_Log[Part Name],$A23,T_SelfStock_Log[WeekIndex],79)=0,"",SUMIFS(T_SelfStock_Log[Self_Qty],T_SelfStock_Log[Part Name],$A23,T_SelfStock_Log[WeekIndex],79))</f>
        <v/>
      </c>
      <c r="CC23" s="18">
        <f>IF(COUNTIFS(T_SelfStock_Log[Part Name],$A23,T_SelfStock_Log[WeekIndex],80)=0,"",SUMIFS(T_SelfStock_Log[Self_Qty],T_SelfStock_Log[Part Name],$A23,T_SelfStock_Log[WeekIndex],80))</f>
        <v/>
      </c>
      <c r="CD23" s="18">
        <f>IF(COUNTIFS(T_SelfStock_Log[Part Name],$A23,T_SelfStock_Log[WeekIndex],81)=0,"",SUMIFS(T_SelfStock_Log[Self_Qty],T_SelfStock_Log[Part Name],$A23,T_SelfStock_Log[WeekIndex],81))</f>
        <v/>
      </c>
      <c r="CE23" s="18">
        <f>IF(COUNTIFS(T_SelfStock_Log[Part Name],$A23,T_SelfStock_Log[WeekIndex],82)=0,"",SUMIFS(T_SelfStock_Log[Self_Qty],T_SelfStock_Log[Part Name],$A23,T_SelfStock_Log[WeekIndex],82))</f>
        <v/>
      </c>
      <c r="CF23" s="18">
        <f>IF(COUNTIFS(T_SelfStock_Log[Part Name],$A23,T_SelfStock_Log[WeekIndex],83)=0,"",SUMIFS(T_SelfStock_Log[Self_Qty],T_SelfStock_Log[Part Name],$A23,T_SelfStock_Log[WeekIndex],83))</f>
        <v/>
      </c>
      <c r="CG23" s="18">
        <f>IF(COUNTIFS(T_SelfStock_Log[Part Name],$A23,T_SelfStock_Log[WeekIndex],84)=0,"",SUMIFS(T_SelfStock_Log[Self_Qty],T_SelfStock_Log[Part Name],$A23,T_SelfStock_Log[WeekIndex],84))</f>
        <v/>
      </c>
      <c r="CH23" s="18">
        <f>IF(COUNTIFS(T_SelfStock_Log[Part Name],$A23,T_SelfStock_Log[WeekIndex],85)=0,"",SUMIFS(T_SelfStock_Log[Self_Qty],T_SelfStock_Log[Part Name],$A23,T_SelfStock_Log[WeekIndex],85))</f>
        <v/>
      </c>
      <c r="CI23" s="18">
        <f>IF(COUNTIFS(T_SelfStock_Log[Part Name],$A23,T_SelfStock_Log[WeekIndex],86)=0,"",SUMIFS(T_SelfStock_Log[Self_Qty],T_SelfStock_Log[Part Name],$A23,T_SelfStock_Log[WeekIndex],86))</f>
        <v/>
      </c>
      <c r="CJ23" s="18">
        <f>IF(COUNTIFS(T_SelfStock_Log[Part Name],$A23,T_SelfStock_Log[WeekIndex],87)=0,"",SUMIFS(T_SelfStock_Log[Self_Qty],T_SelfStock_Log[Part Name],$A23,T_SelfStock_Log[WeekIndex],87))</f>
        <v/>
      </c>
      <c r="CK23" s="18">
        <f>IF(COUNTIFS(T_SelfStock_Log[Part Name],$A23,T_SelfStock_Log[WeekIndex],88)=0,"",SUMIFS(T_SelfStock_Log[Self_Qty],T_SelfStock_Log[Part Name],$A23,T_SelfStock_Log[WeekIndex],88))</f>
        <v/>
      </c>
      <c r="CL23" s="18">
        <f>IF(COUNTIFS(T_SelfStock_Log[Part Name],$A23,T_SelfStock_Log[WeekIndex],89)=0,"",SUMIFS(T_SelfStock_Log[Self_Qty],T_SelfStock_Log[Part Name],$A23,T_SelfStock_Log[WeekIndex],89))</f>
        <v/>
      </c>
      <c r="CM23" s="18">
        <f>IF(COUNTIFS(T_SelfStock_Log[Part Name],$A23,T_SelfStock_Log[WeekIndex],90)=0,"",SUMIFS(T_SelfStock_Log[Self_Qty],T_SelfStock_Log[Part Name],$A23,T_SelfStock_Log[WeekIndex],90))</f>
        <v/>
      </c>
      <c r="CN23" s="18">
        <f>IF(COUNTIFS(T_SelfStock_Log[Part Name],$A23,T_SelfStock_Log[WeekIndex],91)=0,"",SUMIFS(T_SelfStock_Log[Self_Qty],T_SelfStock_Log[Part Name],$A23,T_SelfStock_Log[WeekIndex],91))</f>
        <v/>
      </c>
      <c r="CO23" s="18">
        <f>IF(COUNTIFS(T_SelfStock_Log[Part Name],$A23,T_SelfStock_Log[WeekIndex],92)=0,"",SUMIFS(T_SelfStock_Log[Self_Qty],T_SelfStock_Log[Part Name],$A23,T_SelfStock_Log[WeekIndex],92))</f>
        <v/>
      </c>
      <c r="CP23" s="18">
        <f>IF(COUNTIFS(T_SelfStock_Log[Part Name],$A23,T_SelfStock_Log[WeekIndex],93)=0,"",SUMIFS(T_SelfStock_Log[Self_Qty],T_SelfStock_Log[Part Name],$A23,T_SelfStock_Log[WeekIndex],93))</f>
        <v/>
      </c>
      <c r="CQ23" s="18">
        <f>IF(COUNTIFS(T_SelfStock_Log[Part Name],$A23,T_SelfStock_Log[WeekIndex],94)=0,"",SUMIFS(T_SelfStock_Log[Self_Qty],T_SelfStock_Log[Part Name],$A23,T_SelfStock_Log[WeekIndex],94))</f>
        <v/>
      </c>
      <c r="CR23" s="18">
        <f>IF(COUNTIFS(T_SelfStock_Log[Part Name],$A23,T_SelfStock_Log[WeekIndex],95)=0,"",SUMIFS(T_SelfStock_Log[Self_Qty],T_SelfStock_Log[Part Name],$A23,T_SelfStock_Log[WeekIndex],95))</f>
        <v/>
      </c>
      <c r="CS23" s="18">
        <f>IF(COUNTIFS(T_SelfStock_Log[Part Name],$A23,T_SelfStock_Log[WeekIndex],96)=0,"",SUMIFS(T_SelfStock_Log[Self_Qty],T_SelfStock_Log[Part Name],$A23,T_SelfStock_Log[WeekIndex],96))</f>
        <v/>
      </c>
      <c r="CT23" s="18">
        <f>IF(COUNTIFS(T_SelfStock_Log[Part Name],$A23,T_SelfStock_Log[WeekIndex],97)=0,"",SUMIFS(T_SelfStock_Log[Self_Qty],T_SelfStock_Log[Part Name],$A23,T_SelfStock_Log[WeekIndex],97))</f>
        <v/>
      </c>
      <c r="CU23" s="18">
        <f>IF(COUNTIFS(T_SelfStock_Log[Part Name],$A23,T_SelfStock_Log[WeekIndex],98)=0,"",SUMIFS(T_SelfStock_Log[Self_Qty],T_SelfStock_Log[Part Name],$A23,T_SelfStock_Log[WeekIndex],98))</f>
        <v/>
      </c>
      <c r="CV23" s="18">
        <f>IF(COUNTIFS(T_SelfStock_Log[Part Name],$A23,T_SelfStock_Log[WeekIndex],99)=0,"",SUMIFS(T_SelfStock_Log[Self_Qty],T_SelfStock_Log[Part Name],$A23,T_SelfStock_Log[WeekIndex],99))</f>
        <v/>
      </c>
      <c r="CW23" s="18">
        <f>IF(COUNTIFS(T_SelfStock_Log[Part Name],$A23,T_SelfStock_Log[WeekIndex],100)=0,"",SUMIFS(T_SelfStock_Log[Self_Qty],T_SelfStock_Log[Part Name],$A23,T_SelfStock_Log[WeekIndex],100))</f>
        <v/>
      </c>
      <c r="CX23" s="18">
        <f>IF(COUNTIFS(T_SelfStock_Log[Part Name],$A23,T_SelfStock_Log[WeekIndex],101)=0,"",SUMIFS(T_SelfStock_Log[Self_Qty],T_SelfStock_Log[Part Name],$A23,T_SelfStock_Log[WeekIndex],101))</f>
        <v/>
      </c>
      <c r="CY23" s="18">
        <f>IF(COUNTIFS(T_SelfStock_Log[Part Name],$A23,T_SelfStock_Log[WeekIndex],102)=0,"",SUMIFS(T_SelfStock_Log[Self_Qty],T_SelfStock_Log[Part Name],$A23,T_SelfStock_Log[WeekIndex],102))</f>
        <v/>
      </c>
      <c r="CZ23" s="18">
        <f>IF(COUNTIFS(T_SelfStock_Log[Part Name],$A23,T_SelfStock_Log[WeekIndex],103)=0,"",SUMIFS(T_SelfStock_Log[Self_Qty],T_SelfStock_Log[Part Name],$A23,T_SelfStock_Log[WeekIndex],103))</f>
        <v/>
      </c>
      <c r="DA23" s="18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CHEM-1280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8" t="inlineStr">
        <is>
          <t>CHEM-1240</t>
        </is>
      </c>
      <c r="B25" s="18">
        <f>IF(COUNTIFS(T_SelfStock_Log[Part Name],$A25,T_SelfStock_Log[WeekIndex],1)=0,"",SUMIFS(T_SelfStock_Log[Self_Qty],T_SelfStock_Log[Part Name],$A25,T_SelfStock_Log[WeekIndex],1))</f>
        <v/>
      </c>
      <c r="C25" s="18">
        <f>IF(COUNTIFS(T_SelfStock_Log[Part Name],$A25,T_SelfStock_Log[WeekIndex],2)=0,"",SUMIFS(T_SelfStock_Log[Self_Qty],T_SelfStock_Log[Part Name],$A25,T_SelfStock_Log[WeekIndex],2))</f>
        <v/>
      </c>
      <c r="D25" s="18">
        <f>IF(COUNTIFS(T_SelfStock_Log[Part Name],$A25,T_SelfStock_Log[WeekIndex],3)=0,"",SUMIFS(T_SelfStock_Log[Self_Qty],T_SelfStock_Log[Part Name],$A25,T_SelfStock_Log[WeekIndex],3))</f>
        <v/>
      </c>
      <c r="E25" s="18">
        <f>IF(COUNTIFS(T_SelfStock_Log[Part Name],$A25,T_SelfStock_Log[WeekIndex],4)=0,"",SUMIFS(T_SelfStock_Log[Self_Qty],T_SelfStock_Log[Part Name],$A25,T_SelfStock_Log[WeekIndex],4))</f>
        <v/>
      </c>
      <c r="F25" s="18">
        <f>IF(COUNTIFS(T_SelfStock_Log[Part Name],$A25,T_SelfStock_Log[WeekIndex],5)=0,"",SUMIFS(T_SelfStock_Log[Self_Qty],T_SelfStock_Log[Part Name],$A25,T_SelfStock_Log[WeekIndex],5))</f>
        <v/>
      </c>
      <c r="G25" s="18">
        <f>IF(COUNTIFS(T_SelfStock_Log[Part Name],$A25,T_SelfStock_Log[WeekIndex],6)=0,"",SUMIFS(T_SelfStock_Log[Self_Qty],T_SelfStock_Log[Part Name],$A25,T_SelfStock_Log[WeekIndex],6))</f>
        <v/>
      </c>
      <c r="H25" s="18">
        <f>IF(COUNTIFS(T_SelfStock_Log[Part Name],$A25,T_SelfStock_Log[WeekIndex],7)=0,"",SUMIFS(T_SelfStock_Log[Self_Qty],T_SelfStock_Log[Part Name],$A25,T_SelfStock_Log[WeekIndex],7))</f>
        <v/>
      </c>
      <c r="I25" s="18">
        <f>IF(COUNTIFS(T_SelfStock_Log[Part Name],$A25,T_SelfStock_Log[WeekIndex],8)=0,"",SUMIFS(T_SelfStock_Log[Self_Qty],T_SelfStock_Log[Part Name],$A25,T_SelfStock_Log[WeekIndex],8))</f>
        <v/>
      </c>
      <c r="J25" s="18">
        <f>IF(COUNTIFS(T_SelfStock_Log[Part Name],$A25,T_SelfStock_Log[WeekIndex],9)=0,"",SUMIFS(T_SelfStock_Log[Self_Qty],T_SelfStock_Log[Part Name],$A25,T_SelfStock_Log[WeekIndex],9))</f>
        <v/>
      </c>
      <c r="K25" s="18">
        <f>IF(COUNTIFS(T_SelfStock_Log[Part Name],$A25,T_SelfStock_Log[WeekIndex],10)=0,"",SUMIFS(T_SelfStock_Log[Self_Qty],T_SelfStock_Log[Part Name],$A25,T_SelfStock_Log[WeekIndex],10))</f>
        <v/>
      </c>
      <c r="L25" s="18">
        <f>IF(COUNTIFS(T_SelfStock_Log[Part Name],$A25,T_SelfStock_Log[WeekIndex],11)=0,"",SUMIFS(T_SelfStock_Log[Self_Qty],T_SelfStock_Log[Part Name],$A25,T_SelfStock_Log[WeekIndex],11))</f>
        <v/>
      </c>
      <c r="M25" s="18">
        <f>IF(COUNTIFS(T_SelfStock_Log[Part Name],$A25,T_SelfStock_Log[WeekIndex],12)=0,"",SUMIFS(T_SelfStock_Log[Self_Qty],T_SelfStock_Log[Part Name],$A25,T_SelfStock_Log[WeekIndex],12))</f>
        <v/>
      </c>
      <c r="N25" s="18">
        <f>IF(COUNTIFS(T_SelfStock_Log[Part Name],$A25,T_SelfStock_Log[WeekIndex],13)=0,"",SUMIFS(T_SelfStock_Log[Self_Qty],T_SelfStock_Log[Part Name],$A25,T_SelfStock_Log[WeekIndex],13))</f>
        <v/>
      </c>
      <c r="O25" s="18">
        <f>IF(COUNTIFS(T_SelfStock_Log[Part Name],$A25,T_SelfStock_Log[WeekIndex],14)=0,"",SUMIFS(T_SelfStock_Log[Self_Qty],T_SelfStock_Log[Part Name],$A25,T_SelfStock_Log[WeekIndex],14))</f>
        <v/>
      </c>
      <c r="P25" s="18">
        <f>IF(COUNTIFS(T_SelfStock_Log[Part Name],$A25,T_SelfStock_Log[WeekIndex],15)=0,"",SUMIFS(T_SelfStock_Log[Self_Qty],T_SelfStock_Log[Part Name],$A25,T_SelfStock_Log[WeekIndex],15))</f>
        <v/>
      </c>
      <c r="Q25" s="18">
        <f>IF(COUNTIFS(T_SelfStock_Log[Part Name],$A25,T_SelfStock_Log[WeekIndex],16)=0,"",SUMIFS(T_SelfStock_Log[Self_Qty],T_SelfStock_Log[Part Name],$A25,T_SelfStock_Log[WeekIndex],16))</f>
        <v/>
      </c>
      <c r="R25" s="18">
        <f>IF(COUNTIFS(T_SelfStock_Log[Part Name],$A25,T_SelfStock_Log[WeekIndex],17)=0,"",SUMIFS(T_SelfStock_Log[Self_Qty],T_SelfStock_Log[Part Name],$A25,T_SelfStock_Log[WeekIndex],17))</f>
        <v/>
      </c>
      <c r="S25" s="18">
        <f>IF(COUNTIFS(T_SelfStock_Log[Part Name],$A25,T_SelfStock_Log[WeekIndex],18)=0,"",SUMIFS(T_SelfStock_Log[Self_Qty],T_SelfStock_Log[Part Name],$A25,T_SelfStock_Log[WeekIndex],18))</f>
        <v/>
      </c>
      <c r="T25" s="18">
        <f>IF(COUNTIFS(T_SelfStock_Log[Part Name],$A25,T_SelfStock_Log[WeekIndex],19)=0,"",SUMIFS(T_SelfStock_Log[Self_Qty],T_SelfStock_Log[Part Name],$A25,T_SelfStock_Log[WeekIndex],19))</f>
        <v/>
      </c>
      <c r="U25" s="18">
        <f>IF(COUNTIFS(T_SelfStock_Log[Part Name],$A25,T_SelfStock_Log[WeekIndex],20)=0,"",SUMIFS(T_SelfStock_Log[Self_Qty],T_SelfStock_Log[Part Name],$A25,T_SelfStock_Log[WeekIndex],20))</f>
        <v/>
      </c>
      <c r="V25" s="18">
        <f>IF(COUNTIFS(T_SelfStock_Log[Part Name],$A25,T_SelfStock_Log[WeekIndex],21)=0,"",SUMIFS(T_SelfStock_Log[Self_Qty],T_SelfStock_Log[Part Name],$A25,T_SelfStock_Log[WeekIndex],21))</f>
        <v/>
      </c>
      <c r="W25" s="18">
        <f>IF(COUNTIFS(T_SelfStock_Log[Part Name],$A25,T_SelfStock_Log[WeekIndex],22)=0,"",SUMIFS(T_SelfStock_Log[Self_Qty],T_SelfStock_Log[Part Name],$A25,T_SelfStock_Log[WeekIndex],22))</f>
        <v/>
      </c>
      <c r="X25" s="18">
        <f>IF(COUNTIFS(T_SelfStock_Log[Part Name],$A25,T_SelfStock_Log[WeekIndex],23)=0,"",SUMIFS(T_SelfStock_Log[Self_Qty],T_SelfStock_Log[Part Name],$A25,T_SelfStock_Log[WeekIndex],23))</f>
        <v/>
      </c>
      <c r="Y25" s="18">
        <f>IF(COUNTIFS(T_SelfStock_Log[Part Name],$A25,T_SelfStock_Log[WeekIndex],24)=0,"",SUMIFS(T_SelfStock_Log[Self_Qty],T_SelfStock_Log[Part Name],$A25,T_SelfStock_Log[WeekIndex],24))</f>
        <v/>
      </c>
      <c r="Z25" s="18">
        <f>IF(COUNTIFS(T_SelfStock_Log[Part Name],$A25,T_SelfStock_Log[WeekIndex],25)=0,"",SUMIFS(T_SelfStock_Log[Self_Qty],T_SelfStock_Log[Part Name],$A25,T_SelfStock_Log[WeekIndex],25))</f>
        <v/>
      </c>
      <c r="AA25" s="18">
        <f>IF(COUNTIFS(T_SelfStock_Log[Part Name],$A25,T_SelfStock_Log[WeekIndex],26)=0,"",SUMIFS(T_SelfStock_Log[Self_Qty],T_SelfStock_Log[Part Name],$A25,T_SelfStock_Log[WeekIndex],26))</f>
        <v/>
      </c>
      <c r="AB25" s="18">
        <f>IF(COUNTIFS(T_SelfStock_Log[Part Name],$A25,T_SelfStock_Log[WeekIndex],27)=0,"",SUMIFS(T_SelfStock_Log[Self_Qty],T_SelfStock_Log[Part Name],$A25,T_SelfStock_Log[WeekIndex],27))</f>
        <v/>
      </c>
      <c r="AC25" s="18">
        <f>IF(COUNTIFS(T_SelfStock_Log[Part Name],$A25,T_SelfStock_Log[WeekIndex],28)=0,"",SUMIFS(T_SelfStock_Log[Self_Qty],T_SelfStock_Log[Part Name],$A25,T_SelfStock_Log[WeekIndex],28))</f>
        <v/>
      </c>
      <c r="AD25" s="18">
        <f>IF(COUNTIFS(T_SelfStock_Log[Part Name],$A25,T_SelfStock_Log[WeekIndex],29)=0,"",SUMIFS(T_SelfStock_Log[Self_Qty],T_SelfStock_Log[Part Name],$A25,T_SelfStock_Log[WeekIndex],29))</f>
        <v/>
      </c>
      <c r="AE25" s="18">
        <f>IF(COUNTIFS(T_SelfStock_Log[Part Name],$A25,T_SelfStock_Log[WeekIndex],30)=0,"",SUMIFS(T_SelfStock_Log[Self_Qty],T_SelfStock_Log[Part Name],$A25,T_SelfStock_Log[WeekIndex],30))</f>
        <v/>
      </c>
      <c r="AF25" s="18">
        <f>IF(COUNTIFS(T_SelfStock_Log[Part Name],$A25,T_SelfStock_Log[WeekIndex],31)=0,"",SUMIFS(T_SelfStock_Log[Self_Qty],T_SelfStock_Log[Part Name],$A25,T_SelfStock_Log[WeekIndex],31))</f>
        <v/>
      </c>
      <c r="AG25" s="18">
        <f>IF(COUNTIFS(T_SelfStock_Log[Part Name],$A25,T_SelfStock_Log[WeekIndex],32)=0,"",SUMIFS(T_SelfStock_Log[Self_Qty],T_SelfStock_Log[Part Name],$A25,T_SelfStock_Log[WeekIndex],32))</f>
        <v/>
      </c>
      <c r="AH25" s="18">
        <f>IF(COUNTIFS(T_SelfStock_Log[Part Name],$A25,T_SelfStock_Log[WeekIndex],33)=0,"",SUMIFS(T_SelfStock_Log[Self_Qty],T_SelfStock_Log[Part Name],$A25,T_SelfStock_Log[WeekIndex],33))</f>
        <v/>
      </c>
      <c r="AI25" s="18">
        <f>IF(COUNTIFS(T_SelfStock_Log[Part Name],$A25,T_SelfStock_Log[WeekIndex],34)=0,"",SUMIFS(T_SelfStock_Log[Self_Qty],T_SelfStock_Log[Part Name],$A25,T_SelfStock_Log[WeekIndex],34))</f>
        <v/>
      </c>
      <c r="AJ25" s="18">
        <f>IF(COUNTIFS(T_SelfStock_Log[Part Name],$A25,T_SelfStock_Log[WeekIndex],35)=0,"",SUMIFS(T_SelfStock_Log[Self_Qty],T_SelfStock_Log[Part Name],$A25,T_SelfStock_Log[WeekIndex],35))</f>
        <v/>
      </c>
      <c r="AK25" s="18">
        <f>IF(COUNTIFS(T_SelfStock_Log[Part Name],$A25,T_SelfStock_Log[WeekIndex],36)=0,"",SUMIFS(T_SelfStock_Log[Self_Qty],T_SelfStock_Log[Part Name],$A25,T_SelfStock_Log[WeekIndex],36))</f>
        <v/>
      </c>
      <c r="AL25" s="18">
        <f>IF(COUNTIFS(T_SelfStock_Log[Part Name],$A25,T_SelfStock_Log[WeekIndex],37)=0,"",SUMIFS(T_SelfStock_Log[Self_Qty],T_SelfStock_Log[Part Name],$A25,T_SelfStock_Log[WeekIndex],37))</f>
        <v/>
      </c>
      <c r="AM25" s="18">
        <f>IF(COUNTIFS(T_SelfStock_Log[Part Name],$A25,T_SelfStock_Log[WeekIndex],38)=0,"",SUMIFS(T_SelfStock_Log[Self_Qty],T_SelfStock_Log[Part Name],$A25,T_SelfStock_Log[WeekIndex],38))</f>
        <v/>
      </c>
      <c r="AN25" s="18">
        <f>IF(COUNTIFS(T_SelfStock_Log[Part Name],$A25,T_SelfStock_Log[WeekIndex],39)=0,"",SUMIFS(T_SelfStock_Log[Self_Qty],T_SelfStock_Log[Part Name],$A25,T_SelfStock_Log[WeekIndex],39))</f>
        <v/>
      </c>
      <c r="AO25" s="18">
        <f>IF(COUNTIFS(T_SelfStock_Log[Part Name],$A25,T_SelfStock_Log[WeekIndex],40)=0,"",SUMIFS(T_SelfStock_Log[Self_Qty],T_SelfStock_Log[Part Name],$A25,T_SelfStock_Log[WeekIndex],40))</f>
        <v/>
      </c>
      <c r="AP25" s="18">
        <f>IF(COUNTIFS(T_SelfStock_Log[Part Name],$A25,T_SelfStock_Log[WeekIndex],41)=0,"",SUMIFS(T_SelfStock_Log[Self_Qty],T_SelfStock_Log[Part Name],$A25,T_SelfStock_Log[WeekIndex],41))</f>
        <v/>
      </c>
      <c r="AQ25" s="18">
        <f>IF(COUNTIFS(T_SelfStock_Log[Part Name],$A25,T_SelfStock_Log[WeekIndex],42)=0,"",SUMIFS(T_SelfStock_Log[Self_Qty],T_SelfStock_Log[Part Name],$A25,T_SelfStock_Log[WeekIndex],42))</f>
        <v/>
      </c>
      <c r="AR25" s="18">
        <f>IF(COUNTIFS(T_SelfStock_Log[Part Name],$A25,T_SelfStock_Log[WeekIndex],43)=0,"",SUMIFS(T_SelfStock_Log[Self_Qty],T_SelfStock_Log[Part Name],$A25,T_SelfStock_Log[WeekIndex],43))</f>
        <v/>
      </c>
      <c r="AS25" s="18">
        <f>IF(COUNTIFS(T_SelfStock_Log[Part Name],$A25,T_SelfStock_Log[WeekIndex],44)=0,"",SUMIFS(T_SelfStock_Log[Self_Qty],T_SelfStock_Log[Part Name],$A25,T_SelfStock_Log[WeekIndex],44))</f>
        <v/>
      </c>
      <c r="AT25" s="18">
        <f>IF(COUNTIFS(T_SelfStock_Log[Part Name],$A25,T_SelfStock_Log[WeekIndex],45)=0,"",SUMIFS(T_SelfStock_Log[Self_Qty],T_SelfStock_Log[Part Name],$A25,T_SelfStock_Log[WeekIndex],45))</f>
        <v/>
      </c>
      <c r="AU25" s="18">
        <f>IF(COUNTIFS(T_SelfStock_Log[Part Name],$A25,T_SelfStock_Log[WeekIndex],46)=0,"",SUMIFS(T_SelfStock_Log[Self_Qty],T_SelfStock_Log[Part Name],$A25,T_SelfStock_Log[WeekIndex],46))</f>
        <v/>
      </c>
      <c r="AV25" s="18">
        <f>IF(COUNTIFS(T_SelfStock_Log[Part Name],$A25,T_SelfStock_Log[WeekIndex],47)=0,"",SUMIFS(T_SelfStock_Log[Self_Qty],T_SelfStock_Log[Part Name],$A25,T_SelfStock_Log[WeekIndex],47))</f>
        <v/>
      </c>
      <c r="AW25" s="18">
        <f>IF(COUNTIFS(T_SelfStock_Log[Part Name],$A25,T_SelfStock_Log[WeekIndex],48)=0,"",SUMIFS(T_SelfStock_Log[Self_Qty],T_SelfStock_Log[Part Name],$A25,T_SelfStock_Log[WeekIndex],48))</f>
        <v/>
      </c>
      <c r="AX25" s="18">
        <f>IF(COUNTIFS(T_SelfStock_Log[Part Name],$A25,T_SelfStock_Log[WeekIndex],49)=0,"",SUMIFS(T_SelfStock_Log[Self_Qty],T_SelfStock_Log[Part Name],$A25,T_SelfStock_Log[WeekIndex],49))</f>
        <v/>
      </c>
      <c r="AY25" s="18">
        <f>IF(COUNTIFS(T_SelfStock_Log[Part Name],$A25,T_SelfStock_Log[WeekIndex],50)=0,"",SUMIFS(T_SelfStock_Log[Self_Qty],T_SelfStock_Log[Part Name],$A25,T_SelfStock_Log[WeekIndex],50))</f>
        <v/>
      </c>
      <c r="AZ25" s="18">
        <f>IF(COUNTIFS(T_SelfStock_Log[Part Name],$A25,T_SelfStock_Log[WeekIndex],51)=0,"",SUMIFS(T_SelfStock_Log[Self_Qty],T_SelfStock_Log[Part Name],$A25,T_SelfStock_Log[WeekIndex],51))</f>
        <v/>
      </c>
      <c r="BA25" s="18">
        <f>IF(COUNTIFS(T_SelfStock_Log[Part Name],$A25,T_SelfStock_Log[WeekIndex],52)=0,"",SUMIFS(T_SelfStock_Log[Self_Qty],T_SelfStock_Log[Part Name],$A25,T_SelfStock_Log[WeekIndex],52))</f>
        <v/>
      </c>
      <c r="BB25" s="18">
        <f>IF(COUNTIFS(T_SelfStock_Log[Part Name],$A25,T_SelfStock_Log[WeekIndex],53)=0,"",SUMIFS(T_SelfStock_Log[Self_Qty],T_SelfStock_Log[Part Name],$A25,T_SelfStock_Log[WeekIndex],53))</f>
        <v/>
      </c>
      <c r="BC25" s="18">
        <f>IF(COUNTIFS(T_SelfStock_Log[Part Name],$A25,T_SelfStock_Log[WeekIndex],54)=0,"",SUMIFS(T_SelfStock_Log[Self_Qty],T_SelfStock_Log[Part Name],$A25,T_SelfStock_Log[WeekIndex],54))</f>
        <v/>
      </c>
      <c r="BD25" s="18">
        <f>IF(COUNTIFS(T_SelfStock_Log[Part Name],$A25,T_SelfStock_Log[WeekIndex],55)=0,"",SUMIFS(T_SelfStock_Log[Self_Qty],T_SelfStock_Log[Part Name],$A25,T_SelfStock_Log[WeekIndex],55))</f>
        <v/>
      </c>
      <c r="BE25" s="18">
        <f>IF(COUNTIFS(T_SelfStock_Log[Part Name],$A25,T_SelfStock_Log[WeekIndex],56)=0,"",SUMIFS(T_SelfStock_Log[Self_Qty],T_SelfStock_Log[Part Name],$A25,T_SelfStock_Log[WeekIndex],56))</f>
        <v/>
      </c>
      <c r="BF25" s="18">
        <f>IF(COUNTIFS(T_SelfStock_Log[Part Name],$A25,T_SelfStock_Log[WeekIndex],57)=0,"",SUMIFS(T_SelfStock_Log[Self_Qty],T_SelfStock_Log[Part Name],$A25,T_SelfStock_Log[WeekIndex],57))</f>
        <v/>
      </c>
      <c r="BG25" s="18">
        <f>IF(COUNTIFS(T_SelfStock_Log[Part Name],$A25,T_SelfStock_Log[WeekIndex],58)=0,"",SUMIFS(T_SelfStock_Log[Self_Qty],T_SelfStock_Log[Part Name],$A25,T_SelfStock_Log[WeekIndex],58))</f>
        <v/>
      </c>
      <c r="BH25" s="18">
        <f>IF(COUNTIFS(T_SelfStock_Log[Part Name],$A25,T_SelfStock_Log[WeekIndex],59)=0,"",SUMIFS(T_SelfStock_Log[Self_Qty],T_SelfStock_Log[Part Name],$A25,T_SelfStock_Log[WeekIndex],59))</f>
        <v/>
      </c>
      <c r="BI25" s="18">
        <f>IF(COUNTIFS(T_SelfStock_Log[Part Name],$A25,T_SelfStock_Log[WeekIndex],60)=0,"",SUMIFS(T_SelfStock_Log[Self_Qty],T_SelfStock_Log[Part Name],$A25,T_SelfStock_Log[WeekIndex],60))</f>
        <v/>
      </c>
      <c r="BJ25" s="18">
        <f>IF(COUNTIFS(T_SelfStock_Log[Part Name],$A25,T_SelfStock_Log[WeekIndex],61)=0,"",SUMIFS(T_SelfStock_Log[Self_Qty],T_SelfStock_Log[Part Name],$A25,T_SelfStock_Log[WeekIndex],61))</f>
        <v/>
      </c>
      <c r="BK25" s="18">
        <f>IF(COUNTIFS(T_SelfStock_Log[Part Name],$A25,T_SelfStock_Log[WeekIndex],62)=0,"",SUMIFS(T_SelfStock_Log[Self_Qty],T_SelfStock_Log[Part Name],$A25,T_SelfStock_Log[WeekIndex],62))</f>
        <v/>
      </c>
      <c r="BL25" s="18">
        <f>IF(COUNTIFS(T_SelfStock_Log[Part Name],$A25,T_SelfStock_Log[WeekIndex],63)=0,"",SUMIFS(T_SelfStock_Log[Self_Qty],T_SelfStock_Log[Part Name],$A25,T_SelfStock_Log[WeekIndex],63))</f>
        <v/>
      </c>
      <c r="BM25" s="18">
        <f>IF(COUNTIFS(T_SelfStock_Log[Part Name],$A25,T_SelfStock_Log[WeekIndex],64)=0,"",SUMIFS(T_SelfStock_Log[Self_Qty],T_SelfStock_Log[Part Name],$A25,T_SelfStock_Log[WeekIndex],64))</f>
        <v/>
      </c>
      <c r="BN25" s="18">
        <f>IF(COUNTIFS(T_SelfStock_Log[Part Name],$A25,T_SelfStock_Log[WeekIndex],65)=0,"",SUMIFS(T_SelfStock_Log[Self_Qty],T_SelfStock_Log[Part Name],$A25,T_SelfStock_Log[WeekIndex],65))</f>
        <v/>
      </c>
      <c r="BO25" s="18">
        <f>IF(COUNTIFS(T_SelfStock_Log[Part Name],$A25,T_SelfStock_Log[WeekIndex],66)=0,"",SUMIFS(T_SelfStock_Log[Self_Qty],T_SelfStock_Log[Part Name],$A25,T_SelfStock_Log[WeekIndex],66))</f>
        <v/>
      </c>
      <c r="BP25" s="18">
        <f>IF(COUNTIFS(T_SelfStock_Log[Part Name],$A25,T_SelfStock_Log[WeekIndex],67)=0,"",SUMIFS(T_SelfStock_Log[Self_Qty],T_SelfStock_Log[Part Name],$A25,T_SelfStock_Log[WeekIndex],67))</f>
        <v/>
      </c>
      <c r="BQ25" s="18">
        <f>IF(COUNTIFS(T_SelfStock_Log[Part Name],$A25,T_SelfStock_Log[WeekIndex],68)=0,"",SUMIFS(T_SelfStock_Log[Self_Qty],T_SelfStock_Log[Part Name],$A25,T_SelfStock_Log[WeekIndex],68))</f>
        <v/>
      </c>
      <c r="BR25" s="18">
        <f>IF(COUNTIFS(T_SelfStock_Log[Part Name],$A25,T_SelfStock_Log[WeekIndex],69)=0,"",SUMIFS(T_SelfStock_Log[Self_Qty],T_SelfStock_Log[Part Name],$A25,T_SelfStock_Log[WeekIndex],69))</f>
        <v/>
      </c>
      <c r="BS25" s="18">
        <f>IF(COUNTIFS(T_SelfStock_Log[Part Name],$A25,T_SelfStock_Log[WeekIndex],70)=0,"",SUMIFS(T_SelfStock_Log[Self_Qty],T_SelfStock_Log[Part Name],$A25,T_SelfStock_Log[WeekIndex],70))</f>
        <v/>
      </c>
      <c r="BT25" s="18">
        <f>IF(COUNTIFS(T_SelfStock_Log[Part Name],$A25,T_SelfStock_Log[WeekIndex],71)=0,"",SUMIFS(T_SelfStock_Log[Self_Qty],T_SelfStock_Log[Part Name],$A25,T_SelfStock_Log[WeekIndex],71))</f>
        <v/>
      </c>
      <c r="BU25" s="18">
        <f>IF(COUNTIFS(T_SelfStock_Log[Part Name],$A25,T_SelfStock_Log[WeekIndex],72)=0,"",SUMIFS(T_SelfStock_Log[Self_Qty],T_SelfStock_Log[Part Name],$A25,T_SelfStock_Log[WeekIndex],72))</f>
        <v/>
      </c>
      <c r="BV25" s="18">
        <f>IF(COUNTIFS(T_SelfStock_Log[Part Name],$A25,T_SelfStock_Log[WeekIndex],73)=0,"",SUMIFS(T_SelfStock_Log[Self_Qty],T_SelfStock_Log[Part Name],$A25,T_SelfStock_Log[WeekIndex],73))</f>
        <v/>
      </c>
      <c r="BW25" s="18">
        <f>IF(COUNTIFS(T_SelfStock_Log[Part Name],$A25,T_SelfStock_Log[WeekIndex],74)=0,"",SUMIFS(T_SelfStock_Log[Self_Qty],T_SelfStock_Log[Part Name],$A25,T_SelfStock_Log[WeekIndex],74))</f>
        <v/>
      </c>
      <c r="BX25" s="18">
        <f>IF(COUNTIFS(T_SelfStock_Log[Part Name],$A25,T_SelfStock_Log[WeekIndex],75)=0,"",SUMIFS(T_SelfStock_Log[Self_Qty],T_SelfStock_Log[Part Name],$A25,T_SelfStock_Log[WeekIndex],75))</f>
        <v/>
      </c>
      <c r="BY25" s="18">
        <f>IF(COUNTIFS(T_SelfStock_Log[Part Name],$A25,T_SelfStock_Log[WeekIndex],76)=0,"",SUMIFS(T_SelfStock_Log[Self_Qty],T_SelfStock_Log[Part Name],$A25,T_SelfStock_Log[WeekIndex],76))</f>
        <v/>
      </c>
      <c r="BZ25" s="18">
        <f>IF(COUNTIFS(T_SelfStock_Log[Part Name],$A25,T_SelfStock_Log[WeekIndex],77)=0,"",SUMIFS(T_SelfStock_Log[Self_Qty],T_SelfStock_Log[Part Name],$A25,T_SelfStock_Log[WeekIndex],77))</f>
        <v/>
      </c>
      <c r="CA25" s="18">
        <f>IF(COUNTIFS(T_SelfStock_Log[Part Name],$A25,T_SelfStock_Log[WeekIndex],78)=0,"",SUMIFS(T_SelfStock_Log[Self_Qty],T_SelfStock_Log[Part Name],$A25,T_SelfStock_Log[WeekIndex],78))</f>
        <v/>
      </c>
      <c r="CB25" s="18">
        <f>IF(COUNTIFS(T_SelfStock_Log[Part Name],$A25,T_SelfStock_Log[WeekIndex],79)=0,"",SUMIFS(T_SelfStock_Log[Self_Qty],T_SelfStock_Log[Part Name],$A25,T_SelfStock_Log[WeekIndex],79))</f>
        <v/>
      </c>
      <c r="CC25" s="18">
        <f>IF(COUNTIFS(T_SelfStock_Log[Part Name],$A25,T_SelfStock_Log[WeekIndex],80)=0,"",SUMIFS(T_SelfStock_Log[Self_Qty],T_SelfStock_Log[Part Name],$A25,T_SelfStock_Log[WeekIndex],80))</f>
        <v/>
      </c>
      <c r="CD25" s="18">
        <f>IF(COUNTIFS(T_SelfStock_Log[Part Name],$A25,T_SelfStock_Log[WeekIndex],81)=0,"",SUMIFS(T_SelfStock_Log[Self_Qty],T_SelfStock_Log[Part Name],$A25,T_SelfStock_Log[WeekIndex],81))</f>
        <v/>
      </c>
      <c r="CE25" s="18">
        <f>IF(COUNTIFS(T_SelfStock_Log[Part Name],$A25,T_SelfStock_Log[WeekIndex],82)=0,"",SUMIFS(T_SelfStock_Log[Self_Qty],T_SelfStock_Log[Part Name],$A25,T_SelfStock_Log[WeekIndex],82))</f>
        <v/>
      </c>
      <c r="CF25" s="18">
        <f>IF(COUNTIFS(T_SelfStock_Log[Part Name],$A25,T_SelfStock_Log[WeekIndex],83)=0,"",SUMIFS(T_SelfStock_Log[Self_Qty],T_SelfStock_Log[Part Name],$A25,T_SelfStock_Log[WeekIndex],83))</f>
        <v/>
      </c>
      <c r="CG25" s="18">
        <f>IF(COUNTIFS(T_SelfStock_Log[Part Name],$A25,T_SelfStock_Log[WeekIndex],84)=0,"",SUMIFS(T_SelfStock_Log[Self_Qty],T_SelfStock_Log[Part Name],$A25,T_SelfStock_Log[WeekIndex],84))</f>
        <v/>
      </c>
      <c r="CH25" s="18">
        <f>IF(COUNTIFS(T_SelfStock_Log[Part Name],$A25,T_SelfStock_Log[WeekIndex],85)=0,"",SUMIFS(T_SelfStock_Log[Self_Qty],T_SelfStock_Log[Part Name],$A25,T_SelfStock_Log[WeekIndex],85))</f>
        <v/>
      </c>
      <c r="CI25" s="18">
        <f>IF(COUNTIFS(T_SelfStock_Log[Part Name],$A25,T_SelfStock_Log[WeekIndex],86)=0,"",SUMIFS(T_SelfStock_Log[Self_Qty],T_SelfStock_Log[Part Name],$A25,T_SelfStock_Log[WeekIndex],86))</f>
        <v/>
      </c>
      <c r="CJ25" s="18">
        <f>IF(COUNTIFS(T_SelfStock_Log[Part Name],$A25,T_SelfStock_Log[WeekIndex],87)=0,"",SUMIFS(T_SelfStock_Log[Self_Qty],T_SelfStock_Log[Part Name],$A25,T_SelfStock_Log[WeekIndex],87))</f>
        <v/>
      </c>
      <c r="CK25" s="18">
        <f>IF(COUNTIFS(T_SelfStock_Log[Part Name],$A25,T_SelfStock_Log[WeekIndex],88)=0,"",SUMIFS(T_SelfStock_Log[Self_Qty],T_SelfStock_Log[Part Name],$A25,T_SelfStock_Log[WeekIndex],88))</f>
        <v/>
      </c>
      <c r="CL25" s="18">
        <f>IF(COUNTIFS(T_SelfStock_Log[Part Name],$A25,T_SelfStock_Log[WeekIndex],89)=0,"",SUMIFS(T_SelfStock_Log[Self_Qty],T_SelfStock_Log[Part Name],$A25,T_SelfStock_Log[WeekIndex],89))</f>
        <v/>
      </c>
      <c r="CM25" s="18">
        <f>IF(COUNTIFS(T_SelfStock_Log[Part Name],$A25,T_SelfStock_Log[WeekIndex],90)=0,"",SUMIFS(T_SelfStock_Log[Self_Qty],T_SelfStock_Log[Part Name],$A25,T_SelfStock_Log[WeekIndex],90))</f>
        <v/>
      </c>
      <c r="CN25" s="18">
        <f>IF(COUNTIFS(T_SelfStock_Log[Part Name],$A25,T_SelfStock_Log[WeekIndex],91)=0,"",SUMIFS(T_SelfStock_Log[Self_Qty],T_SelfStock_Log[Part Name],$A25,T_SelfStock_Log[WeekIndex],91))</f>
        <v/>
      </c>
      <c r="CO25" s="18">
        <f>IF(COUNTIFS(T_SelfStock_Log[Part Name],$A25,T_SelfStock_Log[WeekIndex],92)=0,"",SUMIFS(T_SelfStock_Log[Self_Qty],T_SelfStock_Log[Part Name],$A25,T_SelfStock_Log[WeekIndex],92))</f>
        <v/>
      </c>
      <c r="CP25" s="18">
        <f>IF(COUNTIFS(T_SelfStock_Log[Part Name],$A25,T_SelfStock_Log[WeekIndex],93)=0,"",SUMIFS(T_SelfStock_Log[Self_Qty],T_SelfStock_Log[Part Name],$A25,T_SelfStock_Log[WeekIndex],93))</f>
        <v/>
      </c>
      <c r="CQ25" s="18">
        <f>IF(COUNTIFS(T_SelfStock_Log[Part Name],$A25,T_SelfStock_Log[WeekIndex],94)=0,"",SUMIFS(T_SelfStock_Log[Self_Qty],T_SelfStock_Log[Part Name],$A25,T_SelfStock_Log[WeekIndex],94))</f>
        <v/>
      </c>
      <c r="CR25" s="18">
        <f>IF(COUNTIFS(T_SelfStock_Log[Part Name],$A25,T_SelfStock_Log[WeekIndex],95)=0,"",SUMIFS(T_SelfStock_Log[Self_Qty],T_SelfStock_Log[Part Name],$A25,T_SelfStock_Log[WeekIndex],95))</f>
        <v/>
      </c>
      <c r="CS25" s="18">
        <f>IF(COUNTIFS(T_SelfStock_Log[Part Name],$A25,T_SelfStock_Log[WeekIndex],96)=0,"",SUMIFS(T_SelfStock_Log[Self_Qty],T_SelfStock_Log[Part Name],$A25,T_SelfStock_Log[WeekIndex],96))</f>
        <v/>
      </c>
      <c r="CT25" s="18">
        <f>IF(COUNTIFS(T_SelfStock_Log[Part Name],$A25,T_SelfStock_Log[WeekIndex],97)=0,"",SUMIFS(T_SelfStock_Log[Self_Qty],T_SelfStock_Log[Part Name],$A25,T_SelfStock_Log[WeekIndex],97))</f>
        <v/>
      </c>
      <c r="CU25" s="18">
        <f>IF(COUNTIFS(T_SelfStock_Log[Part Name],$A25,T_SelfStock_Log[WeekIndex],98)=0,"",SUMIFS(T_SelfStock_Log[Self_Qty],T_SelfStock_Log[Part Name],$A25,T_SelfStock_Log[WeekIndex],98))</f>
        <v/>
      </c>
      <c r="CV25" s="18">
        <f>IF(COUNTIFS(T_SelfStock_Log[Part Name],$A25,T_SelfStock_Log[WeekIndex],99)=0,"",SUMIFS(T_SelfStock_Log[Self_Qty],T_SelfStock_Log[Part Name],$A25,T_SelfStock_Log[WeekIndex],99))</f>
        <v/>
      </c>
      <c r="CW25" s="18">
        <f>IF(COUNTIFS(T_SelfStock_Log[Part Name],$A25,T_SelfStock_Log[WeekIndex],100)=0,"",SUMIFS(T_SelfStock_Log[Self_Qty],T_SelfStock_Log[Part Name],$A25,T_SelfStock_Log[WeekIndex],100))</f>
        <v/>
      </c>
      <c r="CX25" s="18">
        <f>IF(COUNTIFS(T_SelfStock_Log[Part Name],$A25,T_SelfStock_Log[WeekIndex],101)=0,"",SUMIFS(T_SelfStock_Log[Self_Qty],T_SelfStock_Log[Part Name],$A25,T_SelfStock_Log[WeekIndex],101))</f>
        <v/>
      </c>
      <c r="CY25" s="18">
        <f>IF(COUNTIFS(T_SelfStock_Log[Part Name],$A25,T_SelfStock_Log[WeekIndex],102)=0,"",SUMIFS(T_SelfStock_Log[Self_Qty],T_SelfStock_Log[Part Name],$A25,T_SelfStock_Log[WeekIndex],102))</f>
        <v/>
      </c>
      <c r="CZ25" s="18">
        <f>IF(COUNTIFS(T_SelfStock_Log[Part Name],$A25,T_SelfStock_Log[WeekIndex],103)=0,"",SUMIFS(T_SelfStock_Log[Self_Qty],T_SelfStock_Log[Part Name],$A25,T_SelfStock_Log[WeekIndex],103))</f>
        <v/>
      </c>
      <c r="DA25" s="18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0JN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8" t="inlineStr">
        <is>
          <t>CHEM-1760</t>
        </is>
      </c>
      <c r="B27" s="18">
        <f>IF(COUNTIFS(T_SelfStock_Log[Part Name],$A27,T_SelfStock_Log[WeekIndex],1)=0,"",SUMIFS(T_SelfStock_Log[Self_Qty],T_SelfStock_Log[Part Name],$A27,T_SelfStock_Log[WeekIndex],1))</f>
        <v/>
      </c>
      <c r="C27" s="18">
        <f>IF(COUNTIFS(T_SelfStock_Log[Part Name],$A27,T_SelfStock_Log[WeekIndex],2)=0,"",SUMIFS(T_SelfStock_Log[Self_Qty],T_SelfStock_Log[Part Name],$A27,T_SelfStock_Log[WeekIndex],2))</f>
        <v/>
      </c>
      <c r="D27" s="18">
        <f>IF(COUNTIFS(T_SelfStock_Log[Part Name],$A27,T_SelfStock_Log[WeekIndex],3)=0,"",SUMIFS(T_SelfStock_Log[Self_Qty],T_SelfStock_Log[Part Name],$A27,T_SelfStock_Log[WeekIndex],3))</f>
        <v/>
      </c>
      <c r="E27" s="18">
        <f>IF(COUNTIFS(T_SelfStock_Log[Part Name],$A27,T_SelfStock_Log[WeekIndex],4)=0,"",SUMIFS(T_SelfStock_Log[Self_Qty],T_SelfStock_Log[Part Name],$A27,T_SelfStock_Log[WeekIndex],4))</f>
        <v/>
      </c>
      <c r="F27" s="18">
        <f>IF(COUNTIFS(T_SelfStock_Log[Part Name],$A27,T_SelfStock_Log[WeekIndex],5)=0,"",SUMIFS(T_SelfStock_Log[Self_Qty],T_SelfStock_Log[Part Name],$A27,T_SelfStock_Log[WeekIndex],5))</f>
        <v/>
      </c>
      <c r="G27" s="18">
        <f>IF(COUNTIFS(T_SelfStock_Log[Part Name],$A27,T_SelfStock_Log[WeekIndex],6)=0,"",SUMIFS(T_SelfStock_Log[Self_Qty],T_SelfStock_Log[Part Name],$A27,T_SelfStock_Log[WeekIndex],6))</f>
        <v/>
      </c>
      <c r="H27" s="18">
        <f>IF(COUNTIFS(T_SelfStock_Log[Part Name],$A27,T_SelfStock_Log[WeekIndex],7)=0,"",SUMIFS(T_SelfStock_Log[Self_Qty],T_SelfStock_Log[Part Name],$A27,T_SelfStock_Log[WeekIndex],7))</f>
        <v/>
      </c>
      <c r="I27" s="18">
        <f>IF(COUNTIFS(T_SelfStock_Log[Part Name],$A27,T_SelfStock_Log[WeekIndex],8)=0,"",SUMIFS(T_SelfStock_Log[Self_Qty],T_SelfStock_Log[Part Name],$A27,T_SelfStock_Log[WeekIndex],8))</f>
        <v/>
      </c>
      <c r="J27" s="18">
        <f>IF(COUNTIFS(T_SelfStock_Log[Part Name],$A27,T_SelfStock_Log[WeekIndex],9)=0,"",SUMIFS(T_SelfStock_Log[Self_Qty],T_SelfStock_Log[Part Name],$A27,T_SelfStock_Log[WeekIndex],9))</f>
        <v/>
      </c>
      <c r="K27" s="18">
        <f>IF(COUNTIFS(T_SelfStock_Log[Part Name],$A27,T_SelfStock_Log[WeekIndex],10)=0,"",SUMIFS(T_SelfStock_Log[Self_Qty],T_SelfStock_Log[Part Name],$A27,T_SelfStock_Log[WeekIndex],10))</f>
        <v/>
      </c>
      <c r="L27" s="18">
        <f>IF(COUNTIFS(T_SelfStock_Log[Part Name],$A27,T_SelfStock_Log[WeekIndex],11)=0,"",SUMIFS(T_SelfStock_Log[Self_Qty],T_SelfStock_Log[Part Name],$A27,T_SelfStock_Log[WeekIndex],11))</f>
        <v/>
      </c>
      <c r="M27" s="18">
        <f>IF(COUNTIFS(T_SelfStock_Log[Part Name],$A27,T_SelfStock_Log[WeekIndex],12)=0,"",SUMIFS(T_SelfStock_Log[Self_Qty],T_SelfStock_Log[Part Name],$A27,T_SelfStock_Log[WeekIndex],12))</f>
        <v/>
      </c>
      <c r="N27" s="18">
        <f>IF(COUNTIFS(T_SelfStock_Log[Part Name],$A27,T_SelfStock_Log[WeekIndex],13)=0,"",SUMIFS(T_SelfStock_Log[Self_Qty],T_SelfStock_Log[Part Name],$A27,T_SelfStock_Log[WeekIndex],13))</f>
        <v/>
      </c>
      <c r="O27" s="18">
        <f>IF(COUNTIFS(T_SelfStock_Log[Part Name],$A27,T_SelfStock_Log[WeekIndex],14)=0,"",SUMIFS(T_SelfStock_Log[Self_Qty],T_SelfStock_Log[Part Name],$A27,T_SelfStock_Log[WeekIndex],14))</f>
        <v/>
      </c>
      <c r="P27" s="18">
        <f>IF(COUNTIFS(T_SelfStock_Log[Part Name],$A27,T_SelfStock_Log[WeekIndex],15)=0,"",SUMIFS(T_SelfStock_Log[Self_Qty],T_SelfStock_Log[Part Name],$A27,T_SelfStock_Log[WeekIndex],15))</f>
        <v/>
      </c>
      <c r="Q27" s="18">
        <f>IF(COUNTIFS(T_SelfStock_Log[Part Name],$A27,T_SelfStock_Log[WeekIndex],16)=0,"",SUMIFS(T_SelfStock_Log[Self_Qty],T_SelfStock_Log[Part Name],$A27,T_SelfStock_Log[WeekIndex],16))</f>
        <v/>
      </c>
      <c r="R27" s="18">
        <f>IF(COUNTIFS(T_SelfStock_Log[Part Name],$A27,T_SelfStock_Log[WeekIndex],17)=0,"",SUMIFS(T_SelfStock_Log[Self_Qty],T_SelfStock_Log[Part Name],$A27,T_SelfStock_Log[WeekIndex],17))</f>
        <v/>
      </c>
      <c r="S27" s="18">
        <f>IF(COUNTIFS(T_SelfStock_Log[Part Name],$A27,T_SelfStock_Log[WeekIndex],18)=0,"",SUMIFS(T_SelfStock_Log[Self_Qty],T_SelfStock_Log[Part Name],$A27,T_SelfStock_Log[WeekIndex],18))</f>
        <v/>
      </c>
      <c r="T27" s="18">
        <f>IF(COUNTIFS(T_SelfStock_Log[Part Name],$A27,T_SelfStock_Log[WeekIndex],19)=0,"",SUMIFS(T_SelfStock_Log[Self_Qty],T_SelfStock_Log[Part Name],$A27,T_SelfStock_Log[WeekIndex],19))</f>
        <v/>
      </c>
      <c r="U27" s="18">
        <f>IF(COUNTIFS(T_SelfStock_Log[Part Name],$A27,T_SelfStock_Log[WeekIndex],20)=0,"",SUMIFS(T_SelfStock_Log[Self_Qty],T_SelfStock_Log[Part Name],$A27,T_SelfStock_Log[WeekIndex],20))</f>
        <v/>
      </c>
      <c r="V27" s="18">
        <f>IF(COUNTIFS(T_SelfStock_Log[Part Name],$A27,T_SelfStock_Log[WeekIndex],21)=0,"",SUMIFS(T_SelfStock_Log[Self_Qty],T_SelfStock_Log[Part Name],$A27,T_SelfStock_Log[WeekIndex],21))</f>
        <v/>
      </c>
      <c r="W27" s="18">
        <f>IF(COUNTIFS(T_SelfStock_Log[Part Name],$A27,T_SelfStock_Log[WeekIndex],22)=0,"",SUMIFS(T_SelfStock_Log[Self_Qty],T_SelfStock_Log[Part Name],$A27,T_SelfStock_Log[WeekIndex],22))</f>
        <v/>
      </c>
      <c r="X27" s="18">
        <f>IF(COUNTIFS(T_SelfStock_Log[Part Name],$A27,T_SelfStock_Log[WeekIndex],23)=0,"",SUMIFS(T_SelfStock_Log[Self_Qty],T_SelfStock_Log[Part Name],$A27,T_SelfStock_Log[WeekIndex],23))</f>
        <v/>
      </c>
      <c r="Y27" s="18">
        <f>IF(COUNTIFS(T_SelfStock_Log[Part Name],$A27,T_SelfStock_Log[WeekIndex],24)=0,"",SUMIFS(T_SelfStock_Log[Self_Qty],T_SelfStock_Log[Part Name],$A27,T_SelfStock_Log[WeekIndex],24))</f>
        <v/>
      </c>
      <c r="Z27" s="18">
        <f>IF(COUNTIFS(T_SelfStock_Log[Part Name],$A27,T_SelfStock_Log[WeekIndex],25)=0,"",SUMIFS(T_SelfStock_Log[Self_Qty],T_SelfStock_Log[Part Name],$A27,T_SelfStock_Log[WeekIndex],25))</f>
        <v/>
      </c>
      <c r="AA27" s="18">
        <f>IF(COUNTIFS(T_SelfStock_Log[Part Name],$A27,T_SelfStock_Log[WeekIndex],26)=0,"",SUMIFS(T_SelfStock_Log[Self_Qty],T_SelfStock_Log[Part Name],$A27,T_SelfStock_Log[WeekIndex],26))</f>
        <v/>
      </c>
      <c r="AB27" s="18">
        <f>IF(COUNTIFS(T_SelfStock_Log[Part Name],$A27,T_SelfStock_Log[WeekIndex],27)=0,"",SUMIFS(T_SelfStock_Log[Self_Qty],T_SelfStock_Log[Part Name],$A27,T_SelfStock_Log[WeekIndex],27))</f>
        <v/>
      </c>
      <c r="AC27" s="18">
        <f>IF(COUNTIFS(T_SelfStock_Log[Part Name],$A27,T_SelfStock_Log[WeekIndex],28)=0,"",SUMIFS(T_SelfStock_Log[Self_Qty],T_SelfStock_Log[Part Name],$A27,T_SelfStock_Log[WeekIndex],28))</f>
        <v/>
      </c>
      <c r="AD27" s="18">
        <f>IF(COUNTIFS(T_SelfStock_Log[Part Name],$A27,T_SelfStock_Log[WeekIndex],29)=0,"",SUMIFS(T_SelfStock_Log[Self_Qty],T_SelfStock_Log[Part Name],$A27,T_SelfStock_Log[WeekIndex],29))</f>
        <v/>
      </c>
      <c r="AE27" s="18">
        <f>IF(COUNTIFS(T_SelfStock_Log[Part Name],$A27,T_SelfStock_Log[WeekIndex],30)=0,"",SUMIFS(T_SelfStock_Log[Self_Qty],T_SelfStock_Log[Part Name],$A27,T_SelfStock_Log[WeekIndex],30))</f>
        <v/>
      </c>
      <c r="AF27" s="18">
        <f>IF(COUNTIFS(T_SelfStock_Log[Part Name],$A27,T_SelfStock_Log[WeekIndex],31)=0,"",SUMIFS(T_SelfStock_Log[Self_Qty],T_SelfStock_Log[Part Name],$A27,T_SelfStock_Log[WeekIndex],31))</f>
        <v/>
      </c>
      <c r="AG27" s="18">
        <f>IF(COUNTIFS(T_SelfStock_Log[Part Name],$A27,T_SelfStock_Log[WeekIndex],32)=0,"",SUMIFS(T_SelfStock_Log[Self_Qty],T_SelfStock_Log[Part Name],$A27,T_SelfStock_Log[WeekIndex],32))</f>
        <v/>
      </c>
      <c r="AH27" s="18">
        <f>IF(COUNTIFS(T_SelfStock_Log[Part Name],$A27,T_SelfStock_Log[WeekIndex],33)=0,"",SUMIFS(T_SelfStock_Log[Self_Qty],T_SelfStock_Log[Part Name],$A27,T_SelfStock_Log[WeekIndex],33))</f>
        <v/>
      </c>
      <c r="AI27" s="18">
        <f>IF(COUNTIFS(T_SelfStock_Log[Part Name],$A27,T_SelfStock_Log[WeekIndex],34)=0,"",SUMIFS(T_SelfStock_Log[Self_Qty],T_SelfStock_Log[Part Name],$A27,T_SelfStock_Log[WeekIndex],34))</f>
        <v/>
      </c>
      <c r="AJ27" s="18">
        <f>IF(COUNTIFS(T_SelfStock_Log[Part Name],$A27,T_SelfStock_Log[WeekIndex],35)=0,"",SUMIFS(T_SelfStock_Log[Self_Qty],T_SelfStock_Log[Part Name],$A27,T_SelfStock_Log[WeekIndex],35))</f>
        <v/>
      </c>
      <c r="AK27" s="18">
        <f>IF(COUNTIFS(T_SelfStock_Log[Part Name],$A27,T_SelfStock_Log[WeekIndex],36)=0,"",SUMIFS(T_SelfStock_Log[Self_Qty],T_SelfStock_Log[Part Name],$A27,T_SelfStock_Log[WeekIndex],36))</f>
        <v/>
      </c>
      <c r="AL27" s="18">
        <f>IF(COUNTIFS(T_SelfStock_Log[Part Name],$A27,T_SelfStock_Log[WeekIndex],37)=0,"",SUMIFS(T_SelfStock_Log[Self_Qty],T_SelfStock_Log[Part Name],$A27,T_SelfStock_Log[WeekIndex],37))</f>
        <v/>
      </c>
      <c r="AM27" s="18">
        <f>IF(COUNTIFS(T_SelfStock_Log[Part Name],$A27,T_SelfStock_Log[WeekIndex],38)=0,"",SUMIFS(T_SelfStock_Log[Self_Qty],T_SelfStock_Log[Part Name],$A27,T_SelfStock_Log[WeekIndex],38))</f>
        <v/>
      </c>
      <c r="AN27" s="18">
        <f>IF(COUNTIFS(T_SelfStock_Log[Part Name],$A27,T_SelfStock_Log[WeekIndex],39)=0,"",SUMIFS(T_SelfStock_Log[Self_Qty],T_SelfStock_Log[Part Name],$A27,T_SelfStock_Log[WeekIndex],39))</f>
        <v/>
      </c>
      <c r="AO27" s="18">
        <f>IF(COUNTIFS(T_SelfStock_Log[Part Name],$A27,T_SelfStock_Log[WeekIndex],40)=0,"",SUMIFS(T_SelfStock_Log[Self_Qty],T_SelfStock_Log[Part Name],$A27,T_SelfStock_Log[WeekIndex],40))</f>
        <v/>
      </c>
      <c r="AP27" s="18">
        <f>IF(COUNTIFS(T_SelfStock_Log[Part Name],$A27,T_SelfStock_Log[WeekIndex],41)=0,"",SUMIFS(T_SelfStock_Log[Self_Qty],T_SelfStock_Log[Part Name],$A27,T_SelfStock_Log[WeekIndex],41))</f>
        <v/>
      </c>
      <c r="AQ27" s="18">
        <f>IF(COUNTIFS(T_SelfStock_Log[Part Name],$A27,T_SelfStock_Log[WeekIndex],42)=0,"",SUMIFS(T_SelfStock_Log[Self_Qty],T_SelfStock_Log[Part Name],$A27,T_SelfStock_Log[WeekIndex],42))</f>
        <v/>
      </c>
      <c r="AR27" s="18">
        <f>IF(COUNTIFS(T_SelfStock_Log[Part Name],$A27,T_SelfStock_Log[WeekIndex],43)=0,"",SUMIFS(T_SelfStock_Log[Self_Qty],T_SelfStock_Log[Part Name],$A27,T_SelfStock_Log[WeekIndex],43))</f>
        <v/>
      </c>
      <c r="AS27" s="18">
        <f>IF(COUNTIFS(T_SelfStock_Log[Part Name],$A27,T_SelfStock_Log[WeekIndex],44)=0,"",SUMIFS(T_SelfStock_Log[Self_Qty],T_SelfStock_Log[Part Name],$A27,T_SelfStock_Log[WeekIndex],44))</f>
        <v/>
      </c>
      <c r="AT27" s="18">
        <f>IF(COUNTIFS(T_SelfStock_Log[Part Name],$A27,T_SelfStock_Log[WeekIndex],45)=0,"",SUMIFS(T_SelfStock_Log[Self_Qty],T_SelfStock_Log[Part Name],$A27,T_SelfStock_Log[WeekIndex],45))</f>
        <v/>
      </c>
      <c r="AU27" s="18">
        <f>IF(COUNTIFS(T_SelfStock_Log[Part Name],$A27,T_SelfStock_Log[WeekIndex],46)=0,"",SUMIFS(T_SelfStock_Log[Self_Qty],T_SelfStock_Log[Part Name],$A27,T_SelfStock_Log[WeekIndex],46))</f>
        <v/>
      </c>
      <c r="AV27" s="18">
        <f>IF(COUNTIFS(T_SelfStock_Log[Part Name],$A27,T_SelfStock_Log[WeekIndex],47)=0,"",SUMIFS(T_SelfStock_Log[Self_Qty],T_SelfStock_Log[Part Name],$A27,T_SelfStock_Log[WeekIndex],47))</f>
        <v/>
      </c>
      <c r="AW27" s="18">
        <f>IF(COUNTIFS(T_SelfStock_Log[Part Name],$A27,T_SelfStock_Log[WeekIndex],48)=0,"",SUMIFS(T_SelfStock_Log[Self_Qty],T_SelfStock_Log[Part Name],$A27,T_SelfStock_Log[WeekIndex],48))</f>
        <v/>
      </c>
      <c r="AX27" s="18">
        <f>IF(COUNTIFS(T_SelfStock_Log[Part Name],$A27,T_SelfStock_Log[WeekIndex],49)=0,"",SUMIFS(T_SelfStock_Log[Self_Qty],T_SelfStock_Log[Part Name],$A27,T_SelfStock_Log[WeekIndex],49))</f>
        <v/>
      </c>
      <c r="AY27" s="18">
        <f>IF(COUNTIFS(T_SelfStock_Log[Part Name],$A27,T_SelfStock_Log[WeekIndex],50)=0,"",SUMIFS(T_SelfStock_Log[Self_Qty],T_SelfStock_Log[Part Name],$A27,T_SelfStock_Log[WeekIndex],50))</f>
        <v/>
      </c>
      <c r="AZ27" s="18">
        <f>IF(COUNTIFS(T_SelfStock_Log[Part Name],$A27,T_SelfStock_Log[WeekIndex],51)=0,"",SUMIFS(T_SelfStock_Log[Self_Qty],T_SelfStock_Log[Part Name],$A27,T_SelfStock_Log[WeekIndex],51))</f>
        <v/>
      </c>
      <c r="BA27" s="18">
        <f>IF(COUNTIFS(T_SelfStock_Log[Part Name],$A27,T_SelfStock_Log[WeekIndex],52)=0,"",SUMIFS(T_SelfStock_Log[Self_Qty],T_SelfStock_Log[Part Name],$A27,T_SelfStock_Log[WeekIndex],52))</f>
        <v/>
      </c>
      <c r="BB27" s="18">
        <f>IF(COUNTIFS(T_SelfStock_Log[Part Name],$A27,T_SelfStock_Log[WeekIndex],53)=0,"",SUMIFS(T_SelfStock_Log[Self_Qty],T_SelfStock_Log[Part Name],$A27,T_SelfStock_Log[WeekIndex],53))</f>
        <v/>
      </c>
      <c r="BC27" s="18">
        <f>IF(COUNTIFS(T_SelfStock_Log[Part Name],$A27,T_SelfStock_Log[WeekIndex],54)=0,"",SUMIFS(T_SelfStock_Log[Self_Qty],T_SelfStock_Log[Part Name],$A27,T_SelfStock_Log[WeekIndex],54))</f>
        <v/>
      </c>
      <c r="BD27" s="18">
        <f>IF(COUNTIFS(T_SelfStock_Log[Part Name],$A27,T_SelfStock_Log[WeekIndex],55)=0,"",SUMIFS(T_SelfStock_Log[Self_Qty],T_SelfStock_Log[Part Name],$A27,T_SelfStock_Log[WeekIndex],55))</f>
        <v/>
      </c>
      <c r="BE27" s="18">
        <f>IF(COUNTIFS(T_SelfStock_Log[Part Name],$A27,T_SelfStock_Log[WeekIndex],56)=0,"",SUMIFS(T_SelfStock_Log[Self_Qty],T_SelfStock_Log[Part Name],$A27,T_SelfStock_Log[WeekIndex],56))</f>
        <v/>
      </c>
      <c r="BF27" s="18">
        <f>IF(COUNTIFS(T_SelfStock_Log[Part Name],$A27,T_SelfStock_Log[WeekIndex],57)=0,"",SUMIFS(T_SelfStock_Log[Self_Qty],T_SelfStock_Log[Part Name],$A27,T_SelfStock_Log[WeekIndex],57))</f>
        <v/>
      </c>
      <c r="BG27" s="18">
        <f>IF(COUNTIFS(T_SelfStock_Log[Part Name],$A27,T_SelfStock_Log[WeekIndex],58)=0,"",SUMIFS(T_SelfStock_Log[Self_Qty],T_SelfStock_Log[Part Name],$A27,T_SelfStock_Log[WeekIndex],58))</f>
        <v/>
      </c>
      <c r="BH27" s="18">
        <f>IF(COUNTIFS(T_SelfStock_Log[Part Name],$A27,T_SelfStock_Log[WeekIndex],59)=0,"",SUMIFS(T_SelfStock_Log[Self_Qty],T_SelfStock_Log[Part Name],$A27,T_SelfStock_Log[WeekIndex],59))</f>
        <v/>
      </c>
      <c r="BI27" s="18">
        <f>IF(COUNTIFS(T_SelfStock_Log[Part Name],$A27,T_SelfStock_Log[WeekIndex],60)=0,"",SUMIFS(T_SelfStock_Log[Self_Qty],T_SelfStock_Log[Part Name],$A27,T_SelfStock_Log[WeekIndex],60))</f>
        <v/>
      </c>
      <c r="BJ27" s="18">
        <f>IF(COUNTIFS(T_SelfStock_Log[Part Name],$A27,T_SelfStock_Log[WeekIndex],61)=0,"",SUMIFS(T_SelfStock_Log[Self_Qty],T_SelfStock_Log[Part Name],$A27,T_SelfStock_Log[WeekIndex],61))</f>
        <v/>
      </c>
      <c r="BK27" s="18">
        <f>IF(COUNTIFS(T_SelfStock_Log[Part Name],$A27,T_SelfStock_Log[WeekIndex],62)=0,"",SUMIFS(T_SelfStock_Log[Self_Qty],T_SelfStock_Log[Part Name],$A27,T_SelfStock_Log[WeekIndex],62))</f>
        <v/>
      </c>
      <c r="BL27" s="18">
        <f>IF(COUNTIFS(T_SelfStock_Log[Part Name],$A27,T_SelfStock_Log[WeekIndex],63)=0,"",SUMIFS(T_SelfStock_Log[Self_Qty],T_SelfStock_Log[Part Name],$A27,T_SelfStock_Log[WeekIndex],63))</f>
        <v/>
      </c>
      <c r="BM27" s="18">
        <f>IF(COUNTIFS(T_SelfStock_Log[Part Name],$A27,T_SelfStock_Log[WeekIndex],64)=0,"",SUMIFS(T_SelfStock_Log[Self_Qty],T_SelfStock_Log[Part Name],$A27,T_SelfStock_Log[WeekIndex],64))</f>
        <v/>
      </c>
      <c r="BN27" s="18">
        <f>IF(COUNTIFS(T_SelfStock_Log[Part Name],$A27,T_SelfStock_Log[WeekIndex],65)=0,"",SUMIFS(T_SelfStock_Log[Self_Qty],T_SelfStock_Log[Part Name],$A27,T_SelfStock_Log[WeekIndex],65))</f>
        <v/>
      </c>
      <c r="BO27" s="18">
        <f>IF(COUNTIFS(T_SelfStock_Log[Part Name],$A27,T_SelfStock_Log[WeekIndex],66)=0,"",SUMIFS(T_SelfStock_Log[Self_Qty],T_SelfStock_Log[Part Name],$A27,T_SelfStock_Log[WeekIndex],66))</f>
        <v/>
      </c>
      <c r="BP27" s="18">
        <f>IF(COUNTIFS(T_SelfStock_Log[Part Name],$A27,T_SelfStock_Log[WeekIndex],67)=0,"",SUMIFS(T_SelfStock_Log[Self_Qty],T_SelfStock_Log[Part Name],$A27,T_SelfStock_Log[WeekIndex],67))</f>
        <v/>
      </c>
      <c r="BQ27" s="18">
        <f>IF(COUNTIFS(T_SelfStock_Log[Part Name],$A27,T_SelfStock_Log[WeekIndex],68)=0,"",SUMIFS(T_SelfStock_Log[Self_Qty],T_SelfStock_Log[Part Name],$A27,T_SelfStock_Log[WeekIndex],68))</f>
        <v/>
      </c>
      <c r="BR27" s="18">
        <f>IF(COUNTIFS(T_SelfStock_Log[Part Name],$A27,T_SelfStock_Log[WeekIndex],69)=0,"",SUMIFS(T_SelfStock_Log[Self_Qty],T_SelfStock_Log[Part Name],$A27,T_SelfStock_Log[WeekIndex],69))</f>
        <v/>
      </c>
      <c r="BS27" s="18">
        <f>IF(COUNTIFS(T_SelfStock_Log[Part Name],$A27,T_SelfStock_Log[WeekIndex],70)=0,"",SUMIFS(T_SelfStock_Log[Self_Qty],T_SelfStock_Log[Part Name],$A27,T_SelfStock_Log[WeekIndex],70))</f>
        <v/>
      </c>
      <c r="BT27" s="18">
        <f>IF(COUNTIFS(T_SelfStock_Log[Part Name],$A27,T_SelfStock_Log[WeekIndex],71)=0,"",SUMIFS(T_SelfStock_Log[Self_Qty],T_SelfStock_Log[Part Name],$A27,T_SelfStock_Log[WeekIndex],71))</f>
        <v/>
      </c>
      <c r="BU27" s="18">
        <f>IF(COUNTIFS(T_SelfStock_Log[Part Name],$A27,T_SelfStock_Log[WeekIndex],72)=0,"",SUMIFS(T_SelfStock_Log[Self_Qty],T_SelfStock_Log[Part Name],$A27,T_SelfStock_Log[WeekIndex],72))</f>
        <v/>
      </c>
      <c r="BV27" s="18">
        <f>IF(COUNTIFS(T_SelfStock_Log[Part Name],$A27,T_SelfStock_Log[WeekIndex],73)=0,"",SUMIFS(T_SelfStock_Log[Self_Qty],T_SelfStock_Log[Part Name],$A27,T_SelfStock_Log[WeekIndex],73))</f>
        <v/>
      </c>
      <c r="BW27" s="18">
        <f>IF(COUNTIFS(T_SelfStock_Log[Part Name],$A27,T_SelfStock_Log[WeekIndex],74)=0,"",SUMIFS(T_SelfStock_Log[Self_Qty],T_SelfStock_Log[Part Name],$A27,T_SelfStock_Log[WeekIndex],74))</f>
        <v/>
      </c>
      <c r="BX27" s="18">
        <f>IF(COUNTIFS(T_SelfStock_Log[Part Name],$A27,T_SelfStock_Log[WeekIndex],75)=0,"",SUMIFS(T_SelfStock_Log[Self_Qty],T_SelfStock_Log[Part Name],$A27,T_SelfStock_Log[WeekIndex],75))</f>
        <v/>
      </c>
      <c r="BY27" s="18">
        <f>IF(COUNTIFS(T_SelfStock_Log[Part Name],$A27,T_SelfStock_Log[WeekIndex],76)=0,"",SUMIFS(T_SelfStock_Log[Self_Qty],T_SelfStock_Log[Part Name],$A27,T_SelfStock_Log[WeekIndex],76))</f>
        <v/>
      </c>
      <c r="BZ27" s="18">
        <f>IF(COUNTIFS(T_SelfStock_Log[Part Name],$A27,T_SelfStock_Log[WeekIndex],77)=0,"",SUMIFS(T_SelfStock_Log[Self_Qty],T_SelfStock_Log[Part Name],$A27,T_SelfStock_Log[WeekIndex],77))</f>
        <v/>
      </c>
      <c r="CA27" s="18">
        <f>IF(COUNTIFS(T_SelfStock_Log[Part Name],$A27,T_SelfStock_Log[WeekIndex],78)=0,"",SUMIFS(T_SelfStock_Log[Self_Qty],T_SelfStock_Log[Part Name],$A27,T_SelfStock_Log[WeekIndex],78))</f>
        <v/>
      </c>
      <c r="CB27" s="18">
        <f>IF(COUNTIFS(T_SelfStock_Log[Part Name],$A27,T_SelfStock_Log[WeekIndex],79)=0,"",SUMIFS(T_SelfStock_Log[Self_Qty],T_SelfStock_Log[Part Name],$A27,T_SelfStock_Log[WeekIndex],79))</f>
        <v/>
      </c>
      <c r="CC27" s="18">
        <f>IF(COUNTIFS(T_SelfStock_Log[Part Name],$A27,T_SelfStock_Log[WeekIndex],80)=0,"",SUMIFS(T_SelfStock_Log[Self_Qty],T_SelfStock_Log[Part Name],$A27,T_SelfStock_Log[WeekIndex],80))</f>
        <v/>
      </c>
      <c r="CD27" s="18">
        <f>IF(COUNTIFS(T_SelfStock_Log[Part Name],$A27,T_SelfStock_Log[WeekIndex],81)=0,"",SUMIFS(T_SelfStock_Log[Self_Qty],T_SelfStock_Log[Part Name],$A27,T_SelfStock_Log[WeekIndex],81))</f>
        <v/>
      </c>
      <c r="CE27" s="18">
        <f>IF(COUNTIFS(T_SelfStock_Log[Part Name],$A27,T_SelfStock_Log[WeekIndex],82)=0,"",SUMIFS(T_SelfStock_Log[Self_Qty],T_SelfStock_Log[Part Name],$A27,T_SelfStock_Log[WeekIndex],82))</f>
        <v/>
      </c>
      <c r="CF27" s="18">
        <f>IF(COUNTIFS(T_SelfStock_Log[Part Name],$A27,T_SelfStock_Log[WeekIndex],83)=0,"",SUMIFS(T_SelfStock_Log[Self_Qty],T_SelfStock_Log[Part Name],$A27,T_SelfStock_Log[WeekIndex],83))</f>
        <v/>
      </c>
      <c r="CG27" s="18">
        <f>IF(COUNTIFS(T_SelfStock_Log[Part Name],$A27,T_SelfStock_Log[WeekIndex],84)=0,"",SUMIFS(T_SelfStock_Log[Self_Qty],T_SelfStock_Log[Part Name],$A27,T_SelfStock_Log[WeekIndex],84))</f>
        <v/>
      </c>
      <c r="CH27" s="18">
        <f>IF(COUNTIFS(T_SelfStock_Log[Part Name],$A27,T_SelfStock_Log[WeekIndex],85)=0,"",SUMIFS(T_SelfStock_Log[Self_Qty],T_SelfStock_Log[Part Name],$A27,T_SelfStock_Log[WeekIndex],85))</f>
        <v/>
      </c>
      <c r="CI27" s="18">
        <f>IF(COUNTIFS(T_SelfStock_Log[Part Name],$A27,T_SelfStock_Log[WeekIndex],86)=0,"",SUMIFS(T_SelfStock_Log[Self_Qty],T_SelfStock_Log[Part Name],$A27,T_SelfStock_Log[WeekIndex],86))</f>
        <v/>
      </c>
      <c r="CJ27" s="18">
        <f>IF(COUNTIFS(T_SelfStock_Log[Part Name],$A27,T_SelfStock_Log[WeekIndex],87)=0,"",SUMIFS(T_SelfStock_Log[Self_Qty],T_SelfStock_Log[Part Name],$A27,T_SelfStock_Log[WeekIndex],87))</f>
        <v/>
      </c>
      <c r="CK27" s="18">
        <f>IF(COUNTIFS(T_SelfStock_Log[Part Name],$A27,T_SelfStock_Log[WeekIndex],88)=0,"",SUMIFS(T_SelfStock_Log[Self_Qty],T_SelfStock_Log[Part Name],$A27,T_SelfStock_Log[WeekIndex],88))</f>
        <v/>
      </c>
      <c r="CL27" s="18">
        <f>IF(COUNTIFS(T_SelfStock_Log[Part Name],$A27,T_SelfStock_Log[WeekIndex],89)=0,"",SUMIFS(T_SelfStock_Log[Self_Qty],T_SelfStock_Log[Part Name],$A27,T_SelfStock_Log[WeekIndex],89))</f>
        <v/>
      </c>
      <c r="CM27" s="18">
        <f>IF(COUNTIFS(T_SelfStock_Log[Part Name],$A27,T_SelfStock_Log[WeekIndex],90)=0,"",SUMIFS(T_SelfStock_Log[Self_Qty],T_SelfStock_Log[Part Name],$A27,T_SelfStock_Log[WeekIndex],90))</f>
        <v/>
      </c>
      <c r="CN27" s="18">
        <f>IF(COUNTIFS(T_SelfStock_Log[Part Name],$A27,T_SelfStock_Log[WeekIndex],91)=0,"",SUMIFS(T_SelfStock_Log[Self_Qty],T_SelfStock_Log[Part Name],$A27,T_SelfStock_Log[WeekIndex],91))</f>
        <v/>
      </c>
      <c r="CO27" s="18">
        <f>IF(COUNTIFS(T_SelfStock_Log[Part Name],$A27,T_SelfStock_Log[WeekIndex],92)=0,"",SUMIFS(T_SelfStock_Log[Self_Qty],T_SelfStock_Log[Part Name],$A27,T_SelfStock_Log[WeekIndex],92))</f>
        <v/>
      </c>
      <c r="CP27" s="18">
        <f>IF(COUNTIFS(T_SelfStock_Log[Part Name],$A27,T_SelfStock_Log[WeekIndex],93)=0,"",SUMIFS(T_SelfStock_Log[Self_Qty],T_SelfStock_Log[Part Name],$A27,T_SelfStock_Log[WeekIndex],93))</f>
        <v/>
      </c>
      <c r="CQ27" s="18">
        <f>IF(COUNTIFS(T_SelfStock_Log[Part Name],$A27,T_SelfStock_Log[WeekIndex],94)=0,"",SUMIFS(T_SelfStock_Log[Self_Qty],T_SelfStock_Log[Part Name],$A27,T_SelfStock_Log[WeekIndex],94))</f>
        <v/>
      </c>
      <c r="CR27" s="18">
        <f>IF(COUNTIFS(T_SelfStock_Log[Part Name],$A27,T_SelfStock_Log[WeekIndex],95)=0,"",SUMIFS(T_SelfStock_Log[Self_Qty],T_SelfStock_Log[Part Name],$A27,T_SelfStock_Log[WeekIndex],95))</f>
        <v/>
      </c>
      <c r="CS27" s="18">
        <f>IF(COUNTIFS(T_SelfStock_Log[Part Name],$A27,T_SelfStock_Log[WeekIndex],96)=0,"",SUMIFS(T_SelfStock_Log[Self_Qty],T_SelfStock_Log[Part Name],$A27,T_SelfStock_Log[WeekIndex],96))</f>
        <v/>
      </c>
      <c r="CT27" s="18">
        <f>IF(COUNTIFS(T_SelfStock_Log[Part Name],$A27,T_SelfStock_Log[WeekIndex],97)=0,"",SUMIFS(T_SelfStock_Log[Self_Qty],T_SelfStock_Log[Part Name],$A27,T_SelfStock_Log[WeekIndex],97))</f>
        <v/>
      </c>
      <c r="CU27" s="18">
        <f>IF(COUNTIFS(T_SelfStock_Log[Part Name],$A27,T_SelfStock_Log[WeekIndex],98)=0,"",SUMIFS(T_SelfStock_Log[Self_Qty],T_SelfStock_Log[Part Name],$A27,T_SelfStock_Log[WeekIndex],98))</f>
        <v/>
      </c>
      <c r="CV27" s="18">
        <f>IF(COUNTIFS(T_SelfStock_Log[Part Name],$A27,T_SelfStock_Log[WeekIndex],99)=0,"",SUMIFS(T_SelfStock_Log[Self_Qty],T_SelfStock_Log[Part Name],$A27,T_SelfStock_Log[WeekIndex],99))</f>
        <v/>
      </c>
      <c r="CW27" s="18">
        <f>IF(COUNTIFS(T_SelfStock_Log[Part Name],$A27,T_SelfStock_Log[WeekIndex],100)=0,"",SUMIFS(T_SelfStock_Log[Self_Qty],T_SelfStock_Log[Part Name],$A27,T_SelfStock_Log[WeekIndex],100))</f>
        <v/>
      </c>
      <c r="CX27" s="18">
        <f>IF(COUNTIFS(T_SelfStock_Log[Part Name],$A27,T_SelfStock_Log[WeekIndex],101)=0,"",SUMIFS(T_SelfStock_Log[Self_Qty],T_SelfStock_Log[Part Name],$A27,T_SelfStock_Log[WeekIndex],101))</f>
        <v/>
      </c>
      <c r="CY27" s="18">
        <f>IF(COUNTIFS(T_SelfStock_Log[Part Name],$A27,T_SelfStock_Log[WeekIndex],102)=0,"",SUMIFS(T_SelfStock_Log[Self_Qty],T_SelfStock_Log[Part Name],$A27,T_SelfStock_Log[WeekIndex],102))</f>
        <v/>
      </c>
      <c r="CZ27" s="18">
        <f>IF(COUNTIFS(T_SelfStock_Log[Part Name],$A27,T_SelfStock_Log[WeekIndex],103)=0,"",SUMIFS(T_SelfStock_Log[Self_Qty],T_SelfStock_Log[Part Name],$A27,T_SelfStock_Log[WeekIndex],103))</f>
        <v/>
      </c>
      <c r="DA27" s="18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Original Towel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8" t="inlineStr">
        <is>
          <t>CHEM-1200</t>
        </is>
      </c>
      <c r="B29" s="18">
        <f>IF(COUNTIFS(T_SelfStock_Log[Part Name],$A29,T_SelfStock_Log[WeekIndex],1)=0,"",SUMIFS(T_SelfStock_Log[Self_Qty],T_SelfStock_Log[Part Name],$A29,T_SelfStock_Log[WeekIndex],1))</f>
        <v/>
      </c>
      <c r="C29" s="18">
        <f>IF(COUNTIFS(T_SelfStock_Log[Part Name],$A29,T_SelfStock_Log[WeekIndex],2)=0,"",SUMIFS(T_SelfStock_Log[Self_Qty],T_SelfStock_Log[Part Name],$A29,T_SelfStock_Log[WeekIndex],2))</f>
        <v/>
      </c>
      <c r="D29" s="18">
        <f>IF(COUNTIFS(T_SelfStock_Log[Part Name],$A29,T_SelfStock_Log[WeekIndex],3)=0,"",SUMIFS(T_SelfStock_Log[Self_Qty],T_SelfStock_Log[Part Name],$A29,T_SelfStock_Log[WeekIndex],3))</f>
        <v/>
      </c>
      <c r="E29" s="18">
        <f>IF(COUNTIFS(T_SelfStock_Log[Part Name],$A29,T_SelfStock_Log[WeekIndex],4)=0,"",SUMIFS(T_SelfStock_Log[Self_Qty],T_SelfStock_Log[Part Name],$A29,T_SelfStock_Log[WeekIndex],4))</f>
        <v/>
      </c>
      <c r="F29" s="18">
        <f>IF(COUNTIFS(T_SelfStock_Log[Part Name],$A29,T_SelfStock_Log[WeekIndex],5)=0,"",SUMIFS(T_SelfStock_Log[Self_Qty],T_SelfStock_Log[Part Name],$A29,T_SelfStock_Log[WeekIndex],5))</f>
        <v/>
      </c>
      <c r="G29" s="18">
        <f>IF(COUNTIFS(T_SelfStock_Log[Part Name],$A29,T_SelfStock_Log[WeekIndex],6)=0,"",SUMIFS(T_SelfStock_Log[Self_Qty],T_SelfStock_Log[Part Name],$A29,T_SelfStock_Log[WeekIndex],6))</f>
        <v/>
      </c>
      <c r="H29" s="18">
        <f>IF(COUNTIFS(T_SelfStock_Log[Part Name],$A29,T_SelfStock_Log[WeekIndex],7)=0,"",SUMIFS(T_SelfStock_Log[Self_Qty],T_SelfStock_Log[Part Name],$A29,T_SelfStock_Log[WeekIndex],7))</f>
        <v/>
      </c>
      <c r="I29" s="18">
        <f>IF(COUNTIFS(T_SelfStock_Log[Part Name],$A29,T_SelfStock_Log[WeekIndex],8)=0,"",SUMIFS(T_SelfStock_Log[Self_Qty],T_SelfStock_Log[Part Name],$A29,T_SelfStock_Log[WeekIndex],8))</f>
        <v/>
      </c>
      <c r="J29" s="18">
        <f>IF(COUNTIFS(T_SelfStock_Log[Part Name],$A29,T_SelfStock_Log[WeekIndex],9)=0,"",SUMIFS(T_SelfStock_Log[Self_Qty],T_SelfStock_Log[Part Name],$A29,T_SelfStock_Log[WeekIndex],9))</f>
        <v/>
      </c>
      <c r="K29" s="18">
        <f>IF(COUNTIFS(T_SelfStock_Log[Part Name],$A29,T_SelfStock_Log[WeekIndex],10)=0,"",SUMIFS(T_SelfStock_Log[Self_Qty],T_SelfStock_Log[Part Name],$A29,T_SelfStock_Log[WeekIndex],10))</f>
        <v/>
      </c>
      <c r="L29" s="18">
        <f>IF(COUNTIFS(T_SelfStock_Log[Part Name],$A29,T_SelfStock_Log[WeekIndex],11)=0,"",SUMIFS(T_SelfStock_Log[Self_Qty],T_SelfStock_Log[Part Name],$A29,T_SelfStock_Log[WeekIndex],11))</f>
        <v/>
      </c>
      <c r="M29" s="18">
        <f>IF(COUNTIFS(T_SelfStock_Log[Part Name],$A29,T_SelfStock_Log[WeekIndex],12)=0,"",SUMIFS(T_SelfStock_Log[Self_Qty],T_SelfStock_Log[Part Name],$A29,T_SelfStock_Log[WeekIndex],12))</f>
        <v/>
      </c>
      <c r="N29" s="18">
        <f>IF(COUNTIFS(T_SelfStock_Log[Part Name],$A29,T_SelfStock_Log[WeekIndex],13)=0,"",SUMIFS(T_SelfStock_Log[Self_Qty],T_SelfStock_Log[Part Name],$A29,T_SelfStock_Log[WeekIndex],13))</f>
        <v/>
      </c>
      <c r="O29" s="18">
        <f>IF(COUNTIFS(T_SelfStock_Log[Part Name],$A29,T_SelfStock_Log[WeekIndex],14)=0,"",SUMIFS(T_SelfStock_Log[Self_Qty],T_SelfStock_Log[Part Name],$A29,T_SelfStock_Log[WeekIndex],14))</f>
        <v/>
      </c>
      <c r="P29" s="18">
        <f>IF(COUNTIFS(T_SelfStock_Log[Part Name],$A29,T_SelfStock_Log[WeekIndex],15)=0,"",SUMIFS(T_SelfStock_Log[Self_Qty],T_SelfStock_Log[Part Name],$A29,T_SelfStock_Log[WeekIndex],15))</f>
        <v/>
      </c>
      <c r="Q29" s="18">
        <f>IF(COUNTIFS(T_SelfStock_Log[Part Name],$A29,T_SelfStock_Log[WeekIndex],16)=0,"",SUMIFS(T_SelfStock_Log[Self_Qty],T_SelfStock_Log[Part Name],$A29,T_SelfStock_Log[WeekIndex],16))</f>
        <v/>
      </c>
      <c r="R29" s="18">
        <f>IF(COUNTIFS(T_SelfStock_Log[Part Name],$A29,T_SelfStock_Log[WeekIndex],17)=0,"",SUMIFS(T_SelfStock_Log[Self_Qty],T_SelfStock_Log[Part Name],$A29,T_SelfStock_Log[WeekIndex],17))</f>
        <v/>
      </c>
      <c r="S29" s="18">
        <f>IF(COUNTIFS(T_SelfStock_Log[Part Name],$A29,T_SelfStock_Log[WeekIndex],18)=0,"",SUMIFS(T_SelfStock_Log[Self_Qty],T_SelfStock_Log[Part Name],$A29,T_SelfStock_Log[WeekIndex],18))</f>
        <v/>
      </c>
      <c r="T29" s="18">
        <f>IF(COUNTIFS(T_SelfStock_Log[Part Name],$A29,T_SelfStock_Log[WeekIndex],19)=0,"",SUMIFS(T_SelfStock_Log[Self_Qty],T_SelfStock_Log[Part Name],$A29,T_SelfStock_Log[WeekIndex],19))</f>
        <v/>
      </c>
      <c r="U29" s="18">
        <f>IF(COUNTIFS(T_SelfStock_Log[Part Name],$A29,T_SelfStock_Log[WeekIndex],20)=0,"",SUMIFS(T_SelfStock_Log[Self_Qty],T_SelfStock_Log[Part Name],$A29,T_SelfStock_Log[WeekIndex],20))</f>
        <v/>
      </c>
      <c r="V29" s="18">
        <f>IF(COUNTIFS(T_SelfStock_Log[Part Name],$A29,T_SelfStock_Log[WeekIndex],21)=0,"",SUMIFS(T_SelfStock_Log[Self_Qty],T_SelfStock_Log[Part Name],$A29,T_SelfStock_Log[WeekIndex],21))</f>
        <v/>
      </c>
      <c r="W29" s="18">
        <f>IF(COUNTIFS(T_SelfStock_Log[Part Name],$A29,T_SelfStock_Log[WeekIndex],22)=0,"",SUMIFS(T_SelfStock_Log[Self_Qty],T_SelfStock_Log[Part Name],$A29,T_SelfStock_Log[WeekIndex],22))</f>
        <v/>
      </c>
      <c r="X29" s="18">
        <f>IF(COUNTIFS(T_SelfStock_Log[Part Name],$A29,T_SelfStock_Log[WeekIndex],23)=0,"",SUMIFS(T_SelfStock_Log[Self_Qty],T_SelfStock_Log[Part Name],$A29,T_SelfStock_Log[WeekIndex],23))</f>
        <v/>
      </c>
      <c r="Y29" s="18">
        <f>IF(COUNTIFS(T_SelfStock_Log[Part Name],$A29,T_SelfStock_Log[WeekIndex],24)=0,"",SUMIFS(T_SelfStock_Log[Self_Qty],T_SelfStock_Log[Part Name],$A29,T_SelfStock_Log[WeekIndex],24))</f>
        <v/>
      </c>
      <c r="Z29" s="18">
        <f>IF(COUNTIFS(T_SelfStock_Log[Part Name],$A29,T_SelfStock_Log[WeekIndex],25)=0,"",SUMIFS(T_SelfStock_Log[Self_Qty],T_SelfStock_Log[Part Name],$A29,T_SelfStock_Log[WeekIndex],25))</f>
        <v/>
      </c>
      <c r="AA29" s="18">
        <f>IF(COUNTIFS(T_SelfStock_Log[Part Name],$A29,T_SelfStock_Log[WeekIndex],26)=0,"",SUMIFS(T_SelfStock_Log[Self_Qty],T_SelfStock_Log[Part Name],$A29,T_SelfStock_Log[WeekIndex],26))</f>
        <v/>
      </c>
      <c r="AB29" s="18">
        <f>IF(COUNTIFS(T_SelfStock_Log[Part Name],$A29,T_SelfStock_Log[WeekIndex],27)=0,"",SUMIFS(T_SelfStock_Log[Self_Qty],T_SelfStock_Log[Part Name],$A29,T_SelfStock_Log[WeekIndex],27))</f>
        <v/>
      </c>
      <c r="AC29" s="18">
        <f>IF(COUNTIFS(T_SelfStock_Log[Part Name],$A29,T_SelfStock_Log[WeekIndex],28)=0,"",SUMIFS(T_SelfStock_Log[Self_Qty],T_SelfStock_Log[Part Name],$A29,T_SelfStock_Log[WeekIndex],28))</f>
        <v/>
      </c>
      <c r="AD29" s="18">
        <f>IF(COUNTIFS(T_SelfStock_Log[Part Name],$A29,T_SelfStock_Log[WeekIndex],29)=0,"",SUMIFS(T_SelfStock_Log[Self_Qty],T_SelfStock_Log[Part Name],$A29,T_SelfStock_Log[WeekIndex],29))</f>
        <v/>
      </c>
      <c r="AE29" s="18">
        <f>IF(COUNTIFS(T_SelfStock_Log[Part Name],$A29,T_SelfStock_Log[WeekIndex],30)=0,"",SUMIFS(T_SelfStock_Log[Self_Qty],T_SelfStock_Log[Part Name],$A29,T_SelfStock_Log[WeekIndex],30))</f>
        <v/>
      </c>
      <c r="AF29" s="18">
        <f>IF(COUNTIFS(T_SelfStock_Log[Part Name],$A29,T_SelfStock_Log[WeekIndex],31)=0,"",SUMIFS(T_SelfStock_Log[Self_Qty],T_SelfStock_Log[Part Name],$A29,T_SelfStock_Log[WeekIndex],31))</f>
        <v/>
      </c>
      <c r="AG29" s="18">
        <f>IF(COUNTIFS(T_SelfStock_Log[Part Name],$A29,T_SelfStock_Log[WeekIndex],32)=0,"",SUMIFS(T_SelfStock_Log[Self_Qty],T_SelfStock_Log[Part Name],$A29,T_SelfStock_Log[WeekIndex],32))</f>
        <v/>
      </c>
      <c r="AH29" s="18">
        <f>IF(COUNTIFS(T_SelfStock_Log[Part Name],$A29,T_SelfStock_Log[WeekIndex],33)=0,"",SUMIFS(T_SelfStock_Log[Self_Qty],T_SelfStock_Log[Part Name],$A29,T_SelfStock_Log[WeekIndex],33))</f>
        <v/>
      </c>
      <c r="AI29" s="18">
        <f>IF(COUNTIFS(T_SelfStock_Log[Part Name],$A29,T_SelfStock_Log[WeekIndex],34)=0,"",SUMIFS(T_SelfStock_Log[Self_Qty],T_SelfStock_Log[Part Name],$A29,T_SelfStock_Log[WeekIndex],34))</f>
        <v/>
      </c>
      <c r="AJ29" s="18">
        <f>IF(COUNTIFS(T_SelfStock_Log[Part Name],$A29,T_SelfStock_Log[WeekIndex],35)=0,"",SUMIFS(T_SelfStock_Log[Self_Qty],T_SelfStock_Log[Part Name],$A29,T_SelfStock_Log[WeekIndex],35))</f>
        <v/>
      </c>
      <c r="AK29" s="18">
        <f>IF(COUNTIFS(T_SelfStock_Log[Part Name],$A29,T_SelfStock_Log[WeekIndex],36)=0,"",SUMIFS(T_SelfStock_Log[Self_Qty],T_SelfStock_Log[Part Name],$A29,T_SelfStock_Log[WeekIndex],36))</f>
        <v/>
      </c>
      <c r="AL29" s="18">
        <f>IF(COUNTIFS(T_SelfStock_Log[Part Name],$A29,T_SelfStock_Log[WeekIndex],37)=0,"",SUMIFS(T_SelfStock_Log[Self_Qty],T_SelfStock_Log[Part Name],$A29,T_SelfStock_Log[WeekIndex],37))</f>
        <v/>
      </c>
      <c r="AM29" s="18">
        <f>IF(COUNTIFS(T_SelfStock_Log[Part Name],$A29,T_SelfStock_Log[WeekIndex],38)=0,"",SUMIFS(T_SelfStock_Log[Self_Qty],T_SelfStock_Log[Part Name],$A29,T_SelfStock_Log[WeekIndex],38))</f>
        <v/>
      </c>
      <c r="AN29" s="18">
        <f>IF(COUNTIFS(T_SelfStock_Log[Part Name],$A29,T_SelfStock_Log[WeekIndex],39)=0,"",SUMIFS(T_SelfStock_Log[Self_Qty],T_SelfStock_Log[Part Name],$A29,T_SelfStock_Log[WeekIndex],39))</f>
        <v/>
      </c>
      <c r="AO29" s="18">
        <f>IF(COUNTIFS(T_SelfStock_Log[Part Name],$A29,T_SelfStock_Log[WeekIndex],40)=0,"",SUMIFS(T_SelfStock_Log[Self_Qty],T_SelfStock_Log[Part Name],$A29,T_SelfStock_Log[WeekIndex],40))</f>
        <v/>
      </c>
      <c r="AP29" s="18">
        <f>IF(COUNTIFS(T_SelfStock_Log[Part Name],$A29,T_SelfStock_Log[WeekIndex],41)=0,"",SUMIFS(T_SelfStock_Log[Self_Qty],T_SelfStock_Log[Part Name],$A29,T_SelfStock_Log[WeekIndex],41))</f>
        <v/>
      </c>
      <c r="AQ29" s="18">
        <f>IF(COUNTIFS(T_SelfStock_Log[Part Name],$A29,T_SelfStock_Log[WeekIndex],42)=0,"",SUMIFS(T_SelfStock_Log[Self_Qty],T_SelfStock_Log[Part Name],$A29,T_SelfStock_Log[WeekIndex],42))</f>
        <v/>
      </c>
      <c r="AR29" s="18">
        <f>IF(COUNTIFS(T_SelfStock_Log[Part Name],$A29,T_SelfStock_Log[WeekIndex],43)=0,"",SUMIFS(T_SelfStock_Log[Self_Qty],T_SelfStock_Log[Part Name],$A29,T_SelfStock_Log[WeekIndex],43))</f>
        <v/>
      </c>
      <c r="AS29" s="18">
        <f>IF(COUNTIFS(T_SelfStock_Log[Part Name],$A29,T_SelfStock_Log[WeekIndex],44)=0,"",SUMIFS(T_SelfStock_Log[Self_Qty],T_SelfStock_Log[Part Name],$A29,T_SelfStock_Log[WeekIndex],44))</f>
        <v/>
      </c>
      <c r="AT29" s="18">
        <f>IF(COUNTIFS(T_SelfStock_Log[Part Name],$A29,T_SelfStock_Log[WeekIndex],45)=0,"",SUMIFS(T_SelfStock_Log[Self_Qty],T_SelfStock_Log[Part Name],$A29,T_SelfStock_Log[WeekIndex],45))</f>
        <v/>
      </c>
      <c r="AU29" s="18">
        <f>IF(COUNTIFS(T_SelfStock_Log[Part Name],$A29,T_SelfStock_Log[WeekIndex],46)=0,"",SUMIFS(T_SelfStock_Log[Self_Qty],T_SelfStock_Log[Part Name],$A29,T_SelfStock_Log[WeekIndex],46))</f>
        <v/>
      </c>
      <c r="AV29" s="18">
        <f>IF(COUNTIFS(T_SelfStock_Log[Part Name],$A29,T_SelfStock_Log[WeekIndex],47)=0,"",SUMIFS(T_SelfStock_Log[Self_Qty],T_SelfStock_Log[Part Name],$A29,T_SelfStock_Log[WeekIndex],47))</f>
        <v/>
      </c>
      <c r="AW29" s="18">
        <f>IF(COUNTIFS(T_SelfStock_Log[Part Name],$A29,T_SelfStock_Log[WeekIndex],48)=0,"",SUMIFS(T_SelfStock_Log[Self_Qty],T_SelfStock_Log[Part Name],$A29,T_SelfStock_Log[WeekIndex],48))</f>
        <v/>
      </c>
      <c r="AX29" s="18">
        <f>IF(COUNTIFS(T_SelfStock_Log[Part Name],$A29,T_SelfStock_Log[WeekIndex],49)=0,"",SUMIFS(T_SelfStock_Log[Self_Qty],T_SelfStock_Log[Part Name],$A29,T_SelfStock_Log[WeekIndex],49))</f>
        <v/>
      </c>
      <c r="AY29" s="18">
        <f>IF(COUNTIFS(T_SelfStock_Log[Part Name],$A29,T_SelfStock_Log[WeekIndex],50)=0,"",SUMIFS(T_SelfStock_Log[Self_Qty],T_SelfStock_Log[Part Name],$A29,T_SelfStock_Log[WeekIndex],50))</f>
        <v/>
      </c>
      <c r="AZ29" s="18">
        <f>IF(COUNTIFS(T_SelfStock_Log[Part Name],$A29,T_SelfStock_Log[WeekIndex],51)=0,"",SUMIFS(T_SelfStock_Log[Self_Qty],T_SelfStock_Log[Part Name],$A29,T_SelfStock_Log[WeekIndex],51))</f>
        <v/>
      </c>
      <c r="BA29" s="18">
        <f>IF(COUNTIFS(T_SelfStock_Log[Part Name],$A29,T_SelfStock_Log[WeekIndex],52)=0,"",SUMIFS(T_SelfStock_Log[Self_Qty],T_SelfStock_Log[Part Name],$A29,T_SelfStock_Log[WeekIndex],52))</f>
        <v/>
      </c>
      <c r="BB29" s="18">
        <f>IF(COUNTIFS(T_SelfStock_Log[Part Name],$A29,T_SelfStock_Log[WeekIndex],53)=0,"",SUMIFS(T_SelfStock_Log[Self_Qty],T_SelfStock_Log[Part Name],$A29,T_SelfStock_Log[WeekIndex],53))</f>
        <v/>
      </c>
      <c r="BC29" s="18">
        <f>IF(COUNTIFS(T_SelfStock_Log[Part Name],$A29,T_SelfStock_Log[WeekIndex],54)=0,"",SUMIFS(T_SelfStock_Log[Self_Qty],T_SelfStock_Log[Part Name],$A29,T_SelfStock_Log[WeekIndex],54))</f>
        <v/>
      </c>
      <c r="BD29" s="18">
        <f>IF(COUNTIFS(T_SelfStock_Log[Part Name],$A29,T_SelfStock_Log[WeekIndex],55)=0,"",SUMIFS(T_SelfStock_Log[Self_Qty],T_SelfStock_Log[Part Name],$A29,T_SelfStock_Log[WeekIndex],55))</f>
        <v/>
      </c>
      <c r="BE29" s="18">
        <f>IF(COUNTIFS(T_SelfStock_Log[Part Name],$A29,T_SelfStock_Log[WeekIndex],56)=0,"",SUMIFS(T_SelfStock_Log[Self_Qty],T_SelfStock_Log[Part Name],$A29,T_SelfStock_Log[WeekIndex],56))</f>
        <v/>
      </c>
      <c r="BF29" s="18">
        <f>IF(COUNTIFS(T_SelfStock_Log[Part Name],$A29,T_SelfStock_Log[WeekIndex],57)=0,"",SUMIFS(T_SelfStock_Log[Self_Qty],T_SelfStock_Log[Part Name],$A29,T_SelfStock_Log[WeekIndex],57))</f>
        <v/>
      </c>
      <c r="BG29" s="18">
        <f>IF(COUNTIFS(T_SelfStock_Log[Part Name],$A29,T_SelfStock_Log[WeekIndex],58)=0,"",SUMIFS(T_SelfStock_Log[Self_Qty],T_SelfStock_Log[Part Name],$A29,T_SelfStock_Log[WeekIndex],58))</f>
        <v/>
      </c>
      <c r="BH29" s="18">
        <f>IF(COUNTIFS(T_SelfStock_Log[Part Name],$A29,T_SelfStock_Log[WeekIndex],59)=0,"",SUMIFS(T_SelfStock_Log[Self_Qty],T_SelfStock_Log[Part Name],$A29,T_SelfStock_Log[WeekIndex],59))</f>
        <v/>
      </c>
      <c r="BI29" s="18">
        <f>IF(COUNTIFS(T_SelfStock_Log[Part Name],$A29,T_SelfStock_Log[WeekIndex],60)=0,"",SUMIFS(T_SelfStock_Log[Self_Qty],T_SelfStock_Log[Part Name],$A29,T_SelfStock_Log[WeekIndex],60))</f>
        <v/>
      </c>
      <c r="BJ29" s="18">
        <f>IF(COUNTIFS(T_SelfStock_Log[Part Name],$A29,T_SelfStock_Log[WeekIndex],61)=0,"",SUMIFS(T_SelfStock_Log[Self_Qty],T_SelfStock_Log[Part Name],$A29,T_SelfStock_Log[WeekIndex],61))</f>
        <v/>
      </c>
      <c r="BK29" s="18">
        <f>IF(COUNTIFS(T_SelfStock_Log[Part Name],$A29,T_SelfStock_Log[WeekIndex],62)=0,"",SUMIFS(T_SelfStock_Log[Self_Qty],T_SelfStock_Log[Part Name],$A29,T_SelfStock_Log[WeekIndex],62))</f>
        <v/>
      </c>
      <c r="BL29" s="18">
        <f>IF(COUNTIFS(T_SelfStock_Log[Part Name],$A29,T_SelfStock_Log[WeekIndex],63)=0,"",SUMIFS(T_SelfStock_Log[Self_Qty],T_SelfStock_Log[Part Name],$A29,T_SelfStock_Log[WeekIndex],63))</f>
        <v/>
      </c>
      <c r="BM29" s="18">
        <f>IF(COUNTIFS(T_SelfStock_Log[Part Name],$A29,T_SelfStock_Log[WeekIndex],64)=0,"",SUMIFS(T_SelfStock_Log[Self_Qty],T_SelfStock_Log[Part Name],$A29,T_SelfStock_Log[WeekIndex],64))</f>
        <v/>
      </c>
      <c r="BN29" s="18">
        <f>IF(COUNTIFS(T_SelfStock_Log[Part Name],$A29,T_SelfStock_Log[WeekIndex],65)=0,"",SUMIFS(T_SelfStock_Log[Self_Qty],T_SelfStock_Log[Part Name],$A29,T_SelfStock_Log[WeekIndex],65))</f>
        <v/>
      </c>
      <c r="BO29" s="18">
        <f>IF(COUNTIFS(T_SelfStock_Log[Part Name],$A29,T_SelfStock_Log[WeekIndex],66)=0,"",SUMIFS(T_SelfStock_Log[Self_Qty],T_SelfStock_Log[Part Name],$A29,T_SelfStock_Log[WeekIndex],66))</f>
        <v/>
      </c>
      <c r="BP29" s="18">
        <f>IF(COUNTIFS(T_SelfStock_Log[Part Name],$A29,T_SelfStock_Log[WeekIndex],67)=0,"",SUMIFS(T_SelfStock_Log[Self_Qty],T_SelfStock_Log[Part Name],$A29,T_SelfStock_Log[WeekIndex],67))</f>
        <v/>
      </c>
      <c r="BQ29" s="18">
        <f>IF(COUNTIFS(T_SelfStock_Log[Part Name],$A29,T_SelfStock_Log[WeekIndex],68)=0,"",SUMIFS(T_SelfStock_Log[Self_Qty],T_SelfStock_Log[Part Name],$A29,T_SelfStock_Log[WeekIndex],68))</f>
        <v/>
      </c>
      <c r="BR29" s="18">
        <f>IF(COUNTIFS(T_SelfStock_Log[Part Name],$A29,T_SelfStock_Log[WeekIndex],69)=0,"",SUMIFS(T_SelfStock_Log[Self_Qty],T_SelfStock_Log[Part Name],$A29,T_SelfStock_Log[WeekIndex],69))</f>
        <v/>
      </c>
      <c r="BS29" s="18">
        <f>IF(COUNTIFS(T_SelfStock_Log[Part Name],$A29,T_SelfStock_Log[WeekIndex],70)=0,"",SUMIFS(T_SelfStock_Log[Self_Qty],T_SelfStock_Log[Part Name],$A29,T_SelfStock_Log[WeekIndex],70))</f>
        <v/>
      </c>
      <c r="BT29" s="18">
        <f>IF(COUNTIFS(T_SelfStock_Log[Part Name],$A29,T_SelfStock_Log[WeekIndex],71)=0,"",SUMIFS(T_SelfStock_Log[Self_Qty],T_SelfStock_Log[Part Name],$A29,T_SelfStock_Log[WeekIndex],71))</f>
        <v/>
      </c>
      <c r="BU29" s="18">
        <f>IF(COUNTIFS(T_SelfStock_Log[Part Name],$A29,T_SelfStock_Log[WeekIndex],72)=0,"",SUMIFS(T_SelfStock_Log[Self_Qty],T_SelfStock_Log[Part Name],$A29,T_SelfStock_Log[WeekIndex],72))</f>
        <v/>
      </c>
      <c r="BV29" s="18">
        <f>IF(COUNTIFS(T_SelfStock_Log[Part Name],$A29,T_SelfStock_Log[WeekIndex],73)=0,"",SUMIFS(T_SelfStock_Log[Self_Qty],T_SelfStock_Log[Part Name],$A29,T_SelfStock_Log[WeekIndex],73))</f>
        <v/>
      </c>
      <c r="BW29" s="18">
        <f>IF(COUNTIFS(T_SelfStock_Log[Part Name],$A29,T_SelfStock_Log[WeekIndex],74)=0,"",SUMIFS(T_SelfStock_Log[Self_Qty],T_SelfStock_Log[Part Name],$A29,T_SelfStock_Log[WeekIndex],74))</f>
        <v/>
      </c>
      <c r="BX29" s="18">
        <f>IF(COUNTIFS(T_SelfStock_Log[Part Name],$A29,T_SelfStock_Log[WeekIndex],75)=0,"",SUMIFS(T_SelfStock_Log[Self_Qty],T_SelfStock_Log[Part Name],$A29,T_SelfStock_Log[WeekIndex],75))</f>
        <v/>
      </c>
      <c r="BY29" s="18">
        <f>IF(COUNTIFS(T_SelfStock_Log[Part Name],$A29,T_SelfStock_Log[WeekIndex],76)=0,"",SUMIFS(T_SelfStock_Log[Self_Qty],T_SelfStock_Log[Part Name],$A29,T_SelfStock_Log[WeekIndex],76))</f>
        <v/>
      </c>
      <c r="BZ29" s="18">
        <f>IF(COUNTIFS(T_SelfStock_Log[Part Name],$A29,T_SelfStock_Log[WeekIndex],77)=0,"",SUMIFS(T_SelfStock_Log[Self_Qty],T_SelfStock_Log[Part Name],$A29,T_SelfStock_Log[WeekIndex],77))</f>
        <v/>
      </c>
      <c r="CA29" s="18">
        <f>IF(COUNTIFS(T_SelfStock_Log[Part Name],$A29,T_SelfStock_Log[WeekIndex],78)=0,"",SUMIFS(T_SelfStock_Log[Self_Qty],T_SelfStock_Log[Part Name],$A29,T_SelfStock_Log[WeekIndex],78))</f>
        <v/>
      </c>
      <c r="CB29" s="18">
        <f>IF(COUNTIFS(T_SelfStock_Log[Part Name],$A29,T_SelfStock_Log[WeekIndex],79)=0,"",SUMIFS(T_SelfStock_Log[Self_Qty],T_SelfStock_Log[Part Name],$A29,T_SelfStock_Log[WeekIndex],79))</f>
        <v/>
      </c>
      <c r="CC29" s="18">
        <f>IF(COUNTIFS(T_SelfStock_Log[Part Name],$A29,T_SelfStock_Log[WeekIndex],80)=0,"",SUMIFS(T_SelfStock_Log[Self_Qty],T_SelfStock_Log[Part Name],$A29,T_SelfStock_Log[WeekIndex],80))</f>
        <v/>
      </c>
      <c r="CD29" s="18">
        <f>IF(COUNTIFS(T_SelfStock_Log[Part Name],$A29,T_SelfStock_Log[WeekIndex],81)=0,"",SUMIFS(T_SelfStock_Log[Self_Qty],T_SelfStock_Log[Part Name],$A29,T_SelfStock_Log[WeekIndex],81))</f>
        <v/>
      </c>
      <c r="CE29" s="18">
        <f>IF(COUNTIFS(T_SelfStock_Log[Part Name],$A29,T_SelfStock_Log[WeekIndex],82)=0,"",SUMIFS(T_SelfStock_Log[Self_Qty],T_SelfStock_Log[Part Name],$A29,T_SelfStock_Log[WeekIndex],82))</f>
        <v/>
      </c>
      <c r="CF29" s="18">
        <f>IF(COUNTIFS(T_SelfStock_Log[Part Name],$A29,T_SelfStock_Log[WeekIndex],83)=0,"",SUMIFS(T_SelfStock_Log[Self_Qty],T_SelfStock_Log[Part Name],$A29,T_SelfStock_Log[WeekIndex],83))</f>
        <v/>
      </c>
      <c r="CG29" s="18">
        <f>IF(COUNTIFS(T_SelfStock_Log[Part Name],$A29,T_SelfStock_Log[WeekIndex],84)=0,"",SUMIFS(T_SelfStock_Log[Self_Qty],T_SelfStock_Log[Part Name],$A29,T_SelfStock_Log[WeekIndex],84))</f>
        <v/>
      </c>
      <c r="CH29" s="18">
        <f>IF(COUNTIFS(T_SelfStock_Log[Part Name],$A29,T_SelfStock_Log[WeekIndex],85)=0,"",SUMIFS(T_SelfStock_Log[Self_Qty],T_SelfStock_Log[Part Name],$A29,T_SelfStock_Log[WeekIndex],85))</f>
        <v/>
      </c>
      <c r="CI29" s="18">
        <f>IF(COUNTIFS(T_SelfStock_Log[Part Name],$A29,T_SelfStock_Log[WeekIndex],86)=0,"",SUMIFS(T_SelfStock_Log[Self_Qty],T_SelfStock_Log[Part Name],$A29,T_SelfStock_Log[WeekIndex],86))</f>
        <v/>
      </c>
      <c r="CJ29" s="18">
        <f>IF(COUNTIFS(T_SelfStock_Log[Part Name],$A29,T_SelfStock_Log[WeekIndex],87)=0,"",SUMIFS(T_SelfStock_Log[Self_Qty],T_SelfStock_Log[Part Name],$A29,T_SelfStock_Log[WeekIndex],87))</f>
        <v/>
      </c>
      <c r="CK29" s="18">
        <f>IF(COUNTIFS(T_SelfStock_Log[Part Name],$A29,T_SelfStock_Log[WeekIndex],88)=0,"",SUMIFS(T_SelfStock_Log[Self_Qty],T_SelfStock_Log[Part Name],$A29,T_SelfStock_Log[WeekIndex],88))</f>
        <v/>
      </c>
      <c r="CL29" s="18">
        <f>IF(COUNTIFS(T_SelfStock_Log[Part Name],$A29,T_SelfStock_Log[WeekIndex],89)=0,"",SUMIFS(T_SelfStock_Log[Self_Qty],T_SelfStock_Log[Part Name],$A29,T_SelfStock_Log[WeekIndex],89))</f>
        <v/>
      </c>
      <c r="CM29" s="18">
        <f>IF(COUNTIFS(T_SelfStock_Log[Part Name],$A29,T_SelfStock_Log[WeekIndex],90)=0,"",SUMIFS(T_SelfStock_Log[Self_Qty],T_SelfStock_Log[Part Name],$A29,T_SelfStock_Log[WeekIndex],90))</f>
        <v/>
      </c>
      <c r="CN29" s="18">
        <f>IF(COUNTIFS(T_SelfStock_Log[Part Name],$A29,T_SelfStock_Log[WeekIndex],91)=0,"",SUMIFS(T_SelfStock_Log[Self_Qty],T_SelfStock_Log[Part Name],$A29,T_SelfStock_Log[WeekIndex],91))</f>
        <v/>
      </c>
      <c r="CO29" s="18">
        <f>IF(COUNTIFS(T_SelfStock_Log[Part Name],$A29,T_SelfStock_Log[WeekIndex],92)=0,"",SUMIFS(T_SelfStock_Log[Self_Qty],T_SelfStock_Log[Part Name],$A29,T_SelfStock_Log[WeekIndex],92))</f>
        <v/>
      </c>
      <c r="CP29" s="18">
        <f>IF(COUNTIFS(T_SelfStock_Log[Part Name],$A29,T_SelfStock_Log[WeekIndex],93)=0,"",SUMIFS(T_SelfStock_Log[Self_Qty],T_SelfStock_Log[Part Name],$A29,T_SelfStock_Log[WeekIndex],93))</f>
        <v/>
      </c>
      <c r="CQ29" s="18">
        <f>IF(COUNTIFS(T_SelfStock_Log[Part Name],$A29,T_SelfStock_Log[WeekIndex],94)=0,"",SUMIFS(T_SelfStock_Log[Self_Qty],T_SelfStock_Log[Part Name],$A29,T_SelfStock_Log[WeekIndex],94))</f>
        <v/>
      </c>
      <c r="CR29" s="18">
        <f>IF(COUNTIFS(T_SelfStock_Log[Part Name],$A29,T_SelfStock_Log[WeekIndex],95)=0,"",SUMIFS(T_SelfStock_Log[Self_Qty],T_SelfStock_Log[Part Name],$A29,T_SelfStock_Log[WeekIndex],95))</f>
        <v/>
      </c>
      <c r="CS29" s="18">
        <f>IF(COUNTIFS(T_SelfStock_Log[Part Name],$A29,T_SelfStock_Log[WeekIndex],96)=0,"",SUMIFS(T_SelfStock_Log[Self_Qty],T_SelfStock_Log[Part Name],$A29,T_SelfStock_Log[WeekIndex],96))</f>
        <v/>
      </c>
      <c r="CT29" s="18">
        <f>IF(COUNTIFS(T_SelfStock_Log[Part Name],$A29,T_SelfStock_Log[WeekIndex],97)=0,"",SUMIFS(T_SelfStock_Log[Self_Qty],T_SelfStock_Log[Part Name],$A29,T_SelfStock_Log[WeekIndex],97))</f>
        <v/>
      </c>
      <c r="CU29" s="18">
        <f>IF(COUNTIFS(T_SelfStock_Log[Part Name],$A29,T_SelfStock_Log[WeekIndex],98)=0,"",SUMIFS(T_SelfStock_Log[Self_Qty],T_SelfStock_Log[Part Name],$A29,T_SelfStock_Log[WeekIndex],98))</f>
        <v/>
      </c>
      <c r="CV29" s="18">
        <f>IF(COUNTIFS(T_SelfStock_Log[Part Name],$A29,T_SelfStock_Log[WeekIndex],99)=0,"",SUMIFS(T_SelfStock_Log[Self_Qty],T_SelfStock_Log[Part Name],$A29,T_SelfStock_Log[WeekIndex],99))</f>
        <v/>
      </c>
      <c r="CW29" s="18">
        <f>IF(COUNTIFS(T_SelfStock_Log[Part Name],$A29,T_SelfStock_Log[WeekIndex],100)=0,"",SUMIFS(T_SelfStock_Log[Self_Qty],T_SelfStock_Log[Part Name],$A29,T_SelfStock_Log[WeekIndex],100))</f>
        <v/>
      </c>
      <c r="CX29" s="18">
        <f>IF(COUNTIFS(T_SelfStock_Log[Part Name],$A29,T_SelfStock_Log[WeekIndex],101)=0,"",SUMIFS(T_SelfStock_Log[Self_Qty],T_SelfStock_Log[Part Name],$A29,T_SelfStock_Log[WeekIndex],101))</f>
        <v/>
      </c>
      <c r="CY29" s="18">
        <f>IF(COUNTIFS(T_SelfStock_Log[Part Name],$A29,T_SelfStock_Log[WeekIndex],102)=0,"",SUMIFS(T_SelfStock_Log[Self_Qty],T_SelfStock_Log[Part Name],$A29,T_SelfStock_Log[WeekIndex],102))</f>
        <v/>
      </c>
      <c r="CZ29" s="18">
        <f>IF(COUNTIFS(T_SelfStock_Log[Part Name],$A29,T_SelfStock_Log[WeekIndex],103)=0,"",SUMIFS(T_SelfStock_Log[Self_Qty],T_SelfStock_Log[Part Name],$A29,T_SelfStock_Log[WeekIndex],103))</f>
        <v/>
      </c>
      <c r="DA29" s="18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CHEM-1830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8" t="inlineStr">
        <is>
          <t>CHEM-1680</t>
        </is>
      </c>
      <c r="B31" s="18">
        <f>IF(COUNTIFS(T_SelfStock_Log[Part Name],$A31,T_SelfStock_Log[WeekIndex],1)=0,"",SUMIFS(T_SelfStock_Log[Self_Qty],T_SelfStock_Log[Part Name],$A31,T_SelfStock_Log[WeekIndex],1))</f>
        <v/>
      </c>
      <c r="C31" s="18">
        <f>IF(COUNTIFS(T_SelfStock_Log[Part Name],$A31,T_SelfStock_Log[WeekIndex],2)=0,"",SUMIFS(T_SelfStock_Log[Self_Qty],T_SelfStock_Log[Part Name],$A31,T_SelfStock_Log[WeekIndex],2))</f>
        <v/>
      </c>
      <c r="D31" s="18">
        <f>IF(COUNTIFS(T_SelfStock_Log[Part Name],$A31,T_SelfStock_Log[WeekIndex],3)=0,"",SUMIFS(T_SelfStock_Log[Self_Qty],T_SelfStock_Log[Part Name],$A31,T_SelfStock_Log[WeekIndex],3))</f>
        <v/>
      </c>
      <c r="E31" s="18">
        <f>IF(COUNTIFS(T_SelfStock_Log[Part Name],$A31,T_SelfStock_Log[WeekIndex],4)=0,"",SUMIFS(T_SelfStock_Log[Self_Qty],T_SelfStock_Log[Part Name],$A31,T_SelfStock_Log[WeekIndex],4))</f>
        <v/>
      </c>
      <c r="F31" s="18">
        <f>IF(COUNTIFS(T_SelfStock_Log[Part Name],$A31,T_SelfStock_Log[WeekIndex],5)=0,"",SUMIFS(T_SelfStock_Log[Self_Qty],T_SelfStock_Log[Part Name],$A31,T_SelfStock_Log[WeekIndex],5))</f>
        <v/>
      </c>
      <c r="G31" s="18">
        <f>IF(COUNTIFS(T_SelfStock_Log[Part Name],$A31,T_SelfStock_Log[WeekIndex],6)=0,"",SUMIFS(T_SelfStock_Log[Self_Qty],T_SelfStock_Log[Part Name],$A31,T_SelfStock_Log[WeekIndex],6))</f>
        <v/>
      </c>
      <c r="H31" s="18">
        <f>IF(COUNTIFS(T_SelfStock_Log[Part Name],$A31,T_SelfStock_Log[WeekIndex],7)=0,"",SUMIFS(T_SelfStock_Log[Self_Qty],T_SelfStock_Log[Part Name],$A31,T_SelfStock_Log[WeekIndex],7))</f>
        <v/>
      </c>
      <c r="I31" s="18">
        <f>IF(COUNTIFS(T_SelfStock_Log[Part Name],$A31,T_SelfStock_Log[WeekIndex],8)=0,"",SUMIFS(T_SelfStock_Log[Self_Qty],T_SelfStock_Log[Part Name],$A31,T_SelfStock_Log[WeekIndex],8))</f>
        <v/>
      </c>
      <c r="J31" s="18">
        <f>IF(COUNTIFS(T_SelfStock_Log[Part Name],$A31,T_SelfStock_Log[WeekIndex],9)=0,"",SUMIFS(T_SelfStock_Log[Self_Qty],T_SelfStock_Log[Part Name],$A31,T_SelfStock_Log[WeekIndex],9))</f>
        <v/>
      </c>
      <c r="K31" s="18">
        <f>IF(COUNTIFS(T_SelfStock_Log[Part Name],$A31,T_SelfStock_Log[WeekIndex],10)=0,"",SUMIFS(T_SelfStock_Log[Self_Qty],T_SelfStock_Log[Part Name],$A31,T_SelfStock_Log[WeekIndex],10))</f>
        <v/>
      </c>
      <c r="L31" s="18">
        <f>IF(COUNTIFS(T_SelfStock_Log[Part Name],$A31,T_SelfStock_Log[WeekIndex],11)=0,"",SUMIFS(T_SelfStock_Log[Self_Qty],T_SelfStock_Log[Part Name],$A31,T_SelfStock_Log[WeekIndex],11))</f>
        <v/>
      </c>
      <c r="M31" s="18">
        <f>IF(COUNTIFS(T_SelfStock_Log[Part Name],$A31,T_SelfStock_Log[WeekIndex],12)=0,"",SUMIFS(T_SelfStock_Log[Self_Qty],T_SelfStock_Log[Part Name],$A31,T_SelfStock_Log[WeekIndex],12))</f>
        <v/>
      </c>
      <c r="N31" s="18">
        <f>IF(COUNTIFS(T_SelfStock_Log[Part Name],$A31,T_SelfStock_Log[WeekIndex],13)=0,"",SUMIFS(T_SelfStock_Log[Self_Qty],T_SelfStock_Log[Part Name],$A31,T_SelfStock_Log[WeekIndex],13))</f>
        <v/>
      </c>
      <c r="O31" s="18">
        <f>IF(COUNTIFS(T_SelfStock_Log[Part Name],$A31,T_SelfStock_Log[WeekIndex],14)=0,"",SUMIFS(T_SelfStock_Log[Self_Qty],T_SelfStock_Log[Part Name],$A31,T_SelfStock_Log[WeekIndex],14))</f>
        <v/>
      </c>
      <c r="P31" s="18">
        <f>IF(COUNTIFS(T_SelfStock_Log[Part Name],$A31,T_SelfStock_Log[WeekIndex],15)=0,"",SUMIFS(T_SelfStock_Log[Self_Qty],T_SelfStock_Log[Part Name],$A31,T_SelfStock_Log[WeekIndex],15))</f>
        <v/>
      </c>
      <c r="Q31" s="18">
        <f>IF(COUNTIFS(T_SelfStock_Log[Part Name],$A31,T_SelfStock_Log[WeekIndex],16)=0,"",SUMIFS(T_SelfStock_Log[Self_Qty],T_SelfStock_Log[Part Name],$A31,T_SelfStock_Log[WeekIndex],16))</f>
        <v/>
      </c>
      <c r="R31" s="18">
        <f>IF(COUNTIFS(T_SelfStock_Log[Part Name],$A31,T_SelfStock_Log[WeekIndex],17)=0,"",SUMIFS(T_SelfStock_Log[Self_Qty],T_SelfStock_Log[Part Name],$A31,T_SelfStock_Log[WeekIndex],17))</f>
        <v/>
      </c>
      <c r="S31" s="18">
        <f>IF(COUNTIFS(T_SelfStock_Log[Part Name],$A31,T_SelfStock_Log[WeekIndex],18)=0,"",SUMIFS(T_SelfStock_Log[Self_Qty],T_SelfStock_Log[Part Name],$A31,T_SelfStock_Log[WeekIndex],18))</f>
        <v/>
      </c>
      <c r="T31" s="18">
        <f>IF(COUNTIFS(T_SelfStock_Log[Part Name],$A31,T_SelfStock_Log[WeekIndex],19)=0,"",SUMIFS(T_SelfStock_Log[Self_Qty],T_SelfStock_Log[Part Name],$A31,T_SelfStock_Log[WeekIndex],19))</f>
        <v/>
      </c>
      <c r="U31" s="18">
        <f>IF(COUNTIFS(T_SelfStock_Log[Part Name],$A31,T_SelfStock_Log[WeekIndex],20)=0,"",SUMIFS(T_SelfStock_Log[Self_Qty],T_SelfStock_Log[Part Name],$A31,T_SelfStock_Log[WeekIndex],20))</f>
        <v/>
      </c>
      <c r="V31" s="18">
        <f>IF(COUNTIFS(T_SelfStock_Log[Part Name],$A31,T_SelfStock_Log[WeekIndex],21)=0,"",SUMIFS(T_SelfStock_Log[Self_Qty],T_SelfStock_Log[Part Name],$A31,T_SelfStock_Log[WeekIndex],21))</f>
        <v/>
      </c>
      <c r="W31" s="18">
        <f>IF(COUNTIFS(T_SelfStock_Log[Part Name],$A31,T_SelfStock_Log[WeekIndex],22)=0,"",SUMIFS(T_SelfStock_Log[Self_Qty],T_SelfStock_Log[Part Name],$A31,T_SelfStock_Log[WeekIndex],22))</f>
        <v/>
      </c>
      <c r="X31" s="18">
        <f>IF(COUNTIFS(T_SelfStock_Log[Part Name],$A31,T_SelfStock_Log[WeekIndex],23)=0,"",SUMIFS(T_SelfStock_Log[Self_Qty],T_SelfStock_Log[Part Name],$A31,T_SelfStock_Log[WeekIndex],23))</f>
        <v/>
      </c>
      <c r="Y31" s="18">
        <f>IF(COUNTIFS(T_SelfStock_Log[Part Name],$A31,T_SelfStock_Log[WeekIndex],24)=0,"",SUMIFS(T_SelfStock_Log[Self_Qty],T_SelfStock_Log[Part Name],$A31,T_SelfStock_Log[WeekIndex],24))</f>
        <v/>
      </c>
      <c r="Z31" s="18">
        <f>IF(COUNTIFS(T_SelfStock_Log[Part Name],$A31,T_SelfStock_Log[WeekIndex],25)=0,"",SUMIFS(T_SelfStock_Log[Self_Qty],T_SelfStock_Log[Part Name],$A31,T_SelfStock_Log[WeekIndex],25))</f>
        <v/>
      </c>
      <c r="AA31" s="18">
        <f>IF(COUNTIFS(T_SelfStock_Log[Part Name],$A31,T_SelfStock_Log[WeekIndex],26)=0,"",SUMIFS(T_SelfStock_Log[Self_Qty],T_SelfStock_Log[Part Name],$A31,T_SelfStock_Log[WeekIndex],26))</f>
        <v/>
      </c>
      <c r="AB31" s="18">
        <f>IF(COUNTIFS(T_SelfStock_Log[Part Name],$A31,T_SelfStock_Log[WeekIndex],27)=0,"",SUMIFS(T_SelfStock_Log[Self_Qty],T_SelfStock_Log[Part Name],$A31,T_SelfStock_Log[WeekIndex],27))</f>
        <v/>
      </c>
      <c r="AC31" s="18">
        <f>IF(COUNTIFS(T_SelfStock_Log[Part Name],$A31,T_SelfStock_Log[WeekIndex],28)=0,"",SUMIFS(T_SelfStock_Log[Self_Qty],T_SelfStock_Log[Part Name],$A31,T_SelfStock_Log[WeekIndex],28))</f>
        <v/>
      </c>
      <c r="AD31" s="18">
        <f>IF(COUNTIFS(T_SelfStock_Log[Part Name],$A31,T_SelfStock_Log[WeekIndex],29)=0,"",SUMIFS(T_SelfStock_Log[Self_Qty],T_SelfStock_Log[Part Name],$A31,T_SelfStock_Log[WeekIndex],29))</f>
        <v/>
      </c>
      <c r="AE31" s="18">
        <f>IF(COUNTIFS(T_SelfStock_Log[Part Name],$A31,T_SelfStock_Log[WeekIndex],30)=0,"",SUMIFS(T_SelfStock_Log[Self_Qty],T_SelfStock_Log[Part Name],$A31,T_SelfStock_Log[WeekIndex],30))</f>
        <v/>
      </c>
      <c r="AF31" s="18">
        <f>IF(COUNTIFS(T_SelfStock_Log[Part Name],$A31,T_SelfStock_Log[WeekIndex],31)=0,"",SUMIFS(T_SelfStock_Log[Self_Qty],T_SelfStock_Log[Part Name],$A31,T_SelfStock_Log[WeekIndex],31))</f>
        <v/>
      </c>
      <c r="AG31" s="18">
        <f>IF(COUNTIFS(T_SelfStock_Log[Part Name],$A31,T_SelfStock_Log[WeekIndex],32)=0,"",SUMIFS(T_SelfStock_Log[Self_Qty],T_SelfStock_Log[Part Name],$A31,T_SelfStock_Log[WeekIndex],32))</f>
        <v/>
      </c>
      <c r="AH31" s="18">
        <f>IF(COUNTIFS(T_SelfStock_Log[Part Name],$A31,T_SelfStock_Log[WeekIndex],33)=0,"",SUMIFS(T_SelfStock_Log[Self_Qty],T_SelfStock_Log[Part Name],$A31,T_SelfStock_Log[WeekIndex],33))</f>
        <v/>
      </c>
      <c r="AI31" s="18">
        <f>IF(COUNTIFS(T_SelfStock_Log[Part Name],$A31,T_SelfStock_Log[WeekIndex],34)=0,"",SUMIFS(T_SelfStock_Log[Self_Qty],T_SelfStock_Log[Part Name],$A31,T_SelfStock_Log[WeekIndex],34))</f>
        <v/>
      </c>
      <c r="AJ31" s="18">
        <f>IF(COUNTIFS(T_SelfStock_Log[Part Name],$A31,T_SelfStock_Log[WeekIndex],35)=0,"",SUMIFS(T_SelfStock_Log[Self_Qty],T_SelfStock_Log[Part Name],$A31,T_SelfStock_Log[WeekIndex],35))</f>
        <v/>
      </c>
      <c r="AK31" s="18">
        <f>IF(COUNTIFS(T_SelfStock_Log[Part Name],$A31,T_SelfStock_Log[WeekIndex],36)=0,"",SUMIFS(T_SelfStock_Log[Self_Qty],T_SelfStock_Log[Part Name],$A31,T_SelfStock_Log[WeekIndex],36))</f>
        <v/>
      </c>
      <c r="AL31" s="18">
        <f>IF(COUNTIFS(T_SelfStock_Log[Part Name],$A31,T_SelfStock_Log[WeekIndex],37)=0,"",SUMIFS(T_SelfStock_Log[Self_Qty],T_SelfStock_Log[Part Name],$A31,T_SelfStock_Log[WeekIndex],37))</f>
        <v/>
      </c>
      <c r="AM31" s="18">
        <f>IF(COUNTIFS(T_SelfStock_Log[Part Name],$A31,T_SelfStock_Log[WeekIndex],38)=0,"",SUMIFS(T_SelfStock_Log[Self_Qty],T_SelfStock_Log[Part Name],$A31,T_SelfStock_Log[WeekIndex],38))</f>
        <v/>
      </c>
      <c r="AN31" s="18">
        <f>IF(COUNTIFS(T_SelfStock_Log[Part Name],$A31,T_SelfStock_Log[WeekIndex],39)=0,"",SUMIFS(T_SelfStock_Log[Self_Qty],T_SelfStock_Log[Part Name],$A31,T_SelfStock_Log[WeekIndex],39))</f>
        <v/>
      </c>
      <c r="AO31" s="18">
        <f>IF(COUNTIFS(T_SelfStock_Log[Part Name],$A31,T_SelfStock_Log[WeekIndex],40)=0,"",SUMIFS(T_SelfStock_Log[Self_Qty],T_SelfStock_Log[Part Name],$A31,T_SelfStock_Log[WeekIndex],40))</f>
        <v/>
      </c>
      <c r="AP31" s="18">
        <f>IF(COUNTIFS(T_SelfStock_Log[Part Name],$A31,T_SelfStock_Log[WeekIndex],41)=0,"",SUMIFS(T_SelfStock_Log[Self_Qty],T_SelfStock_Log[Part Name],$A31,T_SelfStock_Log[WeekIndex],41))</f>
        <v/>
      </c>
      <c r="AQ31" s="18">
        <f>IF(COUNTIFS(T_SelfStock_Log[Part Name],$A31,T_SelfStock_Log[WeekIndex],42)=0,"",SUMIFS(T_SelfStock_Log[Self_Qty],T_SelfStock_Log[Part Name],$A31,T_SelfStock_Log[WeekIndex],42))</f>
        <v/>
      </c>
      <c r="AR31" s="18">
        <f>IF(COUNTIFS(T_SelfStock_Log[Part Name],$A31,T_SelfStock_Log[WeekIndex],43)=0,"",SUMIFS(T_SelfStock_Log[Self_Qty],T_SelfStock_Log[Part Name],$A31,T_SelfStock_Log[WeekIndex],43))</f>
        <v/>
      </c>
      <c r="AS31" s="18">
        <f>IF(COUNTIFS(T_SelfStock_Log[Part Name],$A31,T_SelfStock_Log[WeekIndex],44)=0,"",SUMIFS(T_SelfStock_Log[Self_Qty],T_SelfStock_Log[Part Name],$A31,T_SelfStock_Log[WeekIndex],44))</f>
        <v/>
      </c>
      <c r="AT31" s="18">
        <f>IF(COUNTIFS(T_SelfStock_Log[Part Name],$A31,T_SelfStock_Log[WeekIndex],45)=0,"",SUMIFS(T_SelfStock_Log[Self_Qty],T_SelfStock_Log[Part Name],$A31,T_SelfStock_Log[WeekIndex],45))</f>
        <v/>
      </c>
      <c r="AU31" s="18">
        <f>IF(COUNTIFS(T_SelfStock_Log[Part Name],$A31,T_SelfStock_Log[WeekIndex],46)=0,"",SUMIFS(T_SelfStock_Log[Self_Qty],T_SelfStock_Log[Part Name],$A31,T_SelfStock_Log[WeekIndex],46))</f>
        <v/>
      </c>
      <c r="AV31" s="18">
        <f>IF(COUNTIFS(T_SelfStock_Log[Part Name],$A31,T_SelfStock_Log[WeekIndex],47)=0,"",SUMIFS(T_SelfStock_Log[Self_Qty],T_SelfStock_Log[Part Name],$A31,T_SelfStock_Log[WeekIndex],47))</f>
        <v/>
      </c>
      <c r="AW31" s="18">
        <f>IF(COUNTIFS(T_SelfStock_Log[Part Name],$A31,T_SelfStock_Log[WeekIndex],48)=0,"",SUMIFS(T_SelfStock_Log[Self_Qty],T_SelfStock_Log[Part Name],$A31,T_SelfStock_Log[WeekIndex],48))</f>
        <v/>
      </c>
      <c r="AX31" s="18">
        <f>IF(COUNTIFS(T_SelfStock_Log[Part Name],$A31,T_SelfStock_Log[WeekIndex],49)=0,"",SUMIFS(T_SelfStock_Log[Self_Qty],T_SelfStock_Log[Part Name],$A31,T_SelfStock_Log[WeekIndex],49))</f>
        <v/>
      </c>
      <c r="AY31" s="18">
        <f>IF(COUNTIFS(T_SelfStock_Log[Part Name],$A31,T_SelfStock_Log[WeekIndex],50)=0,"",SUMIFS(T_SelfStock_Log[Self_Qty],T_SelfStock_Log[Part Name],$A31,T_SelfStock_Log[WeekIndex],50))</f>
        <v/>
      </c>
      <c r="AZ31" s="18">
        <f>IF(COUNTIFS(T_SelfStock_Log[Part Name],$A31,T_SelfStock_Log[WeekIndex],51)=0,"",SUMIFS(T_SelfStock_Log[Self_Qty],T_SelfStock_Log[Part Name],$A31,T_SelfStock_Log[WeekIndex],51))</f>
        <v/>
      </c>
      <c r="BA31" s="18">
        <f>IF(COUNTIFS(T_SelfStock_Log[Part Name],$A31,T_SelfStock_Log[WeekIndex],52)=0,"",SUMIFS(T_SelfStock_Log[Self_Qty],T_SelfStock_Log[Part Name],$A31,T_SelfStock_Log[WeekIndex],52))</f>
        <v/>
      </c>
      <c r="BB31" s="18">
        <f>IF(COUNTIFS(T_SelfStock_Log[Part Name],$A31,T_SelfStock_Log[WeekIndex],53)=0,"",SUMIFS(T_SelfStock_Log[Self_Qty],T_SelfStock_Log[Part Name],$A31,T_SelfStock_Log[WeekIndex],53))</f>
        <v/>
      </c>
      <c r="BC31" s="18">
        <f>IF(COUNTIFS(T_SelfStock_Log[Part Name],$A31,T_SelfStock_Log[WeekIndex],54)=0,"",SUMIFS(T_SelfStock_Log[Self_Qty],T_SelfStock_Log[Part Name],$A31,T_SelfStock_Log[WeekIndex],54))</f>
        <v/>
      </c>
      <c r="BD31" s="18">
        <f>IF(COUNTIFS(T_SelfStock_Log[Part Name],$A31,T_SelfStock_Log[WeekIndex],55)=0,"",SUMIFS(T_SelfStock_Log[Self_Qty],T_SelfStock_Log[Part Name],$A31,T_SelfStock_Log[WeekIndex],55))</f>
        <v/>
      </c>
      <c r="BE31" s="18">
        <f>IF(COUNTIFS(T_SelfStock_Log[Part Name],$A31,T_SelfStock_Log[WeekIndex],56)=0,"",SUMIFS(T_SelfStock_Log[Self_Qty],T_SelfStock_Log[Part Name],$A31,T_SelfStock_Log[WeekIndex],56))</f>
        <v/>
      </c>
      <c r="BF31" s="18">
        <f>IF(COUNTIFS(T_SelfStock_Log[Part Name],$A31,T_SelfStock_Log[WeekIndex],57)=0,"",SUMIFS(T_SelfStock_Log[Self_Qty],T_SelfStock_Log[Part Name],$A31,T_SelfStock_Log[WeekIndex],57))</f>
        <v/>
      </c>
      <c r="BG31" s="18">
        <f>IF(COUNTIFS(T_SelfStock_Log[Part Name],$A31,T_SelfStock_Log[WeekIndex],58)=0,"",SUMIFS(T_SelfStock_Log[Self_Qty],T_SelfStock_Log[Part Name],$A31,T_SelfStock_Log[WeekIndex],58))</f>
        <v/>
      </c>
      <c r="BH31" s="18">
        <f>IF(COUNTIFS(T_SelfStock_Log[Part Name],$A31,T_SelfStock_Log[WeekIndex],59)=0,"",SUMIFS(T_SelfStock_Log[Self_Qty],T_SelfStock_Log[Part Name],$A31,T_SelfStock_Log[WeekIndex],59))</f>
        <v/>
      </c>
      <c r="BI31" s="18">
        <f>IF(COUNTIFS(T_SelfStock_Log[Part Name],$A31,T_SelfStock_Log[WeekIndex],60)=0,"",SUMIFS(T_SelfStock_Log[Self_Qty],T_SelfStock_Log[Part Name],$A31,T_SelfStock_Log[WeekIndex],60))</f>
        <v/>
      </c>
      <c r="BJ31" s="18">
        <f>IF(COUNTIFS(T_SelfStock_Log[Part Name],$A31,T_SelfStock_Log[WeekIndex],61)=0,"",SUMIFS(T_SelfStock_Log[Self_Qty],T_SelfStock_Log[Part Name],$A31,T_SelfStock_Log[WeekIndex],61))</f>
        <v/>
      </c>
      <c r="BK31" s="18">
        <f>IF(COUNTIFS(T_SelfStock_Log[Part Name],$A31,T_SelfStock_Log[WeekIndex],62)=0,"",SUMIFS(T_SelfStock_Log[Self_Qty],T_SelfStock_Log[Part Name],$A31,T_SelfStock_Log[WeekIndex],62))</f>
        <v/>
      </c>
      <c r="BL31" s="18">
        <f>IF(COUNTIFS(T_SelfStock_Log[Part Name],$A31,T_SelfStock_Log[WeekIndex],63)=0,"",SUMIFS(T_SelfStock_Log[Self_Qty],T_SelfStock_Log[Part Name],$A31,T_SelfStock_Log[WeekIndex],63))</f>
        <v/>
      </c>
      <c r="BM31" s="18">
        <f>IF(COUNTIFS(T_SelfStock_Log[Part Name],$A31,T_SelfStock_Log[WeekIndex],64)=0,"",SUMIFS(T_SelfStock_Log[Self_Qty],T_SelfStock_Log[Part Name],$A31,T_SelfStock_Log[WeekIndex],64))</f>
        <v/>
      </c>
      <c r="BN31" s="18">
        <f>IF(COUNTIFS(T_SelfStock_Log[Part Name],$A31,T_SelfStock_Log[WeekIndex],65)=0,"",SUMIFS(T_SelfStock_Log[Self_Qty],T_SelfStock_Log[Part Name],$A31,T_SelfStock_Log[WeekIndex],65))</f>
        <v/>
      </c>
      <c r="BO31" s="18">
        <f>IF(COUNTIFS(T_SelfStock_Log[Part Name],$A31,T_SelfStock_Log[WeekIndex],66)=0,"",SUMIFS(T_SelfStock_Log[Self_Qty],T_SelfStock_Log[Part Name],$A31,T_SelfStock_Log[WeekIndex],66))</f>
        <v/>
      </c>
      <c r="BP31" s="18">
        <f>IF(COUNTIFS(T_SelfStock_Log[Part Name],$A31,T_SelfStock_Log[WeekIndex],67)=0,"",SUMIFS(T_SelfStock_Log[Self_Qty],T_SelfStock_Log[Part Name],$A31,T_SelfStock_Log[WeekIndex],67))</f>
        <v/>
      </c>
      <c r="BQ31" s="18">
        <f>IF(COUNTIFS(T_SelfStock_Log[Part Name],$A31,T_SelfStock_Log[WeekIndex],68)=0,"",SUMIFS(T_SelfStock_Log[Self_Qty],T_SelfStock_Log[Part Name],$A31,T_SelfStock_Log[WeekIndex],68))</f>
        <v/>
      </c>
      <c r="BR31" s="18">
        <f>IF(COUNTIFS(T_SelfStock_Log[Part Name],$A31,T_SelfStock_Log[WeekIndex],69)=0,"",SUMIFS(T_SelfStock_Log[Self_Qty],T_SelfStock_Log[Part Name],$A31,T_SelfStock_Log[WeekIndex],69))</f>
        <v/>
      </c>
      <c r="BS31" s="18">
        <f>IF(COUNTIFS(T_SelfStock_Log[Part Name],$A31,T_SelfStock_Log[WeekIndex],70)=0,"",SUMIFS(T_SelfStock_Log[Self_Qty],T_SelfStock_Log[Part Name],$A31,T_SelfStock_Log[WeekIndex],70))</f>
        <v/>
      </c>
      <c r="BT31" s="18">
        <f>IF(COUNTIFS(T_SelfStock_Log[Part Name],$A31,T_SelfStock_Log[WeekIndex],71)=0,"",SUMIFS(T_SelfStock_Log[Self_Qty],T_SelfStock_Log[Part Name],$A31,T_SelfStock_Log[WeekIndex],71))</f>
        <v/>
      </c>
      <c r="BU31" s="18">
        <f>IF(COUNTIFS(T_SelfStock_Log[Part Name],$A31,T_SelfStock_Log[WeekIndex],72)=0,"",SUMIFS(T_SelfStock_Log[Self_Qty],T_SelfStock_Log[Part Name],$A31,T_SelfStock_Log[WeekIndex],72))</f>
        <v/>
      </c>
      <c r="BV31" s="18">
        <f>IF(COUNTIFS(T_SelfStock_Log[Part Name],$A31,T_SelfStock_Log[WeekIndex],73)=0,"",SUMIFS(T_SelfStock_Log[Self_Qty],T_SelfStock_Log[Part Name],$A31,T_SelfStock_Log[WeekIndex],73))</f>
        <v/>
      </c>
      <c r="BW31" s="18">
        <f>IF(COUNTIFS(T_SelfStock_Log[Part Name],$A31,T_SelfStock_Log[WeekIndex],74)=0,"",SUMIFS(T_SelfStock_Log[Self_Qty],T_SelfStock_Log[Part Name],$A31,T_SelfStock_Log[WeekIndex],74))</f>
        <v/>
      </c>
      <c r="BX31" s="18">
        <f>IF(COUNTIFS(T_SelfStock_Log[Part Name],$A31,T_SelfStock_Log[WeekIndex],75)=0,"",SUMIFS(T_SelfStock_Log[Self_Qty],T_SelfStock_Log[Part Name],$A31,T_SelfStock_Log[WeekIndex],75))</f>
        <v/>
      </c>
      <c r="BY31" s="18">
        <f>IF(COUNTIFS(T_SelfStock_Log[Part Name],$A31,T_SelfStock_Log[WeekIndex],76)=0,"",SUMIFS(T_SelfStock_Log[Self_Qty],T_SelfStock_Log[Part Name],$A31,T_SelfStock_Log[WeekIndex],76))</f>
        <v/>
      </c>
      <c r="BZ31" s="18">
        <f>IF(COUNTIFS(T_SelfStock_Log[Part Name],$A31,T_SelfStock_Log[WeekIndex],77)=0,"",SUMIFS(T_SelfStock_Log[Self_Qty],T_SelfStock_Log[Part Name],$A31,T_SelfStock_Log[WeekIndex],77))</f>
        <v/>
      </c>
      <c r="CA31" s="18">
        <f>IF(COUNTIFS(T_SelfStock_Log[Part Name],$A31,T_SelfStock_Log[WeekIndex],78)=0,"",SUMIFS(T_SelfStock_Log[Self_Qty],T_SelfStock_Log[Part Name],$A31,T_SelfStock_Log[WeekIndex],78))</f>
        <v/>
      </c>
      <c r="CB31" s="18">
        <f>IF(COUNTIFS(T_SelfStock_Log[Part Name],$A31,T_SelfStock_Log[WeekIndex],79)=0,"",SUMIFS(T_SelfStock_Log[Self_Qty],T_SelfStock_Log[Part Name],$A31,T_SelfStock_Log[WeekIndex],79))</f>
        <v/>
      </c>
      <c r="CC31" s="18">
        <f>IF(COUNTIFS(T_SelfStock_Log[Part Name],$A31,T_SelfStock_Log[WeekIndex],80)=0,"",SUMIFS(T_SelfStock_Log[Self_Qty],T_SelfStock_Log[Part Name],$A31,T_SelfStock_Log[WeekIndex],80))</f>
        <v/>
      </c>
      <c r="CD31" s="18">
        <f>IF(COUNTIFS(T_SelfStock_Log[Part Name],$A31,T_SelfStock_Log[WeekIndex],81)=0,"",SUMIFS(T_SelfStock_Log[Self_Qty],T_SelfStock_Log[Part Name],$A31,T_SelfStock_Log[WeekIndex],81))</f>
        <v/>
      </c>
      <c r="CE31" s="18">
        <f>IF(COUNTIFS(T_SelfStock_Log[Part Name],$A31,T_SelfStock_Log[WeekIndex],82)=0,"",SUMIFS(T_SelfStock_Log[Self_Qty],T_SelfStock_Log[Part Name],$A31,T_SelfStock_Log[WeekIndex],82))</f>
        <v/>
      </c>
      <c r="CF31" s="18">
        <f>IF(COUNTIFS(T_SelfStock_Log[Part Name],$A31,T_SelfStock_Log[WeekIndex],83)=0,"",SUMIFS(T_SelfStock_Log[Self_Qty],T_SelfStock_Log[Part Name],$A31,T_SelfStock_Log[WeekIndex],83))</f>
        <v/>
      </c>
      <c r="CG31" s="18">
        <f>IF(COUNTIFS(T_SelfStock_Log[Part Name],$A31,T_SelfStock_Log[WeekIndex],84)=0,"",SUMIFS(T_SelfStock_Log[Self_Qty],T_SelfStock_Log[Part Name],$A31,T_SelfStock_Log[WeekIndex],84))</f>
        <v/>
      </c>
      <c r="CH31" s="18">
        <f>IF(COUNTIFS(T_SelfStock_Log[Part Name],$A31,T_SelfStock_Log[WeekIndex],85)=0,"",SUMIFS(T_SelfStock_Log[Self_Qty],T_SelfStock_Log[Part Name],$A31,T_SelfStock_Log[WeekIndex],85))</f>
        <v/>
      </c>
      <c r="CI31" s="18">
        <f>IF(COUNTIFS(T_SelfStock_Log[Part Name],$A31,T_SelfStock_Log[WeekIndex],86)=0,"",SUMIFS(T_SelfStock_Log[Self_Qty],T_SelfStock_Log[Part Name],$A31,T_SelfStock_Log[WeekIndex],86))</f>
        <v/>
      </c>
      <c r="CJ31" s="18">
        <f>IF(COUNTIFS(T_SelfStock_Log[Part Name],$A31,T_SelfStock_Log[WeekIndex],87)=0,"",SUMIFS(T_SelfStock_Log[Self_Qty],T_SelfStock_Log[Part Name],$A31,T_SelfStock_Log[WeekIndex],87))</f>
        <v/>
      </c>
      <c r="CK31" s="18">
        <f>IF(COUNTIFS(T_SelfStock_Log[Part Name],$A31,T_SelfStock_Log[WeekIndex],88)=0,"",SUMIFS(T_SelfStock_Log[Self_Qty],T_SelfStock_Log[Part Name],$A31,T_SelfStock_Log[WeekIndex],88))</f>
        <v/>
      </c>
      <c r="CL31" s="18">
        <f>IF(COUNTIFS(T_SelfStock_Log[Part Name],$A31,T_SelfStock_Log[WeekIndex],89)=0,"",SUMIFS(T_SelfStock_Log[Self_Qty],T_SelfStock_Log[Part Name],$A31,T_SelfStock_Log[WeekIndex],89))</f>
        <v/>
      </c>
      <c r="CM31" s="18">
        <f>IF(COUNTIFS(T_SelfStock_Log[Part Name],$A31,T_SelfStock_Log[WeekIndex],90)=0,"",SUMIFS(T_SelfStock_Log[Self_Qty],T_SelfStock_Log[Part Name],$A31,T_SelfStock_Log[WeekIndex],90))</f>
        <v/>
      </c>
      <c r="CN31" s="18">
        <f>IF(COUNTIFS(T_SelfStock_Log[Part Name],$A31,T_SelfStock_Log[WeekIndex],91)=0,"",SUMIFS(T_SelfStock_Log[Self_Qty],T_SelfStock_Log[Part Name],$A31,T_SelfStock_Log[WeekIndex],91))</f>
        <v/>
      </c>
      <c r="CO31" s="18">
        <f>IF(COUNTIFS(T_SelfStock_Log[Part Name],$A31,T_SelfStock_Log[WeekIndex],92)=0,"",SUMIFS(T_SelfStock_Log[Self_Qty],T_SelfStock_Log[Part Name],$A31,T_SelfStock_Log[WeekIndex],92))</f>
        <v/>
      </c>
      <c r="CP31" s="18">
        <f>IF(COUNTIFS(T_SelfStock_Log[Part Name],$A31,T_SelfStock_Log[WeekIndex],93)=0,"",SUMIFS(T_SelfStock_Log[Self_Qty],T_SelfStock_Log[Part Name],$A31,T_SelfStock_Log[WeekIndex],93))</f>
        <v/>
      </c>
      <c r="CQ31" s="18">
        <f>IF(COUNTIFS(T_SelfStock_Log[Part Name],$A31,T_SelfStock_Log[WeekIndex],94)=0,"",SUMIFS(T_SelfStock_Log[Self_Qty],T_SelfStock_Log[Part Name],$A31,T_SelfStock_Log[WeekIndex],94))</f>
        <v/>
      </c>
      <c r="CR31" s="18">
        <f>IF(COUNTIFS(T_SelfStock_Log[Part Name],$A31,T_SelfStock_Log[WeekIndex],95)=0,"",SUMIFS(T_SelfStock_Log[Self_Qty],T_SelfStock_Log[Part Name],$A31,T_SelfStock_Log[WeekIndex],95))</f>
        <v/>
      </c>
      <c r="CS31" s="18">
        <f>IF(COUNTIFS(T_SelfStock_Log[Part Name],$A31,T_SelfStock_Log[WeekIndex],96)=0,"",SUMIFS(T_SelfStock_Log[Self_Qty],T_SelfStock_Log[Part Name],$A31,T_SelfStock_Log[WeekIndex],96))</f>
        <v/>
      </c>
      <c r="CT31" s="18">
        <f>IF(COUNTIFS(T_SelfStock_Log[Part Name],$A31,T_SelfStock_Log[WeekIndex],97)=0,"",SUMIFS(T_SelfStock_Log[Self_Qty],T_SelfStock_Log[Part Name],$A31,T_SelfStock_Log[WeekIndex],97))</f>
        <v/>
      </c>
      <c r="CU31" s="18">
        <f>IF(COUNTIFS(T_SelfStock_Log[Part Name],$A31,T_SelfStock_Log[WeekIndex],98)=0,"",SUMIFS(T_SelfStock_Log[Self_Qty],T_SelfStock_Log[Part Name],$A31,T_SelfStock_Log[WeekIndex],98))</f>
        <v/>
      </c>
      <c r="CV31" s="18">
        <f>IF(COUNTIFS(T_SelfStock_Log[Part Name],$A31,T_SelfStock_Log[WeekIndex],99)=0,"",SUMIFS(T_SelfStock_Log[Self_Qty],T_SelfStock_Log[Part Name],$A31,T_SelfStock_Log[WeekIndex],99))</f>
        <v/>
      </c>
      <c r="CW31" s="18">
        <f>IF(COUNTIFS(T_SelfStock_Log[Part Name],$A31,T_SelfStock_Log[WeekIndex],100)=0,"",SUMIFS(T_SelfStock_Log[Self_Qty],T_SelfStock_Log[Part Name],$A31,T_SelfStock_Log[WeekIndex],100))</f>
        <v/>
      </c>
      <c r="CX31" s="18">
        <f>IF(COUNTIFS(T_SelfStock_Log[Part Name],$A31,T_SelfStock_Log[WeekIndex],101)=0,"",SUMIFS(T_SelfStock_Log[Self_Qty],T_SelfStock_Log[Part Name],$A31,T_SelfStock_Log[WeekIndex],101))</f>
        <v/>
      </c>
      <c r="CY31" s="18">
        <f>IF(COUNTIFS(T_SelfStock_Log[Part Name],$A31,T_SelfStock_Log[WeekIndex],102)=0,"",SUMIFS(T_SelfStock_Log[Self_Qty],T_SelfStock_Log[Part Name],$A31,T_SelfStock_Log[WeekIndex],102))</f>
        <v/>
      </c>
      <c r="CZ31" s="18">
        <f>IF(COUNTIFS(T_SelfStock_Log[Part Name],$A31,T_SelfStock_Log[WeekIndex],103)=0,"",SUMIFS(T_SelfStock_Log[Self_Qty],T_SelfStock_Log[Part Name],$A31,T_SelfStock_Log[WeekIndex],103))</f>
        <v/>
      </c>
      <c r="DA31" s="18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CHEM-1820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8" t="inlineStr">
        <is>
          <t>CHEM-1840</t>
        </is>
      </c>
      <c r="B33" s="18">
        <f>IF(COUNTIFS(T_SelfStock_Log[Part Name],$A33,T_SelfStock_Log[WeekIndex],1)=0,"",SUMIFS(T_SelfStock_Log[Self_Qty],T_SelfStock_Log[Part Name],$A33,T_SelfStock_Log[WeekIndex],1))</f>
        <v/>
      </c>
      <c r="C33" s="18">
        <f>IF(COUNTIFS(T_SelfStock_Log[Part Name],$A33,T_SelfStock_Log[WeekIndex],2)=0,"",SUMIFS(T_SelfStock_Log[Self_Qty],T_SelfStock_Log[Part Name],$A33,T_SelfStock_Log[WeekIndex],2))</f>
        <v/>
      </c>
      <c r="D33" s="18">
        <f>IF(COUNTIFS(T_SelfStock_Log[Part Name],$A33,T_SelfStock_Log[WeekIndex],3)=0,"",SUMIFS(T_SelfStock_Log[Self_Qty],T_SelfStock_Log[Part Name],$A33,T_SelfStock_Log[WeekIndex],3))</f>
        <v/>
      </c>
      <c r="E33" s="18">
        <f>IF(COUNTIFS(T_SelfStock_Log[Part Name],$A33,T_SelfStock_Log[WeekIndex],4)=0,"",SUMIFS(T_SelfStock_Log[Self_Qty],T_SelfStock_Log[Part Name],$A33,T_SelfStock_Log[WeekIndex],4))</f>
        <v/>
      </c>
      <c r="F33" s="18">
        <f>IF(COUNTIFS(T_SelfStock_Log[Part Name],$A33,T_SelfStock_Log[WeekIndex],5)=0,"",SUMIFS(T_SelfStock_Log[Self_Qty],T_SelfStock_Log[Part Name],$A33,T_SelfStock_Log[WeekIndex],5))</f>
        <v/>
      </c>
      <c r="G33" s="18">
        <f>IF(COUNTIFS(T_SelfStock_Log[Part Name],$A33,T_SelfStock_Log[WeekIndex],6)=0,"",SUMIFS(T_SelfStock_Log[Self_Qty],T_SelfStock_Log[Part Name],$A33,T_SelfStock_Log[WeekIndex],6))</f>
        <v/>
      </c>
      <c r="H33" s="18">
        <f>IF(COUNTIFS(T_SelfStock_Log[Part Name],$A33,T_SelfStock_Log[WeekIndex],7)=0,"",SUMIFS(T_SelfStock_Log[Self_Qty],T_SelfStock_Log[Part Name],$A33,T_SelfStock_Log[WeekIndex],7))</f>
        <v/>
      </c>
      <c r="I33" s="18">
        <f>IF(COUNTIFS(T_SelfStock_Log[Part Name],$A33,T_SelfStock_Log[WeekIndex],8)=0,"",SUMIFS(T_SelfStock_Log[Self_Qty],T_SelfStock_Log[Part Name],$A33,T_SelfStock_Log[WeekIndex],8))</f>
        <v/>
      </c>
      <c r="J33" s="18">
        <f>IF(COUNTIFS(T_SelfStock_Log[Part Name],$A33,T_SelfStock_Log[WeekIndex],9)=0,"",SUMIFS(T_SelfStock_Log[Self_Qty],T_SelfStock_Log[Part Name],$A33,T_SelfStock_Log[WeekIndex],9))</f>
        <v/>
      </c>
      <c r="K33" s="18">
        <f>IF(COUNTIFS(T_SelfStock_Log[Part Name],$A33,T_SelfStock_Log[WeekIndex],10)=0,"",SUMIFS(T_SelfStock_Log[Self_Qty],T_SelfStock_Log[Part Name],$A33,T_SelfStock_Log[WeekIndex],10))</f>
        <v/>
      </c>
      <c r="L33" s="18">
        <f>IF(COUNTIFS(T_SelfStock_Log[Part Name],$A33,T_SelfStock_Log[WeekIndex],11)=0,"",SUMIFS(T_SelfStock_Log[Self_Qty],T_SelfStock_Log[Part Name],$A33,T_SelfStock_Log[WeekIndex],11))</f>
        <v/>
      </c>
      <c r="M33" s="18">
        <f>IF(COUNTIFS(T_SelfStock_Log[Part Name],$A33,T_SelfStock_Log[WeekIndex],12)=0,"",SUMIFS(T_SelfStock_Log[Self_Qty],T_SelfStock_Log[Part Name],$A33,T_SelfStock_Log[WeekIndex],12))</f>
        <v/>
      </c>
      <c r="N33" s="18">
        <f>IF(COUNTIFS(T_SelfStock_Log[Part Name],$A33,T_SelfStock_Log[WeekIndex],13)=0,"",SUMIFS(T_SelfStock_Log[Self_Qty],T_SelfStock_Log[Part Name],$A33,T_SelfStock_Log[WeekIndex],13))</f>
        <v/>
      </c>
      <c r="O33" s="18">
        <f>IF(COUNTIFS(T_SelfStock_Log[Part Name],$A33,T_SelfStock_Log[WeekIndex],14)=0,"",SUMIFS(T_SelfStock_Log[Self_Qty],T_SelfStock_Log[Part Name],$A33,T_SelfStock_Log[WeekIndex],14))</f>
        <v/>
      </c>
      <c r="P33" s="18">
        <f>IF(COUNTIFS(T_SelfStock_Log[Part Name],$A33,T_SelfStock_Log[WeekIndex],15)=0,"",SUMIFS(T_SelfStock_Log[Self_Qty],T_SelfStock_Log[Part Name],$A33,T_SelfStock_Log[WeekIndex],15))</f>
        <v/>
      </c>
      <c r="Q33" s="18">
        <f>IF(COUNTIFS(T_SelfStock_Log[Part Name],$A33,T_SelfStock_Log[WeekIndex],16)=0,"",SUMIFS(T_SelfStock_Log[Self_Qty],T_SelfStock_Log[Part Name],$A33,T_SelfStock_Log[WeekIndex],16))</f>
        <v/>
      </c>
      <c r="R33" s="18">
        <f>IF(COUNTIFS(T_SelfStock_Log[Part Name],$A33,T_SelfStock_Log[WeekIndex],17)=0,"",SUMIFS(T_SelfStock_Log[Self_Qty],T_SelfStock_Log[Part Name],$A33,T_SelfStock_Log[WeekIndex],17))</f>
        <v/>
      </c>
      <c r="S33" s="18">
        <f>IF(COUNTIFS(T_SelfStock_Log[Part Name],$A33,T_SelfStock_Log[WeekIndex],18)=0,"",SUMIFS(T_SelfStock_Log[Self_Qty],T_SelfStock_Log[Part Name],$A33,T_SelfStock_Log[WeekIndex],18))</f>
        <v/>
      </c>
      <c r="T33" s="18">
        <f>IF(COUNTIFS(T_SelfStock_Log[Part Name],$A33,T_SelfStock_Log[WeekIndex],19)=0,"",SUMIFS(T_SelfStock_Log[Self_Qty],T_SelfStock_Log[Part Name],$A33,T_SelfStock_Log[WeekIndex],19))</f>
        <v/>
      </c>
      <c r="U33" s="18">
        <f>IF(COUNTIFS(T_SelfStock_Log[Part Name],$A33,T_SelfStock_Log[WeekIndex],20)=0,"",SUMIFS(T_SelfStock_Log[Self_Qty],T_SelfStock_Log[Part Name],$A33,T_SelfStock_Log[WeekIndex],20))</f>
        <v/>
      </c>
      <c r="V33" s="18">
        <f>IF(COUNTIFS(T_SelfStock_Log[Part Name],$A33,T_SelfStock_Log[WeekIndex],21)=0,"",SUMIFS(T_SelfStock_Log[Self_Qty],T_SelfStock_Log[Part Name],$A33,T_SelfStock_Log[WeekIndex],21))</f>
        <v/>
      </c>
      <c r="W33" s="18">
        <f>IF(COUNTIFS(T_SelfStock_Log[Part Name],$A33,T_SelfStock_Log[WeekIndex],22)=0,"",SUMIFS(T_SelfStock_Log[Self_Qty],T_SelfStock_Log[Part Name],$A33,T_SelfStock_Log[WeekIndex],22))</f>
        <v/>
      </c>
      <c r="X33" s="18">
        <f>IF(COUNTIFS(T_SelfStock_Log[Part Name],$A33,T_SelfStock_Log[WeekIndex],23)=0,"",SUMIFS(T_SelfStock_Log[Self_Qty],T_SelfStock_Log[Part Name],$A33,T_SelfStock_Log[WeekIndex],23))</f>
        <v/>
      </c>
      <c r="Y33" s="18">
        <f>IF(COUNTIFS(T_SelfStock_Log[Part Name],$A33,T_SelfStock_Log[WeekIndex],24)=0,"",SUMIFS(T_SelfStock_Log[Self_Qty],T_SelfStock_Log[Part Name],$A33,T_SelfStock_Log[WeekIndex],24))</f>
        <v/>
      </c>
      <c r="Z33" s="18">
        <f>IF(COUNTIFS(T_SelfStock_Log[Part Name],$A33,T_SelfStock_Log[WeekIndex],25)=0,"",SUMIFS(T_SelfStock_Log[Self_Qty],T_SelfStock_Log[Part Name],$A33,T_SelfStock_Log[WeekIndex],25))</f>
        <v/>
      </c>
      <c r="AA33" s="18">
        <f>IF(COUNTIFS(T_SelfStock_Log[Part Name],$A33,T_SelfStock_Log[WeekIndex],26)=0,"",SUMIFS(T_SelfStock_Log[Self_Qty],T_SelfStock_Log[Part Name],$A33,T_SelfStock_Log[WeekIndex],26))</f>
        <v/>
      </c>
      <c r="AB33" s="18">
        <f>IF(COUNTIFS(T_SelfStock_Log[Part Name],$A33,T_SelfStock_Log[WeekIndex],27)=0,"",SUMIFS(T_SelfStock_Log[Self_Qty],T_SelfStock_Log[Part Name],$A33,T_SelfStock_Log[WeekIndex],27))</f>
        <v/>
      </c>
      <c r="AC33" s="18">
        <f>IF(COUNTIFS(T_SelfStock_Log[Part Name],$A33,T_SelfStock_Log[WeekIndex],28)=0,"",SUMIFS(T_SelfStock_Log[Self_Qty],T_SelfStock_Log[Part Name],$A33,T_SelfStock_Log[WeekIndex],28))</f>
        <v/>
      </c>
      <c r="AD33" s="18">
        <f>IF(COUNTIFS(T_SelfStock_Log[Part Name],$A33,T_SelfStock_Log[WeekIndex],29)=0,"",SUMIFS(T_SelfStock_Log[Self_Qty],T_SelfStock_Log[Part Name],$A33,T_SelfStock_Log[WeekIndex],29))</f>
        <v/>
      </c>
      <c r="AE33" s="18">
        <f>IF(COUNTIFS(T_SelfStock_Log[Part Name],$A33,T_SelfStock_Log[WeekIndex],30)=0,"",SUMIFS(T_SelfStock_Log[Self_Qty],T_SelfStock_Log[Part Name],$A33,T_SelfStock_Log[WeekIndex],30))</f>
        <v/>
      </c>
      <c r="AF33" s="18">
        <f>IF(COUNTIFS(T_SelfStock_Log[Part Name],$A33,T_SelfStock_Log[WeekIndex],31)=0,"",SUMIFS(T_SelfStock_Log[Self_Qty],T_SelfStock_Log[Part Name],$A33,T_SelfStock_Log[WeekIndex],31))</f>
        <v/>
      </c>
      <c r="AG33" s="18">
        <f>IF(COUNTIFS(T_SelfStock_Log[Part Name],$A33,T_SelfStock_Log[WeekIndex],32)=0,"",SUMIFS(T_SelfStock_Log[Self_Qty],T_SelfStock_Log[Part Name],$A33,T_SelfStock_Log[WeekIndex],32))</f>
        <v/>
      </c>
      <c r="AH33" s="18">
        <f>IF(COUNTIFS(T_SelfStock_Log[Part Name],$A33,T_SelfStock_Log[WeekIndex],33)=0,"",SUMIFS(T_SelfStock_Log[Self_Qty],T_SelfStock_Log[Part Name],$A33,T_SelfStock_Log[WeekIndex],33))</f>
        <v/>
      </c>
      <c r="AI33" s="18">
        <f>IF(COUNTIFS(T_SelfStock_Log[Part Name],$A33,T_SelfStock_Log[WeekIndex],34)=0,"",SUMIFS(T_SelfStock_Log[Self_Qty],T_SelfStock_Log[Part Name],$A33,T_SelfStock_Log[WeekIndex],34))</f>
        <v/>
      </c>
      <c r="AJ33" s="18">
        <f>IF(COUNTIFS(T_SelfStock_Log[Part Name],$A33,T_SelfStock_Log[WeekIndex],35)=0,"",SUMIFS(T_SelfStock_Log[Self_Qty],T_SelfStock_Log[Part Name],$A33,T_SelfStock_Log[WeekIndex],35))</f>
        <v/>
      </c>
      <c r="AK33" s="18">
        <f>IF(COUNTIFS(T_SelfStock_Log[Part Name],$A33,T_SelfStock_Log[WeekIndex],36)=0,"",SUMIFS(T_SelfStock_Log[Self_Qty],T_SelfStock_Log[Part Name],$A33,T_SelfStock_Log[WeekIndex],36))</f>
        <v/>
      </c>
      <c r="AL33" s="18">
        <f>IF(COUNTIFS(T_SelfStock_Log[Part Name],$A33,T_SelfStock_Log[WeekIndex],37)=0,"",SUMIFS(T_SelfStock_Log[Self_Qty],T_SelfStock_Log[Part Name],$A33,T_SelfStock_Log[WeekIndex],37))</f>
        <v/>
      </c>
      <c r="AM33" s="18">
        <f>IF(COUNTIFS(T_SelfStock_Log[Part Name],$A33,T_SelfStock_Log[WeekIndex],38)=0,"",SUMIFS(T_SelfStock_Log[Self_Qty],T_SelfStock_Log[Part Name],$A33,T_SelfStock_Log[WeekIndex],38))</f>
        <v/>
      </c>
      <c r="AN33" s="18">
        <f>IF(COUNTIFS(T_SelfStock_Log[Part Name],$A33,T_SelfStock_Log[WeekIndex],39)=0,"",SUMIFS(T_SelfStock_Log[Self_Qty],T_SelfStock_Log[Part Name],$A33,T_SelfStock_Log[WeekIndex],39))</f>
        <v/>
      </c>
      <c r="AO33" s="18">
        <f>IF(COUNTIFS(T_SelfStock_Log[Part Name],$A33,T_SelfStock_Log[WeekIndex],40)=0,"",SUMIFS(T_SelfStock_Log[Self_Qty],T_SelfStock_Log[Part Name],$A33,T_SelfStock_Log[WeekIndex],40))</f>
        <v/>
      </c>
      <c r="AP33" s="18">
        <f>IF(COUNTIFS(T_SelfStock_Log[Part Name],$A33,T_SelfStock_Log[WeekIndex],41)=0,"",SUMIFS(T_SelfStock_Log[Self_Qty],T_SelfStock_Log[Part Name],$A33,T_SelfStock_Log[WeekIndex],41))</f>
        <v/>
      </c>
      <c r="AQ33" s="18">
        <f>IF(COUNTIFS(T_SelfStock_Log[Part Name],$A33,T_SelfStock_Log[WeekIndex],42)=0,"",SUMIFS(T_SelfStock_Log[Self_Qty],T_SelfStock_Log[Part Name],$A33,T_SelfStock_Log[WeekIndex],42))</f>
        <v/>
      </c>
      <c r="AR33" s="18">
        <f>IF(COUNTIFS(T_SelfStock_Log[Part Name],$A33,T_SelfStock_Log[WeekIndex],43)=0,"",SUMIFS(T_SelfStock_Log[Self_Qty],T_SelfStock_Log[Part Name],$A33,T_SelfStock_Log[WeekIndex],43))</f>
        <v/>
      </c>
      <c r="AS33" s="18">
        <f>IF(COUNTIFS(T_SelfStock_Log[Part Name],$A33,T_SelfStock_Log[WeekIndex],44)=0,"",SUMIFS(T_SelfStock_Log[Self_Qty],T_SelfStock_Log[Part Name],$A33,T_SelfStock_Log[WeekIndex],44))</f>
        <v/>
      </c>
      <c r="AT33" s="18">
        <f>IF(COUNTIFS(T_SelfStock_Log[Part Name],$A33,T_SelfStock_Log[WeekIndex],45)=0,"",SUMIFS(T_SelfStock_Log[Self_Qty],T_SelfStock_Log[Part Name],$A33,T_SelfStock_Log[WeekIndex],45))</f>
        <v/>
      </c>
      <c r="AU33" s="18">
        <f>IF(COUNTIFS(T_SelfStock_Log[Part Name],$A33,T_SelfStock_Log[WeekIndex],46)=0,"",SUMIFS(T_SelfStock_Log[Self_Qty],T_SelfStock_Log[Part Name],$A33,T_SelfStock_Log[WeekIndex],46))</f>
        <v/>
      </c>
      <c r="AV33" s="18">
        <f>IF(COUNTIFS(T_SelfStock_Log[Part Name],$A33,T_SelfStock_Log[WeekIndex],47)=0,"",SUMIFS(T_SelfStock_Log[Self_Qty],T_SelfStock_Log[Part Name],$A33,T_SelfStock_Log[WeekIndex],47))</f>
        <v/>
      </c>
      <c r="AW33" s="18">
        <f>IF(COUNTIFS(T_SelfStock_Log[Part Name],$A33,T_SelfStock_Log[WeekIndex],48)=0,"",SUMIFS(T_SelfStock_Log[Self_Qty],T_SelfStock_Log[Part Name],$A33,T_SelfStock_Log[WeekIndex],48))</f>
        <v/>
      </c>
      <c r="AX33" s="18">
        <f>IF(COUNTIFS(T_SelfStock_Log[Part Name],$A33,T_SelfStock_Log[WeekIndex],49)=0,"",SUMIFS(T_SelfStock_Log[Self_Qty],T_SelfStock_Log[Part Name],$A33,T_SelfStock_Log[WeekIndex],49))</f>
        <v/>
      </c>
      <c r="AY33" s="18">
        <f>IF(COUNTIFS(T_SelfStock_Log[Part Name],$A33,T_SelfStock_Log[WeekIndex],50)=0,"",SUMIFS(T_SelfStock_Log[Self_Qty],T_SelfStock_Log[Part Name],$A33,T_SelfStock_Log[WeekIndex],50))</f>
        <v/>
      </c>
      <c r="AZ33" s="18">
        <f>IF(COUNTIFS(T_SelfStock_Log[Part Name],$A33,T_SelfStock_Log[WeekIndex],51)=0,"",SUMIFS(T_SelfStock_Log[Self_Qty],T_SelfStock_Log[Part Name],$A33,T_SelfStock_Log[WeekIndex],51))</f>
        <v/>
      </c>
      <c r="BA33" s="18">
        <f>IF(COUNTIFS(T_SelfStock_Log[Part Name],$A33,T_SelfStock_Log[WeekIndex],52)=0,"",SUMIFS(T_SelfStock_Log[Self_Qty],T_SelfStock_Log[Part Name],$A33,T_SelfStock_Log[WeekIndex],52))</f>
        <v/>
      </c>
      <c r="BB33" s="18">
        <f>IF(COUNTIFS(T_SelfStock_Log[Part Name],$A33,T_SelfStock_Log[WeekIndex],53)=0,"",SUMIFS(T_SelfStock_Log[Self_Qty],T_SelfStock_Log[Part Name],$A33,T_SelfStock_Log[WeekIndex],53))</f>
        <v/>
      </c>
      <c r="BC33" s="18">
        <f>IF(COUNTIFS(T_SelfStock_Log[Part Name],$A33,T_SelfStock_Log[WeekIndex],54)=0,"",SUMIFS(T_SelfStock_Log[Self_Qty],T_SelfStock_Log[Part Name],$A33,T_SelfStock_Log[WeekIndex],54))</f>
        <v/>
      </c>
      <c r="BD33" s="18">
        <f>IF(COUNTIFS(T_SelfStock_Log[Part Name],$A33,T_SelfStock_Log[WeekIndex],55)=0,"",SUMIFS(T_SelfStock_Log[Self_Qty],T_SelfStock_Log[Part Name],$A33,T_SelfStock_Log[WeekIndex],55))</f>
        <v/>
      </c>
      <c r="BE33" s="18">
        <f>IF(COUNTIFS(T_SelfStock_Log[Part Name],$A33,T_SelfStock_Log[WeekIndex],56)=0,"",SUMIFS(T_SelfStock_Log[Self_Qty],T_SelfStock_Log[Part Name],$A33,T_SelfStock_Log[WeekIndex],56))</f>
        <v/>
      </c>
      <c r="BF33" s="18">
        <f>IF(COUNTIFS(T_SelfStock_Log[Part Name],$A33,T_SelfStock_Log[WeekIndex],57)=0,"",SUMIFS(T_SelfStock_Log[Self_Qty],T_SelfStock_Log[Part Name],$A33,T_SelfStock_Log[WeekIndex],57))</f>
        <v/>
      </c>
      <c r="BG33" s="18">
        <f>IF(COUNTIFS(T_SelfStock_Log[Part Name],$A33,T_SelfStock_Log[WeekIndex],58)=0,"",SUMIFS(T_SelfStock_Log[Self_Qty],T_SelfStock_Log[Part Name],$A33,T_SelfStock_Log[WeekIndex],58))</f>
        <v/>
      </c>
      <c r="BH33" s="18">
        <f>IF(COUNTIFS(T_SelfStock_Log[Part Name],$A33,T_SelfStock_Log[WeekIndex],59)=0,"",SUMIFS(T_SelfStock_Log[Self_Qty],T_SelfStock_Log[Part Name],$A33,T_SelfStock_Log[WeekIndex],59))</f>
        <v/>
      </c>
      <c r="BI33" s="18">
        <f>IF(COUNTIFS(T_SelfStock_Log[Part Name],$A33,T_SelfStock_Log[WeekIndex],60)=0,"",SUMIFS(T_SelfStock_Log[Self_Qty],T_SelfStock_Log[Part Name],$A33,T_SelfStock_Log[WeekIndex],60))</f>
        <v/>
      </c>
      <c r="BJ33" s="18">
        <f>IF(COUNTIFS(T_SelfStock_Log[Part Name],$A33,T_SelfStock_Log[WeekIndex],61)=0,"",SUMIFS(T_SelfStock_Log[Self_Qty],T_SelfStock_Log[Part Name],$A33,T_SelfStock_Log[WeekIndex],61))</f>
        <v/>
      </c>
      <c r="BK33" s="18">
        <f>IF(COUNTIFS(T_SelfStock_Log[Part Name],$A33,T_SelfStock_Log[WeekIndex],62)=0,"",SUMIFS(T_SelfStock_Log[Self_Qty],T_SelfStock_Log[Part Name],$A33,T_SelfStock_Log[WeekIndex],62))</f>
        <v/>
      </c>
      <c r="BL33" s="18">
        <f>IF(COUNTIFS(T_SelfStock_Log[Part Name],$A33,T_SelfStock_Log[WeekIndex],63)=0,"",SUMIFS(T_SelfStock_Log[Self_Qty],T_SelfStock_Log[Part Name],$A33,T_SelfStock_Log[WeekIndex],63))</f>
        <v/>
      </c>
      <c r="BM33" s="18">
        <f>IF(COUNTIFS(T_SelfStock_Log[Part Name],$A33,T_SelfStock_Log[WeekIndex],64)=0,"",SUMIFS(T_SelfStock_Log[Self_Qty],T_SelfStock_Log[Part Name],$A33,T_SelfStock_Log[WeekIndex],64))</f>
        <v/>
      </c>
      <c r="BN33" s="18">
        <f>IF(COUNTIFS(T_SelfStock_Log[Part Name],$A33,T_SelfStock_Log[WeekIndex],65)=0,"",SUMIFS(T_SelfStock_Log[Self_Qty],T_SelfStock_Log[Part Name],$A33,T_SelfStock_Log[WeekIndex],65))</f>
        <v/>
      </c>
      <c r="BO33" s="18">
        <f>IF(COUNTIFS(T_SelfStock_Log[Part Name],$A33,T_SelfStock_Log[WeekIndex],66)=0,"",SUMIFS(T_SelfStock_Log[Self_Qty],T_SelfStock_Log[Part Name],$A33,T_SelfStock_Log[WeekIndex],66))</f>
        <v/>
      </c>
      <c r="BP33" s="18">
        <f>IF(COUNTIFS(T_SelfStock_Log[Part Name],$A33,T_SelfStock_Log[WeekIndex],67)=0,"",SUMIFS(T_SelfStock_Log[Self_Qty],T_SelfStock_Log[Part Name],$A33,T_SelfStock_Log[WeekIndex],67))</f>
        <v/>
      </c>
      <c r="BQ33" s="18">
        <f>IF(COUNTIFS(T_SelfStock_Log[Part Name],$A33,T_SelfStock_Log[WeekIndex],68)=0,"",SUMIFS(T_SelfStock_Log[Self_Qty],T_SelfStock_Log[Part Name],$A33,T_SelfStock_Log[WeekIndex],68))</f>
        <v/>
      </c>
      <c r="BR33" s="18">
        <f>IF(COUNTIFS(T_SelfStock_Log[Part Name],$A33,T_SelfStock_Log[WeekIndex],69)=0,"",SUMIFS(T_SelfStock_Log[Self_Qty],T_SelfStock_Log[Part Name],$A33,T_SelfStock_Log[WeekIndex],69))</f>
        <v/>
      </c>
      <c r="BS33" s="18">
        <f>IF(COUNTIFS(T_SelfStock_Log[Part Name],$A33,T_SelfStock_Log[WeekIndex],70)=0,"",SUMIFS(T_SelfStock_Log[Self_Qty],T_SelfStock_Log[Part Name],$A33,T_SelfStock_Log[WeekIndex],70))</f>
        <v/>
      </c>
      <c r="BT33" s="18">
        <f>IF(COUNTIFS(T_SelfStock_Log[Part Name],$A33,T_SelfStock_Log[WeekIndex],71)=0,"",SUMIFS(T_SelfStock_Log[Self_Qty],T_SelfStock_Log[Part Name],$A33,T_SelfStock_Log[WeekIndex],71))</f>
        <v/>
      </c>
      <c r="BU33" s="18">
        <f>IF(COUNTIFS(T_SelfStock_Log[Part Name],$A33,T_SelfStock_Log[WeekIndex],72)=0,"",SUMIFS(T_SelfStock_Log[Self_Qty],T_SelfStock_Log[Part Name],$A33,T_SelfStock_Log[WeekIndex],72))</f>
        <v/>
      </c>
      <c r="BV33" s="18">
        <f>IF(COUNTIFS(T_SelfStock_Log[Part Name],$A33,T_SelfStock_Log[WeekIndex],73)=0,"",SUMIFS(T_SelfStock_Log[Self_Qty],T_SelfStock_Log[Part Name],$A33,T_SelfStock_Log[WeekIndex],73))</f>
        <v/>
      </c>
      <c r="BW33" s="18">
        <f>IF(COUNTIFS(T_SelfStock_Log[Part Name],$A33,T_SelfStock_Log[WeekIndex],74)=0,"",SUMIFS(T_SelfStock_Log[Self_Qty],T_SelfStock_Log[Part Name],$A33,T_SelfStock_Log[WeekIndex],74))</f>
        <v/>
      </c>
      <c r="BX33" s="18">
        <f>IF(COUNTIFS(T_SelfStock_Log[Part Name],$A33,T_SelfStock_Log[WeekIndex],75)=0,"",SUMIFS(T_SelfStock_Log[Self_Qty],T_SelfStock_Log[Part Name],$A33,T_SelfStock_Log[WeekIndex],75))</f>
        <v/>
      </c>
      <c r="BY33" s="18">
        <f>IF(COUNTIFS(T_SelfStock_Log[Part Name],$A33,T_SelfStock_Log[WeekIndex],76)=0,"",SUMIFS(T_SelfStock_Log[Self_Qty],T_SelfStock_Log[Part Name],$A33,T_SelfStock_Log[WeekIndex],76))</f>
        <v/>
      </c>
      <c r="BZ33" s="18">
        <f>IF(COUNTIFS(T_SelfStock_Log[Part Name],$A33,T_SelfStock_Log[WeekIndex],77)=0,"",SUMIFS(T_SelfStock_Log[Self_Qty],T_SelfStock_Log[Part Name],$A33,T_SelfStock_Log[WeekIndex],77))</f>
        <v/>
      </c>
      <c r="CA33" s="18">
        <f>IF(COUNTIFS(T_SelfStock_Log[Part Name],$A33,T_SelfStock_Log[WeekIndex],78)=0,"",SUMIFS(T_SelfStock_Log[Self_Qty],T_SelfStock_Log[Part Name],$A33,T_SelfStock_Log[WeekIndex],78))</f>
        <v/>
      </c>
      <c r="CB33" s="18">
        <f>IF(COUNTIFS(T_SelfStock_Log[Part Name],$A33,T_SelfStock_Log[WeekIndex],79)=0,"",SUMIFS(T_SelfStock_Log[Self_Qty],T_SelfStock_Log[Part Name],$A33,T_SelfStock_Log[WeekIndex],79))</f>
        <v/>
      </c>
      <c r="CC33" s="18">
        <f>IF(COUNTIFS(T_SelfStock_Log[Part Name],$A33,T_SelfStock_Log[WeekIndex],80)=0,"",SUMIFS(T_SelfStock_Log[Self_Qty],T_SelfStock_Log[Part Name],$A33,T_SelfStock_Log[WeekIndex],80))</f>
        <v/>
      </c>
      <c r="CD33" s="18">
        <f>IF(COUNTIFS(T_SelfStock_Log[Part Name],$A33,T_SelfStock_Log[WeekIndex],81)=0,"",SUMIFS(T_SelfStock_Log[Self_Qty],T_SelfStock_Log[Part Name],$A33,T_SelfStock_Log[WeekIndex],81))</f>
        <v/>
      </c>
      <c r="CE33" s="18">
        <f>IF(COUNTIFS(T_SelfStock_Log[Part Name],$A33,T_SelfStock_Log[WeekIndex],82)=0,"",SUMIFS(T_SelfStock_Log[Self_Qty],T_SelfStock_Log[Part Name],$A33,T_SelfStock_Log[WeekIndex],82))</f>
        <v/>
      </c>
      <c r="CF33" s="18">
        <f>IF(COUNTIFS(T_SelfStock_Log[Part Name],$A33,T_SelfStock_Log[WeekIndex],83)=0,"",SUMIFS(T_SelfStock_Log[Self_Qty],T_SelfStock_Log[Part Name],$A33,T_SelfStock_Log[WeekIndex],83))</f>
        <v/>
      </c>
      <c r="CG33" s="18">
        <f>IF(COUNTIFS(T_SelfStock_Log[Part Name],$A33,T_SelfStock_Log[WeekIndex],84)=0,"",SUMIFS(T_SelfStock_Log[Self_Qty],T_SelfStock_Log[Part Name],$A33,T_SelfStock_Log[WeekIndex],84))</f>
        <v/>
      </c>
      <c r="CH33" s="18">
        <f>IF(COUNTIFS(T_SelfStock_Log[Part Name],$A33,T_SelfStock_Log[WeekIndex],85)=0,"",SUMIFS(T_SelfStock_Log[Self_Qty],T_SelfStock_Log[Part Name],$A33,T_SelfStock_Log[WeekIndex],85))</f>
        <v/>
      </c>
      <c r="CI33" s="18">
        <f>IF(COUNTIFS(T_SelfStock_Log[Part Name],$A33,T_SelfStock_Log[WeekIndex],86)=0,"",SUMIFS(T_SelfStock_Log[Self_Qty],T_SelfStock_Log[Part Name],$A33,T_SelfStock_Log[WeekIndex],86))</f>
        <v/>
      </c>
      <c r="CJ33" s="18">
        <f>IF(COUNTIFS(T_SelfStock_Log[Part Name],$A33,T_SelfStock_Log[WeekIndex],87)=0,"",SUMIFS(T_SelfStock_Log[Self_Qty],T_SelfStock_Log[Part Name],$A33,T_SelfStock_Log[WeekIndex],87))</f>
        <v/>
      </c>
      <c r="CK33" s="18">
        <f>IF(COUNTIFS(T_SelfStock_Log[Part Name],$A33,T_SelfStock_Log[WeekIndex],88)=0,"",SUMIFS(T_SelfStock_Log[Self_Qty],T_SelfStock_Log[Part Name],$A33,T_SelfStock_Log[WeekIndex],88))</f>
        <v/>
      </c>
      <c r="CL33" s="18">
        <f>IF(COUNTIFS(T_SelfStock_Log[Part Name],$A33,T_SelfStock_Log[WeekIndex],89)=0,"",SUMIFS(T_SelfStock_Log[Self_Qty],T_SelfStock_Log[Part Name],$A33,T_SelfStock_Log[WeekIndex],89))</f>
        <v/>
      </c>
      <c r="CM33" s="18">
        <f>IF(COUNTIFS(T_SelfStock_Log[Part Name],$A33,T_SelfStock_Log[WeekIndex],90)=0,"",SUMIFS(T_SelfStock_Log[Self_Qty],T_SelfStock_Log[Part Name],$A33,T_SelfStock_Log[WeekIndex],90))</f>
        <v/>
      </c>
      <c r="CN33" s="18">
        <f>IF(COUNTIFS(T_SelfStock_Log[Part Name],$A33,T_SelfStock_Log[WeekIndex],91)=0,"",SUMIFS(T_SelfStock_Log[Self_Qty],T_SelfStock_Log[Part Name],$A33,T_SelfStock_Log[WeekIndex],91))</f>
        <v/>
      </c>
      <c r="CO33" s="18">
        <f>IF(COUNTIFS(T_SelfStock_Log[Part Name],$A33,T_SelfStock_Log[WeekIndex],92)=0,"",SUMIFS(T_SelfStock_Log[Self_Qty],T_SelfStock_Log[Part Name],$A33,T_SelfStock_Log[WeekIndex],92))</f>
        <v/>
      </c>
      <c r="CP33" s="18">
        <f>IF(COUNTIFS(T_SelfStock_Log[Part Name],$A33,T_SelfStock_Log[WeekIndex],93)=0,"",SUMIFS(T_SelfStock_Log[Self_Qty],T_SelfStock_Log[Part Name],$A33,T_SelfStock_Log[WeekIndex],93))</f>
        <v/>
      </c>
      <c r="CQ33" s="18">
        <f>IF(COUNTIFS(T_SelfStock_Log[Part Name],$A33,T_SelfStock_Log[WeekIndex],94)=0,"",SUMIFS(T_SelfStock_Log[Self_Qty],T_SelfStock_Log[Part Name],$A33,T_SelfStock_Log[WeekIndex],94))</f>
        <v/>
      </c>
      <c r="CR33" s="18">
        <f>IF(COUNTIFS(T_SelfStock_Log[Part Name],$A33,T_SelfStock_Log[WeekIndex],95)=0,"",SUMIFS(T_SelfStock_Log[Self_Qty],T_SelfStock_Log[Part Name],$A33,T_SelfStock_Log[WeekIndex],95))</f>
        <v/>
      </c>
      <c r="CS33" s="18">
        <f>IF(COUNTIFS(T_SelfStock_Log[Part Name],$A33,T_SelfStock_Log[WeekIndex],96)=0,"",SUMIFS(T_SelfStock_Log[Self_Qty],T_SelfStock_Log[Part Name],$A33,T_SelfStock_Log[WeekIndex],96))</f>
        <v/>
      </c>
      <c r="CT33" s="18">
        <f>IF(COUNTIFS(T_SelfStock_Log[Part Name],$A33,T_SelfStock_Log[WeekIndex],97)=0,"",SUMIFS(T_SelfStock_Log[Self_Qty],T_SelfStock_Log[Part Name],$A33,T_SelfStock_Log[WeekIndex],97))</f>
        <v/>
      </c>
      <c r="CU33" s="18">
        <f>IF(COUNTIFS(T_SelfStock_Log[Part Name],$A33,T_SelfStock_Log[WeekIndex],98)=0,"",SUMIFS(T_SelfStock_Log[Self_Qty],T_SelfStock_Log[Part Name],$A33,T_SelfStock_Log[WeekIndex],98))</f>
        <v/>
      </c>
      <c r="CV33" s="18">
        <f>IF(COUNTIFS(T_SelfStock_Log[Part Name],$A33,T_SelfStock_Log[WeekIndex],99)=0,"",SUMIFS(T_SelfStock_Log[Self_Qty],T_SelfStock_Log[Part Name],$A33,T_SelfStock_Log[WeekIndex],99))</f>
        <v/>
      </c>
      <c r="CW33" s="18">
        <f>IF(COUNTIFS(T_SelfStock_Log[Part Name],$A33,T_SelfStock_Log[WeekIndex],100)=0,"",SUMIFS(T_SelfStock_Log[Self_Qty],T_SelfStock_Log[Part Name],$A33,T_SelfStock_Log[WeekIndex],100))</f>
        <v/>
      </c>
      <c r="CX33" s="18">
        <f>IF(COUNTIFS(T_SelfStock_Log[Part Name],$A33,T_SelfStock_Log[WeekIndex],101)=0,"",SUMIFS(T_SelfStock_Log[Self_Qty],T_SelfStock_Log[Part Name],$A33,T_SelfStock_Log[WeekIndex],101))</f>
        <v/>
      </c>
      <c r="CY33" s="18">
        <f>IF(COUNTIFS(T_SelfStock_Log[Part Name],$A33,T_SelfStock_Log[WeekIndex],102)=0,"",SUMIFS(T_SelfStock_Log[Self_Qty],T_SelfStock_Log[Part Name],$A33,T_SelfStock_Log[WeekIndex],102))</f>
        <v/>
      </c>
      <c r="CZ33" s="18">
        <f>IF(COUNTIFS(T_SelfStock_Log[Part Name],$A33,T_SelfStock_Log[WeekIndex],103)=0,"",SUMIFS(T_SelfStock_Log[Self_Qty],T_SelfStock_Log[Part Name],$A33,T_SelfStock_Log[WeekIndex],103))</f>
        <v/>
      </c>
      <c r="DA33" s="18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TDJ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8" t="inlineStr">
        <is>
          <t>CHEM-1730</t>
        </is>
      </c>
      <c r="B35" s="18">
        <f>IF(COUNTIFS(T_SelfStock_Log[Part Name],$A35,T_SelfStock_Log[WeekIndex],1)=0,"",SUMIFS(T_SelfStock_Log[Self_Qty],T_SelfStock_Log[Part Name],$A35,T_SelfStock_Log[WeekIndex],1))</f>
        <v/>
      </c>
      <c r="C35" s="18">
        <f>IF(COUNTIFS(T_SelfStock_Log[Part Name],$A35,T_SelfStock_Log[WeekIndex],2)=0,"",SUMIFS(T_SelfStock_Log[Self_Qty],T_SelfStock_Log[Part Name],$A35,T_SelfStock_Log[WeekIndex],2))</f>
        <v/>
      </c>
      <c r="D35" s="18">
        <f>IF(COUNTIFS(T_SelfStock_Log[Part Name],$A35,T_SelfStock_Log[WeekIndex],3)=0,"",SUMIFS(T_SelfStock_Log[Self_Qty],T_SelfStock_Log[Part Name],$A35,T_SelfStock_Log[WeekIndex],3))</f>
        <v/>
      </c>
      <c r="E35" s="18">
        <f>IF(COUNTIFS(T_SelfStock_Log[Part Name],$A35,T_SelfStock_Log[WeekIndex],4)=0,"",SUMIFS(T_SelfStock_Log[Self_Qty],T_SelfStock_Log[Part Name],$A35,T_SelfStock_Log[WeekIndex],4))</f>
        <v/>
      </c>
      <c r="F35" s="18">
        <f>IF(COUNTIFS(T_SelfStock_Log[Part Name],$A35,T_SelfStock_Log[WeekIndex],5)=0,"",SUMIFS(T_SelfStock_Log[Self_Qty],T_SelfStock_Log[Part Name],$A35,T_SelfStock_Log[WeekIndex],5))</f>
        <v/>
      </c>
      <c r="G35" s="18">
        <f>IF(COUNTIFS(T_SelfStock_Log[Part Name],$A35,T_SelfStock_Log[WeekIndex],6)=0,"",SUMIFS(T_SelfStock_Log[Self_Qty],T_SelfStock_Log[Part Name],$A35,T_SelfStock_Log[WeekIndex],6))</f>
        <v/>
      </c>
      <c r="H35" s="18">
        <f>IF(COUNTIFS(T_SelfStock_Log[Part Name],$A35,T_SelfStock_Log[WeekIndex],7)=0,"",SUMIFS(T_SelfStock_Log[Self_Qty],T_SelfStock_Log[Part Name],$A35,T_SelfStock_Log[WeekIndex],7))</f>
        <v/>
      </c>
      <c r="I35" s="18">
        <f>IF(COUNTIFS(T_SelfStock_Log[Part Name],$A35,T_SelfStock_Log[WeekIndex],8)=0,"",SUMIFS(T_SelfStock_Log[Self_Qty],T_SelfStock_Log[Part Name],$A35,T_SelfStock_Log[WeekIndex],8))</f>
        <v/>
      </c>
      <c r="J35" s="18">
        <f>IF(COUNTIFS(T_SelfStock_Log[Part Name],$A35,T_SelfStock_Log[WeekIndex],9)=0,"",SUMIFS(T_SelfStock_Log[Self_Qty],T_SelfStock_Log[Part Name],$A35,T_SelfStock_Log[WeekIndex],9))</f>
        <v/>
      </c>
      <c r="K35" s="18">
        <f>IF(COUNTIFS(T_SelfStock_Log[Part Name],$A35,T_SelfStock_Log[WeekIndex],10)=0,"",SUMIFS(T_SelfStock_Log[Self_Qty],T_SelfStock_Log[Part Name],$A35,T_SelfStock_Log[WeekIndex],10))</f>
        <v/>
      </c>
      <c r="L35" s="18">
        <f>IF(COUNTIFS(T_SelfStock_Log[Part Name],$A35,T_SelfStock_Log[WeekIndex],11)=0,"",SUMIFS(T_SelfStock_Log[Self_Qty],T_SelfStock_Log[Part Name],$A35,T_SelfStock_Log[WeekIndex],11))</f>
        <v/>
      </c>
      <c r="M35" s="18">
        <f>IF(COUNTIFS(T_SelfStock_Log[Part Name],$A35,T_SelfStock_Log[WeekIndex],12)=0,"",SUMIFS(T_SelfStock_Log[Self_Qty],T_SelfStock_Log[Part Name],$A35,T_SelfStock_Log[WeekIndex],12))</f>
        <v/>
      </c>
      <c r="N35" s="18">
        <f>IF(COUNTIFS(T_SelfStock_Log[Part Name],$A35,T_SelfStock_Log[WeekIndex],13)=0,"",SUMIFS(T_SelfStock_Log[Self_Qty],T_SelfStock_Log[Part Name],$A35,T_SelfStock_Log[WeekIndex],13))</f>
        <v/>
      </c>
      <c r="O35" s="18">
        <f>IF(COUNTIFS(T_SelfStock_Log[Part Name],$A35,T_SelfStock_Log[WeekIndex],14)=0,"",SUMIFS(T_SelfStock_Log[Self_Qty],T_SelfStock_Log[Part Name],$A35,T_SelfStock_Log[WeekIndex],14))</f>
        <v/>
      </c>
      <c r="P35" s="18">
        <f>IF(COUNTIFS(T_SelfStock_Log[Part Name],$A35,T_SelfStock_Log[WeekIndex],15)=0,"",SUMIFS(T_SelfStock_Log[Self_Qty],T_SelfStock_Log[Part Name],$A35,T_SelfStock_Log[WeekIndex],15))</f>
        <v/>
      </c>
      <c r="Q35" s="18">
        <f>IF(COUNTIFS(T_SelfStock_Log[Part Name],$A35,T_SelfStock_Log[WeekIndex],16)=0,"",SUMIFS(T_SelfStock_Log[Self_Qty],T_SelfStock_Log[Part Name],$A35,T_SelfStock_Log[WeekIndex],16))</f>
        <v/>
      </c>
      <c r="R35" s="18">
        <f>IF(COUNTIFS(T_SelfStock_Log[Part Name],$A35,T_SelfStock_Log[WeekIndex],17)=0,"",SUMIFS(T_SelfStock_Log[Self_Qty],T_SelfStock_Log[Part Name],$A35,T_SelfStock_Log[WeekIndex],17))</f>
        <v/>
      </c>
      <c r="S35" s="18">
        <f>IF(COUNTIFS(T_SelfStock_Log[Part Name],$A35,T_SelfStock_Log[WeekIndex],18)=0,"",SUMIFS(T_SelfStock_Log[Self_Qty],T_SelfStock_Log[Part Name],$A35,T_SelfStock_Log[WeekIndex],18))</f>
        <v/>
      </c>
      <c r="T35" s="18">
        <f>IF(COUNTIFS(T_SelfStock_Log[Part Name],$A35,T_SelfStock_Log[WeekIndex],19)=0,"",SUMIFS(T_SelfStock_Log[Self_Qty],T_SelfStock_Log[Part Name],$A35,T_SelfStock_Log[WeekIndex],19))</f>
        <v/>
      </c>
      <c r="U35" s="18">
        <f>IF(COUNTIFS(T_SelfStock_Log[Part Name],$A35,T_SelfStock_Log[WeekIndex],20)=0,"",SUMIFS(T_SelfStock_Log[Self_Qty],T_SelfStock_Log[Part Name],$A35,T_SelfStock_Log[WeekIndex],20))</f>
        <v/>
      </c>
      <c r="V35" s="18">
        <f>IF(COUNTIFS(T_SelfStock_Log[Part Name],$A35,T_SelfStock_Log[WeekIndex],21)=0,"",SUMIFS(T_SelfStock_Log[Self_Qty],T_SelfStock_Log[Part Name],$A35,T_SelfStock_Log[WeekIndex],21))</f>
        <v/>
      </c>
      <c r="W35" s="18">
        <f>IF(COUNTIFS(T_SelfStock_Log[Part Name],$A35,T_SelfStock_Log[WeekIndex],22)=0,"",SUMIFS(T_SelfStock_Log[Self_Qty],T_SelfStock_Log[Part Name],$A35,T_SelfStock_Log[WeekIndex],22))</f>
        <v/>
      </c>
      <c r="X35" s="18">
        <f>IF(COUNTIFS(T_SelfStock_Log[Part Name],$A35,T_SelfStock_Log[WeekIndex],23)=0,"",SUMIFS(T_SelfStock_Log[Self_Qty],T_SelfStock_Log[Part Name],$A35,T_SelfStock_Log[WeekIndex],23))</f>
        <v/>
      </c>
      <c r="Y35" s="18">
        <f>IF(COUNTIFS(T_SelfStock_Log[Part Name],$A35,T_SelfStock_Log[WeekIndex],24)=0,"",SUMIFS(T_SelfStock_Log[Self_Qty],T_SelfStock_Log[Part Name],$A35,T_SelfStock_Log[WeekIndex],24))</f>
        <v/>
      </c>
      <c r="Z35" s="18">
        <f>IF(COUNTIFS(T_SelfStock_Log[Part Name],$A35,T_SelfStock_Log[WeekIndex],25)=0,"",SUMIFS(T_SelfStock_Log[Self_Qty],T_SelfStock_Log[Part Name],$A35,T_SelfStock_Log[WeekIndex],25))</f>
        <v/>
      </c>
      <c r="AA35" s="18">
        <f>IF(COUNTIFS(T_SelfStock_Log[Part Name],$A35,T_SelfStock_Log[WeekIndex],26)=0,"",SUMIFS(T_SelfStock_Log[Self_Qty],T_SelfStock_Log[Part Name],$A35,T_SelfStock_Log[WeekIndex],26))</f>
        <v/>
      </c>
      <c r="AB35" s="18">
        <f>IF(COUNTIFS(T_SelfStock_Log[Part Name],$A35,T_SelfStock_Log[WeekIndex],27)=0,"",SUMIFS(T_SelfStock_Log[Self_Qty],T_SelfStock_Log[Part Name],$A35,T_SelfStock_Log[WeekIndex],27))</f>
        <v/>
      </c>
      <c r="AC35" s="18">
        <f>IF(COUNTIFS(T_SelfStock_Log[Part Name],$A35,T_SelfStock_Log[WeekIndex],28)=0,"",SUMIFS(T_SelfStock_Log[Self_Qty],T_SelfStock_Log[Part Name],$A35,T_SelfStock_Log[WeekIndex],28))</f>
        <v/>
      </c>
      <c r="AD35" s="18">
        <f>IF(COUNTIFS(T_SelfStock_Log[Part Name],$A35,T_SelfStock_Log[WeekIndex],29)=0,"",SUMIFS(T_SelfStock_Log[Self_Qty],T_SelfStock_Log[Part Name],$A35,T_SelfStock_Log[WeekIndex],29))</f>
        <v/>
      </c>
      <c r="AE35" s="18">
        <f>IF(COUNTIFS(T_SelfStock_Log[Part Name],$A35,T_SelfStock_Log[WeekIndex],30)=0,"",SUMIFS(T_SelfStock_Log[Self_Qty],T_SelfStock_Log[Part Name],$A35,T_SelfStock_Log[WeekIndex],30))</f>
        <v/>
      </c>
      <c r="AF35" s="18">
        <f>IF(COUNTIFS(T_SelfStock_Log[Part Name],$A35,T_SelfStock_Log[WeekIndex],31)=0,"",SUMIFS(T_SelfStock_Log[Self_Qty],T_SelfStock_Log[Part Name],$A35,T_SelfStock_Log[WeekIndex],31))</f>
        <v/>
      </c>
      <c r="AG35" s="18">
        <f>IF(COUNTIFS(T_SelfStock_Log[Part Name],$A35,T_SelfStock_Log[WeekIndex],32)=0,"",SUMIFS(T_SelfStock_Log[Self_Qty],T_SelfStock_Log[Part Name],$A35,T_SelfStock_Log[WeekIndex],32))</f>
        <v/>
      </c>
      <c r="AH35" s="18">
        <f>IF(COUNTIFS(T_SelfStock_Log[Part Name],$A35,T_SelfStock_Log[WeekIndex],33)=0,"",SUMIFS(T_SelfStock_Log[Self_Qty],T_SelfStock_Log[Part Name],$A35,T_SelfStock_Log[WeekIndex],33))</f>
        <v/>
      </c>
      <c r="AI35" s="18">
        <f>IF(COUNTIFS(T_SelfStock_Log[Part Name],$A35,T_SelfStock_Log[WeekIndex],34)=0,"",SUMIFS(T_SelfStock_Log[Self_Qty],T_SelfStock_Log[Part Name],$A35,T_SelfStock_Log[WeekIndex],34))</f>
        <v/>
      </c>
      <c r="AJ35" s="18">
        <f>IF(COUNTIFS(T_SelfStock_Log[Part Name],$A35,T_SelfStock_Log[WeekIndex],35)=0,"",SUMIFS(T_SelfStock_Log[Self_Qty],T_SelfStock_Log[Part Name],$A35,T_SelfStock_Log[WeekIndex],35))</f>
        <v/>
      </c>
      <c r="AK35" s="18">
        <f>IF(COUNTIFS(T_SelfStock_Log[Part Name],$A35,T_SelfStock_Log[WeekIndex],36)=0,"",SUMIFS(T_SelfStock_Log[Self_Qty],T_SelfStock_Log[Part Name],$A35,T_SelfStock_Log[WeekIndex],36))</f>
        <v/>
      </c>
      <c r="AL35" s="18">
        <f>IF(COUNTIFS(T_SelfStock_Log[Part Name],$A35,T_SelfStock_Log[WeekIndex],37)=0,"",SUMIFS(T_SelfStock_Log[Self_Qty],T_SelfStock_Log[Part Name],$A35,T_SelfStock_Log[WeekIndex],37))</f>
        <v/>
      </c>
      <c r="AM35" s="18">
        <f>IF(COUNTIFS(T_SelfStock_Log[Part Name],$A35,T_SelfStock_Log[WeekIndex],38)=0,"",SUMIFS(T_SelfStock_Log[Self_Qty],T_SelfStock_Log[Part Name],$A35,T_SelfStock_Log[WeekIndex],38))</f>
        <v/>
      </c>
      <c r="AN35" s="18">
        <f>IF(COUNTIFS(T_SelfStock_Log[Part Name],$A35,T_SelfStock_Log[WeekIndex],39)=0,"",SUMIFS(T_SelfStock_Log[Self_Qty],T_SelfStock_Log[Part Name],$A35,T_SelfStock_Log[WeekIndex],39))</f>
        <v/>
      </c>
      <c r="AO35" s="18">
        <f>IF(COUNTIFS(T_SelfStock_Log[Part Name],$A35,T_SelfStock_Log[WeekIndex],40)=0,"",SUMIFS(T_SelfStock_Log[Self_Qty],T_SelfStock_Log[Part Name],$A35,T_SelfStock_Log[WeekIndex],40))</f>
        <v/>
      </c>
      <c r="AP35" s="18">
        <f>IF(COUNTIFS(T_SelfStock_Log[Part Name],$A35,T_SelfStock_Log[WeekIndex],41)=0,"",SUMIFS(T_SelfStock_Log[Self_Qty],T_SelfStock_Log[Part Name],$A35,T_SelfStock_Log[WeekIndex],41))</f>
        <v/>
      </c>
      <c r="AQ35" s="18">
        <f>IF(COUNTIFS(T_SelfStock_Log[Part Name],$A35,T_SelfStock_Log[WeekIndex],42)=0,"",SUMIFS(T_SelfStock_Log[Self_Qty],T_SelfStock_Log[Part Name],$A35,T_SelfStock_Log[WeekIndex],42))</f>
        <v/>
      </c>
      <c r="AR35" s="18">
        <f>IF(COUNTIFS(T_SelfStock_Log[Part Name],$A35,T_SelfStock_Log[WeekIndex],43)=0,"",SUMIFS(T_SelfStock_Log[Self_Qty],T_SelfStock_Log[Part Name],$A35,T_SelfStock_Log[WeekIndex],43))</f>
        <v/>
      </c>
      <c r="AS35" s="18">
        <f>IF(COUNTIFS(T_SelfStock_Log[Part Name],$A35,T_SelfStock_Log[WeekIndex],44)=0,"",SUMIFS(T_SelfStock_Log[Self_Qty],T_SelfStock_Log[Part Name],$A35,T_SelfStock_Log[WeekIndex],44))</f>
        <v/>
      </c>
      <c r="AT35" s="18">
        <f>IF(COUNTIFS(T_SelfStock_Log[Part Name],$A35,T_SelfStock_Log[WeekIndex],45)=0,"",SUMIFS(T_SelfStock_Log[Self_Qty],T_SelfStock_Log[Part Name],$A35,T_SelfStock_Log[WeekIndex],45))</f>
        <v/>
      </c>
      <c r="AU35" s="18">
        <f>IF(COUNTIFS(T_SelfStock_Log[Part Name],$A35,T_SelfStock_Log[WeekIndex],46)=0,"",SUMIFS(T_SelfStock_Log[Self_Qty],T_SelfStock_Log[Part Name],$A35,T_SelfStock_Log[WeekIndex],46))</f>
        <v/>
      </c>
      <c r="AV35" s="18">
        <f>IF(COUNTIFS(T_SelfStock_Log[Part Name],$A35,T_SelfStock_Log[WeekIndex],47)=0,"",SUMIFS(T_SelfStock_Log[Self_Qty],T_SelfStock_Log[Part Name],$A35,T_SelfStock_Log[WeekIndex],47))</f>
        <v/>
      </c>
      <c r="AW35" s="18">
        <f>IF(COUNTIFS(T_SelfStock_Log[Part Name],$A35,T_SelfStock_Log[WeekIndex],48)=0,"",SUMIFS(T_SelfStock_Log[Self_Qty],T_SelfStock_Log[Part Name],$A35,T_SelfStock_Log[WeekIndex],48))</f>
        <v/>
      </c>
      <c r="AX35" s="18">
        <f>IF(COUNTIFS(T_SelfStock_Log[Part Name],$A35,T_SelfStock_Log[WeekIndex],49)=0,"",SUMIFS(T_SelfStock_Log[Self_Qty],T_SelfStock_Log[Part Name],$A35,T_SelfStock_Log[WeekIndex],49))</f>
        <v/>
      </c>
      <c r="AY35" s="18">
        <f>IF(COUNTIFS(T_SelfStock_Log[Part Name],$A35,T_SelfStock_Log[WeekIndex],50)=0,"",SUMIFS(T_SelfStock_Log[Self_Qty],T_SelfStock_Log[Part Name],$A35,T_SelfStock_Log[WeekIndex],50))</f>
        <v/>
      </c>
      <c r="AZ35" s="18">
        <f>IF(COUNTIFS(T_SelfStock_Log[Part Name],$A35,T_SelfStock_Log[WeekIndex],51)=0,"",SUMIFS(T_SelfStock_Log[Self_Qty],T_SelfStock_Log[Part Name],$A35,T_SelfStock_Log[WeekIndex],51))</f>
        <v/>
      </c>
      <c r="BA35" s="18">
        <f>IF(COUNTIFS(T_SelfStock_Log[Part Name],$A35,T_SelfStock_Log[WeekIndex],52)=0,"",SUMIFS(T_SelfStock_Log[Self_Qty],T_SelfStock_Log[Part Name],$A35,T_SelfStock_Log[WeekIndex],52))</f>
        <v/>
      </c>
      <c r="BB35" s="18">
        <f>IF(COUNTIFS(T_SelfStock_Log[Part Name],$A35,T_SelfStock_Log[WeekIndex],53)=0,"",SUMIFS(T_SelfStock_Log[Self_Qty],T_SelfStock_Log[Part Name],$A35,T_SelfStock_Log[WeekIndex],53))</f>
        <v/>
      </c>
      <c r="BC35" s="18">
        <f>IF(COUNTIFS(T_SelfStock_Log[Part Name],$A35,T_SelfStock_Log[WeekIndex],54)=0,"",SUMIFS(T_SelfStock_Log[Self_Qty],T_SelfStock_Log[Part Name],$A35,T_SelfStock_Log[WeekIndex],54))</f>
        <v/>
      </c>
      <c r="BD35" s="18">
        <f>IF(COUNTIFS(T_SelfStock_Log[Part Name],$A35,T_SelfStock_Log[WeekIndex],55)=0,"",SUMIFS(T_SelfStock_Log[Self_Qty],T_SelfStock_Log[Part Name],$A35,T_SelfStock_Log[WeekIndex],55))</f>
        <v/>
      </c>
      <c r="BE35" s="18">
        <f>IF(COUNTIFS(T_SelfStock_Log[Part Name],$A35,T_SelfStock_Log[WeekIndex],56)=0,"",SUMIFS(T_SelfStock_Log[Self_Qty],T_SelfStock_Log[Part Name],$A35,T_SelfStock_Log[WeekIndex],56))</f>
        <v/>
      </c>
      <c r="BF35" s="18">
        <f>IF(COUNTIFS(T_SelfStock_Log[Part Name],$A35,T_SelfStock_Log[WeekIndex],57)=0,"",SUMIFS(T_SelfStock_Log[Self_Qty],T_SelfStock_Log[Part Name],$A35,T_SelfStock_Log[WeekIndex],57))</f>
        <v/>
      </c>
      <c r="BG35" s="18">
        <f>IF(COUNTIFS(T_SelfStock_Log[Part Name],$A35,T_SelfStock_Log[WeekIndex],58)=0,"",SUMIFS(T_SelfStock_Log[Self_Qty],T_SelfStock_Log[Part Name],$A35,T_SelfStock_Log[WeekIndex],58))</f>
        <v/>
      </c>
      <c r="BH35" s="18">
        <f>IF(COUNTIFS(T_SelfStock_Log[Part Name],$A35,T_SelfStock_Log[WeekIndex],59)=0,"",SUMIFS(T_SelfStock_Log[Self_Qty],T_SelfStock_Log[Part Name],$A35,T_SelfStock_Log[WeekIndex],59))</f>
        <v/>
      </c>
      <c r="BI35" s="18">
        <f>IF(COUNTIFS(T_SelfStock_Log[Part Name],$A35,T_SelfStock_Log[WeekIndex],60)=0,"",SUMIFS(T_SelfStock_Log[Self_Qty],T_SelfStock_Log[Part Name],$A35,T_SelfStock_Log[WeekIndex],60))</f>
        <v/>
      </c>
      <c r="BJ35" s="18">
        <f>IF(COUNTIFS(T_SelfStock_Log[Part Name],$A35,T_SelfStock_Log[WeekIndex],61)=0,"",SUMIFS(T_SelfStock_Log[Self_Qty],T_SelfStock_Log[Part Name],$A35,T_SelfStock_Log[WeekIndex],61))</f>
        <v/>
      </c>
      <c r="BK35" s="18">
        <f>IF(COUNTIFS(T_SelfStock_Log[Part Name],$A35,T_SelfStock_Log[WeekIndex],62)=0,"",SUMIFS(T_SelfStock_Log[Self_Qty],T_SelfStock_Log[Part Name],$A35,T_SelfStock_Log[WeekIndex],62))</f>
        <v/>
      </c>
      <c r="BL35" s="18">
        <f>IF(COUNTIFS(T_SelfStock_Log[Part Name],$A35,T_SelfStock_Log[WeekIndex],63)=0,"",SUMIFS(T_SelfStock_Log[Self_Qty],T_SelfStock_Log[Part Name],$A35,T_SelfStock_Log[WeekIndex],63))</f>
        <v/>
      </c>
      <c r="BM35" s="18">
        <f>IF(COUNTIFS(T_SelfStock_Log[Part Name],$A35,T_SelfStock_Log[WeekIndex],64)=0,"",SUMIFS(T_SelfStock_Log[Self_Qty],T_SelfStock_Log[Part Name],$A35,T_SelfStock_Log[WeekIndex],64))</f>
        <v/>
      </c>
      <c r="BN35" s="18">
        <f>IF(COUNTIFS(T_SelfStock_Log[Part Name],$A35,T_SelfStock_Log[WeekIndex],65)=0,"",SUMIFS(T_SelfStock_Log[Self_Qty],T_SelfStock_Log[Part Name],$A35,T_SelfStock_Log[WeekIndex],65))</f>
        <v/>
      </c>
      <c r="BO35" s="18">
        <f>IF(COUNTIFS(T_SelfStock_Log[Part Name],$A35,T_SelfStock_Log[WeekIndex],66)=0,"",SUMIFS(T_SelfStock_Log[Self_Qty],T_SelfStock_Log[Part Name],$A35,T_SelfStock_Log[WeekIndex],66))</f>
        <v/>
      </c>
      <c r="BP35" s="18">
        <f>IF(COUNTIFS(T_SelfStock_Log[Part Name],$A35,T_SelfStock_Log[WeekIndex],67)=0,"",SUMIFS(T_SelfStock_Log[Self_Qty],T_SelfStock_Log[Part Name],$A35,T_SelfStock_Log[WeekIndex],67))</f>
        <v/>
      </c>
      <c r="BQ35" s="18">
        <f>IF(COUNTIFS(T_SelfStock_Log[Part Name],$A35,T_SelfStock_Log[WeekIndex],68)=0,"",SUMIFS(T_SelfStock_Log[Self_Qty],T_SelfStock_Log[Part Name],$A35,T_SelfStock_Log[WeekIndex],68))</f>
        <v/>
      </c>
      <c r="BR35" s="18">
        <f>IF(COUNTIFS(T_SelfStock_Log[Part Name],$A35,T_SelfStock_Log[WeekIndex],69)=0,"",SUMIFS(T_SelfStock_Log[Self_Qty],T_SelfStock_Log[Part Name],$A35,T_SelfStock_Log[WeekIndex],69))</f>
        <v/>
      </c>
      <c r="BS35" s="18">
        <f>IF(COUNTIFS(T_SelfStock_Log[Part Name],$A35,T_SelfStock_Log[WeekIndex],70)=0,"",SUMIFS(T_SelfStock_Log[Self_Qty],T_SelfStock_Log[Part Name],$A35,T_SelfStock_Log[WeekIndex],70))</f>
        <v/>
      </c>
      <c r="BT35" s="18">
        <f>IF(COUNTIFS(T_SelfStock_Log[Part Name],$A35,T_SelfStock_Log[WeekIndex],71)=0,"",SUMIFS(T_SelfStock_Log[Self_Qty],T_SelfStock_Log[Part Name],$A35,T_SelfStock_Log[WeekIndex],71))</f>
        <v/>
      </c>
      <c r="BU35" s="18">
        <f>IF(COUNTIFS(T_SelfStock_Log[Part Name],$A35,T_SelfStock_Log[WeekIndex],72)=0,"",SUMIFS(T_SelfStock_Log[Self_Qty],T_SelfStock_Log[Part Name],$A35,T_SelfStock_Log[WeekIndex],72))</f>
        <v/>
      </c>
      <c r="BV35" s="18">
        <f>IF(COUNTIFS(T_SelfStock_Log[Part Name],$A35,T_SelfStock_Log[WeekIndex],73)=0,"",SUMIFS(T_SelfStock_Log[Self_Qty],T_SelfStock_Log[Part Name],$A35,T_SelfStock_Log[WeekIndex],73))</f>
        <v/>
      </c>
      <c r="BW35" s="18">
        <f>IF(COUNTIFS(T_SelfStock_Log[Part Name],$A35,T_SelfStock_Log[WeekIndex],74)=0,"",SUMIFS(T_SelfStock_Log[Self_Qty],T_SelfStock_Log[Part Name],$A35,T_SelfStock_Log[WeekIndex],74))</f>
        <v/>
      </c>
      <c r="BX35" s="18">
        <f>IF(COUNTIFS(T_SelfStock_Log[Part Name],$A35,T_SelfStock_Log[WeekIndex],75)=0,"",SUMIFS(T_SelfStock_Log[Self_Qty],T_SelfStock_Log[Part Name],$A35,T_SelfStock_Log[WeekIndex],75))</f>
        <v/>
      </c>
      <c r="BY35" s="18">
        <f>IF(COUNTIFS(T_SelfStock_Log[Part Name],$A35,T_SelfStock_Log[WeekIndex],76)=0,"",SUMIFS(T_SelfStock_Log[Self_Qty],T_SelfStock_Log[Part Name],$A35,T_SelfStock_Log[WeekIndex],76))</f>
        <v/>
      </c>
      <c r="BZ35" s="18">
        <f>IF(COUNTIFS(T_SelfStock_Log[Part Name],$A35,T_SelfStock_Log[WeekIndex],77)=0,"",SUMIFS(T_SelfStock_Log[Self_Qty],T_SelfStock_Log[Part Name],$A35,T_SelfStock_Log[WeekIndex],77))</f>
        <v/>
      </c>
      <c r="CA35" s="18">
        <f>IF(COUNTIFS(T_SelfStock_Log[Part Name],$A35,T_SelfStock_Log[WeekIndex],78)=0,"",SUMIFS(T_SelfStock_Log[Self_Qty],T_SelfStock_Log[Part Name],$A35,T_SelfStock_Log[WeekIndex],78))</f>
        <v/>
      </c>
      <c r="CB35" s="18">
        <f>IF(COUNTIFS(T_SelfStock_Log[Part Name],$A35,T_SelfStock_Log[WeekIndex],79)=0,"",SUMIFS(T_SelfStock_Log[Self_Qty],T_SelfStock_Log[Part Name],$A35,T_SelfStock_Log[WeekIndex],79))</f>
        <v/>
      </c>
      <c r="CC35" s="18">
        <f>IF(COUNTIFS(T_SelfStock_Log[Part Name],$A35,T_SelfStock_Log[WeekIndex],80)=0,"",SUMIFS(T_SelfStock_Log[Self_Qty],T_SelfStock_Log[Part Name],$A35,T_SelfStock_Log[WeekIndex],80))</f>
        <v/>
      </c>
      <c r="CD35" s="18">
        <f>IF(COUNTIFS(T_SelfStock_Log[Part Name],$A35,T_SelfStock_Log[WeekIndex],81)=0,"",SUMIFS(T_SelfStock_Log[Self_Qty],T_SelfStock_Log[Part Name],$A35,T_SelfStock_Log[WeekIndex],81))</f>
        <v/>
      </c>
      <c r="CE35" s="18">
        <f>IF(COUNTIFS(T_SelfStock_Log[Part Name],$A35,T_SelfStock_Log[WeekIndex],82)=0,"",SUMIFS(T_SelfStock_Log[Self_Qty],T_SelfStock_Log[Part Name],$A35,T_SelfStock_Log[WeekIndex],82))</f>
        <v/>
      </c>
      <c r="CF35" s="18">
        <f>IF(COUNTIFS(T_SelfStock_Log[Part Name],$A35,T_SelfStock_Log[WeekIndex],83)=0,"",SUMIFS(T_SelfStock_Log[Self_Qty],T_SelfStock_Log[Part Name],$A35,T_SelfStock_Log[WeekIndex],83))</f>
        <v/>
      </c>
      <c r="CG35" s="18">
        <f>IF(COUNTIFS(T_SelfStock_Log[Part Name],$A35,T_SelfStock_Log[WeekIndex],84)=0,"",SUMIFS(T_SelfStock_Log[Self_Qty],T_SelfStock_Log[Part Name],$A35,T_SelfStock_Log[WeekIndex],84))</f>
        <v/>
      </c>
      <c r="CH35" s="18">
        <f>IF(COUNTIFS(T_SelfStock_Log[Part Name],$A35,T_SelfStock_Log[WeekIndex],85)=0,"",SUMIFS(T_SelfStock_Log[Self_Qty],T_SelfStock_Log[Part Name],$A35,T_SelfStock_Log[WeekIndex],85))</f>
        <v/>
      </c>
      <c r="CI35" s="18">
        <f>IF(COUNTIFS(T_SelfStock_Log[Part Name],$A35,T_SelfStock_Log[WeekIndex],86)=0,"",SUMIFS(T_SelfStock_Log[Self_Qty],T_SelfStock_Log[Part Name],$A35,T_SelfStock_Log[WeekIndex],86))</f>
        <v/>
      </c>
      <c r="CJ35" s="18">
        <f>IF(COUNTIFS(T_SelfStock_Log[Part Name],$A35,T_SelfStock_Log[WeekIndex],87)=0,"",SUMIFS(T_SelfStock_Log[Self_Qty],T_SelfStock_Log[Part Name],$A35,T_SelfStock_Log[WeekIndex],87))</f>
        <v/>
      </c>
      <c r="CK35" s="18">
        <f>IF(COUNTIFS(T_SelfStock_Log[Part Name],$A35,T_SelfStock_Log[WeekIndex],88)=0,"",SUMIFS(T_SelfStock_Log[Self_Qty],T_SelfStock_Log[Part Name],$A35,T_SelfStock_Log[WeekIndex],88))</f>
        <v/>
      </c>
      <c r="CL35" s="18">
        <f>IF(COUNTIFS(T_SelfStock_Log[Part Name],$A35,T_SelfStock_Log[WeekIndex],89)=0,"",SUMIFS(T_SelfStock_Log[Self_Qty],T_SelfStock_Log[Part Name],$A35,T_SelfStock_Log[WeekIndex],89))</f>
        <v/>
      </c>
      <c r="CM35" s="18">
        <f>IF(COUNTIFS(T_SelfStock_Log[Part Name],$A35,T_SelfStock_Log[WeekIndex],90)=0,"",SUMIFS(T_SelfStock_Log[Self_Qty],T_SelfStock_Log[Part Name],$A35,T_SelfStock_Log[WeekIndex],90))</f>
        <v/>
      </c>
      <c r="CN35" s="18">
        <f>IF(COUNTIFS(T_SelfStock_Log[Part Name],$A35,T_SelfStock_Log[WeekIndex],91)=0,"",SUMIFS(T_SelfStock_Log[Self_Qty],T_SelfStock_Log[Part Name],$A35,T_SelfStock_Log[WeekIndex],91))</f>
        <v/>
      </c>
      <c r="CO35" s="18">
        <f>IF(COUNTIFS(T_SelfStock_Log[Part Name],$A35,T_SelfStock_Log[WeekIndex],92)=0,"",SUMIFS(T_SelfStock_Log[Self_Qty],T_SelfStock_Log[Part Name],$A35,T_SelfStock_Log[WeekIndex],92))</f>
        <v/>
      </c>
      <c r="CP35" s="18">
        <f>IF(COUNTIFS(T_SelfStock_Log[Part Name],$A35,T_SelfStock_Log[WeekIndex],93)=0,"",SUMIFS(T_SelfStock_Log[Self_Qty],T_SelfStock_Log[Part Name],$A35,T_SelfStock_Log[WeekIndex],93))</f>
        <v/>
      </c>
      <c r="CQ35" s="18">
        <f>IF(COUNTIFS(T_SelfStock_Log[Part Name],$A35,T_SelfStock_Log[WeekIndex],94)=0,"",SUMIFS(T_SelfStock_Log[Self_Qty],T_SelfStock_Log[Part Name],$A35,T_SelfStock_Log[WeekIndex],94))</f>
        <v/>
      </c>
      <c r="CR35" s="18">
        <f>IF(COUNTIFS(T_SelfStock_Log[Part Name],$A35,T_SelfStock_Log[WeekIndex],95)=0,"",SUMIFS(T_SelfStock_Log[Self_Qty],T_SelfStock_Log[Part Name],$A35,T_SelfStock_Log[WeekIndex],95))</f>
        <v/>
      </c>
      <c r="CS35" s="18">
        <f>IF(COUNTIFS(T_SelfStock_Log[Part Name],$A35,T_SelfStock_Log[WeekIndex],96)=0,"",SUMIFS(T_SelfStock_Log[Self_Qty],T_SelfStock_Log[Part Name],$A35,T_SelfStock_Log[WeekIndex],96))</f>
        <v/>
      </c>
      <c r="CT35" s="18">
        <f>IF(COUNTIFS(T_SelfStock_Log[Part Name],$A35,T_SelfStock_Log[WeekIndex],97)=0,"",SUMIFS(T_SelfStock_Log[Self_Qty],T_SelfStock_Log[Part Name],$A35,T_SelfStock_Log[WeekIndex],97))</f>
        <v/>
      </c>
      <c r="CU35" s="18">
        <f>IF(COUNTIFS(T_SelfStock_Log[Part Name],$A35,T_SelfStock_Log[WeekIndex],98)=0,"",SUMIFS(T_SelfStock_Log[Self_Qty],T_SelfStock_Log[Part Name],$A35,T_SelfStock_Log[WeekIndex],98))</f>
        <v/>
      </c>
      <c r="CV35" s="18">
        <f>IF(COUNTIFS(T_SelfStock_Log[Part Name],$A35,T_SelfStock_Log[WeekIndex],99)=0,"",SUMIFS(T_SelfStock_Log[Self_Qty],T_SelfStock_Log[Part Name],$A35,T_SelfStock_Log[WeekIndex],99))</f>
        <v/>
      </c>
      <c r="CW35" s="18">
        <f>IF(COUNTIFS(T_SelfStock_Log[Part Name],$A35,T_SelfStock_Log[WeekIndex],100)=0,"",SUMIFS(T_SelfStock_Log[Self_Qty],T_SelfStock_Log[Part Name],$A35,T_SelfStock_Log[WeekIndex],100))</f>
        <v/>
      </c>
      <c r="CX35" s="18">
        <f>IF(COUNTIFS(T_SelfStock_Log[Part Name],$A35,T_SelfStock_Log[WeekIndex],101)=0,"",SUMIFS(T_SelfStock_Log[Self_Qty],T_SelfStock_Log[Part Name],$A35,T_SelfStock_Log[WeekIndex],101))</f>
        <v/>
      </c>
      <c r="CY35" s="18">
        <f>IF(COUNTIFS(T_SelfStock_Log[Part Name],$A35,T_SelfStock_Log[WeekIndex],102)=0,"",SUMIFS(T_SelfStock_Log[Self_Qty],T_SelfStock_Log[Part Name],$A35,T_SelfStock_Log[WeekIndex],102))</f>
        <v/>
      </c>
      <c r="CZ35" s="18">
        <f>IF(COUNTIFS(T_SelfStock_Log[Part Name],$A35,T_SelfStock_Log[WeekIndex],103)=0,"",SUMIFS(T_SelfStock_Log[Self_Qty],T_SelfStock_Log[Part Name],$A35,T_SelfStock_Log[WeekIndex],103))</f>
        <v/>
      </c>
      <c r="DA35" s="18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CHEM-1430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8" t="inlineStr">
        <is>
          <t>CHEM-1480</t>
        </is>
      </c>
      <c r="B37" s="18">
        <f>IF(COUNTIFS(T_SelfStock_Log[Part Name],$A37,T_SelfStock_Log[WeekIndex],1)=0,"",SUMIFS(T_SelfStock_Log[Self_Qty],T_SelfStock_Log[Part Name],$A37,T_SelfStock_Log[WeekIndex],1))</f>
        <v/>
      </c>
      <c r="C37" s="18">
        <f>IF(COUNTIFS(T_SelfStock_Log[Part Name],$A37,T_SelfStock_Log[WeekIndex],2)=0,"",SUMIFS(T_SelfStock_Log[Self_Qty],T_SelfStock_Log[Part Name],$A37,T_SelfStock_Log[WeekIndex],2))</f>
        <v/>
      </c>
      <c r="D37" s="18">
        <f>IF(COUNTIFS(T_SelfStock_Log[Part Name],$A37,T_SelfStock_Log[WeekIndex],3)=0,"",SUMIFS(T_SelfStock_Log[Self_Qty],T_SelfStock_Log[Part Name],$A37,T_SelfStock_Log[WeekIndex],3))</f>
        <v/>
      </c>
      <c r="E37" s="18">
        <f>IF(COUNTIFS(T_SelfStock_Log[Part Name],$A37,T_SelfStock_Log[WeekIndex],4)=0,"",SUMIFS(T_SelfStock_Log[Self_Qty],T_SelfStock_Log[Part Name],$A37,T_SelfStock_Log[WeekIndex],4))</f>
        <v/>
      </c>
      <c r="F37" s="18">
        <f>IF(COUNTIFS(T_SelfStock_Log[Part Name],$A37,T_SelfStock_Log[WeekIndex],5)=0,"",SUMIFS(T_SelfStock_Log[Self_Qty],T_SelfStock_Log[Part Name],$A37,T_SelfStock_Log[WeekIndex],5))</f>
        <v/>
      </c>
      <c r="G37" s="18">
        <f>IF(COUNTIFS(T_SelfStock_Log[Part Name],$A37,T_SelfStock_Log[WeekIndex],6)=0,"",SUMIFS(T_SelfStock_Log[Self_Qty],T_SelfStock_Log[Part Name],$A37,T_SelfStock_Log[WeekIndex],6))</f>
        <v/>
      </c>
      <c r="H37" s="18">
        <f>IF(COUNTIFS(T_SelfStock_Log[Part Name],$A37,T_SelfStock_Log[WeekIndex],7)=0,"",SUMIFS(T_SelfStock_Log[Self_Qty],T_SelfStock_Log[Part Name],$A37,T_SelfStock_Log[WeekIndex],7))</f>
        <v/>
      </c>
      <c r="I37" s="18">
        <f>IF(COUNTIFS(T_SelfStock_Log[Part Name],$A37,T_SelfStock_Log[WeekIndex],8)=0,"",SUMIFS(T_SelfStock_Log[Self_Qty],T_SelfStock_Log[Part Name],$A37,T_SelfStock_Log[WeekIndex],8))</f>
        <v/>
      </c>
      <c r="J37" s="18">
        <f>IF(COUNTIFS(T_SelfStock_Log[Part Name],$A37,T_SelfStock_Log[WeekIndex],9)=0,"",SUMIFS(T_SelfStock_Log[Self_Qty],T_SelfStock_Log[Part Name],$A37,T_SelfStock_Log[WeekIndex],9))</f>
        <v/>
      </c>
      <c r="K37" s="18">
        <f>IF(COUNTIFS(T_SelfStock_Log[Part Name],$A37,T_SelfStock_Log[WeekIndex],10)=0,"",SUMIFS(T_SelfStock_Log[Self_Qty],T_SelfStock_Log[Part Name],$A37,T_SelfStock_Log[WeekIndex],10))</f>
        <v/>
      </c>
      <c r="L37" s="18">
        <f>IF(COUNTIFS(T_SelfStock_Log[Part Name],$A37,T_SelfStock_Log[WeekIndex],11)=0,"",SUMIFS(T_SelfStock_Log[Self_Qty],T_SelfStock_Log[Part Name],$A37,T_SelfStock_Log[WeekIndex],11))</f>
        <v/>
      </c>
      <c r="M37" s="18">
        <f>IF(COUNTIFS(T_SelfStock_Log[Part Name],$A37,T_SelfStock_Log[WeekIndex],12)=0,"",SUMIFS(T_SelfStock_Log[Self_Qty],T_SelfStock_Log[Part Name],$A37,T_SelfStock_Log[WeekIndex],12))</f>
        <v/>
      </c>
      <c r="N37" s="18">
        <f>IF(COUNTIFS(T_SelfStock_Log[Part Name],$A37,T_SelfStock_Log[WeekIndex],13)=0,"",SUMIFS(T_SelfStock_Log[Self_Qty],T_SelfStock_Log[Part Name],$A37,T_SelfStock_Log[WeekIndex],13))</f>
        <v/>
      </c>
      <c r="O37" s="18">
        <f>IF(COUNTIFS(T_SelfStock_Log[Part Name],$A37,T_SelfStock_Log[WeekIndex],14)=0,"",SUMIFS(T_SelfStock_Log[Self_Qty],T_SelfStock_Log[Part Name],$A37,T_SelfStock_Log[WeekIndex],14))</f>
        <v/>
      </c>
      <c r="P37" s="18">
        <f>IF(COUNTIFS(T_SelfStock_Log[Part Name],$A37,T_SelfStock_Log[WeekIndex],15)=0,"",SUMIFS(T_SelfStock_Log[Self_Qty],T_SelfStock_Log[Part Name],$A37,T_SelfStock_Log[WeekIndex],15))</f>
        <v/>
      </c>
      <c r="Q37" s="18">
        <f>IF(COUNTIFS(T_SelfStock_Log[Part Name],$A37,T_SelfStock_Log[WeekIndex],16)=0,"",SUMIFS(T_SelfStock_Log[Self_Qty],T_SelfStock_Log[Part Name],$A37,T_SelfStock_Log[WeekIndex],16))</f>
        <v/>
      </c>
      <c r="R37" s="18">
        <f>IF(COUNTIFS(T_SelfStock_Log[Part Name],$A37,T_SelfStock_Log[WeekIndex],17)=0,"",SUMIFS(T_SelfStock_Log[Self_Qty],T_SelfStock_Log[Part Name],$A37,T_SelfStock_Log[WeekIndex],17))</f>
        <v/>
      </c>
      <c r="S37" s="18">
        <f>IF(COUNTIFS(T_SelfStock_Log[Part Name],$A37,T_SelfStock_Log[WeekIndex],18)=0,"",SUMIFS(T_SelfStock_Log[Self_Qty],T_SelfStock_Log[Part Name],$A37,T_SelfStock_Log[WeekIndex],18))</f>
        <v/>
      </c>
      <c r="T37" s="18">
        <f>IF(COUNTIFS(T_SelfStock_Log[Part Name],$A37,T_SelfStock_Log[WeekIndex],19)=0,"",SUMIFS(T_SelfStock_Log[Self_Qty],T_SelfStock_Log[Part Name],$A37,T_SelfStock_Log[WeekIndex],19))</f>
        <v/>
      </c>
      <c r="U37" s="18">
        <f>IF(COUNTIFS(T_SelfStock_Log[Part Name],$A37,T_SelfStock_Log[WeekIndex],20)=0,"",SUMIFS(T_SelfStock_Log[Self_Qty],T_SelfStock_Log[Part Name],$A37,T_SelfStock_Log[WeekIndex],20))</f>
        <v/>
      </c>
      <c r="V37" s="18">
        <f>IF(COUNTIFS(T_SelfStock_Log[Part Name],$A37,T_SelfStock_Log[WeekIndex],21)=0,"",SUMIFS(T_SelfStock_Log[Self_Qty],T_SelfStock_Log[Part Name],$A37,T_SelfStock_Log[WeekIndex],21))</f>
        <v/>
      </c>
      <c r="W37" s="18">
        <f>IF(COUNTIFS(T_SelfStock_Log[Part Name],$A37,T_SelfStock_Log[WeekIndex],22)=0,"",SUMIFS(T_SelfStock_Log[Self_Qty],T_SelfStock_Log[Part Name],$A37,T_SelfStock_Log[WeekIndex],22))</f>
        <v/>
      </c>
      <c r="X37" s="18">
        <f>IF(COUNTIFS(T_SelfStock_Log[Part Name],$A37,T_SelfStock_Log[WeekIndex],23)=0,"",SUMIFS(T_SelfStock_Log[Self_Qty],T_SelfStock_Log[Part Name],$A37,T_SelfStock_Log[WeekIndex],23))</f>
        <v/>
      </c>
      <c r="Y37" s="18">
        <f>IF(COUNTIFS(T_SelfStock_Log[Part Name],$A37,T_SelfStock_Log[WeekIndex],24)=0,"",SUMIFS(T_SelfStock_Log[Self_Qty],T_SelfStock_Log[Part Name],$A37,T_SelfStock_Log[WeekIndex],24))</f>
        <v/>
      </c>
      <c r="Z37" s="18">
        <f>IF(COUNTIFS(T_SelfStock_Log[Part Name],$A37,T_SelfStock_Log[WeekIndex],25)=0,"",SUMIFS(T_SelfStock_Log[Self_Qty],T_SelfStock_Log[Part Name],$A37,T_SelfStock_Log[WeekIndex],25))</f>
        <v/>
      </c>
      <c r="AA37" s="18">
        <f>IF(COUNTIFS(T_SelfStock_Log[Part Name],$A37,T_SelfStock_Log[WeekIndex],26)=0,"",SUMIFS(T_SelfStock_Log[Self_Qty],T_SelfStock_Log[Part Name],$A37,T_SelfStock_Log[WeekIndex],26))</f>
        <v/>
      </c>
      <c r="AB37" s="18">
        <f>IF(COUNTIFS(T_SelfStock_Log[Part Name],$A37,T_SelfStock_Log[WeekIndex],27)=0,"",SUMIFS(T_SelfStock_Log[Self_Qty],T_SelfStock_Log[Part Name],$A37,T_SelfStock_Log[WeekIndex],27))</f>
        <v/>
      </c>
      <c r="AC37" s="18">
        <f>IF(COUNTIFS(T_SelfStock_Log[Part Name],$A37,T_SelfStock_Log[WeekIndex],28)=0,"",SUMIFS(T_SelfStock_Log[Self_Qty],T_SelfStock_Log[Part Name],$A37,T_SelfStock_Log[WeekIndex],28))</f>
        <v/>
      </c>
      <c r="AD37" s="18">
        <f>IF(COUNTIFS(T_SelfStock_Log[Part Name],$A37,T_SelfStock_Log[WeekIndex],29)=0,"",SUMIFS(T_SelfStock_Log[Self_Qty],T_SelfStock_Log[Part Name],$A37,T_SelfStock_Log[WeekIndex],29))</f>
        <v/>
      </c>
      <c r="AE37" s="18">
        <f>IF(COUNTIFS(T_SelfStock_Log[Part Name],$A37,T_SelfStock_Log[WeekIndex],30)=0,"",SUMIFS(T_SelfStock_Log[Self_Qty],T_SelfStock_Log[Part Name],$A37,T_SelfStock_Log[WeekIndex],30))</f>
        <v/>
      </c>
      <c r="AF37" s="18">
        <f>IF(COUNTIFS(T_SelfStock_Log[Part Name],$A37,T_SelfStock_Log[WeekIndex],31)=0,"",SUMIFS(T_SelfStock_Log[Self_Qty],T_SelfStock_Log[Part Name],$A37,T_SelfStock_Log[WeekIndex],31))</f>
        <v/>
      </c>
      <c r="AG37" s="18">
        <f>IF(COUNTIFS(T_SelfStock_Log[Part Name],$A37,T_SelfStock_Log[WeekIndex],32)=0,"",SUMIFS(T_SelfStock_Log[Self_Qty],T_SelfStock_Log[Part Name],$A37,T_SelfStock_Log[WeekIndex],32))</f>
        <v/>
      </c>
      <c r="AH37" s="18">
        <f>IF(COUNTIFS(T_SelfStock_Log[Part Name],$A37,T_SelfStock_Log[WeekIndex],33)=0,"",SUMIFS(T_SelfStock_Log[Self_Qty],T_SelfStock_Log[Part Name],$A37,T_SelfStock_Log[WeekIndex],33))</f>
        <v/>
      </c>
      <c r="AI37" s="18">
        <f>IF(COUNTIFS(T_SelfStock_Log[Part Name],$A37,T_SelfStock_Log[WeekIndex],34)=0,"",SUMIFS(T_SelfStock_Log[Self_Qty],T_SelfStock_Log[Part Name],$A37,T_SelfStock_Log[WeekIndex],34))</f>
        <v/>
      </c>
      <c r="AJ37" s="18">
        <f>IF(COUNTIFS(T_SelfStock_Log[Part Name],$A37,T_SelfStock_Log[WeekIndex],35)=0,"",SUMIFS(T_SelfStock_Log[Self_Qty],T_SelfStock_Log[Part Name],$A37,T_SelfStock_Log[WeekIndex],35))</f>
        <v/>
      </c>
      <c r="AK37" s="18">
        <f>IF(COUNTIFS(T_SelfStock_Log[Part Name],$A37,T_SelfStock_Log[WeekIndex],36)=0,"",SUMIFS(T_SelfStock_Log[Self_Qty],T_SelfStock_Log[Part Name],$A37,T_SelfStock_Log[WeekIndex],36))</f>
        <v/>
      </c>
      <c r="AL37" s="18">
        <f>IF(COUNTIFS(T_SelfStock_Log[Part Name],$A37,T_SelfStock_Log[WeekIndex],37)=0,"",SUMIFS(T_SelfStock_Log[Self_Qty],T_SelfStock_Log[Part Name],$A37,T_SelfStock_Log[WeekIndex],37))</f>
        <v/>
      </c>
      <c r="AM37" s="18">
        <f>IF(COUNTIFS(T_SelfStock_Log[Part Name],$A37,T_SelfStock_Log[WeekIndex],38)=0,"",SUMIFS(T_SelfStock_Log[Self_Qty],T_SelfStock_Log[Part Name],$A37,T_SelfStock_Log[WeekIndex],38))</f>
        <v/>
      </c>
      <c r="AN37" s="18">
        <f>IF(COUNTIFS(T_SelfStock_Log[Part Name],$A37,T_SelfStock_Log[WeekIndex],39)=0,"",SUMIFS(T_SelfStock_Log[Self_Qty],T_SelfStock_Log[Part Name],$A37,T_SelfStock_Log[WeekIndex],39))</f>
        <v/>
      </c>
      <c r="AO37" s="18">
        <f>IF(COUNTIFS(T_SelfStock_Log[Part Name],$A37,T_SelfStock_Log[WeekIndex],40)=0,"",SUMIFS(T_SelfStock_Log[Self_Qty],T_SelfStock_Log[Part Name],$A37,T_SelfStock_Log[WeekIndex],40))</f>
        <v/>
      </c>
      <c r="AP37" s="18">
        <f>IF(COUNTIFS(T_SelfStock_Log[Part Name],$A37,T_SelfStock_Log[WeekIndex],41)=0,"",SUMIFS(T_SelfStock_Log[Self_Qty],T_SelfStock_Log[Part Name],$A37,T_SelfStock_Log[WeekIndex],41))</f>
        <v/>
      </c>
      <c r="AQ37" s="18">
        <f>IF(COUNTIFS(T_SelfStock_Log[Part Name],$A37,T_SelfStock_Log[WeekIndex],42)=0,"",SUMIFS(T_SelfStock_Log[Self_Qty],T_SelfStock_Log[Part Name],$A37,T_SelfStock_Log[WeekIndex],42))</f>
        <v/>
      </c>
      <c r="AR37" s="18">
        <f>IF(COUNTIFS(T_SelfStock_Log[Part Name],$A37,T_SelfStock_Log[WeekIndex],43)=0,"",SUMIFS(T_SelfStock_Log[Self_Qty],T_SelfStock_Log[Part Name],$A37,T_SelfStock_Log[WeekIndex],43))</f>
        <v/>
      </c>
      <c r="AS37" s="18">
        <f>IF(COUNTIFS(T_SelfStock_Log[Part Name],$A37,T_SelfStock_Log[WeekIndex],44)=0,"",SUMIFS(T_SelfStock_Log[Self_Qty],T_SelfStock_Log[Part Name],$A37,T_SelfStock_Log[WeekIndex],44))</f>
        <v/>
      </c>
      <c r="AT37" s="18">
        <f>IF(COUNTIFS(T_SelfStock_Log[Part Name],$A37,T_SelfStock_Log[WeekIndex],45)=0,"",SUMIFS(T_SelfStock_Log[Self_Qty],T_SelfStock_Log[Part Name],$A37,T_SelfStock_Log[WeekIndex],45))</f>
        <v/>
      </c>
      <c r="AU37" s="18">
        <f>IF(COUNTIFS(T_SelfStock_Log[Part Name],$A37,T_SelfStock_Log[WeekIndex],46)=0,"",SUMIFS(T_SelfStock_Log[Self_Qty],T_SelfStock_Log[Part Name],$A37,T_SelfStock_Log[WeekIndex],46))</f>
        <v/>
      </c>
      <c r="AV37" s="18">
        <f>IF(COUNTIFS(T_SelfStock_Log[Part Name],$A37,T_SelfStock_Log[WeekIndex],47)=0,"",SUMIFS(T_SelfStock_Log[Self_Qty],T_SelfStock_Log[Part Name],$A37,T_SelfStock_Log[WeekIndex],47))</f>
        <v/>
      </c>
      <c r="AW37" s="18">
        <f>IF(COUNTIFS(T_SelfStock_Log[Part Name],$A37,T_SelfStock_Log[WeekIndex],48)=0,"",SUMIFS(T_SelfStock_Log[Self_Qty],T_SelfStock_Log[Part Name],$A37,T_SelfStock_Log[WeekIndex],48))</f>
        <v/>
      </c>
      <c r="AX37" s="18">
        <f>IF(COUNTIFS(T_SelfStock_Log[Part Name],$A37,T_SelfStock_Log[WeekIndex],49)=0,"",SUMIFS(T_SelfStock_Log[Self_Qty],T_SelfStock_Log[Part Name],$A37,T_SelfStock_Log[WeekIndex],49))</f>
        <v/>
      </c>
      <c r="AY37" s="18">
        <f>IF(COUNTIFS(T_SelfStock_Log[Part Name],$A37,T_SelfStock_Log[WeekIndex],50)=0,"",SUMIFS(T_SelfStock_Log[Self_Qty],T_SelfStock_Log[Part Name],$A37,T_SelfStock_Log[WeekIndex],50))</f>
        <v/>
      </c>
      <c r="AZ37" s="18">
        <f>IF(COUNTIFS(T_SelfStock_Log[Part Name],$A37,T_SelfStock_Log[WeekIndex],51)=0,"",SUMIFS(T_SelfStock_Log[Self_Qty],T_SelfStock_Log[Part Name],$A37,T_SelfStock_Log[WeekIndex],51))</f>
        <v/>
      </c>
      <c r="BA37" s="18">
        <f>IF(COUNTIFS(T_SelfStock_Log[Part Name],$A37,T_SelfStock_Log[WeekIndex],52)=0,"",SUMIFS(T_SelfStock_Log[Self_Qty],T_SelfStock_Log[Part Name],$A37,T_SelfStock_Log[WeekIndex],52))</f>
        <v/>
      </c>
      <c r="BB37" s="18">
        <f>IF(COUNTIFS(T_SelfStock_Log[Part Name],$A37,T_SelfStock_Log[WeekIndex],53)=0,"",SUMIFS(T_SelfStock_Log[Self_Qty],T_SelfStock_Log[Part Name],$A37,T_SelfStock_Log[WeekIndex],53))</f>
        <v/>
      </c>
      <c r="BC37" s="18">
        <f>IF(COUNTIFS(T_SelfStock_Log[Part Name],$A37,T_SelfStock_Log[WeekIndex],54)=0,"",SUMIFS(T_SelfStock_Log[Self_Qty],T_SelfStock_Log[Part Name],$A37,T_SelfStock_Log[WeekIndex],54))</f>
        <v/>
      </c>
      <c r="BD37" s="18">
        <f>IF(COUNTIFS(T_SelfStock_Log[Part Name],$A37,T_SelfStock_Log[WeekIndex],55)=0,"",SUMIFS(T_SelfStock_Log[Self_Qty],T_SelfStock_Log[Part Name],$A37,T_SelfStock_Log[WeekIndex],55))</f>
        <v/>
      </c>
      <c r="BE37" s="18">
        <f>IF(COUNTIFS(T_SelfStock_Log[Part Name],$A37,T_SelfStock_Log[WeekIndex],56)=0,"",SUMIFS(T_SelfStock_Log[Self_Qty],T_SelfStock_Log[Part Name],$A37,T_SelfStock_Log[WeekIndex],56))</f>
        <v/>
      </c>
      <c r="BF37" s="18">
        <f>IF(COUNTIFS(T_SelfStock_Log[Part Name],$A37,T_SelfStock_Log[WeekIndex],57)=0,"",SUMIFS(T_SelfStock_Log[Self_Qty],T_SelfStock_Log[Part Name],$A37,T_SelfStock_Log[WeekIndex],57))</f>
        <v/>
      </c>
      <c r="BG37" s="18">
        <f>IF(COUNTIFS(T_SelfStock_Log[Part Name],$A37,T_SelfStock_Log[WeekIndex],58)=0,"",SUMIFS(T_SelfStock_Log[Self_Qty],T_SelfStock_Log[Part Name],$A37,T_SelfStock_Log[WeekIndex],58))</f>
        <v/>
      </c>
      <c r="BH37" s="18">
        <f>IF(COUNTIFS(T_SelfStock_Log[Part Name],$A37,T_SelfStock_Log[WeekIndex],59)=0,"",SUMIFS(T_SelfStock_Log[Self_Qty],T_SelfStock_Log[Part Name],$A37,T_SelfStock_Log[WeekIndex],59))</f>
        <v/>
      </c>
      <c r="BI37" s="18">
        <f>IF(COUNTIFS(T_SelfStock_Log[Part Name],$A37,T_SelfStock_Log[WeekIndex],60)=0,"",SUMIFS(T_SelfStock_Log[Self_Qty],T_SelfStock_Log[Part Name],$A37,T_SelfStock_Log[WeekIndex],60))</f>
        <v/>
      </c>
      <c r="BJ37" s="18">
        <f>IF(COUNTIFS(T_SelfStock_Log[Part Name],$A37,T_SelfStock_Log[WeekIndex],61)=0,"",SUMIFS(T_SelfStock_Log[Self_Qty],T_SelfStock_Log[Part Name],$A37,T_SelfStock_Log[WeekIndex],61))</f>
        <v/>
      </c>
      <c r="BK37" s="18">
        <f>IF(COUNTIFS(T_SelfStock_Log[Part Name],$A37,T_SelfStock_Log[WeekIndex],62)=0,"",SUMIFS(T_SelfStock_Log[Self_Qty],T_SelfStock_Log[Part Name],$A37,T_SelfStock_Log[WeekIndex],62))</f>
        <v/>
      </c>
      <c r="BL37" s="18">
        <f>IF(COUNTIFS(T_SelfStock_Log[Part Name],$A37,T_SelfStock_Log[WeekIndex],63)=0,"",SUMIFS(T_SelfStock_Log[Self_Qty],T_SelfStock_Log[Part Name],$A37,T_SelfStock_Log[WeekIndex],63))</f>
        <v/>
      </c>
      <c r="BM37" s="18">
        <f>IF(COUNTIFS(T_SelfStock_Log[Part Name],$A37,T_SelfStock_Log[WeekIndex],64)=0,"",SUMIFS(T_SelfStock_Log[Self_Qty],T_SelfStock_Log[Part Name],$A37,T_SelfStock_Log[WeekIndex],64))</f>
        <v/>
      </c>
      <c r="BN37" s="18">
        <f>IF(COUNTIFS(T_SelfStock_Log[Part Name],$A37,T_SelfStock_Log[WeekIndex],65)=0,"",SUMIFS(T_SelfStock_Log[Self_Qty],T_SelfStock_Log[Part Name],$A37,T_SelfStock_Log[WeekIndex],65))</f>
        <v/>
      </c>
      <c r="BO37" s="18">
        <f>IF(COUNTIFS(T_SelfStock_Log[Part Name],$A37,T_SelfStock_Log[WeekIndex],66)=0,"",SUMIFS(T_SelfStock_Log[Self_Qty],T_SelfStock_Log[Part Name],$A37,T_SelfStock_Log[WeekIndex],66))</f>
        <v/>
      </c>
      <c r="BP37" s="18">
        <f>IF(COUNTIFS(T_SelfStock_Log[Part Name],$A37,T_SelfStock_Log[WeekIndex],67)=0,"",SUMIFS(T_SelfStock_Log[Self_Qty],T_SelfStock_Log[Part Name],$A37,T_SelfStock_Log[WeekIndex],67))</f>
        <v/>
      </c>
      <c r="BQ37" s="18">
        <f>IF(COUNTIFS(T_SelfStock_Log[Part Name],$A37,T_SelfStock_Log[WeekIndex],68)=0,"",SUMIFS(T_SelfStock_Log[Self_Qty],T_SelfStock_Log[Part Name],$A37,T_SelfStock_Log[WeekIndex],68))</f>
        <v/>
      </c>
      <c r="BR37" s="18">
        <f>IF(COUNTIFS(T_SelfStock_Log[Part Name],$A37,T_SelfStock_Log[WeekIndex],69)=0,"",SUMIFS(T_SelfStock_Log[Self_Qty],T_SelfStock_Log[Part Name],$A37,T_SelfStock_Log[WeekIndex],69))</f>
        <v/>
      </c>
      <c r="BS37" s="18">
        <f>IF(COUNTIFS(T_SelfStock_Log[Part Name],$A37,T_SelfStock_Log[WeekIndex],70)=0,"",SUMIFS(T_SelfStock_Log[Self_Qty],T_SelfStock_Log[Part Name],$A37,T_SelfStock_Log[WeekIndex],70))</f>
        <v/>
      </c>
      <c r="BT37" s="18">
        <f>IF(COUNTIFS(T_SelfStock_Log[Part Name],$A37,T_SelfStock_Log[WeekIndex],71)=0,"",SUMIFS(T_SelfStock_Log[Self_Qty],T_SelfStock_Log[Part Name],$A37,T_SelfStock_Log[WeekIndex],71))</f>
        <v/>
      </c>
      <c r="BU37" s="18">
        <f>IF(COUNTIFS(T_SelfStock_Log[Part Name],$A37,T_SelfStock_Log[WeekIndex],72)=0,"",SUMIFS(T_SelfStock_Log[Self_Qty],T_SelfStock_Log[Part Name],$A37,T_SelfStock_Log[WeekIndex],72))</f>
        <v/>
      </c>
      <c r="BV37" s="18">
        <f>IF(COUNTIFS(T_SelfStock_Log[Part Name],$A37,T_SelfStock_Log[WeekIndex],73)=0,"",SUMIFS(T_SelfStock_Log[Self_Qty],T_SelfStock_Log[Part Name],$A37,T_SelfStock_Log[WeekIndex],73))</f>
        <v/>
      </c>
      <c r="BW37" s="18">
        <f>IF(COUNTIFS(T_SelfStock_Log[Part Name],$A37,T_SelfStock_Log[WeekIndex],74)=0,"",SUMIFS(T_SelfStock_Log[Self_Qty],T_SelfStock_Log[Part Name],$A37,T_SelfStock_Log[WeekIndex],74))</f>
        <v/>
      </c>
      <c r="BX37" s="18">
        <f>IF(COUNTIFS(T_SelfStock_Log[Part Name],$A37,T_SelfStock_Log[WeekIndex],75)=0,"",SUMIFS(T_SelfStock_Log[Self_Qty],T_SelfStock_Log[Part Name],$A37,T_SelfStock_Log[WeekIndex],75))</f>
        <v/>
      </c>
      <c r="BY37" s="18">
        <f>IF(COUNTIFS(T_SelfStock_Log[Part Name],$A37,T_SelfStock_Log[WeekIndex],76)=0,"",SUMIFS(T_SelfStock_Log[Self_Qty],T_SelfStock_Log[Part Name],$A37,T_SelfStock_Log[WeekIndex],76))</f>
        <v/>
      </c>
      <c r="BZ37" s="18">
        <f>IF(COUNTIFS(T_SelfStock_Log[Part Name],$A37,T_SelfStock_Log[WeekIndex],77)=0,"",SUMIFS(T_SelfStock_Log[Self_Qty],T_SelfStock_Log[Part Name],$A37,T_SelfStock_Log[WeekIndex],77))</f>
        <v/>
      </c>
      <c r="CA37" s="18">
        <f>IF(COUNTIFS(T_SelfStock_Log[Part Name],$A37,T_SelfStock_Log[WeekIndex],78)=0,"",SUMIFS(T_SelfStock_Log[Self_Qty],T_SelfStock_Log[Part Name],$A37,T_SelfStock_Log[WeekIndex],78))</f>
        <v/>
      </c>
      <c r="CB37" s="18">
        <f>IF(COUNTIFS(T_SelfStock_Log[Part Name],$A37,T_SelfStock_Log[WeekIndex],79)=0,"",SUMIFS(T_SelfStock_Log[Self_Qty],T_SelfStock_Log[Part Name],$A37,T_SelfStock_Log[WeekIndex],79))</f>
        <v/>
      </c>
      <c r="CC37" s="18">
        <f>IF(COUNTIFS(T_SelfStock_Log[Part Name],$A37,T_SelfStock_Log[WeekIndex],80)=0,"",SUMIFS(T_SelfStock_Log[Self_Qty],T_SelfStock_Log[Part Name],$A37,T_SelfStock_Log[WeekIndex],80))</f>
        <v/>
      </c>
      <c r="CD37" s="18">
        <f>IF(COUNTIFS(T_SelfStock_Log[Part Name],$A37,T_SelfStock_Log[WeekIndex],81)=0,"",SUMIFS(T_SelfStock_Log[Self_Qty],T_SelfStock_Log[Part Name],$A37,T_SelfStock_Log[WeekIndex],81))</f>
        <v/>
      </c>
      <c r="CE37" s="18">
        <f>IF(COUNTIFS(T_SelfStock_Log[Part Name],$A37,T_SelfStock_Log[WeekIndex],82)=0,"",SUMIFS(T_SelfStock_Log[Self_Qty],T_SelfStock_Log[Part Name],$A37,T_SelfStock_Log[WeekIndex],82))</f>
        <v/>
      </c>
      <c r="CF37" s="18">
        <f>IF(COUNTIFS(T_SelfStock_Log[Part Name],$A37,T_SelfStock_Log[WeekIndex],83)=0,"",SUMIFS(T_SelfStock_Log[Self_Qty],T_SelfStock_Log[Part Name],$A37,T_SelfStock_Log[WeekIndex],83))</f>
        <v/>
      </c>
      <c r="CG37" s="18">
        <f>IF(COUNTIFS(T_SelfStock_Log[Part Name],$A37,T_SelfStock_Log[WeekIndex],84)=0,"",SUMIFS(T_SelfStock_Log[Self_Qty],T_SelfStock_Log[Part Name],$A37,T_SelfStock_Log[WeekIndex],84))</f>
        <v/>
      </c>
      <c r="CH37" s="18">
        <f>IF(COUNTIFS(T_SelfStock_Log[Part Name],$A37,T_SelfStock_Log[WeekIndex],85)=0,"",SUMIFS(T_SelfStock_Log[Self_Qty],T_SelfStock_Log[Part Name],$A37,T_SelfStock_Log[WeekIndex],85))</f>
        <v/>
      </c>
      <c r="CI37" s="18">
        <f>IF(COUNTIFS(T_SelfStock_Log[Part Name],$A37,T_SelfStock_Log[WeekIndex],86)=0,"",SUMIFS(T_SelfStock_Log[Self_Qty],T_SelfStock_Log[Part Name],$A37,T_SelfStock_Log[WeekIndex],86))</f>
        <v/>
      </c>
      <c r="CJ37" s="18">
        <f>IF(COUNTIFS(T_SelfStock_Log[Part Name],$A37,T_SelfStock_Log[WeekIndex],87)=0,"",SUMIFS(T_SelfStock_Log[Self_Qty],T_SelfStock_Log[Part Name],$A37,T_SelfStock_Log[WeekIndex],87))</f>
        <v/>
      </c>
      <c r="CK37" s="18">
        <f>IF(COUNTIFS(T_SelfStock_Log[Part Name],$A37,T_SelfStock_Log[WeekIndex],88)=0,"",SUMIFS(T_SelfStock_Log[Self_Qty],T_SelfStock_Log[Part Name],$A37,T_SelfStock_Log[WeekIndex],88))</f>
        <v/>
      </c>
      <c r="CL37" s="18">
        <f>IF(COUNTIFS(T_SelfStock_Log[Part Name],$A37,T_SelfStock_Log[WeekIndex],89)=0,"",SUMIFS(T_SelfStock_Log[Self_Qty],T_SelfStock_Log[Part Name],$A37,T_SelfStock_Log[WeekIndex],89))</f>
        <v/>
      </c>
      <c r="CM37" s="18">
        <f>IF(COUNTIFS(T_SelfStock_Log[Part Name],$A37,T_SelfStock_Log[WeekIndex],90)=0,"",SUMIFS(T_SelfStock_Log[Self_Qty],T_SelfStock_Log[Part Name],$A37,T_SelfStock_Log[WeekIndex],90))</f>
        <v/>
      </c>
      <c r="CN37" s="18">
        <f>IF(COUNTIFS(T_SelfStock_Log[Part Name],$A37,T_SelfStock_Log[WeekIndex],91)=0,"",SUMIFS(T_SelfStock_Log[Self_Qty],T_SelfStock_Log[Part Name],$A37,T_SelfStock_Log[WeekIndex],91))</f>
        <v/>
      </c>
      <c r="CO37" s="18">
        <f>IF(COUNTIFS(T_SelfStock_Log[Part Name],$A37,T_SelfStock_Log[WeekIndex],92)=0,"",SUMIFS(T_SelfStock_Log[Self_Qty],T_SelfStock_Log[Part Name],$A37,T_SelfStock_Log[WeekIndex],92))</f>
        <v/>
      </c>
      <c r="CP37" s="18">
        <f>IF(COUNTIFS(T_SelfStock_Log[Part Name],$A37,T_SelfStock_Log[WeekIndex],93)=0,"",SUMIFS(T_SelfStock_Log[Self_Qty],T_SelfStock_Log[Part Name],$A37,T_SelfStock_Log[WeekIndex],93))</f>
        <v/>
      </c>
      <c r="CQ37" s="18">
        <f>IF(COUNTIFS(T_SelfStock_Log[Part Name],$A37,T_SelfStock_Log[WeekIndex],94)=0,"",SUMIFS(T_SelfStock_Log[Self_Qty],T_SelfStock_Log[Part Name],$A37,T_SelfStock_Log[WeekIndex],94))</f>
        <v/>
      </c>
      <c r="CR37" s="18">
        <f>IF(COUNTIFS(T_SelfStock_Log[Part Name],$A37,T_SelfStock_Log[WeekIndex],95)=0,"",SUMIFS(T_SelfStock_Log[Self_Qty],T_SelfStock_Log[Part Name],$A37,T_SelfStock_Log[WeekIndex],95))</f>
        <v/>
      </c>
      <c r="CS37" s="18">
        <f>IF(COUNTIFS(T_SelfStock_Log[Part Name],$A37,T_SelfStock_Log[WeekIndex],96)=0,"",SUMIFS(T_SelfStock_Log[Self_Qty],T_SelfStock_Log[Part Name],$A37,T_SelfStock_Log[WeekIndex],96))</f>
        <v/>
      </c>
      <c r="CT37" s="18">
        <f>IF(COUNTIFS(T_SelfStock_Log[Part Name],$A37,T_SelfStock_Log[WeekIndex],97)=0,"",SUMIFS(T_SelfStock_Log[Self_Qty],T_SelfStock_Log[Part Name],$A37,T_SelfStock_Log[WeekIndex],97))</f>
        <v/>
      </c>
      <c r="CU37" s="18">
        <f>IF(COUNTIFS(T_SelfStock_Log[Part Name],$A37,T_SelfStock_Log[WeekIndex],98)=0,"",SUMIFS(T_SelfStock_Log[Self_Qty],T_SelfStock_Log[Part Name],$A37,T_SelfStock_Log[WeekIndex],98))</f>
        <v/>
      </c>
      <c r="CV37" s="18">
        <f>IF(COUNTIFS(T_SelfStock_Log[Part Name],$A37,T_SelfStock_Log[WeekIndex],99)=0,"",SUMIFS(T_SelfStock_Log[Self_Qty],T_SelfStock_Log[Part Name],$A37,T_SelfStock_Log[WeekIndex],99))</f>
        <v/>
      </c>
      <c r="CW37" s="18">
        <f>IF(COUNTIFS(T_SelfStock_Log[Part Name],$A37,T_SelfStock_Log[WeekIndex],100)=0,"",SUMIFS(T_SelfStock_Log[Self_Qty],T_SelfStock_Log[Part Name],$A37,T_SelfStock_Log[WeekIndex],100))</f>
        <v/>
      </c>
      <c r="CX37" s="18">
        <f>IF(COUNTIFS(T_SelfStock_Log[Part Name],$A37,T_SelfStock_Log[WeekIndex],101)=0,"",SUMIFS(T_SelfStock_Log[Self_Qty],T_SelfStock_Log[Part Name],$A37,T_SelfStock_Log[WeekIndex],101))</f>
        <v/>
      </c>
      <c r="CY37" s="18">
        <f>IF(COUNTIFS(T_SelfStock_Log[Part Name],$A37,T_SelfStock_Log[WeekIndex],102)=0,"",SUMIFS(T_SelfStock_Log[Self_Qty],T_SelfStock_Log[Part Name],$A37,T_SelfStock_Log[WeekIndex],102))</f>
        <v/>
      </c>
      <c r="CZ37" s="18">
        <f>IF(COUNTIFS(T_SelfStock_Log[Part Name],$A37,T_SelfStock_Log[WeekIndex],103)=0,"",SUMIFS(T_SelfStock_Log[Self_Qty],T_SelfStock_Log[Part Name],$A37,T_SelfStock_Log[WeekIndex],103))</f>
        <v/>
      </c>
      <c r="DA37" s="18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CHEM-1560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8" t="inlineStr">
        <is>
          <t>CHEM-1510</t>
        </is>
      </c>
      <c r="B39" s="18">
        <f>IF(COUNTIFS(T_SelfStock_Log[Part Name],$A39,T_SelfStock_Log[WeekIndex],1)=0,"",SUMIFS(T_SelfStock_Log[Self_Qty],T_SelfStock_Log[Part Name],$A39,T_SelfStock_Log[WeekIndex],1))</f>
        <v/>
      </c>
      <c r="C39" s="18">
        <f>IF(COUNTIFS(T_SelfStock_Log[Part Name],$A39,T_SelfStock_Log[WeekIndex],2)=0,"",SUMIFS(T_SelfStock_Log[Self_Qty],T_SelfStock_Log[Part Name],$A39,T_SelfStock_Log[WeekIndex],2))</f>
        <v/>
      </c>
      <c r="D39" s="18">
        <f>IF(COUNTIFS(T_SelfStock_Log[Part Name],$A39,T_SelfStock_Log[WeekIndex],3)=0,"",SUMIFS(T_SelfStock_Log[Self_Qty],T_SelfStock_Log[Part Name],$A39,T_SelfStock_Log[WeekIndex],3))</f>
        <v/>
      </c>
      <c r="E39" s="18">
        <f>IF(COUNTIFS(T_SelfStock_Log[Part Name],$A39,T_SelfStock_Log[WeekIndex],4)=0,"",SUMIFS(T_SelfStock_Log[Self_Qty],T_SelfStock_Log[Part Name],$A39,T_SelfStock_Log[WeekIndex],4))</f>
        <v/>
      </c>
      <c r="F39" s="18">
        <f>IF(COUNTIFS(T_SelfStock_Log[Part Name],$A39,T_SelfStock_Log[WeekIndex],5)=0,"",SUMIFS(T_SelfStock_Log[Self_Qty],T_SelfStock_Log[Part Name],$A39,T_SelfStock_Log[WeekIndex],5))</f>
        <v/>
      </c>
      <c r="G39" s="18">
        <f>IF(COUNTIFS(T_SelfStock_Log[Part Name],$A39,T_SelfStock_Log[WeekIndex],6)=0,"",SUMIFS(T_SelfStock_Log[Self_Qty],T_SelfStock_Log[Part Name],$A39,T_SelfStock_Log[WeekIndex],6))</f>
        <v/>
      </c>
      <c r="H39" s="18">
        <f>IF(COUNTIFS(T_SelfStock_Log[Part Name],$A39,T_SelfStock_Log[WeekIndex],7)=0,"",SUMIFS(T_SelfStock_Log[Self_Qty],T_SelfStock_Log[Part Name],$A39,T_SelfStock_Log[WeekIndex],7))</f>
        <v/>
      </c>
      <c r="I39" s="18">
        <f>IF(COUNTIFS(T_SelfStock_Log[Part Name],$A39,T_SelfStock_Log[WeekIndex],8)=0,"",SUMIFS(T_SelfStock_Log[Self_Qty],T_SelfStock_Log[Part Name],$A39,T_SelfStock_Log[WeekIndex],8))</f>
        <v/>
      </c>
      <c r="J39" s="18">
        <f>IF(COUNTIFS(T_SelfStock_Log[Part Name],$A39,T_SelfStock_Log[WeekIndex],9)=0,"",SUMIFS(T_SelfStock_Log[Self_Qty],T_SelfStock_Log[Part Name],$A39,T_SelfStock_Log[WeekIndex],9))</f>
        <v/>
      </c>
      <c r="K39" s="18">
        <f>IF(COUNTIFS(T_SelfStock_Log[Part Name],$A39,T_SelfStock_Log[WeekIndex],10)=0,"",SUMIFS(T_SelfStock_Log[Self_Qty],T_SelfStock_Log[Part Name],$A39,T_SelfStock_Log[WeekIndex],10))</f>
        <v/>
      </c>
      <c r="L39" s="18">
        <f>IF(COUNTIFS(T_SelfStock_Log[Part Name],$A39,T_SelfStock_Log[WeekIndex],11)=0,"",SUMIFS(T_SelfStock_Log[Self_Qty],T_SelfStock_Log[Part Name],$A39,T_SelfStock_Log[WeekIndex],11))</f>
        <v/>
      </c>
      <c r="M39" s="18">
        <f>IF(COUNTIFS(T_SelfStock_Log[Part Name],$A39,T_SelfStock_Log[WeekIndex],12)=0,"",SUMIFS(T_SelfStock_Log[Self_Qty],T_SelfStock_Log[Part Name],$A39,T_SelfStock_Log[WeekIndex],12))</f>
        <v/>
      </c>
      <c r="N39" s="18">
        <f>IF(COUNTIFS(T_SelfStock_Log[Part Name],$A39,T_SelfStock_Log[WeekIndex],13)=0,"",SUMIFS(T_SelfStock_Log[Self_Qty],T_SelfStock_Log[Part Name],$A39,T_SelfStock_Log[WeekIndex],13))</f>
        <v/>
      </c>
      <c r="O39" s="18">
        <f>IF(COUNTIFS(T_SelfStock_Log[Part Name],$A39,T_SelfStock_Log[WeekIndex],14)=0,"",SUMIFS(T_SelfStock_Log[Self_Qty],T_SelfStock_Log[Part Name],$A39,T_SelfStock_Log[WeekIndex],14))</f>
        <v/>
      </c>
      <c r="P39" s="18">
        <f>IF(COUNTIFS(T_SelfStock_Log[Part Name],$A39,T_SelfStock_Log[WeekIndex],15)=0,"",SUMIFS(T_SelfStock_Log[Self_Qty],T_SelfStock_Log[Part Name],$A39,T_SelfStock_Log[WeekIndex],15))</f>
        <v/>
      </c>
      <c r="Q39" s="18">
        <f>IF(COUNTIFS(T_SelfStock_Log[Part Name],$A39,T_SelfStock_Log[WeekIndex],16)=0,"",SUMIFS(T_SelfStock_Log[Self_Qty],T_SelfStock_Log[Part Name],$A39,T_SelfStock_Log[WeekIndex],16))</f>
        <v/>
      </c>
      <c r="R39" s="18">
        <f>IF(COUNTIFS(T_SelfStock_Log[Part Name],$A39,T_SelfStock_Log[WeekIndex],17)=0,"",SUMIFS(T_SelfStock_Log[Self_Qty],T_SelfStock_Log[Part Name],$A39,T_SelfStock_Log[WeekIndex],17))</f>
        <v/>
      </c>
      <c r="S39" s="18">
        <f>IF(COUNTIFS(T_SelfStock_Log[Part Name],$A39,T_SelfStock_Log[WeekIndex],18)=0,"",SUMIFS(T_SelfStock_Log[Self_Qty],T_SelfStock_Log[Part Name],$A39,T_SelfStock_Log[WeekIndex],18))</f>
        <v/>
      </c>
      <c r="T39" s="18">
        <f>IF(COUNTIFS(T_SelfStock_Log[Part Name],$A39,T_SelfStock_Log[WeekIndex],19)=0,"",SUMIFS(T_SelfStock_Log[Self_Qty],T_SelfStock_Log[Part Name],$A39,T_SelfStock_Log[WeekIndex],19))</f>
        <v/>
      </c>
      <c r="U39" s="18">
        <f>IF(COUNTIFS(T_SelfStock_Log[Part Name],$A39,T_SelfStock_Log[WeekIndex],20)=0,"",SUMIFS(T_SelfStock_Log[Self_Qty],T_SelfStock_Log[Part Name],$A39,T_SelfStock_Log[WeekIndex],20))</f>
        <v/>
      </c>
      <c r="V39" s="18">
        <f>IF(COUNTIFS(T_SelfStock_Log[Part Name],$A39,T_SelfStock_Log[WeekIndex],21)=0,"",SUMIFS(T_SelfStock_Log[Self_Qty],T_SelfStock_Log[Part Name],$A39,T_SelfStock_Log[WeekIndex],21))</f>
        <v/>
      </c>
      <c r="W39" s="18">
        <f>IF(COUNTIFS(T_SelfStock_Log[Part Name],$A39,T_SelfStock_Log[WeekIndex],22)=0,"",SUMIFS(T_SelfStock_Log[Self_Qty],T_SelfStock_Log[Part Name],$A39,T_SelfStock_Log[WeekIndex],22))</f>
        <v/>
      </c>
      <c r="X39" s="18">
        <f>IF(COUNTIFS(T_SelfStock_Log[Part Name],$A39,T_SelfStock_Log[WeekIndex],23)=0,"",SUMIFS(T_SelfStock_Log[Self_Qty],T_SelfStock_Log[Part Name],$A39,T_SelfStock_Log[WeekIndex],23))</f>
        <v/>
      </c>
      <c r="Y39" s="18">
        <f>IF(COUNTIFS(T_SelfStock_Log[Part Name],$A39,T_SelfStock_Log[WeekIndex],24)=0,"",SUMIFS(T_SelfStock_Log[Self_Qty],T_SelfStock_Log[Part Name],$A39,T_SelfStock_Log[WeekIndex],24))</f>
        <v/>
      </c>
      <c r="Z39" s="18">
        <f>IF(COUNTIFS(T_SelfStock_Log[Part Name],$A39,T_SelfStock_Log[WeekIndex],25)=0,"",SUMIFS(T_SelfStock_Log[Self_Qty],T_SelfStock_Log[Part Name],$A39,T_SelfStock_Log[WeekIndex],25))</f>
        <v/>
      </c>
      <c r="AA39" s="18">
        <f>IF(COUNTIFS(T_SelfStock_Log[Part Name],$A39,T_SelfStock_Log[WeekIndex],26)=0,"",SUMIFS(T_SelfStock_Log[Self_Qty],T_SelfStock_Log[Part Name],$A39,T_SelfStock_Log[WeekIndex],26))</f>
        <v/>
      </c>
      <c r="AB39" s="18">
        <f>IF(COUNTIFS(T_SelfStock_Log[Part Name],$A39,T_SelfStock_Log[WeekIndex],27)=0,"",SUMIFS(T_SelfStock_Log[Self_Qty],T_SelfStock_Log[Part Name],$A39,T_SelfStock_Log[WeekIndex],27))</f>
        <v/>
      </c>
      <c r="AC39" s="18">
        <f>IF(COUNTIFS(T_SelfStock_Log[Part Name],$A39,T_SelfStock_Log[WeekIndex],28)=0,"",SUMIFS(T_SelfStock_Log[Self_Qty],T_SelfStock_Log[Part Name],$A39,T_SelfStock_Log[WeekIndex],28))</f>
        <v/>
      </c>
      <c r="AD39" s="18">
        <f>IF(COUNTIFS(T_SelfStock_Log[Part Name],$A39,T_SelfStock_Log[WeekIndex],29)=0,"",SUMIFS(T_SelfStock_Log[Self_Qty],T_SelfStock_Log[Part Name],$A39,T_SelfStock_Log[WeekIndex],29))</f>
        <v/>
      </c>
      <c r="AE39" s="18">
        <f>IF(COUNTIFS(T_SelfStock_Log[Part Name],$A39,T_SelfStock_Log[WeekIndex],30)=0,"",SUMIFS(T_SelfStock_Log[Self_Qty],T_SelfStock_Log[Part Name],$A39,T_SelfStock_Log[WeekIndex],30))</f>
        <v/>
      </c>
      <c r="AF39" s="18">
        <f>IF(COUNTIFS(T_SelfStock_Log[Part Name],$A39,T_SelfStock_Log[WeekIndex],31)=0,"",SUMIFS(T_SelfStock_Log[Self_Qty],T_SelfStock_Log[Part Name],$A39,T_SelfStock_Log[WeekIndex],31))</f>
        <v/>
      </c>
      <c r="AG39" s="18">
        <f>IF(COUNTIFS(T_SelfStock_Log[Part Name],$A39,T_SelfStock_Log[WeekIndex],32)=0,"",SUMIFS(T_SelfStock_Log[Self_Qty],T_SelfStock_Log[Part Name],$A39,T_SelfStock_Log[WeekIndex],32))</f>
        <v/>
      </c>
      <c r="AH39" s="18">
        <f>IF(COUNTIFS(T_SelfStock_Log[Part Name],$A39,T_SelfStock_Log[WeekIndex],33)=0,"",SUMIFS(T_SelfStock_Log[Self_Qty],T_SelfStock_Log[Part Name],$A39,T_SelfStock_Log[WeekIndex],33))</f>
        <v/>
      </c>
      <c r="AI39" s="18">
        <f>IF(COUNTIFS(T_SelfStock_Log[Part Name],$A39,T_SelfStock_Log[WeekIndex],34)=0,"",SUMIFS(T_SelfStock_Log[Self_Qty],T_SelfStock_Log[Part Name],$A39,T_SelfStock_Log[WeekIndex],34))</f>
        <v/>
      </c>
      <c r="AJ39" s="18">
        <f>IF(COUNTIFS(T_SelfStock_Log[Part Name],$A39,T_SelfStock_Log[WeekIndex],35)=0,"",SUMIFS(T_SelfStock_Log[Self_Qty],T_SelfStock_Log[Part Name],$A39,T_SelfStock_Log[WeekIndex],35))</f>
        <v/>
      </c>
      <c r="AK39" s="18">
        <f>IF(COUNTIFS(T_SelfStock_Log[Part Name],$A39,T_SelfStock_Log[WeekIndex],36)=0,"",SUMIFS(T_SelfStock_Log[Self_Qty],T_SelfStock_Log[Part Name],$A39,T_SelfStock_Log[WeekIndex],36))</f>
        <v/>
      </c>
      <c r="AL39" s="18">
        <f>IF(COUNTIFS(T_SelfStock_Log[Part Name],$A39,T_SelfStock_Log[WeekIndex],37)=0,"",SUMIFS(T_SelfStock_Log[Self_Qty],T_SelfStock_Log[Part Name],$A39,T_SelfStock_Log[WeekIndex],37))</f>
        <v/>
      </c>
      <c r="AM39" s="18">
        <f>IF(COUNTIFS(T_SelfStock_Log[Part Name],$A39,T_SelfStock_Log[WeekIndex],38)=0,"",SUMIFS(T_SelfStock_Log[Self_Qty],T_SelfStock_Log[Part Name],$A39,T_SelfStock_Log[WeekIndex],38))</f>
        <v/>
      </c>
      <c r="AN39" s="18">
        <f>IF(COUNTIFS(T_SelfStock_Log[Part Name],$A39,T_SelfStock_Log[WeekIndex],39)=0,"",SUMIFS(T_SelfStock_Log[Self_Qty],T_SelfStock_Log[Part Name],$A39,T_SelfStock_Log[WeekIndex],39))</f>
        <v/>
      </c>
      <c r="AO39" s="18">
        <f>IF(COUNTIFS(T_SelfStock_Log[Part Name],$A39,T_SelfStock_Log[WeekIndex],40)=0,"",SUMIFS(T_SelfStock_Log[Self_Qty],T_SelfStock_Log[Part Name],$A39,T_SelfStock_Log[WeekIndex],40))</f>
        <v/>
      </c>
      <c r="AP39" s="18">
        <f>IF(COUNTIFS(T_SelfStock_Log[Part Name],$A39,T_SelfStock_Log[WeekIndex],41)=0,"",SUMIFS(T_SelfStock_Log[Self_Qty],T_SelfStock_Log[Part Name],$A39,T_SelfStock_Log[WeekIndex],41))</f>
        <v/>
      </c>
      <c r="AQ39" s="18">
        <f>IF(COUNTIFS(T_SelfStock_Log[Part Name],$A39,T_SelfStock_Log[WeekIndex],42)=0,"",SUMIFS(T_SelfStock_Log[Self_Qty],T_SelfStock_Log[Part Name],$A39,T_SelfStock_Log[WeekIndex],42))</f>
        <v/>
      </c>
      <c r="AR39" s="18">
        <f>IF(COUNTIFS(T_SelfStock_Log[Part Name],$A39,T_SelfStock_Log[WeekIndex],43)=0,"",SUMIFS(T_SelfStock_Log[Self_Qty],T_SelfStock_Log[Part Name],$A39,T_SelfStock_Log[WeekIndex],43))</f>
        <v/>
      </c>
      <c r="AS39" s="18">
        <f>IF(COUNTIFS(T_SelfStock_Log[Part Name],$A39,T_SelfStock_Log[WeekIndex],44)=0,"",SUMIFS(T_SelfStock_Log[Self_Qty],T_SelfStock_Log[Part Name],$A39,T_SelfStock_Log[WeekIndex],44))</f>
        <v/>
      </c>
      <c r="AT39" s="18">
        <f>IF(COUNTIFS(T_SelfStock_Log[Part Name],$A39,T_SelfStock_Log[WeekIndex],45)=0,"",SUMIFS(T_SelfStock_Log[Self_Qty],T_SelfStock_Log[Part Name],$A39,T_SelfStock_Log[WeekIndex],45))</f>
        <v/>
      </c>
      <c r="AU39" s="18">
        <f>IF(COUNTIFS(T_SelfStock_Log[Part Name],$A39,T_SelfStock_Log[WeekIndex],46)=0,"",SUMIFS(T_SelfStock_Log[Self_Qty],T_SelfStock_Log[Part Name],$A39,T_SelfStock_Log[WeekIndex],46))</f>
        <v/>
      </c>
      <c r="AV39" s="18">
        <f>IF(COUNTIFS(T_SelfStock_Log[Part Name],$A39,T_SelfStock_Log[WeekIndex],47)=0,"",SUMIFS(T_SelfStock_Log[Self_Qty],T_SelfStock_Log[Part Name],$A39,T_SelfStock_Log[WeekIndex],47))</f>
        <v/>
      </c>
      <c r="AW39" s="18">
        <f>IF(COUNTIFS(T_SelfStock_Log[Part Name],$A39,T_SelfStock_Log[WeekIndex],48)=0,"",SUMIFS(T_SelfStock_Log[Self_Qty],T_SelfStock_Log[Part Name],$A39,T_SelfStock_Log[WeekIndex],48))</f>
        <v/>
      </c>
      <c r="AX39" s="18">
        <f>IF(COUNTIFS(T_SelfStock_Log[Part Name],$A39,T_SelfStock_Log[WeekIndex],49)=0,"",SUMIFS(T_SelfStock_Log[Self_Qty],T_SelfStock_Log[Part Name],$A39,T_SelfStock_Log[WeekIndex],49))</f>
        <v/>
      </c>
      <c r="AY39" s="18">
        <f>IF(COUNTIFS(T_SelfStock_Log[Part Name],$A39,T_SelfStock_Log[WeekIndex],50)=0,"",SUMIFS(T_SelfStock_Log[Self_Qty],T_SelfStock_Log[Part Name],$A39,T_SelfStock_Log[WeekIndex],50))</f>
        <v/>
      </c>
      <c r="AZ39" s="18">
        <f>IF(COUNTIFS(T_SelfStock_Log[Part Name],$A39,T_SelfStock_Log[WeekIndex],51)=0,"",SUMIFS(T_SelfStock_Log[Self_Qty],T_SelfStock_Log[Part Name],$A39,T_SelfStock_Log[WeekIndex],51))</f>
        <v/>
      </c>
      <c r="BA39" s="18">
        <f>IF(COUNTIFS(T_SelfStock_Log[Part Name],$A39,T_SelfStock_Log[WeekIndex],52)=0,"",SUMIFS(T_SelfStock_Log[Self_Qty],T_SelfStock_Log[Part Name],$A39,T_SelfStock_Log[WeekIndex],52))</f>
        <v/>
      </c>
      <c r="BB39" s="18">
        <f>IF(COUNTIFS(T_SelfStock_Log[Part Name],$A39,T_SelfStock_Log[WeekIndex],53)=0,"",SUMIFS(T_SelfStock_Log[Self_Qty],T_SelfStock_Log[Part Name],$A39,T_SelfStock_Log[WeekIndex],53))</f>
        <v/>
      </c>
      <c r="BC39" s="18">
        <f>IF(COUNTIFS(T_SelfStock_Log[Part Name],$A39,T_SelfStock_Log[WeekIndex],54)=0,"",SUMIFS(T_SelfStock_Log[Self_Qty],T_SelfStock_Log[Part Name],$A39,T_SelfStock_Log[WeekIndex],54))</f>
        <v/>
      </c>
      <c r="BD39" s="18">
        <f>IF(COUNTIFS(T_SelfStock_Log[Part Name],$A39,T_SelfStock_Log[WeekIndex],55)=0,"",SUMIFS(T_SelfStock_Log[Self_Qty],T_SelfStock_Log[Part Name],$A39,T_SelfStock_Log[WeekIndex],55))</f>
        <v/>
      </c>
      <c r="BE39" s="18">
        <f>IF(COUNTIFS(T_SelfStock_Log[Part Name],$A39,T_SelfStock_Log[WeekIndex],56)=0,"",SUMIFS(T_SelfStock_Log[Self_Qty],T_SelfStock_Log[Part Name],$A39,T_SelfStock_Log[WeekIndex],56))</f>
        <v/>
      </c>
      <c r="BF39" s="18">
        <f>IF(COUNTIFS(T_SelfStock_Log[Part Name],$A39,T_SelfStock_Log[WeekIndex],57)=0,"",SUMIFS(T_SelfStock_Log[Self_Qty],T_SelfStock_Log[Part Name],$A39,T_SelfStock_Log[WeekIndex],57))</f>
        <v/>
      </c>
      <c r="BG39" s="18">
        <f>IF(COUNTIFS(T_SelfStock_Log[Part Name],$A39,T_SelfStock_Log[WeekIndex],58)=0,"",SUMIFS(T_SelfStock_Log[Self_Qty],T_SelfStock_Log[Part Name],$A39,T_SelfStock_Log[WeekIndex],58))</f>
        <v/>
      </c>
      <c r="BH39" s="18">
        <f>IF(COUNTIFS(T_SelfStock_Log[Part Name],$A39,T_SelfStock_Log[WeekIndex],59)=0,"",SUMIFS(T_SelfStock_Log[Self_Qty],T_SelfStock_Log[Part Name],$A39,T_SelfStock_Log[WeekIndex],59))</f>
        <v/>
      </c>
      <c r="BI39" s="18">
        <f>IF(COUNTIFS(T_SelfStock_Log[Part Name],$A39,T_SelfStock_Log[WeekIndex],60)=0,"",SUMIFS(T_SelfStock_Log[Self_Qty],T_SelfStock_Log[Part Name],$A39,T_SelfStock_Log[WeekIndex],60))</f>
        <v/>
      </c>
      <c r="BJ39" s="18">
        <f>IF(COUNTIFS(T_SelfStock_Log[Part Name],$A39,T_SelfStock_Log[WeekIndex],61)=0,"",SUMIFS(T_SelfStock_Log[Self_Qty],T_SelfStock_Log[Part Name],$A39,T_SelfStock_Log[WeekIndex],61))</f>
        <v/>
      </c>
      <c r="BK39" s="18">
        <f>IF(COUNTIFS(T_SelfStock_Log[Part Name],$A39,T_SelfStock_Log[WeekIndex],62)=0,"",SUMIFS(T_SelfStock_Log[Self_Qty],T_SelfStock_Log[Part Name],$A39,T_SelfStock_Log[WeekIndex],62))</f>
        <v/>
      </c>
      <c r="BL39" s="18">
        <f>IF(COUNTIFS(T_SelfStock_Log[Part Name],$A39,T_SelfStock_Log[WeekIndex],63)=0,"",SUMIFS(T_SelfStock_Log[Self_Qty],T_SelfStock_Log[Part Name],$A39,T_SelfStock_Log[WeekIndex],63))</f>
        <v/>
      </c>
      <c r="BM39" s="18">
        <f>IF(COUNTIFS(T_SelfStock_Log[Part Name],$A39,T_SelfStock_Log[WeekIndex],64)=0,"",SUMIFS(T_SelfStock_Log[Self_Qty],T_SelfStock_Log[Part Name],$A39,T_SelfStock_Log[WeekIndex],64))</f>
        <v/>
      </c>
      <c r="BN39" s="18">
        <f>IF(COUNTIFS(T_SelfStock_Log[Part Name],$A39,T_SelfStock_Log[WeekIndex],65)=0,"",SUMIFS(T_SelfStock_Log[Self_Qty],T_SelfStock_Log[Part Name],$A39,T_SelfStock_Log[WeekIndex],65))</f>
        <v/>
      </c>
      <c r="BO39" s="18">
        <f>IF(COUNTIFS(T_SelfStock_Log[Part Name],$A39,T_SelfStock_Log[WeekIndex],66)=0,"",SUMIFS(T_SelfStock_Log[Self_Qty],T_SelfStock_Log[Part Name],$A39,T_SelfStock_Log[WeekIndex],66))</f>
        <v/>
      </c>
      <c r="BP39" s="18">
        <f>IF(COUNTIFS(T_SelfStock_Log[Part Name],$A39,T_SelfStock_Log[WeekIndex],67)=0,"",SUMIFS(T_SelfStock_Log[Self_Qty],T_SelfStock_Log[Part Name],$A39,T_SelfStock_Log[WeekIndex],67))</f>
        <v/>
      </c>
      <c r="BQ39" s="18">
        <f>IF(COUNTIFS(T_SelfStock_Log[Part Name],$A39,T_SelfStock_Log[WeekIndex],68)=0,"",SUMIFS(T_SelfStock_Log[Self_Qty],T_SelfStock_Log[Part Name],$A39,T_SelfStock_Log[WeekIndex],68))</f>
        <v/>
      </c>
      <c r="BR39" s="18">
        <f>IF(COUNTIFS(T_SelfStock_Log[Part Name],$A39,T_SelfStock_Log[WeekIndex],69)=0,"",SUMIFS(T_SelfStock_Log[Self_Qty],T_SelfStock_Log[Part Name],$A39,T_SelfStock_Log[WeekIndex],69))</f>
        <v/>
      </c>
      <c r="BS39" s="18">
        <f>IF(COUNTIFS(T_SelfStock_Log[Part Name],$A39,T_SelfStock_Log[WeekIndex],70)=0,"",SUMIFS(T_SelfStock_Log[Self_Qty],T_SelfStock_Log[Part Name],$A39,T_SelfStock_Log[WeekIndex],70))</f>
        <v/>
      </c>
      <c r="BT39" s="18">
        <f>IF(COUNTIFS(T_SelfStock_Log[Part Name],$A39,T_SelfStock_Log[WeekIndex],71)=0,"",SUMIFS(T_SelfStock_Log[Self_Qty],T_SelfStock_Log[Part Name],$A39,T_SelfStock_Log[WeekIndex],71))</f>
        <v/>
      </c>
      <c r="BU39" s="18">
        <f>IF(COUNTIFS(T_SelfStock_Log[Part Name],$A39,T_SelfStock_Log[WeekIndex],72)=0,"",SUMIFS(T_SelfStock_Log[Self_Qty],T_SelfStock_Log[Part Name],$A39,T_SelfStock_Log[WeekIndex],72))</f>
        <v/>
      </c>
      <c r="BV39" s="18">
        <f>IF(COUNTIFS(T_SelfStock_Log[Part Name],$A39,T_SelfStock_Log[WeekIndex],73)=0,"",SUMIFS(T_SelfStock_Log[Self_Qty],T_SelfStock_Log[Part Name],$A39,T_SelfStock_Log[WeekIndex],73))</f>
        <v/>
      </c>
      <c r="BW39" s="18">
        <f>IF(COUNTIFS(T_SelfStock_Log[Part Name],$A39,T_SelfStock_Log[WeekIndex],74)=0,"",SUMIFS(T_SelfStock_Log[Self_Qty],T_SelfStock_Log[Part Name],$A39,T_SelfStock_Log[WeekIndex],74))</f>
        <v/>
      </c>
      <c r="BX39" s="18">
        <f>IF(COUNTIFS(T_SelfStock_Log[Part Name],$A39,T_SelfStock_Log[WeekIndex],75)=0,"",SUMIFS(T_SelfStock_Log[Self_Qty],T_SelfStock_Log[Part Name],$A39,T_SelfStock_Log[WeekIndex],75))</f>
        <v/>
      </c>
      <c r="BY39" s="18">
        <f>IF(COUNTIFS(T_SelfStock_Log[Part Name],$A39,T_SelfStock_Log[WeekIndex],76)=0,"",SUMIFS(T_SelfStock_Log[Self_Qty],T_SelfStock_Log[Part Name],$A39,T_SelfStock_Log[WeekIndex],76))</f>
        <v/>
      </c>
      <c r="BZ39" s="18">
        <f>IF(COUNTIFS(T_SelfStock_Log[Part Name],$A39,T_SelfStock_Log[WeekIndex],77)=0,"",SUMIFS(T_SelfStock_Log[Self_Qty],T_SelfStock_Log[Part Name],$A39,T_SelfStock_Log[WeekIndex],77))</f>
        <v/>
      </c>
      <c r="CA39" s="18">
        <f>IF(COUNTIFS(T_SelfStock_Log[Part Name],$A39,T_SelfStock_Log[WeekIndex],78)=0,"",SUMIFS(T_SelfStock_Log[Self_Qty],T_SelfStock_Log[Part Name],$A39,T_SelfStock_Log[WeekIndex],78))</f>
        <v/>
      </c>
      <c r="CB39" s="18">
        <f>IF(COUNTIFS(T_SelfStock_Log[Part Name],$A39,T_SelfStock_Log[WeekIndex],79)=0,"",SUMIFS(T_SelfStock_Log[Self_Qty],T_SelfStock_Log[Part Name],$A39,T_SelfStock_Log[WeekIndex],79))</f>
        <v/>
      </c>
      <c r="CC39" s="18">
        <f>IF(COUNTIFS(T_SelfStock_Log[Part Name],$A39,T_SelfStock_Log[WeekIndex],80)=0,"",SUMIFS(T_SelfStock_Log[Self_Qty],T_SelfStock_Log[Part Name],$A39,T_SelfStock_Log[WeekIndex],80))</f>
        <v/>
      </c>
      <c r="CD39" s="18">
        <f>IF(COUNTIFS(T_SelfStock_Log[Part Name],$A39,T_SelfStock_Log[WeekIndex],81)=0,"",SUMIFS(T_SelfStock_Log[Self_Qty],T_SelfStock_Log[Part Name],$A39,T_SelfStock_Log[WeekIndex],81))</f>
        <v/>
      </c>
      <c r="CE39" s="18">
        <f>IF(COUNTIFS(T_SelfStock_Log[Part Name],$A39,T_SelfStock_Log[WeekIndex],82)=0,"",SUMIFS(T_SelfStock_Log[Self_Qty],T_SelfStock_Log[Part Name],$A39,T_SelfStock_Log[WeekIndex],82))</f>
        <v/>
      </c>
      <c r="CF39" s="18">
        <f>IF(COUNTIFS(T_SelfStock_Log[Part Name],$A39,T_SelfStock_Log[WeekIndex],83)=0,"",SUMIFS(T_SelfStock_Log[Self_Qty],T_SelfStock_Log[Part Name],$A39,T_SelfStock_Log[WeekIndex],83))</f>
        <v/>
      </c>
      <c r="CG39" s="18">
        <f>IF(COUNTIFS(T_SelfStock_Log[Part Name],$A39,T_SelfStock_Log[WeekIndex],84)=0,"",SUMIFS(T_SelfStock_Log[Self_Qty],T_SelfStock_Log[Part Name],$A39,T_SelfStock_Log[WeekIndex],84))</f>
        <v/>
      </c>
      <c r="CH39" s="18">
        <f>IF(COUNTIFS(T_SelfStock_Log[Part Name],$A39,T_SelfStock_Log[WeekIndex],85)=0,"",SUMIFS(T_SelfStock_Log[Self_Qty],T_SelfStock_Log[Part Name],$A39,T_SelfStock_Log[WeekIndex],85))</f>
        <v/>
      </c>
      <c r="CI39" s="18">
        <f>IF(COUNTIFS(T_SelfStock_Log[Part Name],$A39,T_SelfStock_Log[WeekIndex],86)=0,"",SUMIFS(T_SelfStock_Log[Self_Qty],T_SelfStock_Log[Part Name],$A39,T_SelfStock_Log[WeekIndex],86))</f>
        <v/>
      </c>
      <c r="CJ39" s="18">
        <f>IF(COUNTIFS(T_SelfStock_Log[Part Name],$A39,T_SelfStock_Log[WeekIndex],87)=0,"",SUMIFS(T_SelfStock_Log[Self_Qty],T_SelfStock_Log[Part Name],$A39,T_SelfStock_Log[WeekIndex],87))</f>
        <v/>
      </c>
      <c r="CK39" s="18">
        <f>IF(COUNTIFS(T_SelfStock_Log[Part Name],$A39,T_SelfStock_Log[WeekIndex],88)=0,"",SUMIFS(T_SelfStock_Log[Self_Qty],T_SelfStock_Log[Part Name],$A39,T_SelfStock_Log[WeekIndex],88))</f>
        <v/>
      </c>
      <c r="CL39" s="18">
        <f>IF(COUNTIFS(T_SelfStock_Log[Part Name],$A39,T_SelfStock_Log[WeekIndex],89)=0,"",SUMIFS(T_SelfStock_Log[Self_Qty],T_SelfStock_Log[Part Name],$A39,T_SelfStock_Log[WeekIndex],89))</f>
        <v/>
      </c>
      <c r="CM39" s="18">
        <f>IF(COUNTIFS(T_SelfStock_Log[Part Name],$A39,T_SelfStock_Log[WeekIndex],90)=0,"",SUMIFS(T_SelfStock_Log[Self_Qty],T_SelfStock_Log[Part Name],$A39,T_SelfStock_Log[WeekIndex],90))</f>
        <v/>
      </c>
      <c r="CN39" s="18">
        <f>IF(COUNTIFS(T_SelfStock_Log[Part Name],$A39,T_SelfStock_Log[WeekIndex],91)=0,"",SUMIFS(T_SelfStock_Log[Self_Qty],T_SelfStock_Log[Part Name],$A39,T_SelfStock_Log[WeekIndex],91))</f>
        <v/>
      </c>
      <c r="CO39" s="18">
        <f>IF(COUNTIFS(T_SelfStock_Log[Part Name],$A39,T_SelfStock_Log[WeekIndex],92)=0,"",SUMIFS(T_SelfStock_Log[Self_Qty],T_SelfStock_Log[Part Name],$A39,T_SelfStock_Log[WeekIndex],92))</f>
        <v/>
      </c>
      <c r="CP39" s="18">
        <f>IF(COUNTIFS(T_SelfStock_Log[Part Name],$A39,T_SelfStock_Log[WeekIndex],93)=0,"",SUMIFS(T_SelfStock_Log[Self_Qty],T_SelfStock_Log[Part Name],$A39,T_SelfStock_Log[WeekIndex],93))</f>
        <v/>
      </c>
      <c r="CQ39" s="18">
        <f>IF(COUNTIFS(T_SelfStock_Log[Part Name],$A39,T_SelfStock_Log[WeekIndex],94)=0,"",SUMIFS(T_SelfStock_Log[Self_Qty],T_SelfStock_Log[Part Name],$A39,T_SelfStock_Log[WeekIndex],94))</f>
        <v/>
      </c>
      <c r="CR39" s="18">
        <f>IF(COUNTIFS(T_SelfStock_Log[Part Name],$A39,T_SelfStock_Log[WeekIndex],95)=0,"",SUMIFS(T_SelfStock_Log[Self_Qty],T_SelfStock_Log[Part Name],$A39,T_SelfStock_Log[WeekIndex],95))</f>
        <v/>
      </c>
      <c r="CS39" s="18">
        <f>IF(COUNTIFS(T_SelfStock_Log[Part Name],$A39,T_SelfStock_Log[WeekIndex],96)=0,"",SUMIFS(T_SelfStock_Log[Self_Qty],T_SelfStock_Log[Part Name],$A39,T_SelfStock_Log[WeekIndex],96))</f>
        <v/>
      </c>
      <c r="CT39" s="18">
        <f>IF(COUNTIFS(T_SelfStock_Log[Part Name],$A39,T_SelfStock_Log[WeekIndex],97)=0,"",SUMIFS(T_SelfStock_Log[Self_Qty],T_SelfStock_Log[Part Name],$A39,T_SelfStock_Log[WeekIndex],97))</f>
        <v/>
      </c>
      <c r="CU39" s="18">
        <f>IF(COUNTIFS(T_SelfStock_Log[Part Name],$A39,T_SelfStock_Log[WeekIndex],98)=0,"",SUMIFS(T_SelfStock_Log[Self_Qty],T_SelfStock_Log[Part Name],$A39,T_SelfStock_Log[WeekIndex],98))</f>
        <v/>
      </c>
      <c r="CV39" s="18">
        <f>IF(COUNTIFS(T_SelfStock_Log[Part Name],$A39,T_SelfStock_Log[WeekIndex],99)=0,"",SUMIFS(T_SelfStock_Log[Self_Qty],T_SelfStock_Log[Part Name],$A39,T_SelfStock_Log[WeekIndex],99))</f>
        <v/>
      </c>
      <c r="CW39" s="18">
        <f>IF(COUNTIFS(T_SelfStock_Log[Part Name],$A39,T_SelfStock_Log[WeekIndex],100)=0,"",SUMIFS(T_SelfStock_Log[Self_Qty],T_SelfStock_Log[Part Name],$A39,T_SelfStock_Log[WeekIndex],100))</f>
        <v/>
      </c>
      <c r="CX39" s="18">
        <f>IF(COUNTIFS(T_SelfStock_Log[Part Name],$A39,T_SelfStock_Log[WeekIndex],101)=0,"",SUMIFS(T_SelfStock_Log[Self_Qty],T_SelfStock_Log[Part Name],$A39,T_SelfStock_Log[WeekIndex],101))</f>
        <v/>
      </c>
      <c r="CY39" s="18">
        <f>IF(COUNTIFS(T_SelfStock_Log[Part Name],$A39,T_SelfStock_Log[WeekIndex],102)=0,"",SUMIFS(T_SelfStock_Log[Self_Qty],T_SelfStock_Log[Part Name],$A39,T_SelfStock_Log[WeekIndex],102))</f>
        <v/>
      </c>
      <c r="CZ39" s="18">
        <f>IF(COUNTIFS(T_SelfStock_Log[Part Name],$A39,T_SelfStock_Log[WeekIndex],103)=0,"",SUMIFS(T_SelfStock_Log[Self_Qty],T_SelfStock_Log[Part Name],$A39,T_SelfStock_Log[WeekIndex],103))</f>
        <v/>
      </c>
      <c r="DA39" s="18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CHEM-1770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8" t="inlineStr">
        <is>
          <t>CHEM-1020</t>
        </is>
      </c>
      <c r="B41" s="18">
        <f>IF(COUNTIFS(T_SelfStock_Log[Part Name],$A41,T_SelfStock_Log[WeekIndex],1)=0,"",SUMIFS(T_SelfStock_Log[Self_Qty],T_SelfStock_Log[Part Name],$A41,T_SelfStock_Log[WeekIndex],1))</f>
        <v/>
      </c>
      <c r="C41" s="18">
        <f>IF(COUNTIFS(T_SelfStock_Log[Part Name],$A41,T_SelfStock_Log[WeekIndex],2)=0,"",SUMIFS(T_SelfStock_Log[Self_Qty],T_SelfStock_Log[Part Name],$A41,T_SelfStock_Log[WeekIndex],2))</f>
        <v/>
      </c>
      <c r="D41" s="18">
        <f>IF(COUNTIFS(T_SelfStock_Log[Part Name],$A41,T_SelfStock_Log[WeekIndex],3)=0,"",SUMIFS(T_SelfStock_Log[Self_Qty],T_SelfStock_Log[Part Name],$A41,T_SelfStock_Log[WeekIndex],3))</f>
        <v/>
      </c>
      <c r="E41" s="18">
        <f>IF(COUNTIFS(T_SelfStock_Log[Part Name],$A41,T_SelfStock_Log[WeekIndex],4)=0,"",SUMIFS(T_SelfStock_Log[Self_Qty],T_SelfStock_Log[Part Name],$A41,T_SelfStock_Log[WeekIndex],4))</f>
        <v/>
      </c>
      <c r="F41" s="18">
        <f>IF(COUNTIFS(T_SelfStock_Log[Part Name],$A41,T_SelfStock_Log[WeekIndex],5)=0,"",SUMIFS(T_SelfStock_Log[Self_Qty],T_SelfStock_Log[Part Name],$A41,T_SelfStock_Log[WeekIndex],5))</f>
        <v/>
      </c>
      <c r="G41" s="18">
        <f>IF(COUNTIFS(T_SelfStock_Log[Part Name],$A41,T_SelfStock_Log[WeekIndex],6)=0,"",SUMIFS(T_SelfStock_Log[Self_Qty],T_SelfStock_Log[Part Name],$A41,T_SelfStock_Log[WeekIndex],6))</f>
        <v/>
      </c>
      <c r="H41" s="18">
        <f>IF(COUNTIFS(T_SelfStock_Log[Part Name],$A41,T_SelfStock_Log[WeekIndex],7)=0,"",SUMIFS(T_SelfStock_Log[Self_Qty],T_SelfStock_Log[Part Name],$A41,T_SelfStock_Log[WeekIndex],7))</f>
        <v/>
      </c>
      <c r="I41" s="18">
        <f>IF(COUNTIFS(T_SelfStock_Log[Part Name],$A41,T_SelfStock_Log[WeekIndex],8)=0,"",SUMIFS(T_SelfStock_Log[Self_Qty],T_SelfStock_Log[Part Name],$A41,T_SelfStock_Log[WeekIndex],8))</f>
        <v/>
      </c>
      <c r="J41" s="18">
        <f>IF(COUNTIFS(T_SelfStock_Log[Part Name],$A41,T_SelfStock_Log[WeekIndex],9)=0,"",SUMIFS(T_SelfStock_Log[Self_Qty],T_SelfStock_Log[Part Name],$A41,T_SelfStock_Log[WeekIndex],9))</f>
        <v/>
      </c>
      <c r="K41" s="18">
        <f>IF(COUNTIFS(T_SelfStock_Log[Part Name],$A41,T_SelfStock_Log[WeekIndex],10)=0,"",SUMIFS(T_SelfStock_Log[Self_Qty],T_SelfStock_Log[Part Name],$A41,T_SelfStock_Log[WeekIndex],10))</f>
        <v/>
      </c>
      <c r="L41" s="18">
        <f>IF(COUNTIFS(T_SelfStock_Log[Part Name],$A41,T_SelfStock_Log[WeekIndex],11)=0,"",SUMIFS(T_SelfStock_Log[Self_Qty],T_SelfStock_Log[Part Name],$A41,T_SelfStock_Log[WeekIndex],11))</f>
        <v/>
      </c>
      <c r="M41" s="18">
        <f>IF(COUNTIFS(T_SelfStock_Log[Part Name],$A41,T_SelfStock_Log[WeekIndex],12)=0,"",SUMIFS(T_SelfStock_Log[Self_Qty],T_SelfStock_Log[Part Name],$A41,T_SelfStock_Log[WeekIndex],12))</f>
        <v/>
      </c>
      <c r="N41" s="18">
        <f>IF(COUNTIFS(T_SelfStock_Log[Part Name],$A41,T_SelfStock_Log[WeekIndex],13)=0,"",SUMIFS(T_SelfStock_Log[Self_Qty],T_SelfStock_Log[Part Name],$A41,T_SelfStock_Log[WeekIndex],13))</f>
        <v/>
      </c>
      <c r="O41" s="18">
        <f>IF(COUNTIFS(T_SelfStock_Log[Part Name],$A41,T_SelfStock_Log[WeekIndex],14)=0,"",SUMIFS(T_SelfStock_Log[Self_Qty],T_SelfStock_Log[Part Name],$A41,T_SelfStock_Log[WeekIndex],14))</f>
        <v/>
      </c>
      <c r="P41" s="18">
        <f>IF(COUNTIFS(T_SelfStock_Log[Part Name],$A41,T_SelfStock_Log[WeekIndex],15)=0,"",SUMIFS(T_SelfStock_Log[Self_Qty],T_SelfStock_Log[Part Name],$A41,T_SelfStock_Log[WeekIndex],15))</f>
        <v/>
      </c>
      <c r="Q41" s="18">
        <f>IF(COUNTIFS(T_SelfStock_Log[Part Name],$A41,T_SelfStock_Log[WeekIndex],16)=0,"",SUMIFS(T_SelfStock_Log[Self_Qty],T_SelfStock_Log[Part Name],$A41,T_SelfStock_Log[WeekIndex],16))</f>
        <v/>
      </c>
      <c r="R41" s="18">
        <f>IF(COUNTIFS(T_SelfStock_Log[Part Name],$A41,T_SelfStock_Log[WeekIndex],17)=0,"",SUMIFS(T_SelfStock_Log[Self_Qty],T_SelfStock_Log[Part Name],$A41,T_SelfStock_Log[WeekIndex],17))</f>
        <v/>
      </c>
      <c r="S41" s="18">
        <f>IF(COUNTIFS(T_SelfStock_Log[Part Name],$A41,T_SelfStock_Log[WeekIndex],18)=0,"",SUMIFS(T_SelfStock_Log[Self_Qty],T_SelfStock_Log[Part Name],$A41,T_SelfStock_Log[WeekIndex],18))</f>
        <v/>
      </c>
      <c r="T41" s="18">
        <f>IF(COUNTIFS(T_SelfStock_Log[Part Name],$A41,T_SelfStock_Log[WeekIndex],19)=0,"",SUMIFS(T_SelfStock_Log[Self_Qty],T_SelfStock_Log[Part Name],$A41,T_SelfStock_Log[WeekIndex],19))</f>
        <v/>
      </c>
      <c r="U41" s="18">
        <f>IF(COUNTIFS(T_SelfStock_Log[Part Name],$A41,T_SelfStock_Log[WeekIndex],20)=0,"",SUMIFS(T_SelfStock_Log[Self_Qty],T_SelfStock_Log[Part Name],$A41,T_SelfStock_Log[WeekIndex],20))</f>
        <v/>
      </c>
      <c r="V41" s="18">
        <f>IF(COUNTIFS(T_SelfStock_Log[Part Name],$A41,T_SelfStock_Log[WeekIndex],21)=0,"",SUMIFS(T_SelfStock_Log[Self_Qty],T_SelfStock_Log[Part Name],$A41,T_SelfStock_Log[WeekIndex],21))</f>
        <v/>
      </c>
      <c r="W41" s="18">
        <f>IF(COUNTIFS(T_SelfStock_Log[Part Name],$A41,T_SelfStock_Log[WeekIndex],22)=0,"",SUMIFS(T_SelfStock_Log[Self_Qty],T_SelfStock_Log[Part Name],$A41,T_SelfStock_Log[WeekIndex],22))</f>
        <v/>
      </c>
      <c r="X41" s="18">
        <f>IF(COUNTIFS(T_SelfStock_Log[Part Name],$A41,T_SelfStock_Log[WeekIndex],23)=0,"",SUMIFS(T_SelfStock_Log[Self_Qty],T_SelfStock_Log[Part Name],$A41,T_SelfStock_Log[WeekIndex],23))</f>
        <v/>
      </c>
      <c r="Y41" s="18">
        <f>IF(COUNTIFS(T_SelfStock_Log[Part Name],$A41,T_SelfStock_Log[WeekIndex],24)=0,"",SUMIFS(T_SelfStock_Log[Self_Qty],T_SelfStock_Log[Part Name],$A41,T_SelfStock_Log[WeekIndex],24))</f>
        <v/>
      </c>
      <c r="Z41" s="18">
        <f>IF(COUNTIFS(T_SelfStock_Log[Part Name],$A41,T_SelfStock_Log[WeekIndex],25)=0,"",SUMIFS(T_SelfStock_Log[Self_Qty],T_SelfStock_Log[Part Name],$A41,T_SelfStock_Log[WeekIndex],25))</f>
        <v/>
      </c>
      <c r="AA41" s="18">
        <f>IF(COUNTIFS(T_SelfStock_Log[Part Name],$A41,T_SelfStock_Log[WeekIndex],26)=0,"",SUMIFS(T_SelfStock_Log[Self_Qty],T_SelfStock_Log[Part Name],$A41,T_SelfStock_Log[WeekIndex],26))</f>
        <v/>
      </c>
      <c r="AB41" s="18">
        <f>IF(COUNTIFS(T_SelfStock_Log[Part Name],$A41,T_SelfStock_Log[WeekIndex],27)=0,"",SUMIFS(T_SelfStock_Log[Self_Qty],T_SelfStock_Log[Part Name],$A41,T_SelfStock_Log[WeekIndex],27))</f>
        <v/>
      </c>
      <c r="AC41" s="18">
        <f>IF(COUNTIFS(T_SelfStock_Log[Part Name],$A41,T_SelfStock_Log[WeekIndex],28)=0,"",SUMIFS(T_SelfStock_Log[Self_Qty],T_SelfStock_Log[Part Name],$A41,T_SelfStock_Log[WeekIndex],28))</f>
        <v/>
      </c>
      <c r="AD41" s="18">
        <f>IF(COUNTIFS(T_SelfStock_Log[Part Name],$A41,T_SelfStock_Log[WeekIndex],29)=0,"",SUMIFS(T_SelfStock_Log[Self_Qty],T_SelfStock_Log[Part Name],$A41,T_SelfStock_Log[WeekIndex],29))</f>
        <v/>
      </c>
      <c r="AE41" s="18">
        <f>IF(COUNTIFS(T_SelfStock_Log[Part Name],$A41,T_SelfStock_Log[WeekIndex],30)=0,"",SUMIFS(T_SelfStock_Log[Self_Qty],T_SelfStock_Log[Part Name],$A41,T_SelfStock_Log[WeekIndex],30))</f>
        <v/>
      </c>
      <c r="AF41" s="18">
        <f>IF(COUNTIFS(T_SelfStock_Log[Part Name],$A41,T_SelfStock_Log[WeekIndex],31)=0,"",SUMIFS(T_SelfStock_Log[Self_Qty],T_SelfStock_Log[Part Name],$A41,T_SelfStock_Log[WeekIndex],31))</f>
        <v/>
      </c>
      <c r="AG41" s="18">
        <f>IF(COUNTIFS(T_SelfStock_Log[Part Name],$A41,T_SelfStock_Log[WeekIndex],32)=0,"",SUMIFS(T_SelfStock_Log[Self_Qty],T_SelfStock_Log[Part Name],$A41,T_SelfStock_Log[WeekIndex],32))</f>
        <v/>
      </c>
      <c r="AH41" s="18">
        <f>IF(COUNTIFS(T_SelfStock_Log[Part Name],$A41,T_SelfStock_Log[WeekIndex],33)=0,"",SUMIFS(T_SelfStock_Log[Self_Qty],T_SelfStock_Log[Part Name],$A41,T_SelfStock_Log[WeekIndex],33))</f>
        <v/>
      </c>
      <c r="AI41" s="18">
        <f>IF(COUNTIFS(T_SelfStock_Log[Part Name],$A41,T_SelfStock_Log[WeekIndex],34)=0,"",SUMIFS(T_SelfStock_Log[Self_Qty],T_SelfStock_Log[Part Name],$A41,T_SelfStock_Log[WeekIndex],34))</f>
        <v/>
      </c>
      <c r="AJ41" s="18">
        <f>IF(COUNTIFS(T_SelfStock_Log[Part Name],$A41,T_SelfStock_Log[WeekIndex],35)=0,"",SUMIFS(T_SelfStock_Log[Self_Qty],T_SelfStock_Log[Part Name],$A41,T_SelfStock_Log[WeekIndex],35))</f>
        <v/>
      </c>
      <c r="AK41" s="18">
        <f>IF(COUNTIFS(T_SelfStock_Log[Part Name],$A41,T_SelfStock_Log[WeekIndex],36)=0,"",SUMIFS(T_SelfStock_Log[Self_Qty],T_SelfStock_Log[Part Name],$A41,T_SelfStock_Log[WeekIndex],36))</f>
        <v/>
      </c>
      <c r="AL41" s="18">
        <f>IF(COUNTIFS(T_SelfStock_Log[Part Name],$A41,T_SelfStock_Log[WeekIndex],37)=0,"",SUMIFS(T_SelfStock_Log[Self_Qty],T_SelfStock_Log[Part Name],$A41,T_SelfStock_Log[WeekIndex],37))</f>
        <v/>
      </c>
      <c r="AM41" s="18">
        <f>IF(COUNTIFS(T_SelfStock_Log[Part Name],$A41,T_SelfStock_Log[WeekIndex],38)=0,"",SUMIFS(T_SelfStock_Log[Self_Qty],T_SelfStock_Log[Part Name],$A41,T_SelfStock_Log[WeekIndex],38))</f>
        <v/>
      </c>
      <c r="AN41" s="18">
        <f>IF(COUNTIFS(T_SelfStock_Log[Part Name],$A41,T_SelfStock_Log[WeekIndex],39)=0,"",SUMIFS(T_SelfStock_Log[Self_Qty],T_SelfStock_Log[Part Name],$A41,T_SelfStock_Log[WeekIndex],39))</f>
        <v/>
      </c>
      <c r="AO41" s="18">
        <f>IF(COUNTIFS(T_SelfStock_Log[Part Name],$A41,T_SelfStock_Log[WeekIndex],40)=0,"",SUMIFS(T_SelfStock_Log[Self_Qty],T_SelfStock_Log[Part Name],$A41,T_SelfStock_Log[WeekIndex],40))</f>
        <v/>
      </c>
      <c r="AP41" s="18">
        <f>IF(COUNTIFS(T_SelfStock_Log[Part Name],$A41,T_SelfStock_Log[WeekIndex],41)=0,"",SUMIFS(T_SelfStock_Log[Self_Qty],T_SelfStock_Log[Part Name],$A41,T_SelfStock_Log[WeekIndex],41))</f>
        <v/>
      </c>
      <c r="AQ41" s="18">
        <f>IF(COUNTIFS(T_SelfStock_Log[Part Name],$A41,T_SelfStock_Log[WeekIndex],42)=0,"",SUMIFS(T_SelfStock_Log[Self_Qty],T_SelfStock_Log[Part Name],$A41,T_SelfStock_Log[WeekIndex],42))</f>
        <v/>
      </c>
      <c r="AR41" s="18">
        <f>IF(COUNTIFS(T_SelfStock_Log[Part Name],$A41,T_SelfStock_Log[WeekIndex],43)=0,"",SUMIFS(T_SelfStock_Log[Self_Qty],T_SelfStock_Log[Part Name],$A41,T_SelfStock_Log[WeekIndex],43))</f>
        <v/>
      </c>
      <c r="AS41" s="18">
        <f>IF(COUNTIFS(T_SelfStock_Log[Part Name],$A41,T_SelfStock_Log[WeekIndex],44)=0,"",SUMIFS(T_SelfStock_Log[Self_Qty],T_SelfStock_Log[Part Name],$A41,T_SelfStock_Log[WeekIndex],44))</f>
        <v/>
      </c>
      <c r="AT41" s="18">
        <f>IF(COUNTIFS(T_SelfStock_Log[Part Name],$A41,T_SelfStock_Log[WeekIndex],45)=0,"",SUMIFS(T_SelfStock_Log[Self_Qty],T_SelfStock_Log[Part Name],$A41,T_SelfStock_Log[WeekIndex],45))</f>
        <v/>
      </c>
      <c r="AU41" s="18">
        <f>IF(COUNTIFS(T_SelfStock_Log[Part Name],$A41,T_SelfStock_Log[WeekIndex],46)=0,"",SUMIFS(T_SelfStock_Log[Self_Qty],T_SelfStock_Log[Part Name],$A41,T_SelfStock_Log[WeekIndex],46))</f>
        <v/>
      </c>
      <c r="AV41" s="18">
        <f>IF(COUNTIFS(T_SelfStock_Log[Part Name],$A41,T_SelfStock_Log[WeekIndex],47)=0,"",SUMIFS(T_SelfStock_Log[Self_Qty],T_SelfStock_Log[Part Name],$A41,T_SelfStock_Log[WeekIndex],47))</f>
        <v/>
      </c>
      <c r="AW41" s="18">
        <f>IF(COUNTIFS(T_SelfStock_Log[Part Name],$A41,T_SelfStock_Log[WeekIndex],48)=0,"",SUMIFS(T_SelfStock_Log[Self_Qty],T_SelfStock_Log[Part Name],$A41,T_SelfStock_Log[WeekIndex],48))</f>
        <v/>
      </c>
      <c r="AX41" s="18">
        <f>IF(COUNTIFS(T_SelfStock_Log[Part Name],$A41,T_SelfStock_Log[WeekIndex],49)=0,"",SUMIFS(T_SelfStock_Log[Self_Qty],T_SelfStock_Log[Part Name],$A41,T_SelfStock_Log[WeekIndex],49))</f>
        <v/>
      </c>
      <c r="AY41" s="18">
        <f>IF(COUNTIFS(T_SelfStock_Log[Part Name],$A41,T_SelfStock_Log[WeekIndex],50)=0,"",SUMIFS(T_SelfStock_Log[Self_Qty],T_SelfStock_Log[Part Name],$A41,T_SelfStock_Log[WeekIndex],50))</f>
        <v/>
      </c>
      <c r="AZ41" s="18">
        <f>IF(COUNTIFS(T_SelfStock_Log[Part Name],$A41,T_SelfStock_Log[WeekIndex],51)=0,"",SUMIFS(T_SelfStock_Log[Self_Qty],T_SelfStock_Log[Part Name],$A41,T_SelfStock_Log[WeekIndex],51))</f>
        <v/>
      </c>
      <c r="BA41" s="18">
        <f>IF(COUNTIFS(T_SelfStock_Log[Part Name],$A41,T_SelfStock_Log[WeekIndex],52)=0,"",SUMIFS(T_SelfStock_Log[Self_Qty],T_SelfStock_Log[Part Name],$A41,T_SelfStock_Log[WeekIndex],52))</f>
        <v/>
      </c>
      <c r="BB41" s="18">
        <f>IF(COUNTIFS(T_SelfStock_Log[Part Name],$A41,T_SelfStock_Log[WeekIndex],53)=0,"",SUMIFS(T_SelfStock_Log[Self_Qty],T_SelfStock_Log[Part Name],$A41,T_SelfStock_Log[WeekIndex],53))</f>
        <v/>
      </c>
      <c r="BC41" s="18">
        <f>IF(COUNTIFS(T_SelfStock_Log[Part Name],$A41,T_SelfStock_Log[WeekIndex],54)=0,"",SUMIFS(T_SelfStock_Log[Self_Qty],T_SelfStock_Log[Part Name],$A41,T_SelfStock_Log[WeekIndex],54))</f>
        <v/>
      </c>
      <c r="BD41" s="18">
        <f>IF(COUNTIFS(T_SelfStock_Log[Part Name],$A41,T_SelfStock_Log[WeekIndex],55)=0,"",SUMIFS(T_SelfStock_Log[Self_Qty],T_SelfStock_Log[Part Name],$A41,T_SelfStock_Log[WeekIndex],55))</f>
        <v/>
      </c>
      <c r="BE41" s="18">
        <f>IF(COUNTIFS(T_SelfStock_Log[Part Name],$A41,T_SelfStock_Log[WeekIndex],56)=0,"",SUMIFS(T_SelfStock_Log[Self_Qty],T_SelfStock_Log[Part Name],$A41,T_SelfStock_Log[WeekIndex],56))</f>
        <v/>
      </c>
      <c r="BF41" s="18">
        <f>IF(COUNTIFS(T_SelfStock_Log[Part Name],$A41,T_SelfStock_Log[WeekIndex],57)=0,"",SUMIFS(T_SelfStock_Log[Self_Qty],T_SelfStock_Log[Part Name],$A41,T_SelfStock_Log[WeekIndex],57))</f>
        <v/>
      </c>
      <c r="BG41" s="18">
        <f>IF(COUNTIFS(T_SelfStock_Log[Part Name],$A41,T_SelfStock_Log[WeekIndex],58)=0,"",SUMIFS(T_SelfStock_Log[Self_Qty],T_SelfStock_Log[Part Name],$A41,T_SelfStock_Log[WeekIndex],58))</f>
        <v/>
      </c>
      <c r="BH41" s="18">
        <f>IF(COUNTIFS(T_SelfStock_Log[Part Name],$A41,T_SelfStock_Log[WeekIndex],59)=0,"",SUMIFS(T_SelfStock_Log[Self_Qty],T_SelfStock_Log[Part Name],$A41,T_SelfStock_Log[WeekIndex],59))</f>
        <v/>
      </c>
      <c r="BI41" s="18">
        <f>IF(COUNTIFS(T_SelfStock_Log[Part Name],$A41,T_SelfStock_Log[WeekIndex],60)=0,"",SUMIFS(T_SelfStock_Log[Self_Qty],T_SelfStock_Log[Part Name],$A41,T_SelfStock_Log[WeekIndex],60))</f>
        <v/>
      </c>
      <c r="BJ41" s="18">
        <f>IF(COUNTIFS(T_SelfStock_Log[Part Name],$A41,T_SelfStock_Log[WeekIndex],61)=0,"",SUMIFS(T_SelfStock_Log[Self_Qty],T_SelfStock_Log[Part Name],$A41,T_SelfStock_Log[WeekIndex],61))</f>
        <v/>
      </c>
      <c r="BK41" s="18">
        <f>IF(COUNTIFS(T_SelfStock_Log[Part Name],$A41,T_SelfStock_Log[WeekIndex],62)=0,"",SUMIFS(T_SelfStock_Log[Self_Qty],T_SelfStock_Log[Part Name],$A41,T_SelfStock_Log[WeekIndex],62))</f>
        <v/>
      </c>
      <c r="BL41" s="18">
        <f>IF(COUNTIFS(T_SelfStock_Log[Part Name],$A41,T_SelfStock_Log[WeekIndex],63)=0,"",SUMIFS(T_SelfStock_Log[Self_Qty],T_SelfStock_Log[Part Name],$A41,T_SelfStock_Log[WeekIndex],63))</f>
        <v/>
      </c>
      <c r="BM41" s="18">
        <f>IF(COUNTIFS(T_SelfStock_Log[Part Name],$A41,T_SelfStock_Log[WeekIndex],64)=0,"",SUMIFS(T_SelfStock_Log[Self_Qty],T_SelfStock_Log[Part Name],$A41,T_SelfStock_Log[WeekIndex],64))</f>
        <v/>
      </c>
      <c r="BN41" s="18">
        <f>IF(COUNTIFS(T_SelfStock_Log[Part Name],$A41,T_SelfStock_Log[WeekIndex],65)=0,"",SUMIFS(T_SelfStock_Log[Self_Qty],T_SelfStock_Log[Part Name],$A41,T_SelfStock_Log[WeekIndex],65))</f>
        <v/>
      </c>
      <c r="BO41" s="18">
        <f>IF(COUNTIFS(T_SelfStock_Log[Part Name],$A41,T_SelfStock_Log[WeekIndex],66)=0,"",SUMIFS(T_SelfStock_Log[Self_Qty],T_SelfStock_Log[Part Name],$A41,T_SelfStock_Log[WeekIndex],66))</f>
        <v/>
      </c>
      <c r="BP41" s="18">
        <f>IF(COUNTIFS(T_SelfStock_Log[Part Name],$A41,T_SelfStock_Log[WeekIndex],67)=0,"",SUMIFS(T_SelfStock_Log[Self_Qty],T_SelfStock_Log[Part Name],$A41,T_SelfStock_Log[WeekIndex],67))</f>
        <v/>
      </c>
      <c r="BQ41" s="18">
        <f>IF(COUNTIFS(T_SelfStock_Log[Part Name],$A41,T_SelfStock_Log[WeekIndex],68)=0,"",SUMIFS(T_SelfStock_Log[Self_Qty],T_SelfStock_Log[Part Name],$A41,T_SelfStock_Log[WeekIndex],68))</f>
        <v/>
      </c>
      <c r="BR41" s="18">
        <f>IF(COUNTIFS(T_SelfStock_Log[Part Name],$A41,T_SelfStock_Log[WeekIndex],69)=0,"",SUMIFS(T_SelfStock_Log[Self_Qty],T_SelfStock_Log[Part Name],$A41,T_SelfStock_Log[WeekIndex],69))</f>
        <v/>
      </c>
      <c r="BS41" s="18">
        <f>IF(COUNTIFS(T_SelfStock_Log[Part Name],$A41,T_SelfStock_Log[WeekIndex],70)=0,"",SUMIFS(T_SelfStock_Log[Self_Qty],T_SelfStock_Log[Part Name],$A41,T_SelfStock_Log[WeekIndex],70))</f>
        <v/>
      </c>
      <c r="BT41" s="18">
        <f>IF(COUNTIFS(T_SelfStock_Log[Part Name],$A41,T_SelfStock_Log[WeekIndex],71)=0,"",SUMIFS(T_SelfStock_Log[Self_Qty],T_SelfStock_Log[Part Name],$A41,T_SelfStock_Log[WeekIndex],71))</f>
        <v/>
      </c>
      <c r="BU41" s="18">
        <f>IF(COUNTIFS(T_SelfStock_Log[Part Name],$A41,T_SelfStock_Log[WeekIndex],72)=0,"",SUMIFS(T_SelfStock_Log[Self_Qty],T_SelfStock_Log[Part Name],$A41,T_SelfStock_Log[WeekIndex],72))</f>
        <v/>
      </c>
      <c r="BV41" s="18">
        <f>IF(COUNTIFS(T_SelfStock_Log[Part Name],$A41,T_SelfStock_Log[WeekIndex],73)=0,"",SUMIFS(T_SelfStock_Log[Self_Qty],T_SelfStock_Log[Part Name],$A41,T_SelfStock_Log[WeekIndex],73))</f>
        <v/>
      </c>
      <c r="BW41" s="18">
        <f>IF(COUNTIFS(T_SelfStock_Log[Part Name],$A41,T_SelfStock_Log[WeekIndex],74)=0,"",SUMIFS(T_SelfStock_Log[Self_Qty],T_SelfStock_Log[Part Name],$A41,T_SelfStock_Log[WeekIndex],74))</f>
        <v/>
      </c>
      <c r="BX41" s="18">
        <f>IF(COUNTIFS(T_SelfStock_Log[Part Name],$A41,T_SelfStock_Log[WeekIndex],75)=0,"",SUMIFS(T_SelfStock_Log[Self_Qty],T_SelfStock_Log[Part Name],$A41,T_SelfStock_Log[WeekIndex],75))</f>
        <v/>
      </c>
      <c r="BY41" s="18">
        <f>IF(COUNTIFS(T_SelfStock_Log[Part Name],$A41,T_SelfStock_Log[WeekIndex],76)=0,"",SUMIFS(T_SelfStock_Log[Self_Qty],T_SelfStock_Log[Part Name],$A41,T_SelfStock_Log[WeekIndex],76))</f>
        <v/>
      </c>
      <c r="BZ41" s="18">
        <f>IF(COUNTIFS(T_SelfStock_Log[Part Name],$A41,T_SelfStock_Log[WeekIndex],77)=0,"",SUMIFS(T_SelfStock_Log[Self_Qty],T_SelfStock_Log[Part Name],$A41,T_SelfStock_Log[WeekIndex],77))</f>
        <v/>
      </c>
      <c r="CA41" s="18">
        <f>IF(COUNTIFS(T_SelfStock_Log[Part Name],$A41,T_SelfStock_Log[WeekIndex],78)=0,"",SUMIFS(T_SelfStock_Log[Self_Qty],T_SelfStock_Log[Part Name],$A41,T_SelfStock_Log[WeekIndex],78))</f>
        <v/>
      </c>
      <c r="CB41" s="18">
        <f>IF(COUNTIFS(T_SelfStock_Log[Part Name],$A41,T_SelfStock_Log[WeekIndex],79)=0,"",SUMIFS(T_SelfStock_Log[Self_Qty],T_SelfStock_Log[Part Name],$A41,T_SelfStock_Log[WeekIndex],79))</f>
        <v/>
      </c>
      <c r="CC41" s="18">
        <f>IF(COUNTIFS(T_SelfStock_Log[Part Name],$A41,T_SelfStock_Log[WeekIndex],80)=0,"",SUMIFS(T_SelfStock_Log[Self_Qty],T_SelfStock_Log[Part Name],$A41,T_SelfStock_Log[WeekIndex],80))</f>
        <v/>
      </c>
      <c r="CD41" s="18">
        <f>IF(COUNTIFS(T_SelfStock_Log[Part Name],$A41,T_SelfStock_Log[WeekIndex],81)=0,"",SUMIFS(T_SelfStock_Log[Self_Qty],T_SelfStock_Log[Part Name],$A41,T_SelfStock_Log[WeekIndex],81))</f>
        <v/>
      </c>
      <c r="CE41" s="18">
        <f>IF(COUNTIFS(T_SelfStock_Log[Part Name],$A41,T_SelfStock_Log[WeekIndex],82)=0,"",SUMIFS(T_SelfStock_Log[Self_Qty],T_SelfStock_Log[Part Name],$A41,T_SelfStock_Log[WeekIndex],82))</f>
        <v/>
      </c>
      <c r="CF41" s="18">
        <f>IF(COUNTIFS(T_SelfStock_Log[Part Name],$A41,T_SelfStock_Log[WeekIndex],83)=0,"",SUMIFS(T_SelfStock_Log[Self_Qty],T_SelfStock_Log[Part Name],$A41,T_SelfStock_Log[WeekIndex],83))</f>
        <v/>
      </c>
      <c r="CG41" s="18">
        <f>IF(COUNTIFS(T_SelfStock_Log[Part Name],$A41,T_SelfStock_Log[WeekIndex],84)=0,"",SUMIFS(T_SelfStock_Log[Self_Qty],T_SelfStock_Log[Part Name],$A41,T_SelfStock_Log[WeekIndex],84))</f>
        <v/>
      </c>
      <c r="CH41" s="18">
        <f>IF(COUNTIFS(T_SelfStock_Log[Part Name],$A41,T_SelfStock_Log[WeekIndex],85)=0,"",SUMIFS(T_SelfStock_Log[Self_Qty],T_SelfStock_Log[Part Name],$A41,T_SelfStock_Log[WeekIndex],85))</f>
        <v/>
      </c>
      <c r="CI41" s="18">
        <f>IF(COUNTIFS(T_SelfStock_Log[Part Name],$A41,T_SelfStock_Log[WeekIndex],86)=0,"",SUMIFS(T_SelfStock_Log[Self_Qty],T_SelfStock_Log[Part Name],$A41,T_SelfStock_Log[WeekIndex],86))</f>
        <v/>
      </c>
      <c r="CJ41" s="18">
        <f>IF(COUNTIFS(T_SelfStock_Log[Part Name],$A41,T_SelfStock_Log[WeekIndex],87)=0,"",SUMIFS(T_SelfStock_Log[Self_Qty],T_SelfStock_Log[Part Name],$A41,T_SelfStock_Log[WeekIndex],87))</f>
        <v/>
      </c>
      <c r="CK41" s="18">
        <f>IF(COUNTIFS(T_SelfStock_Log[Part Name],$A41,T_SelfStock_Log[WeekIndex],88)=0,"",SUMIFS(T_SelfStock_Log[Self_Qty],T_SelfStock_Log[Part Name],$A41,T_SelfStock_Log[WeekIndex],88))</f>
        <v/>
      </c>
      <c r="CL41" s="18">
        <f>IF(COUNTIFS(T_SelfStock_Log[Part Name],$A41,T_SelfStock_Log[WeekIndex],89)=0,"",SUMIFS(T_SelfStock_Log[Self_Qty],T_SelfStock_Log[Part Name],$A41,T_SelfStock_Log[WeekIndex],89))</f>
        <v/>
      </c>
      <c r="CM41" s="18">
        <f>IF(COUNTIFS(T_SelfStock_Log[Part Name],$A41,T_SelfStock_Log[WeekIndex],90)=0,"",SUMIFS(T_SelfStock_Log[Self_Qty],T_SelfStock_Log[Part Name],$A41,T_SelfStock_Log[WeekIndex],90))</f>
        <v/>
      </c>
      <c r="CN41" s="18">
        <f>IF(COUNTIFS(T_SelfStock_Log[Part Name],$A41,T_SelfStock_Log[WeekIndex],91)=0,"",SUMIFS(T_SelfStock_Log[Self_Qty],T_SelfStock_Log[Part Name],$A41,T_SelfStock_Log[WeekIndex],91))</f>
        <v/>
      </c>
      <c r="CO41" s="18">
        <f>IF(COUNTIFS(T_SelfStock_Log[Part Name],$A41,T_SelfStock_Log[WeekIndex],92)=0,"",SUMIFS(T_SelfStock_Log[Self_Qty],T_SelfStock_Log[Part Name],$A41,T_SelfStock_Log[WeekIndex],92))</f>
        <v/>
      </c>
      <c r="CP41" s="18">
        <f>IF(COUNTIFS(T_SelfStock_Log[Part Name],$A41,T_SelfStock_Log[WeekIndex],93)=0,"",SUMIFS(T_SelfStock_Log[Self_Qty],T_SelfStock_Log[Part Name],$A41,T_SelfStock_Log[WeekIndex],93))</f>
        <v/>
      </c>
      <c r="CQ41" s="18">
        <f>IF(COUNTIFS(T_SelfStock_Log[Part Name],$A41,T_SelfStock_Log[WeekIndex],94)=0,"",SUMIFS(T_SelfStock_Log[Self_Qty],T_SelfStock_Log[Part Name],$A41,T_SelfStock_Log[WeekIndex],94))</f>
        <v/>
      </c>
      <c r="CR41" s="18">
        <f>IF(COUNTIFS(T_SelfStock_Log[Part Name],$A41,T_SelfStock_Log[WeekIndex],95)=0,"",SUMIFS(T_SelfStock_Log[Self_Qty],T_SelfStock_Log[Part Name],$A41,T_SelfStock_Log[WeekIndex],95))</f>
        <v/>
      </c>
      <c r="CS41" s="18">
        <f>IF(COUNTIFS(T_SelfStock_Log[Part Name],$A41,T_SelfStock_Log[WeekIndex],96)=0,"",SUMIFS(T_SelfStock_Log[Self_Qty],T_SelfStock_Log[Part Name],$A41,T_SelfStock_Log[WeekIndex],96))</f>
        <v/>
      </c>
      <c r="CT41" s="18">
        <f>IF(COUNTIFS(T_SelfStock_Log[Part Name],$A41,T_SelfStock_Log[WeekIndex],97)=0,"",SUMIFS(T_SelfStock_Log[Self_Qty],T_SelfStock_Log[Part Name],$A41,T_SelfStock_Log[WeekIndex],97))</f>
        <v/>
      </c>
      <c r="CU41" s="18">
        <f>IF(COUNTIFS(T_SelfStock_Log[Part Name],$A41,T_SelfStock_Log[WeekIndex],98)=0,"",SUMIFS(T_SelfStock_Log[Self_Qty],T_SelfStock_Log[Part Name],$A41,T_SelfStock_Log[WeekIndex],98))</f>
        <v/>
      </c>
      <c r="CV41" s="18">
        <f>IF(COUNTIFS(T_SelfStock_Log[Part Name],$A41,T_SelfStock_Log[WeekIndex],99)=0,"",SUMIFS(T_SelfStock_Log[Self_Qty],T_SelfStock_Log[Part Name],$A41,T_SelfStock_Log[WeekIndex],99))</f>
        <v/>
      </c>
      <c r="CW41" s="18">
        <f>IF(COUNTIFS(T_SelfStock_Log[Part Name],$A41,T_SelfStock_Log[WeekIndex],100)=0,"",SUMIFS(T_SelfStock_Log[Self_Qty],T_SelfStock_Log[Part Name],$A41,T_SelfStock_Log[WeekIndex],100))</f>
        <v/>
      </c>
      <c r="CX41" s="18">
        <f>IF(COUNTIFS(T_SelfStock_Log[Part Name],$A41,T_SelfStock_Log[WeekIndex],101)=0,"",SUMIFS(T_SelfStock_Log[Self_Qty],T_SelfStock_Log[Part Name],$A41,T_SelfStock_Log[WeekIndex],101))</f>
        <v/>
      </c>
      <c r="CY41" s="18">
        <f>IF(COUNTIFS(T_SelfStock_Log[Part Name],$A41,T_SelfStock_Log[WeekIndex],102)=0,"",SUMIFS(T_SelfStock_Log[Self_Qty],T_SelfStock_Log[Part Name],$A41,T_SelfStock_Log[WeekIndex],102))</f>
        <v/>
      </c>
      <c r="CZ41" s="18">
        <f>IF(COUNTIFS(T_SelfStock_Log[Part Name],$A41,T_SelfStock_Log[WeekIndex],103)=0,"",SUMIFS(T_SelfStock_Log[Self_Qty],T_SelfStock_Log[Part Name],$A41,T_SelfStock_Log[WeekIndex],103))</f>
        <v/>
      </c>
      <c r="DA41" s="18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Ester Film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8" t="inlineStr">
        <is>
          <t>PP Film</t>
        </is>
      </c>
      <c r="B43" s="18">
        <f>IF(COUNTIFS(T_SelfStock_Log[Part Name],$A43,T_SelfStock_Log[WeekIndex],1)=0,"",SUMIFS(T_SelfStock_Log[Self_Qty],T_SelfStock_Log[Part Name],$A43,T_SelfStock_Log[WeekIndex],1))</f>
        <v/>
      </c>
      <c r="C43" s="18">
        <f>IF(COUNTIFS(T_SelfStock_Log[Part Name],$A43,T_SelfStock_Log[WeekIndex],2)=0,"",SUMIFS(T_SelfStock_Log[Self_Qty],T_SelfStock_Log[Part Name],$A43,T_SelfStock_Log[WeekIndex],2))</f>
        <v/>
      </c>
      <c r="D43" s="18">
        <f>IF(COUNTIFS(T_SelfStock_Log[Part Name],$A43,T_SelfStock_Log[WeekIndex],3)=0,"",SUMIFS(T_SelfStock_Log[Self_Qty],T_SelfStock_Log[Part Name],$A43,T_SelfStock_Log[WeekIndex],3))</f>
        <v/>
      </c>
      <c r="E43" s="18">
        <f>IF(COUNTIFS(T_SelfStock_Log[Part Name],$A43,T_SelfStock_Log[WeekIndex],4)=0,"",SUMIFS(T_SelfStock_Log[Self_Qty],T_SelfStock_Log[Part Name],$A43,T_SelfStock_Log[WeekIndex],4))</f>
        <v/>
      </c>
      <c r="F43" s="18">
        <f>IF(COUNTIFS(T_SelfStock_Log[Part Name],$A43,T_SelfStock_Log[WeekIndex],5)=0,"",SUMIFS(T_SelfStock_Log[Self_Qty],T_SelfStock_Log[Part Name],$A43,T_SelfStock_Log[WeekIndex],5))</f>
        <v/>
      </c>
      <c r="G43" s="18">
        <f>IF(COUNTIFS(T_SelfStock_Log[Part Name],$A43,T_SelfStock_Log[WeekIndex],6)=0,"",SUMIFS(T_SelfStock_Log[Self_Qty],T_SelfStock_Log[Part Name],$A43,T_SelfStock_Log[WeekIndex],6))</f>
        <v/>
      </c>
      <c r="H43" s="18">
        <f>IF(COUNTIFS(T_SelfStock_Log[Part Name],$A43,T_SelfStock_Log[WeekIndex],7)=0,"",SUMIFS(T_SelfStock_Log[Self_Qty],T_SelfStock_Log[Part Name],$A43,T_SelfStock_Log[WeekIndex],7))</f>
        <v/>
      </c>
      <c r="I43" s="18">
        <f>IF(COUNTIFS(T_SelfStock_Log[Part Name],$A43,T_SelfStock_Log[WeekIndex],8)=0,"",SUMIFS(T_SelfStock_Log[Self_Qty],T_SelfStock_Log[Part Name],$A43,T_SelfStock_Log[WeekIndex],8))</f>
        <v/>
      </c>
      <c r="J43" s="18">
        <f>IF(COUNTIFS(T_SelfStock_Log[Part Name],$A43,T_SelfStock_Log[WeekIndex],9)=0,"",SUMIFS(T_SelfStock_Log[Self_Qty],T_SelfStock_Log[Part Name],$A43,T_SelfStock_Log[WeekIndex],9))</f>
        <v/>
      </c>
      <c r="K43" s="18">
        <f>IF(COUNTIFS(T_SelfStock_Log[Part Name],$A43,T_SelfStock_Log[WeekIndex],10)=0,"",SUMIFS(T_SelfStock_Log[Self_Qty],T_SelfStock_Log[Part Name],$A43,T_SelfStock_Log[WeekIndex],10))</f>
        <v/>
      </c>
      <c r="L43" s="18">
        <f>IF(COUNTIFS(T_SelfStock_Log[Part Name],$A43,T_SelfStock_Log[WeekIndex],11)=0,"",SUMIFS(T_SelfStock_Log[Self_Qty],T_SelfStock_Log[Part Name],$A43,T_SelfStock_Log[WeekIndex],11))</f>
        <v/>
      </c>
      <c r="M43" s="18">
        <f>IF(COUNTIFS(T_SelfStock_Log[Part Name],$A43,T_SelfStock_Log[WeekIndex],12)=0,"",SUMIFS(T_SelfStock_Log[Self_Qty],T_SelfStock_Log[Part Name],$A43,T_SelfStock_Log[WeekIndex],12))</f>
        <v/>
      </c>
      <c r="N43" s="18">
        <f>IF(COUNTIFS(T_SelfStock_Log[Part Name],$A43,T_SelfStock_Log[WeekIndex],13)=0,"",SUMIFS(T_SelfStock_Log[Self_Qty],T_SelfStock_Log[Part Name],$A43,T_SelfStock_Log[WeekIndex],13))</f>
        <v/>
      </c>
      <c r="O43" s="18">
        <f>IF(COUNTIFS(T_SelfStock_Log[Part Name],$A43,T_SelfStock_Log[WeekIndex],14)=0,"",SUMIFS(T_SelfStock_Log[Self_Qty],T_SelfStock_Log[Part Name],$A43,T_SelfStock_Log[WeekIndex],14))</f>
        <v/>
      </c>
      <c r="P43" s="18">
        <f>IF(COUNTIFS(T_SelfStock_Log[Part Name],$A43,T_SelfStock_Log[WeekIndex],15)=0,"",SUMIFS(T_SelfStock_Log[Self_Qty],T_SelfStock_Log[Part Name],$A43,T_SelfStock_Log[WeekIndex],15))</f>
        <v/>
      </c>
      <c r="Q43" s="18">
        <f>IF(COUNTIFS(T_SelfStock_Log[Part Name],$A43,T_SelfStock_Log[WeekIndex],16)=0,"",SUMIFS(T_SelfStock_Log[Self_Qty],T_SelfStock_Log[Part Name],$A43,T_SelfStock_Log[WeekIndex],16))</f>
        <v/>
      </c>
      <c r="R43" s="18">
        <f>IF(COUNTIFS(T_SelfStock_Log[Part Name],$A43,T_SelfStock_Log[WeekIndex],17)=0,"",SUMIFS(T_SelfStock_Log[Self_Qty],T_SelfStock_Log[Part Name],$A43,T_SelfStock_Log[WeekIndex],17))</f>
        <v/>
      </c>
      <c r="S43" s="18">
        <f>IF(COUNTIFS(T_SelfStock_Log[Part Name],$A43,T_SelfStock_Log[WeekIndex],18)=0,"",SUMIFS(T_SelfStock_Log[Self_Qty],T_SelfStock_Log[Part Name],$A43,T_SelfStock_Log[WeekIndex],18))</f>
        <v/>
      </c>
      <c r="T43" s="18">
        <f>IF(COUNTIFS(T_SelfStock_Log[Part Name],$A43,T_SelfStock_Log[WeekIndex],19)=0,"",SUMIFS(T_SelfStock_Log[Self_Qty],T_SelfStock_Log[Part Name],$A43,T_SelfStock_Log[WeekIndex],19))</f>
        <v/>
      </c>
      <c r="U43" s="18">
        <f>IF(COUNTIFS(T_SelfStock_Log[Part Name],$A43,T_SelfStock_Log[WeekIndex],20)=0,"",SUMIFS(T_SelfStock_Log[Self_Qty],T_SelfStock_Log[Part Name],$A43,T_SelfStock_Log[WeekIndex],20))</f>
        <v/>
      </c>
      <c r="V43" s="18">
        <f>IF(COUNTIFS(T_SelfStock_Log[Part Name],$A43,T_SelfStock_Log[WeekIndex],21)=0,"",SUMIFS(T_SelfStock_Log[Self_Qty],T_SelfStock_Log[Part Name],$A43,T_SelfStock_Log[WeekIndex],21))</f>
        <v/>
      </c>
      <c r="W43" s="18">
        <f>IF(COUNTIFS(T_SelfStock_Log[Part Name],$A43,T_SelfStock_Log[WeekIndex],22)=0,"",SUMIFS(T_SelfStock_Log[Self_Qty],T_SelfStock_Log[Part Name],$A43,T_SelfStock_Log[WeekIndex],22))</f>
        <v/>
      </c>
      <c r="X43" s="18">
        <f>IF(COUNTIFS(T_SelfStock_Log[Part Name],$A43,T_SelfStock_Log[WeekIndex],23)=0,"",SUMIFS(T_SelfStock_Log[Self_Qty],T_SelfStock_Log[Part Name],$A43,T_SelfStock_Log[WeekIndex],23))</f>
        <v/>
      </c>
      <c r="Y43" s="18">
        <f>IF(COUNTIFS(T_SelfStock_Log[Part Name],$A43,T_SelfStock_Log[WeekIndex],24)=0,"",SUMIFS(T_SelfStock_Log[Self_Qty],T_SelfStock_Log[Part Name],$A43,T_SelfStock_Log[WeekIndex],24))</f>
        <v/>
      </c>
      <c r="Z43" s="18">
        <f>IF(COUNTIFS(T_SelfStock_Log[Part Name],$A43,T_SelfStock_Log[WeekIndex],25)=0,"",SUMIFS(T_SelfStock_Log[Self_Qty],T_SelfStock_Log[Part Name],$A43,T_SelfStock_Log[WeekIndex],25))</f>
        <v/>
      </c>
      <c r="AA43" s="18">
        <f>IF(COUNTIFS(T_SelfStock_Log[Part Name],$A43,T_SelfStock_Log[WeekIndex],26)=0,"",SUMIFS(T_SelfStock_Log[Self_Qty],T_SelfStock_Log[Part Name],$A43,T_SelfStock_Log[WeekIndex],26))</f>
        <v/>
      </c>
      <c r="AB43" s="18">
        <f>IF(COUNTIFS(T_SelfStock_Log[Part Name],$A43,T_SelfStock_Log[WeekIndex],27)=0,"",SUMIFS(T_SelfStock_Log[Self_Qty],T_SelfStock_Log[Part Name],$A43,T_SelfStock_Log[WeekIndex],27))</f>
        <v/>
      </c>
      <c r="AC43" s="18">
        <f>IF(COUNTIFS(T_SelfStock_Log[Part Name],$A43,T_SelfStock_Log[WeekIndex],28)=0,"",SUMIFS(T_SelfStock_Log[Self_Qty],T_SelfStock_Log[Part Name],$A43,T_SelfStock_Log[WeekIndex],28))</f>
        <v/>
      </c>
      <c r="AD43" s="18">
        <f>IF(COUNTIFS(T_SelfStock_Log[Part Name],$A43,T_SelfStock_Log[WeekIndex],29)=0,"",SUMIFS(T_SelfStock_Log[Self_Qty],T_SelfStock_Log[Part Name],$A43,T_SelfStock_Log[WeekIndex],29))</f>
        <v/>
      </c>
      <c r="AE43" s="18">
        <f>IF(COUNTIFS(T_SelfStock_Log[Part Name],$A43,T_SelfStock_Log[WeekIndex],30)=0,"",SUMIFS(T_SelfStock_Log[Self_Qty],T_SelfStock_Log[Part Name],$A43,T_SelfStock_Log[WeekIndex],30))</f>
        <v/>
      </c>
      <c r="AF43" s="18">
        <f>IF(COUNTIFS(T_SelfStock_Log[Part Name],$A43,T_SelfStock_Log[WeekIndex],31)=0,"",SUMIFS(T_SelfStock_Log[Self_Qty],T_SelfStock_Log[Part Name],$A43,T_SelfStock_Log[WeekIndex],31))</f>
        <v/>
      </c>
      <c r="AG43" s="18">
        <f>IF(COUNTIFS(T_SelfStock_Log[Part Name],$A43,T_SelfStock_Log[WeekIndex],32)=0,"",SUMIFS(T_SelfStock_Log[Self_Qty],T_SelfStock_Log[Part Name],$A43,T_SelfStock_Log[WeekIndex],32))</f>
        <v/>
      </c>
      <c r="AH43" s="18">
        <f>IF(COUNTIFS(T_SelfStock_Log[Part Name],$A43,T_SelfStock_Log[WeekIndex],33)=0,"",SUMIFS(T_SelfStock_Log[Self_Qty],T_SelfStock_Log[Part Name],$A43,T_SelfStock_Log[WeekIndex],33))</f>
        <v/>
      </c>
      <c r="AI43" s="18">
        <f>IF(COUNTIFS(T_SelfStock_Log[Part Name],$A43,T_SelfStock_Log[WeekIndex],34)=0,"",SUMIFS(T_SelfStock_Log[Self_Qty],T_SelfStock_Log[Part Name],$A43,T_SelfStock_Log[WeekIndex],34))</f>
        <v/>
      </c>
      <c r="AJ43" s="18">
        <f>IF(COUNTIFS(T_SelfStock_Log[Part Name],$A43,T_SelfStock_Log[WeekIndex],35)=0,"",SUMIFS(T_SelfStock_Log[Self_Qty],T_SelfStock_Log[Part Name],$A43,T_SelfStock_Log[WeekIndex],35))</f>
        <v/>
      </c>
      <c r="AK43" s="18">
        <f>IF(COUNTIFS(T_SelfStock_Log[Part Name],$A43,T_SelfStock_Log[WeekIndex],36)=0,"",SUMIFS(T_SelfStock_Log[Self_Qty],T_SelfStock_Log[Part Name],$A43,T_SelfStock_Log[WeekIndex],36))</f>
        <v/>
      </c>
      <c r="AL43" s="18">
        <f>IF(COUNTIFS(T_SelfStock_Log[Part Name],$A43,T_SelfStock_Log[WeekIndex],37)=0,"",SUMIFS(T_SelfStock_Log[Self_Qty],T_SelfStock_Log[Part Name],$A43,T_SelfStock_Log[WeekIndex],37))</f>
        <v/>
      </c>
      <c r="AM43" s="18">
        <f>IF(COUNTIFS(T_SelfStock_Log[Part Name],$A43,T_SelfStock_Log[WeekIndex],38)=0,"",SUMIFS(T_SelfStock_Log[Self_Qty],T_SelfStock_Log[Part Name],$A43,T_SelfStock_Log[WeekIndex],38))</f>
        <v/>
      </c>
      <c r="AN43" s="18">
        <f>IF(COUNTIFS(T_SelfStock_Log[Part Name],$A43,T_SelfStock_Log[WeekIndex],39)=0,"",SUMIFS(T_SelfStock_Log[Self_Qty],T_SelfStock_Log[Part Name],$A43,T_SelfStock_Log[WeekIndex],39))</f>
        <v/>
      </c>
      <c r="AO43" s="18">
        <f>IF(COUNTIFS(T_SelfStock_Log[Part Name],$A43,T_SelfStock_Log[WeekIndex],40)=0,"",SUMIFS(T_SelfStock_Log[Self_Qty],T_SelfStock_Log[Part Name],$A43,T_SelfStock_Log[WeekIndex],40))</f>
        <v/>
      </c>
      <c r="AP43" s="18">
        <f>IF(COUNTIFS(T_SelfStock_Log[Part Name],$A43,T_SelfStock_Log[WeekIndex],41)=0,"",SUMIFS(T_SelfStock_Log[Self_Qty],T_SelfStock_Log[Part Name],$A43,T_SelfStock_Log[WeekIndex],41))</f>
        <v/>
      </c>
      <c r="AQ43" s="18">
        <f>IF(COUNTIFS(T_SelfStock_Log[Part Name],$A43,T_SelfStock_Log[WeekIndex],42)=0,"",SUMIFS(T_SelfStock_Log[Self_Qty],T_SelfStock_Log[Part Name],$A43,T_SelfStock_Log[WeekIndex],42))</f>
        <v/>
      </c>
      <c r="AR43" s="18">
        <f>IF(COUNTIFS(T_SelfStock_Log[Part Name],$A43,T_SelfStock_Log[WeekIndex],43)=0,"",SUMIFS(T_SelfStock_Log[Self_Qty],T_SelfStock_Log[Part Name],$A43,T_SelfStock_Log[WeekIndex],43))</f>
        <v/>
      </c>
      <c r="AS43" s="18">
        <f>IF(COUNTIFS(T_SelfStock_Log[Part Name],$A43,T_SelfStock_Log[WeekIndex],44)=0,"",SUMIFS(T_SelfStock_Log[Self_Qty],T_SelfStock_Log[Part Name],$A43,T_SelfStock_Log[WeekIndex],44))</f>
        <v/>
      </c>
      <c r="AT43" s="18">
        <f>IF(COUNTIFS(T_SelfStock_Log[Part Name],$A43,T_SelfStock_Log[WeekIndex],45)=0,"",SUMIFS(T_SelfStock_Log[Self_Qty],T_SelfStock_Log[Part Name],$A43,T_SelfStock_Log[WeekIndex],45))</f>
        <v/>
      </c>
      <c r="AU43" s="18">
        <f>IF(COUNTIFS(T_SelfStock_Log[Part Name],$A43,T_SelfStock_Log[WeekIndex],46)=0,"",SUMIFS(T_SelfStock_Log[Self_Qty],T_SelfStock_Log[Part Name],$A43,T_SelfStock_Log[WeekIndex],46))</f>
        <v/>
      </c>
      <c r="AV43" s="18">
        <f>IF(COUNTIFS(T_SelfStock_Log[Part Name],$A43,T_SelfStock_Log[WeekIndex],47)=0,"",SUMIFS(T_SelfStock_Log[Self_Qty],T_SelfStock_Log[Part Name],$A43,T_SelfStock_Log[WeekIndex],47))</f>
        <v/>
      </c>
      <c r="AW43" s="18">
        <f>IF(COUNTIFS(T_SelfStock_Log[Part Name],$A43,T_SelfStock_Log[WeekIndex],48)=0,"",SUMIFS(T_SelfStock_Log[Self_Qty],T_SelfStock_Log[Part Name],$A43,T_SelfStock_Log[WeekIndex],48))</f>
        <v/>
      </c>
      <c r="AX43" s="18">
        <f>IF(COUNTIFS(T_SelfStock_Log[Part Name],$A43,T_SelfStock_Log[WeekIndex],49)=0,"",SUMIFS(T_SelfStock_Log[Self_Qty],T_SelfStock_Log[Part Name],$A43,T_SelfStock_Log[WeekIndex],49))</f>
        <v/>
      </c>
      <c r="AY43" s="18">
        <f>IF(COUNTIFS(T_SelfStock_Log[Part Name],$A43,T_SelfStock_Log[WeekIndex],50)=0,"",SUMIFS(T_SelfStock_Log[Self_Qty],T_SelfStock_Log[Part Name],$A43,T_SelfStock_Log[WeekIndex],50))</f>
        <v/>
      </c>
      <c r="AZ43" s="18">
        <f>IF(COUNTIFS(T_SelfStock_Log[Part Name],$A43,T_SelfStock_Log[WeekIndex],51)=0,"",SUMIFS(T_SelfStock_Log[Self_Qty],T_SelfStock_Log[Part Name],$A43,T_SelfStock_Log[WeekIndex],51))</f>
        <v/>
      </c>
      <c r="BA43" s="18">
        <f>IF(COUNTIFS(T_SelfStock_Log[Part Name],$A43,T_SelfStock_Log[WeekIndex],52)=0,"",SUMIFS(T_SelfStock_Log[Self_Qty],T_SelfStock_Log[Part Name],$A43,T_SelfStock_Log[WeekIndex],52))</f>
        <v/>
      </c>
      <c r="BB43" s="18">
        <f>IF(COUNTIFS(T_SelfStock_Log[Part Name],$A43,T_SelfStock_Log[WeekIndex],53)=0,"",SUMIFS(T_SelfStock_Log[Self_Qty],T_SelfStock_Log[Part Name],$A43,T_SelfStock_Log[WeekIndex],53))</f>
        <v/>
      </c>
      <c r="BC43" s="18">
        <f>IF(COUNTIFS(T_SelfStock_Log[Part Name],$A43,T_SelfStock_Log[WeekIndex],54)=0,"",SUMIFS(T_SelfStock_Log[Self_Qty],T_SelfStock_Log[Part Name],$A43,T_SelfStock_Log[WeekIndex],54))</f>
        <v/>
      </c>
      <c r="BD43" s="18">
        <f>IF(COUNTIFS(T_SelfStock_Log[Part Name],$A43,T_SelfStock_Log[WeekIndex],55)=0,"",SUMIFS(T_SelfStock_Log[Self_Qty],T_SelfStock_Log[Part Name],$A43,T_SelfStock_Log[WeekIndex],55))</f>
        <v/>
      </c>
      <c r="BE43" s="18">
        <f>IF(COUNTIFS(T_SelfStock_Log[Part Name],$A43,T_SelfStock_Log[WeekIndex],56)=0,"",SUMIFS(T_SelfStock_Log[Self_Qty],T_SelfStock_Log[Part Name],$A43,T_SelfStock_Log[WeekIndex],56))</f>
        <v/>
      </c>
      <c r="BF43" s="18">
        <f>IF(COUNTIFS(T_SelfStock_Log[Part Name],$A43,T_SelfStock_Log[WeekIndex],57)=0,"",SUMIFS(T_SelfStock_Log[Self_Qty],T_SelfStock_Log[Part Name],$A43,T_SelfStock_Log[WeekIndex],57))</f>
        <v/>
      </c>
      <c r="BG43" s="18">
        <f>IF(COUNTIFS(T_SelfStock_Log[Part Name],$A43,T_SelfStock_Log[WeekIndex],58)=0,"",SUMIFS(T_SelfStock_Log[Self_Qty],T_SelfStock_Log[Part Name],$A43,T_SelfStock_Log[WeekIndex],58))</f>
        <v/>
      </c>
      <c r="BH43" s="18">
        <f>IF(COUNTIFS(T_SelfStock_Log[Part Name],$A43,T_SelfStock_Log[WeekIndex],59)=0,"",SUMIFS(T_SelfStock_Log[Self_Qty],T_SelfStock_Log[Part Name],$A43,T_SelfStock_Log[WeekIndex],59))</f>
        <v/>
      </c>
      <c r="BI43" s="18">
        <f>IF(COUNTIFS(T_SelfStock_Log[Part Name],$A43,T_SelfStock_Log[WeekIndex],60)=0,"",SUMIFS(T_SelfStock_Log[Self_Qty],T_SelfStock_Log[Part Name],$A43,T_SelfStock_Log[WeekIndex],60))</f>
        <v/>
      </c>
      <c r="BJ43" s="18">
        <f>IF(COUNTIFS(T_SelfStock_Log[Part Name],$A43,T_SelfStock_Log[WeekIndex],61)=0,"",SUMIFS(T_SelfStock_Log[Self_Qty],T_SelfStock_Log[Part Name],$A43,T_SelfStock_Log[WeekIndex],61))</f>
        <v/>
      </c>
      <c r="BK43" s="18">
        <f>IF(COUNTIFS(T_SelfStock_Log[Part Name],$A43,T_SelfStock_Log[WeekIndex],62)=0,"",SUMIFS(T_SelfStock_Log[Self_Qty],T_SelfStock_Log[Part Name],$A43,T_SelfStock_Log[WeekIndex],62))</f>
        <v/>
      </c>
      <c r="BL43" s="18">
        <f>IF(COUNTIFS(T_SelfStock_Log[Part Name],$A43,T_SelfStock_Log[WeekIndex],63)=0,"",SUMIFS(T_SelfStock_Log[Self_Qty],T_SelfStock_Log[Part Name],$A43,T_SelfStock_Log[WeekIndex],63))</f>
        <v/>
      </c>
      <c r="BM43" s="18">
        <f>IF(COUNTIFS(T_SelfStock_Log[Part Name],$A43,T_SelfStock_Log[WeekIndex],64)=0,"",SUMIFS(T_SelfStock_Log[Self_Qty],T_SelfStock_Log[Part Name],$A43,T_SelfStock_Log[WeekIndex],64))</f>
        <v/>
      </c>
      <c r="BN43" s="18">
        <f>IF(COUNTIFS(T_SelfStock_Log[Part Name],$A43,T_SelfStock_Log[WeekIndex],65)=0,"",SUMIFS(T_SelfStock_Log[Self_Qty],T_SelfStock_Log[Part Name],$A43,T_SelfStock_Log[WeekIndex],65))</f>
        <v/>
      </c>
      <c r="BO43" s="18">
        <f>IF(COUNTIFS(T_SelfStock_Log[Part Name],$A43,T_SelfStock_Log[WeekIndex],66)=0,"",SUMIFS(T_SelfStock_Log[Self_Qty],T_SelfStock_Log[Part Name],$A43,T_SelfStock_Log[WeekIndex],66))</f>
        <v/>
      </c>
      <c r="BP43" s="18">
        <f>IF(COUNTIFS(T_SelfStock_Log[Part Name],$A43,T_SelfStock_Log[WeekIndex],67)=0,"",SUMIFS(T_SelfStock_Log[Self_Qty],T_SelfStock_Log[Part Name],$A43,T_SelfStock_Log[WeekIndex],67))</f>
        <v/>
      </c>
      <c r="BQ43" s="18">
        <f>IF(COUNTIFS(T_SelfStock_Log[Part Name],$A43,T_SelfStock_Log[WeekIndex],68)=0,"",SUMIFS(T_SelfStock_Log[Self_Qty],T_SelfStock_Log[Part Name],$A43,T_SelfStock_Log[WeekIndex],68))</f>
        <v/>
      </c>
      <c r="BR43" s="18">
        <f>IF(COUNTIFS(T_SelfStock_Log[Part Name],$A43,T_SelfStock_Log[WeekIndex],69)=0,"",SUMIFS(T_SelfStock_Log[Self_Qty],T_SelfStock_Log[Part Name],$A43,T_SelfStock_Log[WeekIndex],69))</f>
        <v/>
      </c>
      <c r="BS43" s="18">
        <f>IF(COUNTIFS(T_SelfStock_Log[Part Name],$A43,T_SelfStock_Log[WeekIndex],70)=0,"",SUMIFS(T_SelfStock_Log[Self_Qty],T_SelfStock_Log[Part Name],$A43,T_SelfStock_Log[WeekIndex],70))</f>
        <v/>
      </c>
      <c r="BT43" s="18">
        <f>IF(COUNTIFS(T_SelfStock_Log[Part Name],$A43,T_SelfStock_Log[WeekIndex],71)=0,"",SUMIFS(T_SelfStock_Log[Self_Qty],T_SelfStock_Log[Part Name],$A43,T_SelfStock_Log[WeekIndex],71))</f>
        <v/>
      </c>
      <c r="BU43" s="18">
        <f>IF(COUNTIFS(T_SelfStock_Log[Part Name],$A43,T_SelfStock_Log[WeekIndex],72)=0,"",SUMIFS(T_SelfStock_Log[Self_Qty],T_SelfStock_Log[Part Name],$A43,T_SelfStock_Log[WeekIndex],72))</f>
        <v/>
      </c>
      <c r="BV43" s="18">
        <f>IF(COUNTIFS(T_SelfStock_Log[Part Name],$A43,T_SelfStock_Log[WeekIndex],73)=0,"",SUMIFS(T_SelfStock_Log[Self_Qty],T_SelfStock_Log[Part Name],$A43,T_SelfStock_Log[WeekIndex],73))</f>
        <v/>
      </c>
      <c r="BW43" s="18">
        <f>IF(COUNTIFS(T_SelfStock_Log[Part Name],$A43,T_SelfStock_Log[WeekIndex],74)=0,"",SUMIFS(T_SelfStock_Log[Self_Qty],T_SelfStock_Log[Part Name],$A43,T_SelfStock_Log[WeekIndex],74))</f>
        <v/>
      </c>
      <c r="BX43" s="18">
        <f>IF(COUNTIFS(T_SelfStock_Log[Part Name],$A43,T_SelfStock_Log[WeekIndex],75)=0,"",SUMIFS(T_SelfStock_Log[Self_Qty],T_SelfStock_Log[Part Name],$A43,T_SelfStock_Log[WeekIndex],75))</f>
        <v/>
      </c>
      <c r="BY43" s="18">
        <f>IF(COUNTIFS(T_SelfStock_Log[Part Name],$A43,T_SelfStock_Log[WeekIndex],76)=0,"",SUMIFS(T_SelfStock_Log[Self_Qty],T_SelfStock_Log[Part Name],$A43,T_SelfStock_Log[WeekIndex],76))</f>
        <v/>
      </c>
      <c r="BZ43" s="18">
        <f>IF(COUNTIFS(T_SelfStock_Log[Part Name],$A43,T_SelfStock_Log[WeekIndex],77)=0,"",SUMIFS(T_SelfStock_Log[Self_Qty],T_SelfStock_Log[Part Name],$A43,T_SelfStock_Log[WeekIndex],77))</f>
        <v/>
      </c>
      <c r="CA43" s="18">
        <f>IF(COUNTIFS(T_SelfStock_Log[Part Name],$A43,T_SelfStock_Log[WeekIndex],78)=0,"",SUMIFS(T_SelfStock_Log[Self_Qty],T_SelfStock_Log[Part Name],$A43,T_SelfStock_Log[WeekIndex],78))</f>
        <v/>
      </c>
      <c r="CB43" s="18">
        <f>IF(COUNTIFS(T_SelfStock_Log[Part Name],$A43,T_SelfStock_Log[WeekIndex],79)=0,"",SUMIFS(T_SelfStock_Log[Self_Qty],T_SelfStock_Log[Part Name],$A43,T_SelfStock_Log[WeekIndex],79))</f>
        <v/>
      </c>
      <c r="CC43" s="18">
        <f>IF(COUNTIFS(T_SelfStock_Log[Part Name],$A43,T_SelfStock_Log[WeekIndex],80)=0,"",SUMIFS(T_SelfStock_Log[Self_Qty],T_SelfStock_Log[Part Name],$A43,T_SelfStock_Log[WeekIndex],80))</f>
        <v/>
      </c>
      <c r="CD43" s="18">
        <f>IF(COUNTIFS(T_SelfStock_Log[Part Name],$A43,T_SelfStock_Log[WeekIndex],81)=0,"",SUMIFS(T_SelfStock_Log[Self_Qty],T_SelfStock_Log[Part Name],$A43,T_SelfStock_Log[WeekIndex],81))</f>
        <v/>
      </c>
      <c r="CE43" s="18">
        <f>IF(COUNTIFS(T_SelfStock_Log[Part Name],$A43,T_SelfStock_Log[WeekIndex],82)=0,"",SUMIFS(T_SelfStock_Log[Self_Qty],T_SelfStock_Log[Part Name],$A43,T_SelfStock_Log[WeekIndex],82))</f>
        <v/>
      </c>
      <c r="CF43" s="18">
        <f>IF(COUNTIFS(T_SelfStock_Log[Part Name],$A43,T_SelfStock_Log[WeekIndex],83)=0,"",SUMIFS(T_SelfStock_Log[Self_Qty],T_SelfStock_Log[Part Name],$A43,T_SelfStock_Log[WeekIndex],83))</f>
        <v/>
      </c>
      <c r="CG43" s="18">
        <f>IF(COUNTIFS(T_SelfStock_Log[Part Name],$A43,T_SelfStock_Log[WeekIndex],84)=0,"",SUMIFS(T_SelfStock_Log[Self_Qty],T_SelfStock_Log[Part Name],$A43,T_SelfStock_Log[WeekIndex],84))</f>
        <v/>
      </c>
      <c r="CH43" s="18">
        <f>IF(COUNTIFS(T_SelfStock_Log[Part Name],$A43,T_SelfStock_Log[WeekIndex],85)=0,"",SUMIFS(T_SelfStock_Log[Self_Qty],T_SelfStock_Log[Part Name],$A43,T_SelfStock_Log[WeekIndex],85))</f>
        <v/>
      </c>
      <c r="CI43" s="18">
        <f>IF(COUNTIFS(T_SelfStock_Log[Part Name],$A43,T_SelfStock_Log[WeekIndex],86)=0,"",SUMIFS(T_SelfStock_Log[Self_Qty],T_SelfStock_Log[Part Name],$A43,T_SelfStock_Log[WeekIndex],86))</f>
        <v/>
      </c>
      <c r="CJ43" s="18">
        <f>IF(COUNTIFS(T_SelfStock_Log[Part Name],$A43,T_SelfStock_Log[WeekIndex],87)=0,"",SUMIFS(T_SelfStock_Log[Self_Qty],T_SelfStock_Log[Part Name],$A43,T_SelfStock_Log[WeekIndex],87))</f>
        <v/>
      </c>
      <c r="CK43" s="18">
        <f>IF(COUNTIFS(T_SelfStock_Log[Part Name],$A43,T_SelfStock_Log[WeekIndex],88)=0,"",SUMIFS(T_SelfStock_Log[Self_Qty],T_SelfStock_Log[Part Name],$A43,T_SelfStock_Log[WeekIndex],88))</f>
        <v/>
      </c>
      <c r="CL43" s="18">
        <f>IF(COUNTIFS(T_SelfStock_Log[Part Name],$A43,T_SelfStock_Log[WeekIndex],89)=0,"",SUMIFS(T_SelfStock_Log[Self_Qty],T_SelfStock_Log[Part Name],$A43,T_SelfStock_Log[WeekIndex],89))</f>
        <v/>
      </c>
      <c r="CM43" s="18">
        <f>IF(COUNTIFS(T_SelfStock_Log[Part Name],$A43,T_SelfStock_Log[WeekIndex],90)=0,"",SUMIFS(T_SelfStock_Log[Self_Qty],T_SelfStock_Log[Part Name],$A43,T_SelfStock_Log[WeekIndex],90))</f>
        <v/>
      </c>
      <c r="CN43" s="18">
        <f>IF(COUNTIFS(T_SelfStock_Log[Part Name],$A43,T_SelfStock_Log[WeekIndex],91)=0,"",SUMIFS(T_SelfStock_Log[Self_Qty],T_SelfStock_Log[Part Name],$A43,T_SelfStock_Log[WeekIndex],91))</f>
        <v/>
      </c>
      <c r="CO43" s="18">
        <f>IF(COUNTIFS(T_SelfStock_Log[Part Name],$A43,T_SelfStock_Log[WeekIndex],92)=0,"",SUMIFS(T_SelfStock_Log[Self_Qty],T_SelfStock_Log[Part Name],$A43,T_SelfStock_Log[WeekIndex],92))</f>
        <v/>
      </c>
      <c r="CP43" s="18">
        <f>IF(COUNTIFS(T_SelfStock_Log[Part Name],$A43,T_SelfStock_Log[WeekIndex],93)=0,"",SUMIFS(T_SelfStock_Log[Self_Qty],T_SelfStock_Log[Part Name],$A43,T_SelfStock_Log[WeekIndex],93))</f>
        <v/>
      </c>
      <c r="CQ43" s="18">
        <f>IF(COUNTIFS(T_SelfStock_Log[Part Name],$A43,T_SelfStock_Log[WeekIndex],94)=0,"",SUMIFS(T_SelfStock_Log[Self_Qty],T_SelfStock_Log[Part Name],$A43,T_SelfStock_Log[WeekIndex],94))</f>
        <v/>
      </c>
      <c r="CR43" s="18">
        <f>IF(COUNTIFS(T_SelfStock_Log[Part Name],$A43,T_SelfStock_Log[WeekIndex],95)=0,"",SUMIFS(T_SelfStock_Log[Self_Qty],T_SelfStock_Log[Part Name],$A43,T_SelfStock_Log[WeekIndex],95))</f>
        <v/>
      </c>
      <c r="CS43" s="18">
        <f>IF(COUNTIFS(T_SelfStock_Log[Part Name],$A43,T_SelfStock_Log[WeekIndex],96)=0,"",SUMIFS(T_SelfStock_Log[Self_Qty],T_SelfStock_Log[Part Name],$A43,T_SelfStock_Log[WeekIndex],96))</f>
        <v/>
      </c>
      <c r="CT43" s="18">
        <f>IF(COUNTIFS(T_SelfStock_Log[Part Name],$A43,T_SelfStock_Log[WeekIndex],97)=0,"",SUMIFS(T_SelfStock_Log[Self_Qty],T_SelfStock_Log[Part Name],$A43,T_SelfStock_Log[WeekIndex],97))</f>
        <v/>
      </c>
      <c r="CU43" s="18">
        <f>IF(COUNTIFS(T_SelfStock_Log[Part Name],$A43,T_SelfStock_Log[WeekIndex],98)=0,"",SUMIFS(T_SelfStock_Log[Self_Qty],T_SelfStock_Log[Part Name],$A43,T_SelfStock_Log[WeekIndex],98))</f>
        <v/>
      </c>
      <c r="CV43" s="18">
        <f>IF(COUNTIFS(T_SelfStock_Log[Part Name],$A43,T_SelfStock_Log[WeekIndex],99)=0,"",SUMIFS(T_SelfStock_Log[Self_Qty],T_SelfStock_Log[Part Name],$A43,T_SelfStock_Log[WeekIndex],99))</f>
        <v/>
      </c>
      <c r="CW43" s="18">
        <f>IF(COUNTIFS(T_SelfStock_Log[Part Name],$A43,T_SelfStock_Log[WeekIndex],100)=0,"",SUMIFS(T_SelfStock_Log[Self_Qty],T_SelfStock_Log[Part Name],$A43,T_SelfStock_Log[WeekIndex],100))</f>
        <v/>
      </c>
      <c r="CX43" s="18">
        <f>IF(COUNTIFS(T_SelfStock_Log[Part Name],$A43,T_SelfStock_Log[WeekIndex],101)=0,"",SUMIFS(T_SelfStock_Log[Self_Qty],T_SelfStock_Log[Part Name],$A43,T_SelfStock_Log[WeekIndex],101))</f>
        <v/>
      </c>
      <c r="CY43" s="18">
        <f>IF(COUNTIFS(T_SelfStock_Log[Part Name],$A43,T_SelfStock_Log[WeekIndex],102)=0,"",SUMIFS(T_SelfStock_Log[Self_Qty],T_SelfStock_Log[Part Name],$A43,T_SelfStock_Log[WeekIndex],102))</f>
        <v/>
      </c>
      <c r="CZ43" s="18">
        <f>IF(COUNTIFS(T_SelfStock_Log[Part Name],$A43,T_SelfStock_Log[WeekIndex],103)=0,"",SUMIFS(T_SelfStock_Log[Self_Qty],T_SelfStock_Log[Part Name],$A43,T_SelfStock_Log[WeekIndex],103))</f>
        <v/>
      </c>
      <c r="DA43" s="18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5SN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8" t="inlineStr">
        <is>
          <t>1JN</t>
        </is>
      </c>
      <c r="B45" s="18">
        <f>IF(COUNTIFS(T_SelfStock_Log[Part Name],$A45,T_SelfStock_Log[WeekIndex],1)=0,"",SUMIFS(T_SelfStock_Log[Self_Qty],T_SelfStock_Log[Part Name],$A45,T_SelfStock_Log[WeekIndex],1))</f>
        <v/>
      </c>
      <c r="C45" s="18">
        <f>IF(COUNTIFS(T_SelfStock_Log[Part Name],$A45,T_SelfStock_Log[WeekIndex],2)=0,"",SUMIFS(T_SelfStock_Log[Self_Qty],T_SelfStock_Log[Part Name],$A45,T_SelfStock_Log[WeekIndex],2))</f>
        <v/>
      </c>
      <c r="D45" s="18">
        <f>IF(COUNTIFS(T_SelfStock_Log[Part Name],$A45,T_SelfStock_Log[WeekIndex],3)=0,"",SUMIFS(T_SelfStock_Log[Self_Qty],T_SelfStock_Log[Part Name],$A45,T_SelfStock_Log[WeekIndex],3))</f>
        <v/>
      </c>
      <c r="E45" s="18">
        <f>IF(COUNTIFS(T_SelfStock_Log[Part Name],$A45,T_SelfStock_Log[WeekIndex],4)=0,"",SUMIFS(T_SelfStock_Log[Self_Qty],T_SelfStock_Log[Part Name],$A45,T_SelfStock_Log[WeekIndex],4))</f>
        <v/>
      </c>
      <c r="F45" s="18">
        <f>IF(COUNTIFS(T_SelfStock_Log[Part Name],$A45,T_SelfStock_Log[WeekIndex],5)=0,"",SUMIFS(T_SelfStock_Log[Self_Qty],T_SelfStock_Log[Part Name],$A45,T_SelfStock_Log[WeekIndex],5))</f>
        <v/>
      </c>
      <c r="G45" s="18">
        <f>IF(COUNTIFS(T_SelfStock_Log[Part Name],$A45,T_SelfStock_Log[WeekIndex],6)=0,"",SUMIFS(T_SelfStock_Log[Self_Qty],T_SelfStock_Log[Part Name],$A45,T_SelfStock_Log[WeekIndex],6))</f>
        <v/>
      </c>
      <c r="H45" s="18">
        <f>IF(COUNTIFS(T_SelfStock_Log[Part Name],$A45,T_SelfStock_Log[WeekIndex],7)=0,"",SUMIFS(T_SelfStock_Log[Self_Qty],T_SelfStock_Log[Part Name],$A45,T_SelfStock_Log[WeekIndex],7))</f>
        <v/>
      </c>
      <c r="I45" s="18">
        <f>IF(COUNTIFS(T_SelfStock_Log[Part Name],$A45,T_SelfStock_Log[WeekIndex],8)=0,"",SUMIFS(T_SelfStock_Log[Self_Qty],T_SelfStock_Log[Part Name],$A45,T_SelfStock_Log[WeekIndex],8))</f>
        <v/>
      </c>
      <c r="J45" s="18">
        <f>IF(COUNTIFS(T_SelfStock_Log[Part Name],$A45,T_SelfStock_Log[WeekIndex],9)=0,"",SUMIFS(T_SelfStock_Log[Self_Qty],T_SelfStock_Log[Part Name],$A45,T_SelfStock_Log[WeekIndex],9))</f>
        <v/>
      </c>
      <c r="K45" s="18">
        <f>IF(COUNTIFS(T_SelfStock_Log[Part Name],$A45,T_SelfStock_Log[WeekIndex],10)=0,"",SUMIFS(T_SelfStock_Log[Self_Qty],T_SelfStock_Log[Part Name],$A45,T_SelfStock_Log[WeekIndex],10))</f>
        <v/>
      </c>
      <c r="L45" s="18">
        <f>IF(COUNTIFS(T_SelfStock_Log[Part Name],$A45,T_SelfStock_Log[WeekIndex],11)=0,"",SUMIFS(T_SelfStock_Log[Self_Qty],T_SelfStock_Log[Part Name],$A45,T_SelfStock_Log[WeekIndex],11))</f>
        <v/>
      </c>
      <c r="M45" s="18">
        <f>IF(COUNTIFS(T_SelfStock_Log[Part Name],$A45,T_SelfStock_Log[WeekIndex],12)=0,"",SUMIFS(T_SelfStock_Log[Self_Qty],T_SelfStock_Log[Part Name],$A45,T_SelfStock_Log[WeekIndex],12))</f>
        <v/>
      </c>
      <c r="N45" s="18">
        <f>IF(COUNTIFS(T_SelfStock_Log[Part Name],$A45,T_SelfStock_Log[WeekIndex],13)=0,"",SUMIFS(T_SelfStock_Log[Self_Qty],T_SelfStock_Log[Part Name],$A45,T_SelfStock_Log[WeekIndex],13))</f>
        <v/>
      </c>
      <c r="O45" s="18">
        <f>IF(COUNTIFS(T_SelfStock_Log[Part Name],$A45,T_SelfStock_Log[WeekIndex],14)=0,"",SUMIFS(T_SelfStock_Log[Self_Qty],T_SelfStock_Log[Part Name],$A45,T_SelfStock_Log[WeekIndex],14))</f>
        <v/>
      </c>
      <c r="P45" s="18">
        <f>IF(COUNTIFS(T_SelfStock_Log[Part Name],$A45,T_SelfStock_Log[WeekIndex],15)=0,"",SUMIFS(T_SelfStock_Log[Self_Qty],T_SelfStock_Log[Part Name],$A45,T_SelfStock_Log[WeekIndex],15))</f>
        <v/>
      </c>
      <c r="Q45" s="18">
        <f>IF(COUNTIFS(T_SelfStock_Log[Part Name],$A45,T_SelfStock_Log[WeekIndex],16)=0,"",SUMIFS(T_SelfStock_Log[Self_Qty],T_SelfStock_Log[Part Name],$A45,T_SelfStock_Log[WeekIndex],16))</f>
        <v/>
      </c>
      <c r="R45" s="18">
        <f>IF(COUNTIFS(T_SelfStock_Log[Part Name],$A45,T_SelfStock_Log[WeekIndex],17)=0,"",SUMIFS(T_SelfStock_Log[Self_Qty],T_SelfStock_Log[Part Name],$A45,T_SelfStock_Log[WeekIndex],17))</f>
        <v/>
      </c>
      <c r="S45" s="18">
        <f>IF(COUNTIFS(T_SelfStock_Log[Part Name],$A45,T_SelfStock_Log[WeekIndex],18)=0,"",SUMIFS(T_SelfStock_Log[Self_Qty],T_SelfStock_Log[Part Name],$A45,T_SelfStock_Log[WeekIndex],18))</f>
        <v/>
      </c>
      <c r="T45" s="18">
        <f>IF(COUNTIFS(T_SelfStock_Log[Part Name],$A45,T_SelfStock_Log[WeekIndex],19)=0,"",SUMIFS(T_SelfStock_Log[Self_Qty],T_SelfStock_Log[Part Name],$A45,T_SelfStock_Log[WeekIndex],19))</f>
        <v/>
      </c>
      <c r="U45" s="18">
        <f>IF(COUNTIFS(T_SelfStock_Log[Part Name],$A45,T_SelfStock_Log[WeekIndex],20)=0,"",SUMIFS(T_SelfStock_Log[Self_Qty],T_SelfStock_Log[Part Name],$A45,T_SelfStock_Log[WeekIndex],20))</f>
        <v/>
      </c>
      <c r="V45" s="18">
        <f>IF(COUNTIFS(T_SelfStock_Log[Part Name],$A45,T_SelfStock_Log[WeekIndex],21)=0,"",SUMIFS(T_SelfStock_Log[Self_Qty],T_SelfStock_Log[Part Name],$A45,T_SelfStock_Log[WeekIndex],21))</f>
        <v/>
      </c>
      <c r="W45" s="18">
        <f>IF(COUNTIFS(T_SelfStock_Log[Part Name],$A45,T_SelfStock_Log[WeekIndex],22)=0,"",SUMIFS(T_SelfStock_Log[Self_Qty],T_SelfStock_Log[Part Name],$A45,T_SelfStock_Log[WeekIndex],22))</f>
        <v/>
      </c>
      <c r="X45" s="18">
        <f>IF(COUNTIFS(T_SelfStock_Log[Part Name],$A45,T_SelfStock_Log[WeekIndex],23)=0,"",SUMIFS(T_SelfStock_Log[Self_Qty],T_SelfStock_Log[Part Name],$A45,T_SelfStock_Log[WeekIndex],23))</f>
        <v/>
      </c>
      <c r="Y45" s="18">
        <f>IF(COUNTIFS(T_SelfStock_Log[Part Name],$A45,T_SelfStock_Log[WeekIndex],24)=0,"",SUMIFS(T_SelfStock_Log[Self_Qty],T_SelfStock_Log[Part Name],$A45,T_SelfStock_Log[WeekIndex],24))</f>
        <v/>
      </c>
      <c r="Z45" s="18">
        <f>IF(COUNTIFS(T_SelfStock_Log[Part Name],$A45,T_SelfStock_Log[WeekIndex],25)=0,"",SUMIFS(T_SelfStock_Log[Self_Qty],T_SelfStock_Log[Part Name],$A45,T_SelfStock_Log[WeekIndex],25))</f>
        <v/>
      </c>
      <c r="AA45" s="18">
        <f>IF(COUNTIFS(T_SelfStock_Log[Part Name],$A45,T_SelfStock_Log[WeekIndex],26)=0,"",SUMIFS(T_SelfStock_Log[Self_Qty],T_SelfStock_Log[Part Name],$A45,T_SelfStock_Log[WeekIndex],26))</f>
        <v/>
      </c>
      <c r="AB45" s="18">
        <f>IF(COUNTIFS(T_SelfStock_Log[Part Name],$A45,T_SelfStock_Log[WeekIndex],27)=0,"",SUMIFS(T_SelfStock_Log[Self_Qty],T_SelfStock_Log[Part Name],$A45,T_SelfStock_Log[WeekIndex],27))</f>
        <v/>
      </c>
      <c r="AC45" s="18">
        <f>IF(COUNTIFS(T_SelfStock_Log[Part Name],$A45,T_SelfStock_Log[WeekIndex],28)=0,"",SUMIFS(T_SelfStock_Log[Self_Qty],T_SelfStock_Log[Part Name],$A45,T_SelfStock_Log[WeekIndex],28))</f>
        <v/>
      </c>
      <c r="AD45" s="18">
        <f>IF(COUNTIFS(T_SelfStock_Log[Part Name],$A45,T_SelfStock_Log[WeekIndex],29)=0,"",SUMIFS(T_SelfStock_Log[Self_Qty],T_SelfStock_Log[Part Name],$A45,T_SelfStock_Log[WeekIndex],29))</f>
        <v/>
      </c>
      <c r="AE45" s="18">
        <f>IF(COUNTIFS(T_SelfStock_Log[Part Name],$A45,T_SelfStock_Log[WeekIndex],30)=0,"",SUMIFS(T_SelfStock_Log[Self_Qty],T_SelfStock_Log[Part Name],$A45,T_SelfStock_Log[WeekIndex],30))</f>
        <v/>
      </c>
      <c r="AF45" s="18">
        <f>IF(COUNTIFS(T_SelfStock_Log[Part Name],$A45,T_SelfStock_Log[WeekIndex],31)=0,"",SUMIFS(T_SelfStock_Log[Self_Qty],T_SelfStock_Log[Part Name],$A45,T_SelfStock_Log[WeekIndex],31))</f>
        <v/>
      </c>
      <c r="AG45" s="18">
        <f>IF(COUNTIFS(T_SelfStock_Log[Part Name],$A45,T_SelfStock_Log[WeekIndex],32)=0,"",SUMIFS(T_SelfStock_Log[Self_Qty],T_SelfStock_Log[Part Name],$A45,T_SelfStock_Log[WeekIndex],32))</f>
        <v/>
      </c>
      <c r="AH45" s="18">
        <f>IF(COUNTIFS(T_SelfStock_Log[Part Name],$A45,T_SelfStock_Log[WeekIndex],33)=0,"",SUMIFS(T_SelfStock_Log[Self_Qty],T_SelfStock_Log[Part Name],$A45,T_SelfStock_Log[WeekIndex],33))</f>
        <v/>
      </c>
      <c r="AI45" s="18">
        <f>IF(COUNTIFS(T_SelfStock_Log[Part Name],$A45,T_SelfStock_Log[WeekIndex],34)=0,"",SUMIFS(T_SelfStock_Log[Self_Qty],T_SelfStock_Log[Part Name],$A45,T_SelfStock_Log[WeekIndex],34))</f>
        <v/>
      </c>
      <c r="AJ45" s="18">
        <f>IF(COUNTIFS(T_SelfStock_Log[Part Name],$A45,T_SelfStock_Log[WeekIndex],35)=0,"",SUMIFS(T_SelfStock_Log[Self_Qty],T_SelfStock_Log[Part Name],$A45,T_SelfStock_Log[WeekIndex],35))</f>
        <v/>
      </c>
      <c r="AK45" s="18">
        <f>IF(COUNTIFS(T_SelfStock_Log[Part Name],$A45,T_SelfStock_Log[WeekIndex],36)=0,"",SUMIFS(T_SelfStock_Log[Self_Qty],T_SelfStock_Log[Part Name],$A45,T_SelfStock_Log[WeekIndex],36))</f>
        <v/>
      </c>
      <c r="AL45" s="18">
        <f>IF(COUNTIFS(T_SelfStock_Log[Part Name],$A45,T_SelfStock_Log[WeekIndex],37)=0,"",SUMIFS(T_SelfStock_Log[Self_Qty],T_SelfStock_Log[Part Name],$A45,T_SelfStock_Log[WeekIndex],37))</f>
        <v/>
      </c>
      <c r="AM45" s="18">
        <f>IF(COUNTIFS(T_SelfStock_Log[Part Name],$A45,T_SelfStock_Log[WeekIndex],38)=0,"",SUMIFS(T_SelfStock_Log[Self_Qty],T_SelfStock_Log[Part Name],$A45,T_SelfStock_Log[WeekIndex],38))</f>
        <v/>
      </c>
      <c r="AN45" s="18">
        <f>IF(COUNTIFS(T_SelfStock_Log[Part Name],$A45,T_SelfStock_Log[WeekIndex],39)=0,"",SUMIFS(T_SelfStock_Log[Self_Qty],T_SelfStock_Log[Part Name],$A45,T_SelfStock_Log[WeekIndex],39))</f>
        <v/>
      </c>
      <c r="AO45" s="18">
        <f>IF(COUNTIFS(T_SelfStock_Log[Part Name],$A45,T_SelfStock_Log[WeekIndex],40)=0,"",SUMIFS(T_SelfStock_Log[Self_Qty],T_SelfStock_Log[Part Name],$A45,T_SelfStock_Log[WeekIndex],40))</f>
        <v/>
      </c>
      <c r="AP45" s="18">
        <f>IF(COUNTIFS(T_SelfStock_Log[Part Name],$A45,T_SelfStock_Log[WeekIndex],41)=0,"",SUMIFS(T_SelfStock_Log[Self_Qty],T_SelfStock_Log[Part Name],$A45,T_SelfStock_Log[WeekIndex],41))</f>
        <v/>
      </c>
      <c r="AQ45" s="18">
        <f>IF(COUNTIFS(T_SelfStock_Log[Part Name],$A45,T_SelfStock_Log[WeekIndex],42)=0,"",SUMIFS(T_SelfStock_Log[Self_Qty],T_SelfStock_Log[Part Name],$A45,T_SelfStock_Log[WeekIndex],42))</f>
        <v/>
      </c>
      <c r="AR45" s="18">
        <f>IF(COUNTIFS(T_SelfStock_Log[Part Name],$A45,T_SelfStock_Log[WeekIndex],43)=0,"",SUMIFS(T_SelfStock_Log[Self_Qty],T_SelfStock_Log[Part Name],$A45,T_SelfStock_Log[WeekIndex],43))</f>
        <v/>
      </c>
      <c r="AS45" s="18">
        <f>IF(COUNTIFS(T_SelfStock_Log[Part Name],$A45,T_SelfStock_Log[WeekIndex],44)=0,"",SUMIFS(T_SelfStock_Log[Self_Qty],T_SelfStock_Log[Part Name],$A45,T_SelfStock_Log[WeekIndex],44))</f>
        <v/>
      </c>
      <c r="AT45" s="18">
        <f>IF(COUNTIFS(T_SelfStock_Log[Part Name],$A45,T_SelfStock_Log[WeekIndex],45)=0,"",SUMIFS(T_SelfStock_Log[Self_Qty],T_SelfStock_Log[Part Name],$A45,T_SelfStock_Log[WeekIndex],45))</f>
        <v/>
      </c>
      <c r="AU45" s="18">
        <f>IF(COUNTIFS(T_SelfStock_Log[Part Name],$A45,T_SelfStock_Log[WeekIndex],46)=0,"",SUMIFS(T_SelfStock_Log[Self_Qty],T_SelfStock_Log[Part Name],$A45,T_SelfStock_Log[WeekIndex],46))</f>
        <v/>
      </c>
      <c r="AV45" s="18">
        <f>IF(COUNTIFS(T_SelfStock_Log[Part Name],$A45,T_SelfStock_Log[WeekIndex],47)=0,"",SUMIFS(T_SelfStock_Log[Self_Qty],T_SelfStock_Log[Part Name],$A45,T_SelfStock_Log[WeekIndex],47))</f>
        <v/>
      </c>
      <c r="AW45" s="18">
        <f>IF(COUNTIFS(T_SelfStock_Log[Part Name],$A45,T_SelfStock_Log[WeekIndex],48)=0,"",SUMIFS(T_SelfStock_Log[Self_Qty],T_SelfStock_Log[Part Name],$A45,T_SelfStock_Log[WeekIndex],48))</f>
        <v/>
      </c>
      <c r="AX45" s="18">
        <f>IF(COUNTIFS(T_SelfStock_Log[Part Name],$A45,T_SelfStock_Log[WeekIndex],49)=0,"",SUMIFS(T_SelfStock_Log[Self_Qty],T_SelfStock_Log[Part Name],$A45,T_SelfStock_Log[WeekIndex],49))</f>
        <v/>
      </c>
      <c r="AY45" s="18">
        <f>IF(COUNTIFS(T_SelfStock_Log[Part Name],$A45,T_SelfStock_Log[WeekIndex],50)=0,"",SUMIFS(T_SelfStock_Log[Self_Qty],T_SelfStock_Log[Part Name],$A45,T_SelfStock_Log[WeekIndex],50))</f>
        <v/>
      </c>
      <c r="AZ45" s="18">
        <f>IF(COUNTIFS(T_SelfStock_Log[Part Name],$A45,T_SelfStock_Log[WeekIndex],51)=0,"",SUMIFS(T_SelfStock_Log[Self_Qty],T_SelfStock_Log[Part Name],$A45,T_SelfStock_Log[WeekIndex],51))</f>
        <v/>
      </c>
      <c r="BA45" s="18">
        <f>IF(COUNTIFS(T_SelfStock_Log[Part Name],$A45,T_SelfStock_Log[WeekIndex],52)=0,"",SUMIFS(T_SelfStock_Log[Self_Qty],T_SelfStock_Log[Part Name],$A45,T_SelfStock_Log[WeekIndex],52))</f>
        <v/>
      </c>
      <c r="BB45" s="18">
        <f>IF(COUNTIFS(T_SelfStock_Log[Part Name],$A45,T_SelfStock_Log[WeekIndex],53)=0,"",SUMIFS(T_SelfStock_Log[Self_Qty],T_SelfStock_Log[Part Name],$A45,T_SelfStock_Log[WeekIndex],53))</f>
        <v/>
      </c>
      <c r="BC45" s="18">
        <f>IF(COUNTIFS(T_SelfStock_Log[Part Name],$A45,T_SelfStock_Log[WeekIndex],54)=0,"",SUMIFS(T_SelfStock_Log[Self_Qty],T_SelfStock_Log[Part Name],$A45,T_SelfStock_Log[WeekIndex],54))</f>
        <v/>
      </c>
      <c r="BD45" s="18">
        <f>IF(COUNTIFS(T_SelfStock_Log[Part Name],$A45,T_SelfStock_Log[WeekIndex],55)=0,"",SUMIFS(T_SelfStock_Log[Self_Qty],T_SelfStock_Log[Part Name],$A45,T_SelfStock_Log[WeekIndex],55))</f>
        <v/>
      </c>
      <c r="BE45" s="18">
        <f>IF(COUNTIFS(T_SelfStock_Log[Part Name],$A45,T_SelfStock_Log[WeekIndex],56)=0,"",SUMIFS(T_SelfStock_Log[Self_Qty],T_SelfStock_Log[Part Name],$A45,T_SelfStock_Log[WeekIndex],56))</f>
        <v/>
      </c>
      <c r="BF45" s="18">
        <f>IF(COUNTIFS(T_SelfStock_Log[Part Name],$A45,T_SelfStock_Log[WeekIndex],57)=0,"",SUMIFS(T_SelfStock_Log[Self_Qty],T_SelfStock_Log[Part Name],$A45,T_SelfStock_Log[WeekIndex],57))</f>
        <v/>
      </c>
      <c r="BG45" s="18">
        <f>IF(COUNTIFS(T_SelfStock_Log[Part Name],$A45,T_SelfStock_Log[WeekIndex],58)=0,"",SUMIFS(T_SelfStock_Log[Self_Qty],T_SelfStock_Log[Part Name],$A45,T_SelfStock_Log[WeekIndex],58))</f>
        <v/>
      </c>
      <c r="BH45" s="18">
        <f>IF(COUNTIFS(T_SelfStock_Log[Part Name],$A45,T_SelfStock_Log[WeekIndex],59)=0,"",SUMIFS(T_SelfStock_Log[Self_Qty],T_SelfStock_Log[Part Name],$A45,T_SelfStock_Log[WeekIndex],59))</f>
        <v/>
      </c>
      <c r="BI45" s="18">
        <f>IF(COUNTIFS(T_SelfStock_Log[Part Name],$A45,T_SelfStock_Log[WeekIndex],60)=0,"",SUMIFS(T_SelfStock_Log[Self_Qty],T_SelfStock_Log[Part Name],$A45,T_SelfStock_Log[WeekIndex],60))</f>
        <v/>
      </c>
      <c r="BJ45" s="18">
        <f>IF(COUNTIFS(T_SelfStock_Log[Part Name],$A45,T_SelfStock_Log[WeekIndex],61)=0,"",SUMIFS(T_SelfStock_Log[Self_Qty],T_SelfStock_Log[Part Name],$A45,T_SelfStock_Log[WeekIndex],61))</f>
        <v/>
      </c>
      <c r="BK45" s="18">
        <f>IF(COUNTIFS(T_SelfStock_Log[Part Name],$A45,T_SelfStock_Log[WeekIndex],62)=0,"",SUMIFS(T_SelfStock_Log[Self_Qty],T_SelfStock_Log[Part Name],$A45,T_SelfStock_Log[WeekIndex],62))</f>
        <v/>
      </c>
      <c r="BL45" s="18">
        <f>IF(COUNTIFS(T_SelfStock_Log[Part Name],$A45,T_SelfStock_Log[WeekIndex],63)=0,"",SUMIFS(T_SelfStock_Log[Self_Qty],T_SelfStock_Log[Part Name],$A45,T_SelfStock_Log[WeekIndex],63))</f>
        <v/>
      </c>
      <c r="BM45" s="18">
        <f>IF(COUNTIFS(T_SelfStock_Log[Part Name],$A45,T_SelfStock_Log[WeekIndex],64)=0,"",SUMIFS(T_SelfStock_Log[Self_Qty],T_SelfStock_Log[Part Name],$A45,T_SelfStock_Log[WeekIndex],64))</f>
        <v/>
      </c>
      <c r="BN45" s="18">
        <f>IF(COUNTIFS(T_SelfStock_Log[Part Name],$A45,T_SelfStock_Log[WeekIndex],65)=0,"",SUMIFS(T_SelfStock_Log[Self_Qty],T_SelfStock_Log[Part Name],$A45,T_SelfStock_Log[WeekIndex],65))</f>
        <v/>
      </c>
      <c r="BO45" s="18">
        <f>IF(COUNTIFS(T_SelfStock_Log[Part Name],$A45,T_SelfStock_Log[WeekIndex],66)=0,"",SUMIFS(T_SelfStock_Log[Self_Qty],T_SelfStock_Log[Part Name],$A45,T_SelfStock_Log[WeekIndex],66))</f>
        <v/>
      </c>
      <c r="BP45" s="18">
        <f>IF(COUNTIFS(T_SelfStock_Log[Part Name],$A45,T_SelfStock_Log[WeekIndex],67)=0,"",SUMIFS(T_SelfStock_Log[Self_Qty],T_SelfStock_Log[Part Name],$A45,T_SelfStock_Log[WeekIndex],67))</f>
        <v/>
      </c>
      <c r="BQ45" s="18">
        <f>IF(COUNTIFS(T_SelfStock_Log[Part Name],$A45,T_SelfStock_Log[WeekIndex],68)=0,"",SUMIFS(T_SelfStock_Log[Self_Qty],T_SelfStock_Log[Part Name],$A45,T_SelfStock_Log[WeekIndex],68))</f>
        <v/>
      </c>
      <c r="BR45" s="18">
        <f>IF(COUNTIFS(T_SelfStock_Log[Part Name],$A45,T_SelfStock_Log[WeekIndex],69)=0,"",SUMIFS(T_SelfStock_Log[Self_Qty],T_SelfStock_Log[Part Name],$A45,T_SelfStock_Log[WeekIndex],69))</f>
        <v/>
      </c>
      <c r="BS45" s="18">
        <f>IF(COUNTIFS(T_SelfStock_Log[Part Name],$A45,T_SelfStock_Log[WeekIndex],70)=0,"",SUMIFS(T_SelfStock_Log[Self_Qty],T_SelfStock_Log[Part Name],$A45,T_SelfStock_Log[WeekIndex],70))</f>
        <v/>
      </c>
      <c r="BT45" s="18">
        <f>IF(COUNTIFS(T_SelfStock_Log[Part Name],$A45,T_SelfStock_Log[WeekIndex],71)=0,"",SUMIFS(T_SelfStock_Log[Self_Qty],T_SelfStock_Log[Part Name],$A45,T_SelfStock_Log[WeekIndex],71))</f>
        <v/>
      </c>
      <c r="BU45" s="18">
        <f>IF(COUNTIFS(T_SelfStock_Log[Part Name],$A45,T_SelfStock_Log[WeekIndex],72)=0,"",SUMIFS(T_SelfStock_Log[Self_Qty],T_SelfStock_Log[Part Name],$A45,T_SelfStock_Log[WeekIndex],72))</f>
        <v/>
      </c>
      <c r="BV45" s="18">
        <f>IF(COUNTIFS(T_SelfStock_Log[Part Name],$A45,T_SelfStock_Log[WeekIndex],73)=0,"",SUMIFS(T_SelfStock_Log[Self_Qty],T_SelfStock_Log[Part Name],$A45,T_SelfStock_Log[WeekIndex],73))</f>
        <v/>
      </c>
      <c r="BW45" s="18">
        <f>IF(COUNTIFS(T_SelfStock_Log[Part Name],$A45,T_SelfStock_Log[WeekIndex],74)=0,"",SUMIFS(T_SelfStock_Log[Self_Qty],T_SelfStock_Log[Part Name],$A45,T_SelfStock_Log[WeekIndex],74))</f>
        <v/>
      </c>
      <c r="BX45" s="18">
        <f>IF(COUNTIFS(T_SelfStock_Log[Part Name],$A45,T_SelfStock_Log[WeekIndex],75)=0,"",SUMIFS(T_SelfStock_Log[Self_Qty],T_SelfStock_Log[Part Name],$A45,T_SelfStock_Log[WeekIndex],75))</f>
        <v/>
      </c>
      <c r="BY45" s="18">
        <f>IF(COUNTIFS(T_SelfStock_Log[Part Name],$A45,T_SelfStock_Log[WeekIndex],76)=0,"",SUMIFS(T_SelfStock_Log[Self_Qty],T_SelfStock_Log[Part Name],$A45,T_SelfStock_Log[WeekIndex],76))</f>
        <v/>
      </c>
      <c r="BZ45" s="18">
        <f>IF(COUNTIFS(T_SelfStock_Log[Part Name],$A45,T_SelfStock_Log[WeekIndex],77)=0,"",SUMIFS(T_SelfStock_Log[Self_Qty],T_SelfStock_Log[Part Name],$A45,T_SelfStock_Log[WeekIndex],77))</f>
        <v/>
      </c>
      <c r="CA45" s="18">
        <f>IF(COUNTIFS(T_SelfStock_Log[Part Name],$A45,T_SelfStock_Log[WeekIndex],78)=0,"",SUMIFS(T_SelfStock_Log[Self_Qty],T_SelfStock_Log[Part Name],$A45,T_SelfStock_Log[WeekIndex],78))</f>
        <v/>
      </c>
      <c r="CB45" s="18">
        <f>IF(COUNTIFS(T_SelfStock_Log[Part Name],$A45,T_SelfStock_Log[WeekIndex],79)=0,"",SUMIFS(T_SelfStock_Log[Self_Qty],T_SelfStock_Log[Part Name],$A45,T_SelfStock_Log[WeekIndex],79))</f>
        <v/>
      </c>
      <c r="CC45" s="18">
        <f>IF(COUNTIFS(T_SelfStock_Log[Part Name],$A45,T_SelfStock_Log[WeekIndex],80)=0,"",SUMIFS(T_SelfStock_Log[Self_Qty],T_SelfStock_Log[Part Name],$A45,T_SelfStock_Log[WeekIndex],80))</f>
        <v/>
      </c>
      <c r="CD45" s="18">
        <f>IF(COUNTIFS(T_SelfStock_Log[Part Name],$A45,T_SelfStock_Log[WeekIndex],81)=0,"",SUMIFS(T_SelfStock_Log[Self_Qty],T_SelfStock_Log[Part Name],$A45,T_SelfStock_Log[WeekIndex],81))</f>
        <v/>
      </c>
      <c r="CE45" s="18">
        <f>IF(COUNTIFS(T_SelfStock_Log[Part Name],$A45,T_SelfStock_Log[WeekIndex],82)=0,"",SUMIFS(T_SelfStock_Log[Self_Qty],T_SelfStock_Log[Part Name],$A45,T_SelfStock_Log[WeekIndex],82))</f>
        <v/>
      </c>
      <c r="CF45" s="18">
        <f>IF(COUNTIFS(T_SelfStock_Log[Part Name],$A45,T_SelfStock_Log[WeekIndex],83)=0,"",SUMIFS(T_SelfStock_Log[Self_Qty],T_SelfStock_Log[Part Name],$A45,T_SelfStock_Log[WeekIndex],83))</f>
        <v/>
      </c>
      <c r="CG45" s="18">
        <f>IF(COUNTIFS(T_SelfStock_Log[Part Name],$A45,T_SelfStock_Log[WeekIndex],84)=0,"",SUMIFS(T_SelfStock_Log[Self_Qty],T_SelfStock_Log[Part Name],$A45,T_SelfStock_Log[WeekIndex],84))</f>
        <v/>
      </c>
      <c r="CH45" s="18">
        <f>IF(COUNTIFS(T_SelfStock_Log[Part Name],$A45,T_SelfStock_Log[WeekIndex],85)=0,"",SUMIFS(T_SelfStock_Log[Self_Qty],T_SelfStock_Log[Part Name],$A45,T_SelfStock_Log[WeekIndex],85))</f>
        <v/>
      </c>
      <c r="CI45" s="18">
        <f>IF(COUNTIFS(T_SelfStock_Log[Part Name],$A45,T_SelfStock_Log[WeekIndex],86)=0,"",SUMIFS(T_SelfStock_Log[Self_Qty],T_SelfStock_Log[Part Name],$A45,T_SelfStock_Log[WeekIndex],86))</f>
        <v/>
      </c>
      <c r="CJ45" s="18">
        <f>IF(COUNTIFS(T_SelfStock_Log[Part Name],$A45,T_SelfStock_Log[WeekIndex],87)=0,"",SUMIFS(T_SelfStock_Log[Self_Qty],T_SelfStock_Log[Part Name],$A45,T_SelfStock_Log[WeekIndex],87))</f>
        <v/>
      </c>
      <c r="CK45" s="18">
        <f>IF(COUNTIFS(T_SelfStock_Log[Part Name],$A45,T_SelfStock_Log[WeekIndex],88)=0,"",SUMIFS(T_SelfStock_Log[Self_Qty],T_SelfStock_Log[Part Name],$A45,T_SelfStock_Log[WeekIndex],88))</f>
        <v/>
      </c>
      <c r="CL45" s="18">
        <f>IF(COUNTIFS(T_SelfStock_Log[Part Name],$A45,T_SelfStock_Log[WeekIndex],89)=0,"",SUMIFS(T_SelfStock_Log[Self_Qty],T_SelfStock_Log[Part Name],$A45,T_SelfStock_Log[WeekIndex],89))</f>
        <v/>
      </c>
      <c r="CM45" s="18">
        <f>IF(COUNTIFS(T_SelfStock_Log[Part Name],$A45,T_SelfStock_Log[WeekIndex],90)=0,"",SUMIFS(T_SelfStock_Log[Self_Qty],T_SelfStock_Log[Part Name],$A45,T_SelfStock_Log[WeekIndex],90))</f>
        <v/>
      </c>
      <c r="CN45" s="18">
        <f>IF(COUNTIFS(T_SelfStock_Log[Part Name],$A45,T_SelfStock_Log[WeekIndex],91)=0,"",SUMIFS(T_SelfStock_Log[Self_Qty],T_SelfStock_Log[Part Name],$A45,T_SelfStock_Log[WeekIndex],91))</f>
        <v/>
      </c>
      <c r="CO45" s="18">
        <f>IF(COUNTIFS(T_SelfStock_Log[Part Name],$A45,T_SelfStock_Log[WeekIndex],92)=0,"",SUMIFS(T_SelfStock_Log[Self_Qty],T_SelfStock_Log[Part Name],$A45,T_SelfStock_Log[WeekIndex],92))</f>
        <v/>
      </c>
      <c r="CP45" s="18">
        <f>IF(COUNTIFS(T_SelfStock_Log[Part Name],$A45,T_SelfStock_Log[WeekIndex],93)=0,"",SUMIFS(T_SelfStock_Log[Self_Qty],T_SelfStock_Log[Part Name],$A45,T_SelfStock_Log[WeekIndex],93))</f>
        <v/>
      </c>
      <c r="CQ45" s="18">
        <f>IF(COUNTIFS(T_SelfStock_Log[Part Name],$A45,T_SelfStock_Log[WeekIndex],94)=0,"",SUMIFS(T_SelfStock_Log[Self_Qty],T_SelfStock_Log[Part Name],$A45,T_SelfStock_Log[WeekIndex],94))</f>
        <v/>
      </c>
      <c r="CR45" s="18">
        <f>IF(COUNTIFS(T_SelfStock_Log[Part Name],$A45,T_SelfStock_Log[WeekIndex],95)=0,"",SUMIFS(T_SelfStock_Log[Self_Qty],T_SelfStock_Log[Part Name],$A45,T_SelfStock_Log[WeekIndex],95))</f>
        <v/>
      </c>
      <c r="CS45" s="18">
        <f>IF(COUNTIFS(T_SelfStock_Log[Part Name],$A45,T_SelfStock_Log[WeekIndex],96)=0,"",SUMIFS(T_SelfStock_Log[Self_Qty],T_SelfStock_Log[Part Name],$A45,T_SelfStock_Log[WeekIndex],96))</f>
        <v/>
      </c>
      <c r="CT45" s="18">
        <f>IF(COUNTIFS(T_SelfStock_Log[Part Name],$A45,T_SelfStock_Log[WeekIndex],97)=0,"",SUMIFS(T_SelfStock_Log[Self_Qty],T_SelfStock_Log[Part Name],$A45,T_SelfStock_Log[WeekIndex],97))</f>
        <v/>
      </c>
      <c r="CU45" s="18">
        <f>IF(COUNTIFS(T_SelfStock_Log[Part Name],$A45,T_SelfStock_Log[WeekIndex],98)=0,"",SUMIFS(T_SelfStock_Log[Self_Qty],T_SelfStock_Log[Part Name],$A45,T_SelfStock_Log[WeekIndex],98))</f>
        <v/>
      </c>
      <c r="CV45" s="18">
        <f>IF(COUNTIFS(T_SelfStock_Log[Part Name],$A45,T_SelfStock_Log[WeekIndex],99)=0,"",SUMIFS(T_SelfStock_Log[Self_Qty],T_SelfStock_Log[Part Name],$A45,T_SelfStock_Log[WeekIndex],99))</f>
        <v/>
      </c>
      <c r="CW45" s="18">
        <f>IF(COUNTIFS(T_SelfStock_Log[Part Name],$A45,T_SelfStock_Log[WeekIndex],100)=0,"",SUMIFS(T_SelfStock_Log[Self_Qty],T_SelfStock_Log[Part Name],$A45,T_SelfStock_Log[WeekIndex],100))</f>
        <v/>
      </c>
      <c r="CX45" s="18">
        <f>IF(COUNTIFS(T_SelfStock_Log[Part Name],$A45,T_SelfStock_Log[WeekIndex],101)=0,"",SUMIFS(T_SelfStock_Log[Self_Qty],T_SelfStock_Log[Part Name],$A45,T_SelfStock_Log[WeekIndex],101))</f>
        <v/>
      </c>
      <c r="CY45" s="18">
        <f>IF(COUNTIFS(T_SelfStock_Log[Part Name],$A45,T_SelfStock_Log[WeekIndex],102)=0,"",SUMIFS(T_SelfStock_Log[Self_Qty],T_SelfStock_Log[Part Name],$A45,T_SelfStock_Log[WeekIndex],102))</f>
        <v/>
      </c>
      <c r="CZ45" s="18">
        <f>IF(COUNTIFS(T_SelfStock_Log[Part Name],$A45,T_SelfStock_Log[WeekIndex],103)=0,"",SUMIFS(T_SelfStock_Log[Self_Qty],T_SelfStock_Log[Part Name],$A45,T_SelfStock_Log[WeekIndex],103))</f>
        <v/>
      </c>
      <c r="DA45" s="18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V03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8" t="inlineStr">
        <is>
          <t>V19</t>
        </is>
      </c>
      <c r="B47" s="18">
        <f>IF(COUNTIFS(T_SelfStock_Log[Part Name],$A47,T_SelfStock_Log[WeekIndex],1)=0,"",SUMIFS(T_SelfStock_Log[Self_Qty],T_SelfStock_Log[Part Name],$A47,T_SelfStock_Log[WeekIndex],1))</f>
        <v/>
      </c>
      <c r="C47" s="18">
        <f>IF(COUNTIFS(T_SelfStock_Log[Part Name],$A47,T_SelfStock_Log[WeekIndex],2)=0,"",SUMIFS(T_SelfStock_Log[Self_Qty],T_SelfStock_Log[Part Name],$A47,T_SelfStock_Log[WeekIndex],2))</f>
        <v/>
      </c>
      <c r="D47" s="18">
        <f>IF(COUNTIFS(T_SelfStock_Log[Part Name],$A47,T_SelfStock_Log[WeekIndex],3)=0,"",SUMIFS(T_SelfStock_Log[Self_Qty],T_SelfStock_Log[Part Name],$A47,T_SelfStock_Log[WeekIndex],3))</f>
        <v/>
      </c>
      <c r="E47" s="18">
        <f>IF(COUNTIFS(T_SelfStock_Log[Part Name],$A47,T_SelfStock_Log[WeekIndex],4)=0,"",SUMIFS(T_SelfStock_Log[Self_Qty],T_SelfStock_Log[Part Name],$A47,T_SelfStock_Log[WeekIndex],4))</f>
        <v/>
      </c>
      <c r="F47" s="18">
        <f>IF(COUNTIFS(T_SelfStock_Log[Part Name],$A47,T_SelfStock_Log[WeekIndex],5)=0,"",SUMIFS(T_SelfStock_Log[Self_Qty],T_SelfStock_Log[Part Name],$A47,T_SelfStock_Log[WeekIndex],5))</f>
        <v/>
      </c>
      <c r="G47" s="18">
        <f>IF(COUNTIFS(T_SelfStock_Log[Part Name],$A47,T_SelfStock_Log[WeekIndex],6)=0,"",SUMIFS(T_SelfStock_Log[Self_Qty],T_SelfStock_Log[Part Name],$A47,T_SelfStock_Log[WeekIndex],6))</f>
        <v/>
      </c>
      <c r="H47" s="18">
        <f>IF(COUNTIFS(T_SelfStock_Log[Part Name],$A47,T_SelfStock_Log[WeekIndex],7)=0,"",SUMIFS(T_SelfStock_Log[Self_Qty],T_SelfStock_Log[Part Name],$A47,T_SelfStock_Log[WeekIndex],7))</f>
        <v/>
      </c>
      <c r="I47" s="18">
        <f>IF(COUNTIFS(T_SelfStock_Log[Part Name],$A47,T_SelfStock_Log[WeekIndex],8)=0,"",SUMIFS(T_SelfStock_Log[Self_Qty],T_SelfStock_Log[Part Name],$A47,T_SelfStock_Log[WeekIndex],8))</f>
        <v/>
      </c>
      <c r="J47" s="18">
        <f>IF(COUNTIFS(T_SelfStock_Log[Part Name],$A47,T_SelfStock_Log[WeekIndex],9)=0,"",SUMIFS(T_SelfStock_Log[Self_Qty],T_SelfStock_Log[Part Name],$A47,T_SelfStock_Log[WeekIndex],9))</f>
        <v/>
      </c>
      <c r="K47" s="18">
        <f>IF(COUNTIFS(T_SelfStock_Log[Part Name],$A47,T_SelfStock_Log[WeekIndex],10)=0,"",SUMIFS(T_SelfStock_Log[Self_Qty],T_SelfStock_Log[Part Name],$A47,T_SelfStock_Log[WeekIndex],10))</f>
        <v/>
      </c>
      <c r="L47" s="18">
        <f>IF(COUNTIFS(T_SelfStock_Log[Part Name],$A47,T_SelfStock_Log[WeekIndex],11)=0,"",SUMIFS(T_SelfStock_Log[Self_Qty],T_SelfStock_Log[Part Name],$A47,T_SelfStock_Log[WeekIndex],11))</f>
        <v/>
      </c>
      <c r="M47" s="18">
        <f>IF(COUNTIFS(T_SelfStock_Log[Part Name],$A47,T_SelfStock_Log[WeekIndex],12)=0,"",SUMIFS(T_SelfStock_Log[Self_Qty],T_SelfStock_Log[Part Name],$A47,T_SelfStock_Log[WeekIndex],12))</f>
        <v/>
      </c>
      <c r="N47" s="18">
        <f>IF(COUNTIFS(T_SelfStock_Log[Part Name],$A47,T_SelfStock_Log[WeekIndex],13)=0,"",SUMIFS(T_SelfStock_Log[Self_Qty],T_SelfStock_Log[Part Name],$A47,T_SelfStock_Log[WeekIndex],13))</f>
        <v/>
      </c>
      <c r="O47" s="18">
        <f>IF(COUNTIFS(T_SelfStock_Log[Part Name],$A47,T_SelfStock_Log[WeekIndex],14)=0,"",SUMIFS(T_SelfStock_Log[Self_Qty],T_SelfStock_Log[Part Name],$A47,T_SelfStock_Log[WeekIndex],14))</f>
        <v/>
      </c>
      <c r="P47" s="18">
        <f>IF(COUNTIFS(T_SelfStock_Log[Part Name],$A47,T_SelfStock_Log[WeekIndex],15)=0,"",SUMIFS(T_SelfStock_Log[Self_Qty],T_SelfStock_Log[Part Name],$A47,T_SelfStock_Log[WeekIndex],15))</f>
        <v/>
      </c>
      <c r="Q47" s="18">
        <f>IF(COUNTIFS(T_SelfStock_Log[Part Name],$A47,T_SelfStock_Log[WeekIndex],16)=0,"",SUMIFS(T_SelfStock_Log[Self_Qty],T_SelfStock_Log[Part Name],$A47,T_SelfStock_Log[WeekIndex],16))</f>
        <v/>
      </c>
      <c r="R47" s="18">
        <f>IF(COUNTIFS(T_SelfStock_Log[Part Name],$A47,T_SelfStock_Log[WeekIndex],17)=0,"",SUMIFS(T_SelfStock_Log[Self_Qty],T_SelfStock_Log[Part Name],$A47,T_SelfStock_Log[WeekIndex],17))</f>
        <v/>
      </c>
      <c r="S47" s="18">
        <f>IF(COUNTIFS(T_SelfStock_Log[Part Name],$A47,T_SelfStock_Log[WeekIndex],18)=0,"",SUMIFS(T_SelfStock_Log[Self_Qty],T_SelfStock_Log[Part Name],$A47,T_SelfStock_Log[WeekIndex],18))</f>
        <v/>
      </c>
      <c r="T47" s="18">
        <f>IF(COUNTIFS(T_SelfStock_Log[Part Name],$A47,T_SelfStock_Log[WeekIndex],19)=0,"",SUMIFS(T_SelfStock_Log[Self_Qty],T_SelfStock_Log[Part Name],$A47,T_SelfStock_Log[WeekIndex],19))</f>
        <v/>
      </c>
      <c r="U47" s="18">
        <f>IF(COUNTIFS(T_SelfStock_Log[Part Name],$A47,T_SelfStock_Log[WeekIndex],20)=0,"",SUMIFS(T_SelfStock_Log[Self_Qty],T_SelfStock_Log[Part Name],$A47,T_SelfStock_Log[WeekIndex],20))</f>
        <v/>
      </c>
      <c r="V47" s="18">
        <f>IF(COUNTIFS(T_SelfStock_Log[Part Name],$A47,T_SelfStock_Log[WeekIndex],21)=0,"",SUMIFS(T_SelfStock_Log[Self_Qty],T_SelfStock_Log[Part Name],$A47,T_SelfStock_Log[WeekIndex],21))</f>
        <v/>
      </c>
      <c r="W47" s="18">
        <f>IF(COUNTIFS(T_SelfStock_Log[Part Name],$A47,T_SelfStock_Log[WeekIndex],22)=0,"",SUMIFS(T_SelfStock_Log[Self_Qty],T_SelfStock_Log[Part Name],$A47,T_SelfStock_Log[WeekIndex],22))</f>
        <v/>
      </c>
      <c r="X47" s="18">
        <f>IF(COUNTIFS(T_SelfStock_Log[Part Name],$A47,T_SelfStock_Log[WeekIndex],23)=0,"",SUMIFS(T_SelfStock_Log[Self_Qty],T_SelfStock_Log[Part Name],$A47,T_SelfStock_Log[WeekIndex],23))</f>
        <v/>
      </c>
      <c r="Y47" s="18">
        <f>IF(COUNTIFS(T_SelfStock_Log[Part Name],$A47,T_SelfStock_Log[WeekIndex],24)=0,"",SUMIFS(T_SelfStock_Log[Self_Qty],T_SelfStock_Log[Part Name],$A47,T_SelfStock_Log[WeekIndex],24))</f>
        <v/>
      </c>
      <c r="Z47" s="18">
        <f>IF(COUNTIFS(T_SelfStock_Log[Part Name],$A47,T_SelfStock_Log[WeekIndex],25)=0,"",SUMIFS(T_SelfStock_Log[Self_Qty],T_SelfStock_Log[Part Name],$A47,T_SelfStock_Log[WeekIndex],25))</f>
        <v/>
      </c>
      <c r="AA47" s="18">
        <f>IF(COUNTIFS(T_SelfStock_Log[Part Name],$A47,T_SelfStock_Log[WeekIndex],26)=0,"",SUMIFS(T_SelfStock_Log[Self_Qty],T_SelfStock_Log[Part Name],$A47,T_SelfStock_Log[WeekIndex],26))</f>
        <v/>
      </c>
      <c r="AB47" s="18">
        <f>IF(COUNTIFS(T_SelfStock_Log[Part Name],$A47,T_SelfStock_Log[WeekIndex],27)=0,"",SUMIFS(T_SelfStock_Log[Self_Qty],T_SelfStock_Log[Part Name],$A47,T_SelfStock_Log[WeekIndex],27))</f>
        <v/>
      </c>
      <c r="AC47" s="18">
        <f>IF(COUNTIFS(T_SelfStock_Log[Part Name],$A47,T_SelfStock_Log[WeekIndex],28)=0,"",SUMIFS(T_SelfStock_Log[Self_Qty],T_SelfStock_Log[Part Name],$A47,T_SelfStock_Log[WeekIndex],28))</f>
        <v/>
      </c>
      <c r="AD47" s="18">
        <f>IF(COUNTIFS(T_SelfStock_Log[Part Name],$A47,T_SelfStock_Log[WeekIndex],29)=0,"",SUMIFS(T_SelfStock_Log[Self_Qty],T_SelfStock_Log[Part Name],$A47,T_SelfStock_Log[WeekIndex],29))</f>
        <v/>
      </c>
      <c r="AE47" s="18">
        <f>IF(COUNTIFS(T_SelfStock_Log[Part Name],$A47,T_SelfStock_Log[WeekIndex],30)=0,"",SUMIFS(T_SelfStock_Log[Self_Qty],T_SelfStock_Log[Part Name],$A47,T_SelfStock_Log[WeekIndex],30))</f>
        <v/>
      </c>
      <c r="AF47" s="18">
        <f>IF(COUNTIFS(T_SelfStock_Log[Part Name],$A47,T_SelfStock_Log[WeekIndex],31)=0,"",SUMIFS(T_SelfStock_Log[Self_Qty],T_SelfStock_Log[Part Name],$A47,T_SelfStock_Log[WeekIndex],31))</f>
        <v/>
      </c>
      <c r="AG47" s="18">
        <f>IF(COUNTIFS(T_SelfStock_Log[Part Name],$A47,T_SelfStock_Log[WeekIndex],32)=0,"",SUMIFS(T_SelfStock_Log[Self_Qty],T_SelfStock_Log[Part Name],$A47,T_SelfStock_Log[WeekIndex],32))</f>
        <v/>
      </c>
      <c r="AH47" s="18">
        <f>IF(COUNTIFS(T_SelfStock_Log[Part Name],$A47,T_SelfStock_Log[WeekIndex],33)=0,"",SUMIFS(T_SelfStock_Log[Self_Qty],T_SelfStock_Log[Part Name],$A47,T_SelfStock_Log[WeekIndex],33))</f>
        <v/>
      </c>
      <c r="AI47" s="18">
        <f>IF(COUNTIFS(T_SelfStock_Log[Part Name],$A47,T_SelfStock_Log[WeekIndex],34)=0,"",SUMIFS(T_SelfStock_Log[Self_Qty],T_SelfStock_Log[Part Name],$A47,T_SelfStock_Log[WeekIndex],34))</f>
        <v/>
      </c>
      <c r="AJ47" s="18">
        <f>IF(COUNTIFS(T_SelfStock_Log[Part Name],$A47,T_SelfStock_Log[WeekIndex],35)=0,"",SUMIFS(T_SelfStock_Log[Self_Qty],T_SelfStock_Log[Part Name],$A47,T_SelfStock_Log[WeekIndex],35))</f>
        <v/>
      </c>
      <c r="AK47" s="18">
        <f>IF(COUNTIFS(T_SelfStock_Log[Part Name],$A47,T_SelfStock_Log[WeekIndex],36)=0,"",SUMIFS(T_SelfStock_Log[Self_Qty],T_SelfStock_Log[Part Name],$A47,T_SelfStock_Log[WeekIndex],36))</f>
        <v/>
      </c>
      <c r="AL47" s="18">
        <f>IF(COUNTIFS(T_SelfStock_Log[Part Name],$A47,T_SelfStock_Log[WeekIndex],37)=0,"",SUMIFS(T_SelfStock_Log[Self_Qty],T_SelfStock_Log[Part Name],$A47,T_SelfStock_Log[WeekIndex],37))</f>
        <v/>
      </c>
      <c r="AM47" s="18">
        <f>IF(COUNTIFS(T_SelfStock_Log[Part Name],$A47,T_SelfStock_Log[WeekIndex],38)=0,"",SUMIFS(T_SelfStock_Log[Self_Qty],T_SelfStock_Log[Part Name],$A47,T_SelfStock_Log[WeekIndex],38))</f>
        <v/>
      </c>
      <c r="AN47" s="18">
        <f>IF(COUNTIFS(T_SelfStock_Log[Part Name],$A47,T_SelfStock_Log[WeekIndex],39)=0,"",SUMIFS(T_SelfStock_Log[Self_Qty],T_SelfStock_Log[Part Name],$A47,T_SelfStock_Log[WeekIndex],39))</f>
        <v/>
      </c>
      <c r="AO47" s="18">
        <f>IF(COUNTIFS(T_SelfStock_Log[Part Name],$A47,T_SelfStock_Log[WeekIndex],40)=0,"",SUMIFS(T_SelfStock_Log[Self_Qty],T_SelfStock_Log[Part Name],$A47,T_SelfStock_Log[WeekIndex],40))</f>
        <v/>
      </c>
      <c r="AP47" s="18">
        <f>IF(COUNTIFS(T_SelfStock_Log[Part Name],$A47,T_SelfStock_Log[WeekIndex],41)=0,"",SUMIFS(T_SelfStock_Log[Self_Qty],T_SelfStock_Log[Part Name],$A47,T_SelfStock_Log[WeekIndex],41))</f>
        <v/>
      </c>
      <c r="AQ47" s="18">
        <f>IF(COUNTIFS(T_SelfStock_Log[Part Name],$A47,T_SelfStock_Log[WeekIndex],42)=0,"",SUMIFS(T_SelfStock_Log[Self_Qty],T_SelfStock_Log[Part Name],$A47,T_SelfStock_Log[WeekIndex],42))</f>
        <v/>
      </c>
      <c r="AR47" s="18">
        <f>IF(COUNTIFS(T_SelfStock_Log[Part Name],$A47,T_SelfStock_Log[WeekIndex],43)=0,"",SUMIFS(T_SelfStock_Log[Self_Qty],T_SelfStock_Log[Part Name],$A47,T_SelfStock_Log[WeekIndex],43))</f>
        <v/>
      </c>
      <c r="AS47" s="18">
        <f>IF(COUNTIFS(T_SelfStock_Log[Part Name],$A47,T_SelfStock_Log[WeekIndex],44)=0,"",SUMIFS(T_SelfStock_Log[Self_Qty],T_SelfStock_Log[Part Name],$A47,T_SelfStock_Log[WeekIndex],44))</f>
        <v/>
      </c>
      <c r="AT47" s="18">
        <f>IF(COUNTIFS(T_SelfStock_Log[Part Name],$A47,T_SelfStock_Log[WeekIndex],45)=0,"",SUMIFS(T_SelfStock_Log[Self_Qty],T_SelfStock_Log[Part Name],$A47,T_SelfStock_Log[WeekIndex],45))</f>
        <v/>
      </c>
      <c r="AU47" s="18">
        <f>IF(COUNTIFS(T_SelfStock_Log[Part Name],$A47,T_SelfStock_Log[WeekIndex],46)=0,"",SUMIFS(T_SelfStock_Log[Self_Qty],T_SelfStock_Log[Part Name],$A47,T_SelfStock_Log[WeekIndex],46))</f>
        <v/>
      </c>
      <c r="AV47" s="18">
        <f>IF(COUNTIFS(T_SelfStock_Log[Part Name],$A47,T_SelfStock_Log[WeekIndex],47)=0,"",SUMIFS(T_SelfStock_Log[Self_Qty],T_SelfStock_Log[Part Name],$A47,T_SelfStock_Log[WeekIndex],47))</f>
        <v/>
      </c>
      <c r="AW47" s="18">
        <f>IF(COUNTIFS(T_SelfStock_Log[Part Name],$A47,T_SelfStock_Log[WeekIndex],48)=0,"",SUMIFS(T_SelfStock_Log[Self_Qty],T_SelfStock_Log[Part Name],$A47,T_SelfStock_Log[WeekIndex],48))</f>
        <v/>
      </c>
      <c r="AX47" s="18">
        <f>IF(COUNTIFS(T_SelfStock_Log[Part Name],$A47,T_SelfStock_Log[WeekIndex],49)=0,"",SUMIFS(T_SelfStock_Log[Self_Qty],T_SelfStock_Log[Part Name],$A47,T_SelfStock_Log[WeekIndex],49))</f>
        <v/>
      </c>
      <c r="AY47" s="18">
        <f>IF(COUNTIFS(T_SelfStock_Log[Part Name],$A47,T_SelfStock_Log[WeekIndex],50)=0,"",SUMIFS(T_SelfStock_Log[Self_Qty],T_SelfStock_Log[Part Name],$A47,T_SelfStock_Log[WeekIndex],50))</f>
        <v/>
      </c>
      <c r="AZ47" s="18">
        <f>IF(COUNTIFS(T_SelfStock_Log[Part Name],$A47,T_SelfStock_Log[WeekIndex],51)=0,"",SUMIFS(T_SelfStock_Log[Self_Qty],T_SelfStock_Log[Part Name],$A47,T_SelfStock_Log[WeekIndex],51))</f>
        <v/>
      </c>
      <c r="BA47" s="18">
        <f>IF(COUNTIFS(T_SelfStock_Log[Part Name],$A47,T_SelfStock_Log[WeekIndex],52)=0,"",SUMIFS(T_SelfStock_Log[Self_Qty],T_SelfStock_Log[Part Name],$A47,T_SelfStock_Log[WeekIndex],52))</f>
        <v/>
      </c>
      <c r="BB47" s="18">
        <f>IF(COUNTIFS(T_SelfStock_Log[Part Name],$A47,T_SelfStock_Log[WeekIndex],53)=0,"",SUMIFS(T_SelfStock_Log[Self_Qty],T_SelfStock_Log[Part Name],$A47,T_SelfStock_Log[WeekIndex],53))</f>
        <v/>
      </c>
      <c r="BC47" s="18">
        <f>IF(COUNTIFS(T_SelfStock_Log[Part Name],$A47,T_SelfStock_Log[WeekIndex],54)=0,"",SUMIFS(T_SelfStock_Log[Self_Qty],T_SelfStock_Log[Part Name],$A47,T_SelfStock_Log[WeekIndex],54))</f>
        <v/>
      </c>
      <c r="BD47" s="18">
        <f>IF(COUNTIFS(T_SelfStock_Log[Part Name],$A47,T_SelfStock_Log[WeekIndex],55)=0,"",SUMIFS(T_SelfStock_Log[Self_Qty],T_SelfStock_Log[Part Name],$A47,T_SelfStock_Log[WeekIndex],55))</f>
        <v/>
      </c>
      <c r="BE47" s="18">
        <f>IF(COUNTIFS(T_SelfStock_Log[Part Name],$A47,T_SelfStock_Log[WeekIndex],56)=0,"",SUMIFS(T_SelfStock_Log[Self_Qty],T_SelfStock_Log[Part Name],$A47,T_SelfStock_Log[WeekIndex],56))</f>
        <v/>
      </c>
      <c r="BF47" s="18">
        <f>IF(COUNTIFS(T_SelfStock_Log[Part Name],$A47,T_SelfStock_Log[WeekIndex],57)=0,"",SUMIFS(T_SelfStock_Log[Self_Qty],T_SelfStock_Log[Part Name],$A47,T_SelfStock_Log[WeekIndex],57))</f>
        <v/>
      </c>
      <c r="BG47" s="18">
        <f>IF(COUNTIFS(T_SelfStock_Log[Part Name],$A47,T_SelfStock_Log[WeekIndex],58)=0,"",SUMIFS(T_SelfStock_Log[Self_Qty],T_SelfStock_Log[Part Name],$A47,T_SelfStock_Log[WeekIndex],58))</f>
        <v/>
      </c>
      <c r="BH47" s="18">
        <f>IF(COUNTIFS(T_SelfStock_Log[Part Name],$A47,T_SelfStock_Log[WeekIndex],59)=0,"",SUMIFS(T_SelfStock_Log[Self_Qty],T_SelfStock_Log[Part Name],$A47,T_SelfStock_Log[WeekIndex],59))</f>
        <v/>
      </c>
      <c r="BI47" s="18">
        <f>IF(COUNTIFS(T_SelfStock_Log[Part Name],$A47,T_SelfStock_Log[WeekIndex],60)=0,"",SUMIFS(T_SelfStock_Log[Self_Qty],T_SelfStock_Log[Part Name],$A47,T_SelfStock_Log[WeekIndex],60))</f>
        <v/>
      </c>
      <c r="BJ47" s="18">
        <f>IF(COUNTIFS(T_SelfStock_Log[Part Name],$A47,T_SelfStock_Log[WeekIndex],61)=0,"",SUMIFS(T_SelfStock_Log[Self_Qty],T_SelfStock_Log[Part Name],$A47,T_SelfStock_Log[WeekIndex],61))</f>
        <v/>
      </c>
      <c r="BK47" s="18">
        <f>IF(COUNTIFS(T_SelfStock_Log[Part Name],$A47,T_SelfStock_Log[WeekIndex],62)=0,"",SUMIFS(T_SelfStock_Log[Self_Qty],T_SelfStock_Log[Part Name],$A47,T_SelfStock_Log[WeekIndex],62))</f>
        <v/>
      </c>
      <c r="BL47" s="18">
        <f>IF(COUNTIFS(T_SelfStock_Log[Part Name],$A47,T_SelfStock_Log[WeekIndex],63)=0,"",SUMIFS(T_SelfStock_Log[Self_Qty],T_SelfStock_Log[Part Name],$A47,T_SelfStock_Log[WeekIndex],63))</f>
        <v/>
      </c>
      <c r="BM47" s="18">
        <f>IF(COUNTIFS(T_SelfStock_Log[Part Name],$A47,T_SelfStock_Log[WeekIndex],64)=0,"",SUMIFS(T_SelfStock_Log[Self_Qty],T_SelfStock_Log[Part Name],$A47,T_SelfStock_Log[WeekIndex],64))</f>
        <v/>
      </c>
      <c r="BN47" s="18">
        <f>IF(COUNTIFS(T_SelfStock_Log[Part Name],$A47,T_SelfStock_Log[WeekIndex],65)=0,"",SUMIFS(T_SelfStock_Log[Self_Qty],T_SelfStock_Log[Part Name],$A47,T_SelfStock_Log[WeekIndex],65))</f>
        <v/>
      </c>
      <c r="BO47" s="18">
        <f>IF(COUNTIFS(T_SelfStock_Log[Part Name],$A47,T_SelfStock_Log[WeekIndex],66)=0,"",SUMIFS(T_SelfStock_Log[Self_Qty],T_SelfStock_Log[Part Name],$A47,T_SelfStock_Log[WeekIndex],66))</f>
        <v/>
      </c>
      <c r="BP47" s="18">
        <f>IF(COUNTIFS(T_SelfStock_Log[Part Name],$A47,T_SelfStock_Log[WeekIndex],67)=0,"",SUMIFS(T_SelfStock_Log[Self_Qty],T_SelfStock_Log[Part Name],$A47,T_SelfStock_Log[WeekIndex],67))</f>
        <v/>
      </c>
      <c r="BQ47" s="18">
        <f>IF(COUNTIFS(T_SelfStock_Log[Part Name],$A47,T_SelfStock_Log[WeekIndex],68)=0,"",SUMIFS(T_SelfStock_Log[Self_Qty],T_SelfStock_Log[Part Name],$A47,T_SelfStock_Log[WeekIndex],68))</f>
        <v/>
      </c>
      <c r="BR47" s="18">
        <f>IF(COUNTIFS(T_SelfStock_Log[Part Name],$A47,T_SelfStock_Log[WeekIndex],69)=0,"",SUMIFS(T_SelfStock_Log[Self_Qty],T_SelfStock_Log[Part Name],$A47,T_SelfStock_Log[WeekIndex],69))</f>
        <v/>
      </c>
      <c r="BS47" s="18">
        <f>IF(COUNTIFS(T_SelfStock_Log[Part Name],$A47,T_SelfStock_Log[WeekIndex],70)=0,"",SUMIFS(T_SelfStock_Log[Self_Qty],T_SelfStock_Log[Part Name],$A47,T_SelfStock_Log[WeekIndex],70))</f>
        <v/>
      </c>
      <c r="BT47" s="18">
        <f>IF(COUNTIFS(T_SelfStock_Log[Part Name],$A47,T_SelfStock_Log[WeekIndex],71)=0,"",SUMIFS(T_SelfStock_Log[Self_Qty],T_SelfStock_Log[Part Name],$A47,T_SelfStock_Log[WeekIndex],71))</f>
        <v/>
      </c>
      <c r="BU47" s="18">
        <f>IF(COUNTIFS(T_SelfStock_Log[Part Name],$A47,T_SelfStock_Log[WeekIndex],72)=0,"",SUMIFS(T_SelfStock_Log[Self_Qty],T_SelfStock_Log[Part Name],$A47,T_SelfStock_Log[WeekIndex],72))</f>
        <v/>
      </c>
      <c r="BV47" s="18">
        <f>IF(COUNTIFS(T_SelfStock_Log[Part Name],$A47,T_SelfStock_Log[WeekIndex],73)=0,"",SUMIFS(T_SelfStock_Log[Self_Qty],T_SelfStock_Log[Part Name],$A47,T_SelfStock_Log[WeekIndex],73))</f>
        <v/>
      </c>
      <c r="BW47" s="18">
        <f>IF(COUNTIFS(T_SelfStock_Log[Part Name],$A47,T_SelfStock_Log[WeekIndex],74)=0,"",SUMIFS(T_SelfStock_Log[Self_Qty],T_SelfStock_Log[Part Name],$A47,T_SelfStock_Log[WeekIndex],74))</f>
        <v/>
      </c>
      <c r="BX47" s="18">
        <f>IF(COUNTIFS(T_SelfStock_Log[Part Name],$A47,T_SelfStock_Log[WeekIndex],75)=0,"",SUMIFS(T_SelfStock_Log[Self_Qty],T_SelfStock_Log[Part Name],$A47,T_SelfStock_Log[WeekIndex],75))</f>
        <v/>
      </c>
      <c r="BY47" s="18">
        <f>IF(COUNTIFS(T_SelfStock_Log[Part Name],$A47,T_SelfStock_Log[WeekIndex],76)=0,"",SUMIFS(T_SelfStock_Log[Self_Qty],T_SelfStock_Log[Part Name],$A47,T_SelfStock_Log[WeekIndex],76))</f>
        <v/>
      </c>
      <c r="BZ47" s="18">
        <f>IF(COUNTIFS(T_SelfStock_Log[Part Name],$A47,T_SelfStock_Log[WeekIndex],77)=0,"",SUMIFS(T_SelfStock_Log[Self_Qty],T_SelfStock_Log[Part Name],$A47,T_SelfStock_Log[WeekIndex],77))</f>
        <v/>
      </c>
      <c r="CA47" s="18">
        <f>IF(COUNTIFS(T_SelfStock_Log[Part Name],$A47,T_SelfStock_Log[WeekIndex],78)=0,"",SUMIFS(T_SelfStock_Log[Self_Qty],T_SelfStock_Log[Part Name],$A47,T_SelfStock_Log[WeekIndex],78))</f>
        <v/>
      </c>
      <c r="CB47" s="18">
        <f>IF(COUNTIFS(T_SelfStock_Log[Part Name],$A47,T_SelfStock_Log[WeekIndex],79)=0,"",SUMIFS(T_SelfStock_Log[Self_Qty],T_SelfStock_Log[Part Name],$A47,T_SelfStock_Log[WeekIndex],79))</f>
        <v/>
      </c>
      <c r="CC47" s="18">
        <f>IF(COUNTIFS(T_SelfStock_Log[Part Name],$A47,T_SelfStock_Log[WeekIndex],80)=0,"",SUMIFS(T_SelfStock_Log[Self_Qty],T_SelfStock_Log[Part Name],$A47,T_SelfStock_Log[WeekIndex],80))</f>
        <v/>
      </c>
      <c r="CD47" s="18">
        <f>IF(COUNTIFS(T_SelfStock_Log[Part Name],$A47,T_SelfStock_Log[WeekIndex],81)=0,"",SUMIFS(T_SelfStock_Log[Self_Qty],T_SelfStock_Log[Part Name],$A47,T_SelfStock_Log[WeekIndex],81))</f>
        <v/>
      </c>
      <c r="CE47" s="18">
        <f>IF(COUNTIFS(T_SelfStock_Log[Part Name],$A47,T_SelfStock_Log[WeekIndex],82)=0,"",SUMIFS(T_SelfStock_Log[Self_Qty],T_SelfStock_Log[Part Name],$A47,T_SelfStock_Log[WeekIndex],82))</f>
        <v/>
      </c>
      <c r="CF47" s="18">
        <f>IF(COUNTIFS(T_SelfStock_Log[Part Name],$A47,T_SelfStock_Log[WeekIndex],83)=0,"",SUMIFS(T_SelfStock_Log[Self_Qty],T_SelfStock_Log[Part Name],$A47,T_SelfStock_Log[WeekIndex],83))</f>
        <v/>
      </c>
      <c r="CG47" s="18">
        <f>IF(COUNTIFS(T_SelfStock_Log[Part Name],$A47,T_SelfStock_Log[WeekIndex],84)=0,"",SUMIFS(T_SelfStock_Log[Self_Qty],T_SelfStock_Log[Part Name],$A47,T_SelfStock_Log[WeekIndex],84))</f>
        <v/>
      </c>
      <c r="CH47" s="18">
        <f>IF(COUNTIFS(T_SelfStock_Log[Part Name],$A47,T_SelfStock_Log[WeekIndex],85)=0,"",SUMIFS(T_SelfStock_Log[Self_Qty],T_SelfStock_Log[Part Name],$A47,T_SelfStock_Log[WeekIndex],85))</f>
        <v/>
      </c>
      <c r="CI47" s="18">
        <f>IF(COUNTIFS(T_SelfStock_Log[Part Name],$A47,T_SelfStock_Log[WeekIndex],86)=0,"",SUMIFS(T_SelfStock_Log[Self_Qty],T_SelfStock_Log[Part Name],$A47,T_SelfStock_Log[WeekIndex],86))</f>
        <v/>
      </c>
      <c r="CJ47" s="18">
        <f>IF(COUNTIFS(T_SelfStock_Log[Part Name],$A47,T_SelfStock_Log[WeekIndex],87)=0,"",SUMIFS(T_SelfStock_Log[Self_Qty],T_SelfStock_Log[Part Name],$A47,T_SelfStock_Log[WeekIndex],87))</f>
        <v/>
      </c>
      <c r="CK47" s="18">
        <f>IF(COUNTIFS(T_SelfStock_Log[Part Name],$A47,T_SelfStock_Log[WeekIndex],88)=0,"",SUMIFS(T_SelfStock_Log[Self_Qty],T_SelfStock_Log[Part Name],$A47,T_SelfStock_Log[WeekIndex],88))</f>
        <v/>
      </c>
      <c r="CL47" s="18">
        <f>IF(COUNTIFS(T_SelfStock_Log[Part Name],$A47,T_SelfStock_Log[WeekIndex],89)=0,"",SUMIFS(T_SelfStock_Log[Self_Qty],T_SelfStock_Log[Part Name],$A47,T_SelfStock_Log[WeekIndex],89))</f>
        <v/>
      </c>
      <c r="CM47" s="18">
        <f>IF(COUNTIFS(T_SelfStock_Log[Part Name],$A47,T_SelfStock_Log[WeekIndex],90)=0,"",SUMIFS(T_SelfStock_Log[Self_Qty],T_SelfStock_Log[Part Name],$A47,T_SelfStock_Log[WeekIndex],90))</f>
        <v/>
      </c>
      <c r="CN47" s="18">
        <f>IF(COUNTIFS(T_SelfStock_Log[Part Name],$A47,T_SelfStock_Log[WeekIndex],91)=0,"",SUMIFS(T_SelfStock_Log[Self_Qty],T_SelfStock_Log[Part Name],$A47,T_SelfStock_Log[WeekIndex],91))</f>
        <v/>
      </c>
      <c r="CO47" s="18">
        <f>IF(COUNTIFS(T_SelfStock_Log[Part Name],$A47,T_SelfStock_Log[WeekIndex],92)=0,"",SUMIFS(T_SelfStock_Log[Self_Qty],T_SelfStock_Log[Part Name],$A47,T_SelfStock_Log[WeekIndex],92))</f>
        <v/>
      </c>
      <c r="CP47" s="18">
        <f>IF(COUNTIFS(T_SelfStock_Log[Part Name],$A47,T_SelfStock_Log[WeekIndex],93)=0,"",SUMIFS(T_SelfStock_Log[Self_Qty],T_SelfStock_Log[Part Name],$A47,T_SelfStock_Log[WeekIndex],93))</f>
        <v/>
      </c>
      <c r="CQ47" s="18">
        <f>IF(COUNTIFS(T_SelfStock_Log[Part Name],$A47,T_SelfStock_Log[WeekIndex],94)=0,"",SUMIFS(T_SelfStock_Log[Self_Qty],T_SelfStock_Log[Part Name],$A47,T_SelfStock_Log[WeekIndex],94))</f>
        <v/>
      </c>
      <c r="CR47" s="18">
        <f>IF(COUNTIFS(T_SelfStock_Log[Part Name],$A47,T_SelfStock_Log[WeekIndex],95)=0,"",SUMIFS(T_SelfStock_Log[Self_Qty],T_SelfStock_Log[Part Name],$A47,T_SelfStock_Log[WeekIndex],95))</f>
        <v/>
      </c>
      <c r="CS47" s="18">
        <f>IF(COUNTIFS(T_SelfStock_Log[Part Name],$A47,T_SelfStock_Log[WeekIndex],96)=0,"",SUMIFS(T_SelfStock_Log[Self_Qty],T_SelfStock_Log[Part Name],$A47,T_SelfStock_Log[WeekIndex],96))</f>
        <v/>
      </c>
      <c r="CT47" s="18">
        <f>IF(COUNTIFS(T_SelfStock_Log[Part Name],$A47,T_SelfStock_Log[WeekIndex],97)=0,"",SUMIFS(T_SelfStock_Log[Self_Qty],T_SelfStock_Log[Part Name],$A47,T_SelfStock_Log[WeekIndex],97))</f>
        <v/>
      </c>
      <c r="CU47" s="18">
        <f>IF(COUNTIFS(T_SelfStock_Log[Part Name],$A47,T_SelfStock_Log[WeekIndex],98)=0,"",SUMIFS(T_SelfStock_Log[Self_Qty],T_SelfStock_Log[Part Name],$A47,T_SelfStock_Log[WeekIndex],98))</f>
        <v/>
      </c>
      <c r="CV47" s="18">
        <f>IF(COUNTIFS(T_SelfStock_Log[Part Name],$A47,T_SelfStock_Log[WeekIndex],99)=0,"",SUMIFS(T_SelfStock_Log[Self_Qty],T_SelfStock_Log[Part Name],$A47,T_SelfStock_Log[WeekIndex],99))</f>
        <v/>
      </c>
      <c r="CW47" s="18">
        <f>IF(COUNTIFS(T_SelfStock_Log[Part Name],$A47,T_SelfStock_Log[WeekIndex],100)=0,"",SUMIFS(T_SelfStock_Log[Self_Qty],T_SelfStock_Log[Part Name],$A47,T_SelfStock_Log[WeekIndex],100))</f>
        <v/>
      </c>
      <c r="CX47" s="18">
        <f>IF(COUNTIFS(T_SelfStock_Log[Part Name],$A47,T_SelfStock_Log[WeekIndex],101)=0,"",SUMIFS(T_SelfStock_Log[Self_Qty],T_SelfStock_Log[Part Name],$A47,T_SelfStock_Log[WeekIndex],101))</f>
        <v/>
      </c>
      <c r="CY47" s="18">
        <f>IF(COUNTIFS(T_SelfStock_Log[Part Name],$A47,T_SelfStock_Log[WeekIndex],102)=0,"",SUMIFS(T_SelfStock_Log[Self_Qty],T_SelfStock_Log[Part Name],$A47,T_SelfStock_Log[WeekIndex],102))</f>
        <v/>
      </c>
      <c r="CZ47" s="18">
        <f>IF(COUNTIFS(T_SelfStock_Log[Part Name],$A47,T_SelfStock_Log[WeekIndex],103)=0,"",SUMIFS(T_SelfStock_Log[Self_Qty],T_SelfStock_Log[Part Name],$A47,T_SelfStock_Log[WeekIndex],103))</f>
        <v/>
      </c>
      <c r="DA47" s="18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3TP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8" t="inlineStr">
        <is>
          <t>A043</t>
        </is>
      </c>
      <c r="B49" s="18">
        <f>IF(COUNTIFS(T_SelfStock_Log[Part Name],$A49,T_SelfStock_Log[WeekIndex],1)=0,"",SUMIFS(T_SelfStock_Log[Self_Qty],T_SelfStock_Log[Part Name],$A49,T_SelfStock_Log[WeekIndex],1))</f>
        <v/>
      </c>
      <c r="C49" s="18">
        <f>IF(COUNTIFS(T_SelfStock_Log[Part Name],$A49,T_SelfStock_Log[WeekIndex],2)=0,"",SUMIFS(T_SelfStock_Log[Self_Qty],T_SelfStock_Log[Part Name],$A49,T_SelfStock_Log[WeekIndex],2))</f>
        <v/>
      </c>
      <c r="D49" s="18">
        <f>IF(COUNTIFS(T_SelfStock_Log[Part Name],$A49,T_SelfStock_Log[WeekIndex],3)=0,"",SUMIFS(T_SelfStock_Log[Self_Qty],T_SelfStock_Log[Part Name],$A49,T_SelfStock_Log[WeekIndex],3))</f>
        <v/>
      </c>
      <c r="E49" s="18">
        <f>IF(COUNTIFS(T_SelfStock_Log[Part Name],$A49,T_SelfStock_Log[WeekIndex],4)=0,"",SUMIFS(T_SelfStock_Log[Self_Qty],T_SelfStock_Log[Part Name],$A49,T_SelfStock_Log[WeekIndex],4))</f>
        <v/>
      </c>
      <c r="F49" s="18">
        <f>IF(COUNTIFS(T_SelfStock_Log[Part Name],$A49,T_SelfStock_Log[WeekIndex],5)=0,"",SUMIFS(T_SelfStock_Log[Self_Qty],T_SelfStock_Log[Part Name],$A49,T_SelfStock_Log[WeekIndex],5))</f>
        <v/>
      </c>
      <c r="G49" s="18">
        <f>IF(COUNTIFS(T_SelfStock_Log[Part Name],$A49,T_SelfStock_Log[WeekIndex],6)=0,"",SUMIFS(T_SelfStock_Log[Self_Qty],T_SelfStock_Log[Part Name],$A49,T_SelfStock_Log[WeekIndex],6))</f>
        <v/>
      </c>
      <c r="H49" s="18">
        <f>IF(COUNTIFS(T_SelfStock_Log[Part Name],$A49,T_SelfStock_Log[WeekIndex],7)=0,"",SUMIFS(T_SelfStock_Log[Self_Qty],T_SelfStock_Log[Part Name],$A49,T_SelfStock_Log[WeekIndex],7))</f>
        <v/>
      </c>
      <c r="I49" s="18">
        <f>IF(COUNTIFS(T_SelfStock_Log[Part Name],$A49,T_SelfStock_Log[WeekIndex],8)=0,"",SUMIFS(T_SelfStock_Log[Self_Qty],T_SelfStock_Log[Part Name],$A49,T_SelfStock_Log[WeekIndex],8))</f>
        <v/>
      </c>
      <c r="J49" s="18">
        <f>IF(COUNTIFS(T_SelfStock_Log[Part Name],$A49,T_SelfStock_Log[WeekIndex],9)=0,"",SUMIFS(T_SelfStock_Log[Self_Qty],T_SelfStock_Log[Part Name],$A49,T_SelfStock_Log[WeekIndex],9))</f>
        <v/>
      </c>
      <c r="K49" s="18">
        <f>IF(COUNTIFS(T_SelfStock_Log[Part Name],$A49,T_SelfStock_Log[WeekIndex],10)=0,"",SUMIFS(T_SelfStock_Log[Self_Qty],T_SelfStock_Log[Part Name],$A49,T_SelfStock_Log[WeekIndex],10))</f>
        <v/>
      </c>
      <c r="L49" s="18">
        <f>IF(COUNTIFS(T_SelfStock_Log[Part Name],$A49,T_SelfStock_Log[WeekIndex],11)=0,"",SUMIFS(T_SelfStock_Log[Self_Qty],T_SelfStock_Log[Part Name],$A49,T_SelfStock_Log[WeekIndex],11))</f>
        <v/>
      </c>
      <c r="M49" s="18">
        <f>IF(COUNTIFS(T_SelfStock_Log[Part Name],$A49,T_SelfStock_Log[WeekIndex],12)=0,"",SUMIFS(T_SelfStock_Log[Self_Qty],T_SelfStock_Log[Part Name],$A49,T_SelfStock_Log[WeekIndex],12))</f>
        <v/>
      </c>
      <c r="N49" s="18">
        <f>IF(COUNTIFS(T_SelfStock_Log[Part Name],$A49,T_SelfStock_Log[WeekIndex],13)=0,"",SUMIFS(T_SelfStock_Log[Self_Qty],T_SelfStock_Log[Part Name],$A49,T_SelfStock_Log[WeekIndex],13))</f>
        <v/>
      </c>
      <c r="O49" s="18">
        <f>IF(COUNTIFS(T_SelfStock_Log[Part Name],$A49,T_SelfStock_Log[WeekIndex],14)=0,"",SUMIFS(T_SelfStock_Log[Self_Qty],T_SelfStock_Log[Part Name],$A49,T_SelfStock_Log[WeekIndex],14))</f>
        <v/>
      </c>
      <c r="P49" s="18">
        <f>IF(COUNTIFS(T_SelfStock_Log[Part Name],$A49,T_SelfStock_Log[WeekIndex],15)=0,"",SUMIFS(T_SelfStock_Log[Self_Qty],T_SelfStock_Log[Part Name],$A49,T_SelfStock_Log[WeekIndex],15))</f>
        <v/>
      </c>
      <c r="Q49" s="18">
        <f>IF(COUNTIFS(T_SelfStock_Log[Part Name],$A49,T_SelfStock_Log[WeekIndex],16)=0,"",SUMIFS(T_SelfStock_Log[Self_Qty],T_SelfStock_Log[Part Name],$A49,T_SelfStock_Log[WeekIndex],16))</f>
        <v/>
      </c>
      <c r="R49" s="18">
        <f>IF(COUNTIFS(T_SelfStock_Log[Part Name],$A49,T_SelfStock_Log[WeekIndex],17)=0,"",SUMIFS(T_SelfStock_Log[Self_Qty],T_SelfStock_Log[Part Name],$A49,T_SelfStock_Log[WeekIndex],17))</f>
        <v/>
      </c>
      <c r="S49" s="18">
        <f>IF(COUNTIFS(T_SelfStock_Log[Part Name],$A49,T_SelfStock_Log[WeekIndex],18)=0,"",SUMIFS(T_SelfStock_Log[Self_Qty],T_SelfStock_Log[Part Name],$A49,T_SelfStock_Log[WeekIndex],18))</f>
        <v/>
      </c>
      <c r="T49" s="18">
        <f>IF(COUNTIFS(T_SelfStock_Log[Part Name],$A49,T_SelfStock_Log[WeekIndex],19)=0,"",SUMIFS(T_SelfStock_Log[Self_Qty],T_SelfStock_Log[Part Name],$A49,T_SelfStock_Log[WeekIndex],19))</f>
        <v/>
      </c>
      <c r="U49" s="18">
        <f>IF(COUNTIFS(T_SelfStock_Log[Part Name],$A49,T_SelfStock_Log[WeekIndex],20)=0,"",SUMIFS(T_SelfStock_Log[Self_Qty],T_SelfStock_Log[Part Name],$A49,T_SelfStock_Log[WeekIndex],20))</f>
        <v/>
      </c>
      <c r="V49" s="18">
        <f>IF(COUNTIFS(T_SelfStock_Log[Part Name],$A49,T_SelfStock_Log[WeekIndex],21)=0,"",SUMIFS(T_SelfStock_Log[Self_Qty],T_SelfStock_Log[Part Name],$A49,T_SelfStock_Log[WeekIndex],21))</f>
        <v/>
      </c>
      <c r="W49" s="18">
        <f>IF(COUNTIFS(T_SelfStock_Log[Part Name],$A49,T_SelfStock_Log[WeekIndex],22)=0,"",SUMIFS(T_SelfStock_Log[Self_Qty],T_SelfStock_Log[Part Name],$A49,T_SelfStock_Log[WeekIndex],22))</f>
        <v/>
      </c>
      <c r="X49" s="18">
        <f>IF(COUNTIFS(T_SelfStock_Log[Part Name],$A49,T_SelfStock_Log[WeekIndex],23)=0,"",SUMIFS(T_SelfStock_Log[Self_Qty],T_SelfStock_Log[Part Name],$A49,T_SelfStock_Log[WeekIndex],23))</f>
        <v/>
      </c>
      <c r="Y49" s="18">
        <f>IF(COUNTIFS(T_SelfStock_Log[Part Name],$A49,T_SelfStock_Log[WeekIndex],24)=0,"",SUMIFS(T_SelfStock_Log[Self_Qty],T_SelfStock_Log[Part Name],$A49,T_SelfStock_Log[WeekIndex],24))</f>
        <v/>
      </c>
      <c r="Z49" s="18">
        <f>IF(COUNTIFS(T_SelfStock_Log[Part Name],$A49,T_SelfStock_Log[WeekIndex],25)=0,"",SUMIFS(T_SelfStock_Log[Self_Qty],T_SelfStock_Log[Part Name],$A49,T_SelfStock_Log[WeekIndex],25))</f>
        <v/>
      </c>
      <c r="AA49" s="18">
        <f>IF(COUNTIFS(T_SelfStock_Log[Part Name],$A49,T_SelfStock_Log[WeekIndex],26)=0,"",SUMIFS(T_SelfStock_Log[Self_Qty],T_SelfStock_Log[Part Name],$A49,T_SelfStock_Log[WeekIndex],26))</f>
        <v/>
      </c>
      <c r="AB49" s="18">
        <f>IF(COUNTIFS(T_SelfStock_Log[Part Name],$A49,T_SelfStock_Log[WeekIndex],27)=0,"",SUMIFS(T_SelfStock_Log[Self_Qty],T_SelfStock_Log[Part Name],$A49,T_SelfStock_Log[WeekIndex],27))</f>
        <v/>
      </c>
      <c r="AC49" s="18">
        <f>IF(COUNTIFS(T_SelfStock_Log[Part Name],$A49,T_SelfStock_Log[WeekIndex],28)=0,"",SUMIFS(T_SelfStock_Log[Self_Qty],T_SelfStock_Log[Part Name],$A49,T_SelfStock_Log[WeekIndex],28))</f>
        <v/>
      </c>
      <c r="AD49" s="18">
        <f>IF(COUNTIFS(T_SelfStock_Log[Part Name],$A49,T_SelfStock_Log[WeekIndex],29)=0,"",SUMIFS(T_SelfStock_Log[Self_Qty],T_SelfStock_Log[Part Name],$A49,T_SelfStock_Log[WeekIndex],29))</f>
        <v/>
      </c>
      <c r="AE49" s="18">
        <f>IF(COUNTIFS(T_SelfStock_Log[Part Name],$A49,T_SelfStock_Log[WeekIndex],30)=0,"",SUMIFS(T_SelfStock_Log[Self_Qty],T_SelfStock_Log[Part Name],$A49,T_SelfStock_Log[WeekIndex],30))</f>
        <v/>
      </c>
      <c r="AF49" s="18">
        <f>IF(COUNTIFS(T_SelfStock_Log[Part Name],$A49,T_SelfStock_Log[WeekIndex],31)=0,"",SUMIFS(T_SelfStock_Log[Self_Qty],T_SelfStock_Log[Part Name],$A49,T_SelfStock_Log[WeekIndex],31))</f>
        <v/>
      </c>
      <c r="AG49" s="18">
        <f>IF(COUNTIFS(T_SelfStock_Log[Part Name],$A49,T_SelfStock_Log[WeekIndex],32)=0,"",SUMIFS(T_SelfStock_Log[Self_Qty],T_SelfStock_Log[Part Name],$A49,T_SelfStock_Log[WeekIndex],32))</f>
        <v/>
      </c>
      <c r="AH49" s="18">
        <f>IF(COUNTIFS(T_SelfStock_Log[Part Name],$A49,T_SelfStock_Log[WeekIndex],33)=0,"",SUMIFS(T_SelfStock_Log[Self_Qty],T_SelfStock_Log[Part Name],$A49,T_SelfStock_Log[WeekIndex],33))</f>
        <v/>
      </c>
      <c r="AI49" s="18">
        <f>IF(COUNTIFS(T_SelfStock_Log[Part Name],$A49,T_SelfStock_Log[WeekIndex],34)=0,"",SUMIFS(T_SelfStock_Log[Self_Qty],T_SelfStock_Log[Part Name],$A49,T_SelfStock_Log[WeekIndex],34))</f>
        <v/>
      </c>
      <c r="AJ49" s="18">
        <f>IF(COUNTIFS(T_SelfStock_Log[Part Name],$A49,T_SelfStock_Log[WeekIndex],35)=0,"",SUMIFS(T_SelfStock_Log[Self_Qty],T_SelfStock_Log[Part Name],$A49,T_SelfStock_Log[WeekIndex],35))</f>
        <v/>
      </c>
      <c r="AK49" s="18">
        <f>IF(COUNTIFS(T_SelfStock_Log[Part Name],$A49,T_SelfStock_Log[WeekIndex],36)=0,"",SUMIFS(T_SelfStock_Log[Self_Qty],T_SelfStock_Log[Part Name],$A49,T_SelfStock_Log[WeekIndex],36))</f>
        <v/>
      </c>
      <c r="AL49" s="18">
        <f>IF(COUNTIFS(T_SelfStock_Log[Part Name],$A49,T_SelfStock_Log[WeekIndex],37)=0,"",SUMIFS(T_SelfStock_Log[Self_Qty],T_SelfStock_Log[Part Name],$A49,T_SelfStock_Log[WeekIndex],37))</f>
        <v/>
      </c>
      <c r="AM49" s="18">
        <f>IF(COUNTIFS(T_SelfStock_Log[Part Name],$A49,T_SelfStock_Log[WeekIndex],38)=0,"",SUMIFS(T_SelfStock_Log[Self_Qty],T_SelfStock_Log[Part Name],$A49,T_SelfStock_Log[WeekIndex],38))</f>
        <v/>
      </c>
      <c r="AN49" s="18">
        <f>IF(COUNTIFS(T_SelfStock_Log[Part Name],$A49,T_SelfStock_Log[WeekIndex],39)=0,"",SUMIFS(T_SelfStock_Log[Self_Qty],T_SelfStock_Log[Part Name],$A49,T_SelfStock_Log[WeekIndex],39))</f>
        <v/>
      </c>
      <c r="AO49" s="18">
        <f>IF(COUNTIFS(T_SelfStock_Log[Part Name],$A49,T_SelfStock_Log[WeekIndex],40)=0,"",SUMIFS(T_SelfStock_Log[Self_Qty],T_SelfStock_Log[Part Name],$A49,T_SelfStock_Log[WeekIndex],40))</f>
        <v/>
      </c>
      <c r="AP49" s="18">
        <f>IF(COUNTIFS(T_SelfStock_Log[Part Name],$A49,T_SelfStock_Log[WeekIndex],41)=0,"",SUMIFS(T_SelfStock_Log[Self_Qty],T_SelfStock_Log[Part Name],$A49,T_SelfStock_Log[WeekIndex],41))</f>
        <v/>
      </c>
      <c r="AQ49" s="18">
        <f>IF(COUNTIFS(T_SelfStock_Log[Part Name],$A49,T_SelfStock_Log[WeekIndex],42)=0,"",SUMIFS(T_SelfStock_Log[Self_Qty],T_SelfStock_Log[Part Name],$A49,T_SelfStock_Log[WeekIndex],42))</f>
        <v/>
      </c>
      <c r="AR49" s="18">
        <f>IF(COUNTIFS(T_SelfStock_Log[Part Name],$A49,T_SelfStock_Log[WeekIndex],43)=0,"",SUMIFS(T_SelfStock_Log[Self_Qty],T_SelfStock_Log[Part Name],$A49,T_SelfStock_Log[WeekIndex],43))</f>
        <v/>
      </c>
      <c r="AS49" s="18">
        <f>IF(COUNTIFS(T_SelfStock_Log[Part Name],$A49,T_SelfStock_Log[WeekIndex],44)=0,"",SUMIFS(T_SelfStock_Log[Self_Qty],T_SelfStock_Log[Part Name],$A49,T_SelfStock_Log[WeekIndex],44))</f>
        <v/>
      </c>
      <c r="AT49" s="18">
        <f>IF(COUNTIFS(T_SelfStock_Log[Part Name],$A49,T_SelfStock_Log[WeekIndex],45)=0,"",SUMIFS(T_SelfStock_Log[Self_Qty],T_SelfStock_Log[Part Name],$A49,T_SelfStock_Log[WeekIndex],45))</f>
        <v/>
      </c>
      <c r="AU49" s="18">
        <f>IF(COUNTIFS(T_SelfStock_Log[Part Name],$A49,T_SelfStock_Log[WeekIndex],46)=0,"",SUMIFS(T_SelfStock_Log[Self_Qty],T_SelfStock_Log[Part Name],$A49,T_SelfStock_Log[WeekIndex],46))</f>
        <v/>
      </c>
      <c r="AV49" s="18">
        <f>IF(COUNTIFS(T_SelfStock_Log[Part Name],$A49,T_SelfStock_Log[WeekIndex],47)=0,"",SUMIFS(T_SelfStock_Log[Self_Qty],T_SelfStock_Log[Part Name],$A49,T_SelfStock_Log[WeekIndex],47))</f>
        <v/>
      </c>
      <c r="AW49" s="18">
        <f>IF(COUNTIFS(T_SelfStock_Log[Part Name],$A49,T_SelfStock_Log[WeekIndex],48)=0,"",SUMIFS(T_SelfStock_Log[Self_Qty],T_SelfStock_Log[Part Name],$A49,T_SelfStock_Log[WeekIndex],48))</f>
        <v/>
      </c>
      <c r="AX49" s="18">
        <f>IF(COUNTIFS(T_SelfStock_Log[Part Name],$A49,T_SelfStock_Log[WeekIndex],49)=0,"",SUMIFS(T_SelfStock_Log[Self_Qty],T_SelfStock_Log[Part Name],$A49,T_SelfStock_Log[WeekIndex],49))</f>
        <v/>
      </c>
      <c r="AY49" s="18">
        <f>IF(COUNTIFS(T_SelfStock_Log[Part Name],$A49,T_SelfStock_Log[WeekIndex],50)=0,"",SUMIFS(T_SelfStock_Log[Self_Qty],T_SelfStock_Log[Part Name],$A49,T_SelfStock_Log[WeekIndex],50))</f>
        <v/>
      </c>
      <c r="AZ49" s="18">
        <f>IF(COUNTIFS(T_SelfStock_Log[Part Name],$A49,T_SelfStock_Log[WeekIndex],51)=0,"",SUMIFS(T_SelfStock_Log[Self_Qty],T_SelfStock_Log[Part Name],$A49,T_SelfStock_Log[WeekIndex],51))</f>
        <v/>
      </c>
      <c r="BA49" s="18">
        <f>IF(COUNTIFS(T_SelfStock_Log[Part Name],$A49,T_SelfStock_Log[WeekIndex],52)=0,"",SUMIFS(T_SelfStock_Log[Self_Qty],T_SelfStock_Log[Part Name],$A49,T_SelfStock_Log[WeekIndex],52))</f>
        <v/>
      </c>
      <c r="BB49" s="18">
        <f>IF(COUNTIFS(T_SelfStock_Log[Part Name],$A49,T_SelfStock_Log[WeekIndex],53)=0,"",SUMIFS(T_SelfStock_Log[Self_Qty],T_SelfStock_Log[Part Name],$A49,T_SelfStock_Log[WeekIndex],53))</f>
        <v/>
      </c>
      <c r="BC49" s="18">
        <f>IF(COUNTIFS(T_SelfStock_Log[Part Name],$A49,T_SelfStock_Log[WeekIndex],54)=0,"",SUMIFS(T_SelfStock_Log[Self_Qty],T_SelfStock_Log[Part Name],$A49,T_SelfStock_Log[WeekIndex],54))</f>
        <v/>
      </c>
      <c r="BD49" s="18">
        <f>IF(COUNTIFS(T_SelfStock_Log[Part Name],$A49,T_SelfStock_Log[WeekIndex],55)=0,"",SUMIFS(T_SelfStock_Log[Self_Qty],T_SelfStock_Log[Part Name],$A49,T_SelfStock_Log[WeekIndex],55))</f>
        <v/>
      </c>
      <c r="BE49" s="18">
        <f>IF(COUNTIFS(T_SelfStock_Log[Part Name],$A49,T_SelfStock_Log[WeekIndex],56)=0,"",SUMIFS(T_SelfStock_Log[Self_Qty],T_SelfStock_Log[Part Name],$A49,T_SelfStock_Log[WeekIndex],56))</f>
        <v/>
      </c>
      <c r="BF49" s="18">
        <f>IF(COUNTIFS(T_SelfStock_Log[Part Name],$A49,T_SelfStock_Log[WeekIndex],57)=0,"",SUMIFS(T_SelfStock_Log[Self_Qty],T_SelfStock_Log[Part Name],$A49,T_SelfStock_Log[WeekIndex],57))</f>
        <v/>
      </c>
      <c r="BG49" s="18">
        <f>IF(COUNTIFS(T_SelfStock_Log[Part Name],$A49,T_SelfStock_Log[WeekIndex],58)=0,"",SUMIFS(T_SelfStock_Log[Self_Qty],T_SelfStock_Log[Part Name],$A49,T_SelfStock_Log[WeekIndex],58))</f>
        <v/>
      </c>
      <c r="BH49" s="18">
        <f>IF(COUNTIFS(T_SelfStock_Log[Part Name],$A49,T_SelfStock_Log[WeekIndex],59)=0,"",SUMIFS(T_SelfStock_Log[Self_Qty],T_SelfStock_Log[Part Name],$A49,T_SelfStock_Log[WeekIndex],59))</f>
        <v/>
      </c>
      <c r="BI49" s="18">
        <f>IF(COUNTIFS(T_SelfStock_Log[Part Name],$A49,T_SelfStock_Log[WeekIndex],60)=0,"",SUMIFS(T_SelfStock_Log[Self_Qty],T_SelfStock_Log[Part Name],$A49,T_SelfStock_Log[WeekIndex],60))</f>
        <v/>
      </c>
      <c r="BJ49" s="18">
        <f>IF(COUNTIFS(T_SelfStock_Log[Part Name],$A49,T_SelfStock_Log[WeekIndex],61)=0,"",SUMIFS(T_SelfStock_Log[Self_Qty],T_SelfStock_Log[Part Name],$A49,T_SelfStock_Log[WeekIndex],61))</f>
        <v/>
      </c>
      <c r="BK49" s="18">
        <f>IF(COUNTIFS(T_SelfStock_Log[Part Name],$A49,T_SelfStock_Log[WeekIndex],62)=0,"",SUMIFS(T_SelfStock_Log[Self_Qty],T_SelfStock_Log[Part Name],$A49,T_SelfStock_Log[WeekIndex],62))</f>
        <v/>
      </c>
      <c r="BL49" s="18">
        <f>IF(COUNTIFS(T_SelfStock_Log[Part Name],$A49,T_SelfStock_Log[WeekIndex],63)=0,"",SUMIFS(T_SelfStock_Log[Self_Qty],T_SelfStock_Log[Part Name],$A49,T_SelfStock_Log[WeekIndex],63))</f>
        <v/>
      </c>
      <c r="BM49" s="18">
        <f>IF(COUNTIFS(T_SelfStock_Log[Part Name],$A49,T_SelfStock_Log[WeekIndex],64)=0,"",SUMIFS(T_SelfStock_Log[Self_Qty],T_SelfStock_Log[Part Name],$A49,T_SelfStock_Log[WeekIndex],64))</f>
        <v/>
      </c>
      <c r="BN49" s="18">
        <f>IF(COUNTIFS(T_SelfStock_Log[Part Name],$A49,T_SelfStock_Log[WeekIndex],65)=0,"",SUMIFS(T_SelfStock_Log[Self_Qty],T_SelfStock_Log[Part Name],$A49,T_SelfStock_Log[WeekIndex],65))</f>
        <v/>
      </c>
      <c r="BO49" s="18">
        <f>IF(COUNTIFS(T_SelfStock_Log[Part Name],$A49,T_SelfStock_Log[WeekIndex],66)=0,"",SUMIFS(T_SelfStock_Log[Self_Qty],T_SelfStock_Log[Part Name],$A49,T_SelfStock_Log[WeekIndex],66))</f>
        <v/>
      </c>
      <c r="BP49" s="18">
        <f>IF(COUNTIFS(T_SelfStock_Log[Part Name],$A49,T_SelfStock_Log[WeekIndex],67)=0,"",SUMIFS(T_SelfStock_Log[Self_Qty],T_SelfStock_Log[Part Name],$A49,T_SelfStock_Log[WeekIndex],67))</f>
        <v/>
      </c>
      <c r="BQ49" s="18">
        <f>IF(COUNTIFS(T_SelfStock_Log[Part Name],$A49,T_SelfStock_Log[WeekIndex],68)=0,"",SUMIFS(T_SelfStock_Log[Self_Qty],T_SelfStock_Log[Part Name],$A49,T_SelfStock_Log[WeekIndex],68))</f>
        <v/>
      </c>
      <c r="BR49" s="18">
        <f>IF(COUNTIFS(T_SelfStock_Log[Part Name],$A49,T_SelfStock_Log[WeekIndex],69)=0,"",SUMIFS(T_SelfStock_Log[Self_Qty],T_SelfStock_Log[Part Name],$A49,T_SelfStock_Log[WeekIndex],69))</f>
        <v/>
      </c>
      <c r="BS49" s="18">
        <f>IF(COUNTIFS(T_SelfStock_Log[Part Name],$A49,T_SelfStock_Log[WeekIndex],70)=0,"",SUMIFS(T_SelfStock_Log[Self_Qty],T_SelfStock_Log[Part Name],$A49,T_SelfStock_Log[WeekIndex],70))</f>
        <v/>
      </c>
      <c r="BT49" s="18">
        <f>IF(COUNTIFS(T_SelfStock_Log[Part Name],$A49,T_SelfStock_Log[WeekIndex],71)=0,"",SUMIFS(T_SelfStock_Log[Self_Qty],T_SelfStock_Log[Part Name],$A49,T_SelfStock_Log[WeekIndex],71))</f>
        <v/>
      </c>
      <c r="BU49" s="18">
        <f>IF(COUNTIFS(T_SelfStock_Log[Part Name],$A49,T_SelfStock_Log[WeekIndex],72)=0,"",SUMIFS(T_SelfStock_Log[Self_Qty],T_SelfStock_Log[Part Name],$A49,T_SelfStock_Log[WeekIndex],72))</f>
        <v/>
      </c>
      <c r="BV49" s="18">
        <f>IF(COUNTIFS(T_SelfStock_Log[Part Name],$A49,T_SelfStock_Log[WeekIndex],73)=0,"",SUMIFS(T_SelfStock_Log[Self_Qty],T_SelfStock_Log[Part Name],$A49,T_SelfStock_Log[WeekIndex],73))</f>
        <v/>
      </c>
      <c r="BW49" s="18">
        <f>IF(COUNTIFS(T_SelfStock_Log[Part Name],$A49,T_SelfStock_Log[WeekIndex],74)=0,"",SUMIFS(T_SelfStock_Log[Self_Qty],T_SelfStock_Log[Part Name],$A49,T_SelfStock_Log[WeekIndex],74))</f>
        <v/>
      </c>
      <c r="BX49" s="18">
        <f>IF(COUNTIFS(T_SelfStock_Log[Part Name],$A49,T_SelfStock_Log[WeekIndex],75)=0,"",SUMIFS(T_SelfStock_Log[Self_Qty],T_SelfStock_Log[Part Name],$A49,T_SelfStock_Log[WeekIndex],75))</f>
        <v/>
      </c>
      <c r="BY49" s="18">
        <f>IF(COUNTIFS(T_SelfStock_Log[Part Name],$A49,T_SelfStock_Log[WeekIndex],76)=0,"",SUMIFS(T_SelfStock_Log[Self_Qty],T_SelfStock_Log[Part Name],$A49,T_SelfStock_Log[WeekIndex],76))</f>
        <v/>
      </c>
      <c r="BZ49" s="18">
        <f>IF(COUNTIFS(T_SelfStock_Log[Part Name],$A49,T_SelfStock_Log[WeekIndex],77)=0,"",SUMIFS(T_SelfStock_Log[Self_Qty],T_SelfStock_Log[Part Name],$A49,T_SelfStock_Log[WeekIndex],77))</f>
        <v/>
      </c>
      <c r="CA49" s="18">
        <f>IF(COUNTIFS(T_SelfStock_Log[Part Name],$A49,T_SelfStock_Log[WeekIndex],78)=0,"",SUMIFS(T_SelfStock_Log[Self_Qty],T_SelfStock_Log[Part Name],$A49,T_SelfStock_Log[WeekIndex],78))</f>
        <v/>
      </c>
      <c r="CB49" s="18">
        <f>IF(COUNTIFS(T_SelfStock_Log[Part Name],$A49,T_SelfStock_Log[WeekIndex],79)=0,"",SUMIFS(T_SelfStock_Log[Self_Qty],T_SelfStock_Log[Part Name],$A49,T_SelfStock_Log[WeekIndex],79))</f>
        <v/>
      </c>
      <c r="CC49" s="18">
        <f>IF(COUNTIFS(T_SelfStock_Log[Part Name],$A49,T_SelfStock_Log[WeekIndex],80)=0,"",SUMIFS(T_SelfStock_Log[Self_Qty],T_SelfStock_Log[Part Name],$A49,T_SelfStock_Log[WeekIndex],80))</f>
        <v/>
      </c>
      <c r="CD49" s="18">
        <f>IF(COUNTIFS(T_SelfStock_Log[Part Name],$A49,T_SelfStock_Log[WeekIndex],81)=0,"",SUMIFS(T_SelfStock_Log[Self_Qty],T_SelfStock_Log[Part Name],$A49,T_SelfStock_Log[WeekIndex],81))</f>
        <v/>
      </c>
      <c r="CE49" s="18">
        <f>IF(COUNTIFS(T_SelfStock_Log[Part Name],$A49,T_SelfStock_Log[WeekIndex],82)=0,"",SUMIFS(T_SelfStock_Log[Self_Qty],T_SelfStock_Log[Part Name],$A49,T_SelfStock_Log[WeekIndex],82))</f>
        <v/>
      </c>
      <c r="CF49" s="18">
        <f>IF(COUNTIFS(T_SelfStock_Log[Part Name],$A49,T_SelfStock_Log[WeekIndex],83)=0,"",SUMIFS(T_SelfStock_Log[Self_Qty],T_SelfStock_Log[Part Name],$A49,T_SelfStock_Log[WeekIndex],83))</f>
        <v/>
      </c>
      <c r="CG49" s="18">
        <f>IF(COUNTIFS(T_SelfStock_Log[Part Name],$A49,T_SelfStock_Log[WeekIndex],84)=0,"",SUMIFS(T_SelfStock_Log[Self_Qty],T_SelfStock_Log[Part Name],$A49,T_SelfStock_Log[WeekIndex],84))</f>
        <v/>
      </c>
      <c r="CH49" s="18">
        <f>IF(COUNTIFS(T_SelfStock_Log[Part Name],$A49,T_SelfStock_Log[WeekIndex],85)=0,"",SUMIFS(T_SelfStock_Log[Self_Qty],T_SelfStock_Log[Part Name],$A49,T_SelfStock_Log[WeekIndex],85))</f>
        <v/>
      </c>
      <c r="CI49" s="18">
        <f>IF(COUNTIFS(T_SelfStock_Log[Part Name],$A49,T_SelfStock_Log[WeekIndex],86)=0,"",SUMIFS(T_SelfStock_Log[Self_Qty],T_SelfStock_Log[Part Name],$A49,T_SelfStock_Log[WeekIndex],86))</f>
        <v/>
      </c>
      <c r="CJ49" s="18">
        <f>IF(COUNTIFS(T_SelfStock_Log[Part Name],$A49,T_SelfStock_Log[WeekIndex],87)=0,"",SUMIFS(T_SelfStock_Log[Self_Qty],T_SelfStock_Log[Part Name],$A49,T_SelfStock_Log[WeekIndex],87))</f>
        <v/>
      </c>
      <c r="CK49" s="18">
        <f>IF(COUNTIFS(T_SelfStock_Log[Part Name],$A49,T_SelfStock_Log[WeekIndex],88)=0,"",SUMIFS(T_SelfStock_Log[Self_Qty],T_SelfStock_Log[Part Name],$A49,T_SelfStock_Log[WeekIndex],88))</f>
        <v/>
      </c>
      <c r="CL49" s="18">
        <f>IF(COUNTIFS(T_SelfStock_Log[Part Name],$A49,T_SelfStock_Log[WeekIndex],89)=0,"",SUMIFS(T_SelfStock_Log[Self_Qty],T_SelfStock_Log[Part Name],$A49,T_SelfStock_Log[WeekIndex],89))</f>
        <v/>
      </c>
      <c r="CM49" s="18">
        <f>IF(COUNTIFS(T_SelfStock_Log[Part Name],$A49,T_SelfStock_Log[WeekIndex],90)=0,"",SUMIFS(T_SelfStock_Log[Self_Qty],T_SelfStock_Log[Part Name],$A49,T_SelfStock_Log[WeekIndex],90))</f>
        <v/>
      </c>
      <c r="CN49" s="18">
        <f>IF(COUNTIFS(T_SelfStock_Log[Part Name],$A49,T_SelfStock_Log[WeekIndex],91)=0,"",SUMIFS(T_SelfStock_Log[Self_Qty],T_SelfStock_Log[Part Name],$A49,T_SelfStock_Log[WeekIndex],91))</f>
        <v/>
      </c>
      <c r="CO49" s="18">
        <f>IF(COUNTIFS(T_SelfStock_Log[Part Name],$A49,T_SelfStock_Log[WeekIndex],92)=0,"",SUMIFS(T_SelfStock_Log[Self_Qty],T_SelfStock_Log[Part Name],$A49,T_SelfStock_Log[WeekIndex],92))</f>
        <v/>
      </c>
      <c r="CP49" s="18">
        <f>IF(COUNTIFS(T_SelfStock_Log[Part Name],$A49,T_SelfStock_Log[WeekIndex],93)=0,"",SUMIFS(T_SelfStock_Log[Self_Qty],T_SelfStock_Log[Part Name],$A49,T_SelfStock_Log[WeekIndex],93))</f>
        <v/>
      </c>
      <c r="CQ49" s="18">
        <f>IF(COUNTIFS(T_SelfStock_Log[Part Name],$A49,T_SelfStock_Log[WeekIndex],94)=0,"",SUMIFS(T_SelfStock_Log[Self_Qty],T_SelfStock_Log[Part Name],$A49,T_SelfStock_Log[WeekIndex],94))</f>
        <v/>
      </c>
      <c r="CR49" s="18">
        <f>IF(COUNTIFS(T_SelfStock_Log[Part Name],$A49,T_SelfStock_Log[WeekIndex],95)=0,"",SUMIFS(T_SelfStock_Log[Self_Qty],T_SelfStock_Log[Part Name],$A49,T_SelfStock_Log[WeekIndex],95))</f>
        <v/>
      </c>
      <c r="CS49" s="18">
        <f>IF(COUNTIFS(T_SelfStock_Log[Part Name],$A49,T_SelfStock_Log[WeekIndex],96)=0,"",SUMIFS(T_SelfStock_Log[Self_Qty],T_SelfStock_Log[Part Name],$A49,T_SelfStock_Log[WeekIndex],96))</f>
        <v/>
      </c>
      <c r="CT49" s="18">
        <f>IF(COUNTIFS(T_SelfStock_Log[Part Name],$A49,T_SelfStock_Log[WeekIndex],97)=0,"",SUMIFS(T_SelfStock_Log[Self_Qty],T_SelfStock_Log[Part Name],$A49,T_SelfStock_Log[WeekIndex],97))</f>
        <v/>
      </c>
      <c r="CU49" s="18">
        <f>IF(COUNTIFS(T_SelfStock_Log[Part Name],$A49,T_SelfStock_Log[WeekIndex],98)=0,"",SUMIFS(T_SelfStock_Log[Self_Qty],T_SelfStock_Log[Part Name],$A49,T_SelfStock_Log[WeekIndex],98))</f>
        <v/>
      </c>
      <c r="CV49" s="18">
        <f>IF(COUNTIFS(T_SelfStock_Log[Part Name],$A49,T_SelfStock_Log[WeekIndex],99)=0,"",SUMIFS(T_SelfStock_Log[Self_Qty],T_SelfStock_Log[Part Name],$A49,T_SelfStock_Log[WeekIndex],99))</f>
        <v/>
      </c>
      <c r="CW49" s="18">
        <f>IF(COUNTIFS(T_SelfStock_Log[Part Name],$A49,T_SelfStock_Log[WeekIndex],100)=0,"",SUMIFS(T_SelfStock_Log[Self_Qty],T_SelfStock_Log[Part Name],$A49,T_SelfStock_Log[WeekIndex],100))</f>
        <v/>
      </c>
      <c r="CX49" s="18">
        <f>IF(COUNTIFS(T_SelfStock_Log[Part Name],$A49,T_SelfStock_Log[WeekIndex],101)=0,"",SUMIFS(T_SelfStock_Log[Self_Qty],T_SelfStock_Log[Part Name],$A49,T_SelfStock_Log[WeekIndex],101))</f>
        <v/>
      </c>
      <c r="CY49" s="18">
        <f>IF(COUNTIFS(T_SelfStock_Log[Part Name],$A49,T_SelfStock_Log[WeekIndex],102)=0,"",SUMIFS(T_SelfStock_Log[Self_Qty],T_SelfStock_Log[Part Name],$A49,T_SelfStock_Log[WeekIndex],102))</f>
        <v/>
      </c>
      <c r="CZ49" s="18">
        <f>IF(COUNTIFS(T_SelfStock_Log[Part Name],$A49,T_SelfStock_Log[WeekIndex],103)=0,"",SUMIFS(T_SelfStock_Log[Self_Qty],T_SelfStock_Log[Part Name],$A49,T_SelfStock_Log[WeekIndex],103))</f>
        <v/>
      </c>
      <c r="DA49" s="18">
        <f>IF(COUNTIFS(T_SelfStock_Log[Part Name],$A49,T_SelfStock_Log[WeekIndex],104)=0,"",SUMIFS(T_SelfStock_Log[Self_Qty],T_SelfStock_Log[Part Name],$A49,T_SelfStock_Log[WeekIndex],104))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9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CHEM-1250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8" t="inlineStr">
        <is>
          <t>CHEM-1670</t>
        </is>
      </c>
      <c r="B7" s="18">
        <f>IF(COUNTIFS(T_TTAFStock_Log[Part Name],$A7,T_TTAFStock_Log[WeekIndex],1)=0,"",SUMIFS(T_TTAFStock_Log[TTAF_Qty],T_TTAFStock_Log[Part Name],$A7,T_TTAFStock_Log[WeekIndex],1))</f>
        <v/>
      </c>
      <c r="C7" s="18">
        <f>IF(COUNTIFS(T_TTAFStock_Log[Part Name],$A7,T_TTAFStock_Log[WeekIndex],2)=0,"",SUMIFS(T_TTAFStock_Log[TTAF_Qty],T_TTAFStock_Log[Part Name],$A7,T_TTAFStock_Log[WeekIndex],2))</f>
        <v/>
      </c>
      <c r="D7" s="18">
        <f>IF(COUNTIFS(T_TTAFStock_Log[Part Name],$A7,T_TTAFStock_Log[WeekIndex],3)=0,"",SUMIFS(T_TTAFStock_Log[TTAF_Qty],T_TTAFStock_Log[Part Name],$A7,T_TTAFStock_Log[WeekIndex],3))</f>
        <v/>
      </c>
      <c r="E7" s="18">
        <f>IF(COUNTIFS(T_TTAFStock_Log[Part Name],$A7,T_TTAFStock_Log[WeekIndex],4)=0,"",SUMIFS(T_TTAFStock_Log[TTAF_Qty],T_TTAFStock_Log[Part Name],$A7,T_TTAFStock_Log[WeekIndex],4))</f>
        <v/>
      </c>
      <c r="F7" s="18">
        <f>IF(COUNTIFS(T_TTAFStock_Log[Part Name],$A7,T_TTAFStock_Log[WeekIndex],5)=0,"",SUMIFS(T_TTAFStock_Log[TTAF_Qty],T_TTAFStock_Log[Part Name],$A7,T_TTAFStock_Log[WeekIndex],5))</f>
        <v/>
      </c>
      <c r="G7" s="18">
        <f>IF(COUNTIFS(T_TTAFStock_Log[Part Name],$A7,T_TTAFStock_Log[WeekIndex],6)=0,"",SUMIFS(T_TTAFStock_Log[TTAF_Qty],T_TTAFStock_Log[Part Name],$A7,T_TTAFStock_Log[WeekIndex],6))</f>
        <v/>
      </c>
      <c r="H7" s="18">
        <f>IF(COUNTIFS(T_TTAFStock_Log[Part Name],$A7,T_TTAFStock_Log[WeekIndex],7)=0,"",SUMIFS(T_TTAFStock_Log[TTAF_Qty],T_TTAFStock_Log[Part Name],$A7,T_TTAFStock_Log[WeekIndex],7))</f>
        <v/>
      </c>
      <c r="I7" s="18">
        <f>IF(COUNTIFS(T_TTAFStock_Log[Part Name],$A7,T_TTAFStock_Log[WeekIndex],8)=0,"",SUMIFS(T_TTAFStock_Log[TTAF_Qty],T_TTAFStock_Log[Part Name],$A7,T_TTAFStock_Log[WeekIndex],8))</f>
        <v/>
      </c>
      <c r="J7" s="18">
        <f>IF(COUNTIFS(T_TTAFStock_Log[Part Name],$A7,T_TTAFStock_Log[WeekIndex],9)=0,"",SUMIFS(T_TTAFStock_Log[TTAF_Qty],T_TTAFStock_Log[Part Name],$A7,T_TTAFStock_Log[WeekIndex],9))</f>
        <v/>
      </c>
      <c r="K7" s="18">
        <f>IF(COUNTIFS(T_TTAFStock_Log[Part Name],$A7,T_TTAFStock_Log[WeekIndex],10)=0,"",SUMIFS(T_TTAFStock_Log[TTAF_Qty],T_TTAFStock_Log[Part Name],$A7,T_TTAFStock_Log[WeekIndex],10))</f>
        <v/>
      </c>
      <c r="L7" s="18">
        <f>IF(COUNTIFS(T_TTAFStock_Log[Part Name],$A7,T_TTAFStock_Log[WeekIndex],11)=0,"",SUMIFS(T_TTAFStock_Log[TTAF_Qty],T_TTAFStock_Log[Part Name],$A7,T_TTAFStock_Log[WeekIndex],11))</f>
        <v/>
      </c>
      <c r="M7" s="18">
        <f>IF(COUNTIFS(T_TTAFStock_Log[Part Name],$A7,T_TTAFStock_Log[WeekIndex],12)=0,"",SUMIFS(T_TTAFStock_Log[TTAF_Qty],T_TTAFStock_Log[Part Name],$A7,T_TTAFStock_Log[WeekIndex],12))</f>
        <v/>
      </c>
      <c r="N7" s="18">
        <f>IF(COUNTIFS(T_TTAFStock_Log[Part Name],$A7,T_TTAFStock_Log[WeekIndex],13)=0,"",SUMIFS(T_TTAFStock_Log[TTAF_Qty],T_TTAFStock_Log[Part Name],$A7,T_TTAFStock_Log[WeekIndex],13))</f>
        <v/>
      </c>
      <c r="O7" s="18">
        <f>IF(COUNTIFS(T_TTAFStock_Log[Part Name],$A7,T_TTAFStock_Log[WeekIndex],14)=0,"",SUMIFS(T_TTAFStock_Log[TTAF_Qty],T_TTAFStock_Log[Part Name],$A7,T_TTAFStock_Log[WeekIndex],14))</f>
        <v/>
      </c>
      <c r="P7" s="18">
        <f>IF(COUNTIFS(T_TTAFStock_Log[Part Name],$A7,T_TTAFStock_Log[WeekIndex],15)=0,"",SUMIFS(T_TTAFStock_Log[TTAF_Qty],T_TTAFStock_Log[Part Name],$A7,T_TTAFStock_Log[WeekIndex],15))</f>
        <v/>
      </c>
      <c r="Q7" s="18">
        <f>IF(COUNTIFS(T_TTAFStock_Log[Part Name],$A7,T_TTAFStock_Log[WeekIndex],16)=0,"",SUMIFS(T_TTAFStock_Log[TTAF_Qty],T_TTAFStock_Log[Part Name],$A7,T_TTAFStock_Log[WeekIndex],16))</f>
        <v/>
      </c>
      <c r="R7" s="18">
        <f>IF(COUNTIFS(T_TTAFStock_Log[Part Name],$A7,T_TTAFStock_Log[WeekIndex],17)=0,"",SUMIFS(T_TTAFStock_Log[TTAF_Qty],T_TTAFStock_Log[Part Name],$A7,T_TTAFStock_Log[WeekIndex],17))</f>
        <v/>
      </c>
      <c r="S7" s="18">
        <f>IF(COUNTIFS(T_TTAFStock_Log[Part Name],$A7,T_TTAFStock_Log[WeekIndex],18)=0,"",SUMIFS(T_TTAFStock_Log[TTAF_Qty],T_TTAFStock_Log[Part Name],$A7,T_TTAFStock_Log[WeekIndex],18))</f>
        <v/>
      </c>
      <c r="T7" s="18">
        <f>IF(COUNTIFS(T_TTAFStock_Log[Part Name],$A7,T_TTAFStock_Log[WeekIndex],19)=0,"",SUMIFS(T_TTAFStock_Log[TTAF_Qty],T_TTAFStock_Log[Part Name],$A7,T_TTAFStock_Log[WeekIndex],19))</f>
        <v/>
      </c>
      <c r="U7" s="18">
        <f>IF(COUNTIFS(T_TTAFStock_Log[Part Name],$A7,T_TTAFStock_Log[WeekIndex],20)=0,"",SUMIFS(T_TTAFStock_Log[TTAF_Qty],T_TTAFStock_Log[Part Name],$A7,T_TTAFStock_Log[WeekIndex],20))</f>
        <v/>
      </c>
      <c r="V7" s="18">
        <f>IF(COUNTIFS(T_TTAFStock_Log[Part Name],$A7,T_TTAFStock_Log[WeekIndex],21)=0,"",SUMIFS(T_TTAFStock_Log[TTAF_Qty],T_TTAFStock_Log[Part Name],$A7,T_TTAFStock_Log[WeekIndex],21))</f>
        <v/>
      </c>
      <c r="W7" s="18">
        <f>IF(COUNTIFS(T_TTAFStock_Log[Part Name],$A7,T_TTAFStock_Log[WeekIndex],22)=0,"",SUMIFS(T_TTAFStock_Log[TTAF_Qty],T_TTAFStock_Log[Part Name],$A7,T_TTAFStock_Log[WeekIndex],22))</f>
        <v/>
      </c>
      <c r="X7" s="18">
        <f>IF(COUNTIFS(T_TTAFStock_Log[Part Name],$A7,T_TTAFStock_Log[WeekIndex],23)=0,"",SUMIFS(T_TTAFStock_Log[TTAF_Qty],T_TTAFStock_Log[Part Name],$A7,T_TTAFStock_Log[WeekIndex],23))</f>
        <v/>
      </c>
      <c r="Y7" s="18">
        <f>IF(COUNTIFS(T_TTAFStock_Log[Part Name],$A7,T_TTAFStock_Log[WeekIndex],24)=0,"",SUMIFS(T_TTAFStock_Log[TTAF_Qty],T_TTAFStock_Log[Part Name],$A7,T_TTAFStock_Log[WeekIndex],24))</f>
        <v/>
      </c>
      <c r="Z7" s="18">
        <f>IF(COUNTIFS(T_TTAFStock_Log[Part Name],$A7,T_TTAFStock_Log[WeekIndex],25)=0,"",SUMIFS(T_TTAFStock_Log[TTAF_Qty],T_TTAFStock_Log[Part Name],$A7,T_TTAFStock_Log[WeekIndex],25))</f>
        <v/>
      </c>
      <c r="AA7" s="18">
        <f>IF(COUNTIFS(T_TTAFStock_Log[Part Name],$A7,T_TTAFStock_Log[WeekIndex],26)=0,"",SUMIFS(T_TTAFStock_Log[TTAF_Qty],T_TTAFStock_Log[Part Name],$A7,T_TTAFStock_Log[WeekIndex],26))</f>
        <v/>
      </c>
      <c r="AB7" s="18">
        <f>IF(COUNTIFS(T_TTAFStock_Log[Part Name],$A7,T_TTAFStock_Log[WeekIndex],27)=0,"",SUMIFS(T_TTAFStock_Log[TTAF_Qty],T_TTAFStock_Log[Part Name],$A7,T_TTAFStock_Log[WeekIndex],27))</f>
        <v/>
      </c>
      <c r="AC7" s="18">
        <f>IF(COUNTIFS(T_TTAFStock_Log[Part Name],$A7,T_TTAFStock_Log[WeekIndex],28)=0,"",SUMIFS(T_TTAFStock_Log[TTAF_Qty],T_TTAFStock_Log[Part Name],$A7,T_TTAFStock_Log[WeekIndex],28))</f>
        <v/>
      </c>
      <c r="AD7" s="18">
        <f>IF(COUNTIFS(T_TTAFStock_Log[Part Name],$A7,T_TTAFStock_Log[WeekIndex],29)=0,"",SUMIFS(T_TTAFStock_Log[TTAF_Qty],T_TTAFStock_Log[Part Name],$A7,T_TTAFStock_Log[WeekIndex],29))</f>
        <v/>
      </c>
      <c r="AE7" s="18">
        <f>IF(COUNTIFS(T_TTAFStock_Log[Part Name],$A7,T_TTAFStock_Log[WeekIndex],30)=0,"",SUMIFS(T_TTAFStock_Log[TTAF_Qty],T_TTAFStock_Log[Part Name],$A7,T_TTAFStock_Log[WeekIndex],30))</f>
        <v/>
      </c>
      <c r="AF7" s="18">
        <f>IF(COUNTIFS(T_TTAFStock_Log[Part Name],$A7,T_TTAFStock_Log[WeekIndex],31)=0,"",SUMIFS(T_TTAFStock_Log[TTAF_Qty],T_TTAFStock_Log[Part Name],$A7,T_TTAFStock_Log[WeekIndex],31))</f>
        <v/>
      </c>
      <c r="AG7" s="18">
        <f>IF(COUNTIFS(T_TTAFStock_Log[Part Name],$A7,T_TTAFStock_Log[WeekIndex],32)=0,"",SUMIFS(T_TTAFStock_Log[TTAF_Qty],T_TTAFStock_Log[Part Name],$A7,T_TTAFStock_Log[WeekIndex],32))</f>
        <v/>
      </c>
      <c r="AH7" s="18">
        <f>IF(COUNTIFS(T_TTAFStock_Log[Part Name],$A7,T_TTAFStock_Log[WeekIndex],33)=0,"",SUMIFS(T_TTAFStock_Log[TTAF_Qty],T_TTAFStock_Log[Part Name],$A7,T_TTAFStock_Log[WeekIndex],33))</f>
        <v/>
      </c>
      <c r="AI7" s="18">
        <f>IF(COUNTIFS(T_TTAFStock_Log[Part Name],$A7,T_TTAFStock_Log[WeekIndex],34)=0,"",SUMIFS(T_TTAFStock_Log[TTAF_Qty],T_TTAFStock_Log[Part Name],$A7,T_TTAFStock_Log[WeekIndex],34))</f>
        <v/>
      </c>
      <c r="AJ7" s="18">
        <f>IF(COUNTIFS(T_TTAFStock_Log[Part Name],$A7,T_TTAFStock_Log[WeekIndex],35)=0,"",SUMIFS(T_TTAFStock_Log[TTAF_Qty],T_TTAFStock_Log[Part Name],$A7,T_TTAFStock_Log[WeekIndex],35))</f>
        <v/>
      </c>
      <c r="AK7" s="18">
        <f>IF(COUNTIFS(T_TTAFStock_Log[Part Name],$A7,T_TTAFStock_Log[WeekIndex],36)=0,"",SUMIFS(T_TTAFStock_Log[TTAF_Qty],T_TTAFStock_Log[Part Name],$A7,T_TTAFStock_Log[WeekIndex],36))</f>
        <v/>
      </c>
      <c r="AL7" s="18">
        <f>IF(COUNTIFS(T_TTAFStock_Log[Part Name],$A7,T_TTAFStock_Log[WeekIndex],37)=0,"",SUMIFS(T_TTAFStock_Log[TTAF_Qty],T_TTAFStock_Log[Part Name],$A7,T_TTAFStock_Log[WeekIndex],37))</f>
        <v/>
      </c>
      <c r="AM7" s="18">
        <f>IF(COUNTIFS(T_TTAFStock_Log[Part Name],$A7,T_TTAFStock_Log[WeekIndex],38)=0,"",SUMIFS(T_TTAFStock_Log[TTAF_Qty],T_TTAFStock_Log[Part Name],$A7,T_TTAFStock_Log[WeekIndex],38))</f>
        <v/>
      </c>
      <c r="AN7" s="18">
        <f>IF(COUNTIFS(T_TTAFStock_Log[Part Name],$A7,T_TTAFStock_Log[WeekIndex],39)=0,"",SUMIFS(T_TTAFStock_Log[TTAF_Qty],T_TTAFStock_Log[Part Name],$A7,T_TTAFStock_Log[WeekIndex],39))</f>
        <v/>
      </c>
      <c r="AO7" s="18">
        <f>IF(COUNTIFS(T_TTAFStock_Log[Part Name],$A7,T_TTAFStock_Log[WeekIndex],40)=0,"",SUMIFS(T_TTAFStock_Log[TTAF_Qty],T_TTAFStock_Log[Part Name],$A7,T_TTAFStock_Log[WeekIndex],40))</f>
        <v/>
      </c>
      <c r="AP7" s="18">
        <f>IF(COUNTIFS(T_TTAFStock_Log[Part Name],$A7,T_TTAFStock_Log[WeekIndex],41)=0,"",SUMIFS(T_TTAFStock_Log[TTAF_Qty],T_TTAFStock_Log[Part Name],$A7,T_TTAFStock_Log[WeekIndex],41))</f>
        <v/>
      </c>
      <c r="AQ7" s="18">
        <f>IF(COUNTIFS(T_TTAFStock_Log[Part Name],$A7,T_TTAFStock_Log[WeekIndex],42)=0,"",SUMIFS(T_TTAFStock_Log[TTAF_Qty],T_TTAFStock_Log[Part Name],$A7,T_TTAFStock_Log[WeekIndex],42))</f>
        <v/>
      </c>
      <c r="AR7" s="18">
        <f>IF(COUNTIFS(T_TTAFStock_Log[Part Name],$A7,T_TTAFStock_Log[WeekIndex],43)=0,"",SUMIFS(T_TTAFStock_Log[TTAF_Qty],T_TTAFStock_Log[Part Name],$A7,T_TTAFStock_Log[WeekIndex],43))</f>
        <v/>
      </c>
      <c r="AS7" s="18">
        <f>IF(COUNTIFS(T_TTAFStock_Log[Part Name],$A7,T_TTAFStock_Log[WeekIndex],44)=0,"",SUMIFS(T_TTAFStock_Log[TTAF_Qty],T_TTAFStock_Log[Part Name],$A7,T_TTAFStock_Log[WeekIndex],44))</f>
        <v/>
      </c>
      <c r="AT7" s="18">
        <f>IF(COUNTIFS(T_TTAFStock_Log[Part Name],$A7,T_TTAFStock_Log[WeekIndex],45)=0,"",SUMIFS(T_TTAFStock_Log[TTAF_Qty],T_TTAFStock_Log[Part Name],$A7,T_TTAFStock_Log[WeekIndex],45))</f>
        <v/>
      </c>
      <c r="AU7" s="18">
        <f>IF(COUNTIFS(T_TTAFStock_Log[Part Name],$A7,T_TTAFStock_Log[WeekIndex],46)=0,"",SUMIFS(T_TTAFStock_Log[TTAF_Qty],T_TTAFStock_Log[Part Name],$A7,T_TTAFStock_Log[WeekIndex],46))</f>
        <v/>
      </c>
      <c r="AV7" s="18">
        <f>IF(COUNTIFS(T_TTAFStock_Log[Part Name],$A7,T_TTAFStock_Log[WeekIndex],47)=0,"",SUMIFS(T_TTAFStock_Log[TTAF_Qty],T_TTAFStock_Log[Part Name],$A7,T_TTAFStock_Log[WeekIndex],47))</f>
        <v/>
      </c>
      <c r="AW7" s="18">
        <f>IF(COUNTIFS(T_TTAFStock_Log[Part Name],$A7,T_TTAFStock_Log[WeekIndex],48)=0,"",SUMIFS(T_TTAFStock_Log[TTAF_Qty],T_TTAFStock_Log[Part Name],$A7,T_TTAFStock_Log[WeekIndex],48))</f>
        <v/>
      </c>
      <c r="AX7" s="18">
        <f>IF(COUNTIFS(T_TTAFStock_Log[Part Name],$A7,T_TTAFStock_Log[WeekIndex],49)=0,"",SUMIFS(T_TTAFStock_Log[TTAF_Qty],T_TTAFStock_Log[Part Name],$A7,T_TTAFStock_Log[WeekIndex],49))</f>
        <v/>
      </c>
      <c r="AY7" s="18">
        <f>IF(COUNTIFS(T_TTAFStock_Log[Part Name],$A7,T_TTAFStock_Log[WeekIndex],50)=0,"",SUMIFS(T_TTAFStock_Log[TTAF_Qty],T_TTAFStock_Log[Part Name],$A7,T_TTAFStock_Log[WeekIndex],50))</f>
        <v/>
      </c>
      <c r="AZ7" s="18">
        <f>IF(COUNTIFS(T_TTAFStock_Log[Part Name],$A7,T_TTAFStock_Log[WeekIndex],51)=0,"",SUMIFS(T_TTAFStock_Log[TTAF_Qty],T_TTAFStock_Log[Part Name],$A7,T_TTAFStock_Log[WeekIndex],51))</f>
        <v/>
      </c>
      <c r="BA7" s="18">
        <f>IF(COUNTIFS(T_TTAFStock_Log[Part Name],$A7,T_TTAFStock_Log[WeekIndex],52)=0,"",SUMIFS(T_TTAFStock_Log[TTAF_Qty],T_TTAFStock_Log[Part Name],$A7,T_TTAFStock_Log[WeekIndex],52))</f>
        <v/>
      </c>
      <c r="BB7" s="18">
        <f>IF(COUNTIFS(T_TTAFStock_Log[Part Name],$A7,T_TTAFStock_Log[WeekIndex],53)=0,"",SUMIFS(T_TTAFStock_Log[TTAF_Qty],T_TTAFStock_Log[Part Name],$A7,T_TTAFStock_Log[WeekIndex],53))</f>
        <v/>
      </c>
      <c r="BC7" s="18">
        <f>IF(COUNTIFS(T_TTAFStock_Log[Part Name],$A7,T_TTAFStock_Log[WeekIndex],54)=0,"",SUMIFS(T_TTAFStock_Log[TTAF_Qty],T_TTAFStock_Log[Part Name],$A7,T_TTAFStock_Log[WeekIndex],54))</f>
        <v/>
      </c>
      <c r="BD7" s="18">
        <f>IF(COUNTIFS(T_TTAFStock_Log[Part Name],$A7,T_TTAFStock_Log[WeekIndex],55)=0,"",SUMIFS(T_TTAFStock_Log[TTAF_Qty],T_TTAFStock_Log[Part Name],$A7,T_TTAFStock_Log[WeekIndex],55))</f>
        <v/>
      </c>
      <c r="BE7" s="18">
        <f>IF(COUNTIFS(T_TTAFStock_Log[Part Name],$A7,T_TTAFStock_Log[WeekIndex],56)=0,"",SUMIFS(T_TTAFStock_Log[TTAF_Qty],T_TTAFStock_Log[Part Name],$A7,T_TTAFStock_Log[WeekIndex],56))</f>
        <v/>
      </c>
      <c r="BF7" s="18">
        <f>IF(COUNTIFS(T_TTAFStock_Log[Part Name],$A7,T_TTAFStock_Log[WeekIndex],57)=0,"",SUMIFS(T_TTAFStock_Log[TTAF_Qty],T_TTAFStock_Log[Part Name],$A7,T_TTAFStock_Log[WeekIndex],57))</f>
        <v/>
      </c>
      <c r="BG7" s="18">
        <f>IF(COUNTIFS(T_TTAFStock_Log[Part Name],$A7,T_TTAFStock_Log[WeekIndex],58)=0,"",SUMIFS(T_TTAFStock_Log[TTAF_Qty],T_TTAFStock_Log[Part Name],$A7,T_TTAFStock_Log[WeekIndex],58))</f>
        <v/>
      </c>
      <c r="BH7" s="18">
        <f>IF(COUNTIFS(T_TTAFStock_Log[Part Name],$A7,T_TTAFStock_Log[WeekIndex],59)=0,"",SUMIFS(T_TTAFStock_Log[TTAF_Qty],T_TTAFStock_Log[Part Name],$A7,T_TTAFStock_Log[WeekIndex],59))</f>
        <v/>
      </c>
      <c r="BI7" s="18">
        <f>IF(COUNTIFS(T_TTAFStock_Log[Part Name],$A7,T_TTAFStock_Log[WeekIndex],60)=0,"",SUMIFS(T_TTAFStock_Log[TTAF_Qty],T_TTAFStock_Log[Part Name],$A7,T_TTAFStock_Log[WeekIndex],60))</f>
        <v/>
      </c>
      <c r="BJ7" s="18">
        <f>IF(COUNTIFS(T_TTAFStock_Log[Part Name],$A7,T_TTAFStock_Log[WeekIndex],61)=0,"",SUMIFS(T_TTAFStock_Log[TTAF_Qty],T_TTAFStock_Log[Part Name],$A7,T_TTAFStock_Log[WeekIndex],61))</f>
        <v/>
      </c>
      <c r="BK7" s="18">
        <f>IF(COUNTIFS(T_TTAFStock_Log[Part Name],$A7,T_TTAFStock_Log[WeekIndex],62)=0,"",SUMIFS(T_TTAFStock_Log[TTAF_Qty],T_TTAFStock_Log[Part Name],$A7,T_TTAFStock_Log[WeekIndex],62))</f>
        <v/>
      </c>
      <c r="BL7" s="18">
        <f>IF(COUNTIFS(T_TTAFStock_Log[Part Name],$A7,T_TTAFStock_Log[WeekIndex],63)=0,"",SUMIFS(T_TTAFStock_Log[TTAF_Qty],T_TTAFStock_Log[Part Name],$A7,T_TTAFStock_Log[WeekIndex],63))</f>
        <v/>
      </c>
      <c r="BM7" s="18">
        <f>IF(COUNTIFS(T_TTAFStock_Log[Part Name],$A7,T_TTAFStock_Log[WeekIndex],64)=0,"",SUMIFS(T_TTAFStock_Log[TTAF_Qty],T_TTAFStock_Log[Part Name],$A7,T_TTAFStock_Log[WeekIndex],64))</f>
        <v/>
      </c>
      <c r="BN7" s="18">
        <f>IF(COUNTIFS(T_TTAFStock_Log[Part Name],$A7,T_TTAFStock_Log[WeekIndex],65)=0,"",SUMIFS(T_TTAFStock_Log[TTAF_Qty],T_TTAFStock_Log[Part Name],$A7,T_TTAFStock_Log[WeekIndex],65))</f>
        <v/>
      </c>
      <c r="BO7" s="18">
        <f>IF(COUNTIFS(T_TTAFStock_Log[Part Name],$A7,T_TTAFStock_Log[WeekIndex],66)=0,"",SUMIFS(T_TTAFStock_Log[TTAF_Qty],T_TTAFStock_Log[Part Name],$A7,T_TTAFStock_Log[WeekIndex],66))</f>
        <v/>
      </c>
      <c r="BP7" s="18">
        <f>IF(COUNTIFS(T_TTAFStock_Log[Part Name],$A7,T_TTAFStock_Log[WeekIndex],67)=0,"",SUMIFS(T_TTAFStock_Log[TTAF_Qty],T_TTAFStock_Log[Part Name],$A7,T_TTAFStock_Log[WeekIndex],67))</f>
        <v/>
      </c>
      <c r="BQ7" s="18">
        <f>IF(COUNTIFS(T_TTAFStock_Log[Part Name],$A7,T_TTAFStock_Log[WeekIndex],68)=0,"",SUMIFS(T_TTAFStock_Log[TTAF_Qty],T_TTAFStock_Log[Part Name],$A7,T_TTAFStock_Log[WeekIndex],68))</f>
        <v/>
      </c>
      <c r="BR7" s="18">
        <f>IF(COUNTIFS(T_TTAFStock_Log[Part Name],$A7,T_TTAFStock_Log[WeekIndex],69)=0,"",SUMIFS(T_TTAFStock_Log[TTAF_Qty],T_TTAFStock_Log[Part Name],$A7,T_TTAFStock_Log[WeekIndex],69))</f>
        <v/>
      </c>
      <c r="BS7" s="18">
        <f>IF(COUNTIFS(T_TTAFStock_Log[Part Name],$A7,T_TTAFStock_Log[WeekIndex],70)=0,"",SUMIFS(T_TTAFStock_Log[TTAF_Qty],T_TTAFStock_Log[Part Name],$A7,T_TTAFStock_Log[WeekIndex],70))</f>
        <v/>
      </c>
      <c r="BT7" s="18">
        <f>IF(COUNTIFS(T_TTAFStock_Log[Part Name],$A7,T_TTAFStock_Log[WeekIndex],71)=0,"",SUMIFS(T_TTAFStock_Log[TTAF_Qty],T_TTAFStock_Log[Part Name],$A7,T_TTAFStock_Log[WeekIndex],71))</f>
        <v/>
      </c>
      <c r="BU7" s="18">
        <f>IF(COUNTIFS(T_TTAFStock_Log[Part Name],$A7,T_TTAFStock_Log[WeekIndex],72)=0,"",SUMIFS(T_TTAFStock_Log[TTAF_Qty],T_TTAFStock_Log[Part Name],$A7,T_TTAFStock_Log[WeekIndex],72))</f>
        <v/>
      </c>
      <c r="BV7" s="18">
        <f>IF(COUNTIFS(T_TTAFStock_Log[Part Name],$A7,T_TTAFStock_Log[WeekIndex],73)=0,"",SUMIFS(T_TTAFStock_Log[TTAF_Qty],T_TTAFStock_Log[Part Name],$A7,T_TTAFStock_Log[WeekIndex],73))</f>
        <v/>
      </c>
      <c r="BW7" s="18">
        <f>IF(COUNTIFS(T_TTAFStock_Log[Part Name],$A7,T_TTAFStock_Log[WeekIndex],74)=0,"",SUMIFS(T_TTAFStock_Log[TTAF_Qty],T_TTAFStock_Log[Part Name],$A7,T_TTAFStock_Log[WeekIndex],74))</f>
        <v/>
      </c>
      <c r="BX7" s="18">
        <f>IF(COUNTIFS(T_TTAFStock_Log[Part Name],$A7,T_TTAFStock_Log[WeekIndex],75)=0,"",SUMIFS(T_TTAFStock_Log[TTAF_Qty],T_TTAFStock_Log[Part Name],$A7,T_TTAFStock_Log[WeekIndex],75))</f>
        <v/>
      </c>
      <c r="BY7" s="18">
        <f>IF(COUNTIFS(T_TTAFStock_Log[Part Name],$A7,T_TTAFStock_Log[WeekIndex],76)=0,"",SUMIFS(T_TTAFStock_Log[TTAF_Qty],T_TTAFStock_Log[Part Name],$A7,T_TTAFStock_Log[WeekIndex],76))</f>
        <v/>
      </c>
      <c r="BZ7" s="18">
        <f>IF(COUNTIFS(T_TTAFStock_Log[Part Name],$A7,T_TTAFStock_Log[WeekIndex],77)=0,"",SUMIFS(T_TTAFStock_Log[TTAF_Qty],T_TTAFStock_Log[Part Name],$A7,T_TTAFStock_Log[WeekIndex],77))</f>
        <v/>
      </c>
      <c r="CA7" s="18">
        <f>IF(COUNTIFS(T_TTAFStock_Log[Part Name],$A7,T_TTAFStock_Log[WeekIndex],78)=0,"",SUMIFS(T_TTAFStock_Log[TTAF_Qty],T_TTAFStock_Log[Part Name],$A7,T_TTAFStock_Log[WeekIndex],78))</f>
        <v/>
      </c>
      <c r="CB7" s="18">
        <f>IF(COUNTIFS(T_TTAFStock_Log[Part Name],$A7,T_TTAFStock_Log[WeekIndex],79)=0,"",SUMIFS(T_TTAFStock_Log[TTAF_Qty],T_TTAFStock_Log[Part Name],$A7,T_TTAFStock_Log[WeekIndex],79))</f>
        <v/>
      </c>
      <c r="CC7" s="18">
        <f>IF(COUNTIFS(T_TTAFStock_Log[Part Name],$A7,T_TTAFStock_Log[WeekIndex],80)=0,"",SUMIFS(T_TTAFStock_Log[TTAF_Qty],T_TTAFStock_Log[Part Name],$A7,T_TTAFStock_Log[WeekIndex],80))</f>
        <v/>
      </c>
      <c r="CD7" s="18">
        <f>IF(COUNTIFS(T_TTAFStock_Log[Part Name],$A7,T_TTAFStock_Log[WeekIndex],81)=0,"",SUMIFS(T_TTAFStock_Log[TTAF_Qty],T_TTAFStock_Log[Part Name],$A7,T_TTAFStock_Log[WeekIndex],81))</f>
        <v/>
      </c>
      <c r="CE7" s="18">
        <f>IF(COUNTIFS(T_TTAFStock_Log[Part Name],$A7,T_TTAFStock_Log[WeekIndex],82)=0,"",SUMIFS(T_TTAFStock_Log[TTAF_Qty],T_TTAFStock_Log[Part Name],$A7,T_TTAFStock_Log[WeekIndex],82))</f>
        <v/>
      </c>
      <c r="CF7" s="18">
        <f>IF(COUNTIFS(T_TTAFStock_Log[Part Name],$A7,T_TTAFStock_Log[WeekIndex],83)=0,"",SUMIFS(T_TTAFStock_Log[TTAF_Qty],T_TTAFStock_Log[Part Name],$A7,T_TTAFStock_Log[WeekIndex],83))</f>
        <v/>
      </c>
      <c r="CG7" s="18">
        <f>IF(COUNTIFS(T_TTAFStock_Log[Part Name],$A7,T_TTAFStock_Log[WeekIndex],84)=0,"",SUMIFS(T_TTAFStock_Log[TTAF_Qty],T_TTAFStock_Log[Part Name],$A7,T_TTAFStock_Log[WeekIndex],84))</f>
        <v/>
      </c>
      <c r="CH7" s="18">
        <f>IF(COUNTIFS(T_TTAFStock_Log[Part Name],$A7,T_TTAFStock_Log[WeekIndex],85)=0,"",SUMIFS(T_TTAFStock_Log[TTAF_Qty],T_TTAFStock_Log[Part Name],$A7,T_TTAFStock_Log[WeekIndex],85))</f>
        <v/>
      </c>
      <c r="CI7" s="18">
        <f>IF(COUNTIFS(T_TTAFStock_Log[Part Name],$A7,T_TTAFStock_Log[WeekIndex],86)=0,"",SUMIFS(T_TTAFStock_Log[TTAF_Qty],T_TTAFStock_Log[Part Name],$A7,T_TTAFStock_Log[WeekIndex],86))</f>
        <v/>
      </c>
      <c r="CJ7" s="18">
        <f>IF(COUNTIFS(T_TTAFStock_Log[Part Name],$A7,T_TTAFStock_Log[WeekIndex],87)=0,"",SUMIFS(T_TTAFStock_Log[TTAF_Qty],T_TTAFStock_Log[Part Name],$A7,T_TTAFStock_Log[WeekIndex],87))</f>
        <v/>
      </c>
      <c r="CK7" s="18">
        <f>IF(COUNTIFS(T_TTAFStock_Log[Part Name],$A7,T_TTAFStock_Log[WeekIndex],88)=0,"",SUMIFS(T_TTAFStock_Log[TTAF_Qty],T_TTAFStock_Log[Part Name],$A7,T_TTAFStock_Log[WeekIndex],88))</f>
        <v/>
      </c>
      <c r="CL7" s="18">
        <f>IF(COUNTIFS(T_TTAFStock_Log[Part Name],$A7,T_TTAFStock_Log[WeekIndex],89)=0,"",SUMIFS(T_TTAFStock_Log[TTAF_Qty],T_TTAFStock_Log[Part Name],$A7,T_TTAFStock_Log[WeekIndex],89))</f>
        <v/>
      </c>
      <c r="CM7" s="18">
        <f>IF(COUNTIFS(T_TTAFStock_Log[Part Name],$A7,T_TTAFStock_Log[WeekIndex],90)=0,"",SUMIFS(T_TTAFStock_Log[TTAF_Qty],T_TTAFStock_Log[Part Name],$A7,T_TTAFStock_Log[WeekIndex],90))</f>
        <v/>
      </c>
      <c r="CN7" s="18">
        <f>IF(COUNTIFS(T_TTAFStock_Log[Part Name],$A7,T_TTAFStock_Log[WeekIndex],91)=0,"",SUMIFS(T_TTAFStock_Log[TTAF_Qty],T_TTAFStock_Log[Part Name],$A7,T_TTAFStock_Log[WeekIndex],91))</f>
        <v/>
      </c>
      <c r="CO7" s="18">
        <f>IF(COUNTIFS(T_TTAFStock_Log[Part Name],$A7,T_TTAFStock_Log[WeekIndex],92)=0,"",SUMIFS(T_TTAFStock_Log[TTAF_Qty],T_TTAFStock_Log[Part Name],$A7,T_TTAFStock_Log[WeekIndex],92))</f>
        <v/>
      </c>
      <c r="CP7" s="18">
        <f>IF(COUNTIFS(T_TTAFStock_Log[Part Name],$A7,T_TTAFStock_Log[WeekIndex],93)=0,"",SUMIFS(T_TTAFStock_Log[TTAF_Qty],T_TTAFStock_Log[Part Name],$A7,T_TTAFStock_Log[WeekIndex],93))</f>
        <v/>
      </c>
      <c r="CQ7" s="18">
        <f>IF(COUNTIFS(T_TTAFStock_Log[Part Name],$A7,T_TTAFStock_Log[WeekIndex],94)=0,"",SUMIFS(T_TTAFStock_Log[TTAF_Qty],T_TTAFStock_Log[Part Name],$A7,T_TTAFStock_Log[WeekIndex],94))</f>
        <v/>
      </c>
      <c r="CR7" s="18">
        <f>IF(COUNTIFS(T_TTAFStock_Log[Part Name],$A7,T_TTAFStock_Log[WeekIndex],95)=0,"",SUMIFS(T_TTAFStock_Log[TTAF_Qty],T_TTAFStock_Log[Part Name],$A7,T_TTAFStock_Log[WeekIndex],95))</f>
        <v/>
      </c>
      <c r="CS7" s="18">
        <f>IF(COUNTIFS(T_TTAFStock_Log[Part Name],$A7,T_TTAFStock_Log[WeekIndex],96)=0,"",SUMIFS(T_TTAFStock_Log[TTAF_Qty],T_TTAFStock_Log[Part Name],$A7,T_TTAFStock_Log[WeekIndex],96))</f>
        <v/>
      </c>
      <c r="CT7" s="18">
        <f>IF(COUNTIFS(T_TTAFStock_Log[Part Name],$A7,T_TTAFStock_Log[WeekIndex],97)=0,"",SUMIFS(T_TTAFStock_Log[TTAF_Qty],T_TTAFStock_Log[Part Name],$A7,T_TTAFStock_Log[WeekIndex],97))</f>
        <v/>
      </c>
      <c r="CU7" s="18">
        <f>IF(COUNTIFS(T_TTAFStock_Log[Part Name],$A7,T_TTAFStock_Log[WeekIndex],98)=0,"",SUMIFS(T_TTAFStock_Log[TTAF_Qty],T_TTAFStock_Log[Part Name],$A7,T_TTAFStock_Log[WeekIndex],98))</f>
        <v/>
      </c>
      <c r="CV7" s="18">
        <f>IF(COUNTIFS(T_TTAFStock_Log[Part Name],$A7,T_TTAFStock_Log[WeekIndex],99)=0,"",SUMIFS(T_TTAFStock_Log[TTAF_Qty],T_TTAFStock_Log[Part Name],$A7,T_TTAFStock_Log[WeekIndex],99))</f>
        <v/>
      </c>
      <c r="CW7" s="18">
        <f>IF(COUNTIFS(T_TTAFStock_Log[Part Name],$A7,T_TTAFStock_Log[WeekIndex],100)=0,"",SUMIFS(T_TTAFStock_Log[TTAF_Qty],T_TTAFStock_Log[Part Name],$A7,T_TTAFStock_Log[WeekIndex],100))</f>
        <v/>
      </c>
      <c r="CX7" s="18">
        <f>IF(COUNTIFS(T_TTAFStock_Log[Part Name],$A7,T_TTAFStock_Log[WeekIndex],101)=0,"",SUMIFS(T_TTAFStock_Log[TTAF_Qty],T_TTAFStock_Log[Part Name],$A7,T_TTAFStock_Log[WeekIndex],101))</f>
        <v/>
      </c>
      <c r="CY7" s="18">
        <f>IF(COUNTIFS(T_TTAFStock_Log[Part Name],$A7,T_TTAFStock_Log[WeekIndex],102)=0,"",SUMIFS(T_TTAFStock_Log[TTAF_Qty],T_TTAFStock_Log[Part Name],$A7,T_TTAFStock_Log[WeekIndex],102))</f>
        <v/>
      </c>
      <c r="CZ7" s="18">
        <f>IF(COUNTIFS(T_TTAFStock_Log[Part Name],$A7,T_TTAFStock_Log[WeekIndex],103)=0,"",SUMIFS(T_TTAFStock_Log[TTAF_Qty],T_TTAFStock_Log[Part Name],$A7,T_TTAFStock_Log[WeekIndex],103))</f>
        <v/>
      </c>
      <c r="DA7" s="18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CHEM-1700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8" t="inlineStr">
        <is>
          <t>CHEM-1420</t>
        </is>
      </c>
      <c r="B9" s="18">
        <f>IF(COUNTIFS(T_TTAFStock_Log[Part Name],$A9,T_TTAFStock_Log[WeekIndex],1)=0,"",SUMIFS(T_TTAFStock_Log[TTAF_Qty],T_TTAFStock_Log[Part Name],$A9,T_TTAFStock_Log[WeekIndex],1))</f>
        <v/>
      </c>
      <c r="C9" s="18">
        <f>IF(COUNTIFS(T_TTAFStock_Log[Part Name],$A9,T_TTAFStock_Log[WeekIndex],2)=0,"",SUMIFS(T_TTAFStock_Log[TTAF_Qty],T_TTAFStock_Log[Part Name],$A9,T_TTAFStock_Log[WeekIndex],2))</f>
        <v/>
      </c>
      <c r="D9" s="18">
        <f>IF(COUNTIFS(T_TTAFStock_Log[Part Name],$A9,T_TTAFStock_Log[WeekIndex],3)=0,"",SUMIFS(T_TTAFStock_Log[TTAF_Qty],T_TTAFStock_Log[Part Name],$A9,T_TTAFStock_Log[WeekIndex],3))</f>
        <v/>
      </c>
      <c r="E9" s="18">
        <f>IF(COUNTIFS(T_TTAFStock_Log[Part Name],$A9,T_TTAFStock_Log[WeekIndex],4)=0,"",SUMIFS(T_TTAFStock_Log[TTAF_Qty],T_TTAFStock_Log[Part Name],$A9,T_TTAFStock_Log[WeekIndex],4))</f>
        <v/>
      </c>
      <c r="F9" s="18">
        <f>IF(COUNTIFS(T_TTAFStock_Log[Part Name],$A9,T_TTAFStock_Log[WeekIndex],5)=0,"",SUMIFS(T_TTAFStock_Log[TTAF_Qty],T_TTAFStock_Log[Part Name],$A9,T_TTAFStock_Log[WeekIndex],5))</f>
        <v/>
      </c>
      <c r="G9" s="18">
        <f>IF(COUNTIFS(T_TTAFStock_Log[Part Name],$A9,T_TTAFStock_Log[WeekIndex],6)=0,"",SUMIFS(T_TTAFStock_Log[TTAF_Qty],T_TTAFStock_Log[Part Name],$A9,T_TTAFStock_Log[WeekIndex],6))</f>
        <v/>
      </c>
      <c r="H9" s="18">
        <f>IF(COUNTIFS(T_TTAFStock_Log[Part Name],$A9,T_TTAFStock_Log[WeekIndex],7)=0,"",SUMIFS(T_TTAFStock_Log[TTAF_Qty],T_TTAFStock_Log[Part Name],$A9,T_TTAFStock_Log[WeekIndex],7))</f>
        <v/>
      </c>
      <c r="I9" s="18">
        <f>IF(COUNTIFS(T_TTAFStock_Log[Part Name],$A9,T_TTAFStock_Log[WeekIndex],8)=0,"",SUMIFS(T_TTAFStock_Log[TTAF_Qty],T_TTAFStock_Log[Part Name],$A9,T_TTAFStock_Log[WeekIndex],8))</f>
        <v/>
      </c>
      <c r="J9" s="18">
        <f>IF(COUNTIFS(T_TTAFStock_Log[Part Name],$A9,T_TTAFStock_Log[WeekIndex],9)=0,"",SUMIFS(T_TTAFStock_Log[TTAF_Qty],T_TTAFStock_Log[Part Name],$A9,T_TTAFStock_Log[WeekIndex],9))</f>
        <v/>
      </c>
      <c r="K9" s="18">
        <f>IF(COUNTIFS(T_TTAFStock_Log[Part Name],$A9,T_TTAFStock_Log[WeekIndex],10)=0,"",SUMIFS(T_TTAFStock_Log[TTAF_Qty],T_TTAFStock_Log[Part Name],$A9,T_TTAFStock_Log[WeekIndex],10))</f>
        <v/>
      </c>
      <c r="L9" s="18">
        <f>IF(COUNTIFS(T_TTAFStock_Log[Part Name],$A9,T_TTAFStock_Log[WeekIndex],11)=0,"",SUMIFS(T_TTAFStock_Log[TTAF_Qty],T_TTAFStock_Log[Part Name],$A9,T_TTAFStock_Log[WeekIndex],11))</f>
        <v/>
      </c>
      <c r="M9" s="18">
        <f>IF(COUNTIFS(T_TTAFStock_Log[Part Name],$A9,T_TTAFStock_Log[WeekIndex],12)=0,"",SUMIFS(T_TTAFStock_Log[TTAF_Qty],T_TTAFStock_Log[Part Name],$A9,T_TTAFStock_Log[WeekIndex],12))</f>
        <v/>
      </c>
      <c r="N9" s="18">
        <f>IF(COUNTIFS(T_TTAFStock_Log[Part Name],$A9,T_TTAFStock_Log[WeekIndex],13)=0,"",SUMIFS(T_TTAFStock_Log[TTAF_Qty],T_TTAFStock_Log[Part Name],$A9,T_TTAFStock_Log[WeekIndex],13))</f>
        <v/>
      </c>
      <c r="O9" s="18">
        <f>IF(COUNTIFS(T_TTAFStock_Log[Part Name],$A9,T_TTAFStock_Log[WeekIndex],14)=0,"",SUMIFS(T_TTAFStock_Log[TTAF_Qty],T_TTAFStock_Log[Part Name],$A9,T_TTAFStock_Log[WeekIndex],14))</f>
        <v/>
      </c>
      <c r="P9" s="18">
        <f>IF(COUNTIFS(T_TTAFStock_Log[Part Name],$A9,T_TTAFStock_Log[WeekIndex],15)=0,"",SUMIFS(T_TTAFStock_Log[TTAF_Qty],T_TTAFStock_Log[Part Name],$A9,T_TTAFStock_Log[WeekIndex],15))</f>
        <v/>
      </c>
      <c r="Q9" s="18">
        <f>IF(COUNTIFS(T_TTAFStock_Log[Part Name],$A9,T_TTAFStock_Log[WeekIndex],16)=0,"",SUMIFS(T_TTAFStock_Log[TTAF_Qty],T_TTAFStock_Log[Part Name],$A9,T_TTAFStock_Log[WeekIndex],16))</f>
        <v/>
      </c>
      <c r="R9" s="18">
        <f>IF(COUNTIFS(T_TTAFStock_Log[Part Name],$A9,T_TTAFStock_Log[WeekIndex],17)=0,"",SUMIFS(T_TTAFStock_Log[TTAF_Qty],T_TTAFStock_Log[Part Name],$A9,T_TTAFStock_Log[WeekIndex],17))</f>
        <v/>
      </c>
      <c r="S9" s="18">
        <f>IF(COUNTIFS(T_TTAFStock_Log[Part Name],$A9,T_TTAFStock_Log[WeekIndex],18)=0,"",SUMIFS(T_TTAFStock_Log[TTAF_Qty],T_TTAFStock_Log[Part Name],$A9,T_TTAFStock_Log[WeekIndex],18))</f>
        <v/>
      </c>
      <c r="T9" s="18">
        <f>IF(COUNTIFS(T_TTAFStock_Log[Part Name],$A9,T_TTAFStock_Log[WeekIndex],19)=0,"",SUMIFS(T_TTAFStock_Log[TTAF_Qty],T_TTAFStock_Log[Part Name],$A9,T_TTAFStock_Log[WeekIndex],19))</f>
        <v/>
      </c>
      <c r="U9" s="18">
        <f>IF(COUNTIFS(T_TTAFStock_Log[Part Name],$A9,T_TTAFStock_Log[WeekIndex],20)=0,"",SUMIFS(T_TTAFStock_Log[TTAF_Qty],T_TTAFStock_Log[Part Name],$A9,T_TTAFStock_Log[WeekIndex],20))</f>
        <v/>
      </c>
      <c r="V9" s="18">
        <f>IF(COUNTIFS(T_TTAFStock_Log[Part Name],$A9,T_TTAFStock_Log[WeekIndex],21)=0,"",SUMIFS(T_TTAFStock_Log[TTAF_Qty],T_TTAFStock_Log[Part Name],$A9,T_TTAFStock_Log[WeekIndex],21))</f>
        <v/>
      </c>
      <c r="W9" s="18">
        <f>IF(COUNTIFS(T_TTAFStock_Log[Part Name],$A9,T_TTAFStock_Log[WeekIndex],22)=0,"",SUMIFS(T_TTAFStock_Log[TTAF_Qty],T_TTAFStock_Log[Part Name],$A9,T_TTAFStock_Log[WeekIndex],22))</f>
        <v/>
      </c>
      <c r="X9" s="18">
        <f>IF(COUNTIFS(T_TTAFStock_Log[Part Name],$A9,T_TTAFStock_Log[WeekIndex],23)=0,"",SUMIFS(T_TTAFStock_Log[TTAF_Qty],T_TTAFStock_Log[Part Name],$A9,T_TTAFStock_Log[WeekIndex],23))</f>
        <v/>
      </c>
      <c r="Y9" s="18">
        <f>IF(COUNTIFS(T_TTAFStock_Log[Part Name],$A9,T_TTAFStock_Log[WeekIndex],24)=0,"",SUMIFS(T_TTAFStock_Log[TTAF_Qty],T_TTAFStock_Log[Part Name],$A9,T_TTAFStock_Log[WeekIndex],24))</f>
        <v/>
      </c>
      <c r="Z9" s="18">
        <f>IF(COUNTIFS(T_TTAFStock_Log[Part Name],$A9,T_TTAFStock_Log[WeekIndex],25)=0,"",SUMIFS(T_TTAFStock_Log[TTAF_Qty],T_TTAFStock_Log[Part Name],$A9,T_TTAFStock_Log[WeekIndex],25))</f>
        <v/>
      </c>
      <c r="AA9" s="18">
        <f>IF(COUNTIFS(T_TTAFStock_Log[Part Name],$A9,T_TTAFStock_Log[WeekIndex],26)=0,"",SUMIFS(T_TTAFStock_Log[TTAF_Qty],T_TTAFStock_Log[Part Name],$A9,T_TTAFStock_Log[WeekIndex],26))</f>
        <v/>
      </c>
      <c r="AB9" s="18">
        <f>IF(COUNTIFS(T_TTAFStock_Log[Part Name],$A9,T_TTAFStock_Log[WeekIndex],27)=0,"",SUMIFS(T_TTAFStock_Log[TTAF_Qty],T_TTAFStock_Log[Part Name],$A9,T_TTAFStock_Log[WeekIndex],27))</f>
        <v/>
      </c>
      <c r="AC9" s="18">
        <f>IF(COUNTIFS(T_TTAFStock_Log[Part Name],$A9,T_TTAFStock_Log[WeekIndex],28)=0,"",SUMIFS(T_TTAFStock_Log[TTAF_Qty],T_TTAFStock_Log[Part Name],$A9,T_TTAFStock_Log[WeekIndex],28))</f>
        <v/>
      </c>
      <c r="AD9" s="18">
        <f>IF(COUNTIFS(T_TTAFStock_Log[Part Name],$A9,T_TTAFStock_Log[WeekIndex],29)=0,"",SUMIFS(T_TTAFStock_Log[TTAF_Qty],T_TTAFStock_Log[Part Name],$A9,T_TTAFStock_Log[WeekIndex],29))</f>
        <v/>
      </c>
      <c r="AE9" s="18">
        <f>IF(COUNTIFS(T_TTAFStock_Log[Part Name],$A9,T_TTAFStock_Log[WeekIndex],30)=0,"",SUMIFS(T_TTAFStock_Log[TTAF_Qty],T_TTAFStock_Log[Part Name],$A9,T_TTAFStock_Log[WeekIndex],30))</f>
        <v/>
      </c>
      <c r="AF9" s="18">
        <f>IF(COUNTIFS(T_TTAFStock_Log[Part Name],$A9,T_TTAFStock_Log[WeekIndex],31)=0,"",SUMIFS(T_TTAFStock_Log[TTAF_Qty],T_TTAFStock_Log[Part Name],$A9,T_TTAFStock_Log[WeekIndex],31))</f>
        <v/>
      </c>
      <c r="AG9" s="18">
        <f>IF(COUNTIFS(T_TTAFStock_Log[Part Name],$A9,T_TTAFStock_Log[WeekIndex],32)=0,"",SUMIFS(T_TTAFStock_Log[TTAF_Qty],T_TTAFStock_Log[Part Name],$A9,T_TTAFStock_Log[WeekIndex],32))</f>
        <v/>
      </c>
      <c r="AH9" s="18">
        <f>IF(COUNTIFS(T_TTAFStock_Log[Part Name],$A9,T_TTAFStock_Log[WeekIndex],33)=0,"",SUMIFS(T_TTAFStock_Log[TTAF_Qty],T_TTAFStock_Log[Part Name],$A9,T_TTAFStock_Log[WeekIndex],33))</f>
        <v/>
      </c>
      <c r="AI9" s="18">
        <f>IF(COUNTIFS(T_TTAFStock_Log[Part Name],$A9,T_TTAFStock_Log[WeekIndex],34)=0,"",SUMIFS(T_TTAFStock_Log[TTAF_Qty],T_TTAFStock_Log[Part Name],$A9,T_TTAFStock_Log[WeekIndex],34))</f>
        <v/>
      </c>
      <c r="AJ9" s="18">
        <f>IF(COUNTIFS(T_TTAFStock_Log[Part Name],$A9,T_TTAFStock_Log[WeekIndex],35)=0,"",SUMIFS(T_TTAFStock_Log[TTAF_Qty],T_TTAFStock_Log[Part Name],$A9,T_TTAFStock_Log[WeekIndex],35))</f>
        <v/>
      </c>
      <c r="AK9" s="18">
        <f>IF(COUNTIFS(T_TTAFStock_Log[Part Name],$A9,T_TTAFStock_Log[WeekIndex],36)=0,"",SUMIFS(T_TTAFStock_Log[TTAF_Qty],T_TTAFStock_Log[Part Name],$A9,T_TTAFStock_Log[WeekIndex],36))</f>
        <v/>
      </c>
      <c r="AL9" s="18">
        <f>IF(COUNTIFS(T_TTAFStock_Log[Part Name],$A9,T_TTAFStock_Log[WeekIndex],37)=0,"",SUMIFS(T_TTAFStock_Log[TTAF_Qty],T_TTAFStock_Log[Part Name],$A9,T_TTAFStock_Log[WeekIndex],37))</f>
        <v/>
      </c>
      <c r="AM9" s="18">
        <f>IF(COUNTIFS(T_TTAFStock_Log[Part Name],$A9,T_TTAFStock_Log[WeekIndex],38)=0,"",SUMIFS(T_TTAFStock_Log[TTAF_Qty],T_TTAFStock_Log[Part Name],$A9,T_TTAFStock_Log[WeekIndex],38))</f>
        <v/>
      </c>
      <c r="AN9" s="18">
        <f>IF(COUNTIFS(T_TTAFStock_Log[Part Name],$A9,T_TTAFStock_Log[WeekIndex],39)=0,"",SUMIFS(T_TTAFStock_Log[TTAF_Qty],T_TTAFStock_Log[Part Name],$A9,T_TTAFStock_Log[WeekIndex],39))</f>
        <v/>
      </c>
      <c r="AO9" s="18">
        <f>IF(COUNTIFS(T_TTAFStock_Log[Part Name],$A9,T_TTAFStock_Log[WeekIndex],40)=0,"",SUMIFS(T_TTAFStock_Log[TTAF_Qty],T_TTAFStock_Log[Part Name],$A9,T_TTAFStock_Log[WeekIndex],40))</f>
        <v/>
      </c>
      <c r="AP9" s="18">
        <f>IF(COUNTIFS(T_TTAFStock_Log[Part Name],$A9,T_TTAFStock_Log[WeekIndex],41)=0,"",SUMIFS(T_TTAFStock_Log[TTAF_Qty],T_TTAFStock_Log[Part Name],$A9,T_TTAFStock_Log[WeekIndex],41))</f>
        <v/>
      </c>
      <c r="AQ9" s="18">
        <f>IF(COUNTIFS(T_TTAFStock_Log[Part Name],$A9,T_TTAFStock_Log[WeekIndex],42)=0,"",SUMIFS(T_TTAFStock_Log[TTAF_Qty],T_TTAFStock_Log[Part Name],$A9,T_TTAFStock_Log[WeekIndex],42))</f>
        <v/>
      </c>
      <c r="AR9" s="18">
        <f>IF(COUNTIFS(T_TTAFStock_Log[Part Name],$A9,T_TTAFStock_Log[WeekIndex],43)=0,"",SUMIFS(T_TTAFStock_Log[TTAF_Qty],T_TTAFStock_Log[Part Name],$A9,T_TTAFStock_Log[WeekIndex],43))</f>
        <v/>
      </c>
      <c r="AS9" s="18">
        <f>IF(COUNTIFS(T_TTAFStock_Log[Part Name],$A9,T_TTAFStock_Log[WeekIndex],44)=0,"",SUMIFS(T_TTAFStock_Log[TTAF_Qty],T_TTAFStock_Log[Part Name],$A9,T_TTAFStock_Log[WeekIndex],44))</f>
        <v/>
      </c>
      <c r="AT9" s="18">
        <f>IF(COUNTIFS(T_TTAFStock_Log[Part Name],$A9,T_TTAFStock_Log[WeekIndex],45)=0,"",SUMIFS(T_TTAFStock_Log[TTAF_Qty],T_TTAFStock_Log[Part Name],$A9,T_TTAFStock_Log[WeekIndex],45))</f>
        <v/>
      </c>
      <c r="AU9" s="18">
        <f>IF(COUNTIFS(T_TTAFStock_Log[Part Name],$A9,T_TTAFStock_Log[WeekIndex],46)=0,"",SUMIFS(T_TTAFStock_Log[TTAF_Qty],T_TTAFStock_Log[Part Name],$A9,T_TTAFStock_Log[WeekIndex],46))</f>
        <v/>
      </c>
      <c r="AV9" s="18">
        <f>IF(COUNTIFS(T_TTAFStock_Log[Part Name],$A9,T_TTAFStock_Log[WeekIndex],47)=0,"",SUMIFS(T_TTAFStock_Log[TTAF_Qty],T_TTAFStock_Log[Part Name],$A9,T_TTAFStock_Log[WeekIndex],47))</f>
        <v/>
      </c>
      <c r="AW9" s="18">
        <f>IF(COUNTIFS(T_TTAFStock_Log[Part Name],$A9,T_TTAFStock_Log[WeekIndex],48)=0,"",SUMIFS(T_TTAFStock_Log[TTAF_Qty],T_TTAFStock_Log[Part Name],$A9,T_TTAFStock_Log[WeekIndex],48))</f>
        <v/>
      </c>
      <c r="AX9" s="18">
        <f>IF(COUNTIFS(T_TTAFStock_Log[Part Name],$A9,T_TTAFStock_Log[WeekIndex],49)=0,"",SUMIFS(T_TTAFStock_Log[TTAF_Qty],T_TTAFStock_Log[Part Name],$A9,T_TTAFStock_Log[WeekIndex],49))</f>
        <v/>
      </c>
      <c r="AY9" s="18">
        <f>IF(COUNTIFS(T_TTAFStock_Log[Part Name],$A9,T_TTAFStock_Log[WeekIndex],50)=0,"",SUMIFS(T_TTAFStock_Log[TTAF_Qty],T_TTAFStock_Log[Part Name],$A9,T_TTAFStock_Log[WeekIndex],50))</f>
        <v/>
      </c>
      <c r="AZ9" s="18">
        <f>IF(COUNTIFS(T_TTAFStock_Log[Part Name],$A9,T_TTAFStock_Log[WeekIndex],51)=0,"",SUMIFS(T_TTAFStock_Log[TTAF_Qty],T_TTAFStock_Log[Part Name],$A9,T_TTAFStock_Log[WeekIndex],51))</f>
        <v/>
      </c>
      <c r="BA9" s="18">
        <f>IF(COUNTIFS(T_TTAFStock_Log[Part Name],$A9,T_TTAFStock_Log[WeekIndex],52)=0,"",SUMIFS(T_TTAFStock_Log[TTAF_Qty],T_TTAFStock_Log[Part Name],$A9,T_TTAFStock_Log[WeekIndex],52))</f>
        <v/>
      </c>
      <c r="BB9" s="18">
        <f>IF(COUNTIFS(T_TTAFStock_Log[Part Name],$A9,T_TTAFStock_Log[WeekIndex],53)=0,"",SUMIFS(T_TTAFStock_Log[TTAF_Qty],T_TTAFStock_Log[Part Name],$A9,T_TTAFStock_Log[WeekIndex],53))</f>
        <v/>
      </c>
      <c r="BC9" s="18">
        <f>IF(COUNTIFS(T_TTAFStock_Log[Part Name],$A9,T_TTAFStock_Log[WeekIndex],54)=0,"",SUMIFS(T_TTAFStock_Log[TTAF_Qty],T_TTAFStock_Log[Part Name],$A9,T_TTAFStock_Log[WeekIndex],54))</f>
        <v/>
      </c>
      <c r="BD9" s="18">
        <f>IF(COUNTIFS(T_TTAFStock_Log[Part Name],$A9,T_TTAFStock_Log[WeekIndex],55)=0,"",SUMIFS(T_TTAFStock_Log[TTAF_Qty],T_TTAFStock_Log[Part Name],$A9,T_TTAFStock_Log[WeekIndex],55))</f>
        <v/>
      </c>
      <c r="BE9" s="18">
        <f>IF(COUNTIFS(T_TTAFStock_Log[Part Name],$A9,T_TTAFStock_Log[WeekIndex],56)=0,"",SUMIFS(T_TTAFStock_Log[TTAF_Qty],T_TTAFStock_Log[Part Name],$A9,T_TTAFStock_Log[WeekIndex],56))</f>
        <v/>
      </c>
      <c r="BF9" s="18">
        <f>IF(COUNTIFS(T_TTAFStock_Log[Part Name],$A9,T_TTAFStock_Log[WeekIndex],57)=0,"",SUMIFS(T_TTAFStock_Log[TTAF_Qty],T_TTAFStock_Log[Part Name],$A9,T_TTAFStock_Log[WeekIndex],57))</f>
        <v/>
      </c>
      <c r="BG9" s="18">
        <f>IF(COUNTIFS(T_TTAFStock_Log[Part Name],$A9,T_TTAFStock_Log[WeekIndex],58)=0,"",SUMIFS(T_TTAFStock_Log[TTAF_Qty],T_TTAFStock_Log[Part Name],$A9,T_TTAFStock_Log[WeekIndex],58))</f>
        <v/>
      </c>
      <c r="BH9" s="18">
        <f>IF(COUNTIFS(T_TTAFStock_Log[Part Name],$A9,T_TTAFStock_Log[WeekIndex],59)=0,"",SUMIFS(T_TTAFStock_Log[TTAF_Qty],T_TTAFStock_Log[Part Name],$A9,T_TTAFStock_Log[WeekIndex],59))</f>
        <v/>
      </c>
      <c r="BI9" s="18">
        <f>IF(COUNTIFS(T_TTAFStock_Log[Part Name],$A9,T_TTAFStock_Log[WeekIndex],60)=0,"",SUMIFS(T_TTAFStock_Log[TTAF_Qty],T_TTAFStock_Log[Part Name],$A9,T_TTAFStock_Log[WeekIndex],60))</f>
        <v/>
      </c>
      <c r="BJ9" s="18">
        <f>IF(COUNTIFS(T_TTAFStock_Log[Part Name],$A9,T_TTAFStock_Log[WeekIndex],61)=0,"",SUMIFS(T_TTAFStock_Log[TTAF_Qty],T_TTAFStock_Log[Part Name],$A9,T_TTAFStock_Log[WeekIndex],61))</f>
        <v/>
      </c>
      <c r="BK9" s="18">
        <f>IF(COUNTIFS(T_TTAFStock_Log[Part Name],$A9,T_TTAFStock_Log[WeekIndex],62)=0,"",SUMIFS(T_TTAFStock_Log[TTAF_Qty],T_TTAFStock_Log[Part Name],$A9,T_TTAFStock_Log[WeekIndex],62))</f>
        <v/>
      </c>
      <c r="BL9" s="18">
        <f>IF(COUNTIFS(T_TTAFStock_Log[Part Name],$A9,T_TTAFStock_Log[WeekIndex],63)=0,"",SUMIFS(T_TTAFStock_Log[TTAF_Qty],T_TTAFStock_Log[Part Name],$A9,T_TTAFStock_Log[WeekIndex],63))</f>
        <v/>
      </c>
      <c r="BM9" s="18">
        <f>IF(COUNTIFS(T_TTAFStock_Log[Part Name],$A9,T_TTAFStock_Log[WeekIndex],64)=0,"",SUMIFS(T_TTAFStock_Log[TTAF_Qty],T_TTAFStock_Log[Part Name],$A9,T_TTAFStock_Log[WeekIndex],64))</f>
        <v/>
      </c>
      <c r="BN9" s="18">
        <f>IF(COUNTIFS(T_TTAFStock_Log[Part Name],$A9,T_TTAFStock_Log[WeekIndex],65)=0,"",SUMIFS(T_TTAFStock_Log[TTAF_Qty],T_TTAFStock_Log[Part Name],$A9,T_TTAFStock_Log[WeekIndex],65))</f>
        <v/>
      </c>
      <c r="BO9" s="18">
        <f>IF(COUNTIFS(T_TTAFStock_Log[Part Name],$A9,T_TTAFStock_Log[WeekIndex],66)=0,"",SUMIFS(T_TTAFStock_Log[TTAF_Qty],T_TTAFStock_Log[Part Name],$A9,T_TTAFStock_Log[WeekIndex],66))</f>
        <v/>
      </c>
      <c r="BP9" s="18">
        <f>IF(COUNTIFS(T_TTAFStock_Log[Part Name],$A9,T_TTAFStock_Log[WeekIndex],67)=0,"",SUMIFS(T_TTAFStock_Log[TTAF_Qty],T_TTAFStock_Log[Part Name],$A9,T_TTAFStock_Log[WeekIndex],67))</f>
        <v/>
      </c>
      <c r="BQ9" s="18">
        <f>IF(COUNTIFS(T_TTAFStock_Log[Part Name],$A9,T_TTAFStock_Log[WeekIndex],68)=0,"",SUMIFS(T_TTAFStock_Log[TTAF_Qty],T_TTAFStock_Log[Part Name],$A9,T_TTAFStock_Log[WeekIndex],68))</f>
        <v/>
      </c>
      <c r="BR9" s="18">
        <f>IF(COUNTIFS(T_TTAFStock_Log[Part Name],$A9,T_TTAFStock_Log[WeekIndex],69)=0,"",SUMIFS(T_TTAFStock_Log[TTAF_Qty],T_TTAFStock_Log[Part Name],$A9,T_TTAFStock_Log[WeekIndex],69))</f>
        <v/>
      </c>
      <c r="BS9" s="18">
        <f>IF(COUNTIFS(T_TTAFStock_Log[Part Name],$A9,T_TTAFStock_Log[WeekIndex],70)=0,"",SUMIFS(T_TTAFStock_Log[TTAF_Qty],T_TTAFStock_Log[Part Name],$A9,T_TTAFStock_Log[WeekIndex],70))</f>
        <v/>
      </c>
      <c r="BT9" s="18">
        <f>IF(COUNTIFS(T_TTAFStock_Log[Part Name],$A9,T_TTAFStock_Log[WeekIndex],71)=0,"",SUMIFS(T_TTAFStock_Log[TTAF_Qty],T_TTAFStock_Log[Part Name],$A9,T_TTAFStock_Log[WeekIndex],71))</f>
        <v/>
      </c>
      <c r="BU9" s="18">
        <f>IF(COUNTIFS(T_TTAFStock_Log[Part Name],$A9,T_TTAFStock_Log[WeekIndex],72)=0,"",SUMIFS(T_TTAFStock_Log[TTAF_Qty],T_TTAFStock_Log[Part Name],$A9,T_TTAFStock_Log[WeekIndex],72))</f>
        <v/>
      </c>
      <c r="BV9" s="18">
        <f>IF(COUNTIFS(T_TTAFStock_Log[Part Name],$A9,T_TTAFStock_Log[WeekIndex],73)=0,"",SUMIFS(T_TTAFStock_Log[TTAF_Qty],T_TTAFStock_Log[Part Name],$A9,T_TTAFStock_Log[WeekIndex],73))</f>
        <v/>
      </c>
      <c r="BW9" s="18">
        <f>IF(COUNTIFS(T_TTAFStock_Log[Part Name],$A9,T_TTAFStock_Log[WeekIndex],74)=0,"",SUMIFS(T_TTAFStock_Log[TTAF_Qty],T_TTAFStock_Log[Part Name],$A9,T_TTAFStock_Log[WeekIndex],74))</f>
        <v/>
      </c>
      <c r="BX9" s="18">
        <f>IF(COUNTIFS(T_TTAFStock_Log[Part Name],$A9,T_TTAFStock_Log[WeekIndex],75)=0,"",SUMIFS(T_TTAFStock_Log[TTAF_Qty],T_TTAFStock_Log[Part Name],$A9,T_TTAFStock_Log[WeekIndex],75))</f>
        <v/>
      </c>
      <c r="BY9" s="18">
        <f>IF(COUNTIFS(T_TTAFStock_Log[Part Name],$A9,T_TTAFStock_Log[WeekIndex],76)=0,"",SUMIFS(T_TTAFStock_Log[TTAF_Qty],T_TTAFStock_Log[Part Name],$A9,T_TTAFStock_Log[WeekIndex],76))</f>
        <v/>
      </c>
      <c r="BZ9" s="18">
        <f>IF(COUNTIFS(T_TTAFStock_Log[Part Name],$A9,T_TTAFStock_Log[WeekIndex],77)=0,"",SUMIFS(T_TTAFStock_Log[TTAF_Qty],T_TTAFStock_Log[Part Name],$A9,T_TTAFStock_Log[WeekIndex],77))</f>
        <v/>
      </c>
      <c r="CA9" s="18">
        <f>IF(COUNTIFS(T_TTAFStock_Log[Part Name],$A9,T_TTAFStock_Log[WeekIndex],78)=0,"",SUMIFS(T_TTAFStock_Log[TTAF_Qty],T_TTAFStock_Log[Part Name],$A9,T_TTAFStock_Log[WeekIndex],78))</f>
        <v/>
      </c>
      <c r="CB9" s="18">
        <f>IF(COUNTIFS(T_TTAFStock_Log[Part Name],$A9,T_TTAFStock_Log[WeekIndex],79)=0,"",SUMIFS(T_TTAFStock_Log[TTAF_Qty],T_TTAFStock_Log[Part Name],$A9,T_TTAFStock_Log[WeekIndex],79))</f>
        <v/>
      </c>
      <c r="CC9" s="18">
        <f>IF(COUNTIFS(T_TTAFStock_Log[Part Name],$A9,T_TTAFStock_Log[WeekIndex],80)=0,"",SUMIFS(T_TTAFStock_Log[TTAF_Qty],T_TTAFStock_Log[Part Name],$A9,T_TTAFStock_Log[WeekIndex],80))</f>
        <v/>
      </c>
      <c r="CD9" s="18">
        <f>IF(COUNTIFS(T_TTAFStock_Log[Part Name],$A9,T_TTAFStock_Log[WeekIndex],81)=0,"",SUMIFS(T_TTAFStock_Log[TTAF_Qty],T_TTAFStock_Log[Part Name],$A9,T_TTAFStock_Log[WeekIndex],81))</f>
        <v/>
      </c>
      <c r="CE9" s="18">
        <f>IF(COUNTIFS(T_TTAFStock_Log[Part Name],$A9,T_TTAFStock_Log[WeekIndex],82)=0,"",SUMIFS(T_TTAFStock_Log[TTAF_Qty],T_TTAFStock_Log[Part Name],$A9,T_TTAFStock_Log[WeekIndex],82))</f>
        <v/>
      </c>
      <c r="CF9" s="18">
        <f>IF(COUNTIFS(T_TTAFStock_Log[Part Name],$A9,T_TTAFStock_Log[WeekIndex],83)=0,"",SUMIFS(T_TTAFStock_Log[TTAF_Qty],T_TTAFStock_Log[Part Name],$A9,T_TTAFStock_Log[WeekIndex],83))</f>
        <v/>
      </c>
      <c r="CG9" s="18">
        <f>IF(COUNTIFS(T_TTAFStock_Log[Part Name],$A9,T_TTAFStock_Log[WeekIndex],84)=0,"",SUMIFS(T_TTAFStock_Log[TTAF_Qty],T_TTAFStock_Log[Part Name],$A9,T_TTAFStock_Log[WeekIndex],84))</f>
        <v/>
      </c>
      <c r="CH9" s="18">
        <f>IF(COUNTIFS(T_TTAFStock_Log[Part Name],$A9,T_TTAFStock_Log[WeekIndex],85)=0,"",SUMIFS(T_TTAFStock_Log[TTAF_Qty],T_TTAFStock_Log[Part Name],$A9,T_TTAFStock_Log[WeekIndex],85))</f>
        <v/>
      </c>
      <c r="CI9" s="18">
        <f>IF(COUNTIFS(T_TTAFStock_Log[Part Name],$A9,T_TTAFStock_Log[WeekIndex],86)=0,"",SUMIFS(T_TTAFStock_Log[TTAF_Qty],T_TTAFStock_Log[Part Name],$A9,T_TTAFStock_Log[WeekIndex],86))</f>
        <v/>
      </c>
      <c r="CJ9" s="18">
        <f>IF(COUNTIFS(T_TTAFStock_Log[Part Name],$A9,T_TTAFStock_Log[WeekIndex],87)=0,"",SUMIFS(T_TTAFStock_Log[TTAF_Qty],T_TTAFStock_Log[Part Name],$A9,T_TTAFStock_Log[WeekIndex],87))</f>
        <v/>
      </c>
      <c r="CK9" s="18">
        <f>IF(COUNTIFS(T_TTAFStock_Log[Part Name],$A9,T_TTAFStock_Log[WeekIndex],88)=0,"",SUMIFS(T_TTAFStock_Log[TTAF_Qty],T_TTAFStock_Log[Part Name],$A9,T_TTAFStock_Log[WeekIndex],88))</f>
        <v/>
      </c>
      <c r="CL9" s="18">
        <f>IF(COUNTIFS(T_TTAFStock_Log[Part Name],$A9,T_TTAFStock_Log[WeekIndex],89)=0,"",SUMIFS(T_TTAFStock_Log[TTAF_Qty],T_TTAFStock_Log[Part Name],$A9,T_TTAFStock_Log[WeekIndex],89))</f>
        <v/>
      </c>
      <c r="CM9" s="18">
        <f>IF(COUNTIFS(T_TTAFStock_Log[Part Name],$A9,T_TTAFStock_Log[WeekIndex],90)=0,"",SUMIFS(T_TTAFStock_Log[TTAF_Qty],T_TTAFStock_Log[Part Name],$A9,T_TTAFStock_Log[WeekIndex],90))</f>
        <v/>
      </c>
      <c r="CN9" s="18">
        <f>IF(COUNTIFS(T_TTAFStock_Log[Part Name],$A9,T_TTAFStock_Log[WeekIndex],91)=0,"",SUMIFS(T_TTAFStock_Log[TTAF_Qty],T_TTAFStock_Log[Part Name],$A9,T_TTAFStock_Log[WeekIndex],91))</f>
        <v/>
      </c>
      <c r="CO9" s="18">
        <f>IF(COUNTIFS(T_TTAFStock_Log[Part Name],$A9,T_TTAFStock_Log[WeekIndex],92)=0,"",SUMIFS(T_TTAFStock_Log[TTAF_Qty],T_TTAFStock_Log[Part Name],$A9,T_TTAFStock_Log[WeekIndex],92))</f>
        <v/>
      </c>
      <c r="CP9" s="18">
        <f>IF(COUNTIFS(T_TTAFStock_Log[Part Name],$A9,T_TTAFStock_Log[WeekIndex],93)=0,"",SUMIFS(T_TTAFStock_Log[TTAF_Qty],T_TTAFStock_Log[Part Name],$A9,T_TTAFStock_Log[WeekIndex],93))</f>
        <v/>
      </c>
      <c r="CQ9" s="18">
        <f>IF(COUNTIFS(T_TTAFStock_Log[Part Name],$A9,T_TTAFStock_Log[WeekIndex],94)=0,"",SUMIFS(T_TTAFStock_Log[TTAF_Qty],T_TTAFStock_Log[Part Name],$A9,T_TTAFStock_Log[WeekIndex],94))</f>
        <v/>
      </c>
      <c r="CR9" s="18">
        <f>IF(COUNTIFS(T_TTAFStock_Log[Part Name],$A9,T_TTAFStock_Log[WeekIndex],95)=0,"",SUMIFS(T_TTAFStock_Log[TTAF_Qty],T_TTAFStock_Log[Part Name],$A9,T_TTAFStock_Log[WeekIndex],95))</f>
        <v/>
      </c>
      <c r="CS9" s="18">
        <f>IF(COUNTIFS(T_TTAFStock_Log[Part Name],$A9,T_TTAFStock_Log[WeekIndex],96)=0,"",SUMIFS(T_TTAFStock_Log[TTAF_Qty],T_TTAFStock_Log[Part Name],$A9,T_TTAFStock_Log[WeekIndex],96))</f>
        <v/>
      </c>
      <c r="CT9" s="18">
        <f>IF(COUNTIFS(T_TTAFStock_Log[Part Name],$A9,T_TTAFStock_Log[WeekIndex],97)=0,"",SUMIFS(T_TTAFStock_Log[TTAF_Qty],T_TTAFStock_Log[Part Name],$A9,T_TTAFStock_Log[WeekIndex],97))</f>
        <v/>
      </c>
      <c r="CU9" s="18">
        <f>IF(COUNTIFS(T_TTAFStock_Log[Part Name],$A9,T_TTAFStock_Log[WeekIndex],98)=0,"",SUMIFS(T_TTAFStock_Log[TTAF_Qty],T_TTAFStock_Log[Part Name],$A9,T_TTAFStock_Log[WeekIndex],98))</f>
        <v/>
      </c>
      <c r="CV9" s="18">
        <f>IF(COUNTIFS(T_TTAFStock_Log[Part Name],$A9,T_TTAFStock_Log[WeekIndex],99)=0,"",SUMIFS(T_TTAFStock_Log[TTAF_Qty],T_TTAFStock_Log[Part Name],$A9,T_TTAFStock_Log[WeekIndex],99))</f>
        <v/>
      </c>
      <c r="CW9" s="18">
        <f>IF(COUNTIFS(T_TTAFStock_Log[Part Name],$A9,T_TTAFStock_Log[WeekIndex],100)=0,"",SUMIFS(T_TTAFStock_Log[TTAF_Qty],T_TTAFStock_Log[Part Name],$A9,T_TTAFStock_Log[WeekIndex],100))</f>
        <v/>
      </c>
      <c r="CX9" s="18">
        <f>IF(COUNTIFS(T_TTAFStock_Log[Part Name],$A9,T_TTAFStock_Log[WeekIndex],101)=0,"",SUMIFS(T_TTAFStock_Log[TTAF_Qty],T_TTAFStock_Log[Part Name],$A9,T_TTAFStock_Log[WeekIndex],101))</f>
        <v/>
      </c>
      <c r="CY9" s="18">
        <f>IF(COUNTIFS(T_TTAFStock_Log[Part Name],$A9,T_TTAFStock_Log[WeekIndex],102)=0,"",SUMIFS(T_TTAFStock_Log[TTAF_Qty],T_TTAFStock_Log[Part Name],$A9,T_TTAFStock_Log[WeekIndex],102))</f>
        <v/>
      </c>
      <c r="CZ9" s="18">
        <f>IF(COUNTIFS(T_TTAFStock_Log[Part Name],$A9,T_TTAFStock_Log[WeekIndex],103)=0,"",SUMIFS(T_TTAFStock_Log[TTAF_Qty],T_TTAFStock_Log[Part Name],$A9,T_TTAFStock_Log[WeekIndex],103))</f>
        <v/>
      </c>
      <c r="DA9" s="18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CHEM-1530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8" t="inlineStr">
        <is>
          <t>CHEM-1540</t>
        </is>
      </c>
      <c r="B11" s="18">
        <f>IF(COUNTIFS(T_TTAFStock_Log[Part Name],$A11,T_TTAFStock_Log[WeekIndex],1)=0,"",SUMIFS(T_TTAFStock_Log[TTAF_Qty],T_TTAFStock_Log[Part Name],$A11,T_TTAFStock_Log[WeekIndex],1))</f>
        <v/>
      </c>
      <c r="C11" s="18">
        <f>IF(COUNTIFS(T_TTAFStock_Log[Part Name],$A11,T_TTAFStock_Log[WeekIndex],2)=0,"",SUMIFS(T_TTAFStock_Log[TTAF_Qty],T_TTAFStock_Log[Part Name],$A11,T_TTAFStock_Log[WeekIndex],2))</f>
        <v/>
      </c>
      <c r="D11" s="18">
        <f>IF(COUNTIFS(T_TTAFStock_Log[Part Name],$A11,T_TTAFStock_Log[WeekIndex],3)=0,"",SUMIFS(T_TTAFStock_Log[TTAF_Qty],T_TTAFStock_Log[Part Name],$A11,T_TTAFStock_Log[WeekIndex],3))</f>
        <v/>
      </c>
      <c r="E11" s="18">
        <f>IF(COUNTIFS(T_TTAFStock_Log[Part Name],$A11,T_TTAFStock_Log[WeekIndex],4)=0,"",SUMIFS(T_TTAFStock_Log[TTAF_Qty],T_TTAFStock_Log[Part Name],$A11,T_TTAFStock_Log[WeekIndex],4))</f>
        <v/>
      </c>
      <c r="F11" s="18">
        <f>IF(COUNTIFS(T_TTAFStock_Log[Part Name],$A11,T_TTAFStock_Log[WeekIndex],5)=0,"",SUMIFS(T_TTAFStock_Log[TTAF_Qty],T_TTAFStock_Log[Part Name],$A11,T_TTAFStock_Log[WeekIndex],5))</f>
        <v/>
      </c>
      <c r="G11" s="18">
        <f>IF(COUNTIFS(T_TTAFStock_Log[Part Name],$A11,T_TTAFStock_Log[WeekIndex],6)=0,"",SUMIFS(T_TTAFStock_Log[TTAF_Qty],T_TTAFStock_Log[Part Name],$A11,T_TTAFStock_Log[WeekIndex],6))</f>
        <v/>
      </c>
      <c r="H11" s="18">
        <f>IF(COUNTIFS(T_TTAFStock_Log[Part Name],$A11,T_TTAFStock_Log[WeekIndex],7)=0,"",SUMIFS(T_TTAFStock_Log[TTAF_Qty],T_TTAFStock_Log[Part Name],$A11,T_TTAFStock_Log[WeekIndex],7))</f>
        <v/>
      </c>
      <c r="I11" s="18">
        <f>IF(COUNTIFS(T_TTAFStock_Log[Part Name],$A11,T_TTAFStock_Log[WeekIndex],8)=0,"",SUMIFS(T_TTAFStock_Log[TTAF_Qty],T_TTAFStock_Log[Part Name],$A11,T_TTAFStock_Log[WeekIndex],8))</f>
        <v/>
      </c>
      <c r="J11" s="18">
        <f>IF(COUNTIFS(T_TTAFStock_Log[Part Name],$A11,T_TTAFStock_Log[WeekIndex],9)=0,"",SUMIFS(T_TTAFStock_Log[TTAF_Qty],T_TTAFStock_Log[Part Name],$A11,T_TTAFStock_Log[WeekIndex],9))</f>
        <v/>
      </c>
      <c r="K11" s="18">
        <f>IF(COUNTIFS(T_TTAFStock_Log[Part Name],$A11,T_TTAFStock_Log[WeekIndex],10)=0,"",SUMIFS(T_TTAFStock_Log[TTAF_Qty],T_TTAFStock_Log[Part Name],$A11,T_TTAFStock_Log[WeekIndex],10))</f>
        <v/>
      </c>
      <c r="L11" s="18">
        <f>IF(COUNTIFS(T_TTAFStock_Log[Part Name],$A11,T_TTAFStock_Log[WeekIndex],11)=0,"",SUMIFS(T_TTAFStock_Log[TTAF_Qty],T_TTAFStock_Log[Part Name],$A11,T_TTAFStock_Log[WeekIndex],11))</f>
        <v/>
      </c>
      <c r="M11" s="18">
        <f>IF(COUNTIFS(T_TTAFStock_Log[Part Name],$A11,T_TTAFStock_Log[WeekIndex],12)=0,"",SUMIFS(T_TTAFStock_Log[TTAF_Qty],T_TTAFStock_Log[Part Name],$A11,T_TTAFStock_Log[WeekIndex],12))</f>
        <v/>
      </c>
      <c r="N11" s="18">
        <f>IF(COUNTIFS(T_TTAFStock_Log[Part Name],$A11,T_TTAFStock_Log[WeekIndex],13)=0,"",SUMIFS(T_TTAFStock_Log[TTAF_Qty],T_TTAFStock_Log[Part Name],$A11,T_TTAFStock_Log[WeekIndex],13))</f>
        <v/>
      </c>
      <c r="O11" s="18">
        <f>IF(COUNTIFS(T_TTAFStock_Log[Part Name],$A11,T_TTAFStock_Log[WeekIndex],14)=0,"",SUMIFS(T_TTAFStock_Log[TTAF_Qty],T_TTAFStock_Log[Part Name],$A11,T_TTAFStock_Log[WeekIndex],14))</f>
        <v/>
      </c>
      <c r="P11" s="18">
        <f>IF(COUNTIFS(T_TTAFStock_Log[Part Name],$A11,T_TTAFStock_Log[WeekIndex],15)=0,"",SUMIFS(T_TTAFStock_Log[TTAF_Qty],T_TTAFStock_Log[Part Name],$A11,T_TTAFStock_Log[WeekIndex],15))</f>
        <v/>
      </c>
      <c r="Q11" s="18">
        <f>IF(COUNTIFS(T_TTAFStock_Log[Part Name],$A11,T_TTAFStock_Log[WeekIndex],16)=0,"",SUMIFS(T_TTAFStock_Log[TTAF_Qty],T_TTAFStock_Log[Part Name],$A11,T_TTAFStock_Log[WeekIndex],16))</f>
        <v/>
      </c>
      <c r="R11" s="18">
        <f>IF(COUNTIFS(T_TTAFStock_Log[Part Name],$A11,T_TTAFStock_Log[WeekIndex],17)=0,"",SUMIFS(T_TTAFStock_Log[TTAF_Qty],T_TTAFStock_Log[Part Name],$A11,T_TTAFStock_Log[WeekIndex],17))</f>
        <v/>
      </c>
      <c r="S11" s="18">
        <f>IF(COUNTIFS(T_TTAFStock_Log[Part Name],$A11,T_TTAFStock_Log[WeekIndex],18)=0,"",SUMIFS(T_TTAFStock_Log[TTAF_Qty],T_TTAFStock_Log[Part Name],$A11,T_TTAFStock_Log[WeekIndex],18))</f>
        <v/>
      </c>
      <c r="T11" s="18">
        <f>IF(COUNTIFS(T_TTAFStock_Log[Part Name],$A11,T_TTAFStock_Log[WeekIndex],19)=0,"",SUMIFS(T_TTAFStock_Log[TTAF_Qty],T_TTAFStock_Log[Part Name],$A11,T_TTAFStock_Log[WeekIndex],19))</f>
        <v/>
      </c>
      <c r="U11" s="18">
        <f>IF(COUNTIFS(T_TTAFStock_Log[Part Name],$A11,T_TTAFStock_Log[WeekIndex],20)=0,"",SUMIFS(T_TTAFStock_Log[TTAF_Qty],T_TTAFStock_Log[Part Name],$A11,T_TTAFStock_Log[WeekIndex],20))</f>
        <v/>
      </c>
      <c r="V11" s="18">
        <f>IF(COUNTIFS(T_TTAFStock_Log[Part Name],$A11,T_TTAFStock_Log[WeekIndex],21)=0,"",SUMIFS(T_TTAFStock_Log[TTAF_Qty],T_TTAFStock_Log[Part Name],$A11,T_TTAFStock_Log[WeekIndex],21))</f>
        <v/>
      </c>
      <c r="W11" s="18">
        <f>IF(COUNTIFS(T_TTAFStock_Log[Part Name],$A11,T_TTAFStock_Log[WeekIndex],22)=0,"",SUMIFS(T_TTAFStock_Log[TTAF_Qty],T_TTAFStock_Log[Part Name],$A11,T_TTAFStock_Log[WeekIndex],22))</f>
        <v/>
      </c>
      <c r="X11" s="18">
        <f>IF(COUNTIFS(T_TTAFStock_Log[Part Name],$A11,T_TTAFStock_Log[WeekIndex],23)=0,"",SUMIFS(T_TTAFStock_Log[TTAF_Qty],T_TTAFStock_Log[Part Name],$A11,T_TTAFStock_Log[WeekIndex],23))</f>
        <v/>
      </c>
      <c r="Y11" s="18">
        <f>IF(COUNTIFS(T_TTAFStock_Log[Part Name],$A11,T_TTAFStock_Log[WeekIndex],24)=0,"",SUMIFS(T_TTAFStock_Log[TTAF_Qty],T_TTAFStock_Log[Part Name],$A11,T_TTAFStock_Log[WeekIndex],24))</f>
        <v/>
      </c>
      <c r="Z11" s="18">
        <f>IF(COUNTIFS(T_TTAFStock_Log[Part Name],$A11,T_TTAFStock_Log[WeekIndex],25)=0,"",SUMIFS(T_TTAFStock_Log[TTAF_Qty],T_TTAFStock_Log[Part Name],$A11,T_TTAFStock_Log[WeekIndex],25))</f>
        <v/>
      </c>
      <c r="AA11" s="18">
        <f>IF(COUNTIFS(T_TTAFStock_Log[Part Name],$A11,T_TTAFStock_Log[WeekIndex],26)=0,"",SUMIFS(T_TTAFStock_Log[TTAF_Qty],T_TTAFStock_Log[Part Name],$A11,T_TTAFStock_Log[WeekIndex],26))</f>
        <v/>
      </c>
      <c r="AB11" s="18">
        <f>IF(COUNTIFS(T_TTAFStock_Log[Part Name],$A11,T_TTAFStock_Log[WeekIndex],27)=0,"",SUMIFS(T_TTAFStock_Log[TTAF_Qty],T_TTAFStock_Log[Part Name],$A11,T_TTAFStock_Log[WeekIndex],27))</f>
        <v/>
      </c>
      <c r="AC11" s="18">
        <f>IF(COUNTIFS(T_TTAFStock_Log[Part Name],$A11,T_TTAFStock_Log[WeekIndex],28)=0,"",SUMIFS(T_TTAFStock_Log[TTAF_Qty],T_TTAFStock_Log[Part Name],$A11,T_TTAFStock_Log[WeekIndex],28))</f>
        <v/>
      </c>
      <c r="AD11" s="18">
        <f>IF(COUNTIFS(T_TTAFStock_Log[Part Name],$A11,T_TTAFStock_Log[WeekIndex],29)=0,"",SUMIFS(T_TTAFStock_Log[TTAF_Qty],T_TTAFStock_Log[Part Name],$A11,T_TTAFStock_Log[WeekIndex],29))</f>
        <v/>
      </c>
      <c r="AE11" s="18">
        <f>IF(COUNTIFS(T_TTAFStock_Log[Part Name],$A11,T_TTAFStock_Log[WeekIndex],30)=0,"",SUMIFS(T_TTAFStock_Log[TTAF_Qty],T_TTAFStock_Log[Part Name],$A11,T_TTAFStock_Log[WeekIndex],30))</f>
        <v/>
      </c>
      <c r="AF11" s="18">
        <f>IF(COUNTIFS(T_TTAFStock_Log[Part Name],$A11,T_TTAFStock_Log[WeekIndex],31)=0,"",SUMIFS(T_TTAFStock_Log[TTAF_Qty],T_TTAFStock_Log[Part Name],$A11,T_TTAFStock_Log[WeekIndex],31))</f>
        <v/>
      </c>
      <c r="AG11" s="18">
        <f>IF(COUNTIFS(T_TTAFStock_Log[Part Name],$A11,T_TTAFStock_Log[WeekIndex],32)=0,"",SUMIFS(T_TTAFStock_Log[TTAF_Qty],T_TTAFStock_Log[Part Name],$A11,T_TTAFStock_Log[WeekIndex],32))</f>
        <v/>
      </c>
      <c r="AH11" s="18">
        <f>IF(COUNTIFS(T_TTAFStock_Log[Part Name],$A11,T_TTAFStock_Log[WeekIndex],33)=0,"",SUMIFS(T_TTAFStock_Log[TTAF_Qty],T_TTAFStock_Log[Part Name],$A11,T_TTAFStock_Log[WeekIndex],33))</f>
        <v/>
      </c>
      <c r="AI11" s="18">
        <f>IF(COUNTIFS(T_TTAFStock_Log[Part Name],$A11,T_TTAFStock_Log[WeekIndex],34)=0,"",SUMIFS(T_TTAFStock_Log[TTAF_Qty],T_TTAFStock_Log[Part Name],$A11,T_TTAFStock_Log[WeekIndex],34))</f>
        <v/>
      </c>
      <c r="AJ11" s="18">
        <f>IF(COUNTIFS(T_TTAFStock_Log[Part Name],$A11,T_TTAFStock_Log[WeekIndex],35)=0,"",SUMIFS(T_TTAFStock_Log[TTAF_Qty],T_TTAFStock_Log[Part Name],$A11,T_TTAFStock_Log[WeekIndex],35))</f>
        <v/>
      </c>
      <c r="AK11" s="18">
        <f>IF(COUNTIFS(T_TTAFStock_Log[Part Name],$A11,T_TTAFStock_Log[WeekIndex],36)=0,"",SUMIFS(T_TTAFStock_Log[TTAF_Qty],T_TTAFStock_Log[Part Name],$A11,T_TTAFStock_Log[WeekIndex],36))</f>
        <v/>
      </c>
      <c r="AL11" s="18">
        <f>IF(COUNTIFS(T_TTAFStock_Log[Part Name],$A11,T_TTAFStock_Log[WeekIndex],37)=0,"",SUMIFS(T_TTAFStock_Log[TTAF_Qty],T_TTAFStock_Log[Part Name],$A11,T_TTAFStock_Log[WeekIndex],37))</f>
        <v/>
      </c>
      <c r="AM11" s="18">
        <f>IF(COUNTIFS(T_TTAFStock_Log[Part Name],$A11,T_TTAFStock_Log[WeekIndex],38)=0,"",SUMIFS(T_TTAFStock_Log[TTAF_Qty],T_TTAFStock_Log[Part Name],$A11,T_TTAFStock_Log[WeekIndex],38))</f>
        <v/>
      </c>
      <c r="AN11" s="18">
        <f>IF(COUNTIFS(T_TTAFStock_Log[Part Name],$A11,T_TTAFStock_Log[WeekIndex],39)=0,"",SUMIFS(T_TTAFStock_Log[TTAF_Qty],T_TTAFStock_Log[Part Name],$A11,T_TTAFStock_Log[WeekIndex],39))</f>
        <v/>
      </c>
      <c r="AO11" s="18">
        <f>IF(COUNTIFS(T_TTAFStock_Log[Part Name],$A11,T_TTAFStock_Log[WeekIndex],40)=0,"",SUMIFS(T_TTAFStock_Log[TTAF_Qty],T_TTAFStock_Log[Part Name],$A11,T_TTAFStock_Log[WeekIndex],40))</f>
        <v/>
      </c>
      <c r="AP11" s="18">
        <f>IF(COUNTIFS(T_TTAFStock_Log[Part Name],$A11,T_TTAFStock_Log[WeekIndex],41)=0,"",SUMIFS(T_TTAFStock_Log[TTAF_Qty],T_TTAFStock_Log[Part Name],$A11,T_TTAFStock_Log[WeekIndex],41))</f>
        <v/>
      </c>
      <c r="AQ11" s="18">
        <f>IF(COUNTIFS(T_TTAFStock_Log[Part Name],$A11,T_TTAFStock_Log[WeekIndex],42)=0,"",SUMIFS(T_TTAFStock_Log[TTAF_Qty],T_TTAFStock_Log[Part Name],$A11,T_TTAFStock_Log[WeekIndex],42))</f>
        <v/>
      </c>
      <c r="AR11" s="18">
        <f>IF(COUNTIFS(T_TTAFStock_Log[Part Name],$A11,T_TTAFStock_Log[WeekIndex],43)=0,"",SUMIFS(T_TTAFStock_Log[TTAF_Qty],T_TTAFStock_Log[Part Name],$A11,T_TTAFStock_Log[WeekIndex],43))</f>
        <v/>
      </c>
      <c r="AS11" s="18">
        <f>IF(COUNTIFS(T_TTAFStock_Log[Part Name],$A11,T_TTAFStock_Log[WeekIndex],44)=0,"",SUMIFS(T_TTAFStock_Log[TTAF_Qty],T_TTAFStock_Log[Part Name],$A11,T_TTAFStock_Log[WeekIndex],44))</f>
        <v/>
      </c>
      <c r="AT11" s="18">
        <f>IF(COUNTIFS(T_TTAFStock_Log[Part Name],$A11,T_TTAFStock_Log[WeekIndex],45)=0,"",SUMIFS(T_TTAFStock_Log[TTAF_Qty],T_TTAFStock_Log[Part Name],$A11,T_TTAFStock_Log[WeekIndex],45))</f>
        <v/>
      </c>
      <c r="AU11" s="18">
        <f>IF(COUNTIFS(T_TTAFStock_Log[Part Name],$A11,T_TTAFStock_Log[WeekIndex],46)=0,"",SUMIFS(T_TTAFStock_Log[TTAF_Qty],T_TTAFStock_Log[Part Name],$A11,T_TTAFStock_Log[WeekIndex],46))</f>
        <v/>
      </c>
      <c r="AV11" s="18">
        <f>IF(COUNTIFS(T_TTAFStock_Log[Part Name],$A11,T_TTAFStock_Log[WeekIndex],47)=0,"",SUMIFS(T_TTAFStock_Log[TTAF_Qty],T_TTAFStock_Log[Part Name],$A11,T_TTAFStock_Log[WeekIndex],47))</f>
        <v/>
      </c>
      <c r="AW11" s="18">
        <f>IF(COUNTIFS(T_TTAFStock_Log[Part Name],$A11,T_TTAFStock_Log[WeekIndex],48)=0,"",SUMIFS(T_TTAFStock_Log[TTAF_Qty],T_TTAFStock_Log[Part Name],$A11,T_TTAFStock_Log[WeekIndex],48))</f>
        <v/>
      </c>
      <c r="AX11" s="18">
        <f>IF(COUNTIFS(T_TTAFStock_Log[Part Name],$A11,T_TTAFStock_Log[WeekIndex],49)=0,"",SUMIFS(T_TTAFStock_Log[TTAF_Qty],T_TTAFStock_Log[Part Name],$A11,T_TTAFStock_Log[WeekIndex],49))</f>
        <v/>
      </c>
      <c r="AY11" s="18">
        <f>IF(COUNTIFS(T_TTAFStock_Log[Part Name],$A11,T_TTAFStock_Log[WeekIndex],50)=0,"",SUMIFS(T_TTAFStock_Log[TTAF_Qty],T_TTAFStock_Log[Part Name],$A11,T_TTAFStock_Log[WeekIndex],50))</f>
        <v/>
      </c>
      <c r="AZ11" s="18">
        <f>IF(COUNTIFS(T_TTAFStock_Log[Part Name],$A11,T_TTAFStock_Log[WeekIndex],51)=0,"",SUMIFS(T_TTAFStock_Log[TTAF_Qty],T_TTAFStock_Log[Part Name],$A11,T_TTAFStock_Log[WeekIndex],51))</f>
        <v/>
      </c>
      <c r="BA11" s="18">
        <f>IF(COUNTIFS(T_TTAFStock_Log[Part Name],$A11,T_TTAFStock_Log[WeekIndex],52)=0,"",SUMIFS(T_TTAFStock_Log[TTAF_Qty],T_TTAFStock_Log[Part Name],$A11,T_TTAFStock_Log[WeekIndex],52))</f>
        <v/>
      </c>
      <c r="BB11" s="18">
        <f>IF(COUNTIFS(T_TTAFStock_Log[Part Name],$A11,T_TTAFStock_Log[WeekIndex],53)=0,"",SUMIFS(T_TTAFStock_Log[TTAF_Qty],T_TTAFStock_Log[Part Name],$A11,T_TTAFStock_Log[WeekIndex],53))</f>
        <v/>
      </c>
      <c r="BC11" s="18">
        <f>IF(COUNTIFS(T_TTAFStock_Log[Part Name],$A11,T_TTAFStock_Log[WeekIndex],54)=0,"",SUMIFS(T_TTAFStock_Log[TTAF_Qty],T_TTAFStock_Log[Part Name],$A11,T_TTAFStock_Log[WeekIndex],54))</f>
        <v/>
      </c>
      <c r="BD11" s="18">
        <f>IF(COUNTIFS(T_TTAFStock_Log[Part Name],$A11,T_TTAFStock_Log[WeekIndex],55)=0,"",SUMIFS(T_TTAFStock_Log[TTAF_Qty],T_TTAFStock_Log[Part Name],$A11,T_TTAFStock_Log[WeekIndex],55))</f>
        <v/>
      </c>
      <c r="BE11" s="18">
        <f>IF(COUNTIFS(T_TTAFStock_Log[Part Name],$A11,T_TTAFStock_Log[WeekIndex],56)=0,"",SUMIFS(T_TTAFStock_Log[TTAF_Qty],T_TTAFStock_Log[Part Name],$A11,T_TTAFStock_Log[WeekIndex],56))</f>
        <v/>
      </c>
      <c r="BF11" s="18">
        <f>IF(COUNTIFS(T_TTAFStock_Log[Part Name],$A11,T_TTAFStock_Log[WeekIndex],57)=0,"",SUMIFS(T_TTAFStock_Log[TTAF_Qty],T_TTAFStock_Log[Part Name],$A11,T_TTAFStock_Log[WeekIndex],57))</f>
        <v/>
      </c>
      <c r="BG11" s="18">
        <f>IF(COUNTIFS(T_TTAFStock_Log[Part Name],$A11,T_TTAFStock_Log[WeekIndex],58)=0,"",SUMIFS(T_TTAFStock_Log[TTAF_Qty],T_TTAFStock_Log[Part Name],$A11,T_TTAFStock_Log[WeekIndex],58))</f>
        <v/>
      </c>
      <c r="BH11" s="18">
        <f>IF(COUNTIFS(T_TTAFStock_Log[Part Name],$A11,T_TTAFStock_Log[WeekIndex],59)=0,"",SUMIFS(T_TTAFStock_Log[TTAF_Qty],T_TTAFStock_Log[Part Name],$A11,T_TTAFStock_Log[WeekIndex],59))</f>
        <v/>
      </c>
      <c r="BI11" s="18">
        <f>IF(COUNTIFS(T_TTAFStock_Log[Part Name],$A11,T_TTAFStock_Log[WeekIndex],60)=0,"",SUMIFS(T_TTAFStock_Log[TTAF_Qty],T_TTAFStock_Log[Part Name],$A11,T_TTAFStock_Log[WeekIndex],60))</f>
        <v/>
      </c>
      <c r="BJ11" s="18">
        <f>IF(COUNTIFS(T_TTAFStock_Log[Part Name],$A11,T_TTAFStock_Log[WeekIndex],61)=0,"",SUMIFS(T_TTAFStock_Log[TTAF_Qty],T_TTAFStock_Log[Part Name],$A11,T_TTAFStock_Log[WeekIndex],61))</f>
        <v/>
      </c>
      <c r="BK11" s="18">
        <f>IF(COUNTIFS(T_TTAFStock_Log[Part Name],$A11,T_TTAFStock_Log[WeekIndex],62)=0,"",SUMIFS(T_TTAFStock_Log[TTAF_Qty],T_TTAFStock_Log[Part Name],$A11,T_TTAFStock_Log[WeekIndex],62))</f>
        <v/>
      </c>
      <c r="BL11" s="18">
        <f>IF(COUNTIFS(T_TTAFStock_Log[Part Name],$A11,T_TTAFStock_Log[WeekIndex],63)=0,"",SUMIFS(T_TTAFStock_Log[TTAF_Qty],T_TTAFStock_Log[Part Name],$A11,T_TTAFStock_Log[WeekIndex],63))</f>
        <v/>
      </c>
      <c r="BM11" s="18">
        <f>IF(COUNTIFS(T_TTAFStock_Log[Part Name],$A11,T_TTAFStock_Log[WeekIndex],64)=0,"",SUMIFS(T_TTAFStock_Log[TTAF_Qty],T_TTAFStock_Log[Part Name],$A11,T_TTAFStock_Log[WeekIndex],64))</f>
        <v/>
      </c>
      <c r="BN11" s="18">
        <f>IF(COUNTIFS(T_TTAFStock_Log[Part Name],$A11,T_TTAFStock_Log[WeekIndex],65)=0,"",SUMIFS(T_TTAFStock_Log[TTAF_Qty],T_TTAFStock_Log[Part Name],$A11,T_TTAFStock_Log[WeekIndex],65))</f>
        <v/>
      </c>
      <c r="BO11" s="18">
        <f>IF(COUNTIFS(T_TTAFStock_Log[Part Name],$A11,T_TTAFStock_Log[WeekIndex],66)=0,"",SUMIFS(T_TTAFStock_Log[TTAF_Qty],T_TTAFStock_Log[Part Name],$A11,T_TTAFStock_Log[WeekIndex],66))</f>
        <v/>
      </c>
      <c r="BP11" s="18">
        <f>IF(COUNTIFS(T_TTAFStock_Log[Part Name],$A11,T_TTAFStock_Log[WeekIndex],67)=0,"",SUMIFS(T_TTAFStock_Log[TTAF_Qty],T_TTAFStock_Log[Part Name],$A11,T_TTAFStock_Log[WeekIndex],67))</f>
        <v/>
      </c>
      <c r="BQ11" s="18">
        <f>IF(COUNTIFS(T_TTAFStock_Log[Part Name],$A11,T_TTAFStock_Log[WeekIndex],68)=0,"",SUMIFS(T_TTAFStock_Log[TTAF_Qty],T_TTAFStock_Log[Part Name],$A11,T_TTAFStock_Log[WeekIndex],68))</f>
        <v/>
      </c>
      <c r="BR11" s="18">
        <f>IF(COUNTIFS(T_TTAFStock_Log[Part Name],$A11,T_TTAFStock_Log[WeekIndex],69)=0,"",SUMIFS(T_TTAFStock_Log[TTAF_Qty],T_TTAFStock_Log[Part Name],$A11,T_TTAFStock_Log[WeekIndex],69))</f>
        <v/>
      </c>
      <c r="BS11" s="18">
        <f>IF(COUNTIFS(T_TTAFStock_Log[Part Name],$A11,T_TTAFStock_Log[WeekIndex],70)=0,"",SUMIFS(T_TTAFStock_Log[TTAF_Qty],T_TTAFStock_Log[Part Name],$A11,T_TTAFStock_Log[WeekIndex],70))</f>
        <v/>
      </c>
      <c r="BT11" s="18">
        <f>IF(COUNTIFS(T_TTAFStock_Log[Part Name],$A11,T_TTAFStock_Log[WeekIndex],71)=0,"",SUMIFS(T_TTAFStock_Log[TTAF_Qty],T_TTAFStock_Log[Part Name],$A11,T_TTAFStock_Log[WeekIndex],71))</f>
        <v/>
      </c>
      <c r="BU11" s="18">
        <f>IF(COUNTIFS(T_TTAFStock_Log[Part Name],$A11,T_TTAFStock_Log[WeekIndex],72)=0,"",SUMIFS(T_TTAFStock_Log[TTAF_Qty],T_TTAFStock_Log[Part Name],$A11,T_TTAFStock_Log[WeekIndex],72))</f>
        <v/>
      </c>
      <c r="BV11" s="18">
        <f>IF(COUNTIFS(T_TTAFStock_Log[Part Name],$A11,T_TTAFStock_Log[WeekIndex],73)=0,"",SUMIFS(T_TTAFStock_Log[TTAF_Qty],T_TTAFStock_Log[Part Name],$A11,T_TTAFStock_Log[WeekIndex],73))</f>
        <v/>
      </c>
      <c r="BW11" s="18">
        <f>IF(COUNTIFS(T_TTAFStock_Log[Part Name],$A11,T_TTAFStock_Log[WeekIndex],74)=0,"",SUMIFS(T_TTAFStock_Log[TTAF_Qty],T_TTAFStock_Log[Part Name],$A11,T_TTAFStock_Log[WeekIndex],74))</f>
        <v/>
      </c>
      <c r="BX11" s="18">
        <f>IF(COUNTIFS(T_TTAFStock_Log[Part Name],$A11,T_TTAFStock_Log[WeekIndex],75)=0,"",SUMIFS(T_TTAFStock_Log[TTAF_Qty],T_TTAFStock_Log[Part Name],$A11,T_TTAFStock_Log[WeekIndex],75))</f>
        <v/>
      </c>
      <c r="BY11" s="18">
        <f>IF(COUNTIFS(T_TTAFStock_Log[Part Name],$A11,T_TTAFStock_Log[WeekIndex],76)=0,"",SUMIFS(T_TTAFStock_Log[TTAF_Qty],T_TTAFStock_Log[Part Name],$A11,T_TTAFStock_Log[WeekIndex],76))</f>
        <v/>
      </c>
      <c r="BZ11" s="18">
        <f>IF(COUNTIFS(T_TTAFStock_Log[Part Name],$A11,T_TTAFStock_Log[WeekIndex],77)=0,"",SUMIFS(T_TTAFStock_Log[TTAF_Qty],T_TTAFStock_Log[Part Name],$A11,T_TTAFStock_Log[WeekIndex],77))</f>
        <v/>
      </c>
      <c r="CA11" s="18">
        <f>IF(COUNTIFS(T_TTAFStock_Log[Part Name],$A11,T_TTAFStock_Log[WeekIndex],78)=0,"",SUMIFS(T_TTAFStock_Log[TTAF_Qty],T_TTAFStock_Log[Part Name],$A11,T_TTAFStock_Log[WeekIndex],78))</f>
        <v/>
      </c>
      <c r="CB11" s="18">
        <f>IF(COUNTIFS(T_TTAFStock_Log[Part Name],$A11,T_TTAFStock_Log[WeekIndex],79)=0,"",SUMIFS(T_TTAFStock_Log[TTAF_Qty],T_TTAFStock_Log[Part Name],$A11,T_TTAFStock_Log[WeekIndex],79))</f>
        <v/>
      </c>
      <c r="CC11" s="18">
        <f>IF(COUNTIFS(T_TTAFStock_Log[Part Name],$A11,T_TTAFStock_Log[WeekIndex],80)=0,"",SUMIFS(T_TTAFStock_Log[TTAF_Qty],T_TTAFStock_Log[Part Name],$A11,T_TTAFStock_Log[WeekIndex],80))</f>
        <v/>
      </c>
      <c r="CD11" s="18">
        <f>IF(COUNTIFS(T_TTAFStock_Log[Part Name],$A11,T_TTAFStock_Log[WeekIndex],81)=0,"",SUMIFS(T_TTAFStock_Log[TTAF_Qty],T_TTAFStock_Log[Part Name],$A11,T_TTAFStock_Log[WeekIndex],81))</f>
        <v/>
      </c>
      <c r="CE11" s="18">
        <f>IF(COUNTIFS(T_TTAFStock_Log[Part Name],$A11,T_TTAFStock_Log[WeekIndex],82)=0,"",SUMIFS(T_TTAFStock_Log[TTAF_Qty],T_TTAFStock_Log[Part Name],$A11,T_TTAFStock_Log[WeekIndex],82))</f>
        <v/>
      </c>
      <c r="CF11" s="18">
        <f>IF(COUNTIFS(T_TTAFStock_Log[Part Name],$A11,T_TTAFStock_Log[WeekIndex],83)=0,"",SUMIFS(T_TTAFStock_Log[TTAF_Qty],T_TTAFStock_Log[Part Name],$A11,T_TTAFStock_Log[WeekIndex],83))</f>
        <v/>
      </c>
      <c r="CG11" s="18">
        <f>IF(COUNTIFS(T_TTAFStock_Log[Part Name],$A11,T_TTAFStock_Log[WeekIndex],84)=0,"",SUMIFS(T_TTAFStock_Log[TTAF_Qty],T_TTAFStock_Log[Part Name],$A11,T_TTAFStock_Log[WeekIndex],84))</f>
        <v/>
      </c>
      <c r="CH11" s="18">
        <f>IF(COUNTIFS(T_TTAFStock_Log[Part Name],$A11,T_TTAFStock_Log[WeekIndex],85)=0,"",SUMIFS(T_TTAFStock_Log[TTAF_Qty],T_TTAFStock_Log[Part Name],$A11,T_TTAFStock_Log[WeekIndex],85))</f>
        <v/>
      </c>
      <c r="CI11" s="18">
        <f>IF(COUNTIFS(T_TTAFStock_Log[Part Name],$A11,T_TTAFStock_Log[WeekIndex],86)=0,"",SUMIFS(T_TTAFStock_Log[TTAF_Qty],T_TTAFStock_Log[Part Name],$A11,T_TTAFStock_Log[WeekIndex],86))</f>
        <v/>
      </c>
      <c r="CJ11" s="18">
        <f>IF(COUNTIFS(T_TTAFStock_Log[Part Name],$A11,T_TTAFStock_Log[WeekIndex],87)=0,"",SUMIFS(T_TTAFStock_Log[TTAF_Qty],T_TTAFStock_Log[Part Name],$A11,T_TTAFStock_Log[WeekIndex],87))</f>
        <v/>
      </c>
      <c r="CK11" s="18">
        <f>IF(COUNTIFS(T_TTAFStock_Log[Part Name],$A11,T_TTAFStock_Log[WeekIndex],88)=0,"",SUMIFS(T_TTAFStock_Log[TTAF_Qty],T_TTAFStock_Log[Part Name],$A11,T_TTAFStock_Log[WeekIndex],88))</f>
        <v/>
      </c>
      <c r="CL11" s="18">
        <f>IF(COUNTIFS(T_TTAFStock_Log[Part Name],$A11,T_TTAFStock_Log[WeekIndex],89)=0,"",SUMIFS(T_TTAFStock_Log[TTAF_Qty],T_TTAFStock_Log[Part Name],$A11,T_TTAFStock_Log[WeekIndex],89))</f>
        <v/>
      </c>
      <c r="CM11" s="18">
        <f>IF(COUNTIFS(T_TTAFStock_Log[Part Name],$A11,T_TTAFStock_Log[WeekIndex],90)=0,"",SUMIFS(T_TTAFStock_Log[TTAF_Qty],T_TTAFStock_Log[Part Name],$A11,T_TTAFStock_Log[WeekIndex],90))</f>
        <v/>
      </c>
      <c r="CN11" s="18">
        <f>IF(COUNTIFS(T_TTAFStock_Log[Part Name],$A11,T_TTAFStock_Log[WeekIndex],91)=0,"",SUMIFS(T_TTAFStock_Log[TTAF_Qty],T_TTAFStock_Log[Part Name],$A11,T_TTAFStock_Log[WeekIndex],91))</f>
        <v/>
      </c>
      <c r="CO11" s="18">
        <f>IF(COUNTIFS(T_TTAFStock_Log[Part Name],$A11,T_TTAFStock_Log[WeekIndex],92)=0,"",SUMIFS(T_TTAFStock_Log[TTAF_Qty],T_TTAFStock_Log[Part Name],$A11,T_TTAFStock_Log[WeekIndex],92))</f>
        <v/>
      </c>
      <c r="CP11" s="18">
        <f>IF(COUNTIFS(T_TTAFStock_Log[Part Name],$A11,T_TTAFStock_Log[WeekIndex],93)=0,"",SUMIFS(T_TTAFStock_Log[TTAF_Qty],T_TTAFStock_Log[Part Name],$A11,T_TTAFStock_Log[WeekIndex],93))</f>
        <v/>
      </c>
      <c r="CQ11" s="18">
        <f>IF(COUNTIFS(T_TTAFStock_Log[Part Name],$A11,T_TTAFStock_Log[WeekIndex],94)=0,"",SUMIFS(T_TTAFStock_Log[TTAF_Qty],T_TTAFStock_Log[Part Name],$A11,T_TTAFStock_Log[WeekIndex],94))</f>
        <v/>
      </c>
      <c r="CR11" s="18">
        <f>IF(COUNTIFS(T_TTAFStock_Log[Part Name],$A11,T_TTAFStock_Log[WeekIndex],95)=0,"",SUMIFS(T_TTAFStock_Log[TTAF_Qty],T_TTAFStock_Log[Part Name],$A11,T_TTAFStock_Log[WeekIndex],95))</f>
        <v/>
      </c>
      <c r="CS11" s="18">
        <f>IF(COUNTIFS(T_TTAFStock_Log[Part Name],$A11,T_TTAFStock_Log[WeekIndex],96)=0,"",SUMIFS(T_TTAFStock_Log[TTAF_Qty],T_TTAFStock_Log[Part Name],$A11,T_TTAFStock_Log[WeekIndex],96))</f>
        <v/>
      </c>
      <c r="CT11" s="18">
        <f>IF(COUNTIFS(T_TTAFStock_Log[Part Name],$A11,T_TTAFStock_Log[WeekIndex],97)=0,"",SUMIFS(T_TTAFStock_Log[TTAF_Qty],T_TTAFStock_Log[Part Name],$A11,T_TTAFStock_Log[WeekIndex],97))</f>
        <v/>
      </c>
      <c r="CU11" s="18">
        <f>IF(COUNTIFS(T_TTAFStock_Log[Part Name],$A11,T_TTAFStock_Log[WeekIndex],98)=0,"",SUMIFS(T_TTAFStock_Log[TTAF_Qty],T_TTAFStock_Log[Part Name],$A11,T_TTAFStock_Log[WeekIndex],98))</f>
        <v/>
      </c>
      <c r="CV11" s="18">
        <f>IF(COUNTIFS(T_TTAFStock_Log[Part Name],$A11,T_TTAFStock_Log[WeekIndex],99)=0,"",SUMIFS(T_TTAFStock_Log[TTAF_Qty],T_TTAFStock_Log[Part Name],$A11,T_TTAFStock_Log[WeekIndex],99))</f>
        <v/>
      </c>
      <c r="CW11" s="18">
        <f>IF(COUNTIFS(T_TTAFStock_Log[Part Name],$A11,T_TTAFStock_Log[WeekIndex],100)=0,"",SUMIFS(T_TTAFStock_Log[TTAF_Qty],T_TTAFStock_Log[Part Name],$A11,T_TTAFStock_Log[WeekIndex],100))</f>
        <v/>
      </c>
      <c r="CX11" s="18">
        <f>IF(COUNTIFS(T_TTAFStock_Log[Part Name],$A11,T_TTAFStock_Log[WeekIndex],101)=0,"",SUMIFS(T_TTAFStock_Log[TTAF_Qty],T_TTAFStock_Log[Part Name],$A11,T_TTAFStock_Log[WeekIndex],101))</f>
        <v/>
      </c>
      <c r="CY11" s="18">
        <f>IF(COUNTIFS(T_TTAFStock_Log[Part Name],$A11,T_TTAFStock_Log[WeekIndex],102)=0,"",SUMIFS(T_TTAFStock_Log[TTAF_Qty],T_TTAFStock_Log[Part Name],$A11,T_TTAFStock_Log[WeekIndex],102))</f>
        <v/>
      </c>
      <c r="CZ11" s="18">
        <f>IF(COUNTIFS(T_TTAFStock_Log[Part Name],$A11,T_TTAFStock_Log[WeekIndex],103)=0,"",SUMIFS(T_TTAFStock_Log[TTAF_Qty],T_TTAFStock_Log[Part Name],$A11,T_TTAFStock_Log[WeekIndex],103))</f>
        <v/>
      </c>
      <c r="DA11" s="18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CHEM-1690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8" t="inlineStr">
        <is>
          <t>CHEM-1720</t>
        </is>
      </c>
      <c r="B13" s="18">
        <f>IF(COUNTIFS(T_TTAFStock_Log[Part Name],$A13,T_TTAFStock_Log[WeekIndex],1)=0,"",SUMIFS(T_TTAFStock_Log[TTAF_Qty],T_TTAFStock_Log[Part Name],$A13,T_TTAFStock_Log[WeekIndex],1))</f>
        <v/>
      </c>
      <c r="C13" s="18">
        <f>IF(COUNTIFS(T_TTAFStock_Log[Part Name],$A13,T_TTAFStock_Log[WeekIndex],2)=0,"",SUMIFS(T_TTAFStock_Log[TTAF_Qty],T_TTAFStock_Log[Part Name],$A13,T_TTAFStock_Log[WeekIndex],2))</f>
        <v/>
      </c>
      <c r="D13" s="18">
        <f>IF(COUNTIFS(T_TTAFStock_Log[Part Name],$A13,T_TTAFStock_Log[WeekIndex],3)=0,"",SUMIFS(T_TTAFStock_Log[TTAF_Qty],T_TTAFStock_Log[Part Name],$A13,T_TTAFStock_Log[WeekIndex],3))</f>
        <v/>
      </c>
      <c r="E13" s="18">
        <f>IF(COUNTIFS(T_TTAFStock_Log[Part Name],$A13,T_TTAFStock_Log[WeekIndex],4)=0,"",SUMIFS(T_TTAFStock_Log[TTAF_Qty],T_TTAFStock_Log[Part Name],$A13,T_TTAFStock_Log[WeekIndex],4))</f>
        <v/>
      </c>
      <c r="F13" s="18">
        <f>IF(COUNTIFS(T_TTAFStock_Log[Part Name],$A13,T_TTAFStock_Log[WeekIndex],5)=0,"",SUMIFS(T_TTAFStock_Log[TTAF_Qty],T_TTAFStock_Log[Part Name],$A13,T_TTAFStock_Log[WeekIndex],5))</f>
        <v/>
      </c>
      <c r="G13" s="18">
        <f>IF(COUNTIFS(T_TTAFStock_Log[Part Name],$A13,T_TTAFStock_Log[WeekIndex],6)=0,"",SUMIFS(T_TTAFStock_Log[TTAF_Qty],T_TTAFStock_Log[Part Name],$A13,T_TTAFStock_Log[WeekIndex],6))</f>
        <v/>
      </c>
      <c r="H13" s="18">
        <f>IF(COUNTIFS(T_TTAFStock_Log[Part Name],$A13,T_TTAFStock_Log[WeekIndex],7)=0,"",SUMIFS(T_TTAFStock_Log[TTAF_Qty],T_TTAFStock_Log[Part Name],$A13,T_TTAFStock_Log[WeekIndex],7))</f>
        <v/>
      </c>
      <c r="I13" s="18">
        <f>IF(COUNTIFS(T_TTAFStock_Log[Part Name],$A13,T_TTAFStock_Log[WeekIndex],8)=0,"",SUMIFS(T_TTAFStock_Log[TTAF_Qty],T_TTAFStock_Log[Part Name],$A13,T_TTAFStock_Log[WeekIndex],8))</f>
        <v/>
      </c>
      <c r="J13" s="18">
        <f>IF(COUNTIFS(T_TTAFStock_Log[Part Name],$A13,T_TTAFStock_Log[WeekIndex],9)=0,"",SUMIFS(T_TTAFStock_Log[TTAF_Qty],T_TTAFStock_Log[Part Name],$A13,T_TTAFStock_Log[WeekIndex],9))</f>
        <v/>
      </c>
      <c r="K13" s="18">
        <f>IF(COUNTIFS(T_TTAFStock_Log[Part Name],$A13,T_TTAFStock_Log[WeekIndex],10)=0,"",SUMIFS(T_TTAFStock_Log[TTAF_Qty],T_TTAFStock_Log[Part Name],$A13,T_TTAFStock_Log[WeekIndex],10))</f>
        <v/>
      </c>
      <c r="L13" s="18">
        <f>IF(COUNTIFS(T_TTAFStock_Log[Part Name],$A13,T_TTAFStock_Log[WeekIndex],11)=0,"",SUMIFS(T_TTAFStock_Log[TTAF_Qty],T_TTAFStock_Log[Part Name],$A13,T_TTAFStock_Log[WeekIndex],11))</f>
        <v/>
      </c>
      <c r="M13" s="18">
        <f>IF(COUNTIFS(T_TTAFStock_Log[Part Name],$A13,T_TTAFStock_Log[WeekIndex],12)=0,"",SUMIFS(T_TTAFStock_Log[TTAF_Qty],T_TTAFStock_Log[Part Name],$A13,T_TTAFStock_Log[WeekIndex],12))</f>
        <v/>
      </c>
      <c r="N13" s="18">
        <f>IF(COUNTIFS(T_TTAFStock_Log[Part Name],$A13,T_TTAFStock_Log[WeekIndex],13)=0,"",SUMIFS(T_TTAFStock_Log[TTAF_Qty],T_TTAFStock_Log[Part Name],$A13,T_TTAFStock_Log[WeekIndex],13))</f>
        <v/>
      </c>
      <c r="O13" s="18">
        <f>IF(COUNTIFS(T_TTAFStock_Log[Part Name],$A13,T_TTAFStock_Log[WeekIndex],14)=0,"",SUMIFS(T_TTAFStock_Log[TTAF_Qty],T_TTAFStock_Log[Part Name],$A13,T_TTAFStock_Log[WeekIndex],14))</f>
        <v/>
      </c>
      <c r="P13" s="18">
        <f>IF(COUNTIFS(T_TTAFStock_Log[Part Name],$A13,T_TTAFStock_Log[WeekIndex],15)=0,"",SUMIFS(T_TTAFStock_Log[TTAF_Qty],T_TTAFStock_Log[Part Name],$A13,T_TTAFStock_Log[WeekIndex],15))</f>
        <v/>
      </c>
      <c r="Q13" s="18">
        <f>IF(COUNTIFS(T_TTAFStock_Log[Part Name],$A13,T_TTAFStock_Log[WeekIndex],16)=0,"",SUMIFS(T_TTAFStock_Log[TTAF_Qty],T_TTAFStock_Log[Part Name],$A13,T_TTAFStock_Log[WeekIndex],16))</f>
        <v/>
      </c>
      <c r="R13" s="18">
        <f>IF(COUNTIFS(T_TTAFStock_Log[Part Name],$A13,T_TTAFStock_Log[WeekIndex],17)=0,"",SUMIFS(T_TTAFStock_Log[TTAF_Qty],T_TTAFStock_Log[Part Name],$A13,T_TTAFStock_Log[WeekIndex],17))</f>
        <v/>
      </c>
      <c r="S13" s="18">
        <f>IF(COUNTIFS(T_TTAFStock_Log[Part Name],$A13,T_TTAFStock_Log[WeekIndex],18)=0,"",SUMIFS(T_TTAFStock_Log[TTAF_Qty],T_TTAFStock_Log[Part Name],$A13,T_TTAFStock_Log[WeekIndex],18))</f>
        <v/>
      </c>
      <c r="T13" s="18">
        <f>IF(COUNTIFS(T_TTAFStock_Log[Part Name],$A13,T_TTAFStock_Log[WeekIndex],19)=0,"",SUMIFS(T_TTAFStock_Log[TTAF_Qty],T_TTAFStock_Log[Part Name],$A13,T_TTAFStock_Log[WeekIndex],19))</f>
        <v/>
      </c>
      <c r="U13" s="18">
        <f>IF(COUNTIFS(T_TTAFStock_Log[Part Name],$A13,T_TTAFStock_Log[WeekIndex],20)=0,"",SUMIFS(T_TTAFStock_Log[TTAF_Qty],T_TTAFStock_Log[Part Name],$A13,T_TTAFStock_Log[WeekIndex],20))</f>
        <v/>
      </c>
      <c r="V13" s="18">
        <f>IF(COUNTIFS(T_TTAFStock_Log[Part Name],$A13,T_TTAFStock_Log[WeekIndex],21)=0,"",SUMIFS(T_TTAFStock_Log[TTAF_Qty],T_TTAFStock_Log[Part Name],$A13,T_TTAFStock_Log[WeekIndex],21))</f>
        <v/>
      </c>
      <c r="W13" s="18">
        <f>IF(COUNTIFS(T_TTAFStock_Log[Part Name],$A13,T_TTAFStock_Log[WeekIndex],22)=0,"",SUMIFS(T_TTAFStock_Log[TTAF_Qty],T_TTAFStock_Log[Part Name],$A13,T_TTAFStock_Log[WeekIndex],22))</f>
        <v/>
      </c>
      <c r="X13" s="18">
        <f>IF(COUNTIFS(T_TTAFStock_Log[Part Name],$A13,T_TTAFStock_Log[WeekIndex],23)=0,"",SUMIFS(T_TTAFStock_Log[TTAF_Qty],T_TTAFStock_Log[Part Name],$A13,T_TTAFStock_Log[WeekIndex],23))</f>
        <v/>
      </c>
      <c r="Y13" s="18">
        <f>IF(COUNTIFS(T_TTAFStock_Log[Part Name],$A13,T_TTAFStock_Log[WeekIndex],24)=0,"",SUMIFS(T_TTAFStock_Log[TTAF_Qty],T_TTAFStock_Log[Part Name],$A13,T_TTAFStock_Log[WeekIndex],24))</f>
        <v/>
      </c>
      <c r="Z13" s="18">
        <f>IF(COUNTIFS(T_TTAFStock_Log[Part Name],$A13,T_TTAFStock_Log[WeekIndex],25)=0,"",SUMIFS(T_TTAFStock_Log[TTAF_Qty],T_TTAFStock_Log[Part Name],$A13,T_TTAFStock_Log[WeekIndex],25))</f>
        <v/>
      </c>
      <c r="AA13" s="18">
        <f>IF(COUNTIFS(T_TTAFStock_Log[Part Name],$A13,T_TTAFStock_Log[WeekIndex],26)=0,"",SUMIFS(T_TTAFStock_Log[TTAF_Qty],T_TTAFStock_Log[Part Name],$A13,T_TTAFStock_Log[WeekIndex],26))</f>
        <v/>
      </c>
      <c r="AB13" s="18">
        <f>IF(COUNTIFS(T_TTAFStock_Log[Part Name],$A13,T_TTAFStock_Log[WeekIndex],27)=0,"",SUMIFS(T_TTAFStock_Log[TTAF_Qty],T_TTAFStock_Log[Part Name],$A13,T_TTAFStock_Log[WeekIndex],27))</f>
        <v/>
      </c>
      <c r="AC13" s="18">
        <f>IF(COUNTIFS(T_TTAFStock_Log[Part Name],$A13,T_TTAFStock_Log[WeekIndex],28)=0,"",SUMIFS(T_TTAFStock_Log[TTAF_Qty],T_TTAFStock_Log[Part Name],$A13,T_TTAFStock_Log[WeekIndex],28))</f>
        <v/>
      </c>
      <c r="AD13" s="18">
        <f>IF(COUNTIFS(T_TTAFStock_Log[Part Name],$A13,T_TTAFStock_Log[WeekIndex],29)=0,"",SUMIFS(T_TTAFStock_Log[TTAF_Qty],T_TTAFStock_Log[Part Name],$A13,T_TTAFStock_Log[WeekIndex],29))</f>
        <v/>
      </c>
      <c r="AE13" s="18">
        <f>IF(COUNTIFS(T_TTAFStock_Log[Part Name],$A13,T_TTAFStock_Log[WeekIndex],30)=0,"",SUMIFS(T_TTAFStock_Log[TTAF_Qty],T_TTAFStock_Log[Part Name],$A13,T_TTAFStock_Log[WeekIndex],30))</f>
        <v/>
      </c>
      <c r="AF13" s="18">
        <f>IF(COUNTIFS(T_TTAFStock_Log[Part Name],$A13,T_TTAFStock_Log[WeekIndex],31)=0,"",SUMIFS(T_TTAFStock_Log[TTAF_Qty],T_TTAFStock_Log[Part Name],$A13,T_TTAFStock_Log[WeekIndex],31))</f>
        <v/>
      </c>
      <c r="AG13" s="18">
        <f>IF(COUNTIFS(T_TTAFStock_Log[Part Name],$A13,T_TTAFStock_Log[WeekIndex],32)=0,"",SUMIFS(T_TTAFStock_Log[TTAF_Qty],T_TTAFStock_Log[Part Name],$A13,T_TTAFStock_Log[WeekIndex],32))</f>
        <v/>
      </c>
      <c r="AH13" s="18">
        <f>IF(COUNTIFS(T_TTAFStock_Log[Part Name],$A13,T_TTAFStock_Log[WeekIndex],33)=0,"",SUMIFS(T_TTAFStock_Log[TTAF_Qty],T_TTAFStock_Log[Part Name],$A13,T_TTAFStock_Log[WeekIndex],33))</f>
        <v/>
      </c>
      <c r="AI13" s="18">
        <f>IF(COUNTIFS(T_TTAFStock_Log[Part Name],$A13,T_TTAFStock_Log[WeekIndex],34)=0,"",SUMIFS(T_TTAFStock_Log[TTAF_Qty],T_TTAFStock_Log[Part Name],$A13,T_TTAFStock_Log[WeekIndex],34))</f>
        <v/>
      </c>
      <c r="AJ13" s="18">
        <f>IF(COUNTIFS(T_TTAFStock_Log[Part Name],$A13,T_TTAFStock_Log[WeekIndex],35)=0,"",SUMIFS(T_TTAFStock_Log[TTAF_Qty],T_TTAFStock_Log[Part Name],$A13,T_TTAFStock_Log[WeekIndex],35))</f>
        <v/>
      </c>
      <c r="AK13" s="18">
        <f>IF(COUNTIFS(T_TTAFStock_Log[Part Name],$A13,T_TTAFStock_Log[WeekIndex],36)=0,"",SUMIFS(T_TTAFStock_Log[TTAF_Qty],T_TTAFStock_Log[Part Name],$A13,T_TTAFStock_Log[WeekIndex],36))</f>
        <v/>
      </c>
      <c r="AL13" s="18">
        <f>IF(COUNTIFS(T_TTAFStock_Log[Part Name],$A13,T_TTAFStock_Log[WeekIndex],37)=0,"",SUMIFS(T_TTAFStock_Log[TTAF_Qty],T_TTAFStock_Log[Part Name],$A13,T_TTAFStock_Log[WeekIndex],37))</f>
        <v/>
      </c>
      <c r="AM13" s="18">
        <f>IF(COUNTIFS(T_TTAFStock_Log[Part Name],$A13,T_TTAFStock_Log[WeekIndex],38)=0,"",SUMIFS(T_TTAFStock_Log[TTAF_Qty],T_TTAFStock_Log[Part Name],$A13,T_TTAFStock_Log[WeekIndex],38))</f>
        <v/>
      </c>
      <c r="AN13" s="18">
        <f>IF(COUNTIFS(T_TTAFStock_Log[Part Name],$A13,T_TTAFStock_Log[WeekIndex],39)=0,"",SUMIFS(T_TTAFStock_Log[TTAF_Qty],T_TTAFStock_Log[Part Name],$A13,T_TTAFStock_Log[WeekIndex],39))</f>
        <v/>
      </c>
      <c r="AO13" s="18">
        <f>IF(COUNTIFS(T_TTAFStock_Log[Part Name],$A13,T_TTAFStock_Log[WeekIndex],40)=0,"",SUMIFS(T_TTAFStock_Log[TTAF_Qty],T_TTAFStock_Log[Part Name],$A13,T_TTAFStock_Log[WeekIndex],40))</f>
        <v/>
      </c>
      <c r="AP13" s="18">
        <f>IF(COUNTIFS(T_TTAFStock_Log[Part Name],$A13,T_TTAFStock_Log[WeekIndex],41)=0,"",SUMIFS(T_TTAFStock_Log[TTAF_Qty],T_TTAFStock_Log[Part Name],$A13,T_TTAFStock_Log[WeekIndex],41))</f>
        <v/>
      </c>
      <c r="AQ13" s="18">
        <f>IF(COUNTIFS(T_TTAFStock_Log[Part Name],$A13,T_TTAFStock_Log[WeekIndex],42)=0,"",SUMIFS(T_TTAFStock_Log[TTAF_Qty],T_TTAFStock_Log[Part Name],$A13,T_TTAFStock_Log[WeekIndex],42))</f>
        <v/>
      </c>
      <c r="AR13" s="18">
        <f>IF(COUNTIFS(T_TTAFStock_Log[Part Name],$A13,T_TTAFStock_Log[WeekIndex],43)=0,"",SUMIFS(T_TTAFStock_Log[TTAF_Qty],T_TTAFStock_Log[Part Name],$A13,T_TTAFStock_Log[WeekIndex],43))</f>
        <v/>
      </c>
      <c r="AS13" s="18">
        <f>IF(COUNTIFS(T_TTAFStock_Log[Part Name],$A13,T_TTAFStock_Log[WeekIndex],44)=0,"",SUMIFS(T_TTAFStock_Log[TTAF_Qty],T_TTAFStock_Log[Part Name],$A13,T_TTAFStock_Log[WeekIndex],44))</f>
        <v/>
      </c>
      <c r="AT13" s="18">
        <f>IF(COUNTIFS(T_TTAFStock_Log[Part Name],$A13,T_TTAFStock_Log[WeekIndex],45)=0,"",SUMIFS(T_TTAFStock_Log[TTAF_Qty],T_TTAFStock_Log[Part Name],$A13,T_TTAFStock_Log[WeekIndex],45))</f>
        <v/>
      </c>
      <c r="AU13" s="18">
        <f>IF(COUNTIFS(T_TTAFStock_Log[Part Name],$A13,T_TTAFStock_Log[WeekIndex],46)=0,"",SUMIFS(T_TTAFStock_Log[TTAF_Qty],T_TTAFStock_Log[Part Name],$A13,T_TTAFStock_Log[WeekIndex],46))</f>
        <v/>
      </c>
      <c r="AV13" s="18">
        <f>IF(COUNTIFS(T_TTAFStock_Log[Part Name],$A13,T_TTAFStock_Log[WeekIndex],47)=0,"",SUMIFS(T_TTAFStock_Log[TTAF_Qty],T_TTAFStock_Log[Part Name],$A13,T_TTAFStock_Log[WeekIndex],47))</f>
        <v/>
      </c>
      <c r="AW13" s="18">
        <f>IF(COUNTIFS(T_TTAFStock_Log[Part Name],$A13,T_TTAFStock_Log[WeekIndex],48)=0,"",SUMIFS(T_TTAFStock_Log[TTAF_Qty],T_TTAFStock_Log[Part Name],$A13,T_TTAFStock_Log[WeekIndex],48))</f>
        <v/>
      </c>
      <c r="AX13" s="18">
        <f>IF(COUNTIFS(T_TTAFStock_Log[Part Name],$A13,T_TTAFStock_Log[WeekIndex],49)=0,"",SUMIFS(T_TTAFStock_Log[TTAF_Qty],T_TTAFStock_Log[Part Name],$A13,T_TTAFStock_Log[WeekIndex],49))</f>
        <v/>
      </c>
      <c r="AY13" s="18">
        <f>IF(COUNTIFS(T_TTAFStock_Log[Part Name],$A13,T_TTAFStock_Log[WeekIndex],50)=0,"",SUMIFS(T_TTAFStock_Log[TTAF_Qty],T_TTAFStock_Log[Part Name],$A13,T_TTAFStock_Log[WeekIndex],50))</f>
        <v/>
      </c>
      <c r="AZ13" s="18">
        <f>IF(COUNTIFS(T_TTAFStock_Log[Part Name],$A13,T_TTAFStock_Log[WeekIndex],51)=0,"",SUMIFS(T_TTAFStock_Log[TTAF_Qty],T_TTAFStock_Log[Part Name],$A13,T_TTAFStock_Log[WeekIndex],51))</f>
        <v/>
      </c>
      <c r="BA13" s="18">
        <f>IF(COUNTIFS(T_TTAFStock_Log[Part Name],$A13,T_TTAFStock_Log[WeekIndex],52)=0,"",SUMIFS(T_TTAFStock_Log[TTAF_Qty],T_TTAFStock_Log[Part Name],$A13,T_TTAFStock_Log[WeekIndex],52))</f>
        <v/>
      </c>
      <c r="BB13" s="18">
        <f>IF(COUNTIFS(T_TTAFStock_Log[Part Name],$A13,T_TTAFStock_Log[WeekIndex],53)=0,"",SUMIFS(T_TTAFStock_Log[TTAF_Qty],T_TTAFStock_Log[Part Name],$A13,T_TTAFStock_Log[WeekIndex],53))</f>
        <v/>
      </c>
      <c r="BC13" s="18">
        <f>IF(COUNTIFS(T_TTAFStock_Log[Part Name],$A13,T_TTAFStock_Log[WeekIndex],54)=0,"",SUMIFS(T_TTAFStock_Log[TTAF_Qty],T_TTAFStock_Log[Part Name],$A13,T_TTAFStock_Log[WeekIndex],54))</f>
        <v/>
      </c>
      <c r="BD13" s="18">
        <f>IF(COUNTIFS(T_TTAFStock_Log[Part Name],$A13,T_TTAFStock_Log[WeekIndex],55)=0,"",SUMIFS(T_TTAFStock_Log[TTAF_Qty],T_TTAFStock_Log[Part Name],$A13,T_TTAFStock_Log[WeekIndex],55))</f>
        <v/>
      </c>
      <c r="BE13" s="18">
        <f>IF(COUNTIFS(T_TTAFStock_Log[Part Name],$A13,T_TTAFStock_Log[WeekIndex],56)=0,"",SUMIFS(T_TTAFStock_Log[TTAF_Qty],T_TTAFStock_Log[Part Name],$A13,T_TTAFStock_Log[WeekIndex],56))</f>
        <v/>
      </c>
      <c r="BF13" s="18">
        <f>IF(COUNTIFS(T_TTAFStock_Log[Part Name],$A13,T_TTAFStock_Log[WeekIndex],57)=0,"",SUMIFS(T_TTAFStock_Log[TTAF_Qty],T_TTAFStock_Log[Part Name],$A13,T_TTAFStock_Log[WeekIndex],57))</f>
        <v/>
      </c>
      <c r="BG13" s="18">
        <f>IF(COUNTIFS(T_TTAFStock_Log[Part Name],$A13,T_TTAFStock_Log[WeekIndex],58)=0,"",SUMIFS(T_TTAFStock_Log[TTAF_Qty],T_TTAFStock_Log[Part Name],$A13,T_TTAFStock_Log[WeekIndex],58))</f>
        <v/>
      </c>
      <c r="BH13" s="18">
        <f>IF(COUNTIFS(T_TTAFStock_Log[Part Name],$A13,T_TTAFStock_Log[WeekIndex],59)=0,"",SUMIFS(T_TTAFStock_Log[TTAF_Qty],T_TTAFStock_Log[Part Name],$A13,T_TTAFStock_Log[WeekIndex],59))</f>
        <v/>
      </c>
      <c r="BI13" s="18">
        <f>IF(COUNTIFS(T_TTAFStock_Log[Part Name],$A13,T_TTAFStock_Log[WeekIndex],60)=0,"",SUMIFS(T_TTAFStock_Log[TTAF_Qty],T_TTAFStock_Log[Part Name],$A13,T_TTAFStock_Log[WeekIndex],60))</f>
        <v/>
      </c>
      <c r="BJ13" s="18">
        <f>IF(COUNTIFS(T_TTAFStock_Log[Part Name],$A13,T_TTAFStock_Log[WeekIndex],61)=0,"",SUMIFS(T_TTAFStock_Log[TTAF_Qty],T_TTAFStock_Log[Part Name],$A13,T_TTAFStock_Log[WeekIndex],61))</f>
        <v/>
      </c>
      <c r="BK13" s="18">
        <f>IF(COUNTIFS(T_TTAFStock_Log[Part Name],$A13,T_TTAFStock_Log[WeekIndex],62)=0,"",SUMIFS(T_TTAFStock_Log[TTAF_Qty],T_TTAFStock_Log[Part Name],$A13,T_TTAFStock_Log[WeekIndex],62))</f>
        <v/>
      </c>
      <c r="BL13" s="18">
        <f>IF(COUNTIFS(T_TTAFStock_Log[Part Name],$A13,T_TTAFStock_Log[WeekIndex],63)=0,"",SUMIFS(T_TTAFStock_Log[TTAF_Qty],T_TTAFStock_Log[Part Name],$A13,T_TTAFStock_Log[WeekIndex],63))</f>
        <v/>
      </c>
      <c r="BM13" s="18">
        <f>IF(COUNTIFS(T_TTAFStock_Log[Part Name],$A13,T_TTAFStock_Log[WeekIndex],64)=0,"",SUMIFS(T_TTAFStock_Log[TTAF_Qty],T_TTAFStock_Log[Part Name],$A13,T_TTAFStock_Log[WeekIndex],64))</f>
        <v/>
      </c>
      <c r="BN13" s="18">
        <f>IF(COUNTIFS(T_TTAFStock_Log[Part Name],$A13,T_TTAFStock_Log[WeekIndex],65)=0,"",SUMIFS(T_TTAFStock_Log[TTAF_Qty],T_TTAFStock_Log[Part Name],$A13,T_TTAFStock_Log[WeekIndex],65))</f>
        <v/>
      </c>
      <c r="BO13" s="18">
        <f>IF(COUNTIFS(T_TTAFStock_Log[Part Name],$A13,T_TTAFStock_Log[WeekIndex],66)=0,"",SUMIFS(T_TTAFStock_Log[TTAF_Qty],T_TTAFStock_Log[Part Name],$A13,T_TTAFStock_Log[WeekIndex],66))</f>
        <v/>
      </c>
      <c r="BP13" s="18">
        <f>IF(COUNTIFS(T_TTAFStock_Log[Part Name],$A13,T_TTAFStock_Log[WeekIndex],67)=0,"",SUMIFS(T_TTAFStock_Log[TTAF_Qty],T_TTAFStock_Log[Part Name],$A13,T_TTAFStock_Log[WeekIndex],67))</f>
        <v/>
      </c>
      <c r="BQ13" s="18">
        <f>IF(COUNTIFS(T_TTAFStock_Log[Part Name],$A13,T_TTAFStock_Log[WeekIndex],68)=0,"",SUMIFS(T_TTAFStock_Log[TTAF_Qty],T_TTAFStock_Log[Part Name],$A13,T_TTAFStock_Log[WeekIndex],68))</f>
        <v/>
      </c>
      <c r="BR13" s="18">
        <f>IF(COUNTIFS(T_TTAFStock_Log[Part Name],$A13,T_TTAFStock_Log[WeekIndex],69)=0,"",SUMIFS(T_TTAFStock_Log[TTAF_Qty],T_TTAFStock_Log[Part Name],$A13,T_TTAFStock_Log[WeekIndex],69))</f>
        <v/>
      </c>
      <c r="BS13" s="18">
        <f>IF(COUNTIFS(T_TTAFStock_Log[Part Name],$A13,T_TTAFStock_Log[WeekIndex],70)=0,"",SUMIFS(T_TTAFStock_Log[TTAF_Qty],T_TTAFStock_Log[Part Name],$A13,T_TTAFStock_Log[WeekIndex],70))</f>
        <v/>
      </c>
      <c r="BT13" s="18">
        <f>IF(COUNTIFS(T_TTAFStock_Log[Part Name],$A13,T_TTAFStock_Log[WeekIndex],71)=0,"",SUMIFS(T_TTAFStock_Log[TTAF_Qty],T_TTAFStock_Log[Part Name],$A13,T_TTAFStock_Log[WeekIndex],71))</f>
        <v/>
      </c>
      <c r="BU13" s="18">
        <f>IF(COUNTIFS(T_TTAFStock_Log[Part Name],$A13,T_TTAFStock_Log[WeekIndex],72)=0,"",SUMIFS(T_TTAFStock_Log[TTAF_Qty],T_TTAFStock_Log[Part Name],$A13,T_TTAFStock_Log[WeekIndex],72))</f>
        <v/>
      </c>
      <c r="BV13" s="18">
        <f>IF(COUNTIFS(T_TTAFStock_Log[Part Name],$A13,T_TTAFStock_Log[WeekIndex],73)=0,"",SUMIFS(T_TTAFStock_Log[TTAF_Qty],T_TTAFStock_Log[Part Name],$A13,T_TTAFStock_Log[WeekIndex],73))</f>
        <v/>
      </c>
      <c r="BW13" s="18">
        <f>IF(COUNTIFS(T_TTAFStock_Log[Part Name],$A13,T_TTAFStock_Log[WeekIndex],74)=0,"",SUMIFS(T_TTAFStock_Log[TTAF_Qty],T_TTAFStock_Log[Part Name],$A13,T_TTAFStock_Log[WeekIndex],74))</f>
        <v/>
      </c>
      <c r="BX13" s="18">
        <f>IF(COUNTIFS(T_TTAFStock_Log[Part Name],$A13,T_TTAFStock_Log[WeekIndex],75)=0,"",SUMIFS(T_TTAFStock_Log[TTAF_Qty],T_TTAFStock_Log[Part Name],$A13,T_TTAFStock_Log[WeekIndex],75))</f>
        <v/>
      </c>
      <c r="BY13" s="18">
        <f>IF(COUNTIFS(T_TTAFStock_Log[Part Name],$A13,T_TTAFStock_Log[WeekIndex],76)=0,"",SUMIFS(T_TTAFStock_Log[TTAF_Qty],T_TTAFStock_Log[Part Name],$A13,T_TTAFStock_Log[WeekIndex],76))</f>
        <v/>
      </c>
      <c r="BZ13" s="18">
        <f>IF(COUNTIFS(T_TTAFStock_Log[Part Name],$A13,T_TTAFStock_Log[WeekIndex],77)=0,"",SUMIFS(T_TTAFStock_Log[TTAF_Qty],T_TTAFStock_Log[Part Name],$A13,T_TTAFStock_Log[WeekIndex],77))</f>
        <v/>
      </c>
      <c r="CA13" s="18">
        <f>IF(COUNTIFS(T_TTAFStock_Log[Part Name],$A13,T_TTAFStock_Log[WeekIndex],78)=0,"",SUMIFS(T_TTAFStock_Log[TTAF_Qty],T_TTAFStock_Log[Part Name],$A13,T_TTAFStock_Log[WeekIndex],78))</f>
        <v/>
      </c>
      <c r="CB13" s="18">
        <f>IF(COUNTIFS(T_TTAFStock_Log[Part Name],$A13,T_TTAFStock_Log[WeekIndex],79)=0,"",SUMIFS(T_TTAFStock_Log[TTAF_Qty],T_TTAFStock_Log[Part Name],$A13,T_TTAFStock_Log[WeekIndex],79))</f>
        <v/>
      </c>
      <c r="CC13" s="18">
        <f>IF(COUNTIFS(T_TTAFStock_Log[Part Name],$A13,T_TTAFStock_Log[WeekIndex],80)=0,"",SUMIFS(T_TTAFStock_Log[TTAF_Qty],T_TTAFStock_Log[Part Name],$A13,T_TTAFStock_Log[WeekIndex],80))</f>
        <v/>
      </c>
      <c r="CD13" s="18">
        <f>IF(COUNTIFS(T_TTAFStock_Log[Part Name],$A13,T_TTAFStock_Log[WeekIndex],81)=0,"",SUMIFS(T_TTAFStock_Log[TTAF_Qty],T_TTAFStock_Log[Part Name],$A13,T_TTAFStock_Log[WeekIndex],81))</f>
        <v/>
      </c>
      <c r="CE13" s="18">
        <f>IF(COUNTIFS(T_TTAFStock_Log[Part Name],$A13,T_TTAFStock_Log[WeekIndex],82)=0,"",SUMIFS(T_TTAFStock_Log[TTAF_Qty],T_TTAFStock_Log[Part Name],$A13,T_TTAFStock_Log[WeekIndex],82))</f>
        <v/>
      </c>
      <c r="CF13" s="18">
        <f>IF(COUNTIFS(T_TTAFStock_Log[Part Name],$A13,T_TTAFStock_Log[WeekIndex],83)=0,"",SUMIFS(T_TTAFStock_Log[TTAF_Qty],T_TTAFStock_Log[Part Name],$A13,T_TTAFStock_Log[WeekIndex],83))</f>
        <v/>
      </c>
      <c r="CG13" s="18">
        <f>IF(COUNTIFS(T_TTAFStock_Log[Part Name],$A13,T_TTAFStock_Log[WeekIndex],84)=0,"",SUMIFS(T_TTAFStock_Log[TTAF_Qty],T_TTAFStock_Log[Part Name],$A13,T_TTAFStock_Log[WeekIndex],84))</f>
        <v/>
      </c>
      <c r="CH13" s="18">
        <f>IF(COUNTIFS(T_TTAFStock_Log[Part Name],$A13,T_TTAFStock_Log[WeekIndex],85)=0,"",SUMIFS(T_TTAFStock_Log[TTAF_Qty],T_TTAFStock_Log[Part Name],$A13,T_TTAFStock_Log[WeekIndex],85))</f>
        <v/>
      </c>
      <c r="CI13" s="18">
        <f>IF(COUNTIFS(T_TTAFStock_Log[Part Name],$A13,T_TTAFStock_Log[WeekIndex],86)=0,"",SUMIFS(T_TTAFStock_Log[TTAF_Qty],T_TTAFStock_Log[Part Name],$A13,T_TTAFStock_Log[WeekIndex],86))</f>
        <v/>
      </c>
      <c r="CJ13" s="18">
        <f>IF(COUNTIFS(T_TTAFStock_Log[Part Name],$A13,T_TTAFStock_Log[WeekIndex],87)=0,"",SUMIFS(T_TTAFStock_Log[TTAF_Qty],T_TTAFStock_Log[Part Name],$A13,T_TTAFStock_Log[WeekIndex],87))</f>
        <v/>
      </c>
      <c r="CK13" s="18">
        <f>IF(COUNTIFS(T_TTAFStock_Log[Part Name],$A13,T_TTAFStock_Log[WeekIndex],88)=0,"",SUMIFS(T_TTAFStock_Log[TTAF_Qty],T_TTAFStock_Log[Part Name],$A13,T_TTAFStock_Log[WeekIndex],88))</f>
        <v/>
      </c>
      <c r="CL13" s="18">
        <f>IF(COUNTIFS(T_TTAFStock_Log[Part Name],$A13,T_TTAFStock_Log[WeekIndex],89)=0,"",SUMIFS(T_TTAFStock_Log[TTAF_Qty],T_TTAFStock_Log[Part Name],$A13,T_TTAFStock_Log[WeekIndex],89))</f>
        <v/>
      </c>
      <c r="CM13" s="18">
        <f>IF(COUNTIFS(T_TTAFStock_Log[Part Name],$A13,T_TTAFStock_Log[WeekIndex],90)=0,"",SUMIFS(T_TTAFStock_Log[TTAF_Qty],T_TTAFStock_Log[Part Name],$A13,T_TTAFStock_Log[WeekIndex],90))</f>
        <v/>
      </c>
      <c r="CN13" s="18">
        <f>IF(COUNTIFS(T_TTAFStock_Log[Part Name],$A13,T_TTAFStock_Log[WeekIndex],91)=0,"",SUMIFS(T_TTAFStock_Log[TTAF_Qty],T_TTAFStock_Log[Part Name],$A13,T_TTAFStock_Log[WeekIndex],91))</f>
        <v/>
      </c>
      <c r="CO13" s="18">
        <f>IF(COUNTIFS(T_TTAFStock_Log[Part Name],$A13,T_TTAFStock_Log[WeekIndex],92)=0,"",SUMIFS(T_TTAFStock_Log[TTAF_Qty],T_TTAFStock_Log[Part Name],$A13,T_TTAFStock_Log[WeekIndex],92))</f>
        <v/>
      </c>
      <c r="CP13" s="18">
        <f>IF(COUNTIFS(T_TTAFStock_Log[Part Name],$A13,T_TTAFStock_Log[WeekIndex],93)=0,"",SUMIFS(T_TTAFStock_Log[TTAF_Qty],T_TTAFStock_Log[Part Name],$A13,T_TTAFStock_Log[WeekIndex],93))</f>
        <v/>
      </c>
      <c r="CQ13" s="18">
        <f>IF(COUNTIFS(T_TTAFStock_Log[Part Name],$A13,T_TTAFStock_Log[WeekIndex],94)=0,"",SUMIFS(T_TTAFStock_Log[TTAF_Qty],T_TTAFStock_Log[Part Name],$A13,T_TTAFStock_Log[WeekIndex],94))</f>
        <v/>
      </c>
      <c r="CR13" s="18">
        <f>IF(COUNTIFS(T_TTAFStock_Log[Part Name],$A13,T_TTAFStock_Log[WeekIndex],95)=0,"",SUMIFS(T_TTAFStock_Log[TTAF_Qty],T_TTAFStock_Log[Part Name],$A13,T_TTAFStock_Log[WeekIndex],95))</f>
        <v/>
      </c>
      <c r="CS13" s="18">
        <f>IF(COUNTIFS(T_TTAFStock_Log[Part Name],$A13,T_TTAFStock_Log[WeekIndex],96)=0,"",SUMIFS(T_TTAFStock_Log[TTAF_Qty],T_TTAFStock_Log[Part Name],$A13,T_TTAFStock_Log[WeekIndex],96))</f>
        <v/>
      </c>
      <c r="CT13" s="18">
        <f>IF(COUNTIFS(T_TTAFStock_Log[Part Name],$A13,T_TTAFStock_Log[WeekIndex],97)=0,"",SUMIFS(T_TTAFStock_Log[TTAF_Qty],T_TTAFStock_Log[Part Name],$A13,T_TTAFStock_Log[WeekIndex],97))</f>
        <v/>
      </c>
      <c r="CU13" s="18">
        <f>IF(COUNTIFS(T_TTAFStock_Log[Part Name],$A13,T_TTAFStock_Log[WeekIndex],98)=0,"",SUMIFS(T_TTAFStock_Log[TTAF_Qty],T_TTAFStock_Log[Part Name],$A13,T_TTAFStock_Log[WeekIndex],98))</f>
        <v/>
      </c>
      <c r="CV13" s="18">
        <f>IF(COUNTIFS(T_TTAFStock_Log[Part Name],$A13,T_TTAFStock_Log[WeekIndex],99)=0,"",SUMIFS(T_TTAFStock_Log[TTAF_Qty],T_TTAFStock_Log[Part Name],$A13,T_TTAFStock_Log[WeekIndex],99))</f>
        <v/>
      </c>
      <c r="CW13" s="18">
        <f>IF(COUNTIFS(T_TTAFStock_Log[Part Name],$A13,T_TTAFStock_Log[WeekIndex],100)=0,"",SUMIFS(T_TTAFStock_Log[TTAF_Qty],T_TTAFStock_Log[Part Name],$A13,T_TTAFStock_Log[WeekIndex],100))</f>
        <v/>
      </c>
      <c r="CX13" s="18">
        <f>IF(COUNTIFS(T_TTAFStock_Log[Part Name],$A13,T_TTAFStock_Log[WeekIndex],101)=0,"",SUMIFS(T_TTAFStock_Log[TTAF_Qty],T_TTAFStock_Log[Part Name],$A13,T_TTAFStock_Log[WeekIndex],101))</f>
        <v/>
      </c>
      <c r="CY13" s="18">
        <f>IF(COUNTIFS(T_TTAFStock_Log[Part Name],$A13,T_TTAFStock_Log[WeekIndex],102)=0,"",SUMIFS(T_TTAFStock_Log[TTAF_Qty],T_TTAFStock_Log[Part Name],$A13,T_TTAFStock_Log[WeekIndex],102))</f>
        <v/>
      </c>
      <c r="CZ13" s="18">
        <f>IF(COUNTIFS(T_TTAFStock_Log[Part Name],$A13,T_TTAFStock_Log[WeekIndex],103)=0,"",SUMIFS(T_TTAFStock_Log[TTAF_Qty],T_TTAFStock_Log[Part Name],$A13,T_TTAFStock_Log[WeekIndex],103))</f>
        <v/>
      </c>
      <c r="DA13" s="18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CHEM-1440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8" t="inlineStr">
        <is>
          <t>4HL</t>
        </is>
      </c>
      <c r="B15" s="18">
        <f>IF(COUNTIFS(T_TTAFStock_Log[Part Name],$A15,T_TTAFStock_Log[WeekIndex],1)=0,"",SUMIFS(T_TTAFStock_Log[TTAF_Qty],T_TTAFStock_Log[Part Name],$A15,T_TTAFStock_Log[WeekIndex],1))</f>
        <v/>
      </c>
      <c r="C15" s="18">
        <f>IF(COUNTIFS(T_TTAFStock_Log[Part Name],$A15,T_TTAFStock_Log[WeekIndex],2)=0,"",SUMIFS(T_TTAFStock_Log[TTAF_Qty],T_TTAFStock_Log[Part Name],$A15,T_TTAFStock_Log[WeekIndex],2))</f>
        <v/>
      </c>
      <c r="D15" s="18">
        <f>IF(COUNTIFS(T_TTAFStock_Log[Part Name],$A15,T_TTAFStock_Log[WeekIndex],3)=0,"",SUMIFS(T_TTAFStock_Log[TTAF_Qty],T_TTAFStock_Log[Part Name],$A15,T_TTAFStock_Log[WeekIndex],3))</f>
        <v/>
      </c>
      <c r="E15" s="18">
        <f>IF(COUNTIFS(T_TTAFStock_Log[Part Name],$A15,T_TTAFStock_Log[WeekIndex],4)=0,"",SUMIFS(T_TTAFStock_Log[TTAF_Qty],T_TTAFStock_Log[Part Name],$A15,T_TTAFStock_Log[WeekIndex],4))</f>
        <v/>
      </c>
      <c r="F15" s="18">
        <f>IF(COUNTIFS(T_TTAFStock_Log[Part Name],$A15,T_TTAFStock_Log[WeekIndex],5)=0,"",SUMIFS(T_TTAFStock_Log[TTAF_Qty],T_TTAFStock_Log[Part Name],$A15,T_TTAFStock_Log[WeekIndex],5))</f>
        <v/>
      </c>
      <c r="G15" s="18">
        <f>IF(COUNTIFS(T_TTAFStock_Log[Part Name],$A15,T_TTAFStock_Log[WeekIndex],6)=0,"",SUMIFS(T_TTAFStock_Log[TTAF_Qty],T_TTAFStock_Log[Part Name],$A15,T_TTAFStock_Log[WeekIndex],6))</f>
        <v/>
      </c>
      <c r="H15" s="18">
        <f>IF(COUNTIFS(T_TTAFStock_Log[Part Name],$A15,T_TTAFStock_Log[WeekIndex],7)=0,"",SUMIFS(T_TTAFStock_Log[TTAF_Qty],T_TTAFStock_Log[Part Name],$A15,T_TTAFStock_Log[WeekIndex],7))</f>
        <v/>
      </c>
      <c r="I15" s="18">
        <f>IF(COUNTIFS(T_TTAFStock_Log[Part Name],$A15,T_TTAFStock_Log[WeekIndex],8)=0,"",SUMIFS(T_TTAFStock_Log[TTAF_Qty],T_TTAFStock_Log[Part Name],$A15,T_TTAFStock_Log[WeekIndex],8))</f>
        <v/>
      </c>
      <c r="J15" s="18">
        <f>IF(COUNTIFS(T_TTAFStock_Log[Part Name],$A15,T_TTAFStock_Log[WeekIndex],9)=0,"",SUMIFS(T_TTAFStock_Log[TTAF_Qty],T_TTAFStock_Log[Part Name],$A15,T_TTAFStock_Log[WeekIndex],9))</f>
        <v/>
      </c>
      <c r="K15" s="18">
        <f>IF(COUNTIFS(T_TTAFStock_Log[Part Name],$A15,T_TTAFStock_Log[WeekIndex],10)=0,"",SUMIFS(T_TTAFStock_Log[TTAF_Qty],T_TTAFStock_Log[Part Name],$A15,T_TTAFStock_Log[WeekIndex],10))</f>
        <v/>
      </c>
      <c r="L15" s="18">
        <f>IF(COUNTIFS(T_TTAFStock_Log[Part Name],$A15,T_TTAFStock_Log[WeekIndex],11)=0,"",SUMIFS(T_TTAFStock_Log[TTAF_Qty],T_TTAFStock_Log[Part Name],$A15,T_TTAFStock_Log[WeekIndex],11))</f>
        <v/>
      </c>
      <c r="M15" s="18">
        <f>IF(COUNTIFS(T_TTAFStock_Log[Part Name],$A15,T_TTAFStock_Log[WeekIndex],12)=0,"",SUMIFS(T_TTAFStock_Log[TTAF_Qty],T_TTAFStock_Log[Part Name],$A15,T_TTAFStock_Log[WeekIndex],12))</f>
        <v/>
      </c>
      <c r="N15" s="18">
        <f>IF(COUNTIFS(T_TTAFStock_Log[Part Name],$A15,T_TTAFStock_Log[WeekIndex],13)=0,"",SUMIFS(T_TTAFStock_Log[TTAF_Qty],T_TTAFStock_Log[Part Name],$A15,T_TTAFStock_Log[WeekIndex],13))</f>
        <v/>
      </c>
      <c r="O15" s="18">
        <f>IF(COUNTIFS(T_TTAFStock_Log[Part Name],$A15,T_TTAFStock_Log[WeekIndex],14)=0,"",SUMIFS(T_TTAFStock_Log[TTAF_Qty],T_TTAFStock_Log[Part Name],$A15,T_TTAFStock_Log[WeekIndex],14))</f>
        <v/>
      </c>
      <c r="P15" s="18">
        <f>IF(COUNTIFS(T_TTAFStock_Log[Part Name],$A15,T_TTAFStock_Log[WeekIndex],15)=0,"",SUMIFS(T_TTAFStock_Log[TTAF_Qty],T_TTAFStock_Log[Part Name],$A15,T_TTAFStock_Log[WeekIndex],15))</f>
        <v/>
      </c>
      <c r="Q15" s="18">
        <f>IF(COUNTIFS(T_TTAFStock_Log[Part Name],$A15,T_TTAFStock_Log[WeekIndex],16)=0,"",SUMIFS(T_TTAFStock_Log[TTAF_Qty],T_TTAFStock_Log[Part Name],$A15,T_TTAFStock_Log[WeekIndex],16))</f>
        <v/>
      </c>
      <c r="R15" s="18">
        <f>IF(COUNTIFS(T_TTAFStock_Log[Part Name],$A15,T_TTAFStock_Log[WeekIndex],17)=0,"",SUMIFS(T_TTAFStock_Log[TTAF_Qty],T_TTAFStock_Log[Part Name],$A15,T_TTAFStock_Log[WeekIndex],17))</f>
        <v/>
      </c>
      <c r="S15" s="18">
        <f>IF(COUNTIFS(T_TTAFStock_Log[Part Name],$A15,T_TTAFStock_Log[WeekIndex],18)=0,"",SUMIFS(T_TTAFStock_Log[TTAF_Qty],T_TTAFStock_Log[Part Name],$A15,T_TTAFStock_Log[WeekIndex],18))</f>
        <v/>
      </c>
      <c r="T15" s="18">
        <f>IF(COUNTIFS(T_TTAFStock_Log[Part Name],$A15,T_TTAFStock_Log[WeekIndex],19)=0,"",SUMIFS(T_TTAFStock_Log[TTAF_Qty],T_TTAFStock_Log[Part Name],$A15,T_TTAFStock_Log[WeekIndex],19))</f>
        <v/>
      </c>
      <c r="U15" s="18">
        <f>IF(COUNTIFS(T_TTAFStock_Log[Part Name],$A15,T_TTAFStock_Log[WeekIndex],20)=0,"",SUMIFS(T_TTAFStock_Log[TTAF_Qty],T_TTAFStock_Log[Part Name],$A15,T_TTAFStock_Log[WeekIndex],20))</f>
        <v/>
      </c>
      <c r="V15" s="18">
        <f>IF(COUNTIFS(T_TTAFStock_Log[Part Name],$A15,T_TTAFStock_Log[WeekIndex],21)=0,"",SUMIFS(T_TTAFStock_Log[TTAF_Qty],T_TTAFStock_Log[Part Name],$A15,T_TTAFStock_Log[WeekIndex],21))</f>
        <v/>
      </c>
      <c r="W15" s="18">
        <f>IF(COUNTIFS(T_TTAFStock_Log[Part Name],$A15,T_TTAFStock_Log[WeekIndex],22)=0,"",SUMIFS(T_TTAFStock_Log[TTAF_Qty],T_TTAFStock_Log[Part Name],$A15,T_TTAFStock_Log[WeekIndex],22))</f>
        <v/>
      </c>
      <c r="X15" s="18">
        <f>IF(COUNTIFS(T_TTAFStock_Log[Part Name],$A15,T_TTAFStock_Log[WeekIndex],23)=0,"",SUMIFS(T_TTAFStock_Log[TTAF_Qty],T_TTAFStock_Log[Part Name],$A15,T_TTAFStock_Log[WeekIndex],23))</f>
        <v/>
      </c>
      <c r="Y15" s="18">
        <f>IF(COUNTIFS(T_TTAFStock_Log[Part Name],$A15,T_TTAFStock_Log[WeekIndex],24)=0,"",SUMIFS(T_TTAFStock_Log[TTAF_Qty],T_TTAFStock_Log[Part Name],$A15,T_TTAFStock_Log[WeekIndex],24))</f>
        <v/>
      </c>
      <c r="Z15" s="18">
        <f>IF(COUNTIFS(T_TTAFStock_Log[Part Name],$A15,T_TTAFStock_Log[WeekIndex],25)=0,"",SUMIFS(T_TTAFStock_Log[TTAF_Qty],T_TTAFStock_Log[Part Name],$A15,T_TTAFStock_Log[WeekIndex],25))</f>
        <v/>
      </c>
      <c r="AA15" s="18">
        <f>IF(COUNTIFS(T_TTAFStock_Log[Part Name],$A15,T_TTAFStock_Log[WeekIndex],26)=0,"",SUMIFS(T_TTAFStock_Log[TTAF_Qty],T_TTAFStock_Log[Part Name],$A15,T_TTAFStock_Log[WeekIndex],26))</f>
        <v/>
      </c>
      <c r="AB15" s="18">
        <f>IF(COUNTIFS(T_TTAFStock_Log[Part Name],$A15,T_TTAFStock_Log[WeekIndex],27)=0,"",SUMIFS(T_TTAFStock_Log[TTAF_Qty],T_TTAFStock_Log[Part Name],$A15,T_TTAFStock_Log[WeekIndex],27))</f>
        <v/>
      </c>
      <c r="AC15" s="18">
        <f>IF(COUNTIFS(T_TTAFStock_Log[Part Name],$A15,T_TTAFStock_Log[WeekIndex],28)=0,"",SUMIFS(T_TTAFStock_Log[TTAF_Qty],T_TTAFStock_Log[Part Name],$A15,T_TTAFStock_Log[WeekIndex],28))</f>
        <v/>
      </c>
      <c r="AD15" s="18">
        <f>IF(COUNTIFS(T_TTAFStock_Log[Part Name],$A15,T_TTAFStock_Log[WeekIndex],29)=0,"",SUMIFS(T_TTAFStock_Log[TTAF_Qty],T_TTAFStock_Log[Part Name],$A15,T_TTAFStock_Log[WeekIndex],29))</f>
        <v/>
      </c>
      <c r="AE15" s="18">
        <f>IF(COUNTIFS(T_TTAFStock_Log[Part Name],$A15,T_TTAFStock_Log[WeekIndex],30)=0,"",SUMIFS(T_TTAFStock_Log[TTAF_Qty],T_TTAFStock_Log[Part Name],$A15,T_TTAFStock_Log[WeekIndex],30))</f>
        <v/>
      </c>
      <c r="AF15" s="18">
        <f>IF(COUNTIFS(T_TTAFStock_Log[Part Name],$A15,T_TTAFStock_Log[WeekIndex],31)=0,"",SUMIFS(T_TTAFStock_Log[TTAF_Qty],T_TTAFStock_Log[Part Name],$A15,T_TTAFStock_Log[WeekIndex],31))</f>
        <v/>
      </c>
      <c r="AG15" s="18">
        <f>IF(COUNTIFS(T_TTAFStock_Log[Part Name],$A15,T_TTAFStock_Log[WeekIndex],32)=0,"",SUMIFS(T_TTAFStock_Log[TTAF_Qty],T_TTAFStock_Log[Part Name],$A15,T_TTAFStock_Log[WeekIndex],32))</f>
        <v/>
      </c>
      <c r="AH15" s="18">
        <f>IF(COUNTIFS(T_TTAFStock_Log[Part Name],$A15,T_TTAFStock_Log[WeekIndex],33)=0,"",SUMIFS(T_TTAFStock_Log[TTAF_Qty],T_TTAFStock_Log[Part Name],$A15,T_TTAFStock_Log[WeekIndex],33))</f>
        <v/>
      </c>
      <c r="AI15" s="18">
        <f>IF(COUNTIFS(T_TTAFStock_Log[Part Name],$A15,T_TTAFStock_Log[WeekIndex],34)=0,"",SUMIFS(T_TTAFStock_Log[TTAF_Qty],T_TTAFStock_Log[Part Name],$A15,T_TTAFStock_Log[WeekIndex],34))</f>
        <v/>
      </c>
      <c r="AJ15" s="18">
        <f>IF(COUNTIFS(T_TTAFStock_Log[Part Name],$A15,T_TTAFStock_Log[WeekIndex],35)=0,"",SUMIFS(T_TTAFStock_Log[TTAF_Qty],T_TTAFStock_Log[Part Name],$A15,T_TTAFStock_Log[WeekIndex],35))</f>
        <v/>
      </c>
      <c r="AK15" s="18">
        <f>IF(COUNTIFS(T_TTAFStock_Log[Part Name],$A15,T_TTAFStock_Log[WeekIndex],36)=0,"",SUMIFS(T_TTAFStock_Log[TTAF_Qty],T_TTAFStock_Log[Part Name],$A15,T_TTAFStock_Log[WeekIndex],36))</f>
        <v/>
      </c>
      <c r="AL15" s="18">
        <f>IF(COUNTIFS(T_TTAFStock_Log[Part Name],$A15,T_TTAFStock_Log[WeekIndex],37)=0,"",SUMIFS(T_TTAFStock_Log[TTAF_Qty],T_TTAFStock_Log[Part Name],$A15,T_TTAFStock_Log[WeekIndex],37))</f>
        <v/>
      </c>
      <c r="AM15" s="18">
        <f>IF(COUNTIFS(T_TTAFStock_Log[Part Name],$A15,T_TTAFStock_Log[WeekIndex],38)=0,"",SUMIFS(T_TTAFStock_Log[TTAF_Qty],T_TTAFStock_Log[Part Name],$A15,T_TTAFStock_Log[WeekIndex],38))</f>
        <v/>
      </c>
      <c r="AN15" s="18">
        <f>IF(COUNTIFS(T_TTAFStock_Log[Part Name],$A15,T_TTAFStock_Log[WeekIndex],39)=0,"",SUMIFS(T_TTAFStock_Log[TTAF_Qty],T_TTAFStock_Log[Part Name],$A15,T_TTAFStock_Log[WeekIndex],39))</f>
        <v/>
      </c>
      <c r="AO15" s="18">
        <f>IF(COUNTIFS(T_TTAFStock_Log[Part Name],$A15,T_TTAFStock_Log[WeekIndex],40)=0,"",SUMIFS(T_TTAFStock_Log[TTAF_Qty],T_TTAFStock_Log[Part Name],$A15,T_TTAFStock_Log[WeekIndex],40))</f>
        <v/>
      </c>
      <c r="AP15" s="18">
        <f>IF(COUNTIFS(T_TTAFStock_Log[Part Name],$A15,T_TTAFStock_Log[WeekIndex],41)=0,"",SUMIFS(T_TTAFStock_Log[TTAF_Qty],T_TTAFStock_Log[Part Name],$A15,T_TTAFStock_Log[WeekIndex],41))</f>
        <v/>
      </c>
      <c r="AQ15" s="18">
        <f>IF(COUNTIFS(T_TTAFStock_Log[Part Name],$A15,T_TTAFStock_Log[WeekIndex],42)=0,"",SUMIFS(T_TTAFStock_Log[TTAF_Qty],T_TTAFStock_Log[Part Name],$A15,T_TTAFStock_Log[WeekIndex],42))</f>
        <v/>
      </c>
      <c r="AR15" s="18">
        <f>IF(COUNTIFS(T_TTAFStock_Log[Part Name],$A15,T_TTAFStock_Log[WeekIndex],43)=0,"",SUMIFS(T_TTAFStock_Log[TTAF_Qty],T_TTAFStock_Log[Part Name],$A15,T_TTAFStock_Log[WeekIndex],43))</f>
        <v/>
      </c>
      <c r="AS15" s="18">
        <f>IF(COUNTIFS(T_TTAFStock_Log[Part Name],$A15,T_TTAFStock_Log[WeekIndex],44)=0,"",SUMIFS(T_TTAFStock_Log[TTAF_Qty],T_TTAFStock_Log[Part Name],$A15,T_TTAFStock_Log[WeekIndex],44))</f>
        <v/>
      </c>
      <c r="AT15" s="18">
        <f>IF(COUNTIFS(T_TTAFStock_Log[Part Name],$A15,T_TTAFStock_Log[WeekIndex],45)=0,"",SUMIFS(T_TTAFStock_Log[TTAF_Qty],T_TTAFStock_Log[Part Name],$A15,T_TTAFStock_Log[WeekIndex],45))</f>
        <v/>
      </c>
      <c r="AU15" s="18">
        <f>IF(COUNTIFS(T_TTAFStock_Log[Part Name],$A15,T_TTAFStock_Log[WeekIndex],46)=0,"",SUMIFS(T_TTAFStock_Log[TTAF_Qty],T_TTAFStock_Log[Part Name],$A15,T_TTAFStock_Log[WeekIndex],46))</f>
        <v/>
      </c>
      <c r="AV15" s="18">
        <f>IF(COUNTIFS(T_TTAFStock_Log[Part Name],$A15,T_TTAFStock_Log[WeekIndex],47)=0,"",SUMIFS(T_TTAFStock_Log[TTAF_Qty],T_TTAFStock_Log[Part Name],$A15,T_TTAFStock_Log[WeekIndex],47))</f>
        <v/>
      </c>
      <c r="AW15" s="18">
        <f>IF(COUNTIFS(T_TTAFStock_Log[Part Name],$A15,T_TTAFStock_Log[WeekIndex],48)=0,"",SUMIFS(T_TTAFStock_Log[TTAF_Qty],T_TTAFStock_Log[Part Name],$A15,T_TTAFStock_Log[WeekIndex],48))</f>
        <v/>
      </c>
      <c r="AX15" s="18">
        <f>IF(COUNTIFS(T_TTAFStock_Log[Part Name],$A15,T_TTAFStock_Log[WeekIndex],49)=0,"",SUMIFS(T_TTAFStock_Log[TTAF_Qty],T_TTAFStock_Log[Part Name],$A15,T_TTAFStock_Log[WeekIndex],49))</f>
        <v/>
      </c>
      <c r="AY15" s="18">
        <f>IF(COUNTIFS(T_TTAFStock_Log[Part Name],$A15,T_TTAFStock_Log[WeekIndex],50)=0,"",SUMIFS(T_TTAFStock_Log[TTAF_Qty],T_TTAFStock_Log[Part Name],$A15,T_TTAFStock_Log[WeekIndex],50))</f>
        <v/>
      </c>
      <c r="AZ15" s="18">
        <f>IF(COUNTIFS(T_TTAFStock_Log[Part Name],$A15,T_TTAFStock_Log[WeekIndex],51)=0,"",SUMIFS(T_TTAFStock_Log[TTAF_Qty],T_TTAFStock_Log[Part Name],$A15,T_TTAFStock_Log[WeekIndex],51))</f>
        <v/>
      </c>
      <c r="BA15" s="18">
        <f>IF(COUNTIFS(T_TTAFStock_Log[Part Name],$A15,T_TTAFStock_Log[WeekIndex],52)=0,"",SUMIFS(T_TTAFStock_Log[TTAF_Qty],T_TTAFStock_Log[Part Name],$A15,T_TTAFStock_Log[WeekIndex],52))</f>
        <v/>
      </c>
      <c r="BB15" s="18">
        <f>IF(COUNTIFS(T_TTAFStock_Log[Part Name],$A15,T_TTAFStock_Log[WeekIndex],53)=0,"",SUMIFS(T_TTAFStock_Log[TTAF_Qty],T_TTAFStock_Log[Part Name],$A15,T_TTAFStock_Log[WeekIndex],53))</f>
        <v/>
      </c>
      <c r="BC15" s="18">
        <f>IF(COUNTIFS(T_TTAFStock_Log[Part Name],$A15,T_TTAFStock_Log[WeekIndex],54)=0,"",SUMIFS(T_TTAFStock_Log[TTAF_Qty],T_TTAFStock_Log[Part Name],$A15,T_TTAFStock_Log[WeekIndex],54))</f>
        <v/>
      </c>
      <c r="BD15" s="18">
        <f>IF(COUNTIFS(T_TTAFStock_Log[Part Name],$A15,T_TTAFStock_Log[WeekIndex],55)=0,"",SUMIFS(T_TTAFStock_Log[TTAF_Qty],T_TTAFStock_Log[Part Name],$A15,T_TTAFStock_Log[WeekIndex],55))</f>
        <v/>
      </c>
      <c r="BE15" s="18">
        <f>IF(COUNTIFS(T_TTAFStock_Log[Part Name],$A15,T_TTAFStock_Log[WeekIndex],56)=0,"",SUMIFS(T_TTAFStock_Log[TTAF_Qty],T_TTAFStock_Log[Part Name],$A15,T_TTAFStock_Log[WeekIndex],56))</f>
        <v/>
      </c>
      <c r="BF15" s="18">
        <f>IF(COUNTIFS(T_TTAFStock_Log[Part Name],$A15,T_TTAFStock_Log[WeekIndex],57)=0,"",SUMIFS(T_TTAFStock_Log[TTAF_Qty],T_TTAFStock_Log[Part Name],$A15,T_TTAFStock_Log[WeekIndex],57))</f>
        <v/>
      </c>
      <c r="BG15" s="18">
        <f>IF(COUNTIFS(T_TTAFStock_Log[Part Name],$A15,T_TTAFStock_Log[WeekIndex],58)=0,"",SUMIFS(T_TTAFStock_Log[TTAF_Qty],T_TTAFStock_Log[Part Name],$A15,T_TTAFStock_Log[WeekIndex],58))</f>
        <v/>
      </c>
      <c r="BH15" s="18">
        <f>IF(COUNTIFS(T_TTAFStock_Log[Part Name],$A15,T_TTAFStock_Log[WeekIndex],59)=0,"",SUMIFS(T_TTAFStock_Log[TTAF_Qty],T_TTAFStock_Log[Part Name],$A15,T_TTAFStock_Log[WeekIndex],59))</f>
        <v/>
      </c>
      <c r="BI15" s="18">
        <f>IF(COUNTIFS(T_TTAFStock_Log[Part Name],$A15,T_TTAFStock_Log[WeekIndex],60)=0,"",SUMIFS(T_TTAFStock_Log[TTAF_Qty],T_TTAFStock_Log[Part Name],$A15,T_TTAFStock_Log[WeekIndex],60))</f>
        <v/>
      </c>
      <c r="BJ15" s="18">
        <f>IF(COUNTIFS(T_TTAFStock_Log[Part Name],$A15,T_TTAFStock_Log[WeekIndex],61)=0,"",SUMIFS(T_TTAFStock_Log[TTAF_Qty],T_TTAFStock_Log[Part Name],$A15,T_TTAFStock_Log[WeekIndex],61))</f>
        <v/>
      </c>
      <c r="BK15" s="18">
        <f>IF(COUNTIFS(T_TTAFStock_Log[Part Name],$A15,T_TTAFStock_Log[WeekIndex],62)=0,"",SUMIFS(T_TTAFStock_Log[TTAF_Qty],T_TTAFStock_Log[Part Name],$A15,T_TTAFStock_Log[WeekIndex],62))</f>
        <v/>
      </c>
      <c r="BL15" s="18">
        <f>IF(COUNTIFS(T_TTAFStock_Log[Part Name],$A15,T_TTAFStock_Log[WeekIndex],63)=0,"",SUMIFS(T_TTAFStock_Log[TTAF_Qty],T_TTAFStock_Log[Part Name],$A15,T_TTAFStock_Log[WeekIndex],63))</f>
        <v/>
      </c>
      <c r="BM15" s="18">
        <f>IF(COUNTIFS(T_TTAFStock_Log[Part Name],$A15,T_TTAFStock_Log[WeekIndex],64)=0,"",SUMIFS(T_TTAFStock_Log[TTAF_Qty],T_TTAFStock_Log[Part Name],$A15,T_TTAFStock_Log[WeekIndex],64))</f>
        <v/>
      </c>
      <c r="BN15" s="18">
        <f>IF(COUNTIFS(T_TTAFStock_Log[Part Name],$A15,T_TTAFStock_Log[WeekIndex],65)=0,"",SUMIFS(T_TTAFStock_Log[TTAF_Qty],T_TTAFStock_Log[Part Name],$A15,T_TTAFStock_Log[WeekIndex],65))</f>
        <v/>
      </c>
      <c r="BO15" s="18">
        <f>IF(COUNTIFS(T_TTAFStock_Log[Part Name],$A15,T_TTAFStock_Log[WeekIndex],66)=0,"",SUMIFS(T_TTAFStock_Log[TTAF_Qty],T_TTAFStock_Log[Part Name],$A15,T_TTAFStock_Log[WeekIndex],66))</f>
        <v/>
      </c>
      <c r="BP15" s="18">
        <f>IF(COUNTIFS(T_TTAFStock_Log[Part Name],$A15,T_TTAFStock_Log[WeekIndex],67)=0,"",SUMIFS(T_TTAFStock_Log[TTAF_Qty],T_TTAFStock_Log[Part Name],$A15,T_TTAFStock_Log[WeekIndex],67))</f>
        <v/>
      </c>
      <c r="BQ15" s="18">
        <f>IF(COUNTIFS(T_TTAFStock_Log[Part Name],$A15,T_TTAFStock_Log[WeekIndex],68)=0,"",SUMIFS(T_TTAFStock_Log[TTAF_Qty],T_TTAFStock_Log[Part Name],$A15,T_TTAFStock_Log[WeekIndex],68))</f>
        <v/>
      </c>
      <c r="BR15" s="18">
        <f>IF(COUNTIFS(T_TTAFStock_Log[Part Name],$A15,T_TTAFStock_Log[WeekIndex],69)=0,"",SUMIFS(T_TTAFStock_Log[TTAF_Qty],T_TTAFStock_Log[Part Name],$A15,T_TTAFStock_Log[WeekIndex],69))</f>
        <v/>
      </c>
      <c r="BS15" s="18">
        <f>IF(COUNTIFS(T_TTAFStock_Log[Part Name],$A15,T_TTAFStock_Log[WeekIndex],70)=0,"",SUMIFS(T_TTAFStock_Log[TTAF_Qty],T_TTAFStock_Log[Part Name],$A15,T_TTAFStock_Log[WeekIndex],70))</f>
        <v/>
      </c>
      <c r="BT15" s="18">
        <f>IF(COUNTIFS(T_TTAFStock_Log[Part Name],$A15,T_TTAFStock_Log[WeekIndex],71)=0,"",SUMIFS(T_TTAFStock_Log[TTAF_Qty],T_TTAFStock_Log[Part Name],$A15,T_TTAFStock_Log[WeekIndex],71))</f>
        <v/>
      </c>
      <c r="BU15" s="18">
        <f>IF(COUNTIFS(T_TTAFStock_Log[Part Name],$A15,T_TTAFStock_Log[WeekIndex],72)=0,"",SUMIFS(T_TTAFStock_Log[TTAF_Qty],T_TTAFStock_Log[Part Name],$A15,T_TTAFStock_Log[WeekIndex],72))</f>
        <v/>
      </c>
      <c r="BV15" s="18">
        <f>IF(COUNTIFS(T_TTAFStock_Log[Part Name],$A15,T_TTAFStock_Log[WeekIndex],73)=0,"",SUMIFS(T_TTAFStock_Log[TTAF_Qty],T_TTAFStock_Log[Part Name],$A15,T_TTAFStock_Log[WeekIndex],73))</f>
        <v/>
      </c>
      <c r="BW15" s="18">
        <f>IF(COUNTIFS(T_TTAFStock_Log[Part Name],$A15,T_TTAFStock_Log[WeekIndex],74)=0,"",SUMIFS(T_TTAFStock_Log[TTAF_Qty],T_TTAFStock_Log[Part Name],$A15,T_TTAFStock_Log[WeekIndex],74))</f>
        <v/>
      </c>
      <c r="BX15" s="18">
        <f>IF(COUNTIFS(T_TTAFStock_Log[Part Name],$A15,T_TTAFStock_Log[WeekIndex],75)=0,"",SUMIFS(T_TTAFStock_Log[TTAF_Qty],T_TTAFStock_Log[Part Name],$A15,T_TTAFStock_Log[WeekIndex],75))</f>
        <v/>
      </c>
      <c r="BY15" s="18">
        <f>IF(COUNTIFS(T_TTAFStock_Log[Part Name],$A15,T_TTAFStock_Log[WeekIndex],76)=0,"",SUMIFS(T_TTAFStock_Log[TTAF_Qty],T_TTAFStock_Log[Part Name],$A15,T_TTAFStock_Log[WeekIndex],76))</f>
        <v/>
      </c>
      <c r="BZ15" s="18">
        <f>IF(COUNTIFS(T_TTAFStock_Log[Part Name],$A15,T_TTAFStock_Log[WeekIndex],77)=0,"",SUMIFS(T_TTAFStock_Log[TTAF_Qty],T_TTAFStock_Log[Part Name],$A15,T_TTAFStock_Log[WeekIndex],77))</f>
        <v/>
      </c>
      <c r="CA15" s="18">
        <f>IF(COUNTIFS(T_TTAFStock_Log[Part Name],$A15,T_TTAFStock_Log[WeekIndex],78)=0,"",SUMIFS(T_TTAFStock_Log[TTAF_Qty],T_TTAFStock_Log[Part Name],$A15,T_TTAFStock_Log[WeekIndex],78))</f>
        <v/>
      </c>
      <c r="CB15" s="18">
        <f>IF(COUNTIFS(T_TTAFStock_Log[Part Name],$A15,T_TTAFStock_Log[WeekIndex],79)=0,"",SUMIFS(T_TTAFStock_Log[TTAF_Qty],T_TTAFStock_Log[Part Name],$A15,T_TTAFStock_Log[WeekIndex],79))</f>
        <v/>
      </c>
      <c r="CC15" s="18">
        <f>IF(COUNTIFS(T_TTAFStock_Log[Part Name],$A15,T_TTAFStock_Log[WeekIndex],80)=0,"",SUMIFS(T_TTAFStock_Log[TTAF_Qty],T_TTAFStock_Log[Part Name],$A15,T_TTAFStock_Log[WeekIndex],80))</f>
        <v/>
      </c>
      <c r="CD15" s="18">
        <f>IF(COUNTIFS(T_TTAFStock_Log[Part Name],$A15,T_TTAFStock_Log[WeekIndex],81)=0,"",SUMIFS(T_TTAFStock_Log[TTAF_Qty],T_TTAFStock_Log[Part Name],$A15,T_TTAFStock_Log[WeekIndex],81))</f>
        <v/>
      </c>
      <c r="CE15" s="18">
        <f>IF(COUNTIFS(T_TTAFStock_Log[Part Name],$A15,T_TTAFStock_Log[WeekIndex],82)=0,"",SUMIFS(T_TTAFStock_Log[TTAF_Qty],T_TTAFStock_Log[Part Name],$A15,T_TTAFStock_Log[WeekIndex],82))</f>
        <v/>
      </c>
      <c r="CF15" s="18">
        <f>IF(COUNTIFS(T_TTAFStock_Log[Part Name],$A15,T_TTAFStock_Log[WeekIndex],83)=0,"",SUMIFS(T_TTAFStock_Log[TTAF_Qty],T_TTAFStock_Log[Part Name],$A15,T_TTAFStock_Log[WeekIndex],83))</f>
        <v/>
      </c>
      <c r="CG15" s="18">
        <f>IF(COUNTIFS(T_TTAFStock_Log[Part Name],$A15,T_TTAFStock_Log[WeekIndex],84)=0,"",SUMIFS(T_TTAFStock_Log[TTAF_Qty],T_TTAFStock_Log[Part Name],$A15,T_TTAFStock_Log[WeekIndex],84))</f>
        <v/>
      </c>
      <c r="CH15" s="18">
        <f>IF(COUNTIFS(T_TTAFStock_Log[Part Name],$A15,T_TTAFStock_Log[WeekIndex],85)=0,"",SUMIFS(T_TTAFStock_Log[TTAF_Qty],T_TTAFStock_Log[Part Name],$A15,T_TTAFStock_Log[WeekIndex],85))</f>
        <v/>
      </c>
      <c r="CI15" s="18">
        <f>IF(COUNTIFS(T_TTAFStock_Log[Part Name],$A15,T_TTAFStock_Log[WeekIndex],86)=0,"",SUMIFS(T_TTAFStock_Log[TTAF_Qty],T_TTAFStock_Log[Part Name],$A15,T_TTAFStock_Log[WeekIndex],86))</f>
        <v/>
      </c>
      <c r="CJ15" s="18">
        <f>IF(COUNTIFS(T_TTAFStock_Log[Part Name],$A15,T_TTAFStock_Log[WeekIndex],87)=0,"",SUMIFS(T_TTAFStock_Log[TTAF_Qty],T_TTAFStock_Log[Part Name],$A15,T_TTAFStock_Log[WeekIndex],87))</f>
        <v/>
      </c>
      <c r="CK15" s="18">
        <f>IF(COUNTIFS(T_TTAFStock_Log[Part Name],$A15,T_TTAFStock_Log[WeekIndex],88)=0,"",SUMIFS(T_TTAFStock_Log[TTAF_Qty],T_TTAFStock_Log[Part Name],$A15,T_TTAFStock_Log[WeekIndex],88))</f>
        <v/>
      </c>
      <c r="CL15" s="18">
        <f>IF(COUNTIFS(T_TTAFStock_Log[Part Name],$A15,T_TTAFStock_Log[WeekIndex],89)=0,"",SUMIFS(T_TTAFStock_Log[TTAF_Qty],T_TTAFStock_Log[Part Name],$A15,T_TTAFStock_Log[WeekIndex],89))</f>
        <v/>
      </c>
      <c r="CM15" s="18">
        <f>IF(COUNTIFS(T_TTAFStock_Log[Part Name],$A15,T_TTAFStock_Log[WeekIndex],90)=0,"",SUMIFS(T_TTAFStock_Log[TTAF_Qty],T_TTAFStock_Log[Part Name],$A15,T_TTAFStock_Log[WeekIndex],90))</f>
        <v/>
      </c>
      <c r="CN15" s="18">
        <f>IF(COUNTIFS(T_TTAFStock_Log[Part Name],$A15,T_TTAFStock_Log[WeekIndex],91)=0,"",SUMIFS(T_TTAFStock_Log[TTAF_Qty],T_TTAFStock_Log[Part Name],$A15,T_TTAFStock_Log[WeekIndex],91))</f>
        <v/>
      </c>
      <c r="CO15" s="18">
        <f>IF(COUNTIFS(T_TTAFStock_Log[Part Name],$A15,T_TTAFStock_Log[WeekIndex],92)=0,"",SUMIFS(T_TTAFStock_Log[TTAF_Qty],T_TTAFStock_Log[Part Name],$A15,T_TTAFStock_Log[WeekIndex],92))</f>
        <v/>
      </c>
      <c r="CP15" s="18">
        <f>IF(COUNTIFS(T_TTAFStock_Log[Part Name],$A15,T_TTAFStock_Log[WeekIndex],93)=0,"",SUMIFS(T_TTAFStock_Log[TTAF_Qty],T_TTAFStock_Log[Part Name],$A15,T_TTAFStock_Log[WeekIndex],93))</f>
        <v/>
      </c>
      <c r="CQ15" s="18">
        <f>IF(COUNTIFS(T_TTAFStock_Log[Part Name],$A15,T_TTAFStock_Log[WeekIndex],94)=0,"",SUMIFS(T_TTAFStock_Log[TTAF_Qty],T_TTAFStock_Log[Part Name],$A15,T_TTAFStock_Log[WeekIndex],94))</f>
        <v/>
      </c>
      <c r="CR15" s="18">
        <f>IF(COUNTIFS(T_TTAFStock_Log[Part Name],$A15,T_TTAFStock_Log[WeekIndex],95)=0,"",SUMIFS(T_TTAFStock_Log[TTAF_Qty],T_TTAFStock_Log[Part Name],$A15,T_TTAFStock_Log[WeekIndex],95))</f>
        <v/>
      </c>
      <c r="CS15" s="18">
        <f>IF(COUNTIFS(T_TTAFStock_Log[Part Name],$A15,T_TTAFStock_Log[WeekIndex],96)=0,"",SUMIFS(T_TTAFStock_Log[TTAF_Qty],T_TTAFStock_Log[Part Name],$A15,T_TTAFStock_Log[WeekIndex],96))</f>
        <v/>
      </c>
      <c r="CT15" s="18">
        <f>IF(COUNTIFS(T_TTAFStock_Log[Part Name],$A15,T_TTAFStock_Log[WeekIndex],97)=0,"",SUMIFS(T_TTAFStock_Log[TTAF_Qty],T_TTAFStock_Log[Part Name],$A15,T_TTAFStock_Log[WeekIndex],97))</f>
        <v/>
      </c>
      <c r="CU15" s="18">
        <f>IF(COUNTIFS(T_TTAFStock_Log[Part Name],$A15,T_TTAFStock_Log[WeekIndex],98)=0,"",SUMIFS(T_TTAFStock_Log[TTAF_Qty],T_TTAFStock_Log[Part Name],$A15,T_TTAFStock_Log[WeekIndex],98))</f>
        <v/>
      </c>
      <c r="CV15" s="18">
        <f>IF(COUNTIFS(T_TTAFStock_Log[Part Name],$A15,T_TTAFStock_Log[WeekIndex],99)=0,"",SUMIFS(T_TTAFStock_Log[TTAF_Qty],T_TTAFStock_Log[Part Name],$A15,T_TTAFStock_Log[WeekIndex],99))</f>
        <v/>
      </c>
      <c r="CW15" s="18">
        <f>IF(COUNTIFS(T_TTAFStock_Log[Part Name],$A15,T_TTAFStock_Log[WeekIndex],100)=0,"",SUMIFS(T_TTAFStock_Log[TTAF_Qty],T_TTAFStock_Log[Part Name],$A15,T_TTAFStock_Log[WeekIndex],100))</f>
        <v/>
      </c>
      <c r="CX15" s="18">
        <f>IF(COUNTIFS(T_TTAFStock_Log[Part Name],$A15,T_TTAFStock_Log[WeekIndex],101)=0,"",SUMIFS(T_TTAFStock_Log[TTAF_Qty],T_TTAFStock_Log[Part Name],$A15,T_TTAFStock_Log[WeekIndex],101))</f>
        <v/>
      </c>
      <c r="CY15" s="18">
        <f>IF(COUNTIFS(T_TTAFStock_Log[Part Name],$A15,T_TTAFStock_Log[WeekIndex],102)=0,"",SUMIFS(T_TTAFStock_Log[TTAF_Qty],T_TTAFStock_Log[Part Name],$A15,T_TTAFStock_Log[WeekIndex],102))</f>
        <v/>
      </c>
      <c r="CZ15" s="18">
        <f>IF(COUNTIFS(T_TTAFStock_Log[Part Name],$A15,T_TTAFStock_Log[WeekIndex],103)=0,"",SUMIFS(T_TTAFStock_Log[TTAF_Qty],T_TTAFStock_Log[Part Name],$A15,T_TTAFStock_Log[WeekIndex],103))</f>
        <v/>
      </c>
      <c r="DA15" s="18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1EK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8" t="inlineStr">
        <is>
          <t>7CL</t>
        </is>
      </c>
      <c r="B17" s="18">
        <f>IF(COUNTIFS(T_TTAFStock_Log[Part Name],$A17,T_TTAFStock_Log[WeekIndex],1)=0,"",SUMIFS(T_TTAFStock_Log[TTAF_Qty],T_TTAFStock_Log[Part Name],$A17,T_TTAFStock_Log[WeekIndex],1))</f>
        <v/>
      </c>
      <c r="C17" s="18">
        <f>IF(COUNTIFS(T_TTAFStock_Log[Part Name],$A17,T_TTAFStock_Log[WeekIndex],2)=0,"",SUMIFS(T_TTAFStock_Log[TTAF_Qty],T_TTAFStock_Log[Part Name],$A17,T_TTAFStock_Log[WeekIndex],2))</f>
        <v/>
      </c>
      <c r="D17" s="18">
        <f>IF(COUNTIFS(T_TTAFStock_Log[Part Name],$A17,T_TTAFStock_Log[WeekIndex],3)=0,"",SUMIFS(T_TTAFStock_Log[TTAF_Qty],T_TTAFStock_Log[Part Name],$A17,T_TTAFStock_Log[WeekIndex],3))</f>
        <v/>
      </c>
      <c r="E17" s="18">
        <f>IF(COUNTIFS(T_TTAFStock_Log[Part Name],$A17,T_TTAFStock_Log[WeekIndex],4)=0,"",SUMIFS(T_TTAFStock_Log[TTAF_Qty],T_TTAFStock_Log[Part Name],$A17,T_TTAFStock_Log[WeekIndex],4))</f>
        <v/>
      </c>
      <c r="F17" s="18">
        <f>IF(COUNTIFS(T_TTAFStock_Log[Part Name],$A17,T_TTAFStock_Log[WeekIndex],5)=0,"",SUMIFS(T_TTAFStock_Log[TTAF_Qty],T_TTAFStock_Log[Part Name],$A17,T_TTAFStock_Log[WeekIndex],5))</f>
        <v/>
      </c>
      <c r="G17" s="18">
        <f>IF(COUNTIFS(T_TTAFStock_Log[Part Name],$A17,T_TTAFStock_Log[WeekIndex],6)=0,"",SUMIFS(T_TTAFStock_Log[TTAF_Qty],T_TTAFStock_Log[Part Name],$A17,T_TTAFStock_Log[WeekIndex],6))</f>
        <v/>
      </c>
      <c r="H17" s="18">
        <f>IF(COUNTIFS(T_TTAFStock_Log[Part Name],$A17,T_TTAFStock_Log[WeekIndex],7)=0,"",SUMIFS(T_TTAFStock_Log[TTAF_Qty],T_TTAFStock_Log[Part Name],$A17,T_TTAFStock_Log[WeekIndex],7))</f>
        <v/>
      </c>
      <c r="I17" s="18">
        <f>IF(COUNTIFS(T_TTAFStock_Log[Part Name],$A17,T_TTAFStock_Log[WeekIndex],8)=0,"",SUMIFS(T_TTAFStock_Log[TTAF_Qty],T_TTAFStock_Log[Part Name],$A17,T_TTAFStock_Log[WeekIndex],8))</f>
        <v/>
      </c>
      <c r="J17" s="18">
        <f>IF(COUNTIFS(T_TTAFStock_Log[Part Name],$A17,T_TTAFStock_Log[WeekIndex],9)=0,"",SUMIFS(T_TTAFStock_Log[TTAF_Qty],T_TTAFStock_Log[Part Name],$A17,T_TTAFStock_Log[WeekIndex],9))</f>
        <v/>
      </c>
      <c r="K17" s="18">
        <f>IF(COUNTIFS(T_TTAFStock_Log[Part Name],$A17,T_TTAFStock_Log[WeekIndex],10)=0,"",SUMIFS(T_TTAFStock_Log[TTAF_Qty],T_TTAFStock_Log[Part Name],$A17,T_TTAFStock_Log[WeekIndex],10))</f>
        <v/>
      </c>
      <c r="L17" s="18">
        <f>IF(COUNTIFS(T_TTAFStock_Log[Part Name],$A17,T_TTAFStock_Log[WeekIndex],11)=0,"",SUMIFS(T_TTAFStock_Log[TTAF_Qty],T_TTAFStock_Log[Part Name],$A17,T_TTAFStock_Log[WeekIndex],11))</f>
        <v/>
      </c>
      <c r="M17" s="18">
        <f>IF(COUNTIFS(T_TTAFStock_Log[Part Name],$A17,T_TTAFStock_Log[WeekIndex],12)=0,"",SUMIFS(T_TTAFStock_Log[TTAF_Qty],T_TTAFStock_Log[Part Name],$A17,T_TTAFStock_Log[WeekIndex],12))</f>
        <v/>
      </c>
      <c r="N17" s="18">
        <f>IF(COUNTIFS(T_TTAFStock_Log[Part Name],$A17,T_TTAFStock_Log[WeekIndex],13)=0,"",SUMIFS(T_TTAFStock_Log[TTAF_Qty],T_TTAFStock_Log[Part Name],$A17,T_TTAFStock_Log[WeekIndex],13))</f>
        <v/>
      </c>
      <c r="O17" s="18">
        <f>IF(COUNTIFS(T_TTAFStock_Log[Part Name],$A17,T_TTAFStock_Log[WeekIndex],14)=0,"",SUMIFS(T_TTAFStock_Log[TTAF_Qty],T_TTAFStock_Log[Part Name],$A17,T_TTAFStock_Log[WeekIndex],14))</f>
        <v/>
      </c>
      <c r="P17" s="18">
        <f>IF(COUNTIFS(T_TTAFStock_Log[Part Name],$A17,T_TTAFStock_Log[WeekIndex],15)=0,"",SUMIFS(T_TTAFStock_Log[TTAF_Qty],T_TTAFStock_Log[Part Name],$A17,T_TTAFStock_Log[WeekIndex],15))</f>
        <v/>
      </c>
      <c r="Q17" s="18">
        <f>IF(COUNTIFS(T_TTAFStock_Log[Part Name],$A17,T_TTAFStock_Log[WeekIndex],16)=0,"",SUMIFS(T_TTAFStock_Log[TTAF_Qty],T_TTAFStock_Log[Part Name],$A17,T_TTAFStock_Log[WeekIndex],16))</f>
        <v/>
      </c>
      <c r="R17" s="18">
        <f>IF(COUNTIFS(T_TTAFStock_Log[Part Name],$A17,T_TTAFStock_Log[WeekIndex],17)=0,"",SUMIFS(T_TTAFStock_Log[TTAF_Qty],T_TTAFStock_Log[Part Name],$A17,T_TTAFStock_Log[WeekIndex],17))</f>
        <v/>
      </c>
      <c r="S17" s="18">
        <f>IF(COUNTIFS(T_TTAFStock_Log[Part Name],$A17,T_TTAFStock_Log[WeekIndex],18)=0,"",SUMIFS(T_TTAFStock_Log[TTAF_Qty],T_TTAFStock_Log[Part Name],$A17,T_TTAFStock_Log[WeekIndex],18))</f>
        <v/>
      </c>
      <c r="T17" s="18">
        <f>IF(COUNTIFS(T_TTAFStock_Log[Part Name],$A17,T_TTAFStock_Log[WeekIndex],19)=0,"",SUMIFS(T_TTAFStock_Log[TTAF_Qty],T_TTAFStock_Log[Part Name],$A17,T_TTAFStock_Log[WeekIndex],19))</f>
        <v/>
      </c>
      <c r="U17" s="18">
        <f>IF(COUNTIFS(T_TTAFStock_Log[Part Name],$A17,T_TTAFStock_Log[WeekIndex],20)=0,"",SUMIFS(T_TTAFStock_Log[TTAF_Qty],T_TTAFStock_Log[Part Name],$A17,T_TTAFStock_Log[WeekIndex],20))</f>
        <v/>
      </c>
      <c r="V17" s="18">
        <f>IF(COUNTIFS(T_TTAFStock_Log[Part Name],$A17,T_TTAFStock_Log[WeekIndex],21)=0,"",SUMIFS(T_TTAFStock_Log[TTAF_Qty],T_TTAFStock_Log[Part Name],$A17,T_TTAFStock_Log[WeekIndex],21))</f>
        <v/>
      </c>
      <c r="W17" s="18">
        <f>IF(COUNTIFS(T_TTAFStock_Log[Part Name],$A17,T_TTAFStock_Log[WeekIndex],22)=0,"",SUMIFS(T_TTAFStock_Log[TTAF_Qty],T_TTAFStock_Log[Part Name],$A17,T_TTAFStock_Log[WeekIndex],22))</f>
        <v/>
      </c>
      <c r="X17" s="18">
        <f>IF(COUNTIFS(T_TTAFStock_Log[Part Name],$A17,T_TTAFStock_Log[WeekIndex],23)=0,"",SUMIFS(T_TTAFStock_Log[TTAF_Qty],T_TTAFStock_Log[Part Name],$A17,T_TTAFStock_Log[WeekIndex],23))</f>
        <v/>
      </c>
      <c r="Y17" s="18">
        <f>IF(COUNTIFS(T_TTAFStock_Log[Part Name],$A17,T_TTAFStock_Log[WeekIndex],24)=0,"",SUMIFS(T_TTAFStock_Log[TTAF_Qty],T_TTAFStock_Log[Part Name],$A17,T_TTAFStock_Log[WeekIndex],24))</f>
        <v/>
      </c>
      <c r="Z17" s="18">
        <f>IF(COUNTIFS(T_TTAFStock_Log[Part Name],$A17,T_TTAFStock_Log[WeekIndex],25)=0,"",SUMIFS(T_TTAFStock_Log[TTAF_Qty],T_TTAFStock_Log[Part Name],$A17,T_TTAFStock_Log[WeekIndex],25))</f>
        <v/>
      </c>
      <c r="AA17" s="18">
        <f>IF(COUNTIFS(T_TTAFStock_Log[Part Name],$A17,T_TTAFStock_Log[WeekIndex],26)=0,"",SUMIFS(T_TTAFStock_Log[TTAF_Qty],T_TTAFStock_Log[Part Name],$A17,T_TTAFStock_Log[WeekIndex],26))</f>
        <v/>
      </c>
      <c r="AB17" s="18">
        <f>IF(COUNTIFS(T_TTAFStock_Log[Part Name],$A17,T_TTAFStock_Log[WeekIndex],27)=0,"",SUMIFS(T_TTAFStock_Log[TTAF_Qty],T_TTAFStock_Log[Part Name],$A17,T_TTAFStock_Log[WeekIndex],27))</f>
        <v/>
      </c>
      <c r="AC17" s="18">
        <f>IF(COUNTIFS(T_TTAFStock_Log[Part Name],$A17,T_TTAFStock_Log[WeekIndex],28)=0,"",SUMIFS(T_TTAFStock_Log[TTAF_Qty],T_TTAFStock_Log[Part Name],$A17,T_TTAFStock_Log[WeekIndex],28))</f>
        <v/>
      </c>
      <c r="AD17" s="18">
        <f>IF(COUNTIFS(T_TTAFStock_Log[Part Name],$A17,T_TTAFStock_Log[WeekIndex],29)=0,"",SUMIFS(T_TTAFStock_Log[TTAF_Qty],T_TTAFStock_Log[Part Name],$A17,T_TTAFStock_Log[WeekIndex],29))</f>
        <v/>
      </c>
      <c r="AE17" s="18">
        <f>IF(COUNTIFS(T_TTAFStock_Log[Part Name],$A17,T_TTAFStock_Log[WeekIndex],30)=0,"",SUMIFS(T_TTAFStock_Log[TTAF_Qty],T_TTAFStock_Log[Part Name],$A17,T_TTAFStock_Log[WeekIndex],30))</f>
        <v/>
      </c>
      <c r="AF17" s="18">
        <f>IF(COUNTIFS(T_TTAFStock_Log[Part Name],$A17,T_TTAFStock_Log[WeekIndex],31)=0,"",SUMIFS(T_TTAFStock_Log[TTAF_Qty],T_TTAFStock_Log[Part Name],$A17,T_TTAFStock_Log[WeekIndex],31))</f>
        <v/>
      </c>
      <c r="AG17" s="18">
        <f>IF(COUNTIFS(T_TTAFStock_Log[Part Name],$A17,T_TTAFStock_Log[WeekIndex],32)=0,"",SUMIFS(T_TTAFStock_Log[TTAF_Qty],T_TTAFStock_Log[Part Name],$A17,T_TTAFStock_Log[WeekIndex],32))</f>
        <v/>
      </c>
      <c r="AH17" s="18">
        <f>IF(COUNTIFS(T_TTAFStock_Log[Part Name],$A17,T_TTAFStock_Log[WeekIndex],33)=0,"",SUMIFS(T_TTAFStock_Log[TTAF_Qty],T_TTAFStock_Log[Part Name],$A17,T_TTAFStock_Log[WeekIndex],33))</f>
        <v/>
      </c>
      <c r="AI17" s="18">
        <f>IF(COUNTIFS(T_TTAFStock_Log[Part Name],$A17,T_TTAFStock_Log[WeekIndex],34)=0,"",SUMIFS(T_TTAFStock_Log[TTAF_Qty],T_TTAFStock_Log[Part Name],$A17,T_TTAFStock_Log[WeekIndex],34))</f>
        <v/>
      </c>
      <c r="AJ17" s="18">
        <f>IF(COUNTIFS(T_TTAFStock_Log[Part Name],$A17,T_TTAFStock_Log[WeekIndex],35)=0,"",SUMIFS(T_TTAFStock_Log[TTAF_Qty],T_TTAFStock_Log[Part Name],$A17,T_TTAFStock_Log[WeekIndex],35))</f>
        <v/>
      </c>
      <c r="AK17" s="18">
        <f>IF(COUNTIFS(T_TTAFStock_Log[Part Name],$A17,T_TTAFStock_Log[WeekIndex],36)=0,"",SUMIFS(T_TTAFStock_Log[TTAF_Qty],T_TTAFStock_Log[Part Name],$A17,T_TTAFStock_Log[WeekIndex],36))</f>
        <v/>
      </c>
      <c r="AL17" s="18">
        <f>IF(COUNTIFS(T_TTAFStock_Log[Part Name],$A17,T_TTAFStock_Log[WeekIndex],37)=0,"",SUMIFS(T_TTAFStock_Log[TTAF_Qty],T_TTAFStock_Log[Part Name],$A17,T_TTAFStock_Log[WeekIndex],37))</f>
        <v/>
      </c>
      <c r="AM17" s="18">
        <f>IF(COUNTIFS(T_TTAFStock_Log[Part Name],$A17,T_TTAFStock_Log[WeekIndex],38)=0,"",SUMIFS(T_TTAFStock_Log[TTAF_Qty],T_TTAFStock_Log[Part Name],$A17,T_TTAFStock_Log[WeekIndex],38))</f>
        <v/>
      </c>
      <c r="AN17" s="18">
        <f>IF(COUNTIFS(T_TTAFStock_Log[Part Name],$A17,T_TTAFStock_Log[WeekIndex],39)=0,"",SUMIFS(T_TTAFStock_Log[TTAF_Qty],T_TTAFStock_Log[Part Name],$A17,T_TTAFStock_Log[WeekIndex],39))</f>
        <v/>
      </c>
      <c r="AO17" s="18">
        <f>IF(COUNTIFS(T_TTAFStock_Log[Part Name],$A17,T_TTAFStock_Log[WeekIndex],40)=0,"",SUMIFS(T_TTAFStock_Log[TTAF_Qty],T_TTAFStock_Log[Part Name],$A17,T_TTAFStock_Log[WeekIndex],40))</f>
        <v/>
      </c>
      <c r="AP17" s="18">
        <f>IF(COUNTIFS(T_TTAFStock_Log[Part Name],$A17,T_TTAFStock_Log[WeekIndex],41)=0,"",SUMIFS(T_TTAFStock_Log[TTAF_Qty],T_TTAFStock_Log[Part Name],$A17,T_TTAFStock_Log[WeekIndex],41))</f>
        <v/>
      </c>
      <c r="AQ17" s="18">
        <f>IF(COUNTIFS(T_TTAFStock_Log[Part Name],$A17,T_TTAFStock_Log[WeekIndex],42)=0,"",SUMIFS(T_TTAFStock_Log[TTAF_Qty],T_TTAFStock_Log[Part Name],$A17,T_TTAFStock_Log[WeekIndex],42))</f>
        <v/>
      </c>
      <c r="AR17" s="18">
        <f>IF(COUNTIFS(T_TTAFStock_Log[Part Name],$A17,T_TTAFStock_Log[WeekIndex],43)=0,"",SUMIFS(T_TTAFStock_Log[TTAF_Qty],T_TTAFStock_Log[Part Name],$A17,T_TTAFStock_Log[WeekIndex],43))</f>
        <v/>
      </c>
      <c r="AS17" s="18">
        <f>IF(COUNTIFS(T_TTAFStock_Log[Part Name],$A17,T_TTAFStock_Log[WeekIndex],44)=0,"",SUMIFS(T_TTAFStock_Log[TTAF_Qty],T_TTAFStock_Log[Part Name],$A17,T_TTAFStock_Log[WeekIndex],44))</f>
        <v/>
      </c>
      <c r="AT17" s="18">
        <f>IF(COUNTIFS(T_TTAFStock_Log[Part Name],$A17,T_TTAFStock_Log[WeekIndex],45)=0,"",SUMIFS(T_TTAFStock_Log[TTAF_Qty],T_TTAFStock_Log[Part Name],$A17,T_TTAFStock_Log[WeekIndex],45))</f>
        <v/>
      </c>
      <c r="AU17" s="18">
        <f>IF(COUNTIFS(T_TTAFStock_Log[Part Name],$A17,T_TTAFStock_Log[WeekIndex],46)=0,"",SUMIFS(T_TTAFStock_Log[TTAF_Qty],T_TTAFStock_Log[Part Name],$A17,T_TTAFStock_Log[WeekIndex],46))</f>
        <v/>
      </c>
      <c r="AV17" s="18">
        <f>IF(COUNTIFS(T_TTAFStock_Log[Part Name],$A17,T_TTAFStock_Log[WeekIndex],47)=0,"",SUMIFS(T_TTAFStock_Log[TTAF_Qty],T_TTAFStock_Log[Part Name],$A17,T_TTAFStock_Log[WeekIndex],47))</f>
        <v/>
      </c>
      <c r="AW17" s="18">
        <f>IF(COUNTIFS(T_TTAFStock_Log[Part Name],$A17,T_TTAFStock_Log[WeekIndex],48)=0,"",SUMIFS(T_TTAFStock_Log[TTAF_Qty],T_TTAFStock_Log[Part Name],$A17,T_TTAFStock_Log[WeekIndex],48))</f>
        <v/>
      </c>
      <c r="AX17" s="18">
        <f>IF(COUNTIFS(T_TTAFStock_Log[Part Name],$A17,T_TTAFStock_Log[WeekIndex],49)=0,"",SUMIFS(T_TTAFStock_Log[TTAF_Qty],T_TTAFStock_Log[Part Name],$A17,T_TTAFStock_Log[WeekIndex],49))</f>
        <v/>
      </c>
      <c r="AY17" s="18">
        <f>IF(COUNTIFS(T_TTAFStock_Log[Part Name],$A17,T_TTAFStock_Log[WeekIndex],50)=0,"",SUMIFS(T_TTAFStock_Log[TTAF_Qty],T_TTAFStock_Log[Part Name],$A17,T_TTAFStock_Log[WeekIndex],50))</f>
        <v/>
      </c>
      <c r="AZ17" s="18">
        <f>IF(COUNTIFS(T_TTAFStock_Log[Part Name],$A17,T_TTAFStock_Log[WeekIndex],51)=0,"",SUMIFS(T_TTAFStock_Log[TTAF_Qty],T_TTAFStock_Log[Part Name],$A17,T_TTAFStock_Log[WeekIndex],51))</f>
        <v/>
      </c>
      <c r="BA17" s="18">
        <f>IF(COUNTIFS(T_TTAFStock_Log[Part Name],$A17,T_TTAFStock_Log[WeekIndex],52)=0,"",SUMIFS(T_TTAFStock_Log[TTAF_Qty],T_TTAFStock_Log[Part Name],$A17,T_TTAFStock_Log[WeekIndex],52))</f>
        <v/>
      </c>
      <c r="BB17" s="18">
        <f>IF(COUNTIFS(T_TTAFStock_Log[Part Name],$A17,T_TTAFStock_Log[WeekIndex],53)=0,"",SUMIFS(T_TTAFStock_Log[TTAF_Qty],T_TTAFStock_Log[Part Name],$A17,T_TTAFStock_Log[WeekIndex],53))</f>
        <v/>
      </c>
      <c r="BC17" s="18">
        <f>IF(COUNTIFS(T_TTAFStock_Log[Part Name],$A17,T_TTAFStock_Log[WeekIndex],54)=0,"",SUMIFS(T_TTAFStock_Log[TTAF_Qty],T_TTAFStock_Log[Part Name],$A17,T_TTAFStock_Log[WeekIndex],54))</f>
        <v/>
      </c>
      <c r="BD17" s="18">
        <f>IF(COUNTIFS(T_TTAFStock_Log[Part Name],$A17,T_TTAFStock_Log[WeekIndex],55)=0,"",SUMIFS(T_TTAFStock_Log[TTAF_Qty],T_TTAFStock_Log[Part Name],$A17,T_TTAFStock_Log[WeekIndex],55))</f>
        <v/>
      </c>
      <c r="BE17" s="18">
        <f>IF(COUNTIFS(T_TTAFStock_Log[Part Name],$A17,T_TTAFStock_Log[WeekIndex],56)=0,"",SUMIFS(T_TTAFStock_Log[TTAF_Qty],T_TTAFStock_Log[Part Name],$A17,T_TTAFStock_Log[WeekIndex],56))</f>
        <v/>
      </c>
      <c r="BF17" s="18">
        <f>IF(COUNTIFS(T_TTAFStock_Log[Part Name],$A17,T_TTAFStock_Log[WeekIndex],57)=0,"",SUMIFS(T_TTAFStock_Log[TTAF_Qty],T_TTAFStock_Log[Part Name],$A17,T_TTAFStock_Log[WeekIndex],57))</f>
        <v/>
      </c>
      <c r="BG17" s="18">
        <f>IF(COUNTIFS(T_TTAFStock_Log[Part Name],$A17,T_TTAFStock_Log[WeekIndex],58)=0,"",SUMIFS(T_TTAFStock_Log[TTAF_Qty],T_TTAFStock_Log[Part Name],$A17,T_TTAFStock_Log[WeekIndex],58))</f>
        <v/>
      </c>
      <c r="BH17" s="18">
        <f>IF(COUNTIFS(T_TTAFStock_Log[Part Name],$A17,T_TTAFStock_Log[WeekIndex],59)=0,"",SUMIFS(T_TTAFStock_Log[TTAF_Qty],T_TTAFStock_Log[Part Name],$A17,T_TTAFStock_Log[WeekIndex],59))</f>
        <v/>
      </c>
      <c r="BI17" s="18">
        <f>IF(COUNTIFS(T_TTAFStock_Log[Part Name],$A17,T_TTAFStock_Log[WeekIndex],60)=0,"",SUMIFS(T_TTAFStock_Log[TTAF_Qty],T_TTAFStock_Log[Part Name],$A17,T_TTAFStock_Log[WeekIndex],60))</f>
        <v/>
      </c>
      <c r="BJ17" s="18">
        <f>IF(COUNTIFS(T_TTAFStock_Log[Part Name],$A17,T_TTAFStock_Log[WeekIndex],61)=0,"",SUMIFS(T_TTAFStock_Log[TTAF_Qty],T_TTAFStock_Log[Part Name],$A17,T_TTAFStock_Log[WeekIndex],61))</f>
        <v/>
      </c>
      <c r="BK17" s="18">
        <f>IF(COUNTIFS(T_TTAFStock_Log[Part Name],$A17,T_TTAFStock_Log[WeekIndex],62)=0,"",SUMIFS(T_TTAFStock_Log[TTAF_Qty],T_TTAFStock_Log[Part Name],$A17,T_TTAFStock_Log[WeekIndex],62))</f>
        <v/>
      </c>
      <c r="BL17" s="18">
        <f>IF(COUNTIFS(T_TTAFStock_Log[Part Name],$A17,T_TTAFStock_Log[WeekIndex],63)=0,"",SUMIFS(T_TTAFStock_Log[TTAF_Qty],T_TTAFStock_Log[Part Name],$A17,T_TTAFStock_Log[WeekIndex],63))</f>
        <v/>
      </c>
      <c r="BM17" s="18">
        <f>IF(COUNTIFS(T_TTAFStock_Log[Part Name],$A17,T_TTAFStock_Log[WeekIndex],64)=0,"",SUMIFS(T_TTAFStock_Log[TTAF_Qty],T_TTAFStock_Log[Part Name],$A17,T_TTAFStock_Log[WeekIndex],64))</f>
        <v/>
      </c>
      <c r="BN17" s="18">
        <f>IF(COUNTIFS(T_TTAFStock_Log[Part Name],$A17,T_TTAFStock_Log[WeekIndex],65)=0,"",SUMIFS(T_TTAFStock_Log[TTAF_Qty],T_TTAFStock_Log[Part Name],$A17,T_TTAFStock_Log[WeekIndex],65))</f>
        <v/>
      </c>
      <c r="BO17" s="18">
        <f>IF(COUNTIFS(T_TTAFStock_Log[Part Name],$A17,T_TTAFStock_Log[WeekIndex],66)=0,"",SUMIFS(T_TTAFStock_Log[TTAF_Qty],T_TTAFStock_Log[Part Name],$A17,T_TTAFStock_Log[WeekIndex],66))</f>
        <v/>
      </c>
      <c r="BP17" s="18">
        <f>IF(COUNTIFS(T_TTAFStock_Log[Part Name],$A17,T_TTAFStock_Log[WeekIndex],67)=0,"",SUMIFS(T_TTAFStock_Log[TTAF_Qty],T_TTAFStock_Log[Part Name],$A17,T_TTAFStock_Log[WeekIndex],67))</f>
        <v/>
      </c>
      <c r="BQ17" s="18">
        <f>IF(COUNTIFS(T_TTAFStock_Log[Part Name],$A17,T_TTAFStock_Log[WeekIndex],68)=0,"",SUMIFS(T_TTAFStock_Log[TTAF_Qty],T_TTAFStock_Log[Part Name],$A17,T_TTAFStock_Log[WeekIndex],68))</f>
        <v/>
      </c>
      <c r="BR17" s="18">
        <f>IF(COUNTIFS(T_TTAFStock_Log[Part Name],$A17,T_TTAFStock_Log[WeekIndex],69)=0,"",SUMIFS(T_TTAFStock_Log[TTAF_Qty],T_TTAFStock_Log[Part Name],$A17,T_TTAFStock_Log[WeekIndex],69))</f>
        <v/>
      </c>
      <c r="BS17" s="18">
        <f>IF(COUNTIFS(T_TTAFStock_Log[Part Name],$A17,T_TTAFStock_Log[WeekIndex],70)=0,"",SUMIFS(T_TTAFStock_Log[TTAF_Qty],T_TTAFStock_Log[Part Name],$A17,T_TTAFStock_Log[WeekIndex],70))</f>
        <v/>
      </c>
      <c r="BT17" s="18">
        <f>IF(COUNTIFS(T_TTAFStock_Log[Part Name],$A17,T_TTAFStock_Log[WeekIndex],71)=0,"",SUMIFS(T_TTAFStock_Log[TTAF_Qty],T_TTAFStock_Log[Part Name],$A17,T_TTAFStock_Log[WeekIndex],71))</f>
        <v/>
      </c>
      <c r="BU17" s="18">
        <f>IF(COUNTIFS(T_TTAFStock_Log[Part Name],$A17,T_TTAFStock_Log[WeekIndex],72)=0,"",SUMIFS(T_TTAFStock_Log[TTAF_Qty],T_TTAFStock_Log[Part Name],$A17,T_TTAFStock_Log[WeekIndex],72))</f>
        <v/>
      </c>
      <c r="BV17" s="18">
        <f>IF(COUNTIFS(T_TTAFStock_Log[Part Name],$A17,T_TTAFStock_Log[WeekIndex],73)=0,"",SUMIFS(T_TTAFStock_Log[TTAF_Qty],T_TTAFStock_Log[Part Name],$A17,T_TTAFStock_Log[WeekIndex],73))</f>
        <v/>
      </c>
      <c r="BW17" s="18">
        <f>IF(COUNTIFS(T_TTAFStock_Log[Part Name],$A17,T_TTAFStock_Log[WeekIndex],74)=0,"",SUMIFS(T_TTAFStock_Log[TTAF_Qty],T_TTAFStock_Log[Part Name],$A17,T_TTAFStock_Log[WeekIndex],74))</f>
        <v/>
      </c>
      <c r="BX17" s="18">
        <f>IF(COUNTIFS(T_TTAFStock_Log[Part Name],$A17,T_TTAFStock_Log[WeekIndex],75)=0,"",SUMIFS(T_TTAFStock_Log[TTAF_Qty],T_TTAFStock_Log[Part Name],$A17,T_TTAFStock_Log[WeekIndex],75))</f>
        <v/>
      </c>
      <c r="BY17" s="18">
        <f>IF(COUNTIFS(T_TTAFStock_Log[Part Name],$A17,T_TTAFStock_Log[WeekIndex],76)=0,"",SUMIFS(T_TTAFStock_Log[TTAF_Qty],T_TTAFStock_Log[Part Name],$A17,T_TTAFStock_Log[WeekIndex],76))</f>
        <v/>
      </c>
      <c r="BZ17" s="18">
        <f>IF(COUNTIFS(T_TTAFStock_Log[Part Name],$A17,T_TTAFStock_Log[WeekIndex],77)=0,"",SUMIFS(T_TTAFStock_Log[TTAF_Qty],T_TTAFStock_Log[Part Name],$A17,T_TTAFStock_Log[WeekIndex],77))</f>
        <v/>
      </c>
      <c r="CA17" s="18">
        <f>IF(COUNTIFS(T_TTAFStock_Log[Part Name],$A17,T_TTAFStock_Log[WeekIndex],78)=0,"",SUMIFS(T_TTAFStock_Log[TTAF_Qty],T_TTAFStock_Log[Part Name],$A17,T_TTAFStock_Log[WeekIndex],78))</f>
        <v/>
      </c>
      <c r="CB17" s="18">
        <f>IF(COUNTIFS(T_TTAFStock_Log[Part Name],$A17,T_TTAFStock_Log[WeekIndex],79)=0,"",SUMIFS(T_TTAFStock_Log[TTAF_Qty],T_TTAFStock_Log[Part Name],$A17,T_TTAFStock_Log[WeekIndex],79))</f>
        <v/>
      </c>
      <c r="CC17" s="18">
        <f>IF(COUNTIFS(T_TTAFStock_Log[Part Name],$A17,T_TTAFStock_Log[WeekIndex],80)=0,"",SUMIFS(T_TTAFStock_Log[TTAF_Qty],T_TTAFStock_Log[Part Name],$A17,T_TTAFStock_Log[WeekIndex],80))</f>
        <v/>
      </c>
      <c r="CD17" s="18">
        <f>IF(COUNTIFS(T_TTAFStock_Log[Part Name],$A17,T_TTAFStock_Log[WeekIndex],81)=0,"",SUMIFS(T_TTAFStock_Log[TTAF_Qty],T_TTAFStock_Log[Part Name],$A17,T_TTAFStock_Log[WeekIndex],81))</f>
        <v/>
      </c>
      <c r="CE17" s="18">
        <f>IF(COUNTIFS(T_TTAFStock_Log[Part Name],$A17,T_TTAFStock_Log[WeekIndex],82)=0,"",SUMIFS(T_TTAFStock_Log[TTAF_Qty],T_TTAFStock_Log[Part Name],$A17,T_TTAFStock_Log[WeekIndex],82))</f>
        <v/>
      </c>
      <c r="CF17" s="18">
        <f>IF(COUNTIFS(T_TTAFStock_Log[Part Name],$A17,T_TTAFStock_Log[WeekIndex],83)=0,"",SUMIFS(T_TTAFStock_Log[TTAF_Qty],T_TTAFStock_Log[Part Name],$A17,T_TTAFStock_Log[WeekIndex],83))</f>
        <v/>
      </c>
      <c r="CG17" s="18">
        <f>IF(COUNTIFS(T_TTAFStock_Log[Part Name],$A17,T_TTAFStock_Log[WeekIndex],84)=0,"",SUMIFS(T_TTAFStock_Log[TTAF_Qty],T_TTAFStock_Log[Part Name],$A17,T_TTAFStock_Log[WeekIndex],84))</f>
        <v/>
      </c>
      <c r="CH17" s="18">
        <f>IF(COUNTIFS(T_TTAFStock_Log[Part Name],$A17,T_TTAFStock_Log[WeekIndex],85)=0,"",SUMIFS(T_TTAFStock_Log[TTAF_Qty],T_TTAFStock_Log[Part Name],$A17,T_TTAFStock_Log[WeekIndex],85))</f>
        <v/>
      </c>
      <c r="CI17" s="18">
        <f>IF(COUNTIFS(T_TTAFStock_Log[Part Name],$A17,T_TTAFStock_Log[WeekIndex],86)=0,"",SUMIFS(T_TTAFStock_Log[TTAF_Qty],T_TTAFStock_Log[Part Name],$A17,T_TTAFStock_Log[WeekIndex],86))</f>
        <v/>
      </c>
      <c r="CJ17" s="18">
        <f>IF(COUNTIFS(T_TTAFStock_Log[Part Name],$A17,T_TTAFStock_Log[WeekIndex],87)=0,"",SUMIFS(T_TTAFStock_Log[TTAF_Qty],T_TTAFStock_Log[Part Name],$A17,T_TTAFStock_Log[WeekIndex],87))</f>
        <v/>
      </c>
      <c r="CK17" s="18">
        <f>IF(COUNTIFS(T_TTAFStock_Log[Part Name],$A17,T_TTAFStock_Log[WeekIndex],88)=0,"",SUMIFS(T_TTAFStock_Log[TTAF_Qty],T_TTAFStock_Log[Part Name],$A17,T_TTAFStock_Log[WeekIndex],88))</f>
        <v/>
      </c>
      <c r="CL17" s="18">
        <f>IF(COUNTIFS(T_TTAFStock_Log[Part Name],$A17,T_TTAFStock_Log[WeekIndex],89)=0,"",SUMIFS(T_TTAFStock_Log[TTAF_Qty],T_TTAFStock_Log[Part Name],$A17,T_TTAFStock_Log[WeekIndex],89))</f>
        <v/>
      </c>
      <c r="CM17" s="18">
        <f>IF(COUNTIFS(T_TTAFStock_Log[Part Name],$A17,T_TTAFStock_Log[WeekIndex],90)=0,"",SUMIFS(T_TTAFStock_Log[TTAF_Qty],T_TTAFStock_Log[Part Name],$A17,T_TTAFStock_Log[WeekIndex],90))</f>
        <v/>
      </c>
      <c r="CN17" s="18">
        <f>IF(COUNTIFS(T_TTAFStock_Log[Part Name],$A17,T_TTAFStock_Log[WeekIndex],91)=0,"",SUMIFS(T_TTAFStock_Log[TTAF_Qty],T_TTAFStock_Log[Part Name],$A17,T_TTAFStock_Log[WeekIndex],91))</f>
        <v/>
      </c>
      <c r="CO17" s="18">
        <f>IF(COUNTIFS(T_TTAFStock_Log[Part Name],$A17,T_TTAFStock_Log[WeekIndex],92)=0,"",SUMIFS(T_TTAFStock_Log[TTAF_Qty],T_TTAFStock_Log[Part Name],$A17,T_TTAFStock_Log[WeekIndex],92))</f>
        <v/>
      </c>
      <c r="CP17" s="18">
        <f>IF(COUNTIFS(T_TTAFStock_Log[Part Name],$A17,T_TTAFStock_Log[WeekIndex],93)=0,"",SUMIFS(T_TTAFStock_Log[TTAF_Qty],T_TTAFStock_Log[Part Name],$A17,T_TTAFStock_Log[WeekIndex],93))</f>
        <v/>
      </c>
      <c r="CQ17" s="18">
        <f>IF(COUNTIFS(T_TTAFStock_Log[Part Name],$A17,T_TTAFStock_Log[WeekIndex],94)=0,"",SUMIFS(T_TTAFStock_Log[TTAF_Qty],T_TTAFStock_Log[Part Name],$A17,T_TTAFStock_Log[WeekIndex],94))</f>
        <v/>
      </c>
      <c r="CR17" s="18">
        <f>IF(COUNTIFS(T_TTAFStock_Log[Part Name],$A17,T_TTAFStock_Log[WeekIndex],95)=0,"",SUMIFS(T_TTAFStock_Log[TTAF_Qty],T_TTAFStock_Log[Part Name],$A17,T_TTAFStock_Log[WeekIndex],95))</f>
        <v/>
      </c>
      <c r="CS17" s="18">
        <f>IF(COUNTIFS(T_TTAFStock_Log[Part Name],$A17,T_TTAFStock_Log[WeekIndex],96)=0,"",SUMIFS(T_TTAFStock_Log[TTAF_Qty],T_TTAFStock_Log[Part Name],$A17,T_TTAFStock_Log[WeekIndex],96))</f>
        <v/>
      </c>
      <c r="CT17" s="18">
        <f>IF(COUNTIFS(T_TTAFStock_Log[Part Name],$A17,T_TTAFStock_Log[WeekIndex],97)=0,"",SUMIFS(T_TTAFStock_Log[TTAF_Qty],T_TTAFStock_Log[Part Name],$A17,T_TTAFStock_Log[WeekIndex],97))</f>
        <v/>
      </c>
      <c r="CU17" s="18">
        <f>IF(COUNTIFS(T_TTAFStock_Log[Part Name],$A17,T_TTAFStock_Log[WeekIndex],98)=0,"",SUMIFS(T_TTAFStock_Log[TTAF_Qty],T_TTAFStock_Log[Part Name],$A17,T_TTAFStock_Log[WeekIndex],98))</f>
        <v/>
      </c>
      <c r="CV17" s="18">
        <f>IF(COUNTIFS(T_TTAFStock_Log[Part Name],$A17,T_TTAFStock_Log[WeekIndex],99)=0,"",SUMIFS(T_TTAFStock_Log[TTAF_Qty],T_TTAFStock_Log[Part Name],$A17,T_TTAFStock_Log[WeekIndex],99))</f>
        <v/>
      </c>
      <c r="CW17" s="18">
        <f>IF(COUNTIFS(T_TTAFStock_Log[Part Name],$A17,T_TTAFStock_Log[WeekIndex],100)=0,"",SUMIFS(T_TTAFStock_Log[TTAF_Qty],T_TTAFStock_Log[Part Name],$A17,T_TTAFStock_Log[WeekIndex],100))</f>
        <v/>
      </c>
      <c r="CX17" s="18">
        <f>IF(COUNTIFS(T_TTAFStock_Log[Part Name],$A17,T_TTAFStock_Log[WeekIndex],101)=0,"",SUMIFS(T_TTAFStock_Log[TTAF_Qty],T_TTAFStock_Log[Part Name],$A17,T_TTAFStock_Log[WeekIndex],101))</f>
        <v/>
      </c>
      <c r="CY17" s="18">
        <f>IF(COUNTIFS(T_TTAFStock_Log[Part Name],$A17,T_TTAFStock_Log[WeekIndex],102)=0,"",SUMIFS(T_TTAFStock_Log[TTAF_Qty],T_TTAFStock_Log[Part Name],$A17,T_TTAFStock_Log[WeekIndex],102))</f>
        <v/>
      </c>
      <c r="CZ17" s="18">
        <f>IF(COUNTIFS(T_TTAFStock_Log[Part Name],$A17,T_TTAFStock_Log[WeekIndex],103)=0,"",SUMIFS(T_TTAFStock_Log[TTAF_Qty],T_TTAFStock_Log[Part Name],$A17,T_TTAFStock_Log[WeekIndex],103))</f>
        <v/>
      </c>
      <c r="DA17" s="18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9RN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8" t="inlineStr">
        <is>
          <t>CHEM-1400</t>
        </is>
      </c>
      <c r="B19" s="18">
        <f>IF(COUNTIFS(T_TTAFStock_Log[Part Name],$A19,T_TTAFStock_Log[WeekIndex],1)=0,"",SUMIFS(T_TTAFStock_Log[TTAF_Qty],T_TTAFStock_Log[Part Name],$A19,T_TTAFStock_Log[WeekIndex],1))</f>
        <v/>
      </c>
      <c r="C19" s="18">
        <f>IF(COUNTIFS(T_TTAFStock_Log[Part Name],$A19,T_TTAFStock_Log[WeekIndex],2)=0,"",SUMIFS(T_TTAFStock_Log[TTAF_Qty],T_TTAFStock_Log[Part Name],$A19,T_TTAFStock_Log[WeekIndex],2))</f>
        <v/>
      </c>
      <c r="D19" s="18">
        <f>IF(COUNTIFS(T_TTAFStock_Log[Part Name],$A19,T_TTAFStock_Log[WeekIndex],3)=0,"",SUMIFS(T_TTAFStock_Log[TTAF_Qty],T_TTAFStock_Log[Part Name],$A19,T_TTAFStock_Log[WeekIndex],3))</f>
        <v/>
      </c>
      <c r="E19" s="18">
        <f>IF(COUNTIFS(T_TTAFStock_Log[Part Name],$A19,T_TTAFStock_Log[WeekIndex],4)=0,"",SUMIFS(T_TTAFStock_Log[TTAF_Qty],T_TTAFStock_Log[Part Name],$A19,T_TTAFStock_Log[WeekIndex],4))</f>
        <v/>
      </c>
      <c r="F19" s="18">
        <f>IF(COUNTIFS(T_TTAFStock_Log[Part Name],$A19,T_TTAFStock_Log[WeekIndex],5)=0,"",SUMIFS(T_TTAFStock_Log[TTAF_Qty],T_TTAFStock_Log[Part Name],$A19,T_TTAFStock_Log[WeekIndex],5))</f>
        <v/>
      </c>
      <c r="G19" s="18">
        <f>IF(COUNTIFS(T_TTAFStock_Log[Part Name],$A19,T_TTAFStock_Log[WeekIndex],6)=0,"",SUMIFS(T_TTAFStock_Log[TTAF_Qty],T_TTAFStock_Log[Part Name],$A19,T_TTAFStock_Log[WeekIndex],6))</f>
        <v/>
      </c>
      <c r="H19" s="18">
        <f>IF(COUNTIFS(T_TTAFStock_Log[Part Name],$A19,T_TTAFStock_Log[WeekIndex],7)=0,"",SUMIFS(T_TTAFStock_Log[TTAF_Qty],T_TTAFStock_Log[Part Name],$A19,T_TTAFStock_Log[WeekIndex],7))</f>
        <v/>
      </c>
      <c r="I19" s="18">
        <f>IF(COUNTIFS(T_TTAFStock_Log[Part Name],$A19,T_TTAFStock_Log[WeekIndex],8)=0,"",SUMIFS(T_TTAFStock_Log[TTAF_Qty],T_TTAFStock_Log[Part Name],$A19,T_TTAFStock_Log[WeekIndex],8))</f>
        <v/>
      </c>
      <c r="J19" s="18">
        <f>IF(COUNTIFS(T_TTAFStock_Log[Part Name],$A19,T_TTAFStock_Log[WeekIndex],9)=0,"",SUMIFS(T_TTAFStock_Log[TTAF_Qty],T_TTAFStock_Log[Part Name],$A19,T_TTAFStock_Log[WeekIndex],9))</f>
        <v/>
      </c>
      <c r="K19" s="18">
        <f>IF(COUNTIFS(T_TTAFStock_Log[Part Name],$A19,T_TTAFStock_Log[WeekIndex],10)=0,"",SUMIFS(T_TTAFStock_Log[TTAF_Qty],T_TTAFStock_Log[Part Name],$A19,T_TTAFStock_Log[WeekIndex],10))</f>
        <v/>
      </c>
      <c r="L19" s="18">
        <f>IF(COUNTIFS(T_TTAFStock_Log[Part Name],$A19,T_TTAFStock_Log[WeekIndex],11)=0,"",SUMIFS(T_TTAFStock_Log[TTAF_Qty],T_TTAFStock_Log[Part Name],$A19,T_TTAFStock_Log[WeekIndex],11))</f>
        <v/>
      </c>
      <c r="M19" s="18">
        <f>IF(COUNTIFS(T_TTAFStock_Log[Part Name],$A19,T_TTAFStock_Log[WeekIndex],12)=0,"",SUMIFS(T_TTAFStock_Log[TTAF_Qty],T_TTAFStock_Log[Part Name],$A19,T_TTAFStock_Log[WeekIndex],12))</f>
        <v/>
      </c>
      <c r="N19" s="18">
        <f>IF(COUNTIFS(T_TTAFStock_Log[Part Name],$A19,T_TTAFStock_Log[WeekIndex],13)=0,"",SUMIFS(T_TTAFStock_Log[TTAF_Qty],T_TTAFStock_Log[Part Name],$A19,T_TTAFStock_Log[WeekIndex],13))</f>
        <v/>
      </c>
      <c r="O19" s="18">
        <f>IF(COUNTIFS(T_TTAFStock_Log[Part Name],$A19,T_TTAFStock_Log[WeekIndex],14)=0,"",SUMIFS(T_TTAFStock_Log[TTAF_Qty],T_TTAFStock_Log[Part Name],$A19,T_TTAFStock_Log[WeekIndex],14))</f>
        <v/>
      </c>
      <c r="P19" s="18">
        <f>IF(COUNTIFS(T_TTAFStock_Log[Part Name],$A19,T_TTAFStock_Log[WeekIndex],15)=0,"",SUMIFS(T_TTAFStock_Log[TTAF_Qty],T_TTAFStock_Log[Part Name],$A19,T_TTAFStock_Log[WeekIndex],15))</f>
        <v/>
      </c>
      <c r="Q19" s="18">
        <f>IF(COUNTIFS(T_TTAFStock_Log[Part Name],$A19,T_TTAFStock_Log[WeekIndex],16)=0,"",SUMIFS(T_TTAFStock_Log[TTAF_Qty],T_TTAFStock_Log[Part Name],$A19,T_TTAFStock_Log[WeekIndex],16))</f>
        <v/>
      </c>
      <c r="R19" s="18">
        <f>IF(COUNTIFS(T_TTAFStock_Log[Part Name],$A19,T_TTAFStock_Log[WeekIndex],17)=0,"",SUMIFS(T_TTAFStock_Log[TTAF_Qty],T_TTAFStock_Log[Part Name],$A19,T_TTAFStock_Log[WeekIndex],17))</f>
        <v/>
      </c>
      <c r="S19" s="18">
        <f>IF(COUNTIFS(T_TTAFStock_Log[Part Name],$A19,T_TTAFStock_Log[WeekIndex],18)=0,"",SUMIFS(T_TTAFStock_Log[TTAF_Qty],T_TTAFStock_Log[Part Name],$A19,T_TTAFStock_Log[WeekIndex],18))</f>
        <v/>
      </c>
      <c r="T19" s="18">
        <f>IF(COUNTIFS(T_TTAFStock_Log[Part Name],$A19,T_TTAFStock_Log[WeekIndex],19)=0,"",SUMIFS(T_TTAFStock_Log[TTAF_Qty],T_TTAFStock_Log[Part Name],$A19,T_TTAFStock_Log[WeekIndex],19))</f>
        <v/>
      </c>
      <c r="U19" s="18">
        <f>IF(COUNTIFS(T_TTAFStock_Log[Part Name],$A19,T_TTAFStock_Log[WeekIndex],20)=0,"",SUMIFS(T_TTAFStock_Log[TTAF_Qty],T_TTAFStock_Log[Part Name],$A19,T_TTAFStock_Log[WeekIndex],20))</f>
        <v/>
      </c>
      <c r="V19" s="18">
        <f>IF(COUNTIFS(T_TTAFStock_Log[Part Name],$A19,T_TTAFStock_Log[WeekIndex],21)=0,"",SUMIFS(T_TTAFStock_Log[TTAF_Qty],T_TTAFStock_Log[Part Name],$A19,T_TTAFStock_Log[WeekIndex],21))</f>
        <v/>
      </c>
      <c r="W19" s="18">
        <f>IF(COUNTIFS(T_TTAFStock_Log[Part Name],$A19,T_TTAFStock_Log[WeekIndex],22)=0,"",SUMIFS(T_TTAFStock_Log[TTAF_Qty],T_TTAFStock_Log[Part Name],$A19,T_TTAFStock_Log[WeekIndex],22))</f>
        <v/>
      </c>
      <c r="X19" s="18">
        <f>IF(COUNTIFS(T_TTAFStock_Log[Part Name],$A19,T_TTAFStock_Log[WeekIndex],23)=0,"",SUMIFS(T_TTAFStock_Log[TTAF_Qty],T_TTAFStock_Log[Part Name],$A19,T_TTAFStock_Log[WeekIndex],23))</f>
        <v/>
      </c>
      <c r="Y19" s="18">
        <f>IF(COUNTIFS(T_TTAFStock_Log[Part Name],$A19,T_TTAFStock_Log[WeekIndex],24)=0,"",SUMIFS(T_TTAFStock_Log[TTAF_Qty],T_TTAFStock_Log[Part Name],$A19,T_TTAFStock_Log[WeekIndex],24))</f>
        <v/>
      </c>
      <c r="Z19" s="18">
        <f>IF(COUNTIFS(T_TTAFStock_Log[Part Name],$A19,T_TTAFStock_Log[WeekIndex],25)=0,"",SUMIFS(T_TTAFStock_Log[TTAF_Qty],T_TTAFStock_Log[Part Name],$A19,T_TTAFStock_Log[WeekIndex],25))</f>
        <v/>
      </c>
      <c r="AA19" s="18">
        <f>IF(COUNTIFS(T_TTAFStock_Log[Part Name],$A19,T_TTAFStock_Log[WeekIndex],26)=0,"",SUMIFS(T_TTAFStock_Log[TTAF_Qty],T_TTAFStock_Log[Part Name],$A19,T_TTAFStock_Log[WeekIndex],26))</f>
        <v/>
      </c>
      <c r="AB19" s="18">
        <f>IF(COUNTIFS(T_TTAFStock_Log[Part Name],$A19,T_TTAFStock_Log[WeekIndex],27)=0,"",SUMIFS(T_TTAFStock_Log[TTAF_Qty],T_TTAFStock_Log[Part Name],$A19,T_TTAFStock_Log[WeekIndex],27))</f>
        <v/>
      </c>
      <c r="AC19" s="18">
        <f>IF(COUNTIFS(T_TTAFStock_Log[Part Name],$A19,T_TTAFStock_Log[WeekIndex],28)=0,"",SUMIFS(T_TTAFStock_Log[TTAF_Qty],T_TTAFStock_Log[Part Name],$A19,T_TTAFStock_Log[WeekIndex],28))</f>
        <v/>
      </c>
      <c r="AD19" s="18">
        <f>IF(COUNTIFS(T_TTAFStock_Log[Part Name],$A19,T_TTAFStock_Log[WeekIndex],29)=0,"",SUMIFS(T_TTAFStock_Log[TTAF_Qty],T_TTAFStock_Log[Part Name],$A19,T_TTAFStock_Log[WeekIndex],29))</f>
        <v/>
      </c>
      <c r="AE19" s="18">
        <f>IF(COUNTIFS(T_TTAFStock_Log[Part Name],$A19,T_TTAFStock_Log[WeekIndex],30)=0,"",SUMIFS(T_TTAFStock_Log[TTAF_Qty],T_TTAFStock_Log[Part Name],$A19,T_TTAFStock_Log[WeekIndex],30))</f>
        <v/>
      </c>
      <c r="AF19" s="18">
        <f>IF(COUNTIFS(T_TTAFStock_Log[Part Name],$A19,T_TTAFStock_Log[WeekIndex],31)=0,"",SUMIFS(T_TTAFStock_Log[TTAF_Qty],T_TTAFStock_Log[Part Name],$A19,T_TTAFStock_Log[WeekIndex],31))</f>
        <v/>
      </c>
      <c r="AG19" s="18">
        <f>IF(COUNTIFS(T_TTAFStock_Log[Part Name],$A19,T_TTAFStock_Log[WeekIndex],32)=0,"",SUMIFS(T_TTAFStock_Log[TTAF_Qty],T_TTAFStock_Log[Part Name],$A19,T_TTAFStock_Log[WeekIndex],32))</f>
        <v/>
      </c>
      <c r="AH19" s="18">
        <f>IF(COUNTIFS(T_TTAFStock_Log[Part Name],$A19,T_TTAFStock_Log[WeekIndex],33)=0,"",SUMIFS(T_TTAFStock_Log[TTAF_Qty],T_TTAFStock_Log[Part Name],$A19,T_TTAFStock_Log[WeekIndex],33))</f>
        <v/>
      </c>
      <c r="AI19" s="18">
        <f>IF(COUNTIFS(T_TTAFStock_Log[Part Name],$A19,T_TTAFStock_Log[WeekIndex],34)=0,"",SUMIFS(T_TTAFStock_Log[TTAF_Qty],T_TTAFStock_Log[Part Name],$A19,T_TTAFStock_Log[WeekIndex],34))</f>
        <v/>
      </c>
      <c r="AJ19" s="18">
        <f>IF(COUNTIFS(T_TTAFStock_Log[Part Name],$A19,T_TTAFStock_Log[WeekIndex],35)=0,"",SUMIFS(T_TTAFStock_Log[TTAF_Qty],T_TTAFStock_Log[Part Name],$A19,T_TTAFStock_Log[WeekIndex],35))</f>
        <v/>
      </c>
      <c r="AK19" s="18">
        <f>IF(COUNTIFS(T_TTAFStock_Log[Part Name],$A19,T_TTAFStock_Log[WeekIndex],36)=0,"",SUMIFS(T_TTAFStock_Log[TTAF_Qty],T_TTAFStock_Log[Part Name],$A19,T_TTAFStock_Log[WeekIndex],36))</f>
        <v/>
      </c>
      <c r="AL19" s="18">
        <f>IF(COUNTIFS(T_TTAFStock_Log[Part Name],$A19,T_TTAFStock_Log[WeekIndex],37)=0,"",SUMIFS(T_TTAFStock_Log[TTAF_Qty],T_TTAFStock_Log[Part Name],$A19,T_TTAFStock_Log[WeekIndex],37))</f>
        <v/>
      </c>
      <c r="AM19" s="18">
        <f>IF(COUNTIFS(T_TTAFStock_Log[Part Name],$A19,T_TTAFStock_Log[WeekIndex],38)=0,"",SUMIFS(T_TTAFStock_Log[TTAF_Qty],T_TTAFStock_Log[Part Name],$A19,T_TTAFStock_Log[WeekIndex],38))</f>
        <v/>
      </c>
      <c r="AN19" s="18">
        <f>IF(COUNTIFS(T_TTAFStock_Log[Part Name],$A19,T_TTAFStock_Log[WeekIndex],39)=0,"",SUMIFS(T_TTAFStock_Log[TTAF_Qty],T_TTAFStock_Log[Part Name],$A19,T_TTAFStock_Log[WeekIndex],39))</f>
        <v/>
      </c>
      <c r="AO19" s="18">
        <f>IF(COUNTIFS(T_TTAFStock_Log[Part Name],$A19,T_TTAFStock_Log[WeekIndex],40)=0,"",SUMIFS(T_TTAFStock_Log[TTAF_Qty],T_TTAFStock_Log[Part Name],$A19,T_TTAFStock_Log[WeekIndex],40))</f>
        <v/>
      </c>
      <c r="AP19" s="18">
        <f>IF(COUNTIFS(T_TTAFStock_Log[Part Name],$A19,T_TTAFStock_Log[WeekIndex],41)=0,"",SUMIFS(T_TTAFStock_Log[TTAF_Qty],T_TTAFStock_Log[Part Name],$A19,T_TTAFStock_Log[WeekIndex],41))</f>
        <v/>
      </c>
      <c r="AQ19" s="18">
        <f>IF(COUNTIFS(T_TTAFStock_Log[Part Name],$A19,T_TTAFStock_Log[WeekIndex],42)=0,"",SUMIFS(T_TTAFStock_Log[TTAF_Qty],T_TTAFStock_Log[Part Name],$A19,T_TTAFStock_Log[WeekIndex],42))</f>
        <v/>
      </c>
      <c r="AR19" s="18">
        <f>IF(COUNTIFS(T_TTAFStock_Log[Part Name],$A19,T_TTAFStock_Log[WeekIndex],43)=0,"",SUMIFS(T_TTAFStock_Log[TTAF_Qty],T_TTAFStock_Log[Part Name],$A19,T_TTAFStock_Log[WeekIndex],43))</f>
        <v/>
      </c>
      <c r="AS19" s="18">
        <f>IF(COUNTIFS(T_TTAFStock_Log[Part Name],$A19,T_TTAFStock_Log[WeekIndex],44)=0,"",SUMIFS(T_TTAFStock_Log[TTAF_Qty],T_TTAFStock_Log[Part Name],$A19,T_TTAFStock_Log[WeekIndex],44))</f>
        <v/>
      </c>
      <c r="AT19" s="18">
        <f>IF(COUNTIFS(T_TTAFStock_Log[Part Name],$A19,T_TTAFStock_Log[WeekIndex],45)=0,"",SUMIFS(T_TTAFStock_Log[TTAF_Qty],T_TTAFStock_Log[Part Name],$A19,T_TTAFStock_Log[WeekIndex],45))</f>
        <v/>
      </c>
      <c r="AU19" s="18">
        <f>IF(COUNTIFS(T_TTAFStock_Log[Part Name],$A19,T_TTAFStock_Log[WeekIndex],46)=0,"",SUMIFS(T_TTAFStock_Log[TTAF_Qty],T_TTAFStock_Log[Part Name],$A19,T_TTAFStock_Log[WeekIndex],46))</f>
        <v/>
      </c>
      <c r="AV19" s="18">
        <f>IF(COUNTIFS(T_TTAFStock_Log[Part Name],$A19,T_TTAFStock_Log[WeekIndex],47)=0,"",SUMIFS(T_TTAFStock_Log[TTAF_Qty],T_TTAFStock_Log[Part Name],$A19,T_TTAFStock_Log[WeekIndex],47))</f>
        <v/>
      </c>
      <c r="AW19" s="18">
        <f>IF(COUNTIFS(T_TTAFStock_Log[Part Name],$A19,T_TTAFStock_Log[WeekIndex],48)=0,"",SUMIFS(T_TTAFStock_Log[TTAF_Qty],T_TTAFStock_Log[Part Name],$A19,T_TTAFStock_Log[WeekIndex],48))</f>
        <v/>
      </c>
      <c r="AX19" s="18">
        <f>IF(COUNTIFS(T_TTAFStock_Log[Part Name],$A19,T_TTAFStock_Log[WeekIndex],49)=0,"",SUMIFS(T_TTAFStock_Log[TTAF_Qty],T_TTAFStock_Log[Part Name],$A19,T_TTAFStock_Log[WeekIndex],49))</f>
        <v/>
      </c>
      <c r="AY19" s="18">
        <f>IF(COUNTIFS(T_TTAFStock_Log[Part Name],$A19,T_TTAFStock_Log[WeekIndex],50)=0,"",SUMIFS(T_TTAFStock_Log[TTAF_Qty],T_TTAFStock_Log[Part Name],$A19,T_TTAFStock_Log[WeekIndex],50))</f>
        <v/>
      </c>
      <c r="AZ19" s="18">
        <f>IF(COUNTIFS(T_TTAFStock_Log[Part Name],$A19,T_TTAFStock_Log[WeekIndex],51)=0,"",SUMIFS(T_TTAFStock_Log[TTAF_Qty],T_TTAFStock_Log[Part Name],$A19,T_TTAFStock_Log[WeekIndex],51))</f>
        <v/>
      </c>
      <c r="BA19" s="18">
        <f>IF(COUNTIFS(T_TTAFStock_Log[Part Name],$A19,T_TTAFStock_Log[WeekIndex],52)=0,"",SUMIFS(T_TTAFStock_Log[TTAF_Qty],T_TTAFStock_Log[Part Name],$A19,T_TTAFStock_Log[WeekIndex],52))</f>
        <v/>
      </c>
      <c r="BB19" s="18">
        <f>IF(COUNTIFS(T_TTAFStock_Log[Part Name],$A19,T_TTAFStock_Log[WeekIndex],53)=0,"",SUMIFS(T_TTAFStock_Log[TTAF_Qty],T_TTAFStock_Log[Part Name],$A19,T_TTAFStock_Log[WeekIndex],53))</f>
        <v/>
      </c>
      <c r="BC19" s="18">
        <f>IF(COUNTIFS(T_TTAFStock_Log[Part Name],$A19,T_TTAFStock_Log[WeekIndex],54)=0,"",SUMIFS(T_TTAFStock_Log[TTAF_Qty],T_TTAFStock_Log[Part Name],$A19,T_TTAFStock_Log[WeekIndex],54))</f>
        <v/>
      </c>
      <c r="BD19" s="18">
        <f>IF(COUNTIFS(T_TTAFStock_Log[Part Name],$A19,T_TTAFStock_Log[WeekIndex],55)=0,"",SUMIFS(T_TTAFStock_Log[TTAF_Qty],T_TTAFStock_Log[Part Name],$A19,T_TTAFStock_Log[WeekIndex],55))</f>
        <v/>
      </c>
      <c r="BE19" s="18">
        <f>IF(COUNTIFS(T_TTAFStock_Log[Part Name],$A19,T_TTAFStock_Log[WeekIndex],56)=0,"",SUMIFS(T_TTAFStock_Log[TTAF_Qty],T_TTAFStock_Log[Part Name],$A19,T_TTAFStock_Log[WeekIndex],56))</f>
        <v/>
      </c>
      <c r="BF19" s="18">
        <f>IF(COUNTIFS(T_TTAFStock_Log[Part Name],$A19,T_TTAFStock_Log[WeekIndex],57)=0,"",SUMIFS(T_TTAFStock_Log[TTAF_Qty],T_TTAFStock_Log[Part Name],$A19,T_TTAFStock_Log[WeekIndex],57))</f>
        <v/>
      </c>
      <c r="BG19" s="18">
        <f>IF(COUNTIFS(T_TTAFStock_Log[Part Name],$A19,T_TTAFStock_Log[WeekIndex],58)=0,"",SUMIFS(T_TTAFStock_Log[TTAF_Qty],T_TTAFStock_Log[Part Name],$A19,T_TTAFStock_Log[WeekIndex],58))</f>
        <v/>
      </c>
      <c r="BH19" s="18">
        <f>IF(COUNTIFS(T_TTAFStock_Log[Part Name],$A19,T_TTAFStock_Log[WeekIndex],59)=0,"",SUMIFS(T_TTAFStock_Log[TTAF_Qty],T_TTAFStock_Log[Part Name],$A19,T_TTAFStock_Log[WeekIndex],59))</f>
        <v/>
      </c>
      <c r="BI19" s="18">
        <f>IF(COUNTIFS(T_TTAFStock_Log[Part Name],$A19,T_TTAFStock_Log[WeekIndex],60)=0,"",SUMIFS(T_TTAFStock_Log[TTAF_Qty],T_TTAFStock_Log[Part Name],$A19,T_TTAFStock_Log[WeekIndex],60))</f>
        <v/>
      </c>
      <c r="BJ19" s="18">
        <f>IF(COUNTIFS(T_TTAFStock_Log[Part Name],$A19,T_TTAFStock_Log[WeekIndex],61)=0,"",SUMIFS(T_TTAFStock_Log[TTAF_Qty],T_TTAFStock_Log[Part Name],$A19,T_TTAFStock_Log[WeekIndex],61))</f>
        <v/>
      </c>
      <c r="BK19" s="18">
        <f>IF(COUNTIFS(T_TTAFStock_Log[Part Name],$A19,T_TTAFStock_Log[WeekIndex],62)=0,"",SUMIFS(T_TTAFStock_Log[TTAF_Qty],T_TTAFStock_Log[Part Name],$A19,T_TTAFStock_Log[WeekIndex],62))</f>
        <v/>
      </c>
      <c r="BL19" s="18">
        <f>IF(COUNTIFS(T_TTAFStock_Log[Part Name],$A19,T_TTAFStock_Log[WeekIndex],63)=0,"",SUMIFS(T_TTAFStock_Log[TTAF_Qty],T_TTAFStock_Log[Part Name],$A19,T_TTAFStock_Log[WeekIndex],63))</f>
        <v/>
      </c>
      <c r="BM19" s="18">
        <f>IF(COUNTIFS(T_TTAFStock_Log[Part Name],$A19,T_TTAFStock_Log[WeekIndex],64)=0,"",SUMIFS(T_TTAFStock_Log[TTAF_Qty],T_TTAFStock_Log[Part Name],$A19,T_TTAFStock_Log[WeekIndex],64))</f>
        <v/>
      </c>
      <c r="BN19" s="18">
        <f>IF(COUNTIFS(T_TTAFStock_Log[Part Name],$A19,T_TTAFStock_Log[WeekIndex],65)=0,"",SUMIFS(T_TTAFStock_Log[TTAF_Qty],T_TTAFStock_Log[Part Name],$A19,T_TTAFStock_Log[WeekIndex],65))</f>
        <v/>
      </c>
      <c r="BO19" s="18">
        <f>IF(COUNTIFS(T_TTAFStock_Log[Part Name],$A19,T_TTAFStock_Log[WeekIndex],66)=0,"",SUMIFS(T_TTAFStock_Log[TTAF_Qty],T_TTAFStock_Log[Part Name],$A19,T_TTAFStock_Log[WeekIndex],66))</f>
        <v/>
      </c>
      <c r="BP19" s="18">
        <f>IF(COUNTIFS(T_TTAFStock_Log[Part Name],$A19,T_TTAFStock_Log[WeekIndex],67)=0,"",SUMIFS(T_TTAFStock_Log[TTAF_Qty],T_TTAFStock_Log[Part Name],$A19,T_TTAFStock_Log[WeekIndex],67))</f>
        <v/>
      </c>
      <c r="BQ19" s="18">
        <f>IF(COUNTIFS(T_TTAFStock_Log[Part Name],$A19,T_TTAFStock_Log[WeekIndex],68)=0,"",SUMIFS(T_TTAFStock_Log[TTAF_Qty],T_TTAFStock_Log[Part Name],$A19,T_TTAFStock_Log[WeekIndex],68))</f>
        <v/>
      </c>
      <c r="BR19" s="18">
        <f>IF(COUNTIFS(T_TTAFStock_Log[Part Name],$A19,T_TTAFStock_Log[WeekIndex],69)=0,"",SUMIFS(T_TTAFStock_Log[TTAF_Qty],T_TTAFStock_Log[Part Name],$A19,T_TTAFStock_Log[WeekIndex],69))</f>
        <v/>
      </c>
      <c r="BS19" s="18">
        <f>IF(COUNTIFS(T_TTAFStock_Log[Part Name],$A19,T_TTAFStock_Log[WeekIndex],70)=0,"",SUMIFS(T_TTAFStock_Log[TTAF_Qty],T_TTAFStock_Log[Part Name],$A19,T_TTAFStock_Log[WeekIndex],70))</f>
        <v/>
      </c>
      <c r="BT19" s="18">
        <f>IF(COUNTIFS(T_TTAFStock_Log[Part Name],$A19,T_TTAFStock_Log[WeekIndex],71)=0,"",SUMIFS(T_TTAFStock_Log[TTAF_Qty],T_TTAFStock_Log[Part Name],$A19,T_TTAFStock_Log[WeekIndex],71))</f>
        <v/>
      </c>
      <c r="BU19" s="18">
        <f>IF(COUNTIFS(T_TTAFStock_Log[Part Name],$A19,T_TTAFStock_Log[WeekIndex],72)=0,"",SUMIFS(T_TTAFStock_Log[TTAF_Qty],T_TTAFStock_Log[Part Name],$A19,T_TTAFStock_Log[WeekIndex],72))</f>
        <v/>
      </c>
      <c r="BV19" s="18">
        <f>IF(COUNTIFS(T_TTAFStock_Log[Part Name],$A19,T_TTAFStock_Log[WeekIndex],73)=0,"",SUMIFS(T_TTAFStock_Log[TTAF_Qty],T_TTAFStock_Log[Part Name],$A19,T_TTAFStock_Log[WeekIndex],73))</f>
        <v/>
      </c>
      <c r="BW19" s="18">
        <f>IF(COUNTIFS(T_TTAFStock_Log[Part Name],$A19,T_TTAFStock_Log[WeekIndex],74)=0,"",SUMIFS(T_TTAFStock_Log[TTAF_Qty],T_TTAFStock_Log[Part Name],$A19,T_TTAFStock_Log[WeekIndex],74))</f>
        <v/>
      </c>
      <c r="BX19" s="18">
        <f>IF(COUNTIFS(T_TTAFStock_Log[Part Name],$A19,T_TTAFStock_Log[WeekIndex],75)=0,"",SUMIFS(T_TTAFStock_Log[TTAF_Qty],T_TTAFStock_Log[Part Name],$A19,T_TTAFStock_Log[WeekIndex],75))</f>
        <v/>
      </c>
      <c r="BY19" s="18">
        <f>IF(COUNTIFS(T_TTAFStock_Log[Part Name],$A19,T_TTAFStock_Log[WeekIndex],76)=0,"",SUMIFS(T_TTAFStock_Log[TTAF_Qty],T_TTAFStock_Log[Part Name],$A19,T_TTAFStock_Log[WeekIndex],76))</f>
        <v/>
      </c>
      <c r="BZ19" s="18">
        <f>IF(COUNTIFS(T_TTAFStock_Log[Part Name],$A19,T_TTAFStock_Log[WeekIndex],77)=0,"",SUMIFS(T_TTAFStock_Log[TTAF_Qty],T_TTAFStock_Log[Part Name],$A19,T_TTAFStock_Log[WeekIndex],77))</f>
        <v/>
      </c>
      <c r="CA19" s="18">
        <f>IF(COUNTIFS(T_TTAFStock_Log[Part Name],$A19,T_TTAFStock_Log[WeekIndex],78)=0,"",SUMIFS(T_TTAFStock_Log[TTAF_Qty],T_TTAFStock_Log[Part Name],$A19,T_TTAFStock_Log[WeekIndex],78))</f>
        <v/>
      </c>
      <c r="CB19" s="18">
        <f>IF(COUNTIFS(T_TTAFStock_Log[Part Name],$A19,T_TTAFStock_Log[WeekIndex],79)=0,"",SUMIFS(T_TTAFStock_Log[TTAF_Qty],T_TTAFStock_Log[Part Name],$A19,T_TTAFStock_Log[WeekIndex],79))</f>
        <v/>
      </c>
      <c r="CC19" s="18">
        <f>IF(COUNTIFS(T_TTAFStock_Log[Part Name],$A19,T_TTAFStock_Log[WeekIndex],80)=0,"",SUMIFS(T_TTAFStock_Log[TTAF_Qty],T_TTAFStock_Log[Part Name],$A19,T_TTAFStock_Log[WeekIndex],80))</f>
        <v/>
      </c>
      <c r="CD19" s="18">
        <f>IF(COUNTIFS(T_TTAFStock_Log[Part Name],$A19,T_TTAFStock_Log[WeekIndex],81)=0,"",SUMIFS(T_TTAFStock_Log[TTAF_Qty],T_TTAFStock_Log[Part Name],$A19,T_TTAFStock_Log[WeekIndex],81))</f>
        <v/>
      </c>
      <c r="CE19" s="18">
        <f>IF(COUNTIFS(T_TTAFStock_Log[Part Name],$A19,T_TTAFStock_Log[WeekIndex],82)=0,"",SUMIFS(T_TTAFStock_Log[TTAF_Qty],T_TTAFStock_Log[Part Name],$A19,T_TTAFStock_Log[WeekIndex],82))</f>
        <v/>
      </c>
      <c r="CF19" s="18">
        <f>IF(COUNTIFS(T_TTAFStock_Log[Part Name],$A19,T_TTAFStock_Log[WeekIndex],83)=0,"",SUMIFS(T_TTAFStock_Log[TTAF_Qty],T_TTAFStock_Log[Part Name],$A19,T_TTAFStock_Log[WeekIndex],83))</f>
        <v/>
      </c>
      <c r="CG19" s="18">
        <f>IF(COUNTIFS(T_TTAFStock_Log[Part Name],$A19,T_TTAFStock_Log[WeekIndex],84)=0,"",SUMIFS(T_TTAFStock_Log[TTAF_Qty],T_TTAFStock_Log[Part Name],$A19,T_TTAFStock_Log[WeekIndex],84))</f>
        <v/>
      </c>
      <c r="CH19" s="18">
        <f>IF(COUNTIFS(T_TTAFStock_Log[Part Name],$A19,T_TTAFStock_Log[WeekIndex],85)=0,"",SUMIFS(T_TTAFStock_Log[TTAF_Qty],T_TTAFStock_Log[Part Name],$A19,T_TTAFStock_Log[WeekIndex],85))</f>
        <v/>
      </c>
      <c r="CI19" s="18">
        <f>IF(COUNTIFS(T_TTAFStock_Log[Part Name],$A19,T_TTAFStock_Log[WeekIndex],86)=0,"",SUMIFS(T_TTAFStock_Log[TTAF_Qty],T_TTAFStock_Log[Part Name],$A19,T_TTAFStock_Log[WeekIndex],86))</f>
        <v/>
      </c>
      <c r="CJ19" s="18">
        <f>IF(COUNTIFS(T_TTAFStock_Log[Part Name],$A19,T_TTAFStock_Log[WeekIndex],87)=0,"",SUMIFS(T_TTAFStock_Log[TTAF_Qty],T_TTAFStock_Log[Part Name],$A19,T_TTAFStock_Log[WeekIndex],87))</f>
        <v/>
      </c>
      <c r="CK19" s="18">
        <f>IF(COUNTIFS(T_TTAFStock_Log[Part Name],$A19,T_TTAFStock_Log[WeekIndex],88)=0,"",SUMIFS(T_TTAFStock_Log[TTAF_Qty],T_TTAFStock_Log[Part Name],$A19,T_TTAFStock_Log[WeekIndex],88))</f>
        <v/>
      </c>
      <c r="CL19" s="18">
        <f>IF(COUNTIFS(T_TTAFStock_Log[Part Name],$A19,T_TTAFStock_Log[WeekIndex],89)=0,"",SUMIFS(T_TTAFStock_Log[TTAF_Qty],T_TTAFStock_Log[Part Name],$A19,T_TTAFStock_Log[WeekIndex],89))</f>
        <v/>
      </c>
      <c r="CM19" s="18">
        <f>IF(COUNTIFS(T_TTAFStock_Log[Part Name],$A19,T_TTAFStock_Log[WeekIndex],90)=0,"",SUMIFS(T_TTAFStock_Log[TTAF_Qty],T_TTAFStock_Log[Part Name],$A19,T_TTAFStock_Log[WeekIndex],90))</f>
        <v/>
      </c>
      <c r="CN19" s="18">
        <f>IF(COUNTIFS(T_TTAFStock_Log[Part Name],$A19,T_TTAFStock_Log[WeekIndex],91)=0,"",SUMIFS(T_TTAFStock_Log[TTAF_Qty],T_TTAFStock_Log[Part Name],$A19,T_TTAFStock_Log[WeekIndex],91))</f>
        <v/>
      </c>
      <c r="CO19" s="18">
        <f>IF(COUNTIFS(T_TTAFStock_Log[Part Name],$A19,T_TTAFStock_Log[WeekIndex],92)=0,"",SUMIFS(T_TTAFStock_Log[TTAF_Qty],T_TTAFStock_Log[Part Name],$A19,T_TTAFStock_Log[WeekIndex],92))</f>
        <v/>
      </c>
      <c r="CP19" s="18">
        <f>IF(COUNTIFS(T_TTAFStock_Log[Part Name],$A19,T_TTAFStock_Log[WeekIndex],93)=0,"",SUMIFS(T_TTAFStock_Log[TTAF_Qty],T_TTAFStock_Log[Part Name],$A19,T_TTAFStock_Log[WeekIndex],93))</f>
        <v/>
      </c>
      <c r="CQ19" s="18">
        <f>IF(COUNTIFS(T_TTAFStock_Log[Part Name],$A19,T_TTAFStock_Log[WeekIndex],94)=0,"",SUMIFS(T_TTAFStock_Log[TTAF_Qty],T_TTAFStock_Log[Part Name],$A19,T_TTAFStock_Log[WeekIndex],94))</f>
        <v/>
      </c>
      <c r="CR19" s="18">
        <f>IF(COUNTIFS(T_TTAFStock_Log[Part Name],$A19,T_TTAFStock_Log[WeekIndex],95)=0,"",SUMIFS(T_TTAFStock_Log[TTAF_Qty],T_TTAFStock_Log[Part Name],$A19,T_TTAFStock_Log[WeekIndex],95))</f>
        <v/>
      </c>
      <c r="CS19" s="18">
        <f>IF(COUNTIFS(T_TTAFStock_Log[Part Name],$A19,T_TTAFStock_Log[WeekIndex],96)=0,"",SUMIFS(T_TTAFStock_Log[TTAF_Qty],T_TTAFStock_Log[Part Name],$A19,T_TTAFStock_Log[WeekIndex],96))</f>
        <v/>
      </c>
      <c r="CT19" s="18">
        <f>IF(COUNTIFS(T_TTAFStock_Log[Part Name],$A19,T_TTAFStock_Log[WeekIndex],97)=0,"",SUMIFS(T_TTAFStock_Log[TTAF_Qty],T_TTAFStock_Log[Part Name],$A19,T_TTAFStock_Log[WeekIndex],97))</f>
        <v/>
      </c>
      <c r="CU19" s="18">
        <f>IF(COUNTIFS(T_TTAFStock_Log[Part Name],$A19,T_TTAFStock_Log[WeekIndex],98)=0,"",SUMIFS(T_TTAFStock_Log[TTAF_Qty],T_TTAFStock_Log[Part Name],$A19,T_TTAFStock_Log[WeekIndex],98))</f>
        <v/>
      </c>
      <c r="CV19" s="18">
        <f>IF(COUNTIFS(T_TTAFStock_Log[Part Name],$A19,T_TTAFStock_Log[WeekIndex],99)=0,"",SUMIFS(T_TTAFStock_Log[TTAF_Qty],T_TTAFStock_Log[Part Name],$A19,T_TTAFStock_Log[WeekIndex],99))</f>
        <v/>
      </c>
      <c r="CW19" s="18">
        <f>IF(COUNTIFS(T_TTAFStock_Log[Part Name],$A19,T_TTAFStock_Log[WeekIndex],100)=0,"",SUMIFS(T_TTAFStock_Log[TTAF_Qty],T_TTAFStock_Log[Part Name],$A19,T_TTAFStock_Log[WeekIndex],100))</f>
        <v/>
      </c>
      <c r="CX19" s="18">
        <f>IF(COUNTIFS(T_TTAFStock_Log[Part Name],$A19,T_TTAFStock_Log[WeekIndex],101)=0,"",SUMIFS(T_TTAFStock_Log[TTAF_Qty],T_TTAFStock_Log[Part Name],$A19,T_TTAFStock_Log[WeekIndex],101))</f>
        <v/>
      </c>
      <c r="CY19" s="18">
        <f>IF(COUNTIFS(T_TTAFStock_Log[Part Name],$A19,T_TTAFStock_Log[WeekIndex],102)=0,"",SUMIFS(T_TTAFStock_Log[TTAF_Qty],T_TTAFStock_Log[Part Name],$A19,T_TTAFStock_Log[WeekIndex],102))</f>
        <v/>
      </c>
      <c r="CZ19" s="18">
        <f>IF(COUNTIFS(T_TTAFStock_Log[Part Name],$A19,T_TTAFStock_Log[WeekIndex],103)=0,"",SUMIFS(T_TTAFStock_Log[TTAF_Qty],T_TTAFStock_Log[Part Name],$A19,T_TTAFStock_Log[WeekIndex],103))</f>
        <v/>
      </c>
      <c r="DA19" s="18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CHEM-1570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8" t="inlineStr">
        <is>
          <t>CHEM-1650</t>
        </is>
      </c>
      <c r="B21" s="18">
        <f>IF(COUNTIFS(T_TTAFStock_Log[Part Name],$A21,T_TTAFStock_Log[WeekIndex],1)=0,"",SUMIFS(T_TTAFStock_Log[TTAF_Qty],T_TTAFStock_Log[Part Name],$A21,T_TTAFStock_Log[WeekIndex],1))</f>
        <v/>
      </c>
      <c r="C21" s="18">
        <f>IF(COUNTIFS(T_TTAFStock_Log[Part Name],$A21,T_TTAFStock_Log[WeekIndex],2)=0,"",SUMIFS(T_TTAFStock_Log[TTAF_Qty],T_TTAFStock_Log[Part Name],$A21,T_TTAFStock_Log[WeekIndex],2))</f>
        <v/>
      </c>
      <c r="D21" s="18">
        <f>IF(COUNTIFS(T_TTAFStock_Log[Part Name],$A21,T_TTAFStock_Log[WeekIndex],3)=0,"",SUMIFS(T_TTAFStock_Log[TTAF_Qty],T_TTAFStock_Log[Part Name],$A21,T_TTAFStock_Log[WeekIndex],3))</f>
        <v/>
      </c>
      <c r="E21" s="18">
        <f>IF(COUNTIFS(T_TTAFStock_Log[Part Name],$A21,T_TTAFStock_Log[WeekIndex],4)=0,"",SUMIFS(T_TTAFStock_Log[TTAF_Qty],T_TTAFStock_Log[Part Name],$A21,T_TTAFStock_Log[WeekIndex],4))</f>
        <v/>
      </c>
      <c r="F21" s="18">
        <f>IF(COUNTIFS(T_TTAFStock_Log[Part Name],$A21,T_TTAFStock_Log[WeekIndex],5)=0,"",SUMIFS(T_TTAFStock_Log[TTAF_Qty],T_TTAFStock_Log[Part Name],$A21,T_TTAFStock_Log[WeekIndex],5))</f>
        <v/>
      </c>
      <c r="G21" s="18">
        <f>IF(COUNTIFS(T_TTAFStock_Log[Part Name],$A21,T_TTAFStock_Log[WeekIndex],6)=0,"",SUMIFS(T_TTAFStock_Log[TTAF_Qty],T_TTAFStock_Log[Part Name],$A21,T_TTAFStock_Log[WeekIndex],6))</f>
        <v/>
      </c>
      <c r="H21" s="18">
        <f>IF(COUNTIFS(T_TTAFStock_Log[Part Name],$A21,T_TTAFStock_Log[WeekIndex],7)=0,"",SUMIFS(T_TTAFStock_Log[TTAF_Qty],T_TTAFStock_Log[Part Name],$A21,T_TTAFStock_Log[WeekIndex],7))</f>
        <v/>
      </c>
      <c r="I21" s="18">
        <f>IF(COUNTIFS(T_TTAFStock_Log[Part Name],$A21,T_TTAFStock_Log[WeekIndex],8)=0,"",SUMIFS(T_TTAFStock_Log[TTAF_Qty],T_TTAFStock_Log[Part Name],$A21,T_TTAFStock_Log[WeekIndex],8))</f>
        <v/>
      </c>
      <c r="J21" s="18">
        <f>IF(COUNTIFS(T_TTAFStock_Log[Part Name],$A21,T_TTAFStock_Log[WeekIndex],9)=0,"",SUMIFS(T_TTAFStock_Log[TTAF_Qty],T_TTAFStock_Log[Part Name],$A21,T_TTAFStock_Log[WeekIndex],9))</f>
        <v/>
      </c>
      <c r="K21" s="18">
        <f>IF(COUNTIFS(T_TTAFStock_Log[Part Name],$A21,T_TTAFStock_Log[WeekIndex],10)=0,"",SUMIFS(T_TTAFStock_Log[TTAF_Qty],T_TTAFStock_Log[Part Name],$A21,T_TTAFStock_Log[WeekIndex],10))</f>
        <v/>
      </c>
      <c r="L21" s="18">
        <f>IF(COUNTIFS(T_TTAFStock_Log[Part Name],$A21,T_TTAFStock_Log[WeekIndex],11)=0,"",SUMIFS(T_TTAFStock_Log[TTAF_Qty],T_TTAFStock_Log[Part Name],$A21,T_TTAFStock_Log[WeekIndex],11))</f>
        <v/>
      </c>
      <c r="M21" s="18">
        <f>IF(COUNTIFS(T_TTAFStock_Log[Part Name],$A21,T_TTAFStock_Log[WeekIndex],12)=0,"",SUMIFS(T_TTAFStock_Log[TTAF_Qty],T_TTAFStock_Log[Part Name],$A21,T_TTAFStock_Log[WeekIndex],12))</f>
        <v/>
      </c>
      <c r="N21" s="18">
        <f>IF(COUNTIFS(T_TTAFStock_Log[Part Name],$A21,T_TTAFStock_Log[WeekIndex],13)=0,"",SUMIFS(T_TTAFStock_Log[TTAF_Qty],T_TTAFStock_Log[Part Name],$A21,T_TTAFStock_Log[WeekIndex],13))</f>
        <v/>
      </c>
      <c r="O21" s="18">
        <f>IF(COUNTIFS(T_TTAFStock_Log[Part Name],$A21,T_TTAFStock_Log[WeekIndex],14)=0,"",SUMIFS(T_TTAFStock_Log[TTAF_Qty],T_TTAFStock_Log[Part Name],$A21,T_TTAFStock_Log[WeekIndex],14))</f>
        <v/>
      </c>
      <c r="P21" s="18">
        <f>IF(COUNTIFS(T_TTAFStock_Log[Part Name],$A21,T_TTAFStock_Log[WeekIndex],15)=0,"",SUMIFS(T_TTAFStock_Log[TTAF_Qty],T_TTAFStock_Log[Part Name],$A21,T_TTAFStock_Log[WeekIndex],15))</f>
        <v/>
      </c>
      <c r="Q21" s="18">
        <f>IF(COUNTIFS(T_TTAFStock_Log[Part Name],$A21,T_TTAFStock_Log[WeekIndex],16)=0,"",SUMIFS(T_TTAFStock_Log[TTAF_Qty],T_TTAFStock_Log[Part Name],$A21,T_TTAFStock_Log[WeekIndex],16))</f>
        <v/>
      </c>
      <c r="R21" s="18">
        <f>IF(COUNTIFS(T_TTAFStock_Log[Part Name],$A21,T_TTAFStock_Log[WeekIndex],17)=0,"",SUMIFS(T_TTAFStock_Log[TTAF_Qty],T_TTAFStock_Log[Part Name],$A21,T_TTAFStock_Log[WeekIndex],17))</f>
        <v/>
      </c>
      <c r="S21" s="18">
        <f>IF(COUNTIFS(T_TTAFStock_Log[Part Name],$A21,T_TTAFStock_Log[WeekIndex],18)=0,"",SUMIFS(T_TTAFStock_Log[TTAF_Qty],T_TTAFStock_Log[Part Name],$A21,T_TTAFStock_Log[WeekIndex],18))</f>
        <v/>
      </c>
      <c r="T21" s="18">
        <f>IF(COUNTIFS(T_TTAFStock_Log[Part Name],$A21,T_TTAFStock_Log[WeekIndex],19)=0,"",SUMIFS(T_TTAFStock_Log[TTAF_Qty],T_TTAFStock_Log[Part Name],$A21,T_TTAFStock_Log[WeekIndex],19))</f>
        <v/>
      </c>
      <c r="U21" s="18">
        <f>IF(COUNTIFS(T_TTAFStock_Log[Part Name],$A21,T_TTAFStock_Log[WeekIndex],20)=0,"",SUMIFS(T_TTAFStock_Log[TTAF_Qty],T_TTAFStock_Log[Part Name],$A21,T_TTAFStock_Log[WeekIndex],20))</f>
        <v/>
      </c>
      <c r="V21" s="18">
        <f>IF(COUNTIFS(T_TTAFStock_Log[Part Name],$A21,T_TTAFStock_Log[WeekIndex],21)=0,"",SUMIFS(T_TTAFStock_Log[TTAF_Qty],T_TTAFStock_Log[Part Name],$A21,T_TTAFStock_Log[WeekIndex],21))</f>
        <v/>
      </c>
      <c r="W21" s="18">
        <f>IF(COUNTIFS(T_TTAFStock_Log[Part Name],$A21,T_TTAFStock_Log[WeekIndex],22)=0,"",SUMIFS(T_TTAFStock_Log[TTAF_Qty],T_TTAFStock_Log[Part Name],$A21,T_TTAFStock_Log[WeekIndex],22))</f>
        <v/>
      </c>
      <c r="X21" s="18">
        <f>IF(COUNTIFS(T_TTAFStock_Log[Part Name],$A21,T_TTAFStock_Log[WeekIndex],23)=0,"",SUMIFS(T_TTAFStock_Log[TTAF_Qty],T_TTAFStock_Log[Part Name],$A21,T_TTAFStock_Log[WeekIndex],23))</f>
        <v/>
      </c>
      <c r="Y21" s="18">
        <f>IF(COUNTIFS(T_TTAFStock_Log[Part Name],$A21,T_TTAFStock_Log[WeekIndex],24)=0,"",SUMIFS(T_TTAFStock_Log[TTAF_Qty],T_TTAFStock_Log[Part Name],$A21,T_TTAFStock_Log[WeekIndex],24))</f>
        <v/>
      </c>
      <c r="Z21" s="18">
        <f>IF(COUNTIFS(T_TTAFStock_Log[Part Name],$A21,T_TTAFStock_Log[WeekIndex],25)=0,"",SUMIFS(T_TTAFStock_Log[TTAF_Qty],T_TTAFStock_Log[Part Name],$A21,T_TTAFStock_Log[WeekIndex],25))</f>
        <v/>
      </c>
      <c r="AA21" s="18">
        <f>IF(COUNTIFS(T_TTAFStock_Log[Part Name],$A21,T_TTAFStock_Log[WeekIndex],26)=0,"",SUMIFS(T_TTAFStock_Log[TTAF_Qty],T_TTAFStock_Log[Part Name],$A21,T_TTAFStock_Log[WeekIndex],26))</f>
        <v/>
      </c>
      <c r="AB21" s="18">
        <f>IF(COUNTIFS(T_TTAFStock_Log[Part Name],$A21,T_TTAFStock_Log[WeekIndex],27)=0,"",SUMIFS(T_TTAFStock_Log[TTAF_Qty],T_TTAFStock_Log[Part Name],$A21,T_TTAFStock_Log[WeekIndex],27))</f>
        <v/>
      </c>
      <c r="AC21" s="18">
        <f>IF(COUNTIFS(T_TTAFStock_Log[Part Name],$A21,T_TTAFStock_Log[WeekIndex],28)=0,"",SUMIFS(T_TTAFStock_Log[TTAF_Qty],T_TTAFStock_Log[Part Name],$A21,T_TTAFStock_Log[WeekIndex],28))</f>
        <v/>
      </c>
      <c r="AD21" s="18">
        <f>IF(COUNTIFS(T_TTAFStock_Log[Part Name],$A21,T_TTAFStock_Log[WeekIndex],29)=0,"",SUMIFS(T_TTAFStock_Log[TTAF_Qty],T_TTAFStock_Log[Part Name],$A21,T_TTAFStock_Log[WeekIndex],29))</f>
        <v/>
      </c>
      <c r="AE21" s="18">
        <f>IF(COUNTIFS(T_TTAFStock_Log[Part Name],$A21,T_TTAFStock_Log[WeekIndex],30)=0,"",SUMIFS(T_TTAFStock_Log[TTAF_Qty],T_TTAFStock_Log[Part Name],$A21,T_TTAFStock_Log[WeekIndex],30))</f>
        <v/>
      </c>
      <c r="AF21" s="18">
        <f>IF(COUNTIFS(T_TTAFStock_Log[Part Name],$A21,T_TTAFStock_Log[WeekIndex],31)=0,"",SUMIFS(T_TTAFStock_Log[TTAF_Qty],T_TTAFStock_Log[Part Name],$A21,T_TTAFStock_Log[WeekIndex],31))</f>
        <v/>
      </c>
      <c r="AG21" s="18">
        <f>IF(COUNTIFS(T_TTAFStock_Log[Part Name],$A21,T_TTAFStock_Log[WeekIndex],32)=0,"",SUMIFS(T_TTAFStock_Log[TTAF_Qty],T_TTAFStock_Log[Part Name],$A21,T_TTAFStock_Log[WeekIndex],32))</f>
        <v/>
      </c>
      <c r="AH21" s="18">
        <f>IF(COUNTIFS(T_TTAFStock_Log[Part Name],$A21,T_TTAFStock_Log[WeekIndex],33)=0,"",SUMIFS(T_TTAFStock_Log[TTAF_Qty],T_TTAFStock_Log[Part Name],$A21,T_TTAFStock_Log[WeekIndex],33))</f>
        <v/>
      </c>
      <c r="AI21" s="18">
        <f>IF(COUNTIFS(T_TTAFStock_Log[Part Name],$A21,T_TTAFStock_Log[WeekIndex],34)=0,"",SUMIFS(T_TTAFStock_Log[TTAF_Qty],T_TTAFStock_Log[Part Name],$A21,T_TTAFStock_Log[WeekIndex],34))</f>
        <v/>
      </c>
      <c r="AJ21" s="18">
        <f>IF(COUNTIFS(T_TTAFStock_Log[Part Name],$A21,T_TTAFStock_Log[WeekIndex],35)=0,"",SUMIFS(T_TTAFStock_Log[TTAF_Qty],T_TTAFStock_Log[Part Name],$A21,T_TTAFStock_Log[WeekIndex],35))</f>
        <v/>
      </c>
      <c r="AK21" s="18">
        <f>IF(COUNTIFS(T_TTAFStock_Log[Part Name],$A21,T_TTAFStock_Log[WeekIndex],36)=0,"",SUMIFS(T_TTAFStock_Log[TTAF_Qty],T_TTAFStock_Log[Part Name],$A21,T_TTAFStock_Log[WeekIndex],36))</f>
        <v/>
      </c>
      <c r="AL21" s="18">
        <f>IF(COUNTIFS(T_TTAFStock_Log[Part Name],$A21,T_TTAFStock_Log[WeekIndex],37)=0,"",SUMIFS(T_TTAFStock_Log[TTAF_Qty],T_TTAFStock_Log[Part Name],$A21,T_TTAFStock_Log[WeekIndex],37))</f>
        <v/>
      </c>
      <c r="AM21" s="18">
        <f>IF(COUNTIFS(T_TTAFStock_Log[Part Name],$A21,T_TTAFStock_Log[WeekIndex],38)=0,"",SUMIFS(T_TTAFStock_Log[TTAF_Qty],T_TTAFStock_Log[Part Name],$A21,T_TTAFStock_Log[WeekIndex],38))</f>
        <v/>
      </c>
      <c r="AN21" s="18">
        <f>IF(COUNTIFS(T_TTAFStock_Log[Part Name],$A21,T_TTAFStock_Log[WeekIndex],39)=0,"",SUMIFS(T_TTAFStock_Log[TTAF_Qty],T_TTAFStock_Log[Part Name],$A21,T_TTAFStock_Log[WeekIndex],39))</f>
        <v/>
      </c>
      <c r="AO21" s="18">
        <f>IF(COUNTIFS(T_TTAFStock_Log[Part Name],$A21,T_TTAFStock_Log[WeekIndex],40)=0,"",SUMIFS(T_TTAFStock_Log[TTAF_Qty],T_TTAFStock_Log[Part Name],$A21,T_TTAFStock_Log[WeekIndex],40))</f>
        <v/>
      </c>
      <c r="AP21" s="18">
        <f>IF(COUNTIFS(T_TTAFStock_Log[Part Name],$A21,T_TTAFStock_Log[WeekIndex],41)=0,"",SUMIFS(T_TTAFStock_Log[TTAF_Qty],T_TTAFStock_Log[Part Name],$A21,T_TTAFStock_Log[WeekIndex],41))</f>
        <v/>
      </c>
      <c r="AQ21" s="18">
        <f>IF(COUNTIFS(T_TTAFStock_Log[Part Name],$A21,T_TTAFStock_Log[WeekIndex],42)=0,"",SUMIFS(T_TTAFStock_Log[TTAF_Qty],T_TTAFStock_Log[Part Name],$A21,T_TTAFStock_Log[WeekIndex],42))</f>
        <v/>
      </c>
      <c r="AR21" s="18">
        <f>IF(COUNTIFS(T_TTAFStock_Log[Part Name],$A21,T_TTAFStock_Log[WeekIndex],43)=0,"",SUMIFS(T_TTAFStock_Log[TTAF_Qty],T_TTAFStock_Log[Part Name],$A21,T_TTAFStock_Log[WeekIndex],43))</f>
        <v/>
      </c>
      <c r="AS21" s="18">
        <f>IF(COUNTIFS(T_TTAFStock_Log[Part Name],$A21,T_TTAFStock_Log[WeekIndex],44)=0,"",SUMIFS(T_TTAFStock_Log[TTAF_Qty],T_TTAFStock_Log[Part Name],$A21,T_TTAFStock_Log[WeekIndex],44))</f>
        <v/>
      </c>
      <c r="AT21" s="18">
        <f>IF(COUNTIFS(T_TTAFStock_Log[Part Name],$A21,T_TTAFStock_Log[WeekIndex],45)=0,"",SUMIFS(T_TTAFStock_Log[TTAF_Qty],T_TTAFStock_Log[Part Name],$A21,T_TTAFStock_Log[WeekIndex],45))</f>
        <v/>
      </c>
      <c r="AU21" s="18">
        <f>IF(COUNTIFS(T_TTAFStock_Log[Part Name],$A21,T_TTAFStock_Log[WeekIndex],46)=0,"",SUMIFS(T_TTAFStock_Log[TTAF_Qty],T_TTAFStock_Log[Part Name],$A21,T_TTAFStock_Log[WeekIndex],46))</f>
        <v/>
      </c>
      <c r="AV21" s="18">
        <f>IF(COUNTIFS(T_TTAFStock_Log[Part Name],$A21,T_TTAFStock_Log[WeekIndex],47)=0,"",SUMIFS(T_TTAFStock_Log[TTAF_Qty],T_TTAFStock_Log[Part Name],$A21,T_TTAFStock_Log[WeekIndex],47))</f>
        <v/>
      </c>
      <c r="AW21" s="18">
        <f>IF(COUNTIFS(T_TTAFStock_Log[Part Name],$A21,T_TTAFStock_Log[WeekIndex],48)=0,"",SUMIFS(T_TTAFStock_Log[TTAF_Qty],T_TTAFStock_Log[Part Name],$A21,T_TTAFStock_Log[WeekIndex],48))</f>
        <v/>
      </c>
      <c r="AX21" s="18">
        <f>IF(COUNTIFS(T_TTAFStock_Log[Part Name],$A21,T_TTAFStock_Log[WeekIndex],49)=0,"",SUMIFS(T_TTAFStock_Log[TTAF_Qty],T_TTAFStock_Log[Part Name],$A21,T_TTAFStock_Log[WeekIndex],49))</f>
        <v/>
      </c>
      <c r="AY21" s="18">
        <f>IF(COUNTIFS(T_TTAFStock_Log[Part Name],$A21,T_TTAFStock_Log[WeekIndex],50)=0,"",SUMIFS(T_TTAFStock_Log[TTAF_Qty],T_TTAFStock_Log[Part Name],$A21,T_TTAFStock_Log[WeekIndex],50))</f>
        <v/>
      </c>
      <c r="AZ21" s="18">
        <f>IF(COUNTIFS(T_TTAFStock_Log[Part Name],$A21,T_TTAFStock_Log[WeekIndex],51)=0,"",SUMIFS(T_TTAFStock_Log[TTAF_Qty],T_TTAFStock_Log[Part Name],$A21,T_TTAFStock_Log[WeekIndex],51))</f>
        <v/>
      </c>
      <c r="BA21" s="18">
        <f>IF(COUNTIFS(T_TTAFStock_Log[Part Name],$A21,T_TTAFStock_Log[WeekIndex],52)=0,"",SUMIFS(T_TTAFStock_Log[TTAF_Qty],T_TTAFStock_Log[Part Name],$A21,T_TTAFStock_Log[WeekIndex],52))</f>
        <v/>
      </c>
      <c r="BB21" s="18">
        <f>IF(COUNTIFS(T_TTAFStock_Log[Part Name],$A21,T_TTAFStock_Log[WeekIndex],53)=0,"",SUMIFS(T_TTAFStock_Log[TTAF_Qty],T_TTAFStock_Log[Part Name],$A21,T_TTAFStock_Log[WeekIndex],53))</f>
        <v/>
      </c>
      <c r="BC21" s="18">
        <f>IF(COUNTIFS(T_TTAFStock_Log[Part Name],$A21,T_TTAFStock_Log[WeekIndex],54)=0,"",SUMIFS(T_TTAFStock_Log[TTAF_Qty],T_TTAFStock_Log[Part Name],$A21,T_TTAFStock_Log[WeekIndex],54))</f>
        <v/>
      </c>
      <c r="BD21" s="18">
        <f>IF(COUNTIFS(T_TTAFStock_Log[Part Name],$A21,T_TTAFStock_Log[WeekIndex],55)=0,"",SUMIFS(T_TTAFStock_Log[TTAF_Qty],T_TTAFStock_Log[Part Name],$A21,T_TTAFStock_Log[WeekIndex],55))</f>
        <v/>
      </c>
      <c r="BE21" s="18">
        <f>IF(COUNTIFS(T_TTAFStock_Log[Part Name],$A21,T_TTAFStock_Log[WeekIndex],56)=0,"",SUMIFS(T_TTAFStock_Log[TTAF_Qty],T_TTAFStock_Log[Part Name],$A21,T_TTAFStock_Log[WeekIndex],56))</f>
        <v/>
      </c>
      <c r="BF21" s="18">
        <f>IF(COUNTIFS(T_TTAFStock_Log[Part Name],$A21,T_TTAFStock_Log[WeekIndex],57)=0,"",SUMIFS(T_TTAFStock_Log[TTAF_Qty],T_TTAFStock_Log[Part Name],$A21,T_TTAFStock_Log[WeekIndex],57))</f>
        <v/>
      </c>
      <c r="BG21" s="18">
        <f>IF(COUNTIFS(T_TTAFStock_Log[Part Name],$A21,T_TTAFStock_Log[WeekIndex],58)=0,"",SUMIFS(T_TTAFStock_Log[TTAF_Qty],T_TTAFStock_Log[Part Name],$A21,T_TTAFStock_Log[WeekIndex],58))</f>
        <v/>
      </c>
      <c r="BH21" s="18">
        <f>IF(COUNTIFS(T_TTAFStock_Log[Part Name],$A21,T_TTAFStock_Log[WeekIndex],59)=0,"",SUMIFS(T_TTAFStock_Log[TTAF_Qty],T_TTAFStock_Log[Part Name],$A21,T_TTAFStock_Log[WeekIndex],59))</f>
        <v/>
      </c>
      <c r="BI21" s="18">
        <f>IF(COUNTIFS(T_TTAFStock_Log[Part Name],$A21,T_TTAFStock_Log[WeekIndex],60)=0,"",SUMIFS(T_TTAFStock_Log[TTAF_Qty],T_TTAFStock_Log[Part Name],$A21,T_TTAFStock_Log[WeekIndex],60))</f>
        <v/>
      </c>
      <c r="BJ21" s="18">
        <f>IF(COUNTIFS(T_TTAFStock_Log[Part Name],$A21,T_TTAFStock_Log[WeekIndex],61)=0,"",SUMIFS(T_TTAFStock_Log[TTAF_Qty],T_TTAFStock_Log[Part Name],$A21,T_TTAFStock_Log[WeekIndex],61))</f>
        <v/>
      </c>
      <c r="BK21" s="18">
        <f>IF(COUNTIFS(T_TTAFStock_Log[Part Name],$A21,T_TTAFStock_Log[WeekIndex],62)=0,"",SUMIFS(T_TTAFStock_Log[TTAF_Qty],T_TTAFStock_Log[Part Name],$A21,T_TTAFStock_Log[WeekIndex],62))</f>
        <v/>
      </c>
      <c r="BL21" s="18">
        <f>IF(COUNTIFS(T_TTAFStock_Log[Part Name],$A21,T_TTAFStock_Log[WeekIndex],63)=0,"",SUMIFS(T_TTAFStock_Log[TTAF_Qty],T_TTAFStock_Log[Part Name],$A21,T_TTAFStock_Log[WeekIndex],63))</f>
        <v/>
      </c>
      <c r="BM21" s="18">
        <f>IF(COUNTIFS(T_TTAFStock_Log[Part Name],$A21,T_TTAFStock_Log[WeekIndex],64)=0,"",SUMIFS(T_TTAFStock_Log[TTAF_Qty],T_TTAFStock_Log[Part Name],$A21,T_TTAFStock_Log[WeekIndex],64))</f>
        <v/>
      </c>
      <c r="BN21" s="18">
        <f>IF(COUNTIFS(T_TTAFStock_Log[Part Name],$A21,T_TTAFStock_Log[WeekIndex],65)=0,"",SUMIFS(T_TTAFStock_Log[TTAF_Qty],T_TTAFStock_Log[Part Name],$A21,T_TTAFStock_Log[WeekIndex],65))</f>
        <v/>
      </c>
      <c r="BO21" s="18">
        <f>IF(COUNTIFS(T_TTAFStock_Log[Part Name],$A21,T_TTAFStock_Log[WeekIndex],66)=0,"",SUMIFS(T_TTAFStock_Log[TTAF_Qty],T_TTAFStock_Log[Part Name],$A21,T_TTAFStock_Log[WeekIndex],66))</f>
        <v/>
      </c>
      <c r="BP21" s="18">
        <f>IF(COUNTIFS(T_TTAFStock_Log[Part Name],$A21,T_TTAFStock_Log[WeekIndex],67)=0,"",SUMIFS(T_TTAFStock_Log[TTAF_Qty],T_TTAFStock_Log[Part Name],$A21,T_TTAFStock_Log[WeekIndex],67))</f>
        <v/>
      </c>
      <c r="BQ21" s="18">
        <f>IF(COUNTIFS(T_TTAFStock_Log[Part Name],$A21,T_TTAFStock_Log[WeekIndex],68)=0,"",SUMIFS(T_TTAFStock_Log[TTAF_Qty],T_TTAFStock_Log[Part Name],$A21,T_TTAFStock_Log[WeekIndex],68))</f>
        <v/>
      </c>
      <c r="BR21" s="18">
        <f>IF(COUNTIFS(T_TTAFStock_Log[Part Name],$A21,T_TTAFStock_Log[WeekIndex],69)=0,"",SUMIFS(T_TTAFStock_Log[TTAF_Qty],T_TTAFStock_Log[Part Name],$A21,T_TTAFStock_Log[WeekIndex],69))</f>
        <v/>
      </c>
      <c r="BS21" s="18">
        <f>IF(COUNTIFS(T_TTAFStock_Log[Part Name],$A21,T_TTAFStock_Log[WeekIndex],70)=0,"",SUMIFS(T_TTAFStock_Log[TTAF_Qty],T_TTAFStock_Log[Part Name],$A21,T_TTAFStock_Log[WeekIndex],70))</f>
        <v/>
      </c>
      <c r="BT21" s="18">
        <f>IF(COUNTIFS(T_TTAFStock_Log[Part Name],$A21,T_TTAFStock_Log[WeekIndex],71)=0,"",SUMIFS(T_TTAFStock_Log[TTAF_Qty],T_TTAFStock_Log[Part Name],$A21,T_TTAFStock_Log[WeekIndex],71))</f>
        <v/>
      </c>
      <c r="BU21" s="18">
        <f>IF(COUNTIFS(T_TTAFStock_Log[Part Name],$A21,T_TTAFStock_Log[WeekIndex],72)=0,"",SUMIFS(T_TTAFStock_Log[TTAF_Qty],T_TTAFStock_Log[Part Name],$A21,T_TTAFStock_Log[WeekIndex],72))</f>
        <v/>
      </c>
      <c r="BV21" s="18">
        <f>IF(COUNTIFS(T_TTAFStock_Log[Part Name],$A21,T_TTAFStock_Log[WeekIndex],73)=0,"",SUMIFS(T_TTAFStock_Log[TTAF_Qty],T_TTAFStock_Log[Part Name],$A21,T_TTAFStock_Log[WeekIndex],73))</f>
        <v/>
      </c>
      <c r="BW21" s="18">
        <f>IF(COUNTIFS(T_TTAFStock_Log[Part Name],$A21,T_TTAFStock_Log[WeekIndex],74)=0,"",SUMIFS(T_TTAFStock_Log[TTAF_Qty],T_TTAFStock_Log[Part Name],$A21,T_TTAFStock_Log[WeekIndex],74))</f>
        <v/>
      </c>
      <c r="BX21" s="18">
        <f>IF(COUNTIFS(T_TTAFStock_Log[Part Name],$A21,T_TTAFStock_Log[WeekIndex],75)=0,"",SUMIFS(T_TTAFStock_Log[TTAF_Qty],T_TTAFStock_Log[Part Name],$A21,T_TTAFStock_Log[WeekIndex],75))</f>
        <v/>
      </c>
      <c r="BY21" s="18">
        <f>IF(COUNTIFS(T_TTAFStock_Log[Part Name],$A21,T_TTAFStock_Log[WeekIndex],76)=0,"",SUMIFS(T_TTAFStock_Log[TTAF_Qty],T_TTAFStock_Log[Part Name],$A21,T_TTAFStock_Log[WeekIndex],76))</f>
        <v/>
      </c>
      <c r="BZ21" s="18">
        <f>IF(COUNTIFS(T_TTAFStock_Log[Part Name],$A21,T_TTAFStock_Log[WeekIndex],77)=0,"",SUMIFS(T_TTAFStock_Log[TTAF_Qty],T_TTAFStock_Log[Part Name],$A21,T_TTAFStock_Log[WeekIndex],77))</f>
        <v/>
      </c>
      <c r="CA21" s="18">
        <f>IF(COUNTIFS(T_TTAFStock_Log[Part Name],$A21,T_TTAFStock_Log[WeekIndex],78)=0,"",SUMIFS(T_TTAFStock_Log[TTAF_Qty],T_TTAFStock_Log[Part Name],$A21,T_TTAFStock_Log[WeekIndex],78))</f>
        <v/>
      </c>
      <c r="CB21" s="18">
        <f>IF(COUNTIFS(T_TTAFStock_Log[Part Name],$A21,T_TTAFStock_Log[WeekIndex],79)=0,"",SUMIFS(T_TTAFStock_Log[TTAF_Qty],T_TTAFStock_Log[Part Name],$A21,T_TTAFStock_Log[WeekIndex],79))</f>
        <v/>
      </c>
      <c r="CC21" s="18">
        <f>IF(COUNTIFS(T_TTAFStock_Log[Part Name],$A21,T_TTAFStock_Log[WeekIndex],80)=0,"",SUMIFS(T_TTAFStock_Log[TTAF_Qty],T_TTAFStock_Log[Part Name],$A21,T_TTAFStock_Log[WeekIndex],80))</f>
        <v/>
      </c>
      <c r="CD21" s="18">
        <f>IF(COUNTIFS(T_TTAFStock_Log[Part Name],$A21,T_TTAFStock_Log[WeekIndex],81)=0,"",SUMIFS(T_TTAFStock_Log[TTAF_Qty],T_TTAFStock_Log[Part Name],$A21,T_TTAFStock_Log[WeekIndex],81))</f>
        <v/>
      </c>
      <c r="CE21" s="18">
        <f>IF(COUNTIFS(T_TTAFStock_Log[Part Name],$A21,T_TTAFStock_Log[WeekIndex],82)=0,"",SUMIFS(T_TTAFStock_Log[TTAF_Qty],T_TTAFStock_Log[Part Name],$A21,T_TTAFStock_Log[WeekIndex],82))</f>
        <v/>
      </c>
      <c r="CF21" s="18">
        <f>IF(COUNTIFS(T_TTAFStock_Log[Part Name],$A21,T_TTAFStock_Log[WeekIndex],83)=0,"",SUMIFS(T_TTAFStock_Log[TTAF_Qty],T_TTAFStock_Log[Part Name],$A21,T_TTAFStock_Log[WeekIndex],83))</f>
        <v/>
      </c>
      <c r="CG21" s="18">
        <f>IF(COUNTIFS(T_TTAFStock_Log[Part Name],$A21,T_TTAFStock_Log[WeekIndex],84)=0,"",SUMIFS(T_TTAFStock_Log[TTAF_Qty],T_TTAFStock_Log[Part Name],$A21,T_TTAFStock_Log[WeekIndex],84))</f>
        <v/>
      </c>
      <c r="CH21" s="18">
        <f>IF(COUNTIFS(T_TTAFStock_Log[Part Name],$A21,T_TTAFStock_Log[WeekIndex],85)=0,"",SUMIFS(T_TTAFStock_Log[TTAF_Qty],T_TTAFStock_Log[Part Name],$A21,T_TTAFStock_Log[WeekIndex],85))</f>
        <v/>
      </c>
      <c r="CI21" s="18">
        <f>IF(COUNTIFS(T_TTAFStock_Log[Part Name],$A21,T_TTAFStock_Log[WeekIndex],86)=0,"",SUMIFS(T_TTAFStock_Log[TTAF_Qty],T_TTAFStock_Log[Part Name],$A21,T_TTAFStock_Log[WeekIndex],86))</f>
        <v/>
      </c>
      <c r="CJ21" s="18">
        <f>IF(COUNTIFS(T_TTAFStock_Log[Part Name],$A21,T_TTAFStock_Log[WeekIndex],87)=0,"",SUMIFS(T_TTAFStock_Log[TTAF_Qty],T_TTAFStock_Log[Part Name],$A21,T_TTAFStock_Log[WeekIndex],87))</f>
        <v/>
      </c>
      <c r="CK21" s="18">
        <f>IF(COUNTIFS(T_TTAFStock_Log[Part Name],$A21,T_TTAFStock_Log[WeekIndex],88)=0,"",SUMIFS(T_TTAFStock_Log[TTAF_Qty],T_TTAFStock_Log[Part Name],$A21,T_TTAFStock_Log[WeekIndex],88))</f>
        <v/>
      </c>
      <c r="CL21" s="18">
        <f>IF(COUNTIFS(T_TTAFStock_Log[Part Name],$A21,T_TTAFStock_Log[WeekIndex],89)=0,"",SUMIFS(T_TTAFStock_Log[TTAF_Qty],T_TTAFStock_Log[Part Name],$A21,T_TTAFStock_Log[WeekIndex],89))</f>
        <v/>
      </c>
      <c r="CM21" s="18">
        <f>IF(COUNTIFS(T_TTAFStock_Log[Part Name],$A21,T_TTAFStock_Log[WeekIndex],90)=0,"",SUMIFS(T_TTAFStock_Log[TTAF_Qty],T_TTAFStock_Log[Part Name],$A21,T_TTAFStock_Log[WeekIndex],90))</f>
        <v/>
      </c>
      <c r="CN21" s="18">
        <f>IF(COUNTIFS(T_TTAFStock_Log[Part Name],$A21,T_TTAFStock_Log[WeekIndex],91)=0,"",SUMIFS(T_TTAFStock_Log[TTAF_Qty],T_TTAFStock_Log[Part Name],$A21,T_TTAFStock_Log[WeekIndex],91))</f>
        <v/>
      </c>
      <c r="CO21" s="18">
        <f>IF(COUNTIFS(T_TTAFStock_Log[Part Name],$A21,T_TTAFStock_Log[WeekIndex],92)=0,"",SUMIFS(T_TTAFStock_Log[TTAF_Qty],T_TTAFStock_Log[Part Name],$A21,T_TTAFStock_Log[WeekIndex],92))</f>
        <v/>
      </c>
      <c r="CP21" s="18">
        <f>IF(COUNTIFS(T_TTAFStock_Log[Part Name],$A21,T_TTAFStock_Log[WeekIndex],93)=0,"",SUMIFS(T_TTAFStock_Log[TTAF_Qty],T_TTAFStock_Log[Part Name],$A21,T_TTAFStock_Log[WeekIndex],93))</f>
        <v/>
      </c>
      <c r="CQ21" s="18">
        <f>IF(COUNTIFS(T_TTAFStock_Log[Part Name],$A21,T_TTAFStock_Log[WeekIndex],94)=0,"",SUMIFS(T_TTAFStock_Log[TTAF_Qty],T_TTAFStock_Log[Part Name],$A21,T_TTAFStock_Log[WeekIndex],94))</f>
        <v/>
      </c>
      <c r="CR21" s="18">
        <f>IF(COUNTIFS(T_TTAFStock_Log[Part Name],$A21,T_TTAFStock_Log[WeekIndex],95)=0,"",SUMIFS(T_TTAFStock_Log[TTAF_Qty],T_TTAFStock_Log[Part Name],$A21,T_TTAFStock_Log[WeekIndex],95))</f>
        <v/>
      </c>
      <c r="CS21" s="18">
        <f>IF(COUNTIFS(T_TTAFStock_Log[Part Name],$A21,T_TTAFStock_Log[WeekIndex],96)=0,"",SUMIFS(T_TTAFStock_Log[TTAF_Qty],T_TTAFStock_Log[Part Name],$A21,T_TTAFStock_Log[WeekIndex],96))</f>
        <v/>
      </c>
      <c r="CT21" s="18">
        <f>IF(COUNTIFS(T_TTAFStock_Log[Part Name],$A21,T_TTAFStock_Log[WeekIndex],97)=0,"",SUMIFS(T_TTAFStock_Log[TTAF_Qty],T_TTAFStock_Log[Part Name],$A21,T_TTAFStock_Log[WeekIndex],97))</f>
        <v/>
      </c>
      <c r="CU21" s="18">
        <f>IF(COUNTIFS(T_TTAFStock_Log[Part Name],$A21,T_TTAFStock_Log[WeekIndex],98)=0,"",SUMIFS(T_TTAFStock_Log[TTAF_Qty],T_TTAFStock_Log[Part Name],$A21,T_TTAFStock_Log[WeekIndex],98))</f>
        <v/>
      </c>
      <c r="CV21" s="18">
        <f>IF(COUNTIFS(T_TTAFStock_Log[Part Name],$A21,T_TTAFStock_Log[WeekIndex],99)=0,"",SUMIFS(T_TTAFStock_Log[TTAF_Qty],T_TTAFStock_Log[Part Name],$A21,T_TTAFStock_Log[WeekIndex],99))</f>
        <v/>
      </c>
      <c r="CW21" s="18">
        <f>IF(COUNTIFS(T_TTAFStock_Log[Part Name],$A21,T_TTAFStock_Log[WeekIndex],100)=0,"",SUMIFS(T_TTAFStock_Log[TTAF_Qty],T_TTAFStock_Log[Part Name],$A21,T_TTAFStock_Log[WeekIndex],100))</f>
        <v/>
      </c>
      <c r="CX21" s="18">
        <f>IF(COUNTIFS(T_TTAFStock_Log[Part Name],$A21,T_TTAFStock_Log[WeekIndex],101)=0,"",SUMIFS(T_TTAFStock_Log[TTAF_Qty],T_TTAFStock_Log[Part Name],$A21,T_TTAFStock_Log[WeekIndex],101))</f>
        <v/>
      </c>
      <c r="CY21" s="18">
        <f>IF(COUNTIFS(T_TTAFStock_Log[Part Name],$A21,T_TTAFStock_Log[WeekIndex],102)=0,"",SUMIFS(T_TTAFStock_Log[TTAF_Qty],T_TTAFStock_Log[Part Name],$A21,T_TTAFStock_Log[WeekIndex],102))</f>
        <v/>
      </c>
      <c r="CZ21" s="18">
        <f>IF(COUNTIFS(T_TTAFStock_Log[Part Name],$A21,T_TTAFStock_Log[WeekIndex],103)=0,"",SUMIFS(T_TTAFStock_Log[TTAF_Qty],T_TTAFStock_Log[Part Name],$A21,T_TTAFStock_Log[WeekIndex],103))</f>
        <v/>
      </c>
      <c r="DA21" s="18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CHEM-1660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8" t="inlineStr">
        <is>
          <t>CHEM-1600</t>
        </is>
      </c>
      <c r="B23" s="18">
        <f>IF(COUNTIFS(T_TTAFStock_Log[Part Name],$A23,T_TTAFStock_Log[WeekIndex],1)=0,"",SUMIFS(T_TTAFStock_Log[TTAF_Qty],T_TTAFStock_Log[Part Name],$A23,T_TTAFStock_Log[WeekIndex],1))</f>
        <v/>
      </c>
      <c r="C23" s="18">
        <f>IF(COUNTIFS(T_TTAFStock_Log[Part Name],$A23,T_TTAFStock_Log[WeekIndex],2)=0,"",SUMIFS(T_TTAFStock_Log[TTAF_Qty],T_TTAFStock_Log[Part Name],$A23,T_TTAFStock_Log[WeekIndex],2))</f>
        <v/>
      </c>
      <c r="D23" s="18">
        <f>IF(COUNTIFS(T_TTAFStock_Log[Part Name],$A23,T_TTAFStock_Log[WeekIndex],3)=0,"",SUMIFS(T_TTAFStock_Log[TTAF_Qty],T_TTAFStock_Log[Part Name],$A23,T_TTAFStock_Log[WeekIndex],3))</f>
        <v/>
      </c>
      <c r="E23" s="18">
        <f>IF(COUNTIFS(T_TTAFStock_Log[Part Name],$A23,T_TTAFStock_Log[WeekIndex],4)=0,"",SUMIFS(T_TTAFStock_Log[TTAF_Qty],T_TTAFStock_Log[Part Name],$A23,T_TTAFStock_Log[WeekIndex],4))</f>
        <v/>
      </c>
      <c r="F23" s="18">
        <f>IF(COUNTIFS(T_TTAFStock_Log[Part Name],$A23,T_TTAFStock_Log[WeekIndex],5)=0,"",SUMIFS(T_TTAFStock_Log[TTAF_Qty],T_TTAFStock_Log[Part Name],$A23,T_TTAFStock_Log[WeekIndex],5))</f>
        <v/>
      </c>
      <c r="G23" s="18">
        <f>IF(COUNTIFS(T_TTAFStock_Log[Part Name],$A23,T_TTAFStock_Log[WeekIndex],6)=0,"",SUMIFS(T_TTAFStock_Log[TTAF_Qty],T_TTAFStock_Log[Part Name],$A23,T_TTAFStock_Log[WeekIndex],6))</f>
        <v/>
      </c>
      <c r="H23" s="18">
        <f>IF(COUNTIFS(T_TTAFStock_Log[Part Name],$A23,T_TTAFStock_Log[WeekIndex],7)=0,"",SUMIFS(T_TTAFStock_Log[TTAF_Qty],T_TTAFStock_Log[Part Name],$A23,T_TTAFStock_Log[WeekIndex],7))</f>
        <v/>
      </c>
      <c r="I23" s="18">
        <f>IF(COUNTIFS(T_TTAFStock_Log[Part Name],$A23,T_TTAFStock_Log[WeekIndex],8)=0,"",SUMIFS(T_TTAFStock_Log[TTAF_Qty],T_TTAFStock_Log[Part Name],$A23,T_TTAFStock_Log[WeekIndex],8))</f>
        <v/>
      </c>
      <c r="J23" s="18">
        <f>IF(COUNTIFS(T_TTAFStock_Log[Part Name],$A23,T_TTAFStock_Log[WeekIndex],9)=0,"",SUMIFS(T_TTAFStock_Log[TTAF_Qty],T_TTAFStock_Log[Part Name],$A23,T_TTAFStock_Log[WeekIndex],9))</f>
        <v/>
      </c>
      <c r="K23" s="18">
        <f>IF(COUNTIFS(T_TTAFStock_Log[Part Name],$A23,T_TTAFStock_Log[WeekIndex],10)=0,"",SUMIFS(T_TTAFStock_Log[TTAF_Qty],T_TTAFStock_Log[Part Name],$A23,T_TTAFStock_Log[WeekIndex],10))</f>
        <v/>
      </c>
      <c r="L23" s="18">
        <f>IF(COUNTIFS(T_TTAFStock_Log[Part Name],$A23,T_TTAFStock_Log[WeekIndex],11)=0,"",SUMIFS(T_TTAFStock_Log[TTAF_Qty],T_TTAFStock_Log[Part Name],$A23,T_TTAFStock_Log[WeekIndex],11))</f>
        <v/>
      </c>
      <c r="M23" s="18">
        <f>IF(COUNTIFS(T_TTAFStock_Log[Part Name],$A23,T_TTAFStock_Log[WeekIndex],12)=0,"",SUMIFS(T_TTAFStock_Log[TTAF_Qty],T_TTAFStock_Log[Part Name],$A23,T_TTAFStock_Log[WeekIndex],12))</f>
        <v/>
      </c>
      <c r="N23" s="18">
        <f>IF(COUNTIFS(T_TTAFStock_Log[Part Name],$A23,T_TTAFStock_Log[WeekIndex],13)=0,"",SUMIFS(T_TTAFStock_Log[TTAF_Qty],T_TTAFStock_Log[Part Name],$A23,T_TTAFStock_Log[WeekIndex],13))</f>
        <v/>
      </c>
      <c r="O23" s="18">
        <f>IF(COUNTIFS(T_TTAFStock_Log[Part Name],$A23,T_TTAFStock_Log[WeekIndex],14)=0,"",SUMIFS(T_TTAFStock_Log[TTAF_Qty],T_TTAFStock_Log[Part Name],$A23,T_TTAFStock_Log[WeekIndex],14))</f>
        <v/>
      </c>
      <c r="P23" s="18">
        <f>IF(COUNTIFS(T_TTAFStock_Log[Part Name],$A23,T_TTAFStock_Log[WeekIndex],15)=0,"",SUMIFS(T_TTAFStock_Log[TTAF_Qty],T_TTAFStock_Log[Part Name],$A23,T_TTAFStock_Log[WeekIndex],15))</f>
        <v/>
      </c>
      <c r="Q23" s="18">
        <f>IF(COUNTIFS(T_TTAFStock_Log[Part Name],$A23,T_TTAFStock_Log[WeekIndex],16)=0,"",SUMIFS(T_TTAFStock_Log[TTAF_Qty],T_TTAFStock_Log[Part Name],$A23,T_TTAFStock_Log[WeekIndex],16))</f>
        <v/>
      </c>
      <c r="R23" s="18">
        <f>IF(COUNTIFS(T_TTAFStock_Log[Part Name],$A23,T_TTAFStock_Log[WeekIndex],17)=0,"",SUMIFS(T_TTAFStock_Log[TTAF_Qty],T_TTAFStock_Log[Part Name],$A23,T_TTAFStock_Log[WeekIndex],17))</f>
        <v/>
      </c>
      <c r="S23" s="18">
        <f>IF(COUNTIFS(T_TTAFStock_Log[Part Name],$A23,T_TTAFStock_Log[WeekIndex],18)=0,"",SUMIFS(T_TTAFStock_Log[TTAF_Qty],T_TTAFStock_Log[Part Name],$A23,T_TTAFStock_Log[WeekIndex],18))</f>
        <v/>
      </c>
      <c r="T23" s="18">
        <f>IF(COUNTIFS(T_TTAFStock_Log[Part Name],$A23,T_TTAFStock_Log[WeekIndex],19)=0,"",SUMIFS(T_TTAFStock_Log[TTAF_Qty],T_TTAFStock_Log[Part Name],$A23,T_TTAFStock_Log[WeekIndex],19))</f>
        <v/>
      </c>
      <c r="U23" s="18">
        <f>IF(COUNTIFS(T_TTAFStock_Log[Part Name],$A23,T_TTAFStock_Log[WeekIndex],20)=0,"",SUMIFS(T_TTAFStock_Log[TTAF_Qty],T_TTAFStock_Log[Part Name],$A23,T_TTAFStock_Log[WeekIndex],20))</f>
        <v/>
      </c>
      <c r="V23" s="18">
        <f>IF(COUNTIFS(T_TTAFStock_Log[Part Name],$A23,T_TTAFStock_Log[WeekIndex],21)=0,"",SUMIFS(T_TTAFStock_Log[TTAF_Qty],T_TTAFStock_Log[Part Name],$A23,T_TTAFStock_Log[WeekIndex],21))</f>
        <v/>
      </c>
      <c r="W23" s="18">
        <f>IF(COUNTIFS(T_TTAFStock_Log[Part Name],$A23,T_TTAFStock_Log[WeekIndex],22)=0,"",SUMIFS(T_TTAFStock_Log[TTAF_Qty],T_TTAFStock_Log[Part Name],$A23,T_TTAFStock_Log[WeekIndex],22))</f>
        <v/>
      </c>
      <c r="X23" s="18">
        <f>IF(COUNTIFS(T_TTAFStock_Log[Part Name],$A23,T_TTAFStock_Log[WeekIndex],23)=0,"",SUMIFS(T_TTAFStock_Log[TTAF_Qty],T_TTAFStock_Log[Part Name],$A23,T_TTAFStock_Log[WeekIndex],23))</f>
        <v/>
      </c>
      <c r="Y23" s="18">
        <f>IF(COUNTIFS(T_TTAFStock_Log[Part Name],$A23,T_TTAFStock_Log[WeekIndex],24)=0,"",SUMIFS(T_TTAFStock_Log[TTAF_Qty],T_TTAFStock_Log[Part Name],$A23,T_TTAFStock_Log[WeekIndex],24))</f>
        <v/>
      </c>
      <c r="Z23" s="18">
        <f>IF(COUNTIFS(T_TTAFStock_Log[Part Name],$A23,T_TTAFStock_Log[WeekIndex],25)=0,"",SUMIFS(T_TTAFStock_Log[TTAF_Qty],T_TTAFStock_Log[Part Name],$A23,T_TTAFStock_Log[WeekIndex],25))</f>
        <v/>
      </c>
      <c r="AA23" s="18">
        <f>IF(COUNTIFS(T_TTAFStock_Log[Part Name],$A23,T_TTAFStock_Log[WeekIndex],26)=0,"",SUMIFS(T_TTAFStock_Log[TTAF_Qty],T_TTAFStock_Log[Part Name],$A23,T_TTAFStock_Log[WeekIndex],26))</f>
        <v/>
      </c>
      <c r="AB23" s="18">
        <f>IF(COUNTIFS(T_TTAFStock_Log[Part Name],$A23,T_TTAFStock_Log[WeekIndex],27)=0,"",SUMIFS(T_TTAFStock_Log[TTAF_Qty],T_TTAFStock_Log[Part Name],$A23,T_TTAFStock_Log[WeekIndex],27))</f>
        <v/>
      </c>
      <c r="AC23" s="18">
        <f>IF(COUNTIFS(T_TTAFStock_Log[Part Name],$A23,T_TTAFStock_Log[WeekIndex],28)=0,"",SUMIFS(T_TTAFStock_Log[TTAF_Qty],T_TTAFStock_Log[Part Name],$A23,T_TTAFStock_Log[WeekIndex],28))</f>
        <v/>
      </c>
      <c r="AD23" s="18">
        <f>IF(COUNTIFS(T_TTAFStock_Log[Part Name],$A23,T_TTAFStock_Log[WeekIndex],29)=0,"",SUMIFS(T_TTAFStock_Log[TTAF_Qty],T_TTAFStock_Log[Part Name],$A23,T_TTAFStock_Log[WeekIndex],29))</f>
        <v/>
      </c>
      <c r="AE23" s="18">
        <f>IF(COUNTIFS(T_TTAFStock_Log[Part Name],$A23,T_TTAFStock_Log[WeekIndex],30)=0,"",SUMIFS(T_TTAFStock_Log[TTAF_Qty],T_TTAFStock_Log[Part Name],$A23,T_TTAFStock_Log[WeekIndex],30))</f>
        <v/>
      </c>
      <c r="AF23" s="18">
        <f>IF(COUNTIFS(T_TTAFStock_Log[Part Name],$A23,T_TTAFStock_Log[WeekIndex],31)=0,"",SUMIFS(T_TTAFStock_Log[TTAF_Qty],T_TTAFStock_Log[Part Name],$A23,T_TTAFStock_Log[WeekIndex],31))</f>
        <v/>
      </c>
      <c r="AG23" s="18">
        <f>IF(COUNTIFS(T_TTAFStock_Log[Part Name],$A23,T_TTAFStock_Log[WeekIndex],32)=0,"",SUMIFS(T_TTAFStock_Log[TTAF_Qty],T_TTAFStock_Log[Part Name],$A23,T_TTAFStock_Log[WeekIndex],32))</f>
        <v/>
      </c>
      <c r="AH23" s="18">
        <f>IF(COUNTIFS(T_TTAFStock_Log[Part Name],$A23,T_TTAFStock_Log[WeekIndex],33)=0,"",SUMIFS(T_TTAFStock_Log[TTAF_Qty],T_TTAFStock_Log[Part Name],$A23,T_TTAFStock_Log[WeekIndex],33))</f>
        <v/>
      </c>
      <c r="AI23" s="18">
        <f>IF(COUNTIFS(T_TTAFStock_Log[Part Name],$A23,T_TTAFStock_Log[WeekIndex],34)=0,"",SUMIFS(T_TTAFStock_Log[TTAF_Qty],T_TTAFStock_Log[Part Name],$A23,T_TTAFStock_Log[WeekIndex],34))</f>
        <v/>
      </c>
      <c r="AJ23" s="18">
        <f>IF(COUNTIFS(T_TTAFStock_Log[Part Name],$A23,T_TTAFStock_Log[WeekIndex],35)=0,"",SUMIFS(T_TTAFStock_Log[TTAF_Qty],T_TTAFStock_Log[Part Name],$A23,T_TTAFStock_Log[WeekIndex],35))</f>
        <v/>
      </c>
      <c r="AK23" s="18">
        <f>IF(COUNTIFS(T_TTAFStock_Log[Part Name],$A23,T_TTAFStock_Log[WeekIndex],36)=0,"",SUMIFS(T_TTAFStock_Log[TTAF_Qty],T_TTAFStock_Log[Part Name],$A23,T_TTAFStock_Log[WeekIndex],36))</f>
        <v/>
      </c>
      <c r="AL23" s="18">
        <f>IF(COUNTIFS(T_TTAFStock_Log[Part Name],$A23,T_TTAFStock_Log[WeekIndex],37)=0,"",SUMIFS(T_TTAFStock_Log[TTAF_Qty],T_TTAFStock_Log[Part Name],$A23,T_TTAFStock_Log[WeekIndex],37))</f>
        <v/>
      </c>
      <c r="AM23" s="18">
        <f>IF(COUNTIFS(T_TTAFStock_Log[Part Name],$A23,T_TTAFStock_Log[WeekIndex],38)=0,"",SUMIFS(T_TTAFStock_Log[TTAF_Qty],T_TTAFStock_Log[Part Name],$A23,T_TTAFStock_Log[WeekIndex],38))</f>
        <v/>
      </c>
      <c r="AN23" s="18">
        <f>IF(COUNTIFS(T_TTAFStock_Log[Part Name],$A23,T_TTAFStock_Log[WeekIndex],39)=0,"",SUMIFS(T_TTAFStock_Log[TTAF_Qty],T_TTAFStock_Log[Part Name],$A23,T_TTAFStock_Log[WeekIndex],39))</f>
        <v/>
      </c>
      <c r="AO23" s="18">
        <f>IF(COUNTIFS(T_TTAFStock_Log[Part Name],$A23,T_TTAFStock_Log[WeekIndex],40)=0,"",SUMIFS(T_TTAFStock_Log[TTAF_Qty],T_TTAFStock_Log[Part Name],$A23,T_TTAFStock_Log[WeekIndex],40))</f>
        <v/>
      </c>
      <c r="AP23" s="18">
        <f>IF(COUNTIFS(T_TTAFStock_Log[Part Name],$A23,T_TTAFStock_Log[WeekIndex],41)=0,"",SUMIFS(T_TTAFStock_Log[TTAF_Qty],T_TTAFStock_Log[Part Name],$A23,T_TTAFStock_Log[WeekIndex],41))</f>
        <v/>
      </c>
      <c r="AQ23" s="18">
        <f>IF(COUNTIFS(T_TTAFStock_Log[Part Name],$A23,T_TTAFStock_Log[WeekIndex],42)=0,"",SUMIFS(T_TTAFStock_Log[TTAF_Qty],T_TTAFStock_Log[Part Name],$A23,T_TTAFStock_Log[WeekIndex],42))</f>
        <v/>
      </c>
      <c r="AR23" s="18">
        <f>IF(COUNTIFS(T_TTAFStock_Log[Part Name],$A23,T_TTAFStock_Log[WeekIndex],43)=0,"",SUMIFS(T_TTAFStock_Log[TTAF_Qty],T_TTAFStock_Log[Part Name],$A23,T_TTAFStock_Log[WeekIndex],43))</f>
        <v/>
      </c>
      <c r="AS23" s="18">
        <f>IF(COUNTIFS(T_TTAFStock_Log[Part Name],$A23,T_TTAFStock_Log[WeekIndex],44)=0,"",SUMIFS(T_TTAFStock_Log[TTAF_Qty],T_TTAFStock_Log[Part Name],$A23,T_TTAFStock_Log[WeekIndex],44))</f>
        <v/>
      </c>
      <c r="AT23" s="18">
        <f>IF(COUNTIFS(T_TTAFStock_Log[Part Name],$A23,T_TTAFStock_Log[WeekIndex],45)=0,"",SUMIFS(T_TTAFStock_Log[TTAF_Qty],T_TTAFStock_Log[Part Name],$A23,T_TTAFStock_Log[WeekIndex],45))</f>
        <v/>
      </c>
      <c r="AU23" s="18">
        <f>IF(COUNTIFS(T_TTAFStock_Log[Part Name],$A23,T_TTAFStock_Log[WeekIndex],46)=0,"",SUMIFS(T_TTAFStock_Log[TTAF_Qty],T_TTAFStock_Log[Part Name],$A23,T_TTAFStock_Log[WeekIndex],46))</f>
        <v/>
      </c>
      <c r="AV23" s="18">
        <f>IF(COUNTIFS(T_TTAFStock_Log[Part Name],$A23,T_TTAFStock_Log[WeekIndex],47)=0,"",SUMIFS(T_TTAFStock_Log[TTAF_Qty],T_TTAFStock_Log[Part Name],$A23,T_TTAFStock_Log[WeekIndex],47))</f>
        <v/>
      </c>
      <c r="AW23" s="18">
        <f>IF(COUNTIFS(T_TTAFStock_Log[Part Name],$A23,T_TTAFStock_Log[WeekIndex],48)=0,"",SUMIFS(T_TTAFStock_Log[TTAF_Qty],T_TTAFStock_Log[Part Name],$A23,T_TTAFStock_Log[WeekIndex],48))</f>
        <v/>
      </c>
      <c r="AX23" s="18">
        <f>IF(COUNTIFS(T_TTAFStock_Log[Part Name],$A23,T_TTAFStock_Log[WeekIndex],49)=0,"",SUMIFS(T_TTAFStock_Log[TTAF_Qty],T_TTAFStock_Log[Part Name],$A23,T_TTAFStock_Log[WeekIndex],49))</f>
        <v/>
      </c>
      <c r="AY23" s="18">
        <f>IF(COUNTIFS(T_TTAFStock_Log[Part Name],$A23,T_TTAFStock_Log[WeekIndex],50)=0,"",SUMIFS(T_TTAFStock_Log[TTAF_Qty],T_TTAFStock_Log[Part Name],$A23,T_TTAFStock_Log[WeekIndex],50))</f>
        <v/>
      </c>
      <c r="AZ23" s="18">
        <f>IF(COUNTIFS(T_TTAFStock_Log[Part Name],$A23,T_TTAFStock_Log[WeekIndex],51)=0,"",SUMIFS(T_TTAFStock_Log[TTAF_Qty],T_TTAFStock_Log[Part Name],$A23,T_TTAFStock_Log[WeekIndex],51))</f>
        <v/>
      </c>
      <c r="BA23" s="18">
        <f>IF(COUNTIFS(T_TTAFStock_Log[Part Name],$A23,T_TTAFStock_Log[WeekIndex],52)=0,"",SUMIFS(T_TTAFStock_Log[TTAF_Qty],T_TTAFStock_Log[Part Name],$A23,T_TTAFStock_Log[WeekIndex],52))</f>
        <v/>
      </c>
      <c r="BB23" s="18">
        <f>IF(COUNTIFS(T_TTAFStock_Log[Part Name],$A23,T_TTAFStock_Log[WeekIndex],53)=0,"",SUMIFS(T_TTAFStock_Log[TTAF_Qty],T_TTAFStock_Log[Part Name],$A23,T_TTAFStock_Log[WeekIndex],53))</f>
        <v/>
      </c>
      <c r="BC23" s="18">
        <f>IF(COUNTIFS(T_TTAFStock_Log[Part Name],$A23,T_TTAFStock_Log[WeekIndex],54)=0,"",SUMIFS(T_TTAFStock_Log[TTAF_Qty],T_TTAFStock_Log[Part Name],$A23,T_TTAFStock_Log[WeekIndex],54))</f>
        <v/>
      </c>
      <c r="BD23" s="18">
        <f>IF(COUNTIFS(T_TTAFStock_Log[Part Name],$A23,T_TTAFStock_Log[WeekIndex],55)=0,"",SUMIFS(T_TTAFStock_Log[TTAF_Qty],T_TTAFStock_Log[Part Name],$A23,T_TTAFStock_Log[WeekIndex],55))</f>
        <v/>
      </c>
      <c r="BE23" s="18">
        <f>IF(COUNTIFS(T_TTAFStock_Log[Part Name],$A23,T_TTAFStock_Log[WeekIndex],56)=0,"",SUMIFS(T_TTAFStock_Log[TTAF_Qty],T_TTAFStock_Log[Part Name],$A23,T_TTAFStock_Log[WeekIndex],56))</f>
        <v/>
      </c>
      <c r="BF23" s="18">
        <f>IF(COUNTIFS(T_TTAFStock_Log[Part Name],$A23,T_TTAFStock_Log[WeekIndex],57)=0,"",SUMIFS(T_TTAFStock_Log[TTAF_Qty],T_TTAFStock_Log[Part Name],$A23,T_TTAFStock_Log[WeekIndex],57))</f>
        <v/>
      </c>
      <c r="BG23" s="18">
        <f>IF(COUNTIFS(T_TTAFStock_Log[Part Name],$A23,T_TTAFStock_Log[WeekIndex],58)=0,"",SUMIFS(T_TTAFStock_Log[TTAF_Qty],T_TTAFStock_Log[Part Name],$A23,T_TTAFStock_Log[WeekIndex],58))</f>
        <v/>
      </c>
      <c r="BH23" s="18">
        <f>IF(COUNTIFS(T_TTAFStock_Log[Part Name],$A23,T_TTAFStock_Log[WeekIndex],59)=0,"",SUMIFS(T_TTAFStock_Log[TTAF_Qty],T_TTAFStock_Log[Part Name],$A23,T_TTAFStock_Log[WeekIndex],59))</f>
        <v/>
      </c>
      <c r="BI23" s="18">
        <f>IF(COUNTIFS(T_TTAFStock_Log[Part Name],$A23,T_TTAFStock_Log[WeekIndex],60)=0,"",SUMIFS(T_TTAFStock_Log[TTAF_Qty],T_TTAFStock_Log[Part Name],$A23,T_TTAFStock_Log[WeekIndex],60))</f>
        <v/>
      </c>
      <c r="BJ23" s="18">
        <f>IF(COUNTIFS(T_TTAFStock_Log[Part Name],$A23,T_TTAFStock_Log[WeekIndex],61)=0,"",SUMIFS(T_TTAFStock_Log[TTAF_Qty],T_TTAFStock_Log[Part Name],$A23,T_TTAFStock_Log[WeekIndex],61))</f>
        <v/>
      </c>
      <c r="BK23" s="18">
        <f>IF(COUNTIFS(T_TTAFStock_Log[Part Name],$A23,T_TTAFStock_Log[WeekIndex],62)=0,"",SUMIFS(T_TTAFStock_Log[TTAF_Qty],T_TTAFStock_Log[Part Name],$A23,T_TTAFStock_Log[WeekIndex],62))</f>
        <v/>
      </c>
      <c r="BL23" s="18">
        <f>IF(COUNTIFS(T_TTAFStock_Log[Part Name],$A23,T_TTAFStock_Log[WeekIndex],63)=0,"",SUMIFS(T_TTAFStock_Log[TTAF_Qty],T_TTAFStock_Log[Part Name],$A23,T_TTAFStock_Log[WeekIndex],63))</f>
        <v/>
      </c>
      <c r="BM23" s="18">
        <f>IF(COUNTIFS(T_TTAFStock_Log[Part Name],$A23,T_TTAFStock_Log[WeekIndex],64)=0,"",SUMIFS(T_TTAFStock_Log[TTAF_Qty],T_TTAFStock_Log[Part Name],$A23,T_TTAFStock_Log[WeekIndex],64))</f>
        <v/>
      </c>
      <c r="BN23" s="18">
        <f>IF(COUNTIFS(T_TTAFStock_Log[Part Name],$A23,T_TTAFStock_Log[WeekIndex],65)=0,"",SUMIFS(T_TTAFStock_Log[TTAF_Qty],T_TTAFStock_Log[Part Name],$A23,T_TTAFStock_Log[WeekIndex],65))</f>
        <v/>
      </c>
      <c r="BO23" s="18">
        <f>IF(COUNTIFS(T_TTAFStock_Log[Part Name],$A23,T_TTAFStock_Log[WeekIndex],66)=0,"",SUMIFS(T_TTAFStock_Log[TTAF_Qty],T_TTAFStock_Log[Part Name],$A23,T_TTAFStock_Log[WeekIndex],66))</f>
        <v/>
      </c>
      <c r="BP23" s="18">
        <f>IF(COUNTIFS(T_TTAFStock_Log[Part Name],$A23,T_TTAFStock_Log[WeekIndex],67)=0,"",SUMIFS(T_TTAFStock_Log[TTAF_Qty],T_TTAFStock_Log[Part Name],$A23,T_TTAFStock_Log[WeekIndex],67))</f>
        <v/>
      </c>
      <c r="BQ23" s="18">
        <f>IF(COUNTIFS(T_TTAFStock_Log[Part Name],$A23,T_TTAFStock_Log[WeekIndex],68)=0,"",SUMIFS(T_TTAFStock_Log[TTAF_Qty],T_TTAFStock_Log[Part Name],$A23,T_TTAFStock_Log[WeekIndex],68))</f>
        <v/>
      </c>
      <c r="BR23" s="18">
        <f>IF(COUNTIFS(T_TTAFStock_Log[Part Name],$A23,T_TTAFStock_Log[WeekIndex],69)=0,"",SUMIFS(T_TTAFStock_Log[TTAF_Qty],T_TTAFStock_Log[Part Name],$A23,T_TTAFStock_Log[WeekIndex],69))</f>
        <v/>
      </c>
      <c r="BS23" s="18">
        <f>IF(COUNTIFS(T_TTAFStock_Log[Part Name],$A23,T_TTAFStock_Log[WeekIndex],70)=0,"",SUMIFS(T_TTAFStock_Log[TTAF_Qty],T_TTAFStock_Log[Part Name],$A23,T_TTAFStock_Log[WeekIndex],70))</f>
        <v/>
      </c>
      <c r="BT23" s="18">
        <f>IF(COUNTIFS(T_TTAFStock_Log[Part Name],$A23,T_TTAFStock_Log[WeekIndex],71)=0,"",SUMIFS(T_TTAFStock_Log[TTAF_Qty],T_TTAFStock_Log[Part Name],$A23,T_TTAFStock_Log[WeekIndex],71))</f>
        <v/>
      </c>
      <c r="BU23" s="18">
        <f>IF(COUNTIFS(T_TTAFStock_Log[Part Name],$A23,T_TTAFStock_Log[WeekIndex],72)=0,"",SUMIFS(T_TTAFStock_Log[TTAF_Qty],T_TTAFStock_Log[Part Name],$A23,T_TTAFStock_Log[WeekIndex],72))</f>
        <v/>
      </c>
      <c r="BV23" s="18">
        <f>IF(COUNTIFS(T_TTAFStock_Log[Part Name],$A23,T_TTAFStock_Log[WeekIndex],73)=0,"",SUMIFS(T_TTAFStock_Log[TTAF_Qty],T_TTAFStock_Log[Part Name],$A23,T_TTAFStock_Log[WeekIndex],73))</f>
        <v/>
      </c>
      <c r="BW23" s="18">
        <f>IF(COUNTIFS(T_TTAFStock_Log[Part Name],$A23,T_TTAFStock_Log[WeekIndex],74)=0,"",SUMIFS(T_TTAFStock_Log[TTAF_Qty],T_TTAFStock_Log[Part Name],$A23,T_TTAFStock_Log[WeekIndex],74))</f>
        <v/>
      </c>
      <c r="BX23" s="18">
        <f>IF(COUNTIFS(T_TTAFStock_Log[Part Name],$A23,T_TTAFStock_Log[WeekIndex],75)=0,"",SUMIFS(T_TTAFStock_Log[TTAF_Qty],T_TTAFStock_Log[Part Name],$A23,T_TTAFStock_Log[WeekIndex],75))</f>
        <v/>
      </c>
      <c r="BY23" s="18">
        <f>IF(COUNTIFS(T_TTAFStock_Log[Part Name],$A23,T_TTAFStock_Log[WeekIndex],76)=0,"",SUMIFS(T_TTAFStock_Log[TTAF_Qty],T_TTAFStock_Log[Part Name],$A23,T_TTAFStock_Log[WeekIndex],76))</f>
        <v/>
      </c>
      <c r="BZ23" s="18">
        <f>IF(COUNTIFS(T_TTAFStock_Log[Part Name],$A23,T_TTAFStock_Log[WeekIndex],77)=0,"",SUMIFS(T_TTAFStock_Log[TTAF_Qty],T_TTAFStock_Log[Part Name],$A23,T_TTAFStock_Log[WeekIndex],77))</f>
        <v/>
      </c>
      <c r="CA23" s="18">
        <f>IF(COUNTIFS(T_TTAFStock_Log[Part Name],$A23,T_TTAFStock_Log[WeekIndex],78)=0,"",SUMIFS(T_TTAFStock_Log[TTAF_Qty],T_TTAFStock_Log[Part Name],$A23,T_TTAFStock_Log[WeekIndex],78))</f>
        <v/>
      </c>
      <c r="CB23" s="18">
        <f>IF(COUNTIFS(T_TTAFStock_Log[Part Name],$A23,T_TTAFStock_Log[WeekIndex],79)=0,"",SUMIFS(T_TTAFStock_Log[TTAF_Qty],T_TTAFStock_Log[Part Name],$A23,T_TTAFStock_Log[WeekIndex],79))</f>
        <v/>
      </c>
      <c r="CC23" s="18">
        <f>IF(COUNTIFS(T_TTAFStock_Log[Part Name],$A23,T_TTAFStock_Log[WeekIndex],80)=0,"",SUMIFS(T_TTAFStock_Log[TTAF_Qty],T_TTAFStock_Log[Part Name],$A23,T_TTAFStock_Log[WeekIndex],80))</f>
        <v/>
      </c>
      <c r="CD23" s="18">
        <f>IF(COUNTIFS(T_TTAFStock_Log[Part Name],$A23,T_TTAFStock_Log[WeekIndex],81)=0,"",SUMIFS(T_TTAFStock_Log[TTAF_Qty],T_TTAFStock_Log[Part Name],$A23,T_TTAFStock_Log[WeekIndex],81))</f>
        <v/>
      </c>
      <c r="CE23" s="18">
        <f>IF(COUNTIFS(T_TTAFStock_Log[Part Name],$A23,T_TTAFStock_Log[WeekIndex],82)=0,"",SUMIFS(T_TTAFStock_Log[TTAF_Qty],T_TTAFStock_Log[Part Name],$A23,T_TTAFStock_Log[WeekIndex],82))</f>
        <v/>
      </c>
      <c r="CF23" s="18">
        <f>IF(COUNTIFS(T_TTAFStock_Log[Part Name],$A23,T_TTAFStock_Log[WeekIndex],83)=0,"",SUMIFS(T_TTAFStock_Log[TTAF_Qty],T_TTAFStock_Log[Part Name],$A23,T_TTAFStock_Log[WeekIndex],83))</f>
        <v/>
      </c>
      <c r="CG23" s="18">
        <f>IF(COUNTIFS(T_TTAFStock_Log[Part Name],$A23,T_TTAFStock_Log[WeekIndex],84)=0,"",SUMIFS(T_TTAFStock_Log[TTAF_Qty],T_TTAFStock_Log[Part Name],$A23,T_TTAFStock_Log[WeekIndex],84))</f>
        <v/>
      </c>
      <c r="CH23" s="18">
        <f>IF(COUNTIFS(T_TTAFStock_Log[Part Name],$A23,T_TTAFStock_Log[WeekIndex],85)=0,"",SUMIFS(T_TTAFStock_Log[TTAF_Qty],T_TTAFStock_Log[Part Name],$A23,T_TTAFStock_Log[WeekIndex],85))</f>
        <v/>
      </c>
      <c r="CI23" s="18">
        <f>IF(COUNTIFS(T_TTAFStock_Log[Part Name],$A23,T_TTAFStock_Log[WeekIndex],86)=0,"",SUMIFS(T_TTAFStock_Log[TTAF_Qty],T_TTAFStock_Log[Part Name],$A23,T_TTAFStock_Log[WeekIndex],86))</f>
        <v/>
      </c>
      <c r="CJ23" s="18">
        <f>IF(COUNTIFS(T_TTAFStock_Log[Part Name],$A23,T_TTAFStock_Log[WeekIndex],87)=0,"",SUMIFS(T_TTAFStock_Log[TTAF_Qty],T_TTAFStock_Log[Part Name],$A23,T_TTAFStock_Log[WeekIndex],87))</f>
        <v/>
      </c>
      <c r="CK23" s="18">
        <f>IF(COUNTIFS(T_TTAFStock_Log[Part Name],$A23,T_TTAFStock_Log[WeekIndex],88)=0,"",SUMIFS(T_TTAFStock_Log[TTAF_Qty],T_TTAFStock_Log[Part Name],$A23,T_TTAFStock_Log[WeekIndex],88))</f>
        <v/>
      </c>
      <c r="CL23" s="18">
        <f>IF(COUNTIFS(T_TTAFStock_Log[Part Name],$A23,T_TTAFStock_Log[WeekIndex],89)=0,"",SUMIFS(T_TTAFStock_Log[TTAF_Qty],T_TTAFStock_Log[Part Name],$A23,T_TTAFStock_Log[WeekIndex],89))</f>
        <v/>
      </c>
      <c r="CM23" s="18">
        <f>IF(COUNTIFS(T_TTAFStock_Log[Part Name],$A23,T_TTAFStock_Log[WeekIndex],90)=0,"",SUMIFS(T_TTAFStock_Log[TTAF_Qty],T_TTAFStock_Log[Part Name],$A23,T_TTAFStock_Log[WeekIndex],90))</f>
        <v/>
      </c>
      <c r="CN23" s="18">
        <f>IF(COUNTIFS(T_TTAFStock_Log[Part Name],$A23,T_TTAFStock_Log[WeekIndex],91)=0,"",SUMIFS(T_TTAFStock_Log[TTAF_Qty],T_TTAFStock_Log[Part Name],$A23,T_TTAFStock_Log[WeekIndex],91))</f>
        <v/>
      </c>
      <c r="CO23" s="18">
        <f>IF(COUNTIFS(T_TTAFStock_Log[Part Name],$A23,T_TTAFStock_Log[WeekIndex],92)=0,"",SUMIFS(T_TTAFStock_Log[TTAF_Qty],T_TTAFStock_Log[Part Name],$A23,T_TTAFStock_Log[WeekIndex],92))</f>
        <v/>
      </c>
      <c r="CP23" s="18">
        <f>IF(COUNTIFS(T_TTAFStock_Log[Part Name],$A23,T_TTAFStock_Log[WeekIndex],93)=0,"",SUMIFS(T_TTAFStock_Log[TTAF_Qty],T_TTAFStock_Log[Part Name],$A23,T_TTAFStock_Log[WeekIndex],93))</f>
        <v/>
      </c>
      <c r="CQ23" s="18">
        <f>IF(COUNTIFS(T_TTAFStock_Log[Part Name],$A23,T_TTAFStock_Log[WeekIndex],94)=0,"",SUMIFS(T_TTAFStock_Log[TTAF_Qty],T_TTAFStock_Log[Part Name],$A23,T_TTAFStock_Log[WeekIndex],94))</f>
        <v/>
      </c>
      <c r="CR23" s="18">
        <f>IF(COUNTIFS(T_TTAFStock_Log[Part Name],$A23,T_TTAFStock_Log[WeekIndex],95)=0,"",SUMIFS(T_TTAFStock_Log[TTAF_Qty],T_TTAFStock_Log[Part Name],$A23,T_TTAFStock_Log[WeekIndex],95))</f>
        <v/>
      </c>
      <c r="CS23" s="18">
        <f>IF(COUNTIFS(T_TTAFStock_Log[Part Name],$A23,T_TTAFStock_Log[WeekIndex],96)=0,"",SUMIFS(T_TTAFStock_Log[TTAF_Qty],T_TTAFStock_Log[Part Name],$A23,T_TTAFStock_Log[WeekIndex],96))</f>
        <v/>
      </c>
      <c r="CT23" s="18">
        <f>IF(COUNTIFS(T_TTAFStock_Log[Part Name],$A23,T_TTAFStock_Log[WeekIndex],97)=0,"",SUMIFS(T_TTAFStock_Log[TTAF_Qty],T_TTAFStock_Log[Part Name],$A23,T_TTAFStock_Log[WeekIndex],97))</f>
        <v/>
      </c>
      <c r="CU23" s="18">
        <f>IF(COUNTIFS(T_TTAFStock_Log[Part Name],$A23,T_TTAFStock_Log[WeekIndex],98)=0,"",SUMIFS(T_TTAFStock_Log[TTAF_Qty],T_TTAFStock_Log[Part Name],$A23,T_TTAFStock_Log[WeekIndex],98))</f>
        <v/>
      </c>
      <c r="CV23" s="18">
        <f>IF(COUNTIFS(T_TTAFStock_Log[Part Name],$A23,T_TTAFStock_Log[WeekIndex],99)=0,"",SUMIFS(T_TTAFStock_Log[TTAF_Qty],T_TTAFStock_Log[Part Name],$A23,T_TTAFStock_Log[WeekIndex],99))</f>
        <v/>
      </c>
      <c r="CW23" s="18">
        <f>IF(COUNTIFS(T_TTAFStock_Log[Part Name],$A23,T_TTAFStock_Log[WeekIndex],100)=0,"",SUMIFS(T_TTAFStock_Log[TTAF_Qty],T_TTAFStock_Log[Part Name],$A23,T_TTAFStock_Log[WeekIndex],100))</f>
        <v/>
      </c>
      <c r="CX23" s="18">
        <f>IF(COUNTIFS(T_TTAFStock_Log[Part Name],$A23,T_TTAFStock_Log[WeekIndex],101)=0,"",SUMIFS(T_TTAFStock_Log[TTAF_Qty],T_TTAFStock_Log[Part Name],$A23,T_TTAFStock_Log[WeekIndex],101))</f>
        <v/>
      </c>
      <c r="CY23" s="18">
        <f>IF(COUNTIFS(T_TTAFStock_Log[Part Name],$A23,T_TTAFStock_Log[WeekIndex],102)=0,"",SUMIFS(T_TTAFStock_Log[TTAF_Qty],T_TTAFStock_Log[Part Name],$A23,T_TTAFStock_Log[WeekIndex],102))</f>
        <v/>
      </c>
      <c r="CZ23" s="18">
        <f>IF(COUNTIFS(T_TTAFStock_Log[Part Name],$A23,T_TTAFStock_Log[WeekIndex],103)=0,"",SUMIFS(T_TTAFStock_Log[TTAF_Qty],T_TTAFStock_Log[Part Name],$A23,T_TTAFStock_Log[WeekIndex],103))</f>
        <v/>
      </c>
      <c r="DA23" s="18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CHEM-1280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8" t="inlineStr">
        <is>
          <t>CHEM-1240</t>
        </is>
      </c>
      <c r="B25" s="18">
        <f>IF(COUNTIFS(T_TTAFStock_Log[Part Name],$A25,T_TTAFStock_Log[WeekIndex],1)=0,"",SUMIFS(T_TTAFStock_Log[TTAF_Qty],T_TTAFStock_Log[Part Name],$A25,T_TTAFStock_Log[WeekIndex],1))</f>
        <v/>
      </c>
      <c r="C25" s="18">
        <f>IF(COUNTIFS(T_TTAFStock_Log[Part Name],$A25,T_TTAFStock_Log[WeekIndex],2)=0,"",SUMIFS(T_TTAFStock_Log[TTAF_Qty],T_TTAFStock_Log[Part Name],$A25,T_TTAFStock_Log[WeekIndex],2))</f>
        <v/>
      </c>
      <c r="D25" s="18">
        <f>IF(COUNTIFS(T_TTAFStock_Log[Part Name],$A25,T_TTAFStock_Log[WeekIndex],3)=0,"",SUMIFS(T_TTAFStock_Log[TTAF_Qty],T_TTAFStock_Log[Part Name],$A25,T_TTAFStock_Log[WeekIndex],3))</f>
        <v/>
      </c>
      <c r="E25" s="18">
        <f>IF(COUNTIFS(T_TTAFStock_Log[Part Name],$A25,T_TTAFStock_Log[WeekIndex],4)=0,"",SUMIFS(T_TTAFStock_Log[TTAF_Qty],T_TTAFStock_Log[Part Name],$A25,T_TTAFStock_Log[WeekIndex],4))</f>
        <v/>
      </c>
      <c r="F25" s="18">
        <f>IF(COUNTIFS(T_TTAFStock_Log[Part Name],$A25,T_TTAFStock_Log[WeekIndex],5)=0,"",SUMIFS(T_TTAFStock_Log[TTAF_Qty],T_TTAFStock_Log[Part Name],$A25,T_TTAFStock_Log[WeekIndex],5))</f>
        <v/>
      </c>
      <c r="G25" s="18">
        <f>IF(COUNTIFS(T_TTAFStock_Log[Part Name],$A25,T_TTAFStock_Log[WeekIndex],6)=0,"",SUMIFS(T_TTAFStock_Log[TTAF_Qty],T_TTAFStock_Log[Part Name],$A25,T_TTAFStock_Log[WeekIndex],6))</f>
        <v/>
      </c>
      <c r="H25" s="18">
        <f>IF(COUNTIFS(T_TTAFStock_Log[Part Name],$A25,T_TTAFStock_Log[WeekIndex],7)=0,"",SUMIFS(T_TTAFStock_Log[TTAF_Qty],T_TTAFStock_Log[Part Name],$A25,T_TTAFStock_Log[WeekIndex],7))</f>
        <v/>
      </c>
      <c r="I25" s="18">
        <f>IF(COUNTIFS(T_TTAFStock_Log[Part Name],$A25,T_TTAFStock_Log[WeekIndex],8)=0,"",SUMIFS(T_TTAFStock_Log[TTAF_Qty],T_TTAFStock_Log[Part Name],$A25,T_TTAFStock_Log[WeekIndex],8))</f>
        <v/>
      </c>
      <c r="J25" s="18">
        <f>IF(COUNTIFS(T_TTAFStock_Log[Part Name],$A25,T_TTAFStock_Log[WeekIndex],9)=0,"",SUMIFS(T_TTAFStock_Log[TTAF_Qty],T_TTAFStock_Log[Part Name],$A25,T_TTAFStock_Log[WeekIndex],9))</f>
        <v/>
      </c>
      <c r="K25" s="18">
        <f>IF(COUNTIFS(T_TTAFStock_Log[Part Name],$A25,T_TTAFStock_Log[WeekIndex],10)=0,"",SUMIFS(T_TTAFStock_Log[TTAF_Qty],T_TTAFStock_Log[Part Name],$A25,T_TTAFStock_Log[WeekIndex],10))</f>
        <v/>
      </c>
      <c r="L25" s="18">
        <f>IF(COUNTIFS(T_TTAFStock_Log[Part Name],$A25,T_TTAFStock_Log[WeekIndex],11)=0,"",SUMIFS(T_TTAFStock_Log[TTAF_Qty],T_TTAFStock_Log[Part Name],$A25,T_TTAFStock_Log[WeekIndex],11))</f>
        <v/>
      </c>
      <c r="M25" s="18">
        <f>IF(COUNTIFS(T_TTAFStock_Log[Part Name],$A25,T_TTAFStock_Log[WeekIndex],12)=0,"",SUMIFS(T_TTAFStock_Log[TTAF_Qty],T_TTAFStock_Log[Part Name],$A25,T_TTAFStock_Log[WeekIndex],12))</f>
        <v/>
      </c>
      <c r="N25" s="18">
        <f>IF(COUNTIFS(T_TTAFStock_Log[Part Name],$A25,T_TTAFStock_Log[WeekIndex],13)=0,"",SUMIFS(T_TTAFStock_Log[TTAF_Qty],T_TTAFStock_Log[Part Name],$A25,T_TTAFStock_Log[WeekIndex],13))</f>
        <v/>
      </c>
      <c r="O25" s="18">
        <f>IF(COUNTIFS(T_TTAFStock_Log[Part Name],$A25,T_TTAFStock_Log[WeekIndex],14)=0,"",SUMIFS(T_TTAFStock_Log[TTAF_Qty],T_TTAFStock_Log[Part Name],$A25,T_TTAFStock_Log[WeekIndex],14))</f>
        <v/>
      </c>
      <c r="P25" s="18">
        <f>IF(COUNTIFS(T_TTAFStock_Log[Part Name],$A25,T_TTAFStock_Log[WeekIndex],15)=0,"",SUMIFS(T_TTAFStock_Log[TTAF_Qty],T_TTAFStock_Log[Part Name],$A25,T_TTAFStock_Log[WeekIndex],15))</f>
        <v/>
      </c>
      <c r="Q25" s="18">
        <f>IF(COUNTIFS(T_TTAFStock_Log[Part Name],$A25,T_TTAFStock_Log[WeekIndex],16)=0,"",SUMIFS(T_TTAFStock_Log[TTAF_Qty],T_TTAFStock_Log[Part Name],$A25,T_TTAFStock_Log[WeekIndex],16))</f>
        <v/>
      </c>
      <c r="R25" s="18">
        <f>IF(COUNTIFS(T_TTAFStock_Log[Part Name],$A25,T_TTAFStock_Log[WeekIndex],17)=0,"",SUMIFS(T_TTAFStock_Log[TTAF_Qty],T_TTAFStock_Log[Part Name],$A25,T_TTAFStock_Log[WeekIndex],17))</f>
        <v/>
      </c>
      <c r="S25" s="18">
        <f>IF(COUNTIFS(T_TTAFStock_Log[Part Name],$A25,T_TTAFStock_Log[WeekIndex],18)=0,"",SUMIFS(T_TTAFStock_Log[TTAF_Qty],T_TTAFStock_Log[Part Name],$A25,T_TTAFStock_Log[WeekIndex],18))</f>
        <v/>
      </c>
      <c r="T25" s="18">
        <f>IF(COUNTIFS(T_TTAFStock_Log[Part Name],$A25,T_TTAFStock_Log[WeekIndex],19)=0,"",SUMIFS(T_TTAFStock_Log[TTAF_Qty],T_TTAFStock_Log[Part Name],$A25,T_TTAFStock_Log[WeekIndex],19))</f>
        <v/>
      </c>
      <c r="U25" s="18">
        <f>IF(COUNTIFS(T_TTAFStock_Log[Part Name],$A25,T_TTAFStock_Log[WeekIndex],20)=0,"",SUMIFS(T_TTAFStock_Log[TTAF_Qty],T_TTAFStock_Log[Part Name],$A25,T_TTAFStock_Log[WeekIndex],20))</f>
        <v/>
      </c>
      <c r="V25" s="18">
        <f>IF(COUNTIFS(T_TTAFStock_Log[Part Name],$A25,T_TTAFStock_Log[WeekIndex],21)=0,"",SUMIFS(T_TTAFStock_Log[TTAF_Qty],T_TTAFStock_Log[Part Name],$A25,T_TTAFStock_Log[WeekIndex],21))</f>
        <v/>
      </c>
      <c r="W25" s="18">
        <f>IF(COUNTIFS(T_TTAFStock_Log[Part Name],$A25,T_TTAFStock_Log[WeekIndex],22)=0,"",SUMIFS(T_TTAFStock_Log[TTAF_Qty],T_TTAFStock_Log[Part Name],$A25,T_TTAFStock_Log[WeekIndex],22))</f>
        <v/>
      </c>
      <c r="X25" s="18">
        <f>IF(COUNTIFS(T_TTAFStock_Log[Part Name],$A25,T_TTAFStock_Log[WeekIndex],23)=0,"",SUMIFS(T_TTAFStock_Log[TTAF_Qty],T_TTAFStock_Log[Part Name],$A25,T_TTAFStock_Log[WeekIndex],23))</f>
        <v/>
      </c>
      <c r="Y25" s="18">
        <f>IF(COUNTIFS(T_TTAFStock_Log[Part Name],$A25,T_TTAFStock_Log[WeekIndex],24)=0,"",SUMIFS(T_TTAFStock_Log[TTAF_Qty],T_TTAFStock_Log[Part Name],$A25,T_TTAFStock_Log[WeekIndex],24))</f>
        <v/>
      </c>
      <c r="Z25" s="18">
        <f>IF(COUNTIFS(T_TTAFStock_Log[Part Name],$A25,T_TTAFStock_Log[WeekIndex],25)=0,"",SUMIFS(T_TTAFStock_Log[TTAF_Qty],T_TTAFStock_Log[Part Name],$A25,T_TTAFStock_Log[WeekIndex],25))</f>
        <v/>
      </c>
      <c r="AA25" s="18">
        <f>IF(COUNTIFS(T_TTAFStock_Log[Part Name],$A25,T_TTAFStock_Log[WeekIndex],26)=0,"",SUMIFS(T_TTAFStock_Log[TTAF_Qty],T_TTAFStock_Log[Part Name],$A25,T_TTAFStock_Log[WeekIndex],26))</f>
        <v/>
      </c>
      <c r="AB25" s="18">
        <f>IF(COUNTIFS(T_TTAFStock_Log[Part Name],$A25,T_TTAFStock_Log[WeekIndex],27)=0,"",SUMIFS(T_TTAFStock_Log[TTAF_Qty],T_TTAFStock_Log[Part Name],$A25,T_TTAFStock_Log[WeekIndex],27))</f>
        <v/>
      </c>
      <c r="AC25" s="18">
        <f>IF(COUNTIFS(T_TTAFStock_Log[Part Name],$A25,T_TTAFStock_Log[WeekIndex],28)=0,"",SUMIFS(T_TTAFStock_Log[TTAF_Qty],T_TTAFStock_Log[Part Name],$A25,T_TTAFStock_Log[WeekIndex],28))</f>
        <v/>
      </c>
      <c r="AD25" s="18">
        <f>IF(COUNTIFS(T_TTAFStock_Log[Part Name],$A25,T_TTAFStock_Log[WeekIndex],29)=0,"",SUMIFS(T_TTAFStock_Log[TTAF_Qty],T_TTAFStock_Log[Part Name],$A25,T_TTAFStock_Log[WeekIndex],29))</f>
        <v/>
      </c>
      <c r="AE25" s="18">
        <f>IF(COUNTIFS(T_TTAFStock_Log[Part Name],$A25,T_TTAFStock_Log[WeekIndex],30)=0,"",SUMIFS(T_TTAFStock_Log[TTAF_Qty],T_TTAFStock_Log[Part Name],$A25,T_TTAFStock_Log[WeekIndex],30))</f>
        <v/>
      </c>
      <c r="AF25" s="18">
        <f>IF(COUNTIFS(T_TTAFStock_Log[Part Name],$A25,T_TTAFStock_Log[WeekIndex],31)=0,"",SUMIFS(T_TTAFStock_Log[TTAF_Qty],T_TTAFStock_Log[Part Name],$A25,T_TTAFStock_Log[WeekIndex],31))</f>
        <v/>
      </c>
      <c r="AG25" s="18">
        <f>IF(COUNTIFS(T_TTAFStock_Log[Part Name],$A25,T_TTAFStock_Log[WeekIndex],32)=0,"",SUMIFS(T_TTAFStock_Log[TTAF_Qty],T_TTAFStock_Log[Part Name],$A25,T_TTAFStock_Log[WeekIndex],32))</f>
        <v/>
      </c>
      <c r="AH25" s="18">
        <f>IF(COUNTIFS(T_TTAFStock_Log[Part Name],$A25,T_TTAFStock_Log[WeekIndex],33)=0,"",SUMIFS(T_TTAFStock_Log[TTAF_Qty],T_TTAFStock_Log[Part Name],$A25,T_TTAFStock_Log[WeekIndex],33))</f>
        <v/>
      </c>
      <c r="AI25" s="18">
        <f>IF(COUNTIFS(T_TTAFStock_Log[Part Name],$A25,T_TTAFStock_Log[WeekIndex],34)=0,"",SUMIFS(T_TTAFStock_Log[TTAF_Qty],T_TTAFStock_Log[Part Name],$A25,T_TTAFStock_Log[WeekIndex],34))</f>
        <v/>
      </c>
      <c r="AJ25" s="18">
        <f>IF(COUNTIFS(T_TTAFStock_Log[Part Name],$A25,T_TTAFStock_Log[WeekIndex],35)=0,"",SUMIFS(T_TTAFStock_Log[TTAF_Qty],T_TTAFStock_Log[Part Name],$A25,T_TTAFStock_Log[WeekIndex],35))</f>
        <v/>
      </c>
      <c r="AK25" s="18">
        <f>IF(COUNTIFS(T_TTAFStock_Log[Part Name],$A25,T_TTAFStock_Log[WeekIndex],36)=0,"",SUMIFS(T_TTAFStock_Log[TTAF_Qty],T_TTAFStock_Log[Part Name],$A25,T_TTAFStock_Log[WeekIndex],36))</f>
        <v/>
      </c>
      <c r="AL25" s="18">
        <f>IF(COUNTIFS(T_TTAFStock_Log[Part Name],$A25,T_TTAFStock_Log[WeekIndex],37)=0,"",SUMIFS(T_TTAFStock_Log[TTAF_Qty],T_TTAFStock_Log[Part Name],$A25,T_TTAFStock_Log[WeekIndex],37))</f>
        <v/>
      </c>
      <c r="AM25" s="18">
        <f>IF(COUNTIFS(T_TTAFStock_Log[Part Name],$A25,T_TTAFStock_Log[WeekIndex],38)=0,"",SUMIFS(T_TTAFStock_Log[TTAF_Qty],T_TTAFStock_Log[Part Name],$A25,T_TTAFStock_Log[WeekIndex],38))</f>
        <v/>
      </c>
      <c r="AN25" s="18">
        <f>IF(COUNTIFS(T_TTAFStock_Log[Part Name],$A25,T_TTAFStock_Log[WeekIndex],39)=0,"",SUMIFS(T_TTAFStock_Log[TTAF_Qty],T_TTAFStock_Log[Part Name],$A25,T_TTAFStock_Log[WeekIndex],39))</f>
        <v/>
      </c>
      <c r="AO25" s="18">
        <f>IF(COUNTIFS(T_TTAFStock_Log[Part Name],$A25,T_TTAFStock_Log[WeekIndex],40)=0,"",SUMIFS(T_TTAFStock_Log[TTAF_Qty],T_TTAFStock_Log[Part Name],$A25,T_TTAFStock_Log[WeekIndex],40))</f>
        <v/>
      </c>
      <c r="AP25" s="18">
        <f>IF(COUNTIFS(T_TTAFStock_Log[Part Name],$A25,T_TTAFStock_Log[WeekIndex],41)=0,"",SUMIFS(T_TTAFStock_Log[TTAF_Qty],T_TTAFStock_Log[Part Name],$A25,T_TTAFStock_Log[WeekIndex],41))</f>
        <v/>
      </c>
      <c r="AQ25" s="18">
        <f>IF(COUNTIFS(T_TTAFStock_Log[Part Name],$A25,T_TTAFStock_Log[WeekIndex],42)=0,"",SUMIFS(T_TTAFStock_Log[TTAF_Qty],T_TTAFStock_Log[Part Name],$A25,T_TTAFStock_Log[WeekIndex],42))</f>
        <v/>
      </c>
      <c r="AR25" s="18">
        <f>IF(COUNTIFS(T_TTAFStock_Log[Part Name],$A25,T_TTAFStock_Log[WeekIndex],43)=0,"",SUMIFS(T_TTAFStock_Log[TTAF_Qty],T_TTAFStock_Log[Part Name],$A25,T_TTAFStock_Log[WeekIndex],43))</f>
        <v/>
      </c>
      <c r="AS25" s="18">
        <f>IF(COUNTIFS(T_TTAFStock_Log[Part Name],$A25,T_TTAFStock_Log[WeekIndex],44)=0,"",SUMIFS(T_TTAFStock_Log[TTAF_Qty],T_TTAFStock_Log[Part Name],$A25,T_TTAFStock_Log[WeekIndex],44))</f>
        <v/>
      </c>
      <c r="AT25" s="18">
        <f>IF(COUNTIFS(T_TTAFStock_Log[Part Name],$A25,T_TTAFStock_Log[WeekIndex],45)=0,"",SUMIFS(T_TTAFStock_Log[TTAF_Qty],T_TTAFStock_Log[Part Name],$A25,T_TTAFStock_Log[WeekIndex],45))</f>
        <v/>
      </c>
      <c r="AU25" s="18">
        <f>IF(COUNTIFS(T_TTAFStock_Log[Part Name],$A25,T_TTAFStock_Log[WeekIndex],46)=0,"",SUMIFS(T_TTAFStock_Log[TTAF_Qty],T_TTAFStock_Log[Part Name],$A25,T_TTAFStock_Log[WeekIndex],46))</f>
        <v/>
      </c>
      <c r="AV25" s="18">
        <f>IF(COUNTIFS(T_TTAFStock_Log[Part Name],$A25,T_TTAFStock_Log[WeekIndex],47)=0,"",SUMIFS(T_TTAFStock_Log[TTAF_Qty],T_TTAFStock_Log[Part Name],$A25,T_TTAFStock_Log[WeekIndex],47))</f>
        <v/>
      </c>
      <c r="AW25" s="18">
        <f>IF(COUNTIFS(T_TTAFStock_Log[Part Name],$A25,T_TTAFStock_Log[WeekIndex],48)=0,"",SUMIFS(T_TTAFStock_Log[TTAF_Qty],T_TTAFStock_Log[Part Name],$A25,T_TTAFStock_Log[WeekIndex],48))</f>
        <v/>
      </c>
      <c r="AX25" s="18">
        <f>IF(COUNTIFS(T_TTAFStock_Log[Part Name],$A25,T_TTAFStock_Log[WeekIndex],49)=0,"",SUMIFS(T_TTAFStock_Log[TTAF_Qty],T_TTAFStock_Log[Part Name],$A25,T_TTAFStock_Log[WeekIndex],49))</f>
        <v/>
      </c>
      <c r="AY25" s="18">
        <f>IF(COUNTIFS(T_TTAFStock_Log[Part Name],$A25,T_TTAFStock_Log[WeekIndex],50)=0,"",SUMIFS(T_TTAFStock_Log[TTAF_Qty],T_TTAFStock_Log[Part Name],$A25,T_TTAFStock_Log[WeekIndex],50))</f>
        <v/>
      </c>
      <c r="AZ25" s="18">
        <f>IF(COUNTIFS(T_TTAFStock_Log[Part Name],$A25,T_TTAFStock_Log[WeekIndex],51)=0,"",SUMIFS(T_TTAFStock_Log[TTAF_Qty],T_TTAFStock_Log[Part Name],$A25,T_TTAFStock_Log[WeekIndex],51))</f>
        <v/>
      </c>
      <c r="BA25" s="18">
        <f>IF(COUNTIFS(T_TTAFStock_Log[Part Name],$A25,T_TTAFStock_Log[WeekIndex],52)=0,"",SUMIFS(T_TTAFStock_Log[TTAF_Qty],T_TTAFStock_Log[Part Name],$A25,T_TTAFStock_Log[WeekIndex],52))</f>
        <v/>
      </c>
      <c r="BB25" s="18">
        <f>IF(COUNTIFS(T_TTAFStock_Log[Part Name],$A25,T_TTAFStock_Log[WeekIndex],53)=0,"",SUMIFS(T_TTAFStock_Log[TTAF_Qty],T_TTAFStock_Log[Part Name],$A25,T_TTAFStock_Log[WeekIndex],53))</f>
        <v/>
      </c>
      <c r="BC25" s="18">
        <f>IF(COUNTIFS(T_TTAFStock_Log[Part Name],$A25,T_TTAFStock_Log[WeekIndex],54)=0,"",SUMIFS(T_TTAFStock_Log[TTAF_Qty],T_TTAFStock_Log[Part Name],$A25,T_TTAFStock_Log[WeekIndex],54))</f>
        <v/>
      </c>
      <c r="BD25" s="18">
        <f>IF(COUNTIFS(T_TTAFStock_Log[Part Name],$A25,T_TTAFStock_Log[WeekIndex],55)=0,"",SUMIFS(T_TTAFStock_Log[TTAF_Qty],T_TTAFStock_Log[Part Name],$A25,T_TTAFStock_Log[WeekIndex],55))</f>
        <v/>
      </c>
      <c r="BE25" s="18">
        <f>IF(COUNTIFS(T_TTAFStock_Log[Part Name],$A25,T_TTAFStock_Log[WeekIndex],56)=0,"",SUMIFS(T_TTAFStock_Log[TTAF_Qty],T_TTAFStock_Log[Part Name],$A25,T_TTAFStock_Log[WeekIndex],56))</f>
        <v/>
      </c>
      <c r="BF25" s="18">
        <f>IF(COUNTIFS(T_TTAFStock_Log[Part Name],$A25,T_TTAFStock_Log[WeekIndex],57)=0,"",SUMIFS(T_TTAFStock_Log[TTAF_Qty],T_TTAFStock_Log[Part Name],$A25,T_TTAFStock_Log[WeekIndex],57))</f>
        <v/>
      </c>
      <c r="BG25" s="18">
        <f>IF(COUNTIFS(T_TTAFStock_Log[Part Name],$A25,T_TTAFStock_Log[WeekIndex],58)=0,"",SUMIFS(T_TTAFStock_Log[TTAF_Qty],T_TTAFStock_Log[Part Name],$A25,T_TTAFStock_Log[WeekIndex],58))</f>
        <v/>
      </c>
      <c r="BH25" s="18">
        <f>IF(COUNTIFS(T_TTAFStock_Log[Part Name],$A25,T_TTAFStock_Log[WeekIndex],59)=0,"",SUMIFS(T_TTAFStock_Log[TTAF_Qty],T_TTAFStock_Log[Part Name],$A25,T_TTAFStock_Log[WeekIndex],59))</f>
        <v/>
      </c>
      <c r="BI25" s="18">
        <f>IF(COUNTIFS(T_TTAFStock_Log[Part Name],$A25,T_TTAFStock_Log[WeekIndex],60)=0,"",SUMIFS(T_TTAFStock_Log[TTAF_Qty],T_TTAFStock_Log[Part Name],$A25,T_TTAFStock_Log[WeekIndex],60))</f>
        <v/>
      </c>
      <c r="BJ25" s="18">
        <f>IF(COUNTIFS(T_TTAFStock_Log[Part Name],$A25,T_TTAFStock_Log[WeekIndex],61)=0,"",SUMIFS(T_TTAFStock_Log[TTAF_Qty],T_TTAFStock_Log[Part Name],$A25,T_TTAFStock_Log[WeekIndex],61))</f>
        <v/>
      </c>
      <c r="BK25" s="18">
        <f>IF(COUNTIFS(T_TTAFStock_Log[Part Name],$A25,T_TTAFStock_Log[WeekIndex],62)=0,"",SUMIFS(T_TTAFStock_Log[TTAF_Qty],T_TTAFStock_Log[Part Name],$A25,T_TTAFStock_Log[WeekIndex],62))</f>
        <v/>
      </c>
      <c r="BL25" s="18">
        <f>IF(COUNTIFS(T_TTAFStock_Log[Part Name],$A25,T_TTAFStock_Log[WeekIndex],63)=0,"",SUMIFS(T_TTAFStock_Log[TTAF_Qty],T_TTAFStock_Log[Part Name],$A25,T_TTAFStock_Log[WeekIndex],63))</f>
        <v/>
      </c>
      <c r="BM25" s="18">
        <f>IF(COUNTIFS(T_TTAFStock_Log[Part Name],$A25,T_TTAFStock_Log[WeekIndex],64)=0,"",SUMIFS(T_TTAFStock_Log[TTAF_Qty],T_TTAFStock_Log[Part Name],$A25,T_TTAFStock_Log[WeekIndex],64))</f>
        <v/>
      </c>
      <c r="BN25" s="18">
        <f>IF(COUNTIFS(T_TTAFStock_Log[Part Name],$A25,T_TTAFStock_Log[WeekIndex],65)=0,"",SUMIFS(T_TTAFStock_Log[TTAF_Qty],T_TTAFStock_Log[Part Name],$A25,T_TTAFStock_Log[WeekIndex],65))</f>
        <v/>
      </c>
      <c r="BO25" s="18">
        <f>IF(COUNTIFS(T_TTAFStock_Log[Part Name],$A25,T_TTAFStock_Log[WeekIndex],66)=0,"",SUMIFS(T_TTAFStock_Log[TTAF_Qty],T_TTAFStock_Log[Part Name],$A25,T_TTAFStock_Log[WeekIndex],66))</f>
        <v/>
      </c>
      <c r="BP25" s="18">
        <f>IF(COUNTIFS(T_TTAFStock_Log[Part Name],$A25,T_TTAFStock_Log[WeekIndex],67)=0,"",SUMIFS(T_TTAFStock_Log[TTAF_Qty],T_TTAFStock_Log[Part Name],$A25,T_TTAFStock_Log[WeekIndex],67))</f>
        <v/>
      </c>
      <c r="BQ25" s="18">
        <f>IF(COUNTIFS(T_TTAFStock_Log[Part Name],$A25,T_TTAFStock_Log[WeekIndex],68)=0,"",SUMIFS(T_TTAFStock_Log[TTAF_Qty],T_TTAFStock_Log[Part Name],$A25,T_TTAFStock_Log[WeekIndex],68))</f>
        <v/>
      </c>
      <c r="BR25" s="18">
        <f>IF(COUNTIFS(T_TTAFStock_Log[Part Name],$A25,T_TTAFStock_Log[WeekIndex],69)=0,"",SUMIFS(T_TTAFStock_Log[TTAF_Qty],T_TTAFStock_Log[Part Name],$A25,T_TTAFStock_Log[WeekIndex],69))</f>
        <v/>
      </c>
      <c r="BS25" s="18">
        <f>IF(COUNTIFS(T_TTAFStock_Log[Part Name],$A25,T_TTAFStock_Log[WeekIndex],70)=0,"",SUMIFS(T_TTAFStock_Log[TTAF_Qty],T_TTAFStock_Log[Part Name],$A25,T_TTAFStock_Log[WeekIndex],70))</f>
        <v/>
      </c>
      <c r="BT25" s="18">
        <f>IF(COUNTIFS(T_TTAFStock_Log[Part Name],$A25,T_TTAFStock_Log[WeekIndex],71)=0,"",SUMIFS(T_TTAFStock_Log[TTAF_Qty],T_TTAFStock_Log[Part Name],$A25,T_TTAFStock_Log[WeekIndex],71))</f>
        <v/>
      </c>
      <c r="BU25" s="18">
        <f>IF(COUNTIFS(T_TTAFStock_Log[Part Name],$A25,T_TTAFStock_Log[WeekIndex],72)=0,"",SUMIFS(T_TTAFStock_Log[TTAF_Qty],T_TTAFStock_Log[Part Name],$A25,T_TTAFStock_Log[WeekIndex],72))</f>
        <v/>
      </c>
      <c r="BV25" s="18">
        <f>IF(COUNTIFS(T_TTAFStock_Log[Part Name],$A25,T_TTAFStock_Log[WeekIndex],73)=0,"",SUMIFS(T_TTAFStock_Log[TTAF_Qty],T_TTAFStock_Log[Part Name],$A25,T_TTAFStock_Log[WeekIndex],73))</f>
        <v/>
      </c>
      <c r="BW25" s="18">
        <f>IF(COUNTIFS(T_TTAFStock_Log[Part Name],$A25,T_TTAFStock_Log[WeekIndex],74)=0,"",SUMIFS(T_TTAFStock_Log[TTAF_Qty],T_TTAFStock_Log[Part Name],$A25,T_TTAFStock_Log[WeekIndex],74))</f>
        <v/>
      </c>
      <c r="BX25" s="18">
        <f>IF(COUNTIFS(T_TTAFStock_Log[Part Name],$A25,T_TTAFStock_Log[WeekIndex],75)=0,"",SUMIFS(T_TTAFStock_Log[TTAF_Qty],T_TTAFStock_Log[Part Name],$A25,T_TTAFStock_Log[WeekIndex],75))</f>
        <v/>
      </c>
      <c r="BY25" s="18">
        <f>IF(COUNTIFS(T_TTAFStock_Log[Part Name],$A25,T_TTAFStock_Log[WeekIndex],76)=0,"",SUMIFS(T_TTAFStock_Log[TTAF_Qty],T_TTAFStock_Log[Part Name],$A25,T_TTAFStock_Log[WeekIndex],76))</f>
        <v/>
      </c>
      <c r="BZ25" s="18">
        <f>IF(COUNTIFS(T_TTAFStock_Log[Part Name],$A25,T_TTAFStock_Log[WeekIndex],77)=0,"",SUMIFS(T_TTAFStock_Log[TTAF_Qty],T_TTAFStock_Log[Part Name],$A25,T_TTAFStock_Log[WeekIndex],77))</f>
        <v/>
      </c>
      <c r="CA25" s="18">
        <f>IF(COUNTIFS(T_TTAFStock_Log[Part Name],$A25,T_TTAFStock_Log[WeekIndex],78)=0,"",SUMIFS(T_TTAFStock_Log[TTAF_Qty],T_TTAFStock_Log[Part Name],$A25,T_TTAFStock_Log[WeekIndex],78))</f>
        <v/>
      </c>
      <c r="CB25" s="18">
        <f>IF(COUNTIFS(T_TTAFStock_Log[Part Name],$A25,T_TTAFStock_Log[WeekIndex],79)=0,"",SUMIFS(T_TTAFStock_Log[TTAF_Qty],T_TTAFStock_Log[Part Name],$A25,T_TTAFStock_Log[WeekIndex],79))</f>
        <v/>
      </c>
      <c r="CC25" s="18">
        <f>IF(COUNTIFS(T_TTAFStock_Log[Part Name],$A25,T_TTAFStock_Log[WeekIndex],80)=0,"",SUMIFS(T_TTAFStock_Log[TTAF_Qty],T_TTAFStock_Log[Part Name],$A25,T_TTAFStock_Log[WeekIndex],80))</f>
        <v/>
      </c>
      <c r="CD25" s="18">
        <f>IF(COUNTIFS(T_TTAFStock_Log[Part Name],$A25,T_TTAFStock_Log[WeekIndex],81)=0,"",SUMIFS(T_TTAFStock_Log[TTAF_Qty],T_TTAFStock_Log[Part Name],$A25,T_TTAFStock_Log[WeekIndex],81))</f>
        <v/>
      </c>
      <c r="CE25" s="18">
        <f>IF(COUNTIFS(T_TTAFStock_Log[Part Name],$A25,T_TTAFStock_Log[WeekIndex],82)=0,"",SUMIFS(T_TTAFStock_Log[TTAF_Qty],T_TTAFStock_Log[Part Name],$A25,T_TTAFStock_Log[WeekIndex],82))</f>
        <v/>
      </c>
      <c r="CF25" s="18">
        <f>IF(COUNTIFS(T_TTAFStock_Log[Part Name],$A25,T_TTAFStock_Log[WeekIndex],83)=0,"",SUMIFS(T_TTAFStock_Log[TTAF_Qty],T_TTAFStock_Log[Part Name],$A25,T_TTAFStock_Log[WeekIndex],83))</f>
        <v/>
      </c>
      <c r="CG25" s="18">
        <f>IF(COUNTIFS(T_TTAFStock_Log[Part Name],$A25,T_TTAFStock_Log[WeekIndex],84)=0,"",SUMIFS(T_TTAFStock_Log[TTAF_Qty],T_TTAFStock_Log[Part Name],$A25,T_TTAFStock_Log[WeekIndex],84))</f>
        <v/>
      </c>
      <c r="CH25" s="18">
        <f>IF(COUNTIFS(T_TTAFStock_Log[Part Name],$A25,T_TTAFStock_Log[WeekIndex],85)=0,"",SUMIFS(T_TTAFStock_Log[TTAF_Qty],T_TTAFStock_Log[Part Name],$A25,T_TTAFStock_Log[WeekIndex],85))</f>
        <v/>
      </c>
      <c r="CI25" s="18">
        <f>IF(COUNTIFS(T_TTAFStock_Log[Part Name],$A25,T_TTAFStock_Log[WeekIndex],86)=0,"",SUMIFS(T_TTAFStock_Log[TTAF_Qty],T_TTAFStock_Log[Part Name],$A25,T_TTAFStock_Log[WeekIndex],86))</f>
        <v/>
      </c>
      <c r="CJ25" s="18">
        <f>IF(COUNTIFS(T_TTAFStock_Log[Part Name],$A25,T_TTAFStock_Log[WeekIndex],87)=0,"",SUMIFS(T_TTAFStock_Log[TTAF_Qty],T_TTAFStock_Log[Part Name],$A25,T_TTAFStock_Log[WeekIndex],87))</f>
        <v/>
      </c>
      <c r="CK25" s="18">
        <f>IF(COUNTIFS(T_TTAFStock_Log[Part Name],$A25,T_TTAFStock_Log[WeekIndex],88)=0,"",SUMIFS(T_TTAFStock_Log[TTAF_Qty],T_TTAFStock_Log[Part Name],$A25,T_TTAFStock_Log[WeekIndex],88))</f>
        <v/>
      </c>
      <c r="CL25" s="18">
        <f>IF(COUNTIFS(T_TTAFStock_Log[Part Name],$A25,T_TTAFStock_Log[WeekIndex],89)=0,"",SUMIFS(T_TTAFStock_Log[TTAF_Qty],T_TTAFStock_Log[Part Name],$A25,T_TTAFStock_Log[WeekIndex],89))</f>
        <v/>
      </c>
      <c r="CM25" s="18">
        <f>IF(COUNTIFS(T_TTAFStock_Log[Part Name],$A25,T_TTAFStock_Log[WeekIndex],90)=0,"",SUMIFS(T_TTAFStock_Log[TTAF_Qty],T_TTAFStock_Log[Part Name],$A25,T_TTAFStock_Log[WeekIndex],90))</f>
        <v/>
      </c>
      <c r="CN25" s="18">
        <f>IF(COUNTIFS(T_TTAFStock_Log[Part Name],$A25,T_TTAFStock_Log[WeekIndex],91)=0,"",SUMIFS(T_TTAFStock_Log[TTAF_Qty],T_TTAFStock_Log[Part Name],$A25,T_TTAFStock_Log[WeekIndex],91))</f>
        <v/>
      </c>
      <c r="CO25" s="18">
        <f>IF(COUNTIFS(T_TTAFStock_Log[Part Name],$A25,T_TTAFStock_Log[WeekIndex],92)=0,"",SUMIFS(T_TTAFStock_Log[TTAF_Qty],T_TTAFStock_Log[Part Name],$A25,T_TTAFStock_Log[WeekIndex],92))</f>
        <v/>
      </c>
      <c r="CP25" s="18">
        <f>IF(COUNTIFS(T_TTAFStock_Log[Part Name],$A25,T_TTAFStock_Log[WeekIndex],93)=0,"",SUMIFS(T_TTAFStock_Log[TTAF_Qty],T_TTAFStock_Log[Part Name],$A25,T_TTAFStock_Log[WeekIndex],93))</f>
        <v/>
      </c>
      <c r="CQ25" s="18">
        <f>IF(COUNTIFS(T_TTAFStock_Log[Part Name],$A25,T_TTAFStock_Log[WeekIndex],94)=0,"",SUMIFS(T_TTAFStock_Log[TTAF_Qty],T_TTAFStock_Log[Part Name],$A25,T_TTAFStock_Log[WeekIndex],94))</f>
        <v/>
      </c>
      <c r="CR25" s="18">
        <f>IF(COUNTIFS(T_TTAFStock_Log[Part Name],$A25,T_TTAFStock_Log[WeekIndex],95)=0,"",SUMIFS(T_TTAFStock_Log[TTAF_Qty],T_TTAFStock_Log[Part Name],$A25,T_TTAFStock_Log[WeekIndex],95))</f>
        <v/>
      </c>
      <c r="CS25" s="18">
        <f>IF(COUNTIFS(T_TTAFStock_Log[Part Name],$A25,T_TTAFStock_Log[WeekIndex],96)=0,"",SUMIFS(T_TTAFStock_Log[TTAF_Qty],T_TTAFStock_Log[Part Name],$A25,T_TTAFStock_Log[WeekIndex],96))</f>
        <v/>
      </c>
      <c r="CT25" s="18">
        <f>IF(COUNTIFS(T_TTAFStock_Log[Part Name],$A25,T_TTAFStock_Log[WeekIndex],97)=0,"",SUMIFS(T_TTAFStock_Log[TTAF_Qty],T_TTAFStock_Log[Part Name],$A25,T_TTAFStock_Log[WeekIndex],97))</f>
        <v/>
      </c>
      <c r="CU25" s="18">
        <f>IF(COUNTIFS(T_TTAFStock_Log[Part Name],$A25,T_TTAFStock_Log[WeekIndex],98)=0,"",SUMIFS(T_TTAFStock_Log[TTAF_Qty],T_TTAFStock_Log[Part Name],$A25,T_TTAFStock_Log[WeekIndex],98))</f>
        <v/>
      </c>
      <c r="CV25" s="18">
        <f>IF(COUNTIFS(T_TTAFStock_Log[Part Name],$A25,T_TTAFStock_Log[WeekIndex],99)=0,"",SUMIFS(T_TTAFStock_Log[TTAF_Qty],T_TTAFStock_Log[Part Name],$A25,T_TTAFStock_Log[WeekIndex],99))</f>
        <v/>
      </c>
      <c r="CW25" s="18">
        <f>IF(COUNTIFS(T_TTAFStock_Log[Part Name],$A25,T_TTAFStock_Log[WeekIndex],100)=0,"",SUMIFS(T_TTAFStock_Log[TTAF_Qty],T_TTAFStock_Log[Part Name],$A25,T_TTAFStock_Log[WeekIndex],100))</f>
        <v/>
      </c>
      <c r="CX25" s="18">
        <f>IF(COUNTIFS(T_TTAFStock_Log[Part Name],$A25,T_TTAFStock_Log[WeekIndex],101)=0,"",SUMIFS(T_TTAFStock_Log[TTAF_Qty],T_TTAFStock_Log[Part Name],$A25,T_TTAFStock_Log[WeekIndex],101))</f>
        <v/>
      </c>
      <c r="CY25" s="18">
        <f>IF(COUNTIFS(T_TTAFStock_Log[Part Name],$A25,T_TTAFStock_Log[WeekIndex],102)=0,"",SUMIFS(T_TTAFStock_Log[TTAF_Qty],T_TTAFStock_Log[Part Name],$A25,T_TTAFStock_Log[WeekIndex],102))</f>
        <v/>
      </c>
      <c r="CZ25" s="18">
        <f>IF(COUNTIFS(T_TTAFStock_Log[Part Name],$A25,T_TTAFStock_Log[WeekIndex],103)=0,"",SUMIFS(T_TTAFStock_Log[TTAF_Qty],T_TTAFStock_Log[Part Name],$A25,T_TTAFStock_Log[WeekIndex],103))</f>
        <v/>
      </c>
      <c r="DA25" s="18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0JN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8" t="inlineStr">
        <is>
          <t>CHEM-1760</t>
        </is>
      </c>
      <c r="B27" s="18">
        <f>IF(COUNTIFS(T_TTAFStock_Log[Part Name],$A27,T_TTAFStock_Log[WeekIndex],1)=0,"",SUMIFS(T_TTAFStock_Log[TTAF_Qty],T_TTAFStock_Log[Part Name],$A27,T_TTAFStock_Log[WeekIndex],1))</f>
        <v/>
      </c>
      <c r="C27" s="18">
        <f>IF(COUNTIFS(T_TTAFStock_Log[Part Name],$A27,T_TTAFStock_Log[WeekIndex],2)=0,"",SUMIFS(T_TTAFStock_Log[TTAF_Qty],T_TTAFStock_Log[Part Name],$A27,T_TTAFStock_Log[WeekIndex],2))</f>
        <v/>
      </c>
      <c r="D27" s="18">
        <f>IF(COUNTIFS(T_TTAFStock_Log[Part Name],$A27,T_TTAFStock_Log[WeekIndex],3)=0,"",SUMIFS(T_TTAFStock_Log[TTAF_Qty],T_TTAFStock_Log[Part Name],$A27,T_TTAFStock_Log[WeekIndex],3))</f>
        <v/>
      </c>
      <c r="E27" s="18">
        <f>IF(COUNTIFS(T_TTAFStock_Log[Part Name],$A27,T_TTAFStock_Log[WeekIndex],4)=0,"",SUMIFS(T_TTAFStock_Log[TTAF_Qty],T_TTAFStock_Log[Part Name],$A27,T_TTAFStock_Log[WeekIndex],4))</f>
        <v/>
      </c>
      <c r="F27" s="18">
        <f>IF(COUNTIFS(T_TTAFStock_Log[Part Name],$A27,T_TTAFStock_Log[WeekIndex],5)=0,"",SUMIFS(T_TTAFStock_Log[TTAF_Qty],T_TTAFStock_Log[Part Name],$A27,T_TTAFStock_Log[WeekIndex],5))</f>
        <v/>
      </c>
      <c r="G27" s="18">
        <f>IF(COUNTIFS(T_TTAFStock_Log[Part Name],$A27,T_TTAFStock_Log[WeekIndex],6)=0,"",SUMIFS(T_TTAFStock_Log[TTAF_Qty],T_TTAFStock_Log[Part Name],$A27,T_TTAFStock_Log[WeekIndex],6))</f>
        <v/>
      </c>
      <c r="H27" s="18">
        <f>IF(COUNTIFS(T_TTAFStock_Log[Part Name],$A27,T_TTAFStock_Log[WeekIndex],7)=0,"",SUMIFS(T_TTAFStock_Log[TTAF_Qty],T_TTAFStock_Log[Part Name],$A27,T_TTAFStock_Log[WeekIndex],7))</f>
        <v/>
      </c>
      <c r="I27" s="18">
        <f>IF(COUNTIFS(T_TTAFStock_Log[Part Name],$A27,T_TTAFStock_Log[WeekIndex],8)=0,"",SUMIFS(T_TTAFStock_Log[TTAF_Qty],T_TTAFStock_Log[Part Name],$A27,T_TTAFStock_Log[WeekIndex],8))</f>
        <v/>
      </c>
      <c r="J27" s="18">
        <f>IF(COUNTIFS(T_TTAFStock_Log[Part Name],$A27,T_TTAFStock_Log[WeekIndex],9)=0,"",SUMIFS(T_TTAFStock_Log[TTAF_Qty],T_TTAFStock_Log[Part Name],$A27,T_TTAFStock_Log[WeekIndex],9))</f>
        <v/>
      </c>
      <c r="K27" s="18">
        <f>IF(COUNTIFS(T_TTAFStock_Log[Part Name],$A27,T_TTAFStock_Log[WeekIndex],10)=0,"",SUMIFS(T_TTAFStock_Log[TTAF_Qty],T_TTAFStock_Log[Part Name],$A27,T_TTAFStock_Log[WeekIndex],10))</f>
        <v/>
      </c>
      <c r="L27" s="18">
        <f>IF(COUNTIFS(T_TTAFStock_Log[Part Name],$A27,T_TTAFStock_Log[WeekIndex],11)=0,"",SUMIFS(T_TTAFStock_Log[TTAF_Qty],T_TTAFStock_Log[Part Name],$A27,T_TTAFStock_Log[WeekIndex],11))</f>
        <v/>
      </c>
      <c r="M27" s="18">
        <f>IF(COUNTIFS(T_TTAFStock_Log[Part Name],$A27,T_TTAFStock_Log[WeekIndex],12)=0,"",SUMIFS(T_TTAFStock_Log[TTAF_Qty],T_TTAFStock_Log[Part Name],$A27,T_TTAFStock_Log[WeekIndex],12))</f>
        <v/>
      </c>
      <c r="N27" s="18">
        <f>IF(COUNTIFS(T_TTAFStock_Log[Part Name],$A27,T_TTAFStock_Log[WeekIndex],13)=0,"",SUMIFS(T_TTAFStock_Log[TTAF_Qty],T_TTAFStock_Log[Part Name],$A27,T_TTAFStock_Log[WeekIndex],13))</f>
        <v/>
      </c>
      <c r="O27" s="18">
        <f>IF(COUNTIFS(T_TTAFStock_Log[Part Name],$A27,T_TTAFStock_Log[WeekIndex],14)=0,"",SUMIFS(T_TTAFStock_Log[TTAF_Qty],T_TTAFStock_Log[Part Name],$A27,T_TTAFStock_Log[WeekIndex],14))</f>
        <v/>
      </c>
      <c r="P27" s="18">
        <f>IF(COUNTIFS(T_TTAFStock_Log[Part Name],$A27,T_TTAFStock_Log[WeekIndex],15)=0,"",SUMIFS(T_TTAFStock_Log[TTAF_Qty],T_TTAFStock_Log[Part Name],$A27,T_TTAFStock_Log[WeekIndex],15))</f>
        <v/>
      </c>
      <c r="Q27" s="18">
        <f>IF(COUNTIFS(T_TTAFStock_Log[Part Name],$A27,T_TTAFStock_Log[WeekIndex],16)=0,"",SUMIFS(T_TTAFStock_Log[TTAF_Qty],T_TTAFStock_Log[Part Name],$A27,T_TTAFStock_Log[WeekIndex],16))</f>
        <v/>
      </c>
      <c r="R27" s="18">
        <f>IF(COUNTIFS(T_TTAFStock_Log[Part Name],$A27,T_TTAFStock_Log[WeekIndex],17)=0,"",SUMIFS(T_TTAFStock_Log[TTAF_Qty],T_TTAFStock_Log[Part Name],$A27,T_TTAFStock_Log[WeekIndex],17))</f>
        <v/>
      </c>
      <c r="S27" s="18">
        <f>IF(COUNTIFS(T_TTAFStock_Log[Part Name],$A27,T_TTAFStock_Log[WeekIndex],18)=0,"",SUMIFS(T_TTAFStock_Log[TTAF_Qty],T_TTAFStock_Log[Part Name],$A27,T_TTAFStock_Log[WeekIndex],18))</f>
        <v/>
      </c>
      <c r="T27" s="18">
        <f>IF(COUNTIFS(T_TTAFStock_Log[Part Name],$A27,T_TTAFStock_Log[WeekIndex],19)=0,"",SUMIFS(T_TTAFStock_Log[TTAF_Qty],T_TTAFStock_Log[Part Name],$A27,T_TTAFStock_Log[WeekIndex],19))</f>
        <v/>
      </c>
      <c r="U27" s="18">
        <f>IF(COUNTIFS(T_TTAFStock_Log[Part Name],$A27,T_TTAFStock_Log[WeekIndex],20)=0,"",SUMIFS(T_TTAFStock_Log[TTAF_Qty],T_TTAFStock_Log[Part Name],$A27,T_TTAFStock_Log[WeekIndex],20))</f>
        <v/>
      </c>
      <c r="V27" s="18">
        <f>IF(COUNTIFS(T_TTAFStock_Log[Part Name],$A27,T_TTAFStock_Log[WeekIndex],21)=0,"",SUMIFS(T_TTAFStock_Log[TTAF_Qty],T_TTAFStock_Log[Part Name],$A27,T_TTAFStock_Log[WeekIndex],21))</f>
        <v/>
      </c>
      <c r="W27" s="18">
        <f>IF(COUNTIFS(T_TTAFStock_Log[Part Name],$A27,T_TTAFStock_Log[WeekIndex],22)=0,"",SUMIFS(T_TTAFStock_Log[TTAF_Qty],T_TTAFStock_Log[Part Name],$A27,T_TTAFStock_Log[WeekIndex],22))</f>
        <v/>
      </c>
      <c r="X27" s="18">
        <f>IF(COUNTIFS(T_TTAFStock_Log[Part Name],$A27,T_TTAFStock_Log[WeekIndex],23)=0,"",SUMIFS(T_TTAFStock_Log[TTAF_Qty],T_TTAFStock_Log[Part Name],$A27,T_TTAFStock_Log[WeekIndex],23))</f>
        <v/>
      </c>
      <c r="Y27" s="18">
        <f>IF(COUNTIFS(T_TTAFStock_Log[Part Name],$A27,T_TTAFStock_Log[WeekIndex],24)=0,"",SUMIFS(T_TTAFStock_Log[TTAF_Qty],T_TTAFStock_Log[Part Name],$A27,T_TTAFStock_Log[WeekIndex],24))</f>
        <v/>
      </c>
      <c r="Z27" s="18">
        <f>IF(COUNTIFS(T_TTAFStock_Log[Part Name],$A27,T_TTAFStock_Log[WeekIndex],25)=0,"",SUMIFS(T_TTAFStock_Log[TTAF_Qty],T_TTAFStock_Log[Part Name],$A27,T_TTAFStock_Log[WeekIndex],25))</f>
        <v/>
      </c>
      <c r="AA27" s="18">
        <f>IF(COUNTIFS(T_TTAFStock_Log[Part Name],$A27,T_TTAFStock_Log[WeekIndex],26)=0,"",SUMIFS(T_TTAFStock_Log[TTAF_Qty],T_TTAFStock_Log[Part Name],$A27,T_TTAFStock_Log[WeekIndex],26))</f>
        <v/>
      </c>
      <c r="AB27" s="18">
        <f>IF(COUNTIFS(T_TTAFStock_Log[Part Name],$A27,T_TTAFStock_Log[WeekIndex],27)=0,"",SUMIFS(T_TTAFStock_Log[TTAF_Qty],T_TTAFStock_Log[Part Name],$A27,T_TTAFStock_Log[WeekIndex],27))</f>
        <v/>
      </c>
      <c r="AC27" s="18">
        <f>IF(COUNTIFS(T_TTAFStock_Log[Part Name],$A27,T_TTAFStock_Log[WeekIndex],28)=0,"",SUMIFS(T_TTAFStock_Log[TTAF_Qty],T_TTAFStock_Log[Part Name],$A27,T_TTAFStock_Log[WeekIndex],28))</f>
        <v/>
      </c>
      <c r="AD27" s="18">
        <f>IF(COUNTIFS(T_TTAFStock_Log[Part Name],$A27,T_TTAFStock_Log[WeekIndex],29)=0,"",SUMIFS(T_TTAFStock_Log[TTAF_Qty],T_TTAFStock_Log[Part Name],$A27,T_TTAFStock_Log[WeekIndex],29))</f>
        <v/>
      </c>
      <c r="AE27" s="18">
        <f>IF(COUNTIFS(T_TTAFStock_Log[Part Name],$A27,T_TTAFStock_Log[WeekIndex],30)=0,"",SUMIFS(T_TTAFStock_Log[TTAF_Qty],T_TTAFStock_Log[Part Name],$A27,T_TTAFStock_Log[WeekIndex],30))</f>
        <v/>
      </c>
      <c r="AF27" s="18">
        <f>IF(COUNTIFS(T_TTAFStock_Log[Part Name],$A27,T_TTAFStock_Log[WeekIndex],31)=0,"",SUMIFS(T_TTAFStock_Log[TTAF_Qty],T_TTAFStock_Log[Part Name],$A27,T_TTAFStock_Log[WeekIndex],31))</f>
        <v/>
      </c>
      <c r="AG27" s="18">
        <f>IF(COUNTIFS(T_TTAFStock_Log[Part Name],$A27,T_TTAFStock_Log[WeekIndex],32)=0,"",SUMIFS(T_TTAFStock_Log[TTAF_Qty],T_TTAFStock_Log[Part Name],$A27,T_TTAFStock_Log[WeekIndex],32))</f>
        <v/>
      </c>
      <c r="AH27" s="18">
        <f>IF(COUNTIFS(T_TTAFStock_Log[Part Name],$A27,T_TTAFStock_Log[WeekIndex],33)=0,"",SUMIFS(T_TTAFStock_Log[TTAF_Qty],T_TTAFStock_Log[Part Name],$A27,T_TTAFStock_Log[WeekIndex],33))</f>
        <v/>
      </c>
      <c r="AI27" s="18">
        <f>IF(COUNTIFS(T_TTAFStock_Log[Part Name],$A27,T_TTAFStock_Log[WeekIndex],34)=0,"",SUMIFS(T_TTAFStock_Log[TTAF_Qty],T_TTAFStock_Log[Part Name],$A27,T_TTAFStock_Log[WeekIndex],34))</f>
        <v/>
      </c>
      <c r="AJ27" s="18">
        <f>IF(COUNTIFS(T_TTAFStock_Log[Part Name],$A27,T_TTAFStock_Log[WeekIndex],35)=0,"",SUMIFS(T_TTAFStock_Log[TTAF_Qty],T_TTAFStock_Log[Part Name],$A27,T_TTAFStock_Log[WeekIndex],35))</f>
        <v/>
      </c>
      <c r="AK27" s="18">
        <f>IF(COUNTIFS(T_TTAFStock_Log[Part Name],$A27,T_TTAFStock_Log[WeekIndex],36)=0,"",SUMIFS(T_TTAFStock_Log[TTAF_Qty],T_TTAFStock_Log[Part Name],$A27,T_TTAFStock_Log[WeekIndex],36))</f>
        <v/>
      </c>
      <c r="AL27" s="18">
        <f>IF(COUNTIFS(T_TTAFStock_Log[Part Name],$A27,T_TTAFStock_Log[WeekIndex],37)=0,"",SUMIFS(T_TTAFStock_Log[TTAF_Qty],T_TTAFStock_Log[Part Name],$A27,T_TTAFStock_Log[WeekIndex],37))</f>
        <v/>
      </c>
      <c r="AM27" s="18">
        <f>IF(COUNTIFS(T_TTAFStock_Log[Part Name],$A27,T_TTAFStock_Log[WeekIndex],38)=0,"",SUMIFS(T_TTAFStock_Log[TTAF_Qty],T_TTAFStock_Log[Part Name],$A27,T_TTAFStock_Log[WeekIndex],38))</f>
        <v/>
      </c>
      <c r="AN27" s="18">
        <f>IF(COUNTIFS(T_TTAFStock_Log[Part Name],$A27,T_TTAFStock_Log[WeekIndex],39)=0,"",SUMIFS(T_TTAFStock_Log[TTAF_Qty],T_TTAFStock_Log[Part Name],$A27,T_TTAFStock_Log[WeekIndex],39))</f>
        <v/>
      </c>
      <c r="AO27" s="18">
        <f>IF(COUNTIFS(T_TTAFStock_Log[Part Name],$A27,T_TTAFStock_Log[WeekIndex],40)=0,"",SUMIFS(T_TTAFStock_Log[TTAF_Qty],T_TTAFStock_Log[Part Name],$A27,T_TTAFStock_Log[WeekIndex],40))</f>
        <v/>
      </c>
      <c r="AP27" s="18">
        <f>IF(COUNTIFS(T_TTAFStock_Log[Part Name],$A27,T_TTAFStock_Log[WeekIndex],41)=0,"",SUMIFS(T_TTAFStock_Log[TTAF_Qty],T_TTAFStock_Log[Part Name],$A27,T_TTAFStock_Log[WeekIndex],41))</f>
        <v/>
      </c>
      <c r="AQ27" s="18">
        <f>IF(COUNTIFS(T_TTAFStock_Log[Part Name],$A27,T_TTAFStock_Log[WeekIndex],42)=0,"",SUMIFS(T_TTAFStock_Log[TTAF_Qty],T_TTAFStock_Log[Part Name],$A27,T_TTAFStock_Log[WeekIndex],42))</f>
        <v/>
      </c>
      <c r="AR27" s="18">
        <f>IF(COUNTIFS(T_TTAFStock_Log[Part Name],$A27,T_TTAFStock_Log[WeekIndex],43)=0,"",SUMIFS(T_TTAFStock_Log[TTAF_Qty],T_TTAFStock_Log[Part Name],$A27,T_TTAFStock_Log[WeekIndex],43))</f>
        <v/>
      </c>
      <c r="AS27" s="18">
        <f>IF(COUNTIFS(T_TTAFStock_Log[Part Name],$A27,T_TTAFStock_Log[WeekIndex],44)=0,"",SUMIFS(T_TTAFStock_Log[TTAF_Qty],T_TTAFStock_Log[Part Name],$A27,T_TTAFStock_Log[WeekIndex],44))</f>
        <v/>
      </c>
      <c r="AT27" s="18">
        <f>IF(COUNTIFS(T_TTAFStock_Log[Part Name],$A27,T_TTAFStock_Log[WeekIndex],45)=0,"",SUMIFS(T_TTAFStock_Log[TTAF_Qty],T_TTAFStock_Log[Part Name],$A27,T_TTAFStock_Log[WeekIndex],45))</f>
        <v/>
      </c>
      <c r="AU27" s="18">
        <f>IF(COUNTIFS(T_TTAFStock_Log[Part Name],$A27,T_TTAFStock_Log[WeekIndex],46)=0,"",SUMIFS(T_TTAFStock_Log[TTAF_Qty],T_TTAFStock_Log[Part Name],$A27,T_TTAFStock_Log[WeekIndex],46))</f>
        <v/>
      </c>
      <c r="AV27" s="18">
        <f>IF(COUNTIFS(T_TTAFStock_Log[Part Name],$A27,T_TTAFStock_Log[WeekIndex],47)=0,"",SUMIFS(T_TTAFStock_Log[TTAF_Qty],T_TTAFStock_Log[Part Name],$A27,T_TTAFStock_Log[WeekIndex],47))</f>
        <v/>
      </c>
      <c r="AW27" s="18">
        <f>IF(COUNTIFS(T_TTAFStock_Log[Part Name],$A27,T_TTAFStock_Log[WeekIndex],48)=0,"",SUMIFS(T_TTAFStock_Log[TTAF_Qty],T_TTAFStock_Log[Part Name],$A27,T_TTAFStock_Log[WeekIndex],48))</f>
        <v/>
      </c>
      <c r="AX27" s="18">
        <f>IF(COUNTIFS(T_TTAFStock_Log[Part Name],$A27,T_TTAFStock_Log[WeekIndex],49)=0,"",SUMIFS(T_TTAFStock_Log[TTAF_Qty],T_TTAFStock_Log[Part Name],$A27,T_TTAFStock_Log[WeekIndex],49))</f>
        <v/>
      </c>
      <c r="AY27" s="18">
        <f>IF(COUNTIFS(T_TTAFStock_Log[Part Name],$A27,T_TTAFStock_Log[WeekIndex],50)=0,"",SUMIFS(T_TTAFStock_Log[TTAF_Qty],T_TTAFStock_Log[Part Name],$A27,T_TTAFStock_Log[WeekIndex],50))</f>
        <v/>
      </c>
      <c r="AZ27" s="18">
        <f>IF(COUNTIFS(T_TTAFStock_Log[Part Name],$A27,T_TTAFStock_Log[WeekIndex],51)=0,"",SUMIFS(T_TTAFStock_Log[TTAF_Qty],T_TTAFStock_Log[Part Name],$A27,T_TTAFStock_Log[WeekIndex],51))</f>
        <v/>
      </c>
      <c r="BA27" s="18">
        <f>IF(COUNTIFS(T_TTAFStock_Log[Part Name],$A27,T_TTAFStock_Log[WeekIndex],52)=0,"",SUMIFS(T_TTAFStock_Log[TTAF_Qty],T_TTAFStock_Log[Part Name],$A27,T_TTAFStock_Log[WeekIndex],52))</f>
        <v/>
      </c>
      <c r="BB27" s="18">
        <f>IF(COUNTIFS(T_TTAFStock_Log[Part Name],$A27,T_TTAFStock_Log[WeekIndex],53)=0,"",SUMIFS(T_TTAFStock_Log[TTAF_Qty],T_TTAFStock_Log[Part Name],$A27,T_TTAFStock_Log[WeekIndex],53))</f>
        <v/>
      </c>
      <c r="BC27" s="18">
        <f>IF(COUNTIFS(T_TTAFStock_Log[Part Name],$A27,T_TTAFStock_Log[WeekIndex],54)=0,"",SUMIFS(T_TTAFStock_Log[TTAF_Qty],T_TTAFStock_Log[Part Name],$A27,T_TTAFStock_Log[WeekIndex],54))</f>
        <v/>
      </c>
      <c r="BD27" s="18">
        <f>IF(COUNTIFS(T_TTAFStock_Log[Part Name],$A27,T_TTAFStock_Log[WeekIndex],55)=0,"",SUMIFS(T_TTAFStock_Log[TTAF_Qty],T_TTAFStock_Log[Part Name],$A27,T_TTAFStock_Log[WeekIndex],55))</f>
        <v/>
      </c>
      <c r="BE27" s="18">
        <f>IF(COUNTIFS(T_TTAFStock_Log[Part Name],$A27,T_TTAFStock_Log[WeekIndex],56)=0,"",SUMIFS(T_TTAFStock_Log[TTAF_Qty],T_TTAFStock_Log[Part Name],$A27,T_TTAFStock_Log[WeekIndex],56))</f>
        <v/>
      </c>
      <c r="BF27" s="18">
        <f>IF(COUNTIFS(T_TTAFStock_Log[Part Name],$A27,T_TTAFStock_Log[WeekIndex],57)=0,"",SUMIFS(T_TTAFStock_Log[TTAF_Qty],T_TTAFStock_Log[Part Name],$A27,T_TTAFStock_Log[WeekIndex],57))</f>
        <v/>
      </c>
      <c r="BG27" s="18">
        <f>IF(COUNTIFS(T_TTAFStock_Log[Part Name],$A27,T_TTAFStock_Log[WeekIndex],58)=0,"",SUMIFS(T_TTAFStock_Log[TTAF_Qty],T_TTAFStock_Log[Part Name],$A27,T_TTAFStock_Log[WeekIndex],58))</f>
        <v/>
      </c>
      <c r="BH27" s="18">
        <f>IF(COUNTIFS(T_TTAFStock_Log[Part Name],$A27,T_TTAFStock_Log[WeekIndex],59)=0,"",SUMIFS(T_TTAFStock_Log[TTAF_Qty],T_TTAFStock_Log[Part Name],$A27,T_TTAFStock_Log[WeekIndex],59))</f>
        <v/>
      </c>
      <c r="BI27" s="18">
        <f>IF(COUNTIFS(T_TTAFStock_Log[Part Name],$A27,T_TTAFStock_Log[WeekIndex],60)=0,"",SUMIFS(T_TTAFStock_Log[TTAF_Qty],T_TTAFStock_Log[Part Name],$A27,T_TTAFStock_Log[WeekIndex],60))</f>
        <v/>
      </c>
      <c r="BJ27" s="18">
        <f>IF(COUNTIFS(T_TTAFStock_Log[Part Name],$A27,T_TTAFStock_Log[WeekIndex],61)=0,"",SUMIFS(T_TTAFStock_Log[TTAF_Qty],T_TTAFStock_Log[Part Name],$A27,T_TTAFStock_Log[WeekIndex],61))</f>
        <v/>
      </c>
      <c r="BK27" s="18">
        <f>IF(COUNTIFS(T_TTAFStock_Log[Part Name],$A27,T_TTAFStock_Log[WeekIndex],62)=0,"",SUMIFS(T_TTAFStock_Log[TTAF_Qty],T_TTAFStock_Log[Part Name],$A27,T_TTAFStock_Log[WeekIndex],62))</f>
        <v/>
      </c>
      <c r="BL27" s="18">
        <f>IF(COUNTIFS(T_TTAFStock_Log[Part Name],$A27,T_TTAFStock_Log[WeekIndex],63)=0,"",SUMIFS(T_TTAFStock_Log[TTAF_Qty],T_TTAFStock_Log[Part Name],$A27,T_TTAFStock_Log[WeekIndex],63))</f>
        <v/>
      </c>
      <c r="BM27" s="18">
        <f>IF(COUNTIFS(T_TTAFStock_Log[Part Name],$A27,T_TTAFStock_Log[WeekIndex],64)=0,"",SUMIFS(T_TTAFStock_Log[TTAF_Qty],T_TTAFStock_Log[Part Name],$A27,T_TTAFStock_Log[WeekIndex],64))</f>
        <v/>
      </c>
      <c r="BN27" s="18">
        <f>IF(COUNTIFS(T_TTAFStock_Log[Part Name],$A27,T_TTAFStock_Log[WeekIndex],65)=0,"",SUMIFS(T_TTAFStock_Log[TTAF_Qty],T_TTAFStock_Log[Part Name],$A27,T_TTAFStock_Log[WeekIndex],65))</f>
        <v/>
      </c>
      <c r="BO27" s="18">
        <f>IF(COUNTIFS(T_TTAFStock_Log[Part Name],$A27,T_TTAFStock_Log[WeekIndex],66)=0,"",SUMIFS(T_TTAFStock_Log[TTAF_Qty],T_TTAFStock_Log[Part Name],$A27,T_TTAFStock_Log[WeekIndex],66))</f>
        <v/>
      </c>
      <c r="BP27" s="18">
        <f>IF(COUNTIFS(T_TTAFStock_Log[Part Name],$A27,T_TTAFStock_Log[WeekIndex],67)=0,"",SUMIFS(T_TTAFStock_Log[TTAF_Qty],T_TTAFStock_Log[Part Name],$A27,T_TTAFStock_Log[WeekIndex],67))</f>
        <v/>
      </c>
      <c r="BQ27" s="18">
        <f>IF(COUNTIFS(T_TTAFStock_Log[Part Name],$A27,T_TTAFStock_Log[WeekIndex],68)=0,"",SUMIFS(T_TTAFStock_Log[TTAF_Qty],T_TTAFStock_Log[Part Name],$A27,T_TTAFStock_Log[WeekIndex],68))</f>
        <v/>
      </c>
      <c r="BR27" s="18">
        <f>IF(COUNTIFS(T_TTAFStock_Log[Part Name],$A27,T_TTAFStock_Log[WeekIndex],69)=0,"",SUMIFS(T_TTAFStock_Log[TTAF_Qty],T_TTAFStock_Log[Part Name],$A27,T_TTAFStock_Log[WeekIndex],69))</f>
        <v/>
      </c>
      <c r="BS27" s="18">
        <f>IF(COUNTIFS(T_TTAFStock_Log[Part Name],$A27,T_TTAFStock_Log[WeekIndex],70)=0,"",SUMIFS(T_TTAFStock_Log[TTAF_Qty],T_TTAFStock_Log[Part Name],$A27,T_TTAFStock_Log[WeekIndex],70))</f>
        <v/>
      </c>
      <c r="BT27" s="18">
        <f>IF(COUNTIFS(T_TTAFStock_Log[Part Name],$A27,T_TTAFStock_Log[WeekIndex],71)=0,"",SUMIFS(T_TTAFStock_Log[TTAF_Qty],T_TTAFStock_Log[Part Name],$A27,T_TTAFStock_Log[WeekIndex],71))</f>
        <v/>
      </c>
      <c r="BU27" s="18">
        <f>IF(COUNTIFS(T_TTAFStock_Log[Part Name],$A27,T_TTAFStock_Log[WeekIndex],72)=0,"",SUMIFS(T_TTAFStock_Log[TTAF_Qty],T_TTAFStock_Log[Part Name],$A27,T_TTAFStock_Log[WeekIndex],72))</f>
        <v/>
      </c>
      <c r="BV27" s="18">
        <f>IF(COUNTIFS(T_TTAFStock_Log[Part Name],$A27,T_TTAFStock_Log[WeekIndex],73)=0,"",SUMIFS(T_TTAFStock_Log[TTAF_Qty],T_TTAFStock_Log[Part Name],$A27,T_TTAFStock_Log[WeekIndex],73))</f>
        <v/>
      </c>
      <c r="BW27" s="18">
        <f>IF(COUNTIFS(T_TTAFStock_Log[Part Name],$A27,T_TTAFStock_Log[WeekIndex],74)=0,"",SUMIFS(T_TTAFStock_Log[TTAF_Qty],T_TTAFStock_Log[Part Name],$A27,T_TTAFStock_Log[WeekIndex],74))</f>
        <v/>
      </c>
      <c r="BX27" s="18">
        <f>IF(COUNTIFS(T_TTAFStock_Log[Part Name],$A27,T_TTAFStock_Log[WeekIndex],75)=0,"",SUMIFS(T_TTAFStock_Log[TTAF_Qty],T_TTAFStock_Log[Part Name],$A27,T_TTAFStock_Log[WeekIndex],75))</f>
        <v/>
      </c>
      <c r="BY27" s="18">
        <f>IF(COUNTIFS(T_TTAFStock_Log[Part Name],$A27,T_TTAFStock_Log[WeekIndex],76)=0,"",SUMIFS(T_TTAFStock_Log[TTAF_Qty],T_TTAFStock_Log[Part Name],$A27,T_TTAFStock_Log[WeekIndex],76))</f>
        <v/>
      </c>
      <c r="BZ27" s="18">
        <f>IF(COUNTIFS(T_TTAFStock_Log[Part Name],$A27,T_TTAFStock_Log[WeekIndex],77)=0,"",SUMIFS(T_TTAFStock_Log[TTAF_Qty],T_TTAFStock_Log[Part Name],$A27,T_TTAFStock_Log[WeekIndex],77))</f>
        <v/>
      </c>
      <c r="CA27" s="18">
        <f>IF(COUNTIFS(T_TTAFStock_Log[Part Name],$A27,T_TTAFStock_Log[WeekIndex],78)=0,"",SUMIFS(T_TTAFStock_Log[TTAF_Qty],T_TTAFStock_Log[Part Name],$A27,T_TTAFStock_Log[WeekIndex],78))</f>
        <v/>
      </c>
      <c r="CB27" s="18">
        <f>IF(COUNTIFS(T_TTAFStock_Log[Part Name],$A27,T_TTAFStock_Log[WeekIndex],79)=0,"",SUMIFS(T_TTAFStock_Log[TTAF_Qty],T_TTAFStock_Log[Part Name],$A27,T_TTAFStock_Log[WeekIndex],79))</f>
        <v/>
      </c>
      <c r="CC27" s="18">
        <f>IF(COUNTIFS(T_TTAFStock_Log[Part Name],$A27,T_TTAFStock_Log[WeekIndex],80)=0,"",SUMIFS(T_TTAFStock_Log[TTAF_Qty],T_TTAFStock_Log[Part Name],$A27,T_TTAFStock_Log[WeekIndex],80))</f>
        <v/>
      </c>
      <c r="CD27" s="18">
        <f>IF(COUNTIFS(T_TTAFStock_Log[Part Name],$A27,T_TTAFStock_Log[WeekIndex],81)=0,"",SUMIFS(T_TTAFStock_Log[TTAF_Qty],T_TTAFStock_Log[Part Name],$A27,T_TTAFStock_Log[WeekIndex],81))</f>
        <v/>
      </c>
      <c r="CE27" s="18">
        <f>IF(COUNTIFS(T_TTAFStock_Log[Part Name],$A27,T_TTAFStock_Log[WeekIndex],82)=0,"",SUMIFS(T_TTAFStock_Log[TTAF_Qty],T_TTAFStock_Log[Part Name],$A27,T_TTAFStock_Log[WeekIndex],82))</f>
        <v/>
      </c>
      <c r="CF27" s="18">
        <f>IF(COUNTIFS(T_TTAFStock_Log[Part Name],$A27,T_TTAFStock_Log[WeekIndex],83)=0,"",SUMIFS(T_TTAFStock_Log[TTAF_Qty],T_TTAFStock_Log[Part Name],$A27,T_TTAFStock_Log[WeekIndex],83))</f>
        <v/>
      </c>
      <c r="CG27" s="18">
        <f>IF(COUNTIFS(T_TTAFStock_Log[Part Name],$A27,T_TTAFStock_Log[WeekIndex],84)=0,"",SUMIFS(T_TTAFStock_Log[TTAF_Qty],T_TTAFStock_Log[Part Name],$A27,T_TTAFStock_Log[WeekIndex],84))</f>
        <v/>
      </c>
      <c r="CH27" s="18">
        <f>IF(COUNTIFS(T_TTAFStock_Log[Part Name],$A27,T_TTAFStock_Log[WeekIndex],85)=0,"",SUMIFS(T_TTAFStock_Log[TTAF_Qty],T_TTAFStock_Log[Part Name],$A27,T_TTAFStock_Log[WeekIndex],85))</f>
        <v/>
      </c>
      <c r="CI27" s="18">
        <f>IF(COUNTIFS(T_TTAFStock_Log[Part Name],$A27,T_TTAFStock_Log[WeekIndex],86)=0,"",SUMIFS(T_TTAFStock_Log[TTAF_Qty],T_TTAFStock_Log[Part Name],$A27,T_TTAFStock_Log[WeekIndex],86))</f>
        <v/>
      </c>
      <c r="CJ27" s="18">
        <f>IF(COUNTIFS(T_TTAFStock_Log[Part Name],$A27,T_TTAFStock_Log[WeekIndex],87)=0,"",SUMIFS(T_TTAFStock_Log[TTAF_Qty],T_TTAFStock_Log[Part Name],$A27,T_TTAFStock_Log[WeekIndex],87))</f>
        <v/>
      </c>
      <c r="CK27" s="18">
        <f>IF(COUNTIFS(T_TTAFStock_Log[Part Name],$A27,T_TTAFStock_Log[WeekIndex],88)=0,"",SUMIFS(T_TTAFStock_Log[TTAF_Qty],T_TTAFStock_Log[Part Name],$A27,T_TTAFStock_Log[WeekIndex],88))</f>
        <v/>
      </c>
      <c r="CL27" s="18">
        <f>IF(COUNTIFS(T_TTAFStock_Log[Part Name],$A27,T_TTAFStock_Log[WeekIndex],89)=0,"",SUMIFS(T_TTAFStock_Log[TTAF_Qty],T_TTAFStock_Log[Part Name],$A27,T_TTAFStock_Log[WeekIndex],89))</f>
        <v/>
      </c>
      <c r="CM27" s="18">
        <f>IF(COUNTIFS(T_TTAFStock_Log[Part Name],$A27,T_TTAFStock_Log[WeekIndex],90)=0,"",SUMIFS(T_TTAFStock_Log[TTAF_Qty],T_TTAFStock_Log[Part Name],$A27,T_TTAFStock_Log[WeekIndex],90))</f>
        <v/>
      </c>
      <c r="CN27" s="18">
        <f>IF(COUNTIFS(T_TTAFStock_Log[Part Name],$A27,T_TTAFStock_Log[WeekIndex],91)=0,"",SUMIFS(T_TTAFStock_Log[TTAF_Qty],T_TTAFStock_Log[Part Name],$A27,T_TTAFStock_Log[WeekIndex],91))</f>
        <v/>
      </c>
      <c r="CO27" s="18">
        <f>IF(COUNTIFS(T_TTAFStock_Log[Part Name],$A27,T_TTAFStock_Log[WeekIndex],92)=0,"",SUMIFS(T_TTAFStock_Log[TTAF_Qty],T_TTAFStock_Log[Part Name],$A27,T_TTAFStock_Log[WeekIndex],92))</f>
        <v/>
      </c>
      <c r="CP27" s="18">
        <f>IF(COUNTIFS(T_TTAFStock_Log[Part Name],$A27,T_TTAFStock_Log[WeekIndex],93)=0,"",SUMIFS(T_TTAFStock_Log[TTAF_Qty],T_TTAFStock_Log[Part Name],$A27,T_TTAFStock_Log[WeekIndex],93))</f>
        <v/>
      </c>
      <c r="CQ27" s="18">
        <f>IF(COUNTIFS(T_TTAFStock_Log[Part Name],$A27,T_TTAFStock_Log[WeekIndex],94)=0,"",SUMIFS(T_TTAFStock_Log[TTAF_Qty],T_TTAFStock_Log[Part Name],$A27,T_TTAFStock_Log[WeekIndex],94))</f>
        <v/>
      </c>
      <c r="CR27" s="18">
        <f>IF(COUNTIFS(T_TTAFStock_Log[Part Name],$A27,T_TTAFStock_Log[WeekIndex],95)=0,"",SUMIFS(T_TTAFStock_Log[TTAF_Qty],T_TTAFStock_Log[Part Name],$A27,T_TTAFStock_Log[WeekIndex],95))</f>
        <v/>
      </c>
      <c r="CS27" s="18">
        <f>IF(COUNTIFS(T_TTAFStock_Log[Part Name],$A27,T_TTAFStock_Log[WeekIndex],96)=0,"",SUMIFS(T_TTAFStock_Log[TTAF_Qty],T_TTAFStock_Log[Part Name],$A27,T_TTAFStock_Log[WeekIndex],96))</f>
        <v/>
      </c>
      <c r="CT27" s="18">
        <f>IF(COUNTIFS(T_TTAFStock_Log[Part Name],$A27,T_TTAFStock_Log[WeekIndex],97)=0,"",SUMIFS(T_TTAFStock_Log[TTAF_Qty],T_TTAFStock_Log[Part Name],$A27,T_TTAFStock_Log[WeekIndex],97))</f>
        <v/>
      </c>
      <c r="CU27" s="18">
        <f>IF(COUNTIFS(T_TTAFStock_Log[Part Name],$A27,T_TTAFStock_Log[WeekIndex],98)=0,"",SUMIFS(T_TTAFStock_Log[TTAF_Qty],T_TTAFStock_Log[Part Name],$A27,T_TTAFStock_Log[WeekIndex],98))</f>
        <v/>
      </c>
      <c r="CV27" s="18">
        <f>IF(COUNTIFS(T_TTAFStock_Log[Part Name],$A27,T_TTAFStock_Log[WeekIndex],99)=0,"",SUMIFS(T_TTAFStock_Log[TTAF_Qty],T_TTAFStock_Log[Part Name],$A27,T_TTAFStock_Log[WeekIndex],99))</f>
        <v/>
      </c>
      <c r="CW27" s="18">
        <f>IF(COUNTIFS(T_TTAFStock_Log[Part Name],$A27,T_TTAFStock_Log[WeekIndex],100)=0,"",SUMIFS(T_TTAFStock_Log[TTAF_Qty],T_TTAFStock_Log[Part Name],$A27,T_TTAFStock_Log[WeekIndex],100))</f>
        <v/>
      </c>
      <c r="CX27" s="18">
        <f>IF(COUNTIFS(T_TTAFStock_Log[Part Name],$A27,T_TTAFStock_Log[WeekIndex],101)=0,"",SUMIFS(T_TTAFStock_Log[TTAF_Qty],T_TTAFStock_Log[Part Name],$A27,T_TTAFStock_Log[WeekIndex],101))</f>
        <v/>
      </c>
      <c r="CY27" s="18">
        <f>IF(COUNTIFS(T_TTAFStock_Log[Part Name],$A27,T_TTAFStock_Log[WeekIndex],102)=0,"",SUMIFS(T_TTAFStock_Log[TTAF_Qty],T_TTAFStock_Log[Part Name],$A27,T_TTAFStock_Log[WeekIndex],102))</f>
        <v/>
      </c>
      <c r="CZ27" s="18">
        <f>IF(COUNTIFS(T_TTAFStock_Log[Part Name],$A27,T_TTAFStock_Log[WeekIndex],103)=0,"",SUMIFS(T_TTAFStock_Log[TTAF_Qty],T_TTAFStock_Log[Part Name],$A27,T_TTAFStock_Log[WeekIndex],103))</f>
        <v/>
      </c>
      <c r="DA27" s="18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Original Towel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8" t="inlineStr">
        <is>
          <t>CHEM-1200</t>
        </is>
      </c>
      <c r="B29" s="18">
        <f>IF(COUNTIFS(T_TTAFStock_Log[Part Name],$A29,T_TTAFStock_Log[WeekIndex],1)=0,"",SUMIFS(T_TTAFStock_Log[TTAF_Qty],T_TTAFStock_Log[Part Name],$A29,T_TTAFStock_Log[WeekIndex],1))</f>
        <v/>
      </c>
      <c r="C29" s="18">
        <f>IF(COUNTIFS(T_TTAFStock_Log[Part Name],$A29,T_TTAFStock_Log[WeekIndex],2)=0,"",SUMIFS(T_TTAFStock_Log[TTAF_Qty],T_TTAFStock_Log[Part Name],$A29,T_TTAFStock_Log[WeekIndex],2))</f>
        <v/>
      </c>
      <c r="D29" s="18">
        <f>IF(COUNTIFS(T_TTAFStock_Log[Part Name],$A29,T_TTAFStock_Log[WeekIndex],3)=0,"",SUMIFS(T_TTAFStock_Log[TTAF_Qty],T_TTAFStock_Log[Part Name],$A29,T_TTAFStock_Log[WeekIndex],3))</f>
        <v/>
      </c>
      <c r="E29" s="18">
        <f>IF(COUNTIFS(T_TTAFStock_Log[Part Name],$A29,T_TTAFStock_Log[WeekIndex],4)=0,"",SUMIFS(T_TTAFStock_Log[TTAF_Qty],T_TTAFStock_Log[Part Name],$A29,T_TTAFStock_Log[WeekIndex],4))</f>
        <v/>
      </c>
      <c r="F29" s="18">
        <f>IF(COUNTIFS(T_TTAFStock_Log[Part Name],$A29,T_TTAFStock_Log[WeekIndex],5)=0,"",SUMIFS(T_TTAFStock_Log[TTAF_Qty],T_TTAFStock_Log[Part Name],$A29,T_TTAFStock_Log[WeekIndex],5))</f>
        <v/>
      </c>
      <c r="G29" s="18">
        <f>IF(COUNTIFS(T_TTAFStock_Log[Part Name],$A29,T_TTAFStock_Log[WeekIndex],6)=0,"",SUMIFS(T_TTAFStock_Log[TTAF_Qty],T_TTAFStock_Log[Part Name],$A29,T_TTAFStock_Log[WeekIndex],6))</f>
        <v/>
      </c>
      <c r="H29" s="18">
        <f>IF(COUNTIFS(T_TTAFStock_Log[Part Name],$A29,T_TTAFStock_Log[WeekIndex],7)=0,"",SUMIFS(T_TTAFStock_Log[TTAF_Qty],T_TTAFStock_Log[Part Name],$A29,T_TTAFStock_Log[WeekIndex],7))</f>
        <v/>
      </c>
      <c r="I29" s="18">
        <f>IF(COUNTIFS(T_TTAFStock_Log[Part Name],$A29,T_TTAFStock_Log[WeekIndex],8)=0,"",SUMIFS(T_TTAFStock_Log[TTAF_Qty],T_TTAFStock_Log[Part Name],$A29,T_TTAFStock_Log[WeekIndex],8))</f>
        <v/>
      </c>
      <c r="J29" s="18">
        <f>IF(COUNTIFS(T_TTAFStock_Log[Part Name],$A29,T_TTAFStock_Log[WeekIndex],9)=0,"",SUMIFS(T_TTAFStock_Log[TTAF_Qty],T_TTAFStock_Log[Part Name],$A29,T_TTAFStock_Log[WeekIndex],9))</f>
        <v/>
      </c>
      <c r="K29" s="18">
        <f>IF(COUNTIFS(T_TTAFStock_Log[Part Name],$A29,T_TTAFStock_Log[WeekIndex],10)=0,"",SUMIFS(T_TTAFStock_Log[TTAF_Qty],T_TTAFStock_Log[Part Name],$A29,T_TTAFStock_Log[WeekIndex],10))</f>
        <v/>
      </c>
      <c r="L29" s="18">
        <f>IF(COUNTIFS(T_TTAFStock_Log[Part Name],$A29,T_TTAFStock_Log[WeekIndex],11)=0,"",SUMIFS(T_TTAFStock_Log[TTAF_Qty],T_TTAFStock_Log[Part Name],$A29,T_TTAFStock_Log[WeekIndex],11))</f>
        <v/>
      </c>
      <c r="M29" s="18">
        <f>IF(COUNTIFS(T_TTAFStock_Log[Part Name],$A29,T_TTAFStock_Log[WeekIndex],12)=0,"",SUMIFS(T_TTAFStock_Log[TTAF_Qty],T_TTAFStock_Log[Part Name],$A29,T_TTAFStock_Log[WeekIndex],12))</f>
        <v/>
      </c>
      <c r="N29" s="18">
        <f>IF(COUNTIFS(T_TTAFStock_Log[Part Name],$A29,T_TTAFStock_Log[WeekIndex],13)=0,"",SUMIFS(T_TTAFStock_Log[TTAF_Qty],T_TTAFStock_Log[Part Name],$A29,T_TTAFStock_Log[WeekIndex],13))</f>
        <v/>
      </c>
      <c r="O29" s="18">
        <f>IF(COUNTIFS(T_TTAFStock_Log[Part Name],$A29,T_TTAFStock_Log[WeekIndex],14)=0,"",SUMIFS(T_TTAFStock_Log[TTAF_Qty],T_TTAFStock_Log[Part Name],$A29,T_TTAFStock_Log[WeekIndex],14))</f>
        <v/>
      </c>
      <c r="P29" s="18">
        <f>IF(COUNTIFS(T_TTAFStock_Log[Part Name],$A29,T_TTAFStock_Log[WeekIndex],15)=0,"",SUMIFS(T_TTAFStock_Log[TTAF_Qty],T_TTAFStock_Log[Part Name],$A29,T_TTAFStock_Log[WeekIndex],15))</f>
        <v/>
      </c>
      <c r="Q29" s="18">
        <f>IF(COUNTIFS(T_TTAFStock_Log[Part Name],$A29,T_TTAFStock_Log[WeekIndex],16)=0,"",SUMIFS(T_TTAFStock_Log[TTAF_Qty],T_TTAFStock_Log[Part Name],$A29,T_TTAFStock_Log[WeekIndex],16))</f>
        <v/>
      </c>
      <c r="R29" s="18">
        <f>IF(COUNTIFS(T_TTAFStock_Log[Part Name],$A29,T_TTAFStock_Log[WeekIndex],17)=0,"",SUMIFS(T_TTAFStock_Log[TTAF_Qty],T_TTAFStock_Log[Part Name],$A29,T_TTAFStock_Log[WeekIndex],17))</f>
        <v/>
      </c>
      <c r="S29" s="18">
        <f>IF(COUNTIFS(T_TTAFStock_Log[Part Name],$A29,T_TTAFStock_Log[WeekIndex],18)=0,"",SUMIFS(T_TTAFStock_Log[TTAF_Qty],T_TTAFStock_Log[Part Name],$A29,T_TTAFStock_Log[WeekIndex],18))</f>
        <v/>
      </c>
      <c r="T29" s="18">
        <f>IF(COUNTIFS(T_TTAFStock_Log[Part Name],$A29,T_TTAFStock_Log[WeekIndex],19)=0,"",SUMIFS(T_TTAFStock_Log[TTAF_Qty],T_TTAFStock_Log[Part Name],$A29,T_TTAFStock_Log[WeekIndex],19))</f>
        <v/>
      </c>
      <c r="U29" s="18">
        <f>IF(COUNTIFS(T_TTAFStock_Log[Part Name],$A29,T_TTAFStock_Log[WeekIndex],20)=0,"",SUMIFS(T_TTAFStock_Log[TTAF_Qty],T_TTAFStock_Log[Part Name],$A29,T_TTAFStock_Log[WeekIndex],20))</f>
        <v/>
      </c>
      <c r="V29" s="18">
        <f>IF(COUNTIFS(T_TTAFStock_Log[Part Name],$A29,T_TTAFStock_Log[WeekIndex],21)=0,"",SUMIFS(T_TTAFStock_Log[TTAF_Qty],T_TTAFStock_Log[Part Name],$A29,T_TTAFStock_Log[WeekIndex],21))</f>
        <v/>
      </c>
      <c r="W29" s="18">
        <f>IF(COUNTIFS(T_TTAFStock_Log[Part Name],$A29,T_TTAFStock_Log[WeekIndex],22)=0,"",SUMIFS(T_TTAFStock_Log[TTAF_Qty],T_TTAFStock_Log[Part Name],$A29,T_TTAFStock_Log[WeekIndex],22))</f>
        <v/>
      </c>
      <c r="X29" s="18">
        <f>IF(COUNTIFS(T_TTAFStock_Log[Part Name],$A29,T_TTAFStock_Log[WeekIndex],23)=0,"",SUMIFS(T_TTAFStock_Log[TTAF_Qty],T_TTAFStock_Log[Part Name],$A29,T_TTAFStock_Log[WeekIndex],23))</f>
        <v/>
      </c>
      <c r="Y29" s="18">
        <f>IF(COUNTIFS(T_TTAFStock_Log[Part Name],$A29,T_TTAFStock_Log[WeekIndex],24)=0,"",SUMIFS(T_TTAFStock_Log[TTAF_Qty],T_TTAFStock_Log[Part Name],$A29,T_TTAFStock_Log[WeekIndex],24))</f>
        <v/>
      </c>
      <c r="Z29" s="18">
        <f>IF(COUNTIFS(T_TTAFStock_Log[Part Name],$A29,T_TTAFStock_Log[WeekIndex],25)=0,"",SUMIFS(T_TTAFStock_Log[TTAF_Qty],T_TTAFStock_Log[Part Name],$A29,T_TTAFStock_Log[WeekIndex],25))</f>
        <v/>
      </c>
      <c r="AA29" s="18">
        <f>IF(COUNTIFS(T_TTAFStock_Log[Part Name],$A29,T_TTAFStock_Log[WeekIndex],26)=0,"",SUMIFS(T_TTAFStock_Log[TTAF_Qty],T_TTAFStock_Log[Part Name],$A29,T_TTAFStock_Log[WeekIndex],26))</f>
        <v/>
      </c>
      <c r="AB29" s="18">
        <f>IF(COUNTIFS(T_TTAFStock_Log[Part Name],$A29,T_TTAFStock_Log[WeekIndex],27)=0,"",SUMIFS(T_TTAFStock_Log[TTAF_Qty],T_TTAFStock_Log[Part Name],$A29,T_TTAFStock_Log[WeekIndex],27))</f>
        <v/>
      </c>
      <c r="AC29" s="18">
        <f>IF(COUNTIFS(T_TTAFStock_Log[Part Name],$A29,T_TTAFStock_Log[WeekIndex],28)=0,"",SUMIFS(T_TTAFStock_Log[TTAF_Qty],T_TTAFStock_Log[Part Name],$A29,T_TTAFStock_Log[WeekIndex],28))</f>
        <v/>
      </c>
      <c r="AD29" s="18">
        <f>IF(COUNTIFS(T_TTAFStock_Log[Part Name],$A29,T_TTAFStock_Log[WeekIndex],29)=0,"",SUMIFS(T_TTAFStock_Log[TTAF_Qty],T_TTAFStock_Log[Part Name],$A29,T_TTAFStock_Log[WeekIndex],29))</f>
        <v/>
      </c>
      <c r="AE29" s="18">
        <f>IF(COUNTIFS(T_TTAFStock_Log[Part Name],$A29,T_TTAFStock_Log[WeekIndex],30)=0,"",SUMIFS(T_TTAFStock_Log[TTAF_Qty],T_TTAFStock_Log[Part Name],$A29,T_TTAFStock_Log[WeekIndex],30))</f>
        <v/>
      </c>
      <c r="AF29" s="18">
        <f>IF(COUNTIFS(T_TTAFStock_Log[Part Name],$A29,T_TTAFStock_Log[WeekIndex],31)=0,"",SUMIFS(T_TTAFStock_Log[TTAF_Qty],T_TTAFStock_Log[Part Name],$A29,T_TTAFStock_Log[WeekIndex],31))</f>
        <v/>
      </c>
      <c r="AG29" s="18">
        <f>IF(COUNTIFS(T_TTAFStock_Log[Part Name],$A29,T_TTAFStock_Log[WeekIndex],32)=0,"",SUMIFS(T_TTAFStock_Log[TTAF_Qty],T_TTAFStock_Log[Part Name],$A29,T_TTAFStock_Log[WeekIndex],32))</f>
        <v/>
      </c>
      <c r="AH29" s="18">
        <f>IF(COUNTIFS(T_TTAFStock_Log[Part Name],$A29,T_TTAFStock_Log[WeekIndex],33)=0,"",SUMIFS(T_TTAFStock_Log[TTAF_Qty],T_TTAFStock_Log[Part Name],$A29,T_TTAFStock_Log[WeekIndex],33))</f>
        <v/>
      </c>
      <c r="AI29" s="18">
        <f>IF(COUNTIFS(T_TTAFStock_Log[Part Name],$A29,T_TTAFStock_Log[WeekIndex],34)=0,"",SUMIFS(T_TTAFStock_Log[TTAF_Qty],T_TTAFStock_Log[Part Name],$A29,T_TTAFStock_Log[WeekIndex],34))</f>
        <v/>
      </c>
      <c r="AJ29" s="18">
        <f>IF(COUNTIFS(T_TTAFStock_Log[Part Name],$A29,T_TTAFStock_Log[WeekIndex],35)=0,"",SUMIFS(T_TTAFStock_Log[TTAF_Qty],T_TTAFStock_Log[Part Name],$A29,T_TTAFStock_Log[WeekIndex],35))</f>
        <v/>
      </c>
      <c r="AK29" s="18">
        <f>IF(COUNTIFS(T_TTAFStock_Log[Part Name],$A29,T_TTAFStock_Log[WeekIndex],36)=0,"",SUMIFS(T_TTAFStock_Log[TTAF_Qty],T_TTAFStock_Log[Part Name],$A29,T_TTAFStock_Log[WeekIndex],36))</f>
        <v/>
      </c>
      <c r="AL29" s="18">
        <f>IF(COUNTIFS(T_TTAFStock_Log[Part Name],$A29,T_TTAFStock_Log[WeekIndex],37)=0,"",SUMIFS(T_TTAFStock_Log[TTAF_Qty],T_TTAFStock_Log[Part Name],$A29,T_TTAFStock_Log[WeekIndex],37))</f>
        <v/>
      </c>
      <c r="AM29" s="18">
        <f>IF(COUNTIFS(T_TTAFStock_Log[Part Name],$A29,T_TTAFStock_Log[WeekIndex],38)=0,"",SUMIFS(T_TTAFStock_Log[TTAF_Qty],T_TTAFStock_Log[Part Name],$A29,T_TTAFStock_Log[WeekIndex],38))</f>
        <v/>
      </c>
      <c r="AN29" s="18">
        <f>IF(COUNTIFS(T_TTAFStock_Log[Part Name],$A29,T_TTAFStock_Log[WeekIndex],39)=0,"",SUMIFS(T_TTAFStock_Log[TTAF_Qty],T_TTAFStock_Log[Part Name],$A29,T_TTAFStock_Log[WeekIndex],39))</f>
        <v/>
      </c>
      <c r="AO29" s="18">
        <f>IF(COUNTIFS(T_TTAFStock_Log[Part Name],$A29,T_TTAFStock_Log[WeekIndex],40)=0,"",SUMIFS(T_TTAFStock_Log[TTAF_Qty],T_TTAFStock_Log[Part Name],$A29,T_TTAFStock_Log[WeekIndex],40))</f>
        <v/>
      </c>
      <c r="AP29" s="18">
        <f>IF(COUNTIFS(T_TTAFStock_Log[Part Name],$A29,T_TTAFStock_Log[WeekIndex],41)=0,"",SUMIFS(T_TTAFStock_Log[TTAF_Qty],T_TTAFStock_Log[Part Name],$A29,T_TTAFStock_Log[WeekIndex],41))</f>
        <v/>
      </c>
      <c r="AQ29" s="18">
        <f>IF(COUNTIFS(T_TTAFStock_Log[Part Name],$A29,T_TTAFStock_Log[WeekIndex],42)=0,"",SUMIFS(T_TTAFStock_Log[TTAF_Qty],T_TTAFStock_Log[Part Name],$A29,T_TTAFStock_Log[WeekIndex],42))</f>
        <v/>
      </c>
      <c r="AR29" s="18">
        <f>IF(COUNTIFS(T_TTAFStock_Log[Part Name],$A29,T_TTAFStock_Log[WeekIndex],43)=0,"",SUMIFS(T_TTAFStock_Log[TTAF_Qty],T_TTAFStock_Log[Part Name],$A29,T_TTAFStock_Log[WeekIndex],43))</f>
        <v/>
      </c>
      <c r="AS29" s="18">
        <f>IF(COUNTIFS(T_TTAFStock_Log[Part Name],$A29,T_TTAFStock_Log[WeekIndex],44)=0,"",SUMIFS(T_TTAFStock_Log[TTAF_Qty],T_TTAFStock_Log[Part Name],$A29,T_TTAFStock_Log[WeekIndex],44))</f>
        <v/>
      </c>
      <c r="AT29" s="18">
        <f>IF(COUNTIFS(T_TTAFStock_Log[Part Name],$A29,T_TTAFStock_Log[WeekIndex],45)=0,"",SUMIFS(T_TTAFStock_Log[TTAF_Qty],T_TTAFStock_Log[Part Name],$A29,T_TTAFStock_Log[WeekIndex],45))</f>
        <v/>
      </c>
      <c r="AU29" s="18">
        <f>IF(COUNTIFS(T_TTAFStock_Log[Part Name],$A29,T_TTAFStock_Log[WeekIndex],46)=0,"",SUMIFS(T_TTAFStock_Log[TTAF_Qty],T_TTAFStock_Log[Part Name],$A29,T_TTAFStock_Log[WeekIndex],46))</f>
        <v/>
      </c>
      <c r="AV29" s="18">
        <f>IF(COUNTIFS(T_TTAFStock_Log[Part Name],$A29,T_TTAFStock_Log[WeekIndex],47)=0,"",SUMIFS(T_TTAFStock_Log[TTAF_Qty],T_TTAFStock_Log[Part Name],$A29,T_TTAFStock_Log[WeekIndex],47))</f>
        <v/>
      </c>
      <c r="AW29" s="18">
        <f>IF(COUNTIFS(T_TTAFStock_Log[Part Name],$A29,T_TTAFStock_Log[WeekIndex],48)=0,"",SUMIFS(T_TTAFStock_Log[TTAF_Qty],T_TTAFStock_Log[Part Name],$A29,T_TTAFStock_Log[WeekIndex],48))</f>
        <v/>
      </c>
      <c r="AX29" s="18">
        <f>IF(COUNTIFS(T_TTAFStock_Log[Part Name],$A29,T_TTAFStock_Log[WeekIndex],49)=0,"",SUMIFS(T_TTAFStock_Log[TTAF_Qty],T_TTAFStock_Log[Part Name],$A29,T_TTAFStock_Log[WeekIndex],49))</f>
        <v/>
      </c>
      <c r="AY29" s="18">
        <f>IF(COUNTIFS(T_TTAFStock_Log[Part Name],$A29,T_TTAFStock_Log[WeekIndex],50)=0,"",SUMIFS(T_TTAFStock_Log[TTAF_Qty],T_TTAFStock_Log[Part Name],$A29,T_TTAFStock_Log[WeekIndex],50))</f>
        <v/>
      </c>
      <c r="AZ29" s="18">
        <f>IF(COUNTIFS(T_TTAFStock_Log[Part Name],$A29,T_TTAFStock_Log[WeekIndex],51)=0,"",SUMIFS(T_TTAFStock_Log[TTAF_Qty],T_TTAFStock_Log[Part Name],$A29,T_TTAFStock_Log[WeekIndex],51))</f>
        <v/>
      </c>
      <c r="BA29" s="18">
        <f>IF(COUNTIFS(T_TTAFStock_Log[Part Name],$A29,T_TTAFStock_Log[WeekIndex],52)=0,"",SUMIFS(T_TTAFStock_Log[TTAF_Qty],T_TTAFStock_Log[Part Name],$A29,T_TTAFStock_Log[WeekIndex],52))</f>
        <v/>
      </c>
      <c r="BB29" s="18">
        <f>IF(COUNTIFS(T_TTAFStock_Log[Part Name],$A29,T_TTAFStock_Log[WeekIndex],53)=0,"",SUMIFS(T_TTAFStock_Log[TTAF_Qty],T_TTAFStock_Log[Part Name],$A29,T_TTAFStock_Log[WeekIndex],53))</f>
        <v/>
      </c>
      <c r="BC29" s="18">
        <f>IF(COUNTIFS(T_TTAFStock_Log[Part Name],$A29,T_TTAFStock_Log[WeekIndex],54)=0,"",SUMIFS(T_TTAFStock_Log[TTAF_Qty],T_TTAFStock_Log[Part Name],$A29,T_TTAFStock_Log[WeekIndex],54))</f>
        <v/>
      </c>
      <c r="BD29" s="18">
        <f>IF(COUNTIFS(T_TTAFStock_Log[Part Name],$A29,T_TTAFStock_Log[WeekIndex],55)=0,"",SUMIFS(T_TTAFStock_Log[TTAF_Qty],T_TTAFStock_Log[Part Name],$A29,T_TTAFStock_Log[WeekIndex],55))</f>
        <v/>
      </c>
      <c r="BE29" s="18">
        <f>IF(COUNTIFS(T_TTAFStock_Log[Part Name],$A29,T_TTAFStock_Log[WeekIndex],56)=0,"",SUMIFS(T_TTAFStock_Log[TTAF_Qty],T_TTAFStock_Log[Part Name],$A29,T_TTAFStock_Log[WeekIndex],56))</f>
        <v/>
      </c>
      <c r="BF29" s="18">
        <f>IF(COUNTIFS(T_TTAFStock_Log[Part Name],$A29,T_TTAFStock_Log[WeekIndex],57)=0,"",SUMIFS(T_TTAFStock_Log[TTAF_Qty],T_TTAFStock_Log[Part Name],$A29,T_TTAFStock_Log[WeekIndex],57))</f>
        <v/>
      </c>
      <c r="BG29" s="18">
        <f>IF(COUNTIFS(T_TTAFStock_Log[Part Name],$A29,T_TTAFStock_Log[WeekIndex],58)=0,"",SUMIFS(T_TTAFStock_Log[TTAF_Qty],T_TTAFStock_Log[Part Name],$A29,T_TTAFStock_Log[WeekIndex],58))</f>
        <v/>
      </c>
      <c r="BH29" s="18">
        <f>IF(COUNTIFS(T_TTAFStock_Log[Part Name],$A29,T_TTAFStock_Log[WeekIndex],59)=0,"",SUMIFS(T_TTAFStock_Log[TTAF_Qty],T_TTAFStock_Log[Part Name],$A29,T_TTAFStock_Log[WeekIndex],59))</f>
        <v/>
      </c>
      <c r="BI29" s="18">
        <f>IF(COUNTIFS(T_TTAFStock_Log[Part Name],$A29,T_TTAFStock_Log[WeekIndex],60)=0,"",SUMIFS(T_TTAFStock_Log[TTAF_Qty],T_TTAFStock_Log[Part Name],$A29,T_TTAFStock_Log[WeekIndex],60))</f>
        <v/>
      </c>
      <c r="BJ29" s="18">
        <f>IF(COUNTIFS(T_TTAFStock_Log[Part Name],$A29,T_TTAFStock_Log[WeekIndex],61)=0,"",SUMIFS(T_TTAFStock_Log[TTAF_Qty],T_TTAFStock_Log[Part Name],$A29,T_TTAFStock_Log[WeekIndex],61))</f>
        <v/>
      </c>
      <c r="BK29" s="18">
        <f>IF(COUNTIFS(T_TTAFStock_Log[Part Name],$A29,T_TTAFStock_Log[WeekIndex],62)=0,"",SUMIFS(T_TTAFStock_Log[TTAF_Qty],T_TTAFStock_Log[Part Name],$A29,T_TTAFStock_Log[WeekIndex],62))</f>
        <v/>
      </c>
      <c r="BL29" s="18">
        <f>IF(COUNTIFS(T_TTAFStock_Log[Part Name],$A29,T_TTAFStock_Log[WeekIndex],63)=0,"",SUMIFS(T_TTAFStock_Log[TTAF_Qty],T_TTAFStock_Log[Part Name],$A29,T_TTAFStock_Log[WeekIndex],63))</f>
        <v/>
      </c>
      <c r="BM29" s="18">
        <f>IF(COUNTIFS(T_TTAFStock_Log[Part Name],$A29,T_TTAFStock_Log[WeekIndex],64)=0,"",SUMIFS(T_TTAFStock_Log[TTAF_Qty],T_TTAFStock_Log[Part Name],$A29,T_TTAFStock_Log[WeekIndex],64))</f>
        <v/>
      </c>
      <c r="BN29" s="18">
        <f>IF(COUNTIFS(T_TTAFStock_Log[Part Name],$A29,T_TTAFStock_Log[WeekIndex],65)=0,"",SUMIFS(T_TTAFStock_Log[TTAF_Qty],T_TTAFStock_Log[Part Name],$A29,T_TTAFStock_Log[WeekIndex],65))</f>
        <v/>
      </c>
      <c r="BO29" s="18">
        <f>IF(COUNTIFS(T_TTAFStock_Log[Part Name],$A29,T_TTAFStock_Log[WeekIndex],66)=0,"",SUMIFS(T_TTAFStock_Log[TTAF_Qty],T_TTAFStock_Log[Part Name],$A29,T_TTAFStock_Log[WeekIndex],66))</f>
        <v/>
      </c>
      <c r="BP29" s="18">
        <f>IF(COUNTIFS(T_TTAFStock_Log[Part Name],$A29,T_TTAFStock_Log[WeekIndex],67)=0,"",SUMIFS(T_TTAFStock_Log[TTAF_Qty],T_TTAFStock_Log[Part Name],$A29,T_TTAFStock_Log[WeekIndex],67))</f>
        <v/>
      </c>
      <c r="BQ29" s="18">
        <f>IF(COUNTIFS(T_TTAFStock_Log[Part Name],$A29,T_TTAFStock_Log[WeekIndex],68)=0,"",SUMIFS(T_TTAFStock_Log[TTAF_Qty],T_TTAFStock_Log[Part Name],$A29,T_TTAFStock_Log[WeekIndex],68))</f>
        <v/>
      </c>
      <c r="BR29" s="18">
        <f>IF(COUNTIFS(T_TTAFStock_Log[Part Name],$A29,T_TTAFStock_Log[WeekIndex],69)=0,"",SUMIFS(T_TTAFStock_Log[TTAF_Qty],T_TTAFStock_Log[Part Name],$A29,T_TTAFStock_Log[WeekIndex],69))</f>
        <v/>
      </c>
      <c r="BS29" s="18">
        <f>IF(COUNTIFS(T_TTAFStock_Log[Part Name],$A29,T_TTAFStock_Log[WeekIndex],70)=0,"",SUMIFS(T_TTAFStock_Log[TTAF_Qty],T_TTAFStock_Log[Part Name],$A29,T_TTAFStock_Log[WeekIndex],70))</f>
        <v/>
      </c>
      <c r="BT29" s="18">
        <f>IF(COUNTIFS(T_TTAFStock_Log[Part Name],$A29,T_TTAFStock_Log[WeekIndex],71)=0,"",SUMIFS(T_TTAFStock_Log[TTAF_Qty],T_TTAFStock_Log[Part Name],$A29,T_TTAFStock_Log[WeekIndex],71))</f>
        <v/>
      </c>
      <c r="BU29" s="18">
        <f>IF(COUNTIFS(T_TTAFStock_Log[Part Name],$A29,T_TTAFStock_Log[WeekIndex],72)=0,"",SUMIFS(T_TTAFStock_Log[TTAF_Qty],T_TTAFStock_Log[Part Name],$A29,T_TTAFStock_Log[WeekIndex],72))</f>
        <v/>
      </c>
      <c r="BV29" s="18">
        <f>IF(COUNTIFS(T_TTAFStock_Log[Part Name],$A29,T_TTAFStock_Log[WeekIndex],73)=0,"",SUMIFS(T_TTAFStock_Log[TTAF_Qty],T_TTAFStock_Log[Part Name],$A29,T_TTAFStock_Log[WeekIndex],73))</f>
        <v/>
      </c>
      <c r="BW29" s="18">
        <f>IF(COUNTIFS(T_TTAFStock_Log[Part Name],$A29,T_TTAFStock_Log[WeekIndex],74)=0,"",SUMIFS(T_TTAFStock_Log[TTAF_Qty],T_TTAFStock_Log[Part Name],$A29,T_TTAFStock_Log[WeekIndex],74))</f>
        <v/>
      </c>
      <c r="BX29" s="18">
        <f>IF(COUNTIFS(T_TTAFStock_Log[Part Name],$A29,T_TTAFStock_Log[WeekIndex],75)=0,"",SUMIFS(T_TTAFStock_Log[TTAF_Qty],T_TTAFStock_Log[Part Name],$A29,T_TTAFStock_Log[WeekIndex],75))</f>
        <v/>
      </c>
      <c r="BY29" s="18">
        <f>IF(COUNTIFS(T_TTAFStock_Log[Part Name],$A29,T_TTAFStock_Log[WeekIndex],76)=0,"",SUMIFS(T_TTAFStock_Log[TTAF_Qty],T_TTAFStock_Log[Part Name],$A29,T_TTAFStock_Log[WeekIndex],76))</f>
        <v/>
      </c>
      <c r="BZ29" s="18">
        <f>IF(COUNTIFS(T_TTAFStock_Log[Part Name],$A29,T_TTAFStock_Log[WeekIndex],77)=0,"",SUMIFS(T_TTAFStock_Log[TTAF_Qty],T_TTAFStock_Log[Part Name],$A29,T_TTAFStock_Log[WeekIndex],77))</f>
        <v/>
      </c>
      <c r="CA29" s="18">
        <f>IF(COUNTIFS(T_TTAFStock_Log[Part Name],$A29,T_TTAFStock_Log[WeekIndex],78)=0,"",SUMIFS(T_TTAFStock_Log[TTAF_Qty],T_TTAFStock_Log[Part Name],$A29,T_TTAFStock_Log[WeekIndex],78))</f>
        <v/>
      </c>
      <c r="CB29" s="18">
        <f>IF(COUNTIFS(T_TTAFStock_Log[Part Name],$A29,T_TTAFStock_Log[WeekIndex],79)=0,"",SUMIFS(T_TTAFStock_Log[TTAF_Qty],T_TTAFStock_Log[Part Name],$A29,T_TTAFStock_Log[WeekIndex],79))</f>
        <v/>
      </c>
      <c r="CC29" s="18">
        <f>IF(COUNTIFS(T_TTAFStock_Log[Part Name],$A29,T_TTAFStock_Log[WeekIndex],80)=0,"",SUMIFS(T_TTAFStock_Log[TTAF_Qty],T_TTAFStock_Log[Part Name],$A29,T_TTAFStock_Log[WeekIndex],80))</f>
        <v/>
      </c>
      <c r="CD29" s="18">
        <f>IF(COUNTIFS(T_TTAFStock_Log[Part Name],$A29,T_TTAFStock_Log[WeekIndex],81)=0,"",SUMIFS(T_TTAFStock_Log[TTAF_Qty],T_TTAFStock_Log[Part Name],$A29,T_TTAFStock_Log[WeekIndex],81))</f>
        <v/>
      </c>
      <c r="CE29" s="18">
        <f>IF(COUNTIFS(T_TTAFStock_Log[Part Name],$A29,T_TTAFStock_Log[WeekIndex],82)=0,"",SUMIFS(T_TTAFStock_Log[TTAF_Qty],T_TTAFStock_Log[Part Name],$A29,T_TTAFStock_Log[WeekIndex],82))</f>
        <v/>
      </c>
      <c r="CF29" s="18">
        <f>IF(COUNTIFS(T_TTAFStock_Log[Part Name],$A29,T_TTAFStock_Log[WeekIndex],83)=0,"",SUMIFS(T_TTAFStock_Log[TTAF_Qty],T_TTAFStock_Log[Part Name],$A29,T_TTAFStock_Log[WeekIndex],83))</f>
        <v/>
      </c>
      <c r="CG29" s="18">
        <f>IF(COUNTIFS(T_TTAFStock_Log[Part Name],$A29,T_TTAFStock_Log[WeekIndex],84)=0,"",SUMIFS(T_TTAFStock_Log[TTAF_Qty],T_TTAFStock_Log[Part Name],$A29,T_TTAFStock_Log[WeekIndex],84))</f>
        <v/>
      </c>
      <c r="CH29" s="18">
        <f>IF(COUNTIFS(T_TTAFStock_Log[Part Name],$A29,T_TTAFStock_Log[WeekIndex],85)=0,"",SUMIFS(T_TTAFStock_Log[TTAF_Qty],T_TTAFStock_Log[Part Name],$A29,T_TTAFStock_Log[WeekIndex],85))</f>
        <v/>
      </c>
      <c r="CI29" s="18">
        <f>IF(COUNTIFS(T_TTAFStock_Log[Part Name],$A29,T_TTAFStock_Log[WeekIndex],86)=0,"",SUMIFS(T_TTAFStock_Log[TTAF_Qty],T_TTAFStock_Log[Part Name],$A29,T_TTAFStock_Log[WeekIndex],86))</f>
        <v/>
      </c>
      <c r="CJ29" s="18">
        <f>IF(COUNTIFS(T_TTAFStock_Log[Part Name],$A29,T_TTAFStock_Log[WeekIndex],87)=0,"",SUMIFS(T_TTAFStock_Log[TTAF_Qty],T_TTAFStock_Log[Part Name],$A29,T_TTAFStock_Log[WeekIndex],87))</f>
        <v/>
      </c>
      <c r="CK29" s="18">
        <f>IF(COUNTIFS(T_TTAFStock_Log[Part Name],$A29,T_TTAFStock_Log[WeekIndex],88)=0,"",SUMIFS(T_TTAFStock_Log[TTAF_Qty],T_TTAFStock_Log[Part Name],$A29,T_TTAFStock_Log[WeekIndex],88))</f>
        <v/>
      </c>
      <c r="CL29" s="18">
        <f>IF(COUNTIFS(T_TTAFStock_Log[Part Name],$A29,T_TTAFStock_Log[WeekIndex],89)=0,"",SUMIFS(T_TTAFStock_Log[TTAF_Qty],T_TTAFStock_Log[Part Name],$A29,T_TTAFStock_Log[WeekIndex],89))</f>
        <v/>
      </c>
      <c r="CM29" s="18">
        <f>IF(COUNTIFS(T_TTAFStock_Log[Part Name],$A29,T_TTAFStock_Log[WeekIndex],90)=0,"",SUMIFS(T_TTAFStock_Log[TTAF_Qty],T_TTAFStock_Log[Part Name],$A29,T_TTAFStock_Log[WeekIndex],90))</f>
        <v/>
      </c>
      <c r="CN29" s="18">
        <f>IF(COUNTIFS(T_TTAFStock_Log[Part Name],$A29,T_TTAFStock_Log[WeekIndex],91)=0,"",SUMIFS(T_TTAFStock_Log[TTAF_Qty],T_TTAFStock_Log[Part Name],$A29,T_TTAFStock_Log[WeekIndex],91))</f>
        <v/>
      </c>
      <c r="CO29" s="18">
        <f>IF(COUNTIFS(T_TTAFStock_Log[Part Name],$A29,T_TTAFStock_Log[WeekIndex],92)=0,"",SUMIFS(T_TTAFStock_Log[TTAF_Qty],T_TTAFStock_Log[Part Name],$A29,T_TTAFStock_Log[WeekIndex],92))</f>
        <v/>
      </c>
      <c r="CP29" s="18">
        <f>IF(COUNTIFS(T_TTAFStock_Log[Part Name],$A29,T_TTAFStock_Log[WeekIndex],93)=0,"",SUMIFS(T_TTAFStock_Log[TTAF_Qty],T_TTAFStock_Log[Part Name],$A29,T_TTAFStock_Log[WeekIndex],93))</f>
        <v/>
      </c>
      <c r="CQ29" s="18">
        <f>IF(COUNTIFS(T_TTAFStock_Log[Part Name],$A29,T_TTAFStock_Log[WeekIndex],94)=0,"",SUMIFS(T_TTAFStock_Log[TTAF_Qty],T_TTAFStock_Log[Part Name],$A29,T_TTAFStock_Log[WeekIndex],94))</f>
        <v/>
      </c>
      <c r="CR29" s="18">
        <f>IF(COUNTIFS(T_TTAFStock_Log[Part Name],$A29,T_TTAFStock_Log[WeekIndex],95)=0,"",SUMIFS(T_TTAFStock_Log[TTAF_Qty],T_TTAFStock_Log[Part Name],$A29,T_TTAFStock_Log[WeekIndex],95))</f>
        <v/>
      </c>
      <c r="CS29" s="18">
        <f>IF(COUNTIFS(T_TTAFStock_Log[Part Name],$A29,T_TTAFStock_Log[WeekIndex],96)=0,"",SUMIFS(T_TTAFStock_Log[TTAF_Qty],T_TTAFStock_Log[Part Name],$A29,T_TTAFStock_Log[WeekIndex],96))</f>
        <v/>
      </c>
      <c r="CT29" s="18">
        <f>IF(COUNTIFS(T_TTAFStock_Log[Part Name],$A29,T_TTAFStock_Log[WeekIndex],97)=0,"",SUMIFS(T_TTAFStock_Log[TTAF_Qty],T_TTAFStock_Log[Part Name],$A29,T_TTAFStock_Log[WeekIndex],97))</f>
        <v/>
      </c>
      <c r="CU29" s="18">
        <f>IF(COUNTIFS(T_TTAFStock_Log[Part Name],$A29,T_TTAFStock_Log[WeekIndex],98)=0,"",SUMIFS(T_TTAFStock_Log[TTAF_Qty],T_TTAFStock_Log[Part Name],$A29,T_TTAFStock_Log[WeekIndex],98))</f>
        <v/>
      </c>
      <c r="CV29" s="18">
        <f>IF(COUNTIFS(T_TTAFStock_Log[Part Name],$A29,T_TTAFStock_Log[WeekIndex],99)=0,"",SUMIFS(T_TTAFStock_Log[TTAF_Qty],T_TTAFStock_Log[Part Name],$A29,T_TTAFStock_Log[WeekIndex],99))</f>
        <v/>
      </c>
      <c r="CW29" s="18">
        <f>IF(COUNTIFS(T_TTAFStock_Log[Part Name],$A29,T_TTAFStock_Log[WeekIndex],100)=0,"",SUMIFS(T_TTAFStock_Log[TTAF_Qty],T_TTAFStock_Log[Part Name],$A29,T_TTAFStock_Log[WeekIndex],100))</f>
        <v/>
      </c>
      <c r="CX29" s="18">
        <f>IF(COUNTIFS(T_TTAFStock_Log[Part Name],$A29,T_TTAFStock_Log[WeekIndex],101)=0,"",SUMIFS(T_TTAFStock_Log[TTAF_Qty],T_TTAFStock_Log[Part Name],$A29,T_TTAFStock_Log[WeekIndex],101))</f>
        <v/>
      </c>
      <c r="CY29" s="18">
        <f>IF(COUNTIFS(T_TTAFStock_Log[Part Name],$A29,T_TTAFStock_Log[WeekIndex],102)=0,"",SUMIFS(T_TTAFStock_Log[TTAF_Qty],T_TTAFStock_Log[Part Name],$A29,T_TTAFStock_Log[WeekIndex],102))</f>
        <v/>
      </c>
      <c r="CZ29" s="18">
        <f>IF(COUNTIFS(T_TTAFStock_Log[Part Name],$A29,T_TTAFStock_Log[WeekIndex],103)=0,"",SUMIFS(T_TTAFStock_Log[TTAF_Qty],T_TTAFStock_Log[Part Name],$A29,T_TTAFStock_Log[WeekIndex],103))</f>
        <v/>
      </c>
      <c r="DA29" s="18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CHEM-1830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8" t="inlineStr">
        <is>
          <t>CHEM-1680</t>
        </is>
      </c>
      <c r="B31" s="18">
        <f>IF(COUNTIFS(T_TTAFStock_Log[Part Name],$A31,T_TTAFStock_Log[WeekIndex],1)=0,"",SUMIFS(T_TTAFStock_Log[TTAF_Qty],T_TTAFStock_Log[Part Name],$A31,T_TTAFStock_Log[WeekIndex],1))</f>
        <v/>
      </c>
      <c r="C31" s="18">
        <f>IF(COUNTIFS(T_TTAFStock_Log[Part Name],$A31,T_TTAFStock_Log[WeekIndex],2)=0,"",SUMIFS(T_TTAFStock_Log[TTAF_Qty],T_TTAFStock_Log[Part Name],$A31,T_TTAFStock_Log[WeekIndex],2))</f>
        <v/>
      </c>
      <c r="D31" s="18">
        <f>IF(COUNTIFS(T_TTAFStock_Log[Part Name],$A31,T_TTAFStock_Log[WeekIndex],3)=0,"",SUMIFS(T_TTAFStock_Log[TTAF_Qty],T_TTAFStock_Log[Part Name],$A31,T_TTAFStock_Log[WeekIndex],3))</f>
        <v/>
      </c>
      <c r="E31" s="18">
        <f>IF(COUNTIFS(T_TTAFStock_Log[Part Name],$A31,T_TTAFStock_Log[WeekIndex],4)=0,"",SUMIFS(T_TTAFStock_Log[TTAF_Qty],T_TTAFStock_Log[Part Name],$A31,T_TTAFStock_Log[WeekIndex],4))</f>
        <v/>
      </c>
      <c r="F31" s="18">
        <f>IF(COUNTIFS(T_TTAFStock_Log[Part Name],$A31,T_TTAFStock_Log[WeekIndex],5)=0,"",SUMIFS(T_TTAFStock_Log[TTAF_Qty],T_TTAFStock_Log[Part Name],$A31,T_TTAFStock_Log[WeekIndex],5))</f>
        <v/>
      </c>
      <c r="G31" s="18">
        <f>IF(COUNTIFS(T_TTAFStock_Log[Part Name],$A31,T_TTAFStock_Log[WeekIndex],6)=0,"",SUMIFS(T_TTAFStock_Log[TTAF_Qty],T_TTAFStock_Log[Part Name],$A31,T_TTAFStock_Log[WeekIndex],6))</f>
        <v/>
      </c>
      <c r="H31" s="18">
        <f>IF(COUNTIFS(T_TTAFStock_Log[Part Name],$A31,T_TTAFStock_Log[WeekIndex],7)=0,"",SUMIFS(T_TTAFStock_Log[TTAF_Qty],T_TTAFStock_Log[Part Name],$A31,T_TTAFStock_Log[WeekIndex],7))</f>
        <v/>
      </c>
      <c r="I31" s="18">
        <f>IF(COUNTIFS(T_TTAFStock_Log[Part Name],$A31,T_TTAFStock_Log[WeekIndex],8)=0,"",SUMIFS(T_TTAFStock_Log[TTAF_Qty],T_TTAFStock_Log[Part Name],$A31,T_TTAFStock_Log[WeekIndex],8))</f>
        <v/>
      </c>
      <c r="J31" s="18">
        <f>IF(COUNTIFS(T_TTAFStock_Log[Part Name],$A31,T_TTAFStock_Log[WeekIndex],9)=0,"",SUMIFS(T_TTAFStock_Log[TTAF_Qty],T_TTAFStock_Log[Part Name],$A31,T_TTAFStock_Log[WeekIndex],9))</f>
        <v/>
      </c>
      <c r="K31" s="18">
        <f>IF(COUNTIFS(T_TTAFStock_Log[Part Name],$A31,T_TTAFStock_Log[WeekIndex],10)=0,"",SUMIFS(T_TTAFStock_Log[TTAF_Qty],T_TTAFStock_Log[Part Name],$A31,T_TTAFStock_Log[WeekIndex],10))</f>
        <v/>
      </c>
      <c r="L31" s="18">
        <f>IF(COUNTIFS(T_TTAFStock_Log[Part Name],$A31,T_TTAFStock_Log[WeekIndex],11)=0,"",SUMIFS(T_TTAFStock_Log[TTAF_Qty],T_TTAFStock_Log[Part Name],$A31,T_TTAFStock_Log[WeekIndex],11))</f>
        <v/>
      </c>
      <c r="M31" s="18">
        <f>IF(COUNTIFS(T_TTAFStock_Log[Part Name],$A31,T_TTAFStock_Log[WeekIndex],12)=0,"",SUMIFS(T_TTAFStock_Log[TTAF_Qty],T_TTAFStock_Log[Part Name],$A31,T_TTAFStock_Log[WeekIndex],12))</f>
        <v/>
      </c>
      <c r="N31" s="18">
        <f>IF(COUNTIFS(T_TTAFStock_Log[Part Name],$A31,T_TTAFStock_Log[WeekIndex],13)=0,"",SUMIFS(T_TTAFStock_Log[TTAF_Qty],T_TTAFStock_Log[Part Name],$A31,T_TTAFStock_Log[WeekIndex],13))</f>
        <v/>
      </c>
      <c r="O31" s="18">
        <f>IF(COUNTIFS(T_TTAFStock_Log[Part Name],$A31,T_TTAFStock_Log[WeekIndex],14)=0,"",SUMIFS(T_TTAFStock_Log[TTAF_Qty],T_TTAFStock_Log[Part Name],$A31,T_TTAFStock_Log[WeekIndex],14))</f>
        <v/>
      </c>
      <c r="P31" s="18">
        <f>IF(COUNTIFS(T_TTAFStock_Log[Part Name],$A31,T_TTAFStock_Log[WeekIndex],15)=0,"",SUMIFS(T_TTAFStock_Log[TTAF_Qty],T_TTAFStock_Log[Part Name],$A31,T_TTAFStock_Log[WeekIndex],15))</f>
        <v/>
      </c>
      <c r="Q31" s="18">
        <f>IF(COUNTIFS(T_TTAFStock_Log[Part Name],$A31,T_TTAFStock_Log[WeekIndex],16)=0,"",SUMIFS(T_TTAFStock_Log[TTAF_Qty],T_TTAFStock_Log[Part Name],$A31,T_TTAFStock_Log[WeekIndex],16))</f>
        <v/>
      </c>
      <c r="R31" s="18">
        <f>IF(COUNTIFS(T_TTAFStock_Log[Part Name],$A31,T_TTAFStock_Log[WeekIndex],17)=0,"",SUMIFS(T_TTAFStock_Log[TTAF_Qty],T_TTAFStock_Log[Part Name],$A31,T_TTAFStock_Log[WeekIndex],17))</f>
        <v/>
      </c>
      <c r="S31" s="18">
        <f>IF(COUNTIFS(T_TTAFStock_Log[Part Name],$A31,T_TTAFStock_Log[WeekIndex],18)=0,"",SUMIFS(T_TTAFStock_Log[TTAF_Qty],T_TTAFStock_Log[Part Name],$A31,T_TTAFStock_Log[WeekIndex],18))</f>
        <v/>
      </c>
      <c r="T31" s="18">
        <f>IF(COUNTIFS(T_TTAFStock_Log[Part Name],$A31,T_TTAFStock_Log[WeekIndex],19)=0,"",SUMIFS(T_TTAFStock_Log[TTAF_Qty],T_TTAFStock_Log[Part Name],$A31,T_TTAFStock_Log[WeekIndex],19))</f>
        <v/>
      </c>
      <c r="U31" s="18">
        <f>IF(COUNTIFS(T_TTAFStock_Log[Part Name],$A31,T_TTAFStock_Log[WeekIndex],20)=0,"",SUMIFS(T_TTAFStock_Log[TTAF_Qty],T_TTAFStock_Log[Part Name],$A31,T_TTAFStock_Log[WeekIndex],20))</f>
        <v/>
      </c>
      <c r="V31" s="18">
        <f>IF(COUNTIFS(T_TTAFStock_Log[Part Name],$A31,T_TTAFStock_Log[WeekIndex],21)=0,"",SUMIFS(T_TTAFStock_Log[TTAF_Qty],T_TTAFStock_Log[Part Name],$A31,T_TTAFStock_Log[WeekIndex],21))</f>
        <v/>
      </c>
      <c r="W31" s="18">
        <f>IF(COUNTIFS(T_TTAFStock_Log[Part Name],$A31,T_TTAFStock_Log[WeekIndex],22)=0,"",SUMIFS(T_TTAFStock_Log[TTAF_Qty],T_TTAFStock_Log[Part Name],$A31,T_TTAFStock_Log[WeekIndex],22))</f>
        <v/>
      </c>
      <c r="X31" s="18">
        <f>IF(COUNTIFS(T_TTAFStock_Log[Part Name],$A31,T_TTAFStock_Log[WeekIndex],23)=0,"",SUMIFS(T_TTAFStock_Log[TTAF_Qty],T_TTAFStock_Log[Part Name],$A31,T_TTAFStock_Log[WeekIndex],23))</f>
        <v/>
      </c>
      <c r="Y31" s="18">
        <f>IF(COUNTIFS(T_TTAFStock_Log[Part Name],$A31,T_TTAFStock_Log[WeekIndex],24)=0,"",SUMIFS(T_TTAFStock_Log[TTAF_Qty],T_TTAFStock_Log[Part Name],$A31,T_TTAFStock_Log[WeekIndex],24))</f>
        <v/>
      </c>
      <c r="Z31" s="18">
        <f>IF(COUNTIFS(T_TTAFStock_Log[Part Name],$A31,T_TTAFStock_Log[WeekIndex],25)=0,"",SUMIFS(T_TTAFStock_Log[TTAF_Qty],T_TTAFStock_Log[Part Name],$A31,T_TTAFStock_Log[WeekIndex],25))</f>
        <v/>
      </c>
      <c r="AA31" s="18">
        <f>IF(COUNTIFS(T_TTAFStock_Log[Part Name],$A31,T_TTAFStock_Log[WeekIndex],26)=0,"",SUMIFS(T_TTAFStock_Log[TTAF_Qty],T_TTAFStock_Log[Part Name],$A31,T_TTAFStock_Log[WeekIndex],26))</f>
        <v/>
      </c>
      <c r="AB31" s="18">
        <f>IF(COUNTIFS(T_TTAFStock_Log[Part Name],$A31,T_TTAFStock_Log[WeekIndex],27)=0,"",SUMIFS(T_TTAFStock_Log[TTAF_Qty],T_TTAFStock_Log[Part Name],$A31,T_TTAFStock_Log[WeekIndex],27))</f>
        <v/>
      </c>
      <c r="AC31" s="18">
        <f>IF(COUNTIFS(T_TTAFStock_Log[Part Name],$A31,T_TTAFStock_Log[WeekIndex],28)=0,"",SUMIFS(T_TTAFStock_Log[TTAF_Qty],T_TTAFStock_Log[Part Name],$A31,T_TTAFStock_Log[WeekIndex],28))</f>
        <v/>
      </c>
      <c r="AD31" s="18">
        <f>IF(COUNTIFS(T_TTAFStock_Log[Part Name],$A31,T_TTAFStock_Log[WeekIndex],29)=0,"",SUMIFS(T_TTAFStock_Log[TTAF_Qty],T_TTAFStock_Log[Part Name],$A31,T_TTAFStock_Log[WeekIndex],29))</f>
        <v/>
      </c>
      <c r="AE31" s="18">
        <f>IF(COUNTIFS(T_TTAFStock_Log[Part Name],$A31,T_TTAFStock_Log[WeekIndex],30)=0,"",SUMIFS(T_TTAFStock_Log[TTAF_Qty],T_TTAFStock_Log[Part Name],$A31,T_TTAFStock_Log[WeekIndex],30))</f>
        <v/>
      </c>
      <c r="AF31" s="18">
        <f>IF(COUNTIFS(T_TTAFStock_Log[Part Name],$A31,T_TTAFStock_Log[WeekIndex],31)=0,"",SUMIFS(T_TTAFStock_Log[TTAF_Qty],T_TTAFStock_Log[Part Name],$A31,T_TTAFStock_Log[WeekIndex],31))</f>
        <v/>
      </c>
      <c r="AG31" s="18">
        <f>IF(COUNTIFS(T_TTAFStock_Log[Part Name],$A31,T_TTAFStock_Log[WeekIndex],32)=0,"",SUMIFS(T_TTAFStock_Log[TTAF_Qty],T_TTAFStock_Log[Part Name],$A31,T_TTAFStock_Log[WeekIndex],32))</f>
        <v/>
      </c>
      <c r="AH31" s="18">
        <f>IF(COUNTIFS(T_TTAFStock_Log[Part Name],$A31,T_TTAFStock_Log[WeekIndex],33)=0,"",SUMIFS(T_TTAFStock_Log[TTAF_Qty],T_TTAFStock_Log[Part Name],$A31,T_TTAFStock_Log[WeekIndex],33))</f>
        <v/>
      </c>
      <c r="AI31" s="18">
        <f>IF(COUNTIFS(T_TTAFStock_Log[Part Name],$A31,T_TTAFStock_Log[WeekIndex],34)=0,"",SUMIFS(T_TTAFStock_Log[TTAF_Qty],T_TTAFStock_Log[Part Name],$A31,T_TTAFStock_Log[WeekIndex],34))</f>
        <v/>
      </c>
      <c r="AJ31" s="18">
        <f>IF(COUNTIFS(T_TTAFStock_Log[Part Name],$A31,T_TTAFStock_Log[WeekIndex],35)=0,"",SUMIFS(T_TTAFStock_Log[TTAF_Qty],T_TTAFStock_Log[Part Name],$A31,T_TTAFStock_Log[WeekIndex],35))</f>
        <v/>
      </c>
      <c r="AK31" s="18">
        <f>IF(COUNTIFS(T_TTAFStock_Log[Part Name],$A31,T_TTAFStock_Log[WeekIndex],36)=0,"",SUMIFS(T_TTAFStock_Log[TTAF_Qty],T_TTAFStock_Log[Part Name],$A31,T_TTAFStock_Log[WeekIndex],36))</f>
        <v/>
      </c>
      <c r="AL31" s="18">
        <f>IF(COUNTIFS(T_TTAFStock_Log[Part Name],$A31,T_TTAFStock_Log[WeekIndex],37)=0,"",SUMIFS(T_TTAFStock_Log[TTAF_Qty],T_TTAFStock_Log[Part Name],$A31,T_TTAFStock_Log[WeekIndex],37))</f>
        <v/>
      </c>
      <c r="AM31" s="18">
        <f>IF(COUNTIFS(T_TTAFStock_Log[Part Name],$A31,T_TTAFStock_Log[WeekIndex],38)=0,"",SUMIFS(T_TTAFStock_Log[TTAF_Qty],T_TTAFStock_Log[Part Name],$A31,T_TTAFStock_Log[WeekIndex],38))</f>
        <v/>
      </c>
      <c r="AN31" s="18">
        <f>IF(COUNTIFS(T_TTAFStock_Log[Part Name],$A31,T_TTAFStock_Log[WeekIndex],39)=0,"",SUMIFS(T_TTAFStock_Log[TTAF_Qty],T_TTAFStock_Log[Part Name],$A31,T_TTAFStock_Log[WeekIndex],39))</f>
        <v/>
      </c>
      <c r="AO31" s="18">
        <f>IF(COUNTIFS(T_TTAFStock_Log[Part Name],$A31,T_TTAFStock_Log[WeekIndex],40)=0,"",SUMIFS(T_TTAFStock_Log[TTAF_Qty],T_TTAFStock_Log[Part Name],$A31,T_TTAFStock_Log[WeekIndex],40))</f>
        <v/>
      </c>
      <c r="AP31" s="18">
        <f>IF(COUNTIFS(T_TTAFStock_Log[Part Name],$A31,T_TTAFStock_Log[WeekIndex],41)=0,"",SUMIFS(T_TTAFStock_Log[TTAF_Qty],T_TTAFStock_Log[Part Name],$A31,T_TTAFStock_Log[WeekIndex],41))</f>
        <v/>
      </c>
      <c r="AQ31" s="18">
        <f>IF(COUNTIFS(T_TTAFStock_Log[Part Name],$A31,T_TTAFStock_Log[WeekIndex],42)=0,"",SUMIFS(T_TTAFStock_Log[TTAF_Qty],T_TTAFStock_Log[Part Name],$A31,T_TTAFStock_Log[WeekIndex],42))</f>
        <v/>
      </c>
      <c r="AR31" s="18">
        <f>IF(COUNTIFS(T_TTAFStock_Log[Part Name],$A31,T_TTAFStock_Log[WeekIndex],43)=0,"",SUMIFS(T_TTAFStock_Log[TTAF_Qty],T_TTAFStock_Log[Part Name],$A31,T_TTAFStock_Log[WeekIndex],43))</f>
        <v/>
      </c>
      <c r="AS31" s="18">
        <f>IF(COUNTIFS(T_TTAFStock_Log[Part Name],$A31,T_TTAFStock_Log[WeekIndex],44)=0,"",SUMIFS(T_TTAFStock_Log[TTAF_Qty],T_TTAFStock_Log[Part Name],$A31,T_TTAFStock_Log[WeekIndex],44))</f>
        <v/>
      </c>
      <c r="AT31" s="18">
        <f>IF(COUNTIFS(T_TTAFStock_Log[Part Name],$A31,T_TTAFStock_Log[WeekIndex],45)=0,"",SUMIFS(T_TTAFStock_Log[TTAF_Qty],T_TTAFStock_Log[Part Name],$A31,T_TTAFStock_Log[WeekIndex],45))</f>
        <v/>
      </c>
      <c r="AU31" s="18">
        <f>IF(COUNTIFS(T_TTAFStock_Log[Part Name],$A31,T_TTAFStock_Log[WeekIndex],46)=0,"",SUMIFS(T_TTAFStock_Log[TTAF_Qty],T_TTAFStock_Log[Part Name],$A31,T_TTAFStock_Log[WeekIndex],46))</f>
        <v/>
      </c>
      <c r="AV31" s="18">
        <f>IF(COUNTIFS(T_TTAFStock_Log[Part Name],$A31,T_TTAFStock_Log[WeekIndex],47)=0,"",SUMIFS(T_TTAFStock_Log[TTAF_Qty],T_TTAFStock_Log[Part Name],$A31,T_TTAFStock_Log[WeekIndex],47))</f>
        <v/>
      </c>
      <c r="AW31" s="18">
        <f>IF(COUNTIFS(T_TTAFStock_Log[Part Name],$A31,T_TTAFStock_Log[WeekIndex],48)=0,"",SUMIFS(T_TTAFStock_Log[TTAF_Qty],T_TTAFStock_Log[Part Name],$A31,T_TTAFStock_Log[WeekIndex],48))</f>
        <v/>
      </c>
      <c r="AX31" s="18">
        <f>IF(COUNTIFS(T_TTAFStock_Log[Part Name],$A31,T_TTAFStock_Log[WeekIndex],49)=0,"",SUMIFS(T_TTAFStock_Log[TTAF_Qty],T_TTAFStock_Log[Part Name],$A31,T_TTAFStock_Log[WeekIndex],49))</f>
        <v/>
      </c>
      <c r="AY31" s="18">
        <f>IF(COUNTIFS(T_TTAFStock_Log[Part Name],$A31,T_TTAFStock_Log[WeekIndex],50)=0,"",SUMIFS(T_TTAFStock_Log[TTAF_Qty],T_TTAFStock_Log[Part Name],$A31,T_TTAFStock_Log[WeekIndex],50))</f>
        <v/>
      </c>
      <c r="AZ31" s="18">
        <f>IF(COUNTIFS(T_TTAFStock_Log[Part Name],$A31,T_TTAFStock_Log[WeekIndex],51)=0,"",SUMIFS(T_TTAFStock_Log[TTAF_Qty],T_TTAFStock_Log[Part Name],$A31,T_TTAFStock_Log[WeekIndex],51))</f>
        <v/>
      </c>
      <c r="BA31" s="18">
        <f>IF(COUNTIFS(T_TTAFStock_Log[Part Name],$A31,T_TTAFStock_Log[WeekIndex],52)=0,"",SUMIFS(T_TTAFStock_Log[TTAF_Qty],T_TTAFStock_Log[Part Name],$A31,T_TTAFStock_Log[WeekIndex],52))</f>
        <v/>
      </c>
      <c r="BB31" s="18">
        <f>IF(COUNTIFS(T_TTAFStock_Log[Part Name],$A31,T_TTAFStock_Log[WeekIndex],53)=0,"",SUMIFS(T_TTAFStock_Log[TTAF_Qty],T_TTAFStock_Log[Part Name],$A31,T_TTAFStock_Log[WeekIndex],53))</f>
        <v/>
      </c>
      <c r="BC31" s="18">
        <f>IF(COUNTIFS(T_TTAFStock_Log[Part Name],$A31,T_TTAFStock_Log[WeekIndex],54)=0,"",SUMIFS(T_TTAFStock_Log[TTAF_Qty],T_TTAFStock_Log[Part Name],$A31,T_TTAFStock_Log[WeekIndex],54))</f>
        <v/>
      </c>
      <c r="BD31" s="18">
        <f>IF(COUNTIFS(T_TTAFStock_Log[Part Name],$A31,T_TTAFStock_Log[WeekIndex],55)=0,"",SUMIFS(T_TTAFStock_Log[TTAF_Qty],T_TTAFStock_Log[Part Name],$A31,T_TTAFStock_Log[WeekIndex],55))</f>
        <v/>
      </c>
      <c r="BE31" s="18">
        <f>IF(COUNTIFS(T_TTAFStock_Log[Part Name],$A31,T_TTAFStock_Log[WeekIndex],56)=0,"",SUMIFS(T_TTAFStock_Log[TTAF_Qty],T_TTAFStock_Log[Part Name],$A31,T_TTAFStock_Log[WeekIndex],56))</f>
        <v/>
      </c>
      <c r="BF31" s="18">
        <f>IF(COUNTIFS(T_TTAFStock_Log[Part Name],$A31,T_TTAFStock_Log[WeekIndex],57)=0,"",SUMIFS(T_TTAFStock_Log[TTAF_Qty],T_TTAFStock_Log[Part Name],$A31,T_TTAFStock_Log[WeekIndex],57))</f>
        <v/>
      </c>
      <c r="BG31" s="18">
        <f>IF(COUNTIFS(T_TTAFStock_Log[Part Name],$A31,T_TTAFStock_Log[WeekIndex],58)=0,"",SUMIFS(T_TTAFStock_Log[TTAF_Qty],T_TTAFStock_Log[Part Name],$A31,T_TTAFStock_Log[WeekIndex],58))</f>
        <v/>
      </c>
      <c r="BH31" s="18">
        <f>IF(COUNTIFS(T_TTAFStock_Log[Part Name],$A31,T_TTAFStock_Log[WeekIndex],59)=0,"",SUMIFS(T_TTAFStock_Log[TTAF_Qty],T_TTAFStock_Log[Part Name],$A31,T_TTAFStock_Log[WeekIndex],59))</f>
        <v/>
      </c>
      <c r="BI31" s="18">
        <f>IF(COUNTIFS(T_TTAFStock_Log[Part Name],$A31,T_TTAFStock_Log[WeekIndex],60)=0,"",SUMIFS(T_TTAFStock_Log[TTAF_Qty],T_TTAFStock_Log[Part Name],$A31,T_TTAFStock_Log[WeekIndex],60))</f>
        <v/>
      </c>
      <c r="BJ31" s="18">
        <f>IF(COUNTIFS(T_TTAFStock_Log[Part Name],$A31,T_TTAFStock_Log[WeekIndex],61)=0,"",SUMIFS(T_TTAFStock_Log[TTAF_Qty],T_TTAFStock_Log[Part Name],$A31,T_TTAFStock_Log[WeekIndex],61))</f>
        <v/>
      </c>
      <c r="BK31" s="18">
        <f>IF(COUNTIFS(T_TTAFStock_Log[Part Name],$A31,T_TTAFStock_Log[WeekIndex],62)=0,"",SUMIFS(T_TTAFStock_Log[TTAF_Qty],T_TTAFStock_Log[Part Name],$A31,T_TTAFStock_Log[WeekIndex],62))</f>
        <v/>
      </c>
      <c r="BL31" s="18">
        <f>IF(COUNTIFS(T_TTAFStock_Log[Part Name],$A31,T_TTAFStock_Log[WeekIndex],63)=0,"",SUMIFS(T_TTAFStock_Log[TTAF_Qty],T_TTAFStock_Log[Part Name],$A31,T_TTAFStock_Log[WeekIndex],63))</f>
        <v/>
      </c>
      <c r="BM31" s="18">
        <f>IF(COUNTIFS(T_TTAFStock_Log[Part Name],$A31,T_TTAFStock_Log[WeekIndex],64)=0,"",SUMIFS(T_TTAFStock_Log[TTAF_Qty],T_TTAFStock_Log[Part Name],$A31,T_TTAFStock_Log[WeekIndex],64))</f>
        <v/>
      </c>
      <c r="BN31" s="18">
        <f>IF(COUNTIFS(T_TTAFStock_Log[Part Name],$A31,T_TTAFStock_Log[WeekIndex],65)=0,"",SUMIFS(T_TTAFStock_Log[TTAF_Qty],T_TTAFStock_Log[Part Name],$A31,T_TTAFStock_Log[WeekIndex],65))</f>
        <v/>
      </c>
      <c r="BO31" s="18">
        <f>IF(COUNTIFS(T_TTAFStock_Log[Part Name],$A31,T_TTAFStock_Log[WeekIndex],66)=0,"",SUMIFS(T_TTAFStock_Log[TTAF_Qty],T_TTAFStock_Log[Part Name],$A31,T_TTAFStock_Log[WeekIndex],66))</f>
        <v/>
      </c>
      <c r="BP31" s="18">
        <f>IF(COUNTIFS(T_TTAFStock_Log[Part Name],$A31,T_TTAFStock_Log[WeekIndex],67)=0,"",SUMIFS(T_TTAFStock_Log[TTAF_Qty],T_TTAFStock_Log[Part Name],$A31,T_TTAFStock_Log[WeekIndex],67))</f>
        <v/>
      </c>
      <c r="BQ31" s="18">
        <f>IF(COUNTIFS(T_TTAFStock_Log[Part Name],$A31,T_TTAFStock_Log[WeekIndex],68)=0,"",SUMIFS(T_TTAFStock_Log[TTAF_Qty],T_TTAFStock_Log[Part Name],$A31,T_TTAFStock_Log[WeekIndex],68))</f>
        <v/>
      </c>
      <c r="BR31" s="18">
        <f>IF(COUNTIFS(T_TTAFStock_Log[Part Name],$A31,T_TTAFStock_Log[WeekIndex],69)=0,"",SUMIFS(T_TTAFStock_Log[TTAF_Qty],T_TTAFStock_Log[Part Name],$A31,T_TTAFStock_Log[WeekIndex],69))</f>
        <v/>
      </c>
      <c r="BS31" s="18">
        <f>IF(COUNTIFS(T_TTAFStock_Log[Part Name],$A31,T_TTAFStock_Log[WeekIndex],70)=0,"",SUMIFS(T_TTAFStock_Log[TTAF_Qty],T_TTAFStock_Log[Part Name],$A31,T_TTAFStock_Log[WeekIndex],70))</f>
        <v/>
      </c>
      <c r="BT31" s="18">
        <f>IF(COUNTIFS(T_TTAFStock_Log[Part Name],$A31,T_TTAFStock_Log[WeekIndex],71)=0,"",SUMIFS(T_TTAFStock_Log[TTAF_Qty],T_TTAFStock_Log[Part Name],$A31,T_TTAFStock_Log[WeekIndex],71))</f>
        <v/>
      </c>
      <c r="BU31" s="18">
        <f>IF(COUNTIFS(T_TTAFStock_Log[Part Name],$A31,T_TTAFStock_Log[WeekIndex],72)=0,"",SUMIFS(T_TTAFStock_Log[TTAF_Qty],T_TTAFStock_Log[Part Name],$A31,T_TTAFStock_Log[WeekIndex],72))</f>
        <v/>
      </c>
      <c r="BV31" s="18">
        <f>IF(COUNTIFS(T_TTAFStock_Log[Part Name],$A31,T_TTAFStock_Log[WeekIndex],73)=0,"",SUMIFS(T_TTAFStock_Log[TTAF_Qty],T_TTAFStock_Log[Part Name],$A31,T_TTAFStock_Log[WeekIndex],73))</f>
        <v/>
      </c>
      <c r="BW31" s="18">
        <f>IF(COUNTIFS(T_TTAFStock_Log[Part Name],$A31,T_TTAFStock_Log[WeekIndex],74)=0,"",SUMIFS(T_TTAFStock_Log[TTAF_Qty],T_TTAFStock_Log[Part Name],$A31,T_TTAFStock_Log[WeekIndex],74))</f>
        <v/>
      </c>
      <c r="BX31" s="18">
        <f>IF(COUNTIFS(T_TTAFStock_Log[Part Name],$A31,T_TTAFStock_Log[WeekIndex],75)=0,"",SUMIFS(T_TTAFStock_Log[TTAF_Qty],T_TTAFStock_Log[Part Name],$A31,T_TTAFStock_Log[WeekIndex],75))</f>
        <v/>
      </c>
      <c r="BY31" s="18">
        <f>IF(COUNTIFS(T_TTAFStock_Log[Part Name],$A31,T_TTAFStock_Log[WeekIndex],76)=0,"",SUMIFS(T_TTAFStock_Log[TTAF_Qty],T_TTAFStock_Log[Part Name],$A31,T_TTAFStock_Log[WeekIndex],76))</f>
        <v/>
      </c>
      <c r="BZ31" s="18">
        <f>IF(COUNTIFS(T_TTAFStock_Log[Part Name],$A31,T_TTAFStock_Log[WeekIndex],77)=0,"",SUMIFS(T_TTAFStock_Log[TTAF_Qty],T_TTAFStock_Log[Part Name],$A31,T_TTAFStock_Log[WeekIndex],77))</f>
        <v/>
      </c>
      <c r="CA31" s="18">
        <f>IF(COUNTIFS(T_TTAFStock_Log[Part Name],$A31,T_TTAFStock_Log[WeekIndex],78)=0,"",SUMIFS(T_TTAFStock_Log[TTAF_Qty],T_TTAFStock_Log[Part Name],$A31,T_TTAFStock_Log[WeekIndex],78))</f>
        <v/>
      </c>
      <c r="CB31" s="18">
        <f>IF(COUNTIFS(T_TTAFStock_Log[Part Name],$A31,T_TTAFStock_Log[WeekIndex],79)=0,"",SUMIFS(T_TTAFStock_Log[TTAF_Qty],T_TTAFStock_Log[Part Name],$A31,T_TTAFStock_Log[WeekIndex],79))</f>
        <v/>
      </c>
      <c r="CC31" s="18">
        <f>IF(COUNTIFS(T_TTAFStock_Log[Part Name],$A31,T_TTAFStock_Log[WeekIndex],80)=0,"",SUMIFS(T_TTAFStock_Log[TTAF_Qty],T_TTAFStock_Log[Part Name],$A31,T_TTAFStock_Log[WeekIndex],80))</f>
        <v/>
      </c>
      <c r="CD31" s="18">
        <f>IF(COUNTIFS(T_TTAFStock_Log[Part Name],$A31,T_TTAFStock_Log[WeekIndex],81)=0,"",SUMIFS(T_TTAFStock_Log[TTAF_Qty],T_TTAFStock_Log[Part Name],$A31,T_TTAFStock_Log[WeekIndex],81))</f>
        <v/>
      </c>
      <c r="CE31" s="18">
        <f>IF(COUNTIFS(T_TTAFStock_Log[Part Name],$A31,T_TTAFStock_Log[WeekIndex],82)=0,"",SUMIFS(T_TTAFStock_Log[TTAF_Qty],T_TTAFStock_Log[Part Name],$A31,T_TTAFStock_Log[WeekIndex],82))</f>
        <v/>
      </c>
      <c r="CF31" s="18">
        <f>IF(COUNTIFS(T_TTAFStock_Log[Part Name],$A31,T_TTAFStock_Log[WeekIndex],83)=0,"",SUMIFS(T_TTAFStock_Log[TTAF_Qty],T_TTAFStock_Log[Part Name],$A31,T_TTAFStock_Log[WeekIndex],83))</f>
        <v/>
      </c>
      <c r="CG31" s="18">
        <f>IF(COUNTIFS(T_TTAFStock_Log[Part Name],$A31,T_TTAFStock_Log[WeekIndex],84)=0,"",SUMIFS(T_TTAFStock_Log[TTAF_Qty],T_TTAFStock_Log[Part Name],$A31,T_TTAFStock_Log[WeekIndex],84))</f>
        <v/>
      </c>
      <c r="CH31" s="18">
        <f>IF(COUNTIFS(T_TTAFStock_Log[Part Name],$A31,T_TTAFStock_Log[WeekIndex],85)=0,"",SUMIFS(T_TTAFStock_Log[TTAF_Qty],T_TTAFStock_Log[Part Name],$A31,T_TTAFStock_Log[WeekIndex],85))</f>
        <v/>
      </c>
      <c r="CI31" s="18">
        <f>IF(COUNTIFS(T_TTAFStock_Log[Part Name],$A31,T_TTAFStock_Log[WeekIndex],86)=0,"",SUMIFS(T_TTAFStock_Log[TTAF_Qty],T_TTAFStock_Log[Part Name],$A31,T_TTAFStock_Log[WeekIndex],86))</f>
        <v/>
      </c>
      <c r="CJ31" s="18">
        <f>IF(COUNTIFS(T_TTAFStock_Log[Part Name],$A31,T_TTAFStock_Log[WeekIndex],87)=0,"",SUMIFS(T_TTAFStock_Log[TTAF_Qty],T_TTAFStock_Log[Part Name],$A31,T_TTAFStock_Log[WeekIndex],87))</f>
        <v/>
      </c>
      <c r="CK31" s="18">
        <f>IF(COUNTIFS(T_TTAFStock_Log[Part Name],$A31,T_TTAFStock_Log[WeekIndex],88)=0,"",SUMIFS(T_TTAFStock_Log[TTAF_Qty],T_TTAFStock_Log[Part Name],$A31,T_TTAFStock_Log[WeekIndex],88))</f>
        <v/>
      </c>
      <c r="CL31" s="18">
        <f>IF(COUNTIFS(T_TTAFStock_Log[Part Name],$A31,T_TTAFStock_Log[WeekIndex],89)=0,"",SUMIFS(T_TTAFStock_Log[TTAF_Qty],T_TTAFStock_Log[Part Name],$A31,T_TTAFStock_Log[WeekIndex],89))</f>
        <v/>
      </c>
      <c r="CM31" s="18">
        <f>IF(COUNTIFS(T_TTAFStock_Log[Part Name],$A31,T_TTAFStock_Log[WeekIndex],90)=0,"",SUMIFS(T_TTAFStock_Log[TTAF_Qty],T_TTAFStock_Log[Part Name],$A31,T_TTAFStock_Log[WeekIndex],90))</f>
        <v/>
      </c>
      <c r="CN31" s="18">
        <f>IF(COUNTIFS(T_TTAFStock_Log[Part Name],$A31,T_TTAFStock_Log[WeekIndex],91)=0,"",SUMIFS(T_TTAFStock_Log[TTAF_Qty],T_TTAFStock_Log[Part Name],$A31,T_TTAFStock_Log[WeekIndex],91))</f>
        <v/>
      </c>
      <c r="CO31" s="18">
        <f>IF(COUNTIFS(T_TTAFStock_Log[Part Name],$A31,T_TTAFStock_Log[WeekIndex],92)=0,"",SUMIFS(T_TTAFStock_Log[TTAF_Qty],T_TTAFStock_Log[Part Name],$A31,T_TTAFStock_Log[WeekIndex],92))</f>
        <v/>
      </c>
      <c r="CP31" s="18">
        <f>IF(COUNTIFS(T_TTAFStock_Log[Part Name],$A31,T_TTAFStock_Log[WeekIndex],93)=0,"",SUMIFS(T_TTAFStock_Log[TTAF_Qty],T_TTAFStock_Log[Part Name],$A31,T_TTAFStock_Log[WeekIndex],93))</f>
        <v/>
      </c>
      <c r="CQ31" s="18">
        <f>IF(COUNTIFS(T_TTAFStock_Log[Part Name],$A31,T_TTAFStock_Log[WeekIndex],94)=0,"",SUMIFS(T_TTAFStock_Log[TTAF_Qty],T_TTAFStock_Log[Part Name],$A31,T_TTAFStock_Log[WeekIndex],94))</f>
        <v/>
      </c>
      <c r="CR31" s="18">
        <f>IF(COUNTIFS(T_TTAFStock_Log[Part Name],$A31,T_TTAFStock_Log[WeekIndex],95)=0,"",SUMIFS(T_TTAFStock_Log[TTAF_Qty],T_TTAFStock_Log[Part Name],$A31,T_TTAFStock_Log[WeekIndex],95))</f>
        <v/>
      </c>
      <c r="CS31" s="18">
        <f>IF(COUNTIFS(T_TTAFStock_Log[Part Name],$A31,T_TTAFStock_Log[WeekIndex],96)=0,"",SUMIFS(T_TTAFStock_Log[TTAF_Qty],T_TTAFStock_Log[Part Name],$A31,T_TTAFStock_Log[WeekIndex],96))</f>
        <v/>
      </c>
      <c r="CT31" s="18">
        <f>IF(COUNTIFS(T_TTAFStock_Log[Part Name],$A31,T_TTAFStock_Log[WeekIndex],97)=0,"",SUMIFS(T_TTAFStock_Log[TTAF_Qty],T_TTAFStock_Log[Part Name],$A31,T_TTAFStock_Log[WeekIndex],97))</f>
        <v/>
      </c>
      <c r="CU31" s="18">
        <f>IF(COUNTIFS(T_TTAFStock_Log[Part Name],$A31,T_TTAFStock_Log[WeekIndex],98)=0,"",SUMIFS(T_TTAFStock_Log[TTAF_Qty],T_TTAFStock_Log[Part Name],$A31,T_TTAFStock_Log[WeekIndex],98))</f>
        <v/>
      </c>
      <c r="CV31" s="18">
        <f>IF(COUNTIFS(T_TTAFStock_Log[Part Name],$A31,T_TTAFStock_Log[WeekIndex],99)=0,"",SUMIFS(T_TTAFStock_Log[TTAF_Qty],T_TTAFStock_Log[Part Name],$A31,T_TTAFStock_Log[WeekIndex],99))</f>
        <v/>
      </c>
      <c r="CW31" s="18">
        <f>IF(COUNTIFS(T_TTAFStock_Log[Part Name],$A31,T_TTAFStock_Log[WeekIndex],100)=0,"",SUMIFS(T_TTAFStock_Log[TTAF_Qty],T_TTAFStock_Log[Part Name],$A31,T_TTAFStock_Log[WeekIndex],100))</f>
        <v/>
      </c>
      <c r="CX31" s="18">
        <f>IF(COUNTIFS(T_TTAFStock_Log[Part Name],$A31,T_TTAFStock_Log[WeekIndex],101)=0,"",SUMIFS(T_TTAFStock_Log[TTAF_Qty],T_TTAFStock_Log[Part Name],$A31,T_TTAFStock_Log[WeekIndex],101))</f>
        <v/>
      </c>
      <c r="CY31" s="18">
        <f>IF(COUNTIFS(T_TTAFStock_Log[Part Name],$A31,T_TTAFStock_Log[WeekIndex],102)=0,"",SUMIFS(T_TTAFStock_Log[TTAF_Qty],T_TTAFStock_Log[Part Name],$A31,T_TTAFStock_Log[WeekIndex],102))</f>
        <v/>
      </c>
      <c r="CZ31" s="18">
        <f>IF(COUNTIFS(T_TTAFStock_Log[Part Name],$A31,T_TTAFStock_Log[WeekIndex],103)=0,"",SUMIFS(T_TTAFStock_Log[TTAF_Qty],T_TTAFStock_Log[Part Name],$A31,T_TTAFStock_Log[WeekIndex],103))</f>
        <v/>
      </c>
      <c r="DA31" s="18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CHEM-1820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8" t="inlineStr">
        <is>
          <t>CHEM-1840</t>
        </is>
      </c>
      <c r="B33" s="18">
        <f>IF(COUNTIFS(T_TTAFStock_Log[Part Name],$A33,T_TTAFStock_Log[WeekIndex],1)=0,"",SUMIFS(T_TTAFStock_Log[TTAF_Qty],T_TTAFStock_Log[Part Name],$A33,T_TTAFStock_Log[WeekIndex],1))</f>
        <v/>
      </c>
      <c r="C33" s="18">
        <f>IF(COUNTIFS(T_TTAFStock_Log[Part Name],$A33,T_TTAFStock_Log[WeekIndex],2)=0,"",SUMIFS(T_TTAFStock_Log[TTAF_Qty],T_TTAFStock_Log[Part Name],$A33,T_TTAFStock_Log[WeekIndex],2))</f>
        <v/>
      </c>
      <c r="D33" s="18">
        <f>IF(COUNTIFS(T_TTAFStock_Log[Part Name],$A33,T_TTAFStock_Log[WeekIndex],3)=0,"",SUMIFS(T_TTAFStock_Log[TTAF_Qty],T_TTAFStock_Log[Part Name],$A33,T_TTAFStock_Log[WeekIndex],3))</f>
        <v/>
      </c>
      <c r="E33" s="18">
        <f>IF(COUNTIFS(T_TTAFStock_Log[Part Name],$A33,T_TTAFStock_Log[WeekIndex],4)=0,"",SUMIFS(T_TTAFStock_Log[TTAF_Qty],T_TTAFStock_Log[Part Name],$A33,T_TTAFStock_Log[WeekIndex],4))</f>
        <v/>
      </c>
      <c r="F33" s="18">
        <f>IF(COUNTIFS(T_TTAFStock_Log[Part Name],$A33,T_TTAFStock_Log[WeekIndex],5)=0,"",SUMIFS(T_TTAFStock_Log[TTAF_Qty],T_TTAFStock_Log[Part Name],$A33,T_TTAFStock_Log[WeekIndex],5))</f>
        <v/>
      </c>
      <c r="G33" s="18">
        <f>IF(COUNTIFS(T_TTAFStock_Log[Part Name],$A33,T_TTAFStock_Log[WeekIndex],6)=0,"",SUMIFS(T_TTAFStock_Log[TTAF_Qty],T_TTAFStock_Log[Part Name],$A33,T_TTAFStock_Log[WeekIndex],6))</f>
        <v/>
      </c>
      <c r="H33" s="18">
        <f>IF(COUNTIFS(T_TTAFStock_Log[Part Name],$A33,T_TTAFStock_Log[WeekIndex],7)=0,"",SUMIFS(T_TTAFStock_Log[TTAF_Qty],T_TTAFStock_Log[Part Name],$A33,T_TTAFStock_Log[WeekIndex],7))</f>
        <v/>
      </c>
      <c r="I33" s="18">
        <f>IF(COUNTIFS(T_TTAFStock_Log[Part Name],$A33,T_TTAFStock_Log[WeekIndex],8)=0,"",SUMIFS(T_TTAFStock_Log[TTAF_Qty],T_TTAFStock_Log[Part Name],$A33,T_TTAFStock_Log[WeekIndex],8))</f>
        <v/>
      </c>
      <c r="J33" s="18">
        <f>IF(COUNTIFS(T_TTAFStock_Log[Part Name],$A33,T_TTAFStock_Log[WeekIndex],9)=0,"",SUMIFS(T_TTAFStock_Log[TTAF_Qty],T_TTAFStock_Log[Part Name],$A33,T_TTAFStock_Log[WeekIndex],9))</f>
        <v/>
      </c>
      <c r="K33" s="18">
        <f>IF(COUNTIFS(T_TTAFStock_Log[Part Name],$A33,T_TTAFStock_Log[WeekIndex],10)=0,"",SUMIFS(T_TTAFStock_Log[TTAF_Qty],T_TTAFStock_Log[Part Name],$A33,T_TTAFStock_Log[WeekIndex],10))</f>
        <v/>
      </c>
      <c r="L33" s="18">
        <f>IF(COUNTIFS(T_TTAFStock_Log[Part Name],$A33,T_TTAFStock_Log[WeekIndex],11)=0,"",SUMIFS(T_TTAFStock_Log[TTAF_Qty],T_TTAFStock_Log[Part Name],$A33,T_TTAFStock_Log[WeekIndex],11))</f>
        <v/>
      </c>
      <c r="M33" s="18">
        <f>IF(COUNTIFS(T_TTAFStock_Log[Part Name],$A33,T_TTAFStock_Log[WeekIndex],12)=0,"",SUMIFS(T_TTAFStock_Log[TTAF_Qty],T_TTAFStock_Log[Part Name],$A33,T_TTAFStock_Log[WeekIndex],12))</f>
        <v/>
      </c>
      <c r="N33" s="18">
        <f>IF(COUNTIFS(T_TTAFStock_Log[Part Name],$A33,T_TTAFStock_Log[WeekIndex],13)=0,"",SUMIFS(T_TTAFStock_Log[TTAF_Qty],T_TTAFStock_Log[Part Name],$A33,T_TTAFStock_Log[WeekIndex],13))</f>
        <v/>
      </c>
      <c r="O33" s="18">
        <f>IF(COUNTIFS(T_TTAFStock_Log[Part Name],$A33,T_TTAFStock_Log[WeekIndex],14)=0,"",SUMIFS(T_TTAFStock_Log[TTAF_Qty],T_TTAFStock_Log[Part Name],$A33,T_TTAFStock_Log[WeekIndex],14))</f>
        <v/>
      </c>
      <c r="P33" s="18">
        <f>IF(COUNTIFS(T_TTAFStock_Log[Part Name],$A33,T_TTAFStock_Log[WeekIndex],15)=0,"",SUMIFS(T_TTAFStock_Log[TTAF_Qty],T_TTAFStock_Log[Part Name],$A33,T_TTAFStock_Log[WeekIndex],15))</f>
        <v/>
      </c>
      <c r="Q33" s="18">
        <f>IF(COUNTIFS(T_TTAFStock_Log[Part Name],$A33,T_TTAFStock_Log[WeekIndex],16)=0,"",SUMIFS(T_TTAFStock_Log[TTAF_Qty],T_TTAFStock_Log[Part Name],$A33,T_TTAFStock_Log[WeekIndex],16))</f>
        <v/>
      </c>
      <c r="R33" s="18">
        <f>IF(COUNTIFS(T_TTAFStock_Log[Part Name],$A33,T_TTAFStock_Log[WeekIndex],17)=0,"",SUMIFS(T_TTAFStock_Log[TTAF_Qty],T_TTAFStock_Log[Part Name],$A33,T_TTAFStock_Log[WeekIndex],17))</f>
        <v/>
      </c>
      <c r="S33" s="18">
        <f>IF(COUNTIFS(T_TTAFStock_Log[Part Name],$A33,T_TTAFStock_Log[WeekIndex],18)=0,"",SUMIFS(T_TTAFStock_Log[TTAF_Qty],T_TTAFStock_Log[Part Name],$A33,T_TTAFStock_Log[WeekIndex],18))</f>
        <v/>
      </c>
      <c r="T33" s="18">
        <f>IF(COUNTIFS(T_TTAFStock_Log[Part Name],$A33,T_TTAFStock_Log[WeekIndex],19)=0,"",SUMIFS(T_TTAFStock_Log[TTAF_Qty],T_TTAFStock_Log[Part Name],$A33,T_TTAFStock_Log[WeekIndex],19))</f>
        <v/>
      </c>
      <c r="U33" s="18">
        <f>IF(COUNTIFS(T_TTAFStock_Log[Part Name],$A33,T_TTAFStock_Log[WeekIndex],20)=0,"",SUMIFS(T_TTAFStock_Log[TTAF_Qty],T_TTAFStock_Log[Part Name],$A33,T_TTAFStock_Log[WeekIndex],20))</f>
        <v/>
      </c>
      <c r="V33" s="18">
        <f>IF(COUNTIFS(T_TTAFStock_Log[Part Name],$A33,T_TTAFStock_Log[WeekIndex],21)=0,"",SUMIFS(T_TTAFStock_Log[TTAF_Qty],T_TTAFStock_Log[Part Name],$A33,T_TTAFStock_Log[WeekIndex],21))</f>
        <v/>
      </c>
      <c r="W33" s="18">
        <f>IF(COUNTIFS(T_TTAFStock_Log[Part Name],$A33,T_TTAFStock_Log[WeekIndex],22)=0,"",SUMIFS(T_TTAFStock_Log[TTAF_Qty],T_TTAFStock_Log[Part Name],$A33,T_TTAFStock_Log[WeekIndex],22))</f>
        <v/>
      </c>
      <c r="X33" s="18">
        <f>IF(COUNTIFS(T_TTAFStock_Log[Part Name],$A33,T_TTAFStock_Log[WeekIndex],23)=0,"",SUMIFS(T_TTAFStock_Log[TTAF_Qty],T_TTAFStock_Log[Part Name],$A33,T_TTAFStock_Log[WeekIndex],23))</f>
        <v/>
      </c>
      <c r="Y33" s="18">
        <f>IF(COUNTIFS(T_TTAFStock_Log[Part Name],$A33,T_TTAFStock_Log[WeekIndex],24)=0,"",SUMIFS(T_TTAFStock_Log[TTAF_Qty],T_TTAFStock_Log[Part Name],$A33,T_TTAFStock_Log[WeekIndex],24))</f>
        <v/>
      </c>
      <c r="Z33" s="18">
        <f>IF(COUNTIFS(T_TTAFStock_Log[Part Name],$A33,T_TTAFStock_Log[WeekIndex],25)=0,"",SUMIFS(T_TTAFStock_Log[TTAF_Qty],T_TTAFStock_Log[Part Name],$A33,T_TTAFStock_Log[WeekIndex],25))</f>
        <v/>
      </c>
      <c r="AA33" s="18">
        <f>IF(COUNTIFS(T_TTAFStock_Log[Part Name],$A33,T_TTAFStock_Log[WeekIndex],26)=0,"",SUMIFS(T_TTAFStock_Log[TTAF_Qty],T_TTAFStock_Log[Part Name],$A33,T_TTAFStock_Log[WeekIndex],26))</f>
        <v/>
      </c>
      <c r="AB33" s="18">
        <f>IF(COUNTIFS(T_TTAFStock_Log[Part Name],$A33,T_TTAFStock_Log[WeekIndex],27)=0,"",SUMIFS(T_TTAFStock_Log[TTAF_Qty],T_TTAFStock_Log[Part Name],$A33,T_TTAFStock_Log[WeekIndex],27))</f>
        <v/>
      </c>
      <c r="AC33" s="18">
        <f>IF(COUNTIFS(T_TTAFStock_Log[Part Name],$A33,T_TTAFStock_Log[WeekIndex],28)=0,"",SUMIFS(T_TTAFStock_Log[TTAF_Qty],T_TTAFStock_Log[Part Name],$A33,T_TTAFStock_Log[WeekIndex],28))</f>
        <v/>
      </c>
      <c r="AD33" s="18">
        <f>IF(COUNTIFS(T_TTAFStock_Log[Part Name],$A33,T_TTAFStock_Log[WeekIndex],29)=0,"",SUMIFS(T_TTAFStock_Log[TTAF_Qty],T_TTAFStock_Log[Part Name],$A33,T_TTAFStock_Log[WeekIndex],29))</f>
        <v/>
      </c>
      <c r="AE33" s="18">
        <f>IF(COUNTIFS(T_TTAFStock_Log[Part Name],$A33,T_TTAFStock_Log[WeekIndex],30)=0,"",SUMIFS(T_TTAFStock_Log[TTAF_Qty],T_TTAFStock_Log[Part Name],$A33,T_TTAFStock_Log[WeekIndex],30))</f>
        <v/>
      </c>
      <c r="AF33" s="18">
        <f>IF(COUNTIFS(T_TTAFStock_Log[Part Name],$A33,T_TTAFStock_Log[WeekIndex],31)=0,"",SUMIFS(T_TTAFStock_Log[TTAF_Qty],T_TTAFStock_Log[Part Name],$A33,T_TTAFStock_Log[WeekIndex],31))</f>
        <v/>
      </c>
      <c r="AG33" s="18">
        <f>IF(COUNTIFS(T_TTAFStock_Log[Part Name],$A33,T_TTAFStock_Log[WeekIndex],32)=0,"",SUMIFS(T_TTAFStock_Log[TTAF_Qty],T_TTAFStock_Log[Part Name],$A33,T_TTAFStock_Log[WeekIndex],32))</f>
        <v/>
      </c>
      <c r="AH33" s="18">
        <f>IF(COUNTIFS(T_TTAFStock_Log[Part Name],$A33,T_TTAFStock_Log[WeekIndex],33)=0,"",SUMIFS(T_TTAFStock_Log[TTAF_Qty],T_TTAFStock_Log[Part Name],$A33,T_TTAFStock_Log[WeekIndex],33))</f>
        <v/>
      </c>
      <c r="AI33" s="18">
        <f>IF(COUNTIFS(T_TTAFStock_Log[Part Name],$A33,T_TTAFStock_Log[WeekIndex],34)=0,"",SUMIFS(T_TTAFStock_Log[TTAF_Qty],T_TTAFStock_Log[Part Name],$A33,T_TTAFStock_Log[WeekIndex],34))</f>
        <v/>
      </c>
      <c r="AJ33" s="18">
        <f>IF(COUNTIFS(T_TTAFStock_Log[Part Name],$A33,T_TTAFStock_Log[WeekIndex],35)=0,"",SUMIFS(T_TTAFStock_Log[TTAF_Qty],T_TTAFStock_Log[Part Name],$A33,T_TTAFStock_Log[WeekIndex],35))</f>
        <v/>
      </c>
      <c r="AK33" s="18">
        <f>IF(COUNTIFS(T_TTAFStock_Log[Part Name],$A33,T_TTAFStock_Log[WeekIndex],36)=0,"",SUMIFS(T_TTAFStock_Log[TTAF_Qty],T_TTAFStock_Log[Part Name],$A33,T_TTAFStock_Log[WeekIndex],36))</f>
        <v/>
      </c>
      <c r="AL33" s="18">
        <f>IF(COUNTIFS(T_TTAFStock_Log[Part Name],$A33,T_TTAFStock_Log[WeekIndex],37)=0,"",SUMIFS(T_TTAFStock_Log[TTAF_Qty],T_TTAFStock_Log[Part Name],$A33,T_TTAFStock_Log[WeekIndex],37))</f>
        <v/>
      </c>
      <c r="AM33" s="18">
        <f>IF(COUNTIFS(T_TTAFStock_Log[Part Name],$A33,T_TTAFStock_Log[WeekIndex],38)=0,"",SUMIFS(T_TTAFStock_Log[TTAF_Qty],T_TTAFStock_Log[Part Name],$A33,T_TTAFStock_Log[WeekIndex],38))</f>
        <v/>
      </c>
      <c r="AN33" s="18">
        <f>IF(COUNTIFS(T_TTAFStock_Log[Part Name],$A33,T_TTAFStock_Log[WeekIndex],39)=0,"",SUMIFS(T_TTAFStock_Log[TTAF_Qty],T_TTAFStock_Log[Part Name],$A33,T_TTAFStock_Log[WeekIndex],39))</f>
        <v/>
      </c>
      <c r="AO33" s="18">
        <f>IF(COUNTIFS(T_TTAFStock_Log[Part Name],$A33,T_TTAFStock_Log[WeekIndex],40)=0,"",SUMIFS(T_TTAFStock_Log[TTAF_Qty],T_TTAFStock_Log[Part Name],$A33,T_TTAFStock_Log[WeekIndex],40))</f>
        <v/>
      </c>
      <c r="AP33" s="18">
        <f>IF(COUNTIFS(T_TTAFStock_Log[Part Name],$A33,T_TTAFStock_Log[WeekIndex],41)=0,"",SUMIFS(T_TTAFStock_Log[TTAF_Qty],T_TTAFStock_Log[Part Name],$A33,T_TTAFStock_Log[WeekIndex],41))</f>
        <v/>
      </c>
      <c r="AQ33" s="18">
        <f>IF(COUNTIFS(T_TTAFStock_Log[Part Name],$A33,T_TTAFStock_Log[WeekIndex],42)=0,"",SUMIFS(T_TTAFStock_Log[TTAF_Qty],T_TTAFStock_Log[Part Name],$A33,T_TTAFStock_Log[WeekIndex],42))</f>
        <v/>
      </c>
      <c r="AR33" s="18">
        <f>IF(COUNTIFS(T_TTAFStock_Log[Part Name],$A33,T_TTAFStock_Log[WeekIndex],43)=0,"",SUMIFS(T_TTAFStock_Log[TTAF_Qty],T_TTAFStock_Log[Part Name],$A33,T_TTAFStock_Log[WeekIndex],43))</f>
        <v/>
      </c>
      <c r="AS33" s="18">
        <f>IF(COUNTIFS(T_TTAFStock_Log[Part Name],$A33,T_TTAFStock_Log[WeekIndex],44)=0,"",SUMIFS(T_TTAFStock_Log[TTAF_Qty],T_TTAFStock_Log[Part Name],$A33,T_TTAFStock_Log[WeekIndex],44))</f>
        <v/>
      </c>
      <c r="AT33" s="18">
        <f>IF(COUNTIFS(T_TTAFStock_Log[Part Name],$A33,T_TTAFStock_Log[WeekIndex],45)=0,"",SUMIFS(T_TTAFStock_Log[TTAF_Qty],T_TTAFStock_Log[Part Name],$A33,T_TTAFStock_Log[WeekIndex],45))</f>
        <v/>
      </c>
      <c r="AU33" s="18">
        <f>IF(COUNTIFS(T_TTAFStock_Log[Part Name],$A33,T_TTAFStock_Log[WeekIndex],46)=0,"",SUMIFS(T_TTAFStock_Log[TTAF_Qty],T_TTAFStock_Log[Part Name],$A33,T_TTAFStock_Log[WeekIndex],46))</f>
        <v/>
      </c>
      <c r="AV33" s="18">
        <f>IF(COUNTIFS(T_TTAFStock_Log[Part Name],$A33,T_TTAFStock_Log[WeekIndex],47)=0,"",SUMIFS(T_TTAFStock_Log[TTAF_Qty],T_TTAFStock_Log[Part Name],$A33,T_TTAFStock_Log[WeekIndex],47))</f>
        <v/>
      </c>
      <c r="AW33" s="18">
        <f>IF(COUNTIFS(T_TTAFStock_Log[Part Name],$A33,T_TTAFStock_Log[WeekIndex],48)=0,"",SUMIFS(T_TTAFStock_Log[TTAF_Qty],T_TTAFStock_Log[Part Name],$A33,T_TTAFStock_Log[WeekIndex],48))</f>
        <v/>
      </c>
      <c r="AX33" s="18">
        <f>IF(COUNTIFS(T_TTAFStock_Log[Part Name],$A33,T_TTAFStock_Log[WeekIndex],49)=0,"",SUMIFS(T_TTAFStock_Log[TTAF_Qty],T_TTAFStock_Log[Part Name],$A33,T_TTAFStock_Log[WeekIndex],49))</f>
        <v/>
      </c>
      <c r="AY33" s="18">
        <f>IF(COUNTIFS(T_TTAFStock_Log[Part Name],$A33,T_TTAFStock_Log[WeekIndex],50)=0,"",SUMIFS(T_TTAFStock_Log[TTAF_Qty],T_TTAFStock_Log[Part Name],$A33,T_TTAFStock_Log[WeekIndex],50))</f>
        <v/>
      </c>
      <c r="AZ33" s="18">
        <f>IF(COUNTIFS(T_TTAFStock_Log[Part Name],$A33,T_TTAFStock_Log[WeekIndex],51)=0,"",SUMIFS(T_TTAFStock_Log[TTAF_Qty],T_TTAFStock_Log[Part Name],$A33,T_TTAFStock_Log[WeekIndex],51))</f>
        <v/>
      </c>
      <c r="BA33" s="18">
        <f>IF(COUNTIFS(T_TTAFStock_Log[Part Name],$A33,T_TTAFStock_Log[WeekIndex],52)=0,"",SUMIFS(T_TTAFStock_Log[TTAF_Qty],T_TTAFStock_Log[Part Name],$A33,T_TTAFStock_Log[WeekIndex],52))</f>
        <v/>
      </c>
      <c r="BB33" s="18">
        <f>IF(COUNTIFS(T_TTAFStock_Log[Part Name],$A33,T_TTAFStock_Log[WeekIndex],53)=0,"",SUMIFS(T_TTAFStock_Log[TTAF_Qty],T_TTAFStock_Log[Part Name],$A33,T_TTAFStock_Log[WeekIndex],53))</f>
        <v/>
      </c>
      <c r="BC33" s="18">
        <f>IF(COUNTIFS(T_TTAFStock_Log[Part Name],$A33,T_TTAFStock_Log[WeekIndex],54)=0,"",SUMIFS(T_TTAFStock_Log[TTAF_Qty],T_TTAFStock_Log[Part Name],$A33,T_TTAFStock_Log[WeekIndex],54))</f>
        <v/>
      </c>
      <c r="BD33" s="18">
        <f>IF(COUNTIFS(T_TTAFStock_Log[Part Name],$A33,T_TTAFStock_Log[WeekIndex],55)=0,"",SUMIFS(T_TTAFStock_Log[TTAF_Qty],T_TTAFStock_Log[Part Name],$A33,T_TTAFStock_Log[WeekIndex],55))</f>
        <v/>
      </c>
      <c r="BE33" s="18">
        <f>IF(COUNTIFS(T_TTAFStock_Log[Part Name],$A33,T_TTAFStock_Log[WeekIndex],56)=0,"",SUMIFS(T_TTAFStock_Log[TTAF_Qty],T_TTAFStock_Log[Part Name],$A33,T_TTAFStock_Log[WeekIndex],56))</f>
        <v/>
      </c>
      <c r="BF33" s="18">
        <f>IF(COUNTIFS(T_TTAFStock_Log[Part Name],$A33,T_TTAFStock_Log[WeekIndex],57)=0,"",SUMIFS(T_TTAFStock_Log[TTAF_Qty],T_TTAFStock_Log[Part Name],$A33,T_TTAFStock_Log[WeekIndex],57))</f>
        <v/>
      </c>
      <c r="BG33" s="18">
        <f>IF(COUNTIFS(T_TTAFStock_Log[Part Name],$A33,T_TTAFStock_Log[WeekIndex],58)=0,"",SUMIFS(T_TTAFStock_Log[TTAF_Qty],T_TTAFStock_Log[Part Name],$A33,T_TTAFStock_Log[WeekIndex],58))</f>
        <v/>
      </c>
      <c r="BH33" s="18">
        <f>IF(COUNTIFS(T_TTAFStock_Log[Part Name],$A33,T_TTAFStock_Log[WeekIndex],59)=0,"",SUMIFS(T_TTAFStock_Log[TTAF_Qty],T_TTAFStock_Log[Part Name],$A33,T_TTAFStock_Log[WeekIndex],59))</f>
        <v/>
      </c>
      <c r="BI33" s="18">
        <f>IF(COUNTIFS(T_TTAFStock_Log[Part Name],$A33,T_TTAFStock_Log[WeekIndex],60)=0,"",SUMIFS(T_TTAFStock_Log[TTAF_Qty],T_TTAFStock_Log[Part Name],$A33,T_TTAFStock_Log[WeekIndex],60))</f>
        <v/>
      </c>
      <c r="BJ33" s="18">
        <f>IF(COUNTIFS(T_TTAFStock_Log[Part Name],$A33,T_TTAFStock_Log[WeekIndex],61)=0,"",SUMIFS(T_TTAFStock_Log[TTAF_Qty],T_TTAFStock_Log[Part Name],$A33,T_TTAFStock_Log[WeekIndex],61))</f>
        <v/>
      </c>
      <c r="BK33" s="18">
        <f>IF(COUNTIFS(T_TTAFStock_Log[Part Name],$A33,T_TTAFStock_Log[WeekIndex],62)=0,"",SUMIFS(T_TTAFStock_Log[TTAF_Qty],T_TTAFStock_Log[Part Name],$A33,T_TTAFStock_Log[WeekIndex],62))</f>
        <v/>
      </c>
      <c r="BL33" s="18">
        <f>IF(COUNTIFS(T_TTAFStock_Log[Part Name],$A33,T_TTAFStock_Log[WeekIndex],63)=0,"",SUMIFS(T_TTAFStock_Log[TTAF_Qty],T_TTAFStock_Log[Part Name],$A33,T_TTAFStock_Log[WeekIndex],63))</f>
        <v/>
      </c>
      <c r="BM33" s="18">
        <f>IF(COUNTIFS(T_TTAFStock_Log[Part Name],$A33,T_TTAFStock_Log[WeekIndex],64)=0,"",SUMIFS(T_TTAFStock_Log[TTAF_Qty],T_TTAFStock_Log[Part Name],$A33,T_TTAFStock_Log[WeekIndex],64))</f>
        <v/>
      </c>
      <c r="BN33" s="18">
        <f>IF(COUNTIFS(T_TTAFStock_Log[Part Name],$A33,T_TTAFStock_Log[WeekIndex],65)=0,"",SUMIFS(T_TTAFStock_Log[TTAF_Qty],T_TTAFStock_Log[Part Name],$A33,T_TTAFStock_Log[WeekIndex],65))</f>
        <v/>
      </c>
      <c r="BO33" s="18">
        <f>IF(COUNTIFS(T_TTAFStock_Log[Part Name],$A33,T_TTAFStock_Log[WeekIndex],66)=0,"",SUMIFS(T_TTAFStock_Log[TTAF_Qty],T_TTAFStock_Log[Part Name],$A33,T_TTAFStock_Log[WeekIndex],66))</f>
        <v/>
      </c>
      <c r="BP33" s="18">
        <f>IF(COUNTIFS(T_TTAFStock_Log[Part Name],$A33,T_TTAFStock_Log[WeekIndex],67)=0,"",SUMIFS(T_TTAFStock_Log[TTAF_Qty],T_TTAFStock_Log[Part Name],$A33,T_TTAFStock_Log[WeekIndex],67))</f>
        <v/>
      </c>
      <c r="BQ33" s="18">
        <f>IF(COUNTIFS(T_TTAFStock_Log[Part Name],$A33,T_TTAFStock_Log[WeekIndex],68)=0,"",SUMIFS(T_TTAFStock_Log[TTAF_Qty],T_TTAFStock_Log[Part Name],$A33,T_TTAFStock_Log[WeekIndex],68))</f>
        <v/>
      </c>
      <c r="BR33" s="18">
        <f>IF(COUNTIFS(T_TTAFStock_Log[Part Name],$A33,T_TTAFStock_Log[WeekIndex],69)=0,"",SUMIFS(T_TTAFStock_Log[TTAF_Qty],T_TTAFStock_Log[Part Name],$A33,T_TTAFStock_Log[WeekIndex],69))</f>
        <v/>
      </c>
      <c r="BS33" s="18">
        <f>IF(COUNTIFS(T_TTAFStock_Log[Part Name],$A33,T_TTAFStock_Log[WeekIndex],70)=0,"",SUMIFS(T_TTAFStock_Log[TTAF_Qty],T_TTAFStock_Log[Part Name],$A33,T_TTAFStock_Log[WeekIndex],70))</f>
        <v/>
      </c>
      <c r="BT33" s="18">
        <f>IF(COUNTIFS(T_TTAFStock_Log[Part Name],$A33,T_TTAFStock_Log[WeekIndex],71)=0,"",SUMIFS(T_TTAFStock_Log[TTAF_Qty],T_TTAFStock_Log[Part Name],$A33,T_TTAFStock_Log[WeekIndex],71))</f>
        <v/>
      </c>
      <c r="BU33" s="18">
        <f>IF(COUNTIFS(T_TTAFStock_Log[Part Name],$A33,T_TTAFStock_Log[WeekIndex],72)=0,"",SUMIFS(T_TTAFStock_Log[TTAF_Qty],T_TTAFStock_Log[Part Name],$A33,T_TTAFStock_Log[WeekIndex],72))</f>
        <v/>
      </c>
      <c r="BV33" s="18">
        <f>IF(COUNTIFS(T_TTAFStock_Log[Part Name],$A33,T_TTAFStock_Log[WeekIndex],73)=0,"",SUMIFS(T_TTAFStock_Log[TTAF_Qty],T_TTAFStock_Log[Part Name],$A33,T_TTAFStock_Log[WeekIndex],73))</f>
        <v/>
      </c>
      <c r="BW33" s="18">
        <f>IF(COUNTIFS(T_TTAFStock_Log[Part Name],$A33,T_TTAFStock_Log[WeekIndex],74)=0,"",SUMIFS(T_TTAFStock_Log[TTAF_Qty],T_TTAFStock_Log[Part Name],$A33,T_TTAFStock_Log[WeekIndex],74))</f>
        <v/>
      </c>
      <c r="BX33" s="18">
        <f>IF(COUNTIFS(T_TTAFStock_Log[Part Name],$A33,T_TTAFStock_Log[WeekIndex],75)=0,"",SUMIFS(T_TTAFStock_Log[TTAF_Qty],T_TTAFStock_Log[Part Name],$A33,T_TTAFStock_Log[WeekIndex],75))</f>
        <v/>
      </c>
      <c r="BY33" s="18">
        <f>IF(COUNTIFS(T_TTAFStock_Log[Part Name],$A33,T_TTAFStock_Log[WeekIndex],76)=0,"",SUMIFS(T_TTAFStock_Log[TTAF_Qty],T_TTAFStock_Log[Part Name],$A33,T_TTAFStock_Log[WeekIndex],76))</f>
        <v/>
      </c>
      <c r="BZ33" s="18">
        <f>IF(COUNTIFS(T_TTAFStock_Log[Part Name],$A33,T_TTAFStock_Log[WeekIndex],77)=0,"",SUMIFS(T_TTAFStock_Log[TTAF_Qty],T_TTAFStock_Log[Part Name],$A33,T_TTAFStock_Log[WeekIndex],77))</f>
        <v/>
      </c>
      <c r="CA33" s="18">
        <f>IF(COUNTIFS(T_TTAFStock_Log[Part Name],$A33,T_TTAFStock_Log[WeekIndex],78)=0,"",SUMIFS(T_TTAFStock_Log[TTAF_Qty],T_TTAFStock_Log[Part Name],$A33,T_TTAFStock_Log[WeekIndex],78))</f>
        <v/>
      </c>
      <c r="CB33" s="18">
        <f>IF(COUNTIFS(T_TTAFStock_Log[Part Name],$A33,T_TTAFStock_Log[WeekIndex],79)=0,"",SUMIFS(T_TTAFStock_Log[TTAF_Qty],T_TTAFStock_Log[Part Name],$A33,T_TTAFStock_Log[WeekIndex],79))</f>
        <v/>
      </c>
      <c r="CC33" s="18">
        <f>IF(COUNTIFS(T_TTAFStock_Log[Part Name],$A33,T_TTAFStock_Log[WeekIndex],80)=0,"",SUMIFS(T_TTAFStock_Log[TTAF_Qty],T_TTAFStock_Log[Part Name],$A33,T_TTAFStock_Log[WeekIndex],80))</f>
        <v/>
      </c>
      <c r="CD33" s="18">
        <f>IF(COUNTIFS(T_TTAFStock_Log[Part Name],$A33,T_TTAFStock_Log[WeekIndex],81)=0,"",SUMIFS(T_TTAFStock_Log[TTAF_Qty],T_TTAFStock_Log[Part Name],$A33,T_TTAFStock_Log[WeekIndex],81))</f>
        <v/>
      </c>
      <c r="CE33" s="18">
        <f>IF(COUNTIFS(T_TTAFStock_Log[Part Name],$A33,T_TTAFStock_Log[WeekIndex],82)=0,"",SUMIFS(T_TTAFStock_Log[TTAF_Qty],T_TTAFStock_Log[Part Name],$A33,T_TTAFStock_Log[WeekIndex],82))</f>
        <v/>
      </c>
      <c r="CF33" s="18">
        <f>IF(COUNTIFS(T_TTAFStock_Log[Part Name],$A33,T_TTAFStock_Log[WeekIndex],83)=0,"",SUMIFS(T_TTAFStock_Log[TTAF_Qty],T_TTAFStock_Log[Part Name],$A33,T_TTAFStock_Log[WeekIndex],83))</f>
        <v/>
      </c>
      <c r="CG33" s="18">
        <f>IF(COUNTIFS(T_TTAFStock_Log[Part Name],$A33,T_TTAFStock_Log[WeekIndex],84)=0,"",SUMIFS(T_TTAFStock_Log[TTAF_Qty],T_TTAFStock_Log[Part Name],$A33,T_TTAFStock_Log[WeekIndex],84))</f>
        <v/>
      </c>
      <c r="CH33" s="18">
        <f>IF(COUNTIFS(T_TTAFStock_Log[Part Name],$A33,T_TTAFStock_Log[WeekIndex],85)=0,"",SUMIFS(T_TTAFStock_Log[TTAF_Qty],T_TTAFStock_Log[Part Name],$A33,T_TTAFStock_Log[WeekIndex],85))</f>
        <v/>
      </c>
      <c r="CI33" s="18">
        <f>IF(COUNTIFS(T_TTAFStock_Log[Part Name],$A33,T_TTAFStock_Log[WeekIndex],86)=0,"",SUMIFS(T_TTAFStock_Log[TTAF_Qty],T_TTAFStock_Log[Part Name],$A33,T_TTAFStock_Log[WeekIndex],86))</f>
        <v/>
      </c>
      <c r="CJ33" s="18">
        <f>IF(COUNTIFS(T_TTAFStock_Log[Part Name],$A33,T_TTAFStock_Log[WeekIndex],87)=0,"",SUMIFS(T_TTAFStock_Log[TTAF_Qty],T_TTAFStock_Log[Part Name],$A33,T_TTAFStock_Log[WeekIndex],87))</f>
        <v/>
      </c>
      <c r="CK33" s="18">
        <f>IF(COUNTIFS(T_TTAFStock_Log[Part Name],$A33,T_TTAFStock_Log[WeekIndex],88)=0,"",SUMIFS(T_TTAFStock_Log[TTAF_Qty],T_TTAFStock_Log[Part Name],$A33,T_TTAFStock_Log[WeekIndex],88))</f>
        <v/>
      </c>
      <c r="CL33" s="18">
        <f>IF(COUNTIFS(T_TTAFStock_Log[Part Name],$A33,T_TTAFStock_Log[WeekIndex],89)=0,"",SUMIFS(T_TTAFStock_Log[TTAF_Qty],T_TTAFStock_Log[Part Name],$A33,T_TTAFStock_Log[WeekIndex],89))</f>
        <v/>
      </c>
      <c r="CM33" s="18">
        <f>IF(COUNTIFS(T_TTAFStock_Log[Part Name],$A33,T_TTAFStock_Log[WeekIndex],90)=0,"",SUMIFS(T_TTAFStock_Log[TTAF_Qty],T_TTAFStock_Log[Part Name],$A33,T_TTAFStock_Log[WeekIndex],90))</f>
        <v/>
      </c>
      <c r="CN33" s="18">
        <f>IF(COUNTIFS(T_TTAFStock_Log[Part Name],$A33,T_TTAFStock_Log[WeekIndex],91)=0,"",SUMIFS(T_TTAFStock_Log[TTAF_Qty],T_TTAFStock_Log[Part Name],$A33,T_TTAFStock_Log[WeekIndex],91))</f>
        <v/>
      </c>
      <c r="CO33" s="18">
        <f>IF(COUNTIFS(T_TTAFStock_Log[Part Name],$A33,T_TTAFStock_Log[WeekIndex],92)=0,"",SUMIFS(T_TTAFStock_Log[TTAF_Qty],T_TTAFStock_Log[Part Name],$A33,T_TTAFStock_Log[WeekIndex],92))</f>
        <v/>
      </c>
      <c r="CP33" s="18">
        <f>IF(COUNTIFS(T_TTAFStock_Log[Part Name],$A33,T_TTAFStock_Log[WeekIndex],93)=0,"",SUMIFS(T_TTAFStock_Log[TTAF_Qty],T_TTAFStock_Log[Part Name],$A33,T_TTAFStock_Log[WeekIndex],93))</f>
        <v/>
      </c>
      <c r="CQ33" s="18">
        <f>IF(COUNTIFS(T_TTAFStock_Log[Part Name],$A33,T_TTAFStock_Log[WeekIndex],94)=0,"",SUMIFS(T_TTAFStock_Log[TTAF_Qty],T_TTAFStock_Log[Part Name],$A33,T_TTAFStock_Log[WeekIndex],94))</f>
        <v/>
      </c>
      <c r="CR33" s="18">
        <f>IF(COUNTIFS(T_TTAFStock_Log[Part Name],$A33,T_TTAFStock_Log[WeekIndex],95)=0,"",SUMIFS(T_TTAFStock_Log[TTAF_Qty],T_TTAFStock_Log[Part Name],$A33,T_TTAFStock_Log[WeekIndex],95))</f>
        <v/>
      </c>
      <c r="CS33" s="18">
        <f>IF(COUNTIFS(T_TTAFStock_Log[Part Name],$A33,T_TTAFStock_Log[WeekIndex],96)=0,"",SUMIFS(T_TTAFStock_Log[TTAF_Qty],T_TTAFStock_Log[Part Name],$A33,T_TTAFStock_Log[WeekIndex],96))</f>
        <v/>
      </c>
      <c r="CT33" s="18">
        <f>IF(COUNTIFS(T_TTAFStock_Log[Part Name],$A33,T_TTAFStock_Log[WeekIndex],97)=0,"",SUMIFS(T_TTAFStock_Log[TTAF_Qty],T_TTAFStock_Log[Part Name],$A33,T_TTAFStock_Log[WeekIndex],97))</f>
        <v/>
      </c>
      <c r="CU33" s="18">
        <f>IF(COUNTIFS(T_TTAFStock_Log[Part Name],$A33,T_TTAFStock_Log[WeekIndex],98)=0,"",SUMIFS(T_TTAFStock_Log[TTAF_Qty],T_TTAFStock_Log[Part Name],$A33,T_TTAFStock_Log[WeekIndex],98))</f>
        <v/>
      </c>
      <c r="CV33" s="18">
        <f>IF(COUNTIFS(T_TTAFStock_Log[Part Name],$A33,T_TTAFStock_Log[WeekIndex],99)=0,"",SUMIFS(T_TTAFStock_Log[TTAF_Qty],T_TTAFStock_Log[Part Name],$A33,T_TTAFStock_Log[WeekIndex],99))</f>
        <v/>
      </c>
      <c r="CW33" s="18">
        <f>IF(COUNTIFS(T_TTAFStock_Log[Part Name],$A33,T_TTAFStock_Log[WeekIndex],100)=0,"",SUMIFS(T_TTAFStock_Log[TTAF_Qty],T_TTAFStock_Log[Part Name],$A33,T_TTAFStock_Log[WeekIndex],100))</f>
        <v/>
      </c>
      <c r="CX33" s="18">
        <f>IF(COUNTIFS(T_TTAFStock_Log[Part Name],$A33,T_TTAFStock_Log[WeekIndex],101)=0,"",SUMIFS(T_TTAFStock_Log[TTAF_Qty],T_TTAFStock_Log[Part Name],$A33,T_TTAFStock_Log[WeekIndex],101))</f>
        <v/>
      </c>
      <c r="CY33" s="18">
        <f>IF(COUNTIFS(T_TTAFStock_Log[Part Name],$A33,T_TTAFStock_Log[WeekIndex],102)=0,"",SUMIFS(T_TTAFStock_Log[TTAF_Qty],T_TTAFStock_Log[Part Name],$A33,T_TTAFStock_Log[WeekIndex],102))</f>
        <v/>
      </c>
      <c r="CZ33" s="18">
        <f>IF(COUNTIFS(T_TTAFStock_Log[Part Name],$A33,T_TTAFStock_Log[WeekIndex],103)=0,"",SUMIFS(T_TTAFStock_Log[TTAF_Qty],T_TTAFStock_Log[Part Name],$A33,T_TTAFStock_Log[WeekIndex],103))</f>
        <v/>
      </c>
      <c r="DA33" s="18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TDJ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8" t="inlineStr">
        <is>
          <t>CHEM-1730</t>
        </is>
      </c>
      <c r="B35" s="18">
        <f>IF(COUNTIFS(T_TTAFStock_Log[Part Name],$A35,T_TTAFStock_Log[WeekIndex],1)=0,"",SUMIFS(T_TTAFStock_Log[TTAF_Qty],T_TTAFStock_Log[Part Name],$A35,T_TTAFStock_Log[WeekIndex],1))</f>
        <v/>
      </c>
      <c r="C35" s="18">
        <f>IF(COUNTIFS(T_TTAFStock_Log[Part Name],$A35,T_TTAFStock_Log[WeekIndex],2)=0,"",SUMIFS(T_TTAFStock_Log[TTAF_Qty],T_TTAFStock_Log[Part Name],$A35,T_TTAFStock_Log[WeekIndex],2))</f>
        <v/>
      </c>
      <c r="D35" s="18">
        <f>IF(COUNTIFS(T_TTAFStock_Log[Part Name],$A35,T_TTAFStock_Log[WeekIndex],3)=0,"",SUMIFS(T_TTAFStock_Log[TTAF_Qty],T_TTAFStock_Log[Part Name],$A35,T_TTAFStock_Log[WeekIndex],3))</f>
        <v/>
      </c>
      <c r="E35" s="18">
        <f>IF(COUNTIFS(T_TTAFStock_Log[Part Name],$A35,T_TTAFStock_Log[WeekIndex],4)=0,"",SUMIFS(T_TTAFStock_Log[TTAF_Qty],T_TTAFStock_Log[Part Name],$A35,T_TTAFStock_Log[WeekIndex],4))</f>
        <v/>
      </c>
      <c r="F35" s="18">
        <f>IF(COUNTIFS(T_TTAFStock_Log[Part Name],$A35,T_TTAFStock_Log[WeekIndex],5)=0,"",SUMIFS(T_TTAFStock_Log[TTAF_Qty],T_TTAFStock_Log[Part Name],$A35,T_TTAFStock_Log[WeekIndex],5))</f>
        <v/>
      </c>
      <c r="G35" s="18">
        <f>IF(COUNTIFS(T_TTAFStock_Log[Part Name],$A35,T_TTAFStock_Log[WeekIndex],6)=0,"",SUMIFS(T_TTAFStock_Log[TTAF_Qty],T_TTAFStock_Log[Part Name],$A35,T_TTAFStock_Log[WeekIndex],6))</f>
        <v/>
      </c>
      <c r="H35" s="18">
        <f>IF(COUNTIFS(T_TTAFStock_Log[Part Name],$A35,T_TTAFStock_Log[WeekIndex],7)=0,"",SUMIFS(T_TTAFStock_Log[TTAF_Qty],T_TTAFStock_Log[Part Name],$A35,T_TTAFStock_Log[WeekIndex],7))</f>
        <v/>
      </c>
      <c r="I35" s="18">
        <f>IF(COUNTIFS(T_TTAFStock_Log[Part Name],$A35,T_TTAFStock_Log[WeekIndex],8)=0,"",SUMIFS(T_TTAFStock_Log[TTAF_Qty],T_TTAFStock_Log[Part Name],$A35,T_TTAFStock_Log[WeekIndex],8))</f>
        <v/>
      </c>
      <c r="J35" s="18">
        <f>IF(COUNTIFS(T_TTAFStock_Log[Part Name],$A35,T_TTAFStock_Log[WeekIndex],9)=0,"",SUMIFS(T_TTAFStock_Log[TTAF_Qty],T_TTAFStock_Log[Part Name],$A35,T_TTAFStock_Log[WeekIndex],9))</f>
        <v/>
      </c>
      <c r="K35" s="18">
        <f>IF(COUNTIFS(T_TTAFStock_Log[Part Name],$A35,T_TTAFStock_Log[WeekIndex],10)=0,"",SUMIFS(T_TTAFStock_Log[TTAF_Qty],T_TTAFStock_Log[Part Name],$A35,T_TTAFStock_Log[WeekIndex],10))</f>
        <v/>
      </c>
      <c r="L35" s="18">
        <f>IF(COUNTIFS(T_TTAFStock_Log[Part Name],$A35,T_TTAFStock_Log[WeekIndex],11)=0,"",SUMIFS(T_TTAFStock_Log[TTAF_Qty],T_TTAFStock_Log[Part Name],$A35,T_TTAFStock_Log[WeekIndex],11))</f>
        <v/>
      </c>
      <c r="M35" s="18">
        <f>IF(COUNTIFS(T_TTAFStock_Log[Part Name],$A35,T_TTAFStock_Log[WeekIndex],12)=0,"",SUMIFS(T_TTAFStock_Log[TTAF_Qty],T_TTAFStock_Log[Part Name],$A35,T_TTAFStock_Log[WeekIndex],12))</f>
        <v/>
      </c>
      <c r="N35" s="18">
        <f>IF(COUNTIFS(T_TTAFStock_Log[Part Name],$A35,T_TTAFStock_Log[WeekIndex],13)=0,"",SUMIFS(T_TTAFStock_Log[TTAF_Qty],T_TTAFStock_Log[Part Name],$A35,T_TTAFStock_Log[WeekIndex],13))</f>
        <v/>
      </c>
      <c r="O35" s="18">
        <f>IF(COUNTIFS(T_TTAFStock_Log[Part Name],$A35,T_TTAFStock_Log[WeekIndex],14)=0,"",SUMIFS(T_TTAFStock_Log[TTAF_Qty],T_TTAFStock_Log[Part Name],$A35,T_TTAFStock_Log[WeekIndex],14))</f>
        <v/>
      </c>
      <c r="P35" s="18">
        <f>IF(COUNTIFS(T_TTAFStock_Log[Part Name],$A35,T_TTAFStock_Log[WeekIndex],15)=0,"",SUMIFS(T_TTAFStock_Log[TTAF_Qty],T_TTAFStock_Log[Part Name],$A35,T_TTAFStock_Log[WeekIndex],15))</f>
        <v/>
      </c>
      <c r="Q35" s="18">
        <f>IF(COUNTIFS(T_TTAFStock_Log[Part Name],$A35,T_TTAFStock_Log[WeekIndex],16)=0,"",SUMIFS(T_TTAFStock_Log[TTAF_Qty],T_TTAFStock_Log[Part Name],$A35,T_TTAFStock_Log[WeekIndex],16))</f>
        <v/>
      </c>
      <c r="R35" s="18">
        <f>IF(COUNTIFS(T_TTAFStock_Log[Part Name],$A35,T_TTAFStock_Log[WeekIndex],17)=0,"",SUMIFS(T_TTAFStock_Log[TTAF_Qty],T_TTAFStock_Log[Part Name],$A35,T_TTAFStock_Log[WeekIndex],17))</f>
        <v/>
      </c>
      <c r="S35" s="18">
        <f>IF(COUNTIFS(T_TTAFStock_Log[Part Name],$A35,T_TTAFStock_Log[WeekIndex],18)=0,"",SUMIFS(T_TTAFStock_Log[TTAF_Qty],T_TTAFStock_Log[Part Name],$A35,T_TTAFStock_Log[WeekIndex],18))</f>
        <v/>
      </c>
      <c r="T35" s="18">
        <f>IF(COUNTIFS(T_TTAFStock_Log[Part Name],$A35,T_TTAFStock_Log[WeekIndex],19)=0,"",SUMIFS(T_TTAFStock_Log[TTAF_Qty],T_TTAFStock_Log[Part Name],$A35,T_TTAFStock_Log[WeekIndex],19))</f>
        <v/>
      </c>
      <c r="U35" s="18">
        <f>IF(COUNTIFS(T_TTAFStock_Log[Part Name],$A35,T_TTAFStock_Log[WeekIndex],20)=0,"",SUMIFS(T_TTAFStock_Log[TTAF_Qty],T_TTAFStock_Log[Part Name],$A35,T_TTAFStock_Log[WeekIndex],20))</f>
        <v/>
      </c>
      <c r="V35" s="18">
        <f>IF(COUNTIFS(T_TTAFStock_Log[Part Name],$A35,T_TTAFStock_Log[WeekIndex],21)=0,"",SUMIFS(T_TTAFStock_Log[TTAF_Qty],T_TTAFStock_Log[Part Name],$A35,T_TTAFStock_Log[WeekIndex],21))</f>
        <v/>
      </c>
      <c r="W35" s="18">
        <f>IF(COUNTIFS(T_TTAFStock_Log[Part Name],$A35,T_TTAFStock_Log[WeekIndex],22)=0,"",SUMIFS(T_TTAFStock_Log[TTAF_Qty],T_TTAFStock_Log[Part Name],$A35,T_TTAFStock_Log[WeekIndex],22))</f>
        <v/>
      </c>
      <c r="X35" s="18">
        <f>IF(COUNTIFS(T_TTAFStock_Log[Part Name],$A35,T_TTAFStock_Log[WeekIndex],23)=0,"",SUMIFS(T_TTAFStock_Log[TTAF_Qty],T_TTAFStock_Log[Part Name],$A35,T_TTAFStock_Log[WeekIndex],23))</f>
        <v/>
      </c>
      <c r="Y35" s="18">
        <f>IF(COUNTIFS(T_TTAFStock_Log[Part Name],$A35,T_TTAFStock_Log[WeekIndex],24)=0,"",SUMIFS(T_TTAFStock_Log[TTAF_Qty],T_TTAFStock_Log[Part Name],$A35,T_TTAFStock_Log[WeekIndex],24))</f>
        <v/>
      </c>
      <c r="Z35" s="18">
        <f>IF(COUNTIFS(T_TTAFStock_Log[Part Name],$A35,T_TTAFStock_Log[WeekIndex],25)=0,"",SUMIFS(T_TTAFStock_Log[TTAF_Qty],T_TTAFStock_Log[Part Name],$A35,T_TTAFStock_Log[WeekIndex],25))</f>
        <v/>
      </c>
      <c r="AA35" s="18">
        <f>IF(COUNTIFS(T_TTAFStock_Log[Part Name],$A35,T_TTAFStock_Log[WeekIndex],26)=0,"",SUMIFS(T_TTAFStock_Log[TTAF_Qty],T_TTAFStock_Log[Part Name],$A35,T_TTAFStock_Log[WeekIndex],26))</f>
        <v/>
      </c>
      <c r="AB35" s="18">
        <f>IF(COUNTIFS(T_TTAFStock_Log[Part Name],$A35,T_TTAFStock_Log[WeekIndex],27)=0,"",SUMIFS(T_TTAFStock_Log[TTAF_Qty],T_TTAFStock_Log[Part Name],$A35,T_TTAFStock_Log[WeekIndex],27))</f>
        <v/>
      </c>
      <c r="AC35" s="18">
        <f>IF(COUNTIFS(T_TTAFStock_Log[Part Name],$A35,T_TTAFStock_Log[WeekIndex],28)=0,"",SUMIFS(T_TTAFStock_Log[TTAF_Qty],T_TTAFStock_Log[Part Name],$A35,T_TTAFStock_Log[WeekIndex],28))</f>
        <v/>
      </c>
      <c r="AD35" s="18">
        <f>IF(COUNTIFS(T_TTAFStock_Log[Part Name],$A35,T_TTAFStock_Log[WeekIndex],29)=0,"",SUMIFS(T_TTAFStock_Log[TTAF_Qty],T_TTAFStock_Log[Part Name],$A35,T_TTAFStock_Log[WeekIndex],29))</f>
        <v/>
      </c>
      <c r="AE35" s="18">
        <f>IF(COUNTIFS(T_TTAFStock_Log[Part Name],$A35,T_TTAFStock_Log[WeekIndex],30)=0,"",SUMIFS(T_TTAFStock_Log[TTAF_Qty],T_TTAFStock_Log[Part Name],$A35,T_TTAFStock_Log[WeekIndex],30))</f>
        <v/>
      </c>
      <c r="AF35" s="18">
        <f>IF(COUNTIFS(T_TTAFStock_Log[Part Name],$A35,T_TTAFStock_Log[WeekIndex],31)=0,"",SUMIFS(T_TTAFStock_Log[TTAF_Qty],T_TTAFStock_Log[Part Name],$A35,T_TTAFStock_Log[WeekIndex],31))</f>
        <v/>
      </c>
      <c r="AG35" s="18">
        <f>IF(COUNTIFS(T_TTAFStock_Log[Part Name],$A35,T_TTAFStock_Log[WeekIndex],32)=0,"",SUMIFS(T_TTAFStock_Log[TTAF_Qty],T_TTAFStock_Log[Part Name],$A35,T_TTAFStock_Log[WeekIndex],32))</f>
        <v/>
      </c>
      <c r="AH35" s="18">
        <f>IF(COUNTIFS(T_TTAFStock_Log[Part Name],$A35,T_TTAFStock_Log[WeekIndex],33)=0,"",SUMIFS(T_TTAFStock_Log[TTAF_Qty],T_TTAFStock_Log[Part Name],$A35,T_TTAFStock_Log[WeekIndex],33))</f>
        <v/>
      </c>
      <c r="AI35" s="18">
        <f>IF(COUNTIFS(T_TTAFStock_Log[Part Name],$A35,T_TTAFStock_Log[WeekIndex],34)=0,"",SUMIFS(T_TTAFStock_Log[TTAF_Qty],T_TTAFStock_Log[Part Name],$A35,T_TTAFStock_Log[WeekIndex],34))</f>
        <v/>
      </c>
      <c r="AJ35" s="18">
        <f>IF(COUNTIFS(T_TTAFStock_Log[Part Name],$A35,T_TTAFStock_Log[WeekIndex],35)=0,"",SUMIFS(T_TTAFStock_Log[TTAF_Qty],T_TTAFStock_Log[Part Name],$A35,T_TTAFStock_Log[WeekIndex],35))</f>
        <v/>
      </c>
      <c r="AK35" s="18">
        <f>IF(COUNTIFS(T_TTAFStock_Log[Part Name],$A35,T_TTAFStock_Log[WeekIndex],36)=0,"",SUMIFS(T_TTAFStock_Log[TTAF_Qty],T_TTAFStock_Log[Part Name],$A35,T_TTAFStock_Log[WeekIndex],36))</f>
        <v/>
      </c>
      <c r="AL35" s="18">
        <f>IF(COUNTIFS(T_TTAFStock_Log[Part Name],$A35,T_TTAFStock_Log[WeekIndex],37)=0,"",SUMIFS(T_TTAFStock_Log[TTAF_Qty],T_TTAFStock_Log[Part Name],$A35,T_TTAFStock_Log[WeekIndex],37))</f>
        <v/>
      </c>
      <c r="AM35" s="18">
        <f>IF(COUNTIFS(T_TTAFStock_Log[Part Name],$A35,T_TTAFStock_Log[WeekIndex],38)=0,"",SUMIFS(T_TTAFStock_Log[TTAF_Qty],T_TTAFStock_Log[Part Name],$A35,T_TTAFStock_Log[WeekIndex],38))</f>
        <v/>
      </c>
      <c r="AN35" s="18">
        <f>IF(COUNTIFS(T_TTAFStock_Log[Part Name],$A35,T_TTAFStock_Log[WeekIndex],39)=0,"",SUMIFS(T_TTAFStock_Log[TTAF_Qty],T_TTAFStock_Log[Part Name],$A35,T_TTAFStock_Log[WeekIndex],39))</f>
        <v/>
      </c>
      <c r="AO35" s="18">
        <f>IF(COUNTIFS(T_TTAFStock_Log[Part Name],$A35,T_TTAFStock_Log[WeekIndex],40)=0,"",SUMIFS(T_TTAFStock_Log[TTAF_Qty],T_TTAFStock_Log[Part Name],$A35,T_TTAFStock_Log[WeekIndex],40))</f>
        <v/>
      </c>
      <c r="AP35" s="18">
        <f>IF(COUNTIFS(T_TTAFStock_Log[Part Name],$A35,T_TTAFStock_Log[WeekIndex],41)=0,"",SUMIFS(T_TTAFStock_Log[TTAF_Qty],T_TTAFStock_Log[Part Name],$A35,T_TTAFStock_Log[WeekIndex],41))</f>
        <v/>
      </c>
      <c r="AQ35" s="18">
        <f>IF(COUNTIFS(T_TTAFStock_Log[Part Name],$A35,T_TTAFStock_Log[WeekIndex],42)=0,"",SUMIFS(T_TTAFStock_Log[TTAF_Qty],T_TTAFStock_Log[Part Name],$A35,T_TTAFStock_Log[WeekIndex],42))</f>
        <v/>
      </c>
      <c r="AR35" s="18">
        <f>IF(COUNTIFS(T_TTAFStock_Log[Part Name],$A35,T_TTAFStock_Log[WeekIndex],43)=0,"",SUMIFS(T_TTAFStock_Log[TTAF_Qty],T_TTAFStock_Log[Part Name],$A35,T_TTAFStock_Log[WeekIndex],43))</f>
        <v/>
      </c>
      <c r="AS35" s="18">
        <f>IF(COUNTIFS(T_TTAFStock_Log[Part Name],$A35,T_TTAFStock_Log[WeekIndex],44)=0,"",SUMIFS(T_TTAFStock_Log[TTAF_Qty],T_TTAFStock_Log[Part Name],$A35,T_TTAFStock_Log[WeekIndex],44))</f>
        <v/>
      </c>
      <c r="AT35" s="18">
        <f>IF(COUNTIFS(T_TTAFStock_Log[Part Name],$A35,T_TTAFStock_Log[WeekIndex],45)=0,"",SUMIFS(T_TTAFStock_Log[TTAF_Qty],T_TTAFStock_Log[Part Name],$A35,T_TTAFStock_Log[WeekIndex],45))</f>
        <v/>
      </c>
      <c r="AU35" s="18">
        <f>IF(COUNTIFS(T_TTAFStock_Log[Part Name],$A35,T_TTAFStock_Log[WeekIndex],46)=0,"",SUMIFS(T_TTAFStock_Log[TTAF_Qty],T_TTAFStock_Log[Part Name],$A35,T_TTAFStock_Log[WeekIndex],46))</f>
        <v/>
      </c>
      <c r="AV35" s="18">
        <f>IF(COUNTIFS(T_TTAFStock_Log[Part Name],$A35,T_TTAFStock_Log[WeekIndex],47)=0,"",SUMIFS(T_TTAFStock_Log[TTAF_Qty],T_TTAFStock_Log[Part Name],$A35,T_TTAFStock_Log[WeekIndex],47))</f>
        <v/>
      </c>
      <c r="AW35" s="18">
        <f>IF(COUNTIFS(T_TTAFStock_Log[Part Name],$A35,T_TTAFStock_Log[WeekIndex],48)=0,"",SUMIFS(T_TTAFStock_Log[TTAF_Qty],T_TTAFStock_Log[Part Name],$A35,T_TTAFStock_Log[WeekIndex],48))</f>
        <v/>
      </c>
      <c r="AX35" s="18">
        <f>IF(COUNTIFS(T_TTAFStock_Log[Part Name],$A35,T_TTAFStock_Log[WeekIndex],49)=0,"",SUMIFS(T_TTAFStock_Log[TTAF_Qty],T_TTAFStock_Log[Part Name],$A35,T_TTAFStock_Log[WeekIndex],49))</f>
        <v/>
      </c>
      <c r="AY35" s="18">
        <f>IF(COUNTIFS(T_TTAFStock_Log[Part Name],$A35,T_TTAFStock_Log[WeekIndex],50)=0,"",SUMIFS(T_TTAFStock_Log[TTAF_Qty],T_TTAFStock_Log[Part Name],$A35,T_TTAFStock_Log[WeekIndex],50))</f>
        <v/>
      </c>
      <c r="AZ35" s="18">
        <f>IF(COUNTIFS(T_TTAFStock_Log[Part Name],$A35,T_TTAFStock_Log[WeekIndex],51)=0,"",SUMIFS(T_TTAFStock_Log[TTAF_Qty],T_TTAFStock_Log[Part Name],$A35,T_TTAFStock_Log[WeekIndex],51))</f>
        <v/>
      </c>
      <c r="BA35" s="18">
        <f>IF(COUNTIFS(T_TTAFStock_Log[Part Name],$A35,T_TTAFStock_Log[WeekIndex],52)=0,"",SUMIFS(T_TTAFStock_Log[TTAF_Qty],T_TTAFStock_Log[Part Name],$A35,T_TTAFStock_Log[WeekIndex],52))</f>
        <v/>
      </c>
      <c r="BB35" s="18">
        <f>IF(COUNTIFS(T_TTAFStock_Log[Part Name],$A35,T_TTAFStock_Log[WeekIndex],53)=0,"",SUMIFS(T_TTAFStock_Log[TTAF_Qty],T_TTAFStock_Log[Part Name],$A35,T_TTAFStock_Log[WeekIndex],53))</f>
        <v/>
      </c>
      <c r="BC35" s="18">
        <f>IF(COUNTIFS(T_TTAFStock_Log[Part Name],$A35,T_TTAFStock_Log[WeekIndex],54)=0,"",SUMIFS(T_TTAFStock_Log[TTAF_Qty],T_TTAFStock_Log[Part Name],$A35,T_TTAFStock_Log[WeekIndex],54))</f>
        <v/>
      </c>
      <c r="BD35" s="18">
        <f>IF(COUNTIFS(T_TTAFStock_Log[Part Name],$A35,T_TTAFStock_Log[WeekIndex],55)=0,"",SUMIFS(T_TTAFStock_Log[TTAF_Qty],T_TTAFStock_Log[Part Name],$A35,T_TTAFStock_Log[WeekIndex],55))</f>
        <v/>
      </c>
      <c r="BE35" s="18">
        <f>IF(COUNTIFS(T_TTAFStock_Log[Part Name],$A35,T_TTAFStock_Log[WeekIndex],56)=0,"",SUMIFS(T_TTAFStock_Log[TTAF_Qty],T_TTAFStock_Log[Part Name],$A35,T_TTAFStock_Log[WeekIndex],56))</f>
        <v/>
      </c>
      <c r="BF35" s="18">
        <f>IF(COUNTIFS(T_TTAFStock_Log[Part Name],$A35,T_TTAFStock_Log[WeekIndex],57)=0,"",SUMIFS(T_TTAFStock_Log[TTAF_Qty],T_TTAFStock_Log[Part Name],$A35,T_TTAFStock_Log[WeekIndex],57))</f>
        <v/>
      </c>
      <c r="BG35" s="18">
        <f>IF(COUNTIFS(T_TTAFStock_Log[Part Name],$A35,T_TTAFStock_Log[WeekIndex],58)=0,"",SUMIFS(T_TTAFStock_Log[TTAF_Qty],T_TTAFStock_Log[Part Name],$A35,T_TTAFStock_Log[WeekIndex],58))</f>
        <v/>
      </c>
      <c r="BH35" s="18">
        <f>IF(COUNTIFS(T_TTAFStock_Log[Part Name],$A35,T_TTAFStock_Log[WeekIndex],59)=0,"",SUMIFS(T_TTAFStock_Log[TTAF_Qty],T_TTAFStock_Log[Part Name],$A35,T_TTAFStock_Log[WeekIndex],59))</f>
        <v/>
      </c>
      <c r="BI35" s="18">
        <f>IF(COUNTIFS(T_TTAFStock_Log[Part Name],$A35,T_TTAFStock_Log[WeekIndex],60)=0,"",SUMIFS(T_TTAFStock_Log[TTAF_Qty],T_TTAFStock_Log[Part Name],$A35,T_TTAFStock_Log[WeekIndex],60))</f>
        <v/>
      </c>
      <c r="BJ35" s="18">
        <f>IF(COUNTIFS(T_TTAFStock_Log[Part Name],$A35,T_TTAFStock_Log[WeekIndex],61)=0,"",SUMIFS(T_TTAFStock_Log[TTAF_Qty],T_TTAFStock_Log[Part Name],$A35,T_TTAFStock_Log[WeekIndex],61))</f>
        <v/>
      </c>
      <c r="BK35" s="18">
        <f>IF(COUNTIFS(T_TTAFStock_Log[Part Name],$A35,T_TTAFStock_Log[WeekIndex],62)=0,"",SUMIFS(T_TTAFStock_Log[TTAF_Qty],T_TTAFStock_Log[Part Name],$A35,T_TTAFStock_Log[WeekIndex],62))</f>
        <v/>
      </c>
      <c r="BL35" s="18">
        <f>IF(COUNTIFS(T_TTAFStock_Log[Part Name],$A35,T_TTAFStock_Log[WeekIndex],63)=0,"",SUMIFS(T_TTAFStock_Log[TTAF_Qty],T_TTAFStock_Log[Part Name],$A35,T_TTAFStock_Log[WeekIndex],63))</f>
        <v/>
      </c>
      <c r="BM35" s="18">
        <f>IF(COUNTIFS(T_TTAFStock_Log[Part Name],$A35,T_TTAFStock_Log[WeekIndex],64)=0,"",SUMIFS(T_TTAFStock_Log[TTAF_Qty],T_TTAFStock_Log[Part Name],$A35,T_TTAFStock_Log[WeekIndex],64))</f>
        <v/>
      </c>
      <c r="BN35" s="18">
        <f>IF(COUNTIFS(T_TTAFStock_Log[Part Name],$A35,T_TTAFStock_Log[WeekIndex],65)=0,"",SUMIFS(T_TTAFStock_Log[TTAF_Qty],T_TTAFStock_Log[Part Name],$A35,T_TTAFStock_Log[WeekIndex],65))</f>
        <v/>
      </c>
      <c r="BO35" s="18">
        <f>IF(COUNTIFS(T_TTAFStock_Log[Part Name],$A35,T_TTAFStock_Log[WeekIndex],66)=0,"",SUMIFS(T_TTAFStock_Log[TTAF_Qty],T_TTAFStock_Log[Part Name],$A35,T_TTAFStock_Log[WeekIndex],66))</f>
        <v/>
      </c>
      <c r="BP35" s="18">
        <f>IF(COUNTIFS(T_TTAFStock_Log[Part Name],$A35,T_TTAFStock_Log[WeekIndex],67)=0,"",SUMIFS(T_TTAFStock_Log[TTAF_Qty],T_TTAFStock_Log[Part Name],$A35,T_TTAFStock_Log[WeekIndex],67))</f>
        <v/>
      </c>
      <c r="BQ35" s="18">
        <f>IF(COUNTIFS(T_TTAFStock_Log[Part Name],$A35,T_TTAFStock_Log[WeekIndex],68)=0,"",SUMIFS(T_TTAFStock_Log[TTAF_Qty],T_TTAFStock_Log[Part Name],$A35,T_TTAFStock_Log[WeekIndex],68))</f>
        <v/>
      </c>
      <c r="BR35" s="18">
        <f>IF(COUNTIFS(T_TTAFStock_Log[Part Name],$A35,T_TTAFStock_Log[WeekIndex],69)=0,"",SUMIFS(T_TTAFStock_Log[TTAF_Qty],T_TTAFStock_Log[Part Name],$A35,T_TTAFStock_Log[WeekIndex],69))</f>
        <v/>
      </c>
      <c r="BS35" s="18">
        <f>IF(COUNTIFS(T_TTAFStock_Log[Part Name],$A35,T_TTAFStock_Log[WeekIndex],70)=0,"",SUMIFS(T_TTAFStock_Log[TTAF_Qty],T_TTAFStock_Log[Part Name],$A35,T_TTAFStock_Log[WeekIndex],70))</f>
        <v/>
      </c>
      <c r="BT35" s="18">
        <f>IF(COUNTIFS(T_TTAFStock_Log[Part Name],$A35,T_TTAFStock_Log[WeekIndex],71)=0,"",SUMIFS(T_TTAFStock_Log[TTAF_Qty],T_TTAFStock_Log[Part Name],$A35,T_TTAFStock_Log[WeekIndex],71))</f>
        <v/>
      </c>
      <c r="BU35" s="18">
        <f>IF(COUNTIFS(T_TTAFStock_Log[Part Name],$A35,T_TTAFStock_Log[WeekIndex],72)=0,"",SUMIFS(T_TTAFStock_Log[TTAF_Qty],T_TTAFStock_Log[Part Name],$A35,T_TTAFStock_Log[WeekIndex],72))</f>
        <v/>
      </c>
      <c r="BV35" s="18">
        <f>IF(COUNTIFS(T_TTAFStock_Log[Part Name],$A35,T_TTAFStock_Log[WeekIndex],73)=0,"",SUMIFS(T_TTAFStock_Log[TTAF_Qty],T_TTAFStock_Log[Part Name],$A35,T_TTAFStock_Log[WeekIndex],73))</f>
        <v/>
      </c>
      <c r="BW35" s="18">
        <f>IF(COUNTIFS(T_TTAFStock_Log[Part Name],$A35,T_TTAFStock_Log[WeekIndex],74)=0,"",SUMIFS(T_TTAFStock_Log[TTAF_Qty],T_TTAFStock_Log[Part Name],$A35,T_TTAFStock_Log[WeekIndex],74))</f>
        <v/>
      </c>
      <c r="BX35" s="18">
        <f>IF(COUNTIFS(T_TTAFStock_Log[Part Name],$A35,T_TTAFStock_Log[WeekIndex],75)=0,"",SUMIFS(T_TTAFStock_Log[TTAF_Qty],T_TTAFStock_Log[Part Name],$A35,T_TTAFStock_Log[WeekIndex],75))</f>
        <v/>
      </c>
      <c r="BY35" s="18">
        <f>IF(COUNTIFS(T_TTAFStock_Log[Part Name],$A35,T_TTAFStock_Log[WeekIndex],76)=0,"",SUMIFS(T_TTAFStock_Log[TTAF_Qty],T_TTAFStock_Log[Part Name],$A35,T_TTAFStock_Log[WeekIndex],76))</f>
        <v/>
      </c>
      <c r="BZ35" s="18">
        <f>IF(COUNTIFS(T_TTAFStock_Log[Part Name],$A35,T_TTAFStock_Log[WeekIndex],77)=0,"",SUMIFS(T_TTAFStock_Log[TTAF_Qty],T_TTAFStock_Log[Part Name],$A35,T_TTAFStock_Log[WeekIndex],77))</f>
        <v/>
      </c>
      <c r="CA35" s="18">
        <f>IF(COUNTIFS(T_TTAFStock_Log[Part Name],$A35,T_TTAFStock_Log[WeekIndex],78)=0,"",SUMIFS(T_TTAFStock_Log[TTAF_Qty],T_TTAFStock_Log[Part Name],$A35,T_TTAFStock_Log[WeekIndex],78))</f>
        <v/>
      </c>
      <c r="CB35" s="18">
        <f>IF(COUNTIFS(T_TTAFStock_Log[Part Name],$A35,T_TTAFStock_Log[WeekIndex],79)=0,"",SUMIFS(T_TTAFStock_Log[TTAF_Qty],T_TTAFStock_Log[Part Name],$A35,T_TTAFStock_Log[WeekIndex],79))</f>
        <v/>
      </c>
      <c r="CC35" s="18">
        <f>IF(COUNTIFS(T_TTAFStock_Log[Part Name],$A35,T_TTAFStock_Log[WeekIndex],80)=0,"",SUMIFS(T_TTAFStock_Log[TTAF_Qty],T_TTAFStock_Log[Part Name],$A35,T_TTAFStock_Log[WeekIndex],80))</f>
        <v/>
      </c>
      <c r="CD35" s="18">
        <f>IF(COUNTIFS(T_TTAFStock_Log[Part Name],$A35,T_TTAFStock_Log[WeekIndex],81)=0,"",SUMIFS(T_TTAFStock_Log[TTAF_Qty],T_TTAFStock_Log[Part Name],$A35,T_TTAFStock_Log[WeekIndex],81))</f>
        <v/>
      </c>
      <c r="CE35" s="18">
        <f>IF(COUNTIFS(T_TTAFStock_Log[Part Name],$A35,T_TTAFStock_Log[WeekIndex],82)=0,"",SUMIFS(T_TTAFStock_Log[TTAF_Qty],T_TTAFStock_Log[Part Name],$A35,T_TTAFStock_Log[WeekIndex],82))</f>
        <v/>
      </c>
      <c r="CF35" s="18">
        <f>IF(COUNTIFS(T_TTAFStock_Log[Part Name],$A35,T_TTAFStock_Log[WeekIndex],83)=0,"",SUMIFS(T_TTAFStock_Log[TTAF_Qty],T_TTAFStock_Log[Part Name],$A35,T_TTAFStock_Log[WeekIndex],83))</f>
        <v/>
      </c>
      <c r="CG35" s="18">
        <f>IF(COUNTIFS(T_TTAFStock_Log[Part Name],$A35,T_TTAFStock_Log[WeekIndex],84)=0,"",SUMIFS(T_TTAFStock_Log[TTAF_Qty],T_TTAFStock_Log[Part Name],$A35,T_TTAFStock_Log[WeekIndex],84))</f>
        <v/>
      </c>
      <c r="CH35" s="18">
        <f>IF(COUNTIFS(T_TTAFStock_Log[Part Name],$A35,T_TTAFStock_Log[WeekIndex],85)=0,"",SUMIFS(T_TTAFStock_Log[TTAF_Qty],T_TTAFStock_Log[Part Name],$A35,T_TTAFStock_Log[WeekIndex],85))</f>
        <v/>
      </c>
      <c r="CI35" s="18">
        <f>IF(COUNTIFS(T_TTAFStock_Log[Part Name],$A35,T_TTAFStock_Log[WeekIndex],86)=0,"",SUMIFS(T_TTAFStock_Log[TTAF_Qty],T_TTAFStock_Log[Part Name],$A35,T_TTAFStock_Log[WeekIndex],86))</f>
        <v/>
      </c>
      <c r="CJ35" s="18">
        <f>IF(COUNTIFS(T_TTAFStock_Log[Part Name],$A35,T_TTAFStock_Log[WeekIndex],87)=0,"",SUMIFS(T_TTAFStock_Log[TTAF_Qty],T_TTAFStock_Log[Part Name],$A35,T_TTAFStock_Log[WeekIndex],87))</f>
        <v/>
      </c>
      <c r="CK35" s="18">
        <f>IF(COUNTIFS(T_TTAFStock_Log[Part Name],$A35,T_TTAFStock_Log[WeekIndex],88)=0,"",SUMIFS(T_TTAFStock_Log[TTAF_Qty],T_TTAFStock_Log[Part Name],$A35,T_TTAFStock_Log[WeekIndex],88))</f>
        <v/>
      </c>
      <c r="CL35" s="18">
        <f>IF(COUNTIFS(T_TTAFStock_Log[Part Name],$A35,T_TTAFStock_Log[WeekIndex],89)=0,"",SUMIFS(T_TTAFStock_Log[TTAF_Qty],T_TTAFStock_Log[Part Name],$A35,T_TTAFStock_Log[WeekIndex],89))</f>
        <v/>
      </c>
      <c r="CM35" s="18">
        <f>IF(COUNTIFS(T_TTAFStock_Log[Part Name],$A35,T_TTAFStock_Log[WeekIndex],90)=0,"",SUMIFS(T_TTAFStock_Log[TTAF_Qty],T_TTAFStock_Log[Part Name],$A35,T_TTAFStock_Log[WeekIndex],90))</f>
        <v/>
      </c>
      <c r="CN35" s="18">
        <f>IF(COUNTIFS(T_TTAFStock_Log[Part Name],$A35,T_TTAFStock_Log[WeekIndex],91)=0,"",SUMIFS(T_TTAFStock_Log[TTAF_Qty],T_TTAFStock_Log[Part Name],$A35,T_TTAFStock_Log[WeekIndex],91))</f>
        <v/>
      </c>
      <c r="CO35" s="18">
        <f>IF(COUNTIFS(T_TTAFStock_Log[Part Name],$A35,T_TTAFStock_Log[WeekIndex],92)=0,"",SUMIFS(T_TTAFStock_Log[TTAF_Qty],T_TTAFStock_Log[Part Name],$A35,T_TTAFStock_Log[WeekIndex],92))</f>
        <v/>
      </c>
      <c r="CP35" s="18">
        <f>IF(COUNTIFS(T_TTAFStock_Log[Part Name],$A35,T_TTAFStock_Log[WeekIndex],93)=0,"",SUMIFS(T_TTAFStock_Log[TTAF_Qty],T_TTAFStock_Log[Part Name],$A35,T_TTAFStock_Log[WeekIndex],93))</f>
        <v/>
      </c>
      <c r="CQ35" s="18">
        <f>IF(COUNTIFS(T_TTAFStock_Log[Part Name],$A35,T_TTAFStock_Log[WeekIndex],94)=0,"",SUMIFS(T_TTAFStock_Log[TTAF_Qty],T_TTAFStock_Log[Part Name],$A35,T_TTAFStock_Log[WeekIndex],94))</f>
        <v/>
      </c>
      <c r="CR35" s="18">
        <f>IF(COUNTIFS(T_TTAFStock_Log[Part Name],$A35,T_TTAFStock_Log[WeekIndex],95)=0,"",SUMIFS(T_TTAFStock_Log[TTAF_Qty],T_TTAFStock_Log[Part Name],$A35,T_TTAFStock_Log[WeekIndex],95))</f>
        <v/>
      </c>
      <c r="CS35" s="18">
        <f>IF(COUNTIFS(T_TTAFStock_Log[Part Name],$A35,T_TTAFStock_Log[WeekIndex],96)=0,"",SUMIFS(T_TTAFStock_Log[TTAF_Qty],T_TTAFStock_Log[Part Name],$A35,T_TTAFStock_Log[WeekIndex],96))</f>
        <v/>
      </c>
      <c r="CT35" s="18">
        <f>IF(COUNTIFS(T_TTAFStock_Log[Part Name],$A35,T_TTAFStock_Log[WeekIndex],97)=0,"",SUMIFS(T_TTAFStock_Log[TTAF_Qty],T_TTAFStock_Log[Part Name],$A35,T_TTAFStock_Log[WeekIndex],97))</f>
        <v/>
      </c>
      <c r="CU35" s="18">
        <f>IF(COUNTIFS(T_TTAFStock_Log[Part Name],$A35,T_TTAFStock_Log[WeekIndex],98)=0,"",SUMIFS(T_TTAFStock_Log[TTAF_Qty],T_TTAFStock_Log[Part Name],$A35,T_TTAFStock_Log[WeekIndex],98))</f>
        <v/>
      </c>
      <c r="CV35" s="18">
        <f>IF(COUNTIFS(T_TTAFStock_Log[Part Name],$A35,T_TTAFStock_Log[WeekIndex],99)=0,"",SUMIFS(T_TTAFStock_Log[TTAF_Qty],T_TTAFStock_Log[Part Name],$A35,T_TTAFStock_Log[WeekIndex],99))</f>
        <v/>
      </c>
      <c r="CW35" s="18">
        <f>IF(COUNTIFS(T_TTAFStock_Log[Part Name],$A35,T_TTAFStock_Log[WeekIndex],100)=0,"",SUMIFS(T_TTAFStock_Log[TTAF_Qty],T_TTAFStock_Log[Part Name],$A35,T_TTAFStock_Log[WeekIndex],100))</f>
        <v/>
      </c>
      <c r="CX35" s="18">
        <f>IF(COUNTIFS(T_TTAFStock_Log[Part Name],$A35,T_TTAFStock_Log[WeekIndex],101)=0,"",SUMIFS(T_TTAFStock_Log[TTAF_Qty],T_TTAFStock_Log[Part Name],$A35,T_TTAFStock_Log[WeekIndex],101))</f>
        <v/>
      </c>
      <c r="CY35" s="18">
        <f>IF(COUNTIFS(T_TTAFStock_Log[Part Name],$A35,T_TTAFStock_Log[WeekIndex],102)=0,"",SUMIFS(T_TTAFStock_Log[TTAF_Qty],T_TTAFStock_Log[Part Name],$A35,T_TTAFStock_Log[WeekIndex],102))</f>
        <v/>
      </c>
      <c r="CZ35" s="18">
        <f>IF(COUNTIFS(T_TTAFStock_Log[Part Name],$A35,T_TTAFStock_Log[WeekIndex],103)=0,"",SUMIFS(T_TTAFStock_Log[TTAF_Qty],T_TTAFStock_Log[Part Name],$A35,T_TTAFStock_Log[WeekIndex],103))</f>
        <v/>
      </c>
      <c r="DA35" s="18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CHEM-1430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8" t="inlineStr">
        <is>
          <t>CHEM-1480</t>
        </is>
      </c>
      <c r="B37" s="18">
        <f>IF(COUNTIFS(T_TTAFStock_Log[Part Name],$A37,T_TTAFStock_Log[WeekIndex],1)=0,"",SUMIFS(T_TTAFStock_Log[TTAF_Qty],T_TTAFStock_Log[Part Name],$A37,T_TTAFStock_Log[WeekIndex],1))</f>
        <v/>
      </c>
      <c r="C37" s="18">
        <f>IF(COUNTIFS(T_TTAFStock_Log[Part Name],$A37,T_TTAFStock_Log[WeekIndex],2)=0,"",SUMIFS(T_TTAFStock_Log[TTAF_Qty],T_TTAFStock_Log[Part Name],$A37,T_TTAFStock_Log[WeekIndex],2))</f>
        <v/>
      </c>
      <c r="D37" s="18">
        <f>IF(COUNTIFS(T_TTAFStock_Log[Part Name],$A37,T_TTAFStock_Log[WeekIndex],3)=0,"",SUMIFS(T_TTAFStock_Log[TTAF_Qty],T_TTAFStock_Log[Part Name],$A37,T_TTAFStock_Log[WeekIndex],3))</f>
        <v/>
      </c>
      <c r="E37" s="18">
        <f>IF(COUNTIFS(T_TTAFStock_Log[Part Name],$A37,T_TTAFStock_Log[WeekIndex],4)=0,"",SUMIFS(T_TTAFStock_Log[TTAF_Qty],T_TTAFStock_Log[Part Name],$A37,T_TTAFStock_Log[WeekIndex],4))</f>
        <v/>
      </c>
      <c r="F37" s="18">
        <f>IF(COUNTIFS(T_TTAFStock_Log[Part Name],$A37,T_TTAFStock_Log[WeekIndex],5)=0,"",SUMIFS(T_TTAFStock_Log[TTAF_Qty],T_TTAFStock_Log[Part Name],$A37,T_TTAFStock_Log[WeekIndex],5))</f>
        <v/>
      </c>
      <c r="G37" s="18">
        <f>IF(COUNTIFS(T_TTAFStock_Log[Part Name],$A37,T_TTAFStock_Log[WeekIndex],6)=0,"",SUMIFS(T_TTAFStock_Log[TTAF_Qty],T_TTAFStock_Log[Part Name],$A37,T_TTAFStock_Log[WeekIndex],6))</f>
        <v/>
      </c>
      <c r="H37" s="18">
        <f>IF(COUNTIFS(T_TTAFStock_Log[Part Name],$A37,T_TTAFStock_Log[WeekIndex],7)=0,"",SUMIFS(T_TTAFStock_Log[TTAF_Qty],T_TTAFStock_Log[Part Name],$A37,T_TTAFStock_Log[WeekIndex],7))</f>
        <v/>
      </c>
      <c r="I37" s="18">
        <f>IF(COUNTIFS(T_TTAFStock_Log[Part Name],$A37,T_TTAFStock_Log[WeekIndex],8)=0,"",SUMIFS(T_TTAFStock_Log[TTAF_Qty],T_TTAFStock_Log[Part Name],$A37,T_TTAFStock_Log[WeekIndex],8))</f>
        <v/>
      </c>
      <c r="J37" s="18">
        <f>IF(COUNTIFS(T_TTAFStock_Log[Part Name],$A37,T_TTAFStock_Log[WeekIndex],9)=0,"",SUMIFS(T_TTAFStock_Log[TTAF_Qty],T_TTAFStock_Log[Part Name],$A37,T_TTAFStock_Log[WeekIndex],9))</f>
        <v/>
      </c>
      <c r="K37" s="18">
        <f>IF(COUNTIFS(T_TTAFStock_Log[Part Name],$A37,T_TTAFStock_Log[WeekIndex],10)=0,"",SUMIFS(T_TTAFStock_Log[TTAF_Qty],T_TTAFStock_Log[Part Name],$A37,T_TTAFStock_Log[WeekIndex],10))</f>
        <v/>
      </c>
      <c r="L37" s="18">
        <f>IF(COUNTIFS(T_TTAFStock_Log[Part Name],$A37,T_TTAFStock_Log[WeekIndex],11)=0,"",SUMIFS(T_TTAFStock_Log[TTAF_Qty],T_TTAFStock_Log[Part Name],$A37,T_TTAFStock_Log[WeekIndex],11))</f>
        <v/>
      </c>
      <c r="M37" s="18">
        <f>IF(COUNTIFS(T_TTAFStock_Log[Part Name],$A37,T_TTAFStock_Log[WeekIndex],12)=0,"",SUMIFS(T_TTAFStock_Log[TTAF_Qty],T_TTAFStock_Log[Part Name],$A37,T_TTAFStock_Log[WeekIndex],12))</f>
        <v/>
      </c>
      <c r="N37" s="18">
        <f>IF(COUNTIFS(T_TTAFStock_Log[Part Name],$A37,T_TTAFStock_Log[WeekIndex],13)=0,"",SUMIFS(T_TTAFStock_Log[TTAF_Qty],T_TTAFStock_Log[Part Name],$A37,T_TTAFStock_Log[WeekIndex],13))</f>
        <v/>
      </c>
      <c r="O37" s="18">
        <f>IF(COUNTIFS(T_TTAFStock_Log[Part Name],$A37,T_TTAFStock_Log[WeekIndex],14)=0,"",SUMIFS(T_TTAFStock_Log[TTAF_Qty],T_TTAFStock_Log[Part Name],$A37,T_TTAFStock_Log[WeekIndex],14))</f>
        <v/>
      </c>
      <c r="P37" s="18">
        <f>IF(COUNTIFS(T_TTAFStock_Log[Part Name],$A37,T_TTAFStock_Log[WeekIndex],15)=0,"",SUMIFS(T_TTAFStock_Log[TTAF_Qty],T_TTAFStock_Log[Part Name],$A37,T_TTAFStock_Log[WeekIndex],15))</f>
        <v/>
      </c>
      <c r="Q37" s="18">
        <f>IF(COUNTIFS(T_TTAFStock_Log[Part Name],$A37,T_TTAFStock_Log[WeekIndex],16)=0,"",SUMIFS(T_TTAFStock_Log[TTAF_Qty],T_TTAFStock_Log[Part Name],$A37,T_TTAFStock_Log[WeekIndex],16))</f>
        <v/>
      </c>
      <c r="R37" s="18">
        <f>IF(COUNTIFS(T_TTAFStock_Log[Part Name],$A37,T_TTAFStock_Log[WeekIndex],17)=0,"",SUMIFS(T_TTAFStock_Log[TTAF_Qty],T_TTAFStock_Log[Part Name],$A37,T_TTAFStock_Log[WeekIndex],17))</f>
        <v/>
      </c>
      <c r="S37" s="18">
        <f>IF(COUNTIFS(T_TTAFStock_Log[Part Name],$A37,T_TTAFStock_Log[WeekIndex],18)=0,"",SUMIFS(T_TTAFStock_Log[TTAF_Qty],T_TTAFStock_Log[Part Name],$A37,T_TTAFStock_Log[WeekIndex],18))</f>
        <v/>
      </c>
      <c r="T37" s="18">
        <f>IF(COUNTIFS(T_TTAFStock_Log[Part Name],$A37,T_TTAFStock_Log[WeekIndex],19)=0,"",SUMIFS(T_TTAFStock_Log[TTAF_Qty],T_TTAFStock_Log[Part Name],$A37,T_TTAFStock_Log[WeekIndex],19))</f>
        <v/>
      </c>
      <c r="U37" s="18">
        <f>IF(COUNTIFS(T_TTAFStock_Log[Part Name],$A37,T_TTAFStock_Log[WeekIndex],20)=0,"",SUMIFS(T_TTAFStock_Log[TTAF_Qty],T_TTAFStock_Log[Part Name],$A37,T_TTAFStock_Log[WeekIndex],20))</f>
        <v/>
      </c>
      <c r="V37" s="18">
        <f>IF(COUNTIFS(T_TTAFStock_Log[Part Name],$A37,T_TTAFStock_Log[WeekIndex],21)=0,"",SUMIFS(T_TTAFStock_Log[TTAF_Qty],T_TTAFStock_Log[Part Name],$A37,T_TTAFStock_Log[WeekIndex],21))</f>
        <v/>
      </c>
      <c r="W37" s="18">
        <f>IF(COUNTIFS(T_TTAFStock_Log[Part Name],$A37,T_TTAFStock_Log[WeekIndex],22)=0,"",SUMIFS(T_TTAFStock_Log[TTAF_Qty],T_TTAFStock_Log[Part Name],$A37,T_TTAFStock_Log[WeekIndex],22))</f>
        <v/>
      </c>
      <c r="X37" s="18">
        <f>IF(COUNTIFS(T_TTAFStock_Log[Part Name],$A37,T_TTAFStock_Log[WeekIndex],23)=0,"",SUMIFS(T_TTAFStock_Log[TTAF_Qty],T_TTAFStock_Log[Part Name],$A37,T_TTAFStock_Log[WeekIndex],23))</f>
        <v/>
      </c>
      <c r="Y37" s="18">
        <f>IF(COUNTIFS(T_TTAFStock_Log[Part Name],$A37,T_TTAFStock_Log[WeekIndex],24)=0,"",SUMIFS(T_TTAFStock_Log[TTAF_Qty],T_TTAFStock_Log[Part Name],$A37,T_TTAFStock_Log[WeekIndex],24))</f>
        <v/>
      </c>
      <c r="Z37" s="18">
        <f>IF(COUNTIFS(T_TTAFStock_Log[Part Name],$A37,T_TTAFStock_Log[WeekIndex],25)=0,"",SUMIFS(T_TTAFStock_Log[TTAF_Qty],T_TTAFStock_Log[Part Name],$A37,T_TTAFStock_Log[WeekIndex],25))</f>
        <v/>
      </c>
      <c r="AA37" s="18">
        <f>IF(COUNTIFS(T_TTAFStock_Log[Part Name],$A37,T_TTAFStock_Log[WeekIndex],26)=0,"",SUMIFS(T_TTAFStock_Log[TTAF_Qty],T_TTAFStock_Log[Part Name],$A37,T_TTAFStock_Log[WeekIndex],26))</f>
        <v/>
      </c>
      <c r="AB37" s="18">
        <f>IF(COUNTIFS(T_TTAFStock_Log[Part Name],$A37,T_TTAFStock_Log[WeekIndex],27)=0,"",SUMIFS(T_TTAFStock_Log[TTAF_Qty],T_TTAFStock_Log[Part Name],$A37,T_TTAFStock_Log[WeekIndex],27))</f>
        <v/>
      </c>
      <c r="AC37" s="18">
        <f>IF(COUNTIFS(T_TTAFStock_Log[Part Name],$A37,T_TTAFStock_Log[WeekIndex],28)=0,"",SUMIFS(T_TTAFStock_Log[TTAF_Qty],T_TTAFStock_Log[Part Name],$A37,T_TTAFStock_Log[WeekIndex],28))</f>
        <v/>
      </c>
      <c r="AD37" s="18">
        <f>IF(COUNTIFS(T_TTAFStock_Log[Part Name],$A37,T_TTAFStock_Log[WeekIndex],29)=0,"",SUMIFS(T_TTAFStock_Log[TTAF_Qty],T_TTAFStock_Log[Part Name],$A37,T_TTAFStock_Log[WeekIndex],29))</f>
        <v/>
      </c>
      <c r="AE37" s="18">
        <f>IF(COUNTIFS(T_TTAFStock_Log[Part Name],$A37,T_TTAFStock_Log[WeekIndex],30)=0,"",SUMIFS(T_TTAFStock_Log[TTAF_Qty],T_TTAFStock_Log[Part Name],$A37,T_TTAFStock_Log[WeekIndex],30))</f>
        <v/>
      </c>
      <c r="AF37" s="18">
        <f>IF(COUNTIFS(T_TTAFStock_Log[Part Name],$A37,T_TTAFStock_Log[WeekIndex],31)=0,"",SUMIFS(T_TTAFStock_Log[TTAF_Qty],T_TTAFStock_Log[Part Name],$A37,T_TTAFStock_Log[WeekIndex],31))</f>
        <v/>
      </c>
      <c r="AG37" s="18">
        <f>IF(COUNTIFS(T_TTAFStock_Log[Part Name],$A37,T_TTAFStock_Log[WeekIndex],32)=0,"",SUMIFS(T_TTAFStock_Log[TTAF_Qty],T_TTAFStock_Log[Part Name],$A37,T_TTAFStock_Log[WeekIndex],32))</f>
        <v/>
      </c>
      <c r="AH37" s="18">
        <f>IF(COUNTIFS(T_TTAFStock_Log[Part Name],$A37,T_TTAFStock_Log[WeekIndex],33)=0,"",SUMIFS(T_TTAFStock_Log[TTAF_Qty],T_TTAFStock_Log[Part Name],$A37,T_TTAFStock_Log[WeekIndex],33))</f>
        <v/>
      </c>
      <c r="AI37" s="18">
        <f>IF(COUNTIFS(T_TTAFStock_Log[Part Name],$A37,T_TTAFStock_Log[WeekIndex],34)=0,"",SUMIFS(T_TTAFStock_Log[TTAF_Qty],T_TTAFStock_Log[Part Name],$A37,T_TTAFStock_Log[WeekIndex],34))</f>
        <v/>
      </c>
      <c r="AJ37" s="18">
        <f>IF(COUNTIFS(T_TTAFStock_Log[Part Name],$A37,T_TTAFStock_Log[WeekIndex],35)=0,"",SUMIFS(T_TTAFStock_Log[TTAF_Qty],T_TTAFStock_Log[Part Name],$A37,T_TTAFStock_Log[WeekIndex],35))</f>
        <v/>
      </c>
      <c r="AK37" s="18">
        <f>IF(COUNTIFS(T_TTAFStock_Log[Part Name],$A37,T_TTAFStock_Log[WeekIndex],36)=0,"",SUMIFS(T_TTAFStock_Log[TTAF_Qty],T_TTAFStock_Log[Part Name],$A37,T_TTAFStock_Log[WeekIndex],36))</f>
        <v/>
      </c>
      <c r="AL37" s="18">
        <f>IF(COUNTIFS(T_TTAFStock_Log[Part Name],$A37,T_TTAFStock_Log[WeekIndex],37)=0,"",SUMIFS(T_TTAFStock_Log[TTAF_Qty],T_TTAFStock_Log[Part Name],$A37,T_TTAFStock_Log[WeekIndex],37))</f>
        <v/>
      </c>
      <c r="AM37" s="18">
        <f>IF(COUNTIFS(T_TTAFStock_Log[Part Name],$A37,T_TTAFStock_Log[WeekIndex],38)=0,"",SUMIFS(T_TTAFStock_Log[TTAF_Qty],T_TTAFStock_Log[Part Name],$A37,T_TTAFStock_Log[WeekIndex],38))</f>
        <v/>
      </c>
      <c r="AN37" s="18">
        <f>IF(COUNTIFS(T_TTAFStock_Log[Part Name],$A37,T_TTAFStock_Log[WeekIndex],39)=0,"",SUMIFS(T_TTAFStock_Log[TTAF_Qty],T_TTAFStock_Log[Part Name],$A37,T_TTAFStock_Log[WeekIndex],39))</f>
        <v/>
      </c>
      <c r="AO37" s="18">
        <f>IF(COUNTIFS(T_TTAFStock_Log[Part Name],$A37,T_TTAFStock_Log[WeekIndex],40)=0,"",SUMIFS(T_TTAFStock_Log[TTAF_Qty],T_TTAFStock_Log[Part Name],$A37,T_TTAFStock_Log[WeekIndex],40))</f>
        <v/>
      </c>
      <c r="AP37" s="18">
        <f>IF(COUNTIFS(T_TTAFStock_Log[Part Name],$A37,T_TTAFStock_Log[WeekIndex],41)=0,"",SUMIFS(T_TTAFStock_Log[TTAF_Qty],T_TTAFStock_Log[Part Name],$A37,T_TTAFStock_Log[WeekIndex],41))</f>
        <v/>
      </c>
      <c r="AQ37" s="18">
        <f>IF(COUNTIFS(T_TTAFStock_Log[Part Name],$A37,T_TTAFStock_Log[WeekIndex],42)=0,"",SUMIFS(T_TTAFStock_Log[TTAF_Qty],T_TTAFStock_Log[Part Name],$A37,T_TTAFStock_Log[WeekIndex],42))</f>
        <v/>
      </c>
      <c r="AR37" s="18">
        <f>IF(COUNTIFS(T_TTAFStock_Log[Part Name],$A37,T_TTAFStock_Log[WeekIndex],43)=0,"",SUMIFS(T_TTAFStock_Log[TTAF_Qty],T_TTAFStock_Log[Part Name],$A37,T_TTAFStock_Log[WeekIndex],43))</f>
        <v/>
      </c>
      <c r="AS37" s="18">
        <f>IF(COUNTIFS(T_TTAFStock_Log[Part Name],$A37,T_TTAFStock_Log[WeekIndex],44)=0,"",SUMIFS(T_TTAFStock_Log[TTAF_Qty],T_TTAFStock_Log[Part Name],$A37,T_TTAFStock_Log[WeekIndex],44))</f>
        <v/>
      </c>
      <c r="AT37" s="18">
        <f>IF(COUNTIFS(T_TTAFStock_Log[Part Name],$A37,T_TTAFStock_Log[WeekIndex],45)=0,"",SUMIFS(T_TTAFStock_Log[TTAF_Qty],T_TTAFStock_Log[Part Name],$A37,T_TTAFStock_Log[WeekIndex],45))</f>
        <v/>
      </c>
      <c r="AU37" s="18">
        <f>IF(COUNTIFS(T_TTAFStock_Log[Part Name],$A37,T_TTAFStock_Log[WeekIndex],46)=0,"",SUMIFS(T_TTAFStock_Log[TTAF_Qty],T_TTAFStock_Log[Part Name],$A37,T_TTAFStock_Log[WeekIndex],46))</f>
        <v/>
      </c>
      <c r="AV37" s="18">
        <f>IF(COUNTIFS(T_TTAFStock_Log[Part Name],$A37,T_TTAFStock_Log[WeekIndex],47)=0,"",SUMIFS(T_TTAFStock_Log[TTAF_Qty],T_TTAFStock_Log[Part Name],$A37,T_TTAFStock_Log[WeekIndex],47))</f>
        <v/>
      </c>
      <c r="AW37" s="18">
        <f>IF(COUNTIFS(T_TTAFStock_Log[Part Name],$A37,T_TTAFStock_Log[WeekIndex],48)=0,"",SUMIFS(T_TTAFStock_Log[TTAF_Qty],T_TTAFStock_Log[Part Name],$A37,T_TTAFStock_Log[WeekIndex],48))</f>
        <v/>
      </c>
      <c r="AX37" s="18">
        <f>IF(COUNTIFS(T_TTAFStock_Log[Part Name],$A37,T_TTAFStock_Log[WeekIndex],49)=0,"",SUMIFS(T_TTAFStock_Log[TTAF_Qty],T_TTAFStock_Log[Part Name],$A37,T_TTAFStock_Log[WeekIndex],49))</f>
        <v/>
      </c>
      <c r="AY37" s="18">
        <f>IF(COUNTIFS(T_TTAFStock_Log[Part Name],$A37,T_TTAFStock_Log[WeekIndex],50)=0,"",SUMIFS(T_TTAFStock_Log[TTAF_Qty],T_TTAFStock_Log[Part Name],$A37,T_TTAFStock_Log[WeekIndex],50))</f>
        <v/>
      </c>
      <c r="AZ37" s="18">
        <f>IF(COUNTIFS(T_TTAFStock_Log[Part Name],$A37,T_TTAFStock_Log[WeekIndex],51)=0,"",SUMIFS(T_TTAFStock_Log[TTAF_Qty],T_TTAFStock_Log[Part Name],$A37,T_TTAFStock_Log[WeekIndex],51))</f>
        <v/>
      </c>
      <c r="BA37" s="18">
        <f>IF(COUNTIFS(T_TTAFStock_Log[Part Name],$A37,T_TTAFStock_Log[WeekIndex],52)=0,"",SUMIFS(T_TTAFStock_Log[TTAF_Qty],T_TTAFStock_Log[Part Name],$A37,T_TTAFStock_Log[WeekIndex],52))</f>
        <v/>
      </c>
      <c r="BB37" s="18">
        <f>IF(COUNTIFS(T_TTAFStock_Log[Part Name],$A37,T_TTAFStock_Log[WeekIndex],53)=0,"",SUMIFS(T_TTAFStock_Log[TTAF_Qty],T_TTAFStock_Log[Part Name],$A37,T_TTAFStock_Log[WeekIndex],53))</f>
        <v/>
      </c>
      <c r="BC37" s="18">
        <f>IF(COUNTIFS(T_TTAFStock_Log[Part Name],$A37,T_TTAFStock_Log[WeekIndex],54)=0,"",SUMIFS(T_TTAFStock_Log[TTAF_Qty],T_TTAFStock_Log[Part Name],$A37,T_TTAFStock_Log[WeekIndex],54))</f>
        <v/>
      </c>
      <c r="BD37" s="18">
        <f>IF(COUNTIFS(T_TTAFStock_Log[Part Name],$A37,T_TTAFStock_Log[WeekIndex],55)=0,"",SUMIFS(T_TTAFStock_Log[TTAF_Qty],T_TTAFStock_Log[Part Name],$A37,T_TTAFStock_Log[WeekIndex],55))</f>
        <v/>
      </c>
      <c r="BE37" s="18">
        <f>IF(COUNTIFS(T_TTAFStock_Log[Part Name],$A37,T_TTAFStock_Log[WeekIndex],56)=0,"",SUMIFS(T_TTAFStock_Log[TTAF_Qty],T_TTAFStock_Log[Part Name],$A37,T_TTAFStock_Log[WeekIndex],56))</f>
        <v/>
      </c>
      <c r="BF37" s="18">
        <f>IF(COUNTIFS(T_TTAFStock_Log[Part Name],$A37,T_TTAFStock_Log[WeekIndex],57)=0,"",SUMIFS(T_TTAFStock_Log[TTAF_Qty],T_TTAFStock_Log[Part Name],$A37,T_TTAFStock_Log[WeekIndex],57))</f>
        <v/>
      </c>
      <c r="BG37" s="18">
        <f>IF(COUNTIFS(T_TTAFStock_Log[Part Name],$A37,T_TTAFStock_Log[WeekIndex],58)=0,"",SUMIFS(T_TTAFStock_Log[TTAF_Qty],T_TTAFStock_Log[Part Name],$A37,T_TTAFStock_Log[WeekIndex],58))</f>
        <v/>
      </c>
      <c r="BH37" s="18">
        <f>IF(COUNTIFS(T_TTAFStock_Log[Part Name],$A37,T_TTAFStock_Log[WeekIndex],59)=0,"",SUMIFS(T_TTAFStock_Log[TTAF_Qty],T_TTAFStock_Log[Part Name],$A37,T_TTAFStock_Log[WeekIndex],59))</f>
        <v/>
      </c>
      <c r="BI37" s="18">
        <f>IF(COUNTIFS(T_TTAFStock_Log[Part Name],$A37,T_TTAFStock_Log[WeekIndex],60)=0,"",SUMIFS(T_TTAFStock_Log[TTAF_Qty],T_TTAFStock_Log[Part Name],$A37,T_TTAFStock_Log[WeekIndex],60))</f>
        <v/>
      </c>
      <c r="BJ37" s="18">
        <f>IF(COUNTIFS(T_TTAFStock_Log[Part Name],$A37,T_TTAFStock_Log[WeekIndex],61)=0,"",SUMIFS(T_TTAFStock_Log[TTAF_Qty],T_TTAFStock_Log[Part Name],$A37,T_TTAFStock_Log[WeekIndex],61))</f>
        <v/>
      </c>
      <c r="BK37" s="18">
        <f>IF(COUNTIFS(T_TTAFStock_Log[Part Name],$A37,T_TTAFStock_Log[WeekIndex],62)=0,"",SUMIFS(T_TTAFStock_Log[TTAF_Qty],T_TTAFStock_Log[Part Name],$A37,T_TTAFStock_Log[WeekIndex],62))</f>
        <v/>
      </c>
      <c r="BL37" s="18">
        <f>IF(COUNTIFS(T_TTAFStock_Log[Part Name],$A37,T_TTAFStock_Log[WeekIndex],63)=0,"",SUMIFS(T_TTAFStock_Log[TTAF_Qty],T_TTAFStock_Log[Part Name],$A37,T_TTAFStock_Log[WeekIndex],63))</f>
        <v/>
      </c>
      <c r="BM37" s="18">
        <f>IF(COUNTIFS(T_TTAFStock_Log[Part Name],$A37,T_TTAFStock_Log[WeekIndex],64)=0,"",SUMIFS(T_TTAFStock_Log[TTAF_Qty],T_TTAFStock_Log[Part Name],$A37,T_TTAFStock_Log[WeekIndex],64))</f>
        <v/>
      </c>
      <c r="BN37" s="18">
        <f>IF(COUNTIFS(T_TTAFStock_Log[Part Name],$A37,T_TTAFStock_Log[WeekIndex],65)=0,"",SUMIFS(T_TTAFStock_Log[TTAF_Qty],T_TTAFStock_Log[Part Name],$A37,T_TTAFStock_Log[WeekIndex],65))</f>
        <v/>
      </c>
      <c r="BO37" s="18">
        <f>IF(COUNTIFS(T_TTAFStock_Log[Part Name],$A37,T_TTAFStock_Log[WeekIndex],66)=0,"",SUMIFS(T_TTAFStock_Log[TTAF_Qty],T_TTAFStock_Log[Part Name],$A37,T_TTAFStock_Log[WeekIndex],66))</f>
        <v/>
      </c>
      <c r="BP37" s="18">
        <f>IF(COUNTIFS(T_TTAFStock_Log[Part Name],$A37,T_TTAFStock_Log[WeekIndex],67)=0,"",SUMIFS(T_TTAFStock_Log[TTAF_Qty],T_TTAFStock_Log[Part Name],$A37,T_TTAFStock_Log[WeekIndex],67))</f>
        <v/>
      </c>
      <c r="BQ37" s="18">
        <f>IF(COUNTIFS(T_TTAFStock_Log[Part Name],$A37,T_TTAFStock_Log[WeekIndex],68)=0,"",SUMIFS(T_TTAFStock_Log[TTAF_Qty],T_TTAFStock_Log[Part Name],$A37,T_TTAFStock_Log[WeekIndex],68))</f>
        <v/>
      </c>
      <c r="BR37" s="18">
        <f>IF(COUNTIFS(T_TTAFStock_Log[Part Name],$A37,T_TTAFStock_Log[WeekIndex],69)=0,"",SUMIFS(T_TTAFStock_Log[TTAF_Qty],T_TTAFStock_Log[Part Name],$A37,T_TTAFStock_Log[WeekIndex],69))</f>
        <v/>
      </c>
      <c r="BS37" s="18">
        <f>IF(COUNTIFS(T_TTAFStock_Log[Part Name],$A37,T_TTAFStock_Log[WeekIndex],70)=0,"",SUMIFS(T_TTAFStock_Log[TTAF_Qty],T_TTAFStock_Log[Part Name],$A37,T_TTAFStock_Log[WeekIndex],70))</f>
        <v/>
      </c>
      <c r="BT37" s="18">
        <f>IF(COUNTIFS(T_TTAFStock_Log[Part Name],$A37,T_TTAFStock_Log[WeekIndex],71)=0,"",SUMIFS(T_TTAFStock_Log[TTAF_Qty],T_TTAFStock_Log[Part Name],$A37,T_TTAFStock_Log[WeekIndex],71))</f>
        <v/>
      </c>
      <c r="BU37" s="18">
        <f>IF(COUNTIFS(T_TTAFStock_Log[Part Name],$A37,T_TTAFStock_Log[WeekIndex],72)=0,"",SUMIFS(T_TTAFStock_Log[TTAF_Qty],T_TTAFStock_Log[Part Name],$A37,T_TTAFStock_Log[WeekIndex],72))</f>
        <v/>
      </c>
      <c r="BV37" s="18">
        <f>IF(COUNTIFS(T_TTAFStock_Log[Part Name],$A37,T_TTAFStock_Log[WeekIndex],73)=0,"",SUMIFS(T_TTAFStock_Log[TTAF_Qty],T_TTAFStock_Log[Part Name],$A37,T_TTAFStock_Log[WeekIndex],73))</f>
        <v/>
      </c>
      <c r="BW37" s="18">
        <f>IF(COUNTIFS(T_TTAFStock_Log[Part Name],$A37,T_TTAFStock_Log[WeekIndex],74)=0,"",SUMIFS(T_TTAFStock_Log[TTAF_Qty],T_TTAFStock_Log[Part Name],$A37,T_TTAFStock_Log[WeekIndex],74))</f>
        <v/>
      </c>
      <c r="BX37" s="18">
        <f>IF(COUNTIFS(T_TTAFStock_Log[Part Name],$A37,T_TTAFStock_Log[WeekIndex],75)=0,"",SUMIFS(T_TTAFStock_Log[TTAF_Qty],T_TTAFStock_Log[Part Name],$A37,T_TTAFStock_Log[WeekIndex],75))</f>
        <v/>
      </c>
      <c r="BY37" s="18">
        <f>IF(COUNTIFS(T_TTAFStock_Log[Part Name],$A37,T_TTAFStock_Log[WeekIndex],76)=0,"",SUMIFS(T_TTAFStock_Log[TTAF_Qty],T_TTAFStock_Log[Part Name],$A37,T_TTAFStock_Log[WeekIndex],76))</f>
        <v/>
      </c>
      <c r="BZ37" s="18">
        <f>IF(COUNTIFS(T_TTAFStock_Log[Part Name],$A37,T_TTAFStock_Log[WeekIndex],77)=0,"",SUMIFS(T_TTAFStock_Log[TTAF_Qty],T_TTAFStock_Log[Part Name],$A37,T_TTAFStock_Log[WeekIndex],77))</f>
        <v/>
      </c>
      <c r="CA37" s="18">
        <f>IF(COUNTIFS(T_TTAFStock_Log[Part Name],$A37,T_TTAFStock_Log[WeekIndex],78)=0,"",SUMIFS(T_TTAFStock_Log[TTAF_Qty],T_TTAFStock_Log[Part Name],$A37,T_TTAFStock_Log[WeekIndex],78))</f>
        <v/>
      </c>
      <c r="CB37" s="18">
        <f>IF(COUNTIFS(T_TTAFStock_Log[Part Name],$A37,T_TTAFStock_Log[WeekIndex],79)=0,"",SUMIFS(T_TTAFStock_Log[TTAF_Qty],T_TTAFStock_Log[Part Name],$A37,T_TTAFStock_Log[WeekIndex],79))</f>
        <v/>
      </c>
      <c r="CC37" s="18">
        <f>IF(COUNTIFS(T_TTAFStock_Log[Part Name],$A37,T_TTAFStock_Log[WeekIndex],80)=0,"",SUMIFS(T_TTAFStock_Log[TTAF_Qty],T_TTAFStock_Log[Part Name],$A37,T_TTAFStock_Log[WeekIndex],80))</f>
        <v/>
      </c>
      <c r="CD37" s="18">
        <f>IF(COUNTIFS(T_TTAFStock_Log[Part Name],$A37,T_TTAFStock_Log[WeekIndex],81)=0,"",SUMIFS(T_TTAFStock_Log[TTAF_Qty],T_TTAFStock_Log[Part Name],$A37,T_TTAFStock_Log[WeekIndex],81))</f>
        <v/>
      </c>
      <c r="CE37" s="18">
        <f>IF(COUNTIFS(T_TTAFStock_Log[Part Name],$A37,T_TTAFStock_Log[WeekIndex],82)=0,"",SUMIFS(T_TTAFStock_Log[TTAF_Qty],T_TTAFStock_Log[Part Name],$A37,T_TTAFStock_Log[WeekIndex],82))</f>
        <v/>
      </c>
      <c r="CF37" s="18">
        <f>IF(COUNTIFS(T_TTAFStock_Log[Part Name],$A37,T_TTAFStock_Log[WeekIndex],83)=0,"",SUMIFS(T_TTAFStock_Log[TTAF_Qty],T_TTAFStock_Log[Part Name],$A37,T_TTAFStock_Log[WeekIndex],83))</f>
        <v/>
      </c>
      <c r="CG37" s="18">
        <f>IF(COUNTIFS(T_TTAFStock_Log[Part Name],$A37,T_TTAFStock_Log[WeekIndex],84)=0,"",SUMIFS(T_TTAFStock_Log[TTAF_Qty],T_TTAFStock_Log[Part Name],$A37,T_TTAFStock_Log[WeekIndex],84))</f>
        <v/>
      </c>
      <c r="CH37" s="18">
        <f>IF(COUNTIFS(T_TTAFStock_Log[Part Name],$A37,T_TTAFStock_Log[WeekIndex],85)=0,"",SUMIFS(T_TTAFStock_Log[TTAF_Qty],T_TTAFStock_Log[Part Name],$A37,T_TTAFStock_Log[WeekIndex],85))</f>
        <v/>
      </c>
      <c r="CI37" s="18">
        <f>IF(COUNTIFS(T_TTAFStock_Log[Part Name],$A37,T_TTAFStock_Log[WeekIndex],86)=0,"",SUMIFS(T_TTAFStock_Log[TTAF_Qty],T_TTAFStock_Log[Part Name],$A37,T_TTAFStock_Log[WeekIndex],86))</f>
        <v/>
      </c>
      <c r="CJ37" s="18">
        <f>IF(COUNTIFS(T_TTAFStock_Log[Part Name],$A37,T_TTAFStock_Log[WeekIndex],87)=0,"",SUMIFS(T_TTAFStock_Log[TTAF_Qty],T_TTAFStock_Log[Part Name],$A37,T_TTAFStock_Log[WeekIndex],87))</f>
        <v/>
      </c>
      <c r="CK37" s="18">
        <f>IF(COUNTIFS(T_TTAFStock_Log[Part Name],$A37,T_TTAFStock_Log[WeekIndex],88)=0,"",SUMIFS(T_TTAFStock_Log[TTAF_Qty],T_TTAFStock_Log[Part Name],$A37,T_TTAFStock_Log[WeekIndex],88))</f>
        <v/>
      </c>
      <c r="CL37" s="18">
        <f>IF(COUNTIFS(T_TTAFStock_Log[Part Name],$A37,T_TTAFStock_Log[WeekIndex],89)=0,"",SUMIFS(T_TTAFStock_Log[TTAF_Qty],T_TTAFStock_Log[Part Name],$A37,T_TTAFStock_Log[WeekIndex],89))</f>
        <v/>
      </c>
      <c r="CM37" s="18">
        <f>IF(COUNTIFS(T_TTAFStock_Log[Part Name],$A37,T_TTAFStock_Log[WeekIndex],90)=0,"",SUMIFS(T_TTAFStock_Log[TTAF_Qty],T_TTAFStock_Log[Part Name],$A37,T_TTAFStock_Log[WeekIndex],90))</f>
        <v/>
      </c>
      <c r="CN37" s="18">
        <f>IF(COUNTIFS(T_TTAFStock_Log[Part Name],$A37,T_TTAFStock_Log[WeekIndex],91)=0,"",SUMIFS(T_TTAFStock_Log[TTAF_Qty],T_TTAFStock_Log[Part Name],$A37,T_TTAFStock_Log[WeekIndex],91))</f>
        <v/>
      </c>
      <c r="CO37" s="18">
        <f>IF(COUNTIFS(T_TTAFStock_Log[Part Name],$A37,T_TTAFStock_Log[WeekIndex],92)=0,"",SUMIFS(T_TTAFStock_Log[TTAF_Qty],T_TTAFStock_Log[Part Name],$A37,T_TTAFStock_Log[WeekIndex],92))</f>
        <v/>
      </c>
      <c r="CP37" s="18">
        <f>IF(COUNTIFS(T_TTAFStock_Log[Part Name],$A37,T_TTAFStock_Log[WeekIndex],93)=0,"",SUMIFS(T_TTAFStock_Log[TTAF_Qty],T_TTAFStock_Log[Part Name],$A37,T_TTAFStock_Log[WeekIndex],93))</f>
        <v/>
      </c>
      <c r="CQ37" s="18">
        <f>IF(COUNTIFS(T_TTAFStock_Log[Part Name],$A37,T_TTAFStock_Log[WeekIndex],94)=0,"",SUMIFS(T_TTAFStock_Log[TTAF_Qty],T_TTAFStock_Log[Part Name],$A37,T_TTAFStock_Log[WeekIndex],94))</f>
        <v/>
      </c>
      <c r="CR37" s="18">
        <f>IF(COUNTIFS(T_TTAFStock_Log[Part Name],$A37,T_TTAFStock_Log[WeekIndex],95)=0,"",SUMIFS(T_TTAFStock_Log[TTAF_Qty],T_TTAFStock_Log[Part Name],$A37,T_TTAFStock_Log[WeekIndex],95))</f>
        <v/>
      </c>
      <c r="CS37" s="18">
        <f>IF(COUNTIFS(T_TTAFStock_Log[Part Name],$A37,T_TTAFStock_Log[WeekIndex],96)=0,"",SUMIFS(T_TTAFStock_Log[TTAF_Qty],T_TTAFStock_Log[Part Name],$A37,T_TTAFStock_Log[WeekIndex],96))</f>
        <v/>
      </c>
      <c r="CT37" s="18">
        <f>IF(COUNTIFS(T_TTAFStock_Log[Part Name],$A37,T_TTAFStock_Log[WeekIndex],97)=0,"",SUMIFS(T_TTAFStock_Log[TTAF_Qty],T_TTAFStock_Log[Part Name],$A37,T_TTAFStock_Log[WeekIndex],97))</f>
        <v/>
      </c>
      <c r="CU37" s="18">
        <f>IF(COUNTIFS(T_TTAFStock_Log[Part Name],$A37,T_TTAFStock_Log[WeekIndex],98)=0,"",SUMIFS(T_TTAFStock_Log[TTAF_Qty],T_TTAFStock_Log[Part Name],$A37,T_TTAFStock_Log[WeekIndex],98))</f>
        <v/>
      </c>
      <c r="CV37" s="18">
        <f>IF(COUNTIFS(T_TTAFStock_Log[Part Name],$A37,T_TTAFStock_Log[WeekIndex],99)=0,"",SUMIFS(T_TTAFStock_Log[TTAF_Qty],T_TTAFStock_Log[Part Name],$A37,T_TTAFStock_Log[WeekIndex],99))</f>
        <v/>
      </c>
      <c r="CW37" s="18">
        <f>IF(COUNTIFS(T_TTAFStock_Log[Part Name],$A37,T_TTAFStock_Log[WeekIndex],100)=0,"",SUMIFS(T_TTAFStock_Log[TTAF_Qty],T_TTAFStock_Log[Part Name],$A37,T_TTAFStock_Log[WeekIndex],100))</f>
        <v/>
      </c>
      <c r="CX37" s="18">
        <f>IF(COUNTIFS(T_TTAFStock_Log[Part Name],$A37,T_TTAFStock_Log[WeekIndex],101)=0,"",SUMIFS(T_TTAFStock_Log[TTAF_Qty],T_TTAFStock_Log[Part Name],$A37,T_TTAFStock_Log[WeekIndex],101))</f>
        <v/>
      </c>
      <c r="CY37" s="18">
        <f>IF(COUNTIFS(T_TTAFStock_Log[Part Name],$A37,T_TTAFStock_Log[WeekIndex],102)=0,"",SUMIFS(T_TTAFStock_Log[TTAF_Qty],T_TTAFStock_Log[Part Name],$A37,T_TTAFStock_Log[WeekIndex],102))</f>
        <v/>
      </c>
      <c r="CZ37" s="18">
        <f>IF(COUNTIFS(T_TTAFStock_Log[Part Name],$A37,T_TTAFStock_Log[WeekIndex],103)=0,"",SUMIFS(T_TTAFStock_Log[TTAF_Qty],T_TTAFStock_Log[Part Name],$A37,T_TTAFStock_Log[WeekIndex],103))</f>
        <v/>
      </c>
      <c r="DA37" s="18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CHEM-1560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8" t="inlineStr">
        <is>
          <t>CHEM-1510</t>
        </is>
      </c>
      <c r="B39" s="18">
        <f>IF(COUNTIFS(T_TTAFStock_Log[Part Name],$A39,T_TTAFStock_Log[WeekIndex],1)=0,"",SUMIFS(T_TTAFStock_Log[TTAF_Qty],T_TTAFStock_Log[Part Name],$A39,T_TTAFStock_Log[WeekIndex],1))</f>
        <v/>
      </c>
      <c r="C39" s="18">
        <f>IF(COUNTIFS(T_TTAFStock_Log[Part Name],$A39,T_TTAFStock_Log[WeekIndex],2)=0,"",SUMIFS(T_TTAFStock_Log[TTAF_Qty],T_TTAFStock_Log[Part Name],$A39,T_TTAFStock_Log[WeekIndex],2))</f>
        <v/>
      </c>
      <c r="D39" s="18">
        <f>IF(COUNTIFS(T_TTAFStock_Log[Part Name],$A39,T_TTAFStock_Log[WeekIndex],3)=0,"",SUMIFS(T_TTAFStock_Log[TTAF_Qty],T_TTAFStock_Log[Part Name],$A39,T_TTAFStock_Log[WeekIndex],3))</f>
        <v/>
      </c>
      <c r="E39" s="18">
        <f>IF(COUNTIFS(T_TTAFStock_Log[Part Name],$A39,T_TTAFStock_Log[WeekIndex],4)=0,"",SUMIFS(T_TTAFStock_Log[TTAF_Qty],T_TTAFStock_Log[Part Name],$A39,T_TTAFStock_Log[WeekIndex],4))</f>
        <v/>
      </c>
      <c r="F39" s="18">
        <f>IF(COUNTIFS(T_TTAFStock_Log[Part Name],$A39,T_TTAFStock_Log[WeekIndex],5)=0,"",SUMIFS(T_TTAFStock_Log[TTAF_Qty],T_TTAFStock_Log[Part Name],$A39,T_TTAFStock_Log[WeekIndex],5))</f>
        <v/>
      </c>
      <c r="G39" s="18">
        <f>IF(COUNTIFS(T_TTAFStock_Log[Part Name],$A39,T_TTAFStock_Log[WeekIndex],6)=0,"",SUMIFS(T_TTAFStock_Log[TTAF_Qty],T_TTAFStock_Log[Part Name],$A39,T_TTAFStock_Log[WeekIndex],6))</f>
        <v/>
      </c>
      <c r="H39" s="18">
        <f>IF(COUNTIFS(T_TTAFStock_Log[Part Name],$A39,T_TTAFStock_Log[WeekIndex],7)=0,"",SUMIFS(T_TTAFStock_Log[TTAF_Qty],T_TTAFStock_Log[Part Name],$A39,T_TTAFStock_Log[WeekIndex],7))</f>
        <v/>
      </c>
      <c r="I39" s="18">
        <f>IF(COUNTIFS(T_TTAFStock_Log[Part Name],$A39,T_TTAFStock_Log[WeekIndex],8)=0,"",SUMIFS(T_TTAFStock_Log[TTAF_Qty],T_TTAFStock_Log[Part Name],$A39,T_TTAFStock_Log[WeekIndex],8))</f>
        <v/>
      </c>
      <c r="J39" s="18">
        <f>IF(COUNTIFS(T_TTAFStock_Log[Part Name],$A39,T_TTAFStock_Log[WeekIndex],9)=0,"",SUMIFS(T_TTAFStock_Log[TTAF_Qty],T_TTAFStock_Log[Part Name],$A39,T_TTAFStock_Log[WeekIndex],9))</f>
        <v/>
      </c>
      <c r="K39" s="18">
        <f>IF(COUNTIFS(T_TTAFStock_Log[Part Name],$A39,T_TTAFStock_Log[WeekIndex],10)=0,"",SUMIFS(T_TTAFStock_Log[TTAF_Qty],T_TTAFStock_Log[Part Name],$A39,T_TTAFStock_Log[WeekIndex],10))</f>
        <v/>
      </c>
      <c r="L39" s="18">
        <f>IF(COUNTIFS(T_TTAFStock_Log[Part Name],$A39,T_TTAFStock_Log[WeekIndex],11)=0,"",SUMIFS(T_TTAFStock_Log[TTAF_Qty],T_TTAFStock_Log[Part Name],$A39,T_TTAFStock_Log[WeekIndex],11))</f>
        <v/>
      </c>
      <c r="M39" s="18">
        <f>IF(COUNTIFS(T_TTAFStock_Log[Part Name],$A39,T_TTAFStock_Log[WeekIndex],12)=0,"",SUMIFS(T_TTAFStock_Log[TTAF_Qty],T_TTAFStock_Log[Part Name],$A39,T_TTAFStock_Log[WeekIndex],12))</f>
        <v/>
      </c>
      <c r="N39" s="18">
        <f>IF(COUNTIFS(T_TTAFStock_Log[Part Name],$A39,T_TTAFStock_Log[WeekIndex],13)=0,"",SUMIFS(T_TTAFStock_Log[TTAF_Qty],T_TTAFStock_Log[Part Name],$A39,T_TTAFStock_Log[WeekIndex],13))</f>
        <v/>
      </c>
      <c r="O39" s="18">
        <f>IF(COUNTIFS(T_TTAFStock_Log[Part Name],$A39,T_TTAFStock_Log[WeekIndex],14)=0,"",SUMIFS(T_TTAFStock_Log[TTAF_Qty],T_TTAFStock_Log[Part Name],$A39,T_TTAFStock_Log[WeekIndex],14))</f>
        <v/>
      </c>
      <c r="P39" s="18">
        <f>IF(COUNTIFS(T_TTAFStock_Log[Part Name],$A39,T_TTAFStock_Log[WeekIndex],15)=0,"",SUMIFS(T_TTAFStock_Log[TTAF_Qty],T_TTAFStock_Log[Part Name],$A39,T_TTAFStock_Log[WeekIndex],15))</f>
        <v/>
      </c>
      <c r="Q39" s="18">
        <f>IF(COUNTIFS(T_TTAFStock_Log[Part Name],$A39,T_TTAFStock_Log[WeekIndex],16)=0,"",SUMIFS(T_TTAFStock_Log[TTAF_Qty],T_TTAFStock_Log[Part Name],$A39,T_TTAFStock_Log[WeekIndex],16))</f>
        <v/>
      </c>
      <c r="R39" s="18">
        <f>IF(COUNTIFS(T_TTAFStock_Log[Part Name],$A39,T_TTAFStock_Log[WeekIndex],17)=0,"",SUMIFS(T_TTAFStock_Log[TTAF_Qty],T_TTAFStock_Log[Part Name],$A39,T_TTAFStock_Log[WeekIndex],17))</f>
        <v/>
      </c>
      <c r="S39" s="18">
        <f>IF(COUNTIFS(T_TTAFStock_Log[Part Name],$A39,T_TTAFStock_Log[WeekIndex],18)=0,"",SUMIFS(T_TTAFStock_Log[TTAF_Qty],T_TTAFStock_Log[Part Name],$A39,T_TTAFStock_Log[WeekIndex],18))</f>
        <v/>
      </c>
      <c r="T39" s="18">
        <f>IF(COUNTIFS(T_TTAFStock_Log[Part Name],$A39,T_TTAFStock_Log[WeekIndex],19)=0,"",SUMIFS(T_TTAFStock_Log[TTAF_Qty],T_TTAFStock_Log[Part Name],$A39,T_TTAFStock_Log[WeekIndex],19))</f>
        <v/>
      </c>
      <c r="U39" s="18">
        <f>IF(COUNTIFS(T_TTAFStock_Log[Part Name],$A39,T_TTAFStock_Log[WeekIndex],20)=0,"",SUMIFS(T_TTAFStock_Log[TTAF_Qty],T_TTAFStock_Log[Part Name],$A39,T_TTAFStock_Log[WeekIndex],20))</f>
        <v/>
      </c>
      <c r="V39" s="18">
        <f>IF(COUNTIFS(T_TTAFStock_Log[Part Name],$A39,T_TTAFStock_Log[WeekIndex],21)=0,"",SUMIFS(T_TTAFStock_Log[TTAF_Qty],T_TTAFStock_Log[Part Name],$A39,T_TTAFStock_Log[WeekIndex],21))</f>
        <v/>
      </c>
      <c r="W39" s="18">
        <f>IF(COUNTIFS(T_TTAFStock_Log[Part Name],$A39,T_TTAFStock_Log[WeekIndex],22)=0,"",SUMIFS(T_TTAFStock_Log[TTAF_Qty],T_TTAFStock_Log[Part Name],$A39,T_TTAFStock_Log[WeekIndex],22))</f>
        <v/>
      </c>
      <c r="X39" s="18">
        <f>IF(COUNTIFS(T_TTAFStock_Log[Part Name],$A39,T_TTAFStock_Log[WeekIndex],23)=0,"",SUMIFS(T_TTAFStock_Log[TTAF_Qty],T_TTAFStock_Log[Part Name],$A39,T_TTAFStock_Log[WeekIndex],23))</f>
        <v/>
      </c>
      <c r="Y39" s="18">
        <f>IF(COUNTIFS(T_TTAFStock_Log[Part Name],$A39,T_TTAFStock_Log[WeekIndex],24)=0,"",SUMIFS(T_TTAFStock_Log[TTAF_Qty],T_TTAFStock_Log[Part Name],$A39,T_TTAFStock_Log[WeekIndex],24))</f>
        <v/>
      </c>
      <c r="Z39" s="18">
        <f>IF(COUNTIFS(T_TTAFStock_Log[Part Name],$A39,T_TTAFStock_Log[WeekIndex],25)=0,"",SUMIFS(T_TTAFStock_Log[TTAF_Qty],T_TTAFStock_Log[Part Name],$A39,T_TTAFStock_Log[WeekIndex],25))</f>
        <v/>
      </c>
      <c r="AA39" s="18">
        <f>IF(COUNTIFS(T_TTAFStock_Log[Part Name],$A39,T_TTAFStock_Log[WeekIndex],26)=0,"",SUMIFS(T_TTAFStock_Log[TTAF_Qty],T_TTAFStock_Log[Part Name],$A39,T_TTAFStock_Log[WeekIndex],26))</f>
        <v/>
      </c>
      <c r="AB39" s="18">
        <f>IF(COUNTIFS(T_TTAFStock_Log[Part Name],$A39,T_TTAFStock_Log[WeekIndex],27)=0,"",SUMIFS(T_TTAFStock_Log[TTAF_Qty],T_TTAFStock_Log[Part Name],$A39,T_TTAFStock_Log[WeekIndex],27))</f>
        <v/>
      </c>
      <c r="AC39" s="18">
        <f>IF(COUNTIFS(T_TTAFStock_Log[Part Name],$A39,T_TTAFStock_Log[WeekIndex],28)=0,"",SUMIFS(T_TTAFStock_Log[TTAF_Qty],T_TTAFStock_Log[Part Name],$A39,T_TTAFStock_Log[WeekIndex],28))</f>
        <v/>
      </c>
      <c r="AD39" s="18">
        <f>IF(COUNTIFS(T_TTAFStock_Log[Part Name],$A39,T_TTAFStock_Log[WeekIndex],29)=0,"",SUMIFS(T_TTAFStock_Log[TTAF_Qty],T_TTAFStock_Log[Part Name],$A39,T_TTAFStock_Log[WeekIndex],29))</f>
        <v/>
      </c>
      <c r="AE39" s="18">
        <f>IF(COUNTIFS(T_TTAFStock_Log[Part Name],$A39,T_TTAFStock_Log[WeekIndex],30)=0,"",SUMIFS(T_TTAFStock_Log[TTAF_Qty],T_TTAFStock_Log[Part Name],$A39,T_TTAFStock_Log[WeekIndex],30))</f>
        <v/>
      </c>
      <c r="AF39" s="18">
        <f>IF(COUNTIFS(T_TTAFStock_Log[Part Name],$A39,T_TTAFStock_Log[WeekIndex],31)=0,"",SUMIFS(T_TTAFStock_Log[TTAF_Qty],T_TTAFStock_Log[Part Name],$A39,T_TTAFStock_Log[WeekIndex],31))</f>
        <v/>
      </c>
      <c r="AG39" s="18">
        <f>IF(COUNTIFS(T_TTAFStock_Log[Part Name],$A39,T_TTAFStock_Log[WeekIndex],32)=0,"",SUMIFS(T_TTAFStock_Log[TTAF_Qty],T_TTAFStock_Log[Part Name],$A39,T_TTAFStock_Log[WeekIndex],32))</f>
        <v/>
      </c>
      <c r="AH39" s="18">
        <f>IF(COUNTIFS(T_TTAFStock_Log[Part Name],$A39,T_TTAFStock_Log[WeekIndex],33)=0,"",SUMIFS(T_TTAFStock_Log[TTAF_Qty],T_TTAFStock_Log[Part Name],$A39,T_TTAFStock_Log[WeekIndex],33))</f>
        <v/>
      </c>
      <c r="AI39" s="18">
        <f>IF(COUNTIFS(T_TTAFStock_Log[Part Name],$A39,T_TTAFStock_Log[WeekIndex],34)=0,"",SUMIFS(T_TTAFStock_Log[TTAF_Qty],T_TTAFStock_Log[Part Name],$A39,T_TTAFStock_Log[WeekIndex],34))</f>
        <v/>
      </c>
      <c r="AJ39" s="18">
        <f>IF(COUNTIFS(T_TTAFStock_Log[Part Name],$A39,T_TTAFStock_Log[WeekIndex],35)=0,"",SUMIFS(T_TTAFStock_Log[TTAF_Qty],T_TTAFStock_Log[Part Name],$A39,T_TTAFStock_Log[WeekIndex],35))</f>
        <v/>
      </c>
      <c r="AK39" s="18">
        <f>IF(COUNTIFS(T_TTAFStock_Log[Part Name],$A39,T_TTAFStock_Log[WeekIndex],36)=0,"",SUMIFS(T_TTAFStock_Log[TTAF_Qty],T_TTAFStock_Log[Part Name],$A39,T_TTAFStock_Log[WeekIndex],36))</f>
        <v/>
      </c>
      <c r="AL39" s="18">
        <f>IF(COUNTIFS(T_TTAFStock_Log[Part Name],$A39,T_TTAFStock_Log[WeekIndex],37)=0,"",SUMIFS(T_TTAFStock_Log[TTAF_Qty],T_TTAFStock_Log[Part Name],$A39,T_TTAFStock_Log[WeekIndex],37))</f>
        <v/>
      </c>
      <c r="AM39" s="18">
        <f>IF(COUNTIFS(T_TTAFStock_Log[Part Name],$A39,T_TTAFStock_Log[WeekIndex],38)=0,"",SUMIFS(T_TTAFStock_Log[TTAF_Qty],T_TTAFStock_Log[Part Name],$A39,T_TTAFStock_Log[WeekIndex],38))</f>
        <v/>
      </c>
      <c r="AN39" s="18">
        <f>IF(COUNTIFS(T_TTAFStock_Log[Part Name],$A39,T_TTAFStock_Log[WeekIndex],39)=0,"",SUMIFS(T_TTAFStock_Log[TTAF_Qty],T_TTAFStock_Log[Part Name],$A39,T_TTAFStock_Log[WeekIndex],39))</f>
        <v/>
      </c>
      <c r="AO39" s="18">
        <f>IF(COUNTIFS(T_TTAFStock_Log[Part Name],$A39,T_TTAFStock_Log[WeekIndex],40)=0,"",SUMIFS(T_TTAFStock_Log[TTAF_Qty],T_TTAFStock_Log[Part Name],$A39,T_TTAFStock_Log[WeekIndex],40))</f>
        <v/>
      </c>
      <c r="AP39" s="18">
        <f>IF(COUNTIFS(T_TTAFStock_Log[Part Name],$A39,T_TTAFStock_Log[WeekIndex],41)=0,"",SUMIFS(T_TTAFStock_Log[TTAF_Qty],T_TTAFStock_Log[Part Name],$A39,T_TTAFStock_Log[WeekIndex],41))</f>
        <v/>
      </c>
      <c r="AQ39" s="18">
        <f>IF(COUNTIFS(T_TTAFStock_Log[Part Name],$A39,T_TTAFStock_Log[WeekIndex],42)=0,"",SUMIFS(T_TTAFStock_Log[TTAF_Qty],T_TTAFStock_Log[Part Name],$A39,T_TTAFStock_Log[WeekIndex],42))</f>
        <v/>
      </c>
      <c r="AR39" s="18">
        <f>IF(COUNTIFS(T_TTAFStock_Log[Part Name],$A39,T_TTAFStock_Log[WeekIndex],43)=0,"",SUMIFS(T_TTAFStock_Log[TTAF_Qty],T_TTAFStock_Log[Part Name],$A39,T_TTAFStock_Log[WeekIndex],43))</f>
        <v/>
      </c>
      <c r="AS39" s="18">
        <f>IF(COUNTIFS(T_TTAFStock_Log[Part Name],$A39,T_TTAFStock_Log[WeekIndex],44)=0,"",SUMIFS(T_TTAFStock_Log[TTAF_Qty],T_TTAFStock_Log[Part Name],$A39,T_TTAFStock_Log[WeekIndex],44))</f>
        <v/>
      </c>
      <c r="AT39" s="18">
        <f>IF(COUNTIFS(T_TTAFStock_Log[Part Name],$A39,T_TTAFStock_Log[WeekIndex],45)=0,"",SUMIFS(T_TTAFStock_Log[TTAF_Qty],T_TTAFStock_Log[Part Name],$A39,T_TTAFStock_Log[WeekIndex],45))</f>
        <v/>
      </c>
      <c r="AU39" s="18">
        <f>IF(COUNTIFS(T_TTAFStock_Log[Part Name],$A39,T_TTAFStock_Log[WeekIndex],46)=0,"",SUMIFS(T_TTAFStock_Log[TTAF_Qty],T_TTAFStock_Log[Part Name],$A39,T_TTAFStock_Log[WeekIndex],46))</f>
        <v/>
      </c>
      <c r="AV39" s="18">
        <f>IF(COUNTIFS(T_TTAFStock_Log[Part Name],$A39,T_TTAFStock_Log[WeekIndex],47)=0,"",SUMIFS(T_TTAFStock_Log[TTAF_Qty],T_TTAFStock_Log[Part Name],$A39,T_TTAFStock_Log[WeekIndex],47))</f>
        <v/>
      </c>
      <c r="AW39" s="18">
        <f>IF(COUNTIFS(T_TTAFStock_Log[Part Name],$A39,T_TTAFStock_Log[WeekIndex],48)=0,"",SUMIFS(T_TTAFStock_Log[TTAF_Qty],T_TTAFStock_Log[Part Name],$A39,T_TTAFStock_Log[WeekIndex],48))</f>
        <v/>
      </c>
      <c r="AX39" s="18">
        <f>IF(COUNTIFS(T_TTAFStock_Log[Part Name],$A39,T_TTAFStock_Log[WeekIndex],49)=0,"",SUMIFS(T_TTAFStock_Log[TTAF_Qty],T_TTAFStock_Log[Part Name],$A39,T_TTAFStock_Log[WeekIndex],49))</f>
        <v/>
      </c>
      <c r="AY39" s="18">
        <f>IF(COUNTIFS(T_TTAFStock_Log[Part Name],$A39,T_TTAFStock_Log[WeekIndex],50)=0,"",SUMIFS(T_TTAFStock_Log[TTAF_Qty],T_TTAFStock_Log[Part Name],$A39,T_TTAFStock_Log[WeekIndex],50))</f>
        <v/>
      </c>
      <c r="AZ39" s="18">
        <f>IF(COUNTIFS(T_TTAFStock_Log[Part Name],$A39,T_TTAFStock_Log[WeekIndex],51)=0,"",SUMIFS(T_TTAFStock_Log[TTAF_Qty],T_TTAFStock_Log[Part Name],$A39,T_TTAFStock_Log[WeekIndex],51))</f>
        <v/>
      </c>
      <c r="BA39" s="18">
        <f>IF(COUNTIFS(T_TTAFStock_Log[Part Name],$A39,T_TTAFStock_Log[WeekIndex],52)=0,"",SUMIFS(T_TTAFStock_Log[TTAF_Qty],T_TTAFStock_Log[Part Name],$A39,T_TTAFStock_Log[WeekIndex],52))</f>
        <v/>
      </c>
      <c r="BB39" s="18">
        <f>IF(COUNTIFS(T_TTAFStock_Log[Part Name],$A39,T_TTAFStock_Log[WeekIndex],53)=0,"",SUMIFS(T_TTAFStock_Log[TTAF_Qty],T_TTAFStock_Log[Part Name],$A39,T_TTAFStock_Log[WeekIndex],53))</f>
        <v/>
      </c>
      <c r="BC39" s="18">
        <f>IF(COUNTIFS(T_TTAFStock_Log[Part Name],$A39,T_TTAFStock_Log[WeekIndex],54)=0,"",SUMIFS(T_TTAFStock_Log[TTAF_Qty],T_TTAFStock_Log[Part Name],$A39,T_TTAFStock_Log[WeekIndex],54))</f>
        <v/>
      </c>
      <c r="BD39" s="18">
        <f>IF(COUNTIFS(T_TTAFStock_Log[Part Name],$A39,T_TTAFStock_Log[WeekIndex],55)=0,"",SUMIFS(T_TTAFStock_Log[TTAF_Qty],T_TTAFStock_Log[Part Name],$A39,T_TTAFStock_Log[WeekIndex],55))</f>
        <v/>
      </c>
      <c r="BE39" s="18">
        <f>IF(COUNTIFS(T_TTAFStock_Log[Part Name],$A39,T_TTAFStock_Log[WeekIndex],56)=0,"",SUMIFS(T_TTAFStock_Log[TTAF_Qty],T_TTAFStock_Log[Part Name],$A39,T_TTAFStock_Log[WeekIndex],56))</f>
        <v/>
      </c>
      <c r="BF39" s="18">
        <f>IF(COUNTIFS(T_TTAFStock_Log[Part Name],$A39,T_TTAFStock_Log[WeekIndex],57)=0,"",SUMIFS(T_TTAFStock_Log[TTAF_Qty],T_TTAFStock_Log[Part Name],$A39,T_TTAFStock_Log[WeekIndex],57))</f>
        <v/>
      </c>
      <c r="BG39" s="18">
        <f>IF(COUNTIFS(T_TTAFStock_Log[Part Name],$A39,T_TTAFStock_Log[WeekIndex],58)=0,"",SUMIFS(T_TTAFStock_Log[TTAF_Qty],T_TTAFStock_Log[Part Name],$A39,T_TTAFStock_Log[WeekIndex],58))</f>
        <v/>
      </c>
      <c r="BH39" s="18">
        <f>IF(COUNTIFS(T_TTAFStock_Log[Part Name],$A39,T_TTAFStock_Log[WeekIndex],59)=0,"",SUMIFS(T_TTAFStock_Log[TTAF_Qty],T_TTAFStock_Log[Part Name],$A39,T_TTAFStock_Log[WeekIndex],59))</f>
        <v/>
      </c>
      <c r="BI39" s="18">
        <f>IF(COUNTIFS(T_TTAFStock_Log[Part Name],$A39,T_TTAFStock_Log[WeekIndex],60)=0,"",SUMIFS(T_TTAFStock_Log[TTAF_Qty],T_TTAFStock_Log[Part Name],$A39,T_TTAFStock_Log[WeekIndex],60))</f>
        <v/>
      </c>
      <c r="BJ39" s="18">
        <f>IF(COUNTIFS(T_TTAFStock_Log[Part Name],$A39,T_TTAFStock_Log[WeekIndex],61)=0,"",SUMIFS(T_TTAFStock_Log[TTAF_Qty],T_TTAFStock_Log[Part Name],$A39,T_TTAFStock_Log[WeekIndex],61))</f>
        <v/>
      </c>
      <c r="BK39" s="18">
        <f>IF(COUNTIFS(T_TTAFStock_Log[Part Name],$A39,T_TTAFStock_Log[WeekIndex],62)=0,"",SUMIFS(T_TTAFStock_Log[TTAF_Qty],T_TTAFStock_Log[Part Name],$A39,T_TTAFStock_Log[WeekIndex],62))</f>
        <v/>
      </c>
      <c r="BL39" s="18">
        <f>IF(COUNTIFS(T_TTAFStock_Log[Part Name],$A39,T_TTAFStock_Log[WeekIndex],63)=0,"",SUMIFS(T_TTAFStock_Log[TTAF_Qty],T_TTAFStock_Log[Part Name],$A39,T_TTAFStock_Log[WeekIndex],63))</f>
        <v/>
      </c>
      <c r="BM39" s="18">
        <f>IF(COUNTIFS(T_TTAFStock_Log[Part Name],$A39,T_TTAFStock_Log[WeekIndex],64)=0,"",SUMIFS(T_TTAFStock_Log[TTAF_Qty],T_TTAFStock_Log[Part Name],$A39,T_TTAFStock_Log[WeekIndex],64))</f>
        <v/>
      </c>
      <c r="BN39" s="18">
        <f>IF(COUNTIFS(T_TTAFStock_Log[Part Name],$A39,T_TTAFStock_Log[WeekIndex],65)=0,"",SUMIFS(T_TTAFStock_Log[TTAF_Qty],T_TTAFStock_Log[Part Name],$A39,T_TTAFStock_Log[WeekIndex],65))</f>
        <v/>
      </c>
      <c r="BO39" s="18">
        <f>IF(COUNTIFS(T_TTAFStock_Log[Part Name],$A39,T_TTAFStock_Log[WeekIndex],66)=0,"",SUMIFS(T_TTAFStock_Log[TTAF_Qty],T_TTAFStock_Log[Part Name],$A39,T_TTAFStock_Log[WeekIndex],66))</f>
        <v/>
      </c>
      <c r="BP39" s="18">
        <f>IF(COUNTIFS(T_TTAFStock_Log[Part Name],$A39,T_TTAFStock_Log[WeekIndex],67)=0,"",SUMIFS(T_TTAFStock_Log[TTAF_Qty],T_TTAFStock_Log[Part Name],$A39,T_TTAFStock_Log[WeekIndex],67))</f>
        <v/>
      </c>
      <c r="BQ39" s="18">
        <f>IF(COUNTIFS(T_TTAFStock_Log[Part Name],$A39,T_TTAFStock_Log[WeekIndex],68)=0,"",SUMIFS(T_TTAFStock_Log[TTAF_Qty],T_TTAFStock_Log[Part Name],$A39,T_TTAFStock_Log[WeekIndex],68))</f>
        <v/>
      </c>
      <c r="BR39" s="18">
        <f>IF(COUNTIFS(T_TTAFStock_Log[Part Name],$A39,T_TTAFStock_Log[WeekIndex],69)=0,"",SUMIFS(T_TTAFStock_Log[TTAF_Qty],T_TTAFStock_Log[Part Name],$A39,T_TTAFStock_Log[WeekIndex],69))</f>
        <v/>
      </c>
      <c r="BS39" s="18">
        <f>IF(COUNTIFS(T_TTAFStock_Log[Part Name],$A39,T_TTAFStock_Log[WeekIndex],70)=0,"",SUMIFS(T_TTAFStock_Log[TTAF_Qty],T_TTAFStock_Log[Part Name],$A39,T_TTAFStock_Log[WeekIndex],70))</f>
        <v/>
      </c>
      <c r="BT39" s="18">
        <f>IF(COUNTIFS(T_TTAFStock_Log[Part Name],$A39,T_TTAFStock_Log[WeekIndex],71)=0,"",SUMIFS(T_TTAFStock_Log[TTAF_Qty],T_TTAFStock_Log[Part Name],$A39,T_TTAFStock_Log[WeekIndex],71))</f>
        <v/>
      </c>
      <c r="BU39" s="18">
        <f>IF(COUNTIFS(T_TTAFStock_Log[Part Name],$A39,T_TTAFStock_Log[WeekIndex],72)=0,"",SUMIFS(T_TTAFStock_Log[TTAF_Qty],T_TTAFStock_Log[Part Name],$A39,T_TTAFStock_Log[WeekIndex],72))</f>
        <v/>
      </c>
      <c r="BV39" s="18">
        <f>IF(COUNTIFS(T_TTAFStock_Log[Part Name],$A39,T_TTAFStock_Log[WeekIndex],73)=0,"",SUMIFS(T_TTAFStock_Log[TTAF_Qty],T_TTAFStock_Log[Part Name],$A39,T_TTAFStock_Log[WeekIndex],73))</f>
        <v/>
      </c>
      <c r="BW39" s="18">
        <f>IF(COUNTIFS(T_TTAFStock_Log[Part Name],$A39,T_TTAFStock_Log[WeekIndex],74)=0,"",SUMIFS(T_TTAFStock_Log[TTAF_Qty],T_TTAFStock_Log[Part Name],$A39,T_TTAFStock_Log[WeekIndex],74))</f>
        <v/>
      </c>
      <c r="BX39" s="18">
        <f>IF(COUNTIFS(T_TTAFStock_Log[Part Name],$A39,T_TTAFStock_Log[WeekIndex],75)=0,"",SUMIFS(T_TTAFStock_Log[TTAF_Qty],T_TTAFStock_Log[Part Name],$A39,T_TTAFStock_Log[WeekIndex],75))</f>
        <v/>
      </c>
      <c r="BY39" s="18">
        <f>IF(COUNTIFS(T_TTAFStock_Log[Part Name],$A39,T_TTAFStock_Log[WeekIndex],76)=0,"",SUMIFS(T_TTAFStock_Log[TTAF_Qty],T_TTAFStock_Log[Part Name],$A39,T_TTAFStock_Log[WeekIndex],76))</f>
        <v/>
      </c>
      <c r="BZ39" s="18">
        <f>IF(COUNTIFS(T_TTAFStock_Log[Part Name],$A39,T_TTAFStock_Log[WeekIndex],77)=0,"",SUMIFS(T_TTAFStock_Log[TTAF_Qty],T_TTAFStock_Log[Part Name],$A39,T_TTAFStock_Log[WeekIndex],77))</f>
        <v/>
      </c>
      <c r="CA39" s="18">
        <f>IF(COUNTIFS(T_TTAFStock_Log[Part Name],$A39,T_TTAFStock_Log[WeekIndex],78)=0,"",SUMIFS(T_TTAFStock_Log[TTAF_Qty],T_TTAFStock_Log[Part Name],$A39,T_TTAFStock_Log[WeekIndex],78))</f>
        <v/>
      </c>
      <c r="CB39" s="18">
        <f>IF(COUNTIFS(T_TTAFStock_Log[Part Name],$A39,T_TTAFStock_Log[WeekIndex],79)=0,"",SUMIFS(T_TTAFStock_Log[TTAF_Qty],T_TTAFStock_Log[Part Name],$A39,T_TTAFStock_Log[WeekIndex],79))</f>
        <v/>
      </c>
      <c r="CC39" s="18">
        <f>IF(COUNTIFS(T_TTAFStock_Log[Part Name],$A39,T_TTAFStock_Log[WeekIndex],80)=0,"",SUMIFS(T_TTAFStock_Log[TTAF_Qty],T_TTAFStock_Log[Part Name],$A39,T_TTAFStock_Log[WeekIndex],80))</f>
        <v/>
      </c>
      <c r="CD39" s="18">
        <f>IF(COUNTIFS(T_TTAFStock_Log[Part Name],$A39,T_TTAFStock_Log[WeekIndex],81)=0,"",SUMIFS(T_TTAFStock_Log[TTAF_Qty],T_TTAFStock_Log[Part Name],$A39,T_TTAFStock_Log[WeekIndex],81))</f>
        <v/>
      </c>
      <c r="CE39" s="18">
        <f>IF(COUNTIFS(T_TTAFStock_Log[Part Name],$A39,T_TTAFStock_Log[WeekIndex],82)=0,"",SUMIFS(T_TTAFStock_Log[TTAF_Qty],T_TTAFStock_Log[Part Name],$A39,T_TTAFStock_Log[WeekIndex],82))</f>
        <v/>
      </c>
      <c r="CF39" s="18">
        <f>IF(COUNTIFS(T_TTAFStock_Log[Part Name],$A39,T_TTAFStock_Log[WeekIndex],83)=0,"",SUMIFS(T_TTAFStock_Log[TTAF_Qty],T_TTAFStock_Log[Part Name],$A39,T_TTAFStock_Log[WeekIndex],83))</f>
        <v/>
      </c>
      <c r="CG39" s="18">
        <f>IF(COUNTIFS(T_TTAFStock_Log[Part Name],$A39,T_TTAFStock_Log[WeekIndex],84)=0,"",SUMIFS(T_TTAFStock_Log[TTAF_Qty],T_TTAFStock_Log[Part Name],$A39,T_TTAFStock_Log[WeekIndex],84))</f>
        <v/>
      </c>
      <c r="CH39" s="18">
        <f>IF(COUNTIFS(T_TTAFStock_Log[Part Name],$A39,T_TTAFStock_Log[WeekIndex],85)=0,"",SUMIFS(T_TTAFStock_Log[TTAF_Qty],T_TTAFStock_Log[Part Name],$A39,T_TTAFStock_Log[WeekIndex],85))</f>
        <v/>
      </c>
      <c r="CI39" s="18">
        <f>IF(COUNTIFS(T_TTAFStock_Log[Part Name],$A39,T_TTAFStock_Log[WeekIndex],86)=0,"",SUMIFS(T_TTAFStock_Log[TTAF_Qty],T_TTAFStock_Log[Part Name],$A39,T_TTAFStock_Log[WeekIndex],86))</f>
        <v/>
      </c>
      <c r="CJ39" s="18">
        <f>IF(COUNTIFS(T_TTAFStock_Log[Part Name],$A39,T_TTAFStock_Log[WeekIndex],87)=0,"",SUMIFS(T_TTAFStock_Log[TTAF_Qty],T_TTAFStock_Log[Part Name],$A39,T_TTAFStock_Log[WeekIndex],87))</f>
        <v/>
      </c>
      <c r="CK39" s="18">
        <f>IF(COUNTIFS(T_TTAFStock_Log[Part Name],$A39,T_TTAFStock_Log[WeekIndex],88)=0,"",SUMIFS(T_TTAFStock_Log[TTAF_Qty],T_TTAFStock_Log[Part Name],$A39,T_TTAFStock_Log[WeekIndex],88))</f>
        <v/>
      </c>
      <c r="CL39" s="18">
        <f>IF(COUNTIFS(T_TTAFStock_Log[Part Name],$A39,T_TTAFStock_Log[WeekIndex],89)=0,"",SUMIFS(T_TTAFStock_Log[TTAF_Qty],T_TTAFStock_Log[Part Name],$A39,T_TTAFStock_Log[WeekIndex],89))</f>
        <v/>
      </c>
      <c r="CM39" s="18">
        <f>IF(COUNTIFS(T_TTAFStock_Log[Part Name],$A39,T_TTAFStock_Log[WeekIndex],90)=0,"",SUMIFS(T_TTAFStock_Log[TTAF_Qty],T_TTAFStock_Log[Part Name],$A39,T_TTAFStock_Log[WeekIndex],90))</f>
        <v/>
      </c>
      <c r="CN39" s="18">
        <f>IF(COUNTIFS(T_TTAFStock_Log[Part Name],$A39,T_TTAFStock_Log[WeekIndex],91)=0,"",SUMIFS(T_TTAFStock_Log[TTAF_Qty],T_TTAFStock_Log[Part Name],$A39,T_TTAFStock_Log[WeekIndex],91))</f>
        <v/>
      </c>
      <c r="CO39" s="18">
        <f>IF(COUNTIFS(T_TTAFStock_Log[Part Name],$A39,T_TTAFStock_Log[WeekIndex],92)=0,"",SUMIFS(T_TTAFStock_Log[TTAF_Qty],T_TTAFStock_Log[Part Name],$A39,T_TTAFStock_Log[WeekIndex],92))</f>
        <v/>
      </c>
      <c r="CP39" s="18">
        <f>IF(COUNTIFS(T_TTAFStock_Log[Part Name],$A39,T_TTAFStock_Log[WeekIndex],93)=0,"",SUMIFS(T_TTAFStock_Log[TTAF_Qty],T_TTAFStock_Log[Part Name],$A39,T_TTAFStock_Log[WeekIndex],93))</f>
        <v/>
      </c>
      <c r="CQ39" s="18">
        <f>IF(COUNTIFS(T_TTAFStock_Log[Part Name],$A39,T_TTAFStock_Log[WeekIndex],94)=0,"",SUMIFS(T_TTAFStock_Log[TTAF_Qty],T_TTAFStock_Log[Part Name],$A39,T_TTAFStock_Log[WeekIndex],94))</f>
        <v/>
      </c>
      <c r="CR39" s="18">
        <f>IF(COUNTIFS(T_TTAFStock_Log[Part Name],$A39,T_TTAFStock_Log[WeekIndex],95)=0,"",SUMIFS(T_TTAFStock_Log[TTAF_Qty],T_TTAFStock_Log[Part Name],$A39,T_TTAFStock_Log[WeekIndex],95))</f>
        <v/>
      </c>
      <c r="CS39" s="18">
        <f>IF(COUNTIFS(T_TTAFStock_Log[Part Name],$A39,T_TTAFStock_Log[WeekIndex],96)=0,"",SUMIFS(T_TTAFStock_Log[TTAF_Qty],T_TTAFStock_Log[Part Name],$A39,T_TTAFStock_Log[WeekIndex],96))</f>
        <v/>
      </c>
      <c r="CT39" s="18">
        <f>IF(COUNTIFS(T_TTAFStock_Log[Part Name],$A39,T_TTAFStock_Log[WeekIndex],97)=0,"",SUMIFS(T_TTAFStock_Log[TTAF_Qty],T_TTAFStock_Log[Part Name],$A39,T_TTAFStock_Log[WeekIndex],97))</f>
        <v/>
      </c>
      <c r="CU39" s="18">
        <f>IF(COUNTIFS(T_TTAFStock_Log[Part Name],$A39,T_TTAFStock_Log[WeekIndex],98)=0,"",SUMIFS(T_TTAFStock_Log[TTAF_Qty],T_TTAFStock_Log[Part Name],$A39,T_TTAFStock_Log[WeekIndex],98))</f>
        <v/>
      </c>
      <c r="CV39" s="18">
        <f>IF(COUNTIFS(T_TTAFStock_Log[Part Name],$A39,T_TTAFStock_Log[WeekIndex],99)=0,"",SUMIFS(T_TTAFStock_Log[TTAF_Qty],T_TTAFStock_Log[Part Name],$A39,T_TTAFStock_Log[WeekIndex],99))</f>
        <v/>
      </c>
      <c r="CW39" s="18">
        <f>IF(COUNTIFS(T_TTAFStock_Log[Part Name],$A39,T_TTAFStock_Log[WeekIndex],100)=0,"",SUMIFS(T_TTAFStock_Log[TTAF_Qty],T_TTAFStock_Log[Part Name],$A39,T_TTAFStock_Log[WeekIndex],100))</f>
        <v/>
      </c>
      <c r="CX39" s="18">
        <f>IF(COUNTIFS(T_TTAFStock_Log[Part Name],$A39,T_TTAFStock_Log[WeekIndex],101)=0,"",SUMIFS(T_TTAFStock_Log[TTAF_Qty],T_TTAFStock_Log[Part Name],$A39,T_TTAFStock_Log[WeekIndex],101))</f>
        <v/>
      </c>
      <c r="CY39" s="18">
        <f>IF(COUNTIFS(T_TTAFStock_Log[Part Name],$A39,T_TTAFStock_Log[WeekIndex],102)=0,"",SUMIFS(T_TTAFStock_Log[TTAF_Qty],T_TTAFStock_Log[Part Name],$A39,T_TTAFStock_Log[WeekIndex],102))</f>
        <v/>
      </c>
      <c r="CZ39" s="18">
        <f>IF(COUNTIFS(T_TTAFStock_Log[Part Name],$A39,T_TTAFStock_Log[WeekIndex],103)=0,"",SUMIFS(T_TTAFStock_Log[TTAF_Qty],T_TTAFStock_Log[Part Name],$A39,T_TTAFStock_Log[WeekIndex],103))</f>
        <v/>
      </c>
      <c r="DA39" s="18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CHEM-1770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8" t="inlineStr">
        <is>
          <t>CHEM-1020</t>
        </is>
      </c>
      <c r="B41" s="18">
        <f>IF(COUNTIFS(T_TTAFStock_Log[Part Name],$A41,T_TTAFStock_Log[WeekIndex],1)=0,"",SUMIFS(T_TTAFStock_Log[TTAF_Qty],T_TTAFStock_Log[Part Name],$A41,T_TTAFStock_Log[WeekIndex],1))</f>
        <v/>
      </c>
      <c r="C41" s="18">
        <f>IF(COUNTIFS(T_TTAFStock_Log[Part Name],$A41,T_TTAFStock_Log[WeekIndex],2)=0,"",SUMIFS(T_TTAFStock_Log[TTAF_Qty],T_TTAFStock_Log[Part Name],$A41,T_TTAFStock_Log[WeekIndex],2))</f>
        <v/>
      </c>
      <c r="D41" s="18">
        <f>IF(COUNTIFS(T_TTAFStock_Log[Part Name],$A41,T_TTAFStock_Log[WeekIndex],3)=0,"",SUMIFS(T_TTAFStock_Log[TTAF_Qty],T_TTAFStock_Log[Part Name],$A41,T_TTAFStock_Log[WeekIndex],3))</f>
        <v/>
      </c>
      <c r="E41" s="18">
        <f>IF(COUNTIFS(T_TTAFStock_Log[Part Name],$A41,T_TTAFStock_Log[WeekIndex],4)=0,"",SUMIFS(T_TTAFStock_Log[TTAF_Qty],T_TTAFStock_Log[Part Name],$A41,T_TTAFStock_Log[WeekIndex],4))</f>
        <v/>
      </c>
      <c r="F41" s="18">
        <f>IF(COUNTIFS(T_TTAFStock_Log[Part Name],$A41,T_TTAFStock_Log[WeekIndex],5)=0,"",SUMIFS(T_TTAFStock_Log[TTAF_Qty],T_TTAFStock_Log[Part Name],$A41,T_TTAFStock_Log[WeekIndex],5))</f>
        <v/>
      </c>
      <c r="G41" s="18">
        <f>IF(COUNTIFS(T_TTAFStock_Log[Part Name],$A41,T_TTAFStock_Log[WeekIndex],6)=0,"",SUMIFS(T_TTAFStock_Log[TTAF_Qty],T_TTAFStock_Log[Part Name],$A41,T_TTAFStock_Log[WeekIndex],6))</f>
        <v/>
      </c>
      <c r="H41" s="18">
        <f>IF(COUNTIFS(T_TTAFStock_Log[Part Name],$A41,T_TTAFStock_Log[WeekIndex],7)=0,"",SUMIFS(T_TTAFStock_Log[TTAF_Qty],T_TTAFStock_Log[Part Name],$A41,T_TTAFStock_Log[WeekIndex],7))</f>
        <v/>
      </c>
      <c r="I41" s="18">
        <f>IF(COUNTIFS(T_TTAFStock_Log[Part Name],$A41,T_TTAFStock_Log[WeekIndex],8)=0,"",SUMIFS(T_TTAFStock_Log[TTAF_Qty],T_TTAFStock_Log[Part Name],$A41,T_TTAFStock_Log[WeekIndex],8))</f>
        <v/>
      </c>
      <c r="J41" s="18">
        <f>IF(COUNTIFS(T_TTAFStock_Log[Part Name],$A41,T_TTAFStock_Log[WeekIndex],9)=0,"",SUMIFS(T_TTAFStock_Log[TTAF_Qty],T_TTAFStock_Log[Part Name],$A41,T_TTAFStock_Log[WeekIndex],9))</f>
        <v/>
      </c>
      <c r="K41" s="18">
        <f>IF(COUNTIFS(T_TTAFStock_Log[Part Name],$A41,T_TTAFStock_Log[WeekIndex],10)=0,"",SUMIFS(T_TTAFStock_Log[TTAF_Qty],T_TTAFStock_Log[Part Name],$A41,T_TTAFStock_Log[WeekIndex],10))</f>
        <v/>
      </c>
      <c r="L41" s="18">
        <f>IF(COUNTIFS(T_TTAFStock_Log[Part Name],$A41,T_TTAFStock_Log[WeekIndex],11)=0,"",SUMIFS(T_TTAFStock_Log[TTAF_Qty],T_TTAFStock_Log[Part Name],$A41,T_TTAFStock_Log[WeekIndex],11))</f>
        <v/>
      </c>
      <c r="M41" s="18">
        <f>IF(COUNTIFS(T_TTAFStock_Log[Part Name],$A41,T_TTAFStock_Log[WeekIndex],12)=0,"",SUMIFS(T_TTAFStock_Log[TTAF_Qty],T_TTAFStock_Log[Part Name],$A41,T_TTAFStock_Log[WeekIndex],12))</f>
        <v/>
      </c>
      <c r="N41" s="18">
        <f>IF(COUNTIFS(T_TTAFStock_Log[Part Name],$A41,T_TTAFStock_Log[WeekIndex],13)=0,"",SUMIFS(T_TTAFStock_Log[TTAF_Qty],T_TTAFStock_Log[Part Name],$A41,T_TTAFStock_Log[WeekIndex],13))</f>
        <v/>
      </c>
      <c r="O41" s="18">
        <f>IF(COUNTIFS(T_TTAFStock_Log[Part Name],$A41,T_TTAFStock_Log[WeekIndex],14)=0,"",SUMIFS(T_TTAFStock_Log[TTAF_Qty],T_TTAFStock_Log[Part Name],$A41,T_TTAFStock_Log[WeekIndex],14))</f>
        <v/>
      </c>
      <c r="P41" s="18">
        <f>IF(COUNTIFS(T_TTAFStock_Log[Part Name],$A41,T_TTAFStock_Log[WeekIndex],15)=0,"",SUMIFS(T_TTAFStock_Log[TTAF_Qty],T_TTAFStock_Log[Part Name],$A41,T_TTAFStock_Log[WeekIndex],15))</f>
        <v/>
      </c>
      <c r="Q41" s="18">
        <f>IF(COUNTIFS(T_TTAFStock_Log[Part Name],$A41,T_TTAFStock_Log[WeekIndex],16)=0,"",SUMIFS(T_TTAFStock_Log[TTAF_Qty],T_TTAFStock_Log[Part Name],$A41,T_TTAFStock_Log[WeekIndex],16))</f>
        <v/>
      </c>
      <c r="R41" s="18">
        <f>IF(COUNTIFS(T_TTAFStock_Log[Part Name],$A41,T_TTAFStock_Log[WeekIndex],17)=0,"",SUMIFS(T_TTAFStock_Log[TTAF_Qty],T_TTAFStock_Log[Part Name],$A41,T_TTAFStock_Log[WeekIndex],17))</f>
        <v/>
      </c>
      <c r="S41" s="18">
        <f>IF(COUNTIFS(T_TTAFStock_Log[Part Name],$A41,T_TTAFStock_Log[WeekIndex],18)=0,"",SUMIFS(T_TTAFStock_Log[TTAF_Qty],T_TTAFStock_Log[Part Name],$A41,T_TTAFStock_Log[WeekIndex],18))</f>
        <v/>
      </c>
      <c r="T41" s="18">
        <f>IF(COUNTIFS(T_TTAFStock_Log[Part Name],$A41,T_TTAFStock_Log[WeekIndex],19)=0,"",SUMIFS(T_TTAFStock_Log[TTAF_Qty],T_TTAFStock_Log[Part Name],$A41,T_TTAFStock_Log[WeekIndex],19))</f>
        <v/>
      </c>
      <c r="U41" s="18">
        <f>IF(COUNTIFS(T_TTAFStock_Log[Part Name],$A41,T_TTAFStock_Log[WeekIndex],20)=0,"",SUMIFS(T_TTAFStock_Log[TTAF_Qty],T_TTAFStock_Log[Part Name],$A41,T_TTAFStock_Log[WeekIndex],20))</f>
        <v/>
      </c>
      <c r="V41" s="18">
        <f>IF(COUNTIFS(T_TTAFStock_Log[Part Name],$A41,T_TTAFStock_Log[WeekIndex],21)=0,"",SUMIFS(T_TTAFStock_Log[TTAF_Qty],T_TTAFStock_Log[Part Name],$A41,T_TTAFStock_Log[WeekIndex],21))</f>
        <v/>
      </c>
      <c r="W41" s="18">
        <f>IF(COUNTIFS(T_TTAFStock_Log[Part Name],$A41,T_TTAFStock_Log[WeekIndex],22)=0,"",SUMIFS(T_TTAFStock_Log[TTAF_Qty],T_TTAFStock_Log[Part Name],$A41,T_TTAFStock_Log[WeekIndex],22))</f>
        <v/>
      </c>
      <c r="X41" s="18">
        <f>IF(COUNTIFS(T_TTAFStock_Log[Part Name],$A41,T_TTAFStock_Log[WeekIndex],23)=0,"",SUMIFS(T_TTAFStock_Log[TTAF_Qty],T_TTAFStock_Log[Part Name],$A41,T_TTAFStock_Log[WeekIndex],23))</f>
        <v/>
      </c>
      <c r="Y41" s="18">
        <f>IF(COUNTIFS(T_TTAFStock_Log[Part Name],$A41,T_TTAFStock_Log[WeekIndex],24)=0,"",SUMIFS(T_TTAFStock_Log[TTAF_Qty],T_TTAFStock_Log[Part Name],$A41,T_TTAFStock_Log[WeekIndex],24))</f>
        <v/>
      </c>
      <c r="Z41" s="18">
        <f>IF(COUNTIFS(T_TTAFStock_Log[Part Name],$A41,T_TTAFStock_Log[WeekIndex],25)=0,"",SUMIFS(T_TTAFStock_Log[TTAF_Qty],T_TTAFStock_Log[Part Name],$A41,T_TTAFStock_Log[WeekIndex],25))</f>
        <v/>
      </c>
      <c r="AA41" s="18">
        <f>IF(COUNTIFS(T_TTAFStock_Log[Part Name],$A41,T_TTAFStock_Log[WeekIndex],26)=0,"",SUMIFS(T_TTAFStock_Log[TTAF_Qty],T_TTAFStock_Log[Part Name],$A41,T_TTAFStock_Log[WeekIndex],26))</f>
        <v/>
      </c>
      <c r="AB41" s="18">
        <f>IF(COUNTIFS(T_TTAFStock_Log[Part Name],$A41,T_TTAFStock_Log[WeekIndex],27)=0,"",SUMIFS(T_TTAFStock_Log[TTAF_Qty],T_TTAFStock_Log[Part Name],$A41,T_TTAFStock_Log[WeekIndex],27))</f>
        <v/>
      </c>
      <c r="AC41" s="18">
        <f>IF(COUNTIFS(T_TTAFStock_Log[Part Name],$A41,T_TTAFStock_Log[WeekIndex],28)=0,"",SUMIFS(T_TTAFStock_Log[TTAF_Qty],T_TTAFStock_Log[Part Name],$A41,T_TTAFStock_Log[WeekIndex],28))</f>
        <v/>
      </c>
      <c r="AD41" s="18">
        <f>IF(COUNTIFS(T_TTAFStock_Log[Part Name],$A41,T_TTAFStock_Log[WeekIndex],29)=0,"",SUMIFS(T_TTAFStock_Log[TTAF_Qty],T_TTAFStock_Log[Part Name],$A41,T_TTAFStock_Log[WeekIndex],29))</f>
        <v/>
      </c>
      <c r="AE41" s="18">
        <f>IF(COUNTIFS(T_TTAFStock_Log[Part Name],$A41,T_TTAFStock_Log[WeekIndex],30)=0,"",SUMIFS(T_TTAFStock_Log[TTAF_Qty],T_TTAFStock_Log[Part Name],$A41,T_TTAFStock_Log[WeekIndex],30))</f>
        <v/>
      </c>
      <c r="AF41" s="18">
        <f>IF(COUNTIFS(T_TTAFStock_Log[Part Name],$A41,T_TTAFStock_Log[WeekIndex],31)=0,"",SUMIFS(T_TTAFStock_Log[TTAF_Qty],T_TTAFStock_Log[Part Name],$A41,T_TTAFStock_Log[WeekIndex],31))</f>
        <v/>
      </c>
      <c r="AG41" s="18">
        <f>IF(COUNTIFS(T_TTAFStock_Log[Part Name],$A41,T_TTAFStock_Log[WeekIndex],32)=0,"",SUMIFS(T_TTAFStock_Log[TTAF_Qty],T_TTAFStock_Log[Part Name],$A41,T_TTAFStock_Log[WeekIndex],32))</f>
        <v/>
      </c>
      <c r="AH41" s="18">
        <f>IF(COUNTIFS(T_TTAFStock_Log[Part Name],$A41,T_TTAFStock_Log[WeekIndex],33)=0,"",SUMIFS(T_TTAFStock_Log[TTAF_Qty],T_TTAFStock_Log[Part Name],$A41,T_TTAFStock_Log[WeekIndex],33))</f>
        <v/>
      </c>
      <c r="AI41" s="18">
        <f>IF(COUNTIFS(T_TTAFStock_Log[Part Name],$A41,T_TTAFStock_Log[WeekIndex],34)=0,"",SUMIFS(T_TTAFStock_Log[TTAF_Qty],T_TTAFStock_Log[Part Name],$A41,T_TTAFStock_Log[WeekIndex],34))</f>
        <v/>
      </c>
      <c r="AJ41" s="18">
        <f>IF(COUNTIFS(T_TTAFStock_Log[Part Name],$A41,T_TTAFStock_Log[WeekIndex],35)=0,"",SUMIFS(T_TTAFStock_Log[TTAF_Qty],T_TTAFStock_Log[Part Name],$A41,T_TTAFStock_Log[WeekIndex],35))</f>
        <v/>
      </c>
      <c r="AK41" s="18">
        <f>IF(COUNTIFS(T_TTAFStock_Log[Part Name],$A41,T_TTAFStock_Log[WeekIndex],36)=0,"",SUMIFS(T_TTAFStock_Log[TTAF_Qty],T_TTAFStock_Log[Part Name],$A41,T_TTAFStock_Log[WeekIndex],36))</f>
        <v/>
      </c>
      <c r="AL41" s="18">
        <f>IF(COUNTIFS(T_TTAFStock_Log[Part Name],$A41,T_TTAFStock_Log[WeekIndex],37)=0,"",SUMIFS(T_TTAFStock_Log[TTAF_Qty],T_TTAFStock_Log[Part Name],$A41,T_TTAFStock_Log[WeekIndex],37))</f>
        <v/>
      </c>
      <c r="AM41" s="18">
        <f>IF(COUNTIFS(T_TTAFStock_Log[Part Name],$A41,T_TTAFStock_Log[WeekIndex],38)=0,"",SUMIFS(T_TTAFStock_Log[TTAF_Qty],T_TTAFStock_Log[Part Name],$A41,T_TTAFStock_Log[WeekIndex],38))</f>
        <v/>
      </c>
      <c r="AN41" s="18">
        <f>IF(COUNTIFS(T_TTAFStock_Log[Part Name],$A41,T_TTAFStock_Log[WeekIndex],39)=0,"",SUMIFS(T_TTAFStock_Log[TTAF_Qty],T_TTAFStock_Log[Part Name],$A41,T_TTAFStock_Log[WeekIndex],39))</f>
        <v/>
      </c>
      <c r="AO41" s="18">
        <f>IF(COUNTIFS(T_TTAFStock_Log[Part Name],$A41,T_TTAFStock_Log[WeekIndex],40)=0,"",SUMIFS(T_TTAFStock_Log[TTAF_Qty],T_TTAFStock_Log[Part Name],$A41,T_TTAFStock_Log[WeekIndex],40))</f>
        <v/>
      </c>
      <c r="AP41" s="18">
        <f>IF(COUNTIFS(T_TTAFStock_Log[Part Name],$A41,T_TTAFStock_Log[WeekIndex],41)=0,"",SUMIFS(T_TTAFStock_Log[TTAF_Qty],T_TTAFStock_Log[Part Name],$A41,T_TTAFStock_Log[WeekIndex],41))</f>
        <v/>
      </c>
      <c r="AQ41" s="18">
        <f>IF(COUNTIFS(T_TTAFStock_Log[Part Name],$A41,T_TTAFStock_Log[WeekIndex],42)=0,"",SUMIFS(T_TTAFStock_Log[TTAF_Qty],T_TTAFStock_Log[Part Name],$A41,T_TTAFStock_Log[WeekIndex],42))</f>
        <v/>
      </c>
      <c r="AR41" s="18">
        <f>IF(COUNTIFS(T_TTAFStock_Log[Part Name],$A41,T_TTAFStock_Log[WeekIndex],43)=0,"",SUMIFS(T_TTAFStock_Log[TTAF_Qty],T_TTAFStock_Log[Part Name],$A41,T_TTAFStock_Log[WeekIndex],43))</f>
        <v/>
      </c>
      <c r="AS41" s="18">
        <f>IF(COUNTIFS(T_TTAFStock_Log[Part Name],$A41,T_TTAFStock_Log[WeekIndex],44)=0,"",SUMIFS(T_TTAFStock_Log[TTAF_Qty],T_TTAFStock_Log[Part Name],$A41,T_TTAFStock_Log[WeekIndex],44))</f>
        <v/>
      </c>
      <c r="AT41" s="18">
        <f>IF(COUNTIFS(T_TTAFStock_Log[Part Name],$A41,T_TTAFStock_Log[WeekIndex],45)=0,"",SUMIFS(T_TTAFStock_Log[TTAF_Qty],T_TTAFStock_Log[Part Name],$A41,T_TTAFStock_Log[WeekIndex],45))</f>
        <v/>
      </c>
      <c r="AU41" s="18">
        <f>IF(COUNTIFS(T_TTAFStock_Log[Part Name],$A41,T_TTAFStock_Log[WeekIndex],46)=0,"",SUMIFS(T_TTAFStock_Log[TTAF_Qty],T_TTAFStock_Log[Part Name],$A41,T_TTAFStock_Log[WeekIndex],46))</f>
        <v/>
      </c>
      <c r="AV41" s="18">
        <f>IF(COUNTIFS(T_TTAFStock_Log[Part Name],$A41,T_TTAFStock_Log[WeekIndex],47)=0,"",SUMIFS(T_TTAFStock_Log[TTAF_Qty],T_TTAFStock_Log[Part Name],$A41,T_TTAFStock_Log[WeekIndex],47))</f>
        <v/>
      </c>
      <c r="AW41" s="18">
        <f>IF(COUNTIFS(T_TTAFStock_Log[Part Name],$A41,T_TTAFStock_Log[WeekIndex],48)=0,"",SUMIFS(T_TTAFStock_Log[TTAF_Qty],T_TTAFStock_Log[Part Name],$A41,T_TTAFStock_Log[WeekIndex],48))</f>
        <v/>
      </c>
      <c r="AX41" s="18">
        <f>IF(COUNTIFS(T_TTAFStock_Log[Part Name],$A41,T_TTAFStock_Log[WeekIndex],49)=0,"",SUMIFS(T_TTAFStock_Log[TTAF_Qty],T_TTAFStock_Log[Part Name],$A41,T_TTAFStock_Log[WeekIndex],49))</f>
        <v/>
      </c>
      <c r="AY41" s="18">
        <f>IF(COUNTIFS(T_TTAFStock_Log[Part Name],$A41,T_TTAFStock_Log[WeekIndex],50)=0,"",SUMIFS(T_TTAFStock_Log[TTAF_Qty],T_TTAFStock_Log[Part Name],$A41,T_TTAFStock_Log[WeekIndex],50))</f>
        <v/>
      </c>
      <c r="AZ41" s="18">
        <f>IF(COUNTIFS(T_TTAFStock_Log[Part Name],$A41,T_TTAFStock_Log[WeekIndex],51)=0,"",SUMIFS(T_TTAFStock_Log[TTAF_Qty],T_TTAFStock_Log[Part Name],$A41,T_TTAFStock_Log[WeekIndex],51))</f>
        <v/>
      </c>
      <c r="BA41" s="18">
        <f>IF(COUNTIFS(T_TTAFStock_Log[Part Name],$A41,T_TTAFStock_Log[WeekIndex],52)=0,"",SUMIFS(T_TTAFStock_Log[TTAF_Qty],T_TTAFStock_Log[Part Name],$A41,T_TTAFStock_Log[WeekIndex],52))</f>
        <v/>
      </c>
      <c r="BB41" s="18">
        <f>IF(COUNTIFS(T_TTAFStock_Log[Part Name],$A41,T_TTAFStock_Log[WeekIndex],53)=0,"",SUMIFS(T_TTAFStock_Log[TTAF_Qty],T_TTAFStock_Log[Part Name],$A41,T_TTAFStock_Log[WeekIndex],53))</f>
        <v/>
      </c>
      <c r="BC41" s="18">
        <f>IF(COUNTIFS(T_TTAFStock_Log[Part Name],$A41,T_TTAFStock_Log[WeekIndex],54)=0,"",SUMIFS(T_TTAFStock_Log[TTAF_Qty],T_TTAFStock_Log[Part Name],$A41,T_TTAFStock_Log[WeekIndex],54))</f>
        <v/>
      </c>
      <c r="BD41" s="18">
        <f>IF(COUNTIFS(T_TTAFStock_Log[Part Name],$A41,T_TTAFStock_Log[WeekIndex],55)=0,"",SUMIFS(T_TTAFStock_Log[TTAF_Qty],T_TTAFStock_Log[Part Name],$A41,T_TTAFStock_Log[WeekIndex],55))</f>
        <v/>
      </c>
      <c r="BE41" s="18">
        <f>IF(COUNTIFS(T_TTAFStock_Log[Part Name],$A41,T_TTAFStock_Log[WeekIndex],56)=0,"",SUMIFS(T_TTAFStock_Log[TTAF_Qty],T_TTAFStock_Log[Part Name],$A41,T_TTAFStock_Log[WeekIndex],56))</f>
        <v/>
      </c>
      <c r="BF41" s="18">
        <f>IF(COUNTIFS(T_TTAFStock_Log[Part Name],$A41,T_TTAFStock_Log[WeekIndex],57)=0,"",SUMIFS(T_TTAFStock_Log[TTAF_Qty],T_TTAFStock_Log[Part Name],$A41,T_TTAFStock_Log[WeekIndex],57))</f>
        <v/>
      </c>
      <c r="BG41" s="18">
        <f>IF(COUNTIFS(T_TTAFStock_Log[Part Name],$A41,T_TTAFStock_Log[WeekIndex],58)=0,"",SUMIFS(T_TTAFStock_Log[TTAF_Qty],T_TTAFStock_Log[Part Name],$A41,T_TTAFStock_Log[WeekIndex],58))</f>
        <v/>
      </c>
      <c r="BH41" s="18">
        <f>IF(COUNTIFS(T_TTAFStock_Log[Part Name],$A41,T_TTAFStock_Log[WeekIndex],59)=0,"",SUMIFS(T_TTAFStock_Log[TTAF_Qty],T_TTAFStock_Log[Part Name],$A41,T_TTAFStock_Log[WeekIndex],59))</f>
        <v/>
      </c>
      <c r="BI41" s="18">
        <f>IF(COUNTIFS(T_TTAFStock_Log[Part Name],$A41,T_TTAFStock_Log[WeekIndex],60)=0,"",SUMIFS(T_TTAFStock_Log[TTAF_Qty],T_TTAFStock_Log[Part Name],$A41,T_TTAFStock_Log[WeekIndex],60))</f>
        <v/>
      </c>
      <c r="BJ41" s="18">
        <f>IF(COUNTIFS(T_TTAFStock_Log[Part Name],$A41,T_TTAFStock_Log[WeekIndex],61)=0,"",SUMIFS(T_TTAFStock_Log[TTAF_Qty],T_TTAFStock_Log[Part Name],$A41,T_TTAFStock_Log[WeekIndex],61))</f>
        <v/>
      </c>
      <c r="BK41" s="18">
        <f>IF(COUNTIFS(T_TTAFStock_Log[Part Name],$A41,T_TTAFStock_Log[WeekIndex],62)=0,"",SUMIFS(T_TTAFStock_Log[TTAF_Qty],T_TTAFStock_Log[Part Name],$A41,T_TTAFStock_Log[WeekIndex],62))</f>
        <v/>
      </c>
      <c r="BL41" s="18">
        <f>IF(COUNTIFS(T_TTAFStock_Log[Part Name],$A41,T_TTAFStock_Log[WeekIndex],63)=0,"",SUMIFS(T_TTAFStock_Log[TTAF_Qty],T_TTAFStock_Log[Part Name],$A41,T_TTAFStock_Log[WeekIndex],63))</f>
        <v/>
      </c>
      <c r="BM41" s="18">
        <f>IF(COUNTIFS(T_TTAFStock_Log[Part Name],$A41,T_TTAFStock_Log[WeekIndex],64)=0,"",SUMIFS(T_TTAFStock_Log[TTAF_Qty],T_TTAFStock_Log[Part Name],$A41,T_TTAFStock_Log[WeekIndex],64))</f>
        <v/>
      </c>
      <c r="BN41" s="18">
        <f>IF(COUNTIFS(T_TTAFStock_Log[Part Name],$A41,T_TTAFStock_Log[WeekIndex],65)=0,"",SUMIFS(T_TTAFStock_Log[TTAF_Qty],T_TTAFStock_Log[Part Name],$A41,T_TTAFStock_Log[WeekIndex],65))</f>
        <v/>
      </c>
      <c r="BO41" s="18">
        <f>IF(COUNTIFS(T_TTAFStock_Log[Part Name],$A41,T_TTAFStock_Log[WeekIndex],66)=0,"",SUMIFS(T_TTAFStock_Log[TTAF_Qty],T_TTAFStock_Log[Part Name],$A41,T_TTAFStock_Log[WeekIndex],66))</f>
        <v/>
      </c>
      <c r="BP41" s="18">
        <f>IF(COUNTIFS(T_TTAFStock_Log[Part Name],$A41,T_TTAFStock_Log[WeekIndex],67)=0,"",SUMIFS(T_TTAFStock_Log[TTAF_Qty],T_TTAFStock_Log[Part Name],$A41,T_TTAFStock_Log[WeekIndex],67))</f>
        <v/>
      </c>
      <c r="BQ41" s="18">
        <f>IF(COUNTIFS(T_TTAFStock_Log[Part Name],$A41,T_TTAFStock_Log[WeekIndex],68)=0,"",SUMIFS(T_TTAFStock_Log[TTAF_Qty],T_TTAFStock_Log[Part Name],$A41,T_TTAFStock_Log[WeekIndex],68))</f>
        <v/>
      </c>
      <c r="BR41" s="18">
        <f>IF(COUNTIFS(T_TTAFStock_Log[Part Name],$A41,T_TTAFStock_Log[WeekIndex],69)=0,"",SUMIFS(T_TTAFStock_Log[TTAF_Qty],T_TTAFStock_Log[Part Name],$A41,T_TTAFStock_Log[WeekIndex],69))</f>
        <v/>
      </c>
      <c r="BS41" s="18">
        <f>IF(COUNTIFS(T_TTAFStock_Log[Part Name],$A41,T_TTAFStock_Log[WeekIndex],70)=0,"",SUMIFS(T_TTAFStock_Log[TTAF_Qty],T_TTAFStock_Log[Part Name],$A41,T_TTAFStock_Log[WeekIndex],70))</f>
        <v/>
      </c>
      <c r="BT41" s="18">
        <f>IF(COUNTIFS(T_TTAFStock_Log[Part Name],$A41,T_TTAFStock_Log[WeekIndex],71)=0,"",SUMIFS(T_TTAFStock_Log[TTAF_Qty],T_TTAFStock_Log[Part Name],$A41,T_TTAFStock_Log[WeekIndex],71))</f>
        <v/>
      </c>
      <c r="BU41" s="18">
        <f>IF(COUNTIFS(T_TTAFStock_Log[Part Name],$A41,T_TTAFStock_Log[WeekIndex],72)=0,"",SUMIFS(T_TTAFStock_Log[TTAF_Qty],T_TTAFStock_Log[Part Name],$A41,T_TTAFStock_Log[WeekIndex],72))</f>
        <v/>
      </c>
      <c r="BV41" s="18">
        <f>IF(COUNTIFS(T_TTAFStock_Log[Part Name],$A41,T_TTAFStock_Log[WeekIndex],73)=0,"",SUMIFS(T_TTAFStock_Log[TTAF_Qty],T_TTAFStock_Log[Part Name],$A41,T_TTAFStock_Log[WeekIndex],73))</f>
        <v/>
      </c>
      <c r="BW41" s="18">
        <f>IF(COUNTIFS(T_TTAFStock_Log[Part Name],$A41,T_TTAFStock_Log[WeekIndex],74)=0,"",SUMIFS(T_TTAFStock_Log[TTAF_Qty],T_TTAFStock_Log[Part Name],$A41,T_TTAFStock_Log[WeekIndex],74))</f>
        <v/>
      </c>
      <c r="BX41" s="18">
        <f>IF(COUNTIFS(T_TTAFStock_Log[Part Name],$A41,T_TTAFStock_Log[WeekIndex],75)=0,"",SUMIFS(T_TTAFStock_Log[TTAF_Qty],T_TTAFStock_Log[Part Name],$A41,T_TTAFStock_Log[WeekIndex],75))</f>
        <v/>
      </c>
      <c r="BY41" s="18">
        <f>IF(COUNTIFS(T_TTAFStock_Log[Part Name],$A41,T_TTAFStock_Log[WeekIndex],76)=0,"",SUMIFS(T_TTAFStock_Log[TTAF_Qty],T_TTAFStock_Log[Part Name],$A41,T_TTAFStock_Log[WeekIndex],76))</f>
        <v/>
      </c>
      <c r="BZ41" s="18">
        <f>IF(COUNTIFS(T_TTAFStock_Log[Part Name],$A41,T_TTAFStock_Log[WeekIndex],77)=0,"",SUMIFS(T_TTAFStock_Log[TTAF_Qty],T_TTAFStock_Log[Part Name],$A41,T_TTAFStock_Log[WeekIndex],77))</f>
        <v/>
      </c>
      <c r="CA41" s="18">
        <f>IF(COUNTIFS(T_TTAFStock_Log[Part Name],$A41,T_TTAFStock_Log[WeekIndex],78)=0,"",SUMIFS(T_TTAFStock_Log[TTAF_Qty],T_TTAFStock_Log[Part Name],$A41,T_TTAFStock_Log[WeekIndex],78))</f>
        <v/>
      </c>
      <c r="CB41" s="18">
        <f>IF(COUNTIFS(T_TTAFStock_Log[Part Name],$A41,T_TTAFStock_Log[WeekIndex],79)=0,"",SUMIFS(T_TTAFStock_Log[TTAF_Qty],T_TTAFStock_Log[Part Name],$A41,T_TTAFStock_Log[WeekIndex],79))</f>
        <v/>
      </c>
      <c r="CC41" s="18">
        <f>IF(COUNTIFS(T_TTAFStock_Log[Part Name],$A41,T_TTAFStock_Log[WeekIndex],80)=0,"",SUMIFS(T_TTAFStock_Log[TTAF_Qty],T_TTAFStock_Log[Part Name],$A41,T_TTAFStock_Log[WeekIndex],80))</f>
        <v/>
      </c>
      <c r="CD41" s="18">
        <f>IF(COUNTIFS(T_TTAFStock_Log[Part Name],$A41,T_TTAFStock_Log[WeekIndex],81)=0,"",SUMIFS(T_TTAFStock_Log[TTAF_Qty],T_TTAFStock_Log[Part Name],$A41,T_TTAFStock_Log[WeekIndex],81))</f>
        <v/>
      </c>
      <c r="CE41" s="18">
        <f>IF(COUNTIFS(T_TTAFStock_Log[Part Name],$A41,T_TTAFStock_Log[WeekIndex],82)=0,"",SUMIFS(T_TTAFStock_Log[TTAF_Qty],T_TTAFStock_Log[Part Name],$A41,T_TTAFStock_Log[WeekIndex],82))</f>
        <v/>
      </c>
      <c r="CF41" s="18">
        <f>IF(COUNTIFS(T_TTAFStock_Log[Part Name],$A41,T_TTAFStock_Log[WeekIndex],83)=0,"",SUMIFS(T_TTAFStock_Log[TTAF_Qty],T_TTAFStock_Log[Part Name],$A41,T_TTAFStock_Log[WeekIndex],83))</f>
        <v/>
      </c>
      <c r="CG41" s="18">
        <f>IF(COUNTIFS(T_TTAFStock_Log[Part Name],$A41,T_TTAFStock_Log[WeekIndex],84)=0,"",SUMIFS(T_TTAFStock_Log[TTAF_Qty],T_TTAFStock_Log[Part Name],$A41,T_TTAFStock_Log[WeekIndex],84))</f>
        <v/>
      </c>
      <c r="CH41" s="18">
        <f>IF(COUNTIFS(T_TTAFStock_Log[Part Name],$A41,T_TTAFStock_Log[WeekIndex],85)=0,"",SUMIFS(T_TTAFStock_Log[TTAF_Qty],T_TTAFStock_Log[Part Name],$A41,T_TTAFStock_Log[WeekIndex],85))</f>
        <v/>
      </c>
      <c r="CI41" s="18">
        <f>IF(COUNTIFS(T_TTAFStock_Log[Part Name],$A41,T_TTAFStock_Log[WeekIndex],86)=0,"",SUMIFS(T_TTAFStock_Log[TTAF_Qty],T_TTAFStock_Log[Part Name],$A41,T_TTAFStock_Log[WeekIndex],86))</f>
        <v/>
      </c>
      <c r="CJ41" s="18">
        <f>IF(COUNTIFS(T_TTAFStock_Log[Part Name],$A41,T_TTAFStock_Log[WeekIndex],87)=0,"",SUMIFS(T_TTAFStock_Log[TTAF_Qty],T_TTAFStock_Log[Part Name],$A41,T_TTAFStock_Log[WeekIndex],87))</f>
        <v/>
      </c>
      <c r="CK41" s="18">
        <f>IF(COUNTIFS(T_TTAFStock_Log[Part Name],$A41,T_TTAFStock_Log[WeekIndex],88)=0,"",SUMIFS(T_TTAFStock_Log[TTAF_Qty],T_TTAFStock_Log[Part Name],$A41,T_TTAFStock_Log[WeekIndex],88))</f>
        <v/>
      </c>
      <c r="CL41" s="18">
        <f>IF(COUNTIFS(T_TTAFStock_Log[Part Name],$A41,T_TTAFStock_Log[WeekIndex],89)=0,"",SUMIFS(T_TTAFStock_Log[TTAF_Qty],T_TTAFStock_Log[Part Name],$A41,T_TTAFStock_Log[WeekIndex],89))</f>
        <v/>
      </c>
      <c r="CM41" s="18">
        <f>IF(COUNTIFS(T_TTAFStock_Log[Part Name],$A41,T_TTAFStock_Log[WeekIndex],90)=0,"",SUMIFS(T_TTAFStock_Log[TTAF_Qty],T_TTAFStock_Log[Part Name],$A41,T_TTAFStock_Log[WeekIndex],90))</f>
        <v/>
      </c>
      <c r="CN41" s="18">
        <f>IF(COUNTIFS(T_TTAFStock_Log[Part Name],$A41,T_TTAFStock_Log[WeekIndex],91)=0,"",SUMIFS(T_TTAFStock_Log[TTAF_Qty],T_TTAFStock_Log[Part Name],$A41,T_TTAFStock_Log[WeekIndex],91))</f>
        <v/>
      </c>
      <c r="CO41" s="18">
        <f>IF(COUNTIFS(T_TTAFStock_Log[Part Name],$A41,T_TTAFStock_Log[WeekIndex],92)=0,"",SUMIFS(T_TTAFStock_Log[TTAF_Qty],T_TTAFStock_Log[Part Name],$A41,T_TTAFStock_Log[WeekIndex],92))</f>
        <v/>
      </c>
      <c r="CP41" s="18">
        <f>IF(COUNTIFS(T_TTAFStock_Log[Part Name],$A41,T_TTAFStock_Log[WeekIndex],93)=0,"",SUMIFS(T_TTAFStock_Log[TTAF_Qty],T_TTAFStock_Log[Part Name],$A41,T_TTAFStock_Log[WeekIndex],93))</f>
        <v/>
      </c>
      <c r="CQ41" s="18">
        <f>IF(COUNTIFS(T_TTAFStock_Log[Part Name],$A41,T_TTAFStock_Log[WeekIndex],94)=0,"",SUMIFS(T_TTAFStock_Log[TTAF_Qty],T_TTAFStock_Log[Part Name],$A41,T_TTAFStock_Log[WeekIndex],94))</f>
        <v/>
      </c>
      <c r="CR41" s="18">
        <f>IF(COUNTIFS(T_TTAFStock_Log[Part Name],$A41,T_TTAFStock_Log[WeekIndex],95)=0,"",SUMIFS(T_TTAFStock_Log[TTAF_Qty],T_TTAFStock_Log[Part Name],$A41,T_TTAFStock_Log[WeekIndex],95))</f>
        <v/>
      </c>
      <c r="CS41" s="18">
        <f>IF(COUNTIFS(T_TTAFStock_Log[Part Name],$A41,T_TTAFStock_Log[WeekIndex],96)=0,"",SUMIFS(T_TTAFStock_Log[TTAF_Qty],T_TTAFStock_Log[Part Name],$A41,T_TTAFStock_Log[WeekIndex],96))</f>
        <v/>
      </c>
      <c r="CT41" s="18">
        <f>IF(COUNTIFS(T_TTAFStock_Log[Part Name],$A41,T_TTAFStock_Log[WeekIndex],97)=0,"",SUMIFS(T_TTAFStock_Log[TTAF_Qty],T_TTAFStock_Log[Part Name],$A41,T_TTAFStock_Log[WeekIndex],97))</f>
        <v/>
      </c>
      <c r="CU41" s="18">
        <f>IF(COUNTIFS(T_TTAFStock_Log[Part Name],$A41,T_TTAFStock_Log[WeekIndex],98)=0,"",SUMIFS(T_TTAFStock_Log[TTAF_Qty],T_TTAFStock_Log[Part Name],$A41,T_TTAFStock_Log[WeekIndex],98))</f>
        <v/>
      </c>
      <c r="CV41" s="18">
        <f>IF(COUNTIFS(T_TTAFStock_Log[Part Name],$A41,T_TTAFStock_Log[WeekIndex],99)=0,"",SUMIFS(T_TTAFStock_Log[TTAF_Qty],T_TTAFStock_Log[Part Name],$A41,T_TTAFStock_Log[WeekIndex],99))</f>
        <v/>
      </c>
      <c r="CW41" s="18">
        <f>IF(COUNTIFS(T_TTAFStock_Log[Part Name],$A41,T_TTAFStock_Log[WeekIndex],100)=0,"",SUMIFS(T_TTAFStock_Log[TTAF_Qty],T_TTAFStock_Log[Part Name],$A41,T_TTAFStock_Log[WeekIndex],100))</f>
        <v/>
      </c>
      <c r="CX41" s="18">
        <f>IF(COUNTIFS(T_TTAFStock_Log[Part Name],$A41,T_TTAFStock_Log[WeekIndex],101)=0,"",SUMIFS(T_TTAFStock_Log[TTAF_Qty],T_TTAFStock_Log[Part Name],$A41,T_TTAFStock_Log[WeekIndex],101))</f>
        <v/>
      </c>
      <c r="CY41" s="18">
        <f>IF(COUNTIFS(T_TTAFStock_Log[Part Name],$A41,T_TTAFStock_Log[WeekIndex],102)=0,"",SUMIFS(T_TTAFStock_Log[TTAF_Qty],T_TTAFStock_Log[Part Name],$A41,T_TTAFStock_Log[WeekIndex],102))</f>
        <v/>
      </c>
      <c r="CZ41" s="18">
        <f>IF(COUNTIFS(T_TTAFStock_Log[Part Name],$A41,T_TTAFStock_Log[WeekIndex],103)=0,"",SUMIFS(T_TTAFStock_Log[TTAF_Qty],T_TTAFStock_Log[Part Name],$A41,T_TTAFStock_Log[WeekIndex],103))</f>
        <v/>
      </c>
      <c r="DA41" s="18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Ester Film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8" t="inlineStr">
        <is>
          <t>PP Film</t>
        </is>
      </c>
      <c r="B43" s="18">
        <f>IF(COUNTIFS(T_TTAFStock_Log[Part Name],$A43,T_TTAFStock_Log[WeekIndex],1)=0,"",SUMIFS(T_TTAFStock_Log[TTAF_Qty],T_TTAFStock_Log[Part Name],$A43,T_TTAFStock_Log[WeekIndex],1))</f>
        <v/>
      </c>
      <c r="C43" s="18">
        <f>IF(COUNTIFS(T_TTAFStock_Log[Part Name],$A43,T_TTAFStock_Log[WeekIndex],2)=0,"",SUMIFS(T_TTAFStock_Log[TTAF_Qty],T_TTAFStock_Log[Part Name],$A43,T_TTAFStock_Log[WeekIndex],2))</f>
        <v/>
      </c>
      <c r="D43" s="18">
        <f>IF(COUNTIFS(T_TTAFStock_Log[Part Name],$A43,T_TTAFStock_Log[WeekIndex],3)=0,"",SUMIFS(T_TTAFStock_Log[TTAF_Qty],T_TTAFStock_Log[Part Name],$A43,T_TTAFStock_Log[WeekIndex],3))</f>
        <v/>
      </c>
      <c r="E43" s="18">
        <f>IF(COUNTIFS(T_TTAFStock_Log[Part Name],$A43,T_TTAFStock_Log[WeekIndex],4)=0,"",SUMIFS(T_TTAFStock_Log[TTAF_Qty],T_TTAFStock_Log[Part Name],$A43,T_TTAFStock_Log[WeekIndex],4))</f>
        <v/>
      </c>
      <c r="F43" s="18">
        <f>IF(COUNTIFS(T_TTAFStock_Log[Part Name],$A43,T_TTAFStock_Log[WeekIndex],5)=0,"",SUMIFS(T_TTAFStock_Log[TTAF_Qty],T_TTAFStock_Log[Part Name],$A43,T_TTAFStock_Log[WeekIndex],5))</f>
        <v/>
      </c>
      <c r="G43" s="18">
        <f>IF(COUNTIFS(T_TTAFStock_Log[Part Name],$A43,T_TTAFStock_Log[WeekIndex],6)=0,"",SUMIFS(T_TTAFStock_Log[TTAF_Qty],T_TTAFStock_Log[Part Name],$A43,T_TTAFStock_Log[WeekIndex],6))</f>
        <v/>
      </c>
      <c r="H43" s="18">
        <f>IF(COUNTIFS(T_TTAFStock_Log[Part Name],$A43,T_TTAFStock_Log[WeekIndex],7)=0,"",SUMIFS(T_TTAFStock_Log[TTAF_Qty],T_TTAFStock_Log[Part Name],$A43,T_TTAFStock_Log[WeekIndex],7))</f>
        <v/>
      </c>
      <c r="I43" s="18">
        <f>IF(COUNTIFS(T_TTAFStock_Log[Part Name],$A43,T_TTAFStock_Log[WeekIndex],8)=0,"",SUMIFS(T_TTAFStock_Log[TTAF_Qty],T_TTAFStock_Log[Part Name],$A43,T_TTAFStock_Log[WeekIndex],8))</f>
        <v/>
      </c>
      <c r="J43" s="18">
        <f>IF(COUNTIFS(T_TTAFStock_Log[Part Name],$A43,T_TTAFStock_Log[WeekIndex],9)=0,"",SUMIFS(T_TTAFStock_Log[TTAF_Qty],T_TTAFStock_Log[Part Name],$A43,T_TTAFStock_Log[WeekIndex],9))</f>
        <v/>
      </c>
      <c r="K43" s="18">
        <f>IF(COUNTIFS(T_TTAFStock_Log[Part Name],$A43,T_TTAFStock_Log[WeekIndex],10)=0,"",SUMIFS(T_TTAFStock_Log[TTAF_Qty],T_TTAFStock_Log[Part Name],$A43,T_TTAFStock_Log[WeekIndex],10))</f>
        <v/>
      </c>
      <c r="L43" s="18">
        <f>IF(COUNTIFS(T_TTAFStock_Log[Part Name],$A43,T_TTAFStock_Log[WeekIndex],11)=0,"",SUMIFS(T_TTAFStock_Log[TTAF_Qty],T_TTAFStock_Log[Part Name],$A43,T_TTAFStock_Log[WeekIndex],11))</f>
        <v/>
      </c>
      <c r="M43" s="18">
        <f>IF(COUNTIFS(T_TTAFStock_Log[Part Name],$A43,T_TTAFStock_Log[WeekIndex],12)=0,"",SUMIFS(T_TTAFStock_Log[TTAF_Qty],T_TTAFStock_Log[Part Name],$A43,T_TTAFStock_Log[WeekIndex],12))</f>
        <v/>
      </c>
      <c r="N43" s="18">
        <f>IF(COUNTIFS(T_TTAFStock_Log[Part Name],$A43,T_TTAFStock_Log[WeekIndex],13)=0,"",SUMIFS(T_TTAFStock_Log[TTAF_Qty],T_TTAFStock_Log[Part Name],$A43,T_TTAFStock_Log[WeekIndex],13))</f>
        <v/>
      </c>
      <c r="O43" s="18">
        <f>IF(COUNTIFS(T_TTAFStock_Log[Part Name],$A43,T_TTAFStock_Log[WeekIndex],14)=0,"",SUMIFS(T_TTAFStock_Log[TTAF_Qty],T_TTAFStock_Log[Part Name],$A43,T_TTAFStock_Log[WeekIndex],14))</f>
        <v/>
      </c>
      <c r="P43" s="18">
        <f>IF(COUNTIFS(T_TTAFStock_Log[Part Name],$A43,T_TTAFStock_Log[WeekIndex],15)=0,"",SUMIFS(T_TTAFStock_Log[TTAF_Qty],T_TTAFStock_Log[Part Name],$A43,T_TTAFStock_Log[WeekIndex],15))</f>
        <v/>
      </c>
      <c r="Q43" s="18">
        <f>IF(COUNTIFS(T_TTAFStock_Log[Part Name],$A43,T_TTAFStock_Log[WeekIndex],16)=0,"",SUMIFS(T_TTAFStock_Log[TTAF_Qty],T_TTAFStock_Log[Part Name],$A43,T_TTAFStock_Log[WeekIndex],16))</f>
        <v/>
      </c>
      <c r="R43" s="18">
        <f>IF(COUNTIFS(T_TTAFStock_Log[Part Name],$A43,T_TTAFStock_Log[WeekIndex],17)=0,"",SUMIFS(T_TTAFStock_Log[TTAF_Qty],T_TTAFStock_Log[Part Name],$A43,T_TTAFStock_Log[WeekIndex],17))</f>
        <v/>
      </c>
      <c r="S43" s="18">
        <f>IF(COUNTIFS(T_TTAFStock_Log[Part Name],$A43,T_TTAFStock_Log[WeekIndex],18)=0,"",SUMIFS(T_TTAFStock_Log[TTAF_Qty],T_TTAFStock_Log[Part Name],$A43,T_TTAFStock_Log[WeekIndex],18))</f>
        <v/>
      </c>
      <c r="T43" s="18">
        <f>IF(COUNTIFS(T_TTAFStock_Log[Part Name],$A43,T_TTAFStock_Log[WeekIndex],19)=0,"",SUMIFS(T_TTAFStock_Log[TTAF_Qty],T_TTAFStock_Log[Part Name],$A43,T_TTAFStock_Log[WeekIndex],19))</f>
        <v/>
      </c>
      <c r="U43" s="18">
        <f>IF(COUNTIFS(T_TTAFStock_Log[Part Name],$A43,T_TTAFStock_Log[WeekIndex],20)=0,"",SUMIFS(T_TTAFStock_Log[TTAF_Qty],T_TTAFStock_Log[Part Name],$A43,T_TTAFStock_Log[WeekIndex],20))</f>
        <v/>
      </c>
      <c r="V43" s="18">
        <f>IF(COUNTIFS(T_TTAFStock_Log[Part Name],$A43,T_TTAFStock_Log[WeekIndex],21)=0,"",SUMIFS(T_TTAFStock_Log[TTAF_Qty],T_TTAFStock_Log[Part Name],$A43,T_TTAFStock_Log[WeekIndex],21))</f>
        <v/>
      </c>
      <c r="W43" s="18">
        <f>IF(COUNTIFS(T_TTAFStock_Log[Part Name],$A43,T_TTAFStock_Log[WeekIndex],22)=0,"",SUMIFS(T_TTAFStock_Log[TTAF_Qty],T_TTAFStock_Log[Part Name],$A43,T_TTAFStock_Log[WeekIndex],22))</f>
        <v/>
      </c>
      <c r="X43" s="18">
        <f>IF(COUNTIFS(T_TTAFStock_Log[Part Name],$A43,T_TTAFStock_Log[WeekIndex],23)=0,"",SUMIFS(T_TTAFStock_Log[TTAF_Qty],T_TTAFStock_Log[Part Name],$A43,T_TTAFStock_Log[WeekIndex],23))</f>
        <v/>
      </c>
      <c r="Y43" s="18">
        <f>IF(COUNTIFS(T_TTAFStock_Log[Part Name],$A43,T_TTAFStock_Log[WeekIndex],24)=0,"",SUMIFS(T_TTAFStock_Log[TTAF_Qty],T_TTAFStock_Log[Part Name],$A43,T_TTAFStock_Log[WeekIndex],24))</f>
        <v/>
      </c>
      <c r="Z43" s="18">
        <f>IF(COUNTIFS(T_TTAFStock_Log[Part Name],$A43,T_TTAFStock_Log[WeekIndex],25)=0,"",SUMIFS(T_TTAFStock_Log[TTAF_Qty],T_TTAFStock_Log[Part Name],$A43,T_TTAFStock_Log[WeekIndex],25))</f>
        <v/>
      </c>
      <c r="AA43" s="18">
        <f>IF(COUNTIFS(T_TTAFStock_Log[Part Name],$A43,T_TTAFStock_Log[WeekIndex],26)=0,"",SUMIFS(T_TTAFStock_Log[TTAF_Qty],T_TTAFStock_Log[Part Name],$A43,T_TTAFStock_Log[WeekIndex],26))</f>
        <v/>
      </c>
      <c r="AB43" s="18">
        <f>IF(COUNTIFS(T_TTAFStock_Log[Part Name],$A43,T_TTAFStock_Log[WeekIndex],27)=0,"",SUMIFS(T_TTAFStock_Log[TTAF_Qty],T_TTAFStock_Log[Part Name],$A43,T_TTAFStock_Log[WeekIndex],27))</f>
        <v/>
      </c>
      <c r="AC43" s="18">
        <f>IF(COUNTIFS(T_TTAFStock_Log[Part Name],$A43,T_TTAFStock_Log[WeekIndex],28)=0,"",SUMIFS(T_TTAFStock_Log[TTAF_Qty],T_TTAFStock_Log[Part Name],$A43,T_TTAFStock_Log[WeekIndex],28))</f>
        <v/>
      </c>
      <c r="AD43" s="18">
        <f>IF(COUNTIFS(T_TTAFStock_Log[Part Name],$A43,T_TTAFStock_Log[WeekIndex],29)=0,"",SUMIFS(T_TTAFStock_Log[TTAF_Qty],T_TTAFStock_Log[Part Name],$A43,T_TTAFStock_Log[WeekIndex],29))</f>
        <v/>
      </c>
      <c r="AE43" s="18">
        <f>IF(COUNTIFS(T_TTAFStock_Log[Part Name],$A43,T_TTAFStock_Log[WeekIndex],30)=0,"",SUMIFS(T_TTAFStock_Log[TTAF_Qty],T_TTAFStock_Log[Part Name],$A43,T_TTAFStock_Log[WeekIndex],30))</f>
        <v/>
      </c>
      <c r="AF43" s="18">
        <f>IF(COUNTIFS(T_TTAFStock_Log[Part Name],$A43,T_TTAFStock_Log[WeekIndex],31)=0,"",SUMIFS(T_TTAFStock_Log[TTAF_Qty],T_TTAFStock_Log[Part Name],$A43,T_TTAFStock_Log[WeekIndex],31))</f>
        <v/>
      </c>
      <c r="AG43" s="18">
        <f>IF(COUNTIFS(T_TTAFStock_Log[Part Name],$A43,T_TTAFStock_Log[WeekIndex],32)=0,"",SUMIFS(T_TTAFStock_Log[TTAF_Qty],T_TTAFStock_Log[Part Name],$A43,T_TTAFStock_Log[WeekIndex],32))</f>
        <v/>
      </c>
      <c r="AH43" s="18">
        <f>IF(COUNTIFS(T_TTAFStock_Log[Part Name],$A43,T_TTAFStock_Log[WeekIndex],33)=0,"",SUMIFS(T_TTAFStock_Log[TTAF_Qty],T_TTAFStock_Log[Part Name],$A43,T_TTAFStock_Log[WeekIndex],33))</f>
        <v/>
      </c>
      <c r="AI43" s="18">
        <f>IF(COUNTIFS(T_TTAFStock_Log[Part Name],$A43,T_TTAFStock_Log[WeekIndex],34)=0,"",SUMIFS(T_TTAFStock_Log[TTAF_Qty],T_TTAFStock_Log[Part Name],$A43,T_TTAFStock_Log[WeekIndex],34))</f>
        <v/>
      </c>
      <c r="AJ43" s="18">
        <f>IF(COUNTIFS(T_TTAFStock_Log[Part Name],$A43,T_TTAFStock_Log[WeekIndex],35)=0,"",SUMIFS(T_TTAFStock_Log[TTAF_Qty],T_TTAFStock_Log[Part Name],$A43,T_TTAFStock_Log[WeekIndex],35))</f>
        <v/>
      </c>
      <c r="AK43" s="18">
        <f>IF(COUNTIFS(T_TTAFStock_Log[Part Name],$A43,T_TTAFStock_Log[WeekIndex],36)=0,"",SUMIFS(T_TTAFStock_Log[TTAF_Qty],T_TTAFStock_Log[Part Name],$A43,T_TTAFStock_Log[WeekIndex],36))</f>
        <v/>
      </c>
      <c r="AL43" s="18">
        <f>IF(COUNTIFS(T_TTAFStock_Log[Part Name],$A43,T_TTAFStock_Log[WeekIndex],37)=0,"",SUMIFS(T_TTAFStock_Log[TTAF_Qty],T_TTAFStock_Log[Part Name],$A43,T_TTAFStock_Log[WeekIndex],37))</f>
        <v/>
      </c>
      <c r="AM43" s="18">
        <f>IF(COUNTIFS(T_TTAFStock_Log[Part Name],$A43,T_TTAFStock_Log[WeekIndex],38)=0,"",SUMIFS(T_TTAFStock_Log[TTAF_Qty],T_TTAFStock_Log[Part Name],$A43,T_TTAFStock_Log[WeekIndex],38))</f>
        <v/>
      </c>
      <c r="AN43" s="18">
        <f>IF(COUNTIFS(T_TTAFStock_Log[Part Name],$A43,T_TTAFStock_Log[WeekIndex],39)=0,"",SUMIFS(T_TTAFStock_Log[TTAF_Qty],T_TTAFStock_Log[Part Name],$A43,T_TTAFStock_Log[WeekIndex],39))</f>
        <v/>
      </c>
      <c r="AO43" s="18">
        <f>IF(COUNTIFS(T_TTAFStock_Log[Part Name],$A43,T_TTAFStock_Log[WeekIndex],40)=0,"",SUMIFS(T_TTAFStock_Log[TTAF_Qty],T_TTAFStock_Log[Part Name],$A43,T_TTAFStock_Log[WeekIndex],40))</f>
        <v/>
      </c>
      <c r="AP43" s="18">
        <f>IF(COUNTIFS(T_TTAFStock_Log[Part Name],$A43,T_TTAFStock_Log[WeekIndex],41)=0,"",SUMIFS(T_TTAFStock_Log[TTAF_Qty],T_TTAFStock_Log[Part Name],$A43,T_TTAFStock_Log[WeekIndex],41))</f>
        <v/>
      </c>
      <c r="AQ43" s="18">
        <f>IF(COUNTIFS(T_TTAFStock_Log[Part Name],$A43,T_TTAFStock_Log[WeekIndex],42)=0,"",SUMIFS(T_TTAFStock_Log[TTAF_Qty],T_TTAFStock_Log[Part Name],$A43,T_TTAFStock_Log[WeekIndex],42))</f>
        <v/>
      </c>
      <c r="AR43" s="18">
        <f>IF(COUNTIFS(T_TTAFStock_Log[Part Name],$A43,T_TTAFStock_Log[WeekIndex],43)=0,"",SUMIFS(T_TTAFStock_Log[TTAF_Qty],T_TTAFStock_Log[Part Name],$A43,T_TTAFStock_Log[WeekIndex],43))</f>
        <v/>
      </c>
      <c r="AS43" s="18">
        <f>IF(COUNTIFS(T_TTAFStock_Log[Part Name],$A43,T_TTAFStock_Log[WeekIndex],44)=0,"",SUMIFS(T_TTAFStock_Log[TTAF_Qty],T_TTAFStock_Log[Part Name],$A43,T_TTAFStock_Log[WeekIndex],44))</f>
        <v/>
      </c>
      <c r="AT43" s="18">
        <f>IF(COUNTIFS(T_TTAFStock_Log[Part Name],$A43,T_TTAFStock_Log[WeekIndex],45)=0,"",SUMIFS(T_TTAFStock_Log[TTAF_Qty],T_TTAFStock_Log[Part Name],$A43,T_TTAFStock_Log[WeekIndex],45))</f>
        <v/>
      </c>
      <c r="AU43" s="18">
        <f>IF(COUNTIFS(T_TTAFStock_Log[Part Name],$A43,T_TTAFStock_Log[WeekIndex],46)=0,"",SUMIFS(T_TTAFStock_Log[TTAF_Qty],T_TTAFStock_Log[Part Name],$A43,T_TTAFStock_Log[WeekIndex],46))</f>
        <v/>
      </c>
      <c r="AV43" s="18">
        <f>IF(COUNTIFS(T_TTAFStock_Log[Part Name],$A43,T_TTAFStock_Log[WeekIndex],47)=0,"",SUMIFS(T_TTAFStock_Log[TTAF_Qty],T_TTAFStock_Log[Part Name],$A43,T_TTAFStock_Log[WeekIndex],47))</f>
        <v/>
      </c>
      <c r="AW43" s="18">
        <f>IF(COUNTIFS(T_TTAFStock_Log[Part Name],$A43,T_TTAFStock_Log[WeekIndex],48)=0,"",SUMIFS(T_TTAFStock_Log[TTAF_Qty],T_TTAFStock_Log[Part Name],$A43,T_TTAFStock_Log[WeekIndex],48))</f>
        <v/>
      </c>
      <c r="AX43" s="18">
        <f>IF(COUNTIFS(T_TTAFStock_Log[Part Name],$A43,T_TTAFStock_Log[WeekIndex],49)=0,"",SUMIFS(T_TTAFStock_Log[TTAF_Qty],T_TTAFStock_Log[Part Name],$A43,T_TTAFStock_Log[WeekIndex],49))</f>
        <v/>
      </c>
      <c r="AY43" s="18">
        <f>IF(COUNTIFS(T_TTAFStock_Log[Part Name],$A43,T_TTAFStock_Log[WeekIndex],50)=0,"",SUMIFS(T_TTAFStock_Log[TTAF_Qty],T_TTAFStock_Log[Part Name],$A43,T_TTAFStock_Log[WeekIndex],50))</f>
        <v/>
      </c>
      <c r="AZ43" s="18">
        <f>IF(COUNTIFS(T_TTAFStock_Log[Part Name],$A43,T_TTAFStock_Log[WeekIndex],51)=0,"",SUMIFS(T_TTAFStock_Log[TTAF_Qty],T_TTAFStock_Log[Part Name],$A43,T_TTAFStock_Log[WeekIndex],51))</f>
        <v/>
      </c>
      <c r="BA43" s="18">
        <f>IF(COUNTIFS(T_TTAFStock_Log[Part Name],$A43,T_TTAFStock_Log[WeekIndex],52)=0,"",SUMIFS(T_TTAFStock_Log[TTAF_Qty],T_TTAFStock_Log[Part Name],$A43,T_TTAFStock_Log[WeekIndex],52))</f>
        <v/>
      </c>
      <c r="BB43" s="18">
        <f>IF(COUNTIFS(T_TTAFStock_Log[Part Name],$A43,T_TTAFStock_Log[WeekIndex],53)=0,"",SUMIFS(T_TTAFStock_Log[TTAF_Qty],T_TTAFStock_Log[Part Name],$A43,T_TTAFStock_Log[WeekIndex],53))</f>
        <v/>
      </c>
      <c r="BC43" s="18">
        <f>IF(COUNTIFS(T_TTAFStock_Log[Part Name],$A43,T_TTAFStock_Log[WeekIndex],54)=0,"",SUMIFS(T_TTAFStock_Log[TTAF_Qty],T_TTAFStock_Log[Part Name],$A43,T_TTAFStock_Log[WeekIndex],54))</f>
        <v/>
      </c>
      <c r="BD43" s="18">
        <f>IF(COUNTIFS(T_TTAFStock_Log[Part Name],$A43,T_TTAFStock_Log[WeekIndex],55)=0,"",SUMIFS(T_TTAFStock_Log[TTAF_Qty],T_TTAFStock_Log[Part Name],$A43,T_TTAFStock_Log[WeekIndex],55))</f>
        <v/>
      </c>
      <c r="BE43" s="18">
        <f>IF(COUNTIFS(T_TTAFStock_Log[Part Name],$A43,T_TTAFStock_Log[WeekIndex],56)=0,"",SUMIFS(T_TTAFStock_Log[TTAF_Qty],T_TTAFStock_Log[Part Name],$A43,T_TTAFStock_Log[WeekIndex],56))</f>
        <v/>
      </c>
      <c r="BF43" s="18">
        <f>IF(COUNTIFS(T_TTAFStock_Log[Part Name],$A43,T_TTAFStock_Log[WeekIndex],57)=0,"",SUMIFS(T_TTAFStock_Log[TTAF_Qty],T_TTAFStock_Log[Part Name],$A43,T_TTAFStock_Log[WeekIndex],57))</f>
        <v/>
      </c>
      <c r="BG43" s="18">
        <f>IF(COUNTIFS(T_TTAFStock_Log[Part Name],$A43,T_TTAFStock_Log[WeekIndex],58)=0,"",SUMIFS(T_TTAFStock_Log[TTAF_Qty],T_TTAFStock_Log[Part Name],$A43,T_TTAFStock_Log[WeekIndex],58))</f>
        <v/>
      </c>
      <c r="BH43" s="18">
        <f>IF(COUNTIFS(T_TTAFStock_Log[Part Name],$A43,T_TTAFStock_Log[WeekIndex],59)=0,"",SUMIFS(T_TTAFStock_Log[TTAF_Qty],T_TTAFStock_Log[Part Name],$A43,T_TTAFStock_Log[WeekIndex],59))</f>
        <v/>
      </c>
      <c r="BI43" s="18">
        <f>IF(COUNTIFS(T_TTAFStock_Log[Part Name],$A43,T_TTAFStock_Log[WeekIndex],60)=0,"",SUMIFS(T_TTAFStock_Log[TTAF_Qty],T_TTAFStock_Log[Part Name],$A43,T_TTAFStock_Log[WeekIndex],60))</f>
        <v/>
      </c>
      <c r="BJ43" s="18">
        <f>IF(COUNTIFS(T_TTAFStock_Log[Part Name],$A43,T_TTAFStock_Log[WeekIndex],61)=0,"",SUMIFS(T_TTAFStock_Log[TTAF_Qty],T_TTAFStock_Log[Part Name],$A43,T_TTAFStock_Log[WeekIndex],61))</f>
        <v/>
      </c>
      <c r="BK43" s="18">
        <f>IF(COUNTIFS(T_TTAFStock_Log[Part Name],$A43,T_TTAFStock_Log[WeekIndex],62)=0,"",SUMIFS(T_TTAFStock_Log[TTAF_Qty],T_TTAFStock_Log[Part Name],$A43,T_TTAFStock_Log[WeekIndex],62))</f>
        <v/>
      </c>
      <c r="BL43" s="18">
        <f>IF(COUNTIFS(T_TTAFStock_Log[Part Name],$A43,T_TTAFStock_Log[WeekIndex],63)=0,"",SUMIFS(T_TTAFStock_Log[TTAF_Qty],T_TTAFStock_Log[Part Name],$A43,T_TTAFStock_Log[WeekIndex],63))</f>
        <v/>
      </c>
      <c r="BM43" s="18">
        <f>IF(COUNTIFS(T_TTAFStock_Log[Part Name],$A43,T_TTAFStock_Log[WeekIndex],64)=0,"",SUMIFS(T_TTAFStock_Log[TTAF_Qty],T_TTAFStock_Log[Part Name],$A43,T_TTAFStock_Log[WeekIndex],64))</f>
        <v/>
      </c>
      <c r="BN43" s="18">
        <f>IF(COUNTIFS(T_TTAFStock_Log[Part Name],$A43,T_TTAFStock_Log[WeekIndex],65)=0,"",SUMIFS(T_TTAFStock_Log[TTAF_Qty],T_TTAFStock_Log[Part Name],$A43,T_TTAFStock_Log[WeekIndex],65))</f>
        <v/>
      </c>
      <c r="BO43" s="18">
        <f>IF(COUNTIFS(T_TTAFStock_Log[Part Name],$A43,T_TTAFStock_Log[WeekIndex],66)=0,"",SUMIFS(T_TTAFStock_Log[TTAF_Qty],T_TTAFStock_Log[Part Name],$A43,T_TTAFStock_Log[WeekIndex],66))</f>
        <v/>
      </c>
      <c r="BP43" s="18">
        <f>IF(COUNTIFS(T_TTAFStock_Log[Part Name],$A43,T_TTAFStock_Log[WeekIndex],67)=0,"",SUMIFS(T_TTAFStock_Log[TTAF_Qty],T_TTAFStock_Log[Part Name],$A43,T_TTAFStock_Log[WeekIndex],67))</f>
        <v/>
      </c>
      <c r="BQ43" s="18">
        <f>IF(COUNTIFS(T_TTAFStock_Log[Part Name],$A43,T_TTAFStock_Log[WeekIndex],68)=0,"",SUMIFS(T_TTAFStock_Log[TTAF_Qty],T_TTAFStock_Log[Part Name],$A43,T_TTAFStock_Log[WeekIndex],68))</f>
        <v/>
      </c>
      <c r="BR43" s="18">
        <f>IF(COUNTIFS(T_TTAFStock_Log[Part Name],$A43,T_TTAFStock_Log[WeekIndex],69)=0,"",SUMIFS(T_TTAFStock_Log[TTAF_Qty],T_TTAFStock_Log[Part Name],$A43,T_TTAFStock_Log[WeekIndex],69))</f>
        <v/>
      </c>
      <c r="BS43" s="18">
        <f>IF(COUNTIFS(T_TTAFStock_Log[Part Name],$A43,T_TTAFStock_Log[WeekIndex],70)=0,"",SUMIFS(T_TTAFStock_Log[TTAF_Qty],T_TTAFStock_Log[Part Name],$A43,T_TTAFStock_Log[WeekIndex],70))</f>
        <v/>
      </c>
      <c r="BT43" s="18">
        <f>IF(COUNTIFS(T_TTAFStock_Log[Part Name],$A43,T_TTAFStock_Log[WeekIndex],71)=0,"",SUMIFS(T_TTAFStock_Log[TTAF_Qty],T_TTAFStock_Log[Part Name],$A43,T_TTAFStock_Log[WeekIndex],71))</f>
        <v/>
      </c>
      <c r="BU43" s="18">
        <f>IF(COUNTIFS(T_TTAFStock_Log[Part Name],$A43,T_TTAFStock_Log[WeekIndex],72)=0,"",SUMIFS(T_TTAFStock_Log[TTAF_Qty],T_TTAFStock_Log[Part Name],$A43,T_TTAFStock_Log[WeekIndex],72))</f>
        <v/>
      </c>
      <c r="BV43" s="18">
        <f>IF(COUNTIFS(T_TTAFStock_Log[Part Name],$A43,T_TTAFStock_Log[WeekIndex],73)=0,"",SUMIFS(T_TTAFStock_Log[TTAF_Qty],T_TTAFStock_Log[Part Name],$A43,T_TTAFStock_Log[WeekIndex],73))</f>
        <v/>
      </c>
      <c r="BW43" s="18">
        <f>IF(COUNTIFS(T_TTAFStock_Log[Part Name],$A43,T_TTAFStock_Log[WeekIndex],74)=0,"",SUMIFS(T_TTAFStock_Log[TTAF_Qty],T_TTAFStock_Log[Part Name],$A43,T_TTAFStock_Log[WeekIndex],74))</f>
        <v/>
      </c>
      <c r="BX43" s="18">
        <f>IF(COUNTIFS(T_TTAFStock_Log[Part Name],$A43,T_TTAFStock_Log[WeekIndex],75)=0,"",SUMIFS(T_TTAFStock_Log[TTAF_Qty],T_TTAFStock_Log[Part Name],$A43,T_TTAFStock_Log[WeekIndex],75))</f>
        <v/>
      </c>
      <c r="BY43" s="18">
        <f>IF(COUNTIFS(T_TTAFStock_Log[Part Name],$A43,T_TTAFStock_Log[WeekIndex],76)=0,"",SUMIFS(T_TTAFStock_Log[TTAF_Qty],T_TTAFStock_Log[Part Name],$A43,T_TTAFStock_Log[WeekIndex],76))</f>
        <v/>
      </c>
      <c r="BZ43" s="18">
        <f>IF(COUNTIFS(T_TTAFStock_Log[Part Name],$A43,T_TTAFStock_Log[WeekIndex],77)=0,"",SUMIFS(T_TTAFStock_Log[TTAF_Qty],T_TTAFStock_Log[Part Name],$A43,T_TTAFStock_Log[WeekIndex],77))</f>
        <v/>
      </c>
      <c r="CA43" s="18">
        <f>IF(COUNTIFS(T_TTAFStock_Log[Part Name],$A43,T_TTAFStock_Log[WeekIndex],78)=0,"",SUMIFS(T_TTAFStock_Log[TTAF_Qty],T_TTAFStock_Log[Part Name],$A43,T_TTAFStock_Log[WeekIndex],78))</f>
        <v/>
      </c>
      <c r="CB43" s="18">
        <f>IF(COUNTIFS(T_TTAFStock_Log[Part Name],$A43,T_TTAFStock_Log[WeekIndex],79)=0,"",SUMIFS(T_TTAFStock_Log[TTAF_Qty],T_TTAFStock_Log[Part Name],$A43,T_TTAFStock_Log[WeekIndex],79))</f>
        <v/>
      </c>
      <c r="CC43" s="18">
        <f>IF(COUNTIFS(T_TTAFStock_Log[Part Name],$A43,T_TTAFStock_Log[WeekIndex],80)=0,"",SUMIFS(T_TTAFStock_Log[TTAF_Qty],T_TTAFStock_Log[Part Name],$A43,T_TTAFStock_Log[WeekIndex],80))</f>
        <v/>
      </c>
      <c r="CD43" s="18">
        <f>IF(COUNTIFS(T_TTAFStock_Log[Part Name],$A43,T_TTAFStock_Log[WeekIndex],81)=0,"",SUMIFS(T_TTAFStock_Log[TTAF_Qty],T_TTAFStock_Log[Part Name],$A43,T_TTAFStock_Log[WeekIndex],81))</f>
        <v/>
      </c>
      <c r="CE43" s="18">
        <f>IF(COUNTIFS(T_TTAFStock_Log[Part Name],$A43,T_TTAFStock_Log[WeekIndex],82)=0,"",SUMIFS(T_TTAFStock_Log[TTAF_Qty],T_TTAFStock_Log[Part Name],$A43,T_TTAFStock_Log[WeekIndex],82))</f>
        <v/>
      </c>
      <c r="CF43" s="18">
        <f>IF(COUNTIFS(T_TTAFStock_Log[Part Name],$A43,T_TTAFStock_Log[WeekIndex],83)=0,"",SUMIFS(T_TTAFStock_Log[TTAF_Qty],T_TTAFStock_Log[Part Name],$A43,T_TTAFStock_Log[WeekIndex],83))</f>
        <v/>
      </c>
      <c r="CG43" s="18">
        <f>IF(COUNTIFS(T_TTAFStock_Log[Part Name],$A43,T_TTAFStock_Log[WeekIndex],84)=0,"",SUMIFS(T_TTAFStock_Log[TTAF_Qty],T_TTAFStock_Log[Part Name],$A43,T_TTAFStock_Log[WeekIndex],84))</f>
        <v/>
      </c>
      <c r="CH43" s="18">
        <f>IF(COUNTIFS(T_TTAFStock_Log[Part Name],$A43,T_TTAFStock_Log[WeekIndex],85)=0,"",SUMIFS(T_TTAFStock_Log[TTAF_Qty],T_TTAFStock_Log[Part Name],$A43,T_TTAFStock_Log[WeekIndex],85))</f>
        <v/>
      </c>
      <c r="CI43" s="18">
        <f>IF(COUNTIFS(T_TTAFStock_Log[Part Name],$A43,T_TTAFStock_Log[WeekIndex],86)=0,"",SUMIFS(T_TTAFStock_Log[TTAF_Qty],T_TTAFStock_Log[Part Name],$A43,T_TTAFStock_Log[WeekIndex],86))</f>
        <v/>
      </c>
      <c r="CJ43" s="18">
        <f>IF(COUNTIFS(T_TTAFStock_Log[Part Name],$A43,T_TTAFStock_Log[WeekIndex],87)=0,"",SUMIFS(T_TTAFStock_Log[TTAF_Qty],T_TTAFStock_Log[Part Name],$A43,T_TTAFStock_Log[WeekIndex],87))</f>
        <v/>
      </c>
      <c r="CK43" s="18">
        <f>IF(COUNTIFS(T_TTAFStock_Log[Part Name],$A43,T_TTAFStock_Log[WeekIndex],88)=0,"",SUMIFS(T_TTAFStock_Log[TTAF_Qty],T_TTAFStock_Log[Part Name],$A43,T_TTAFStock_Log[WeekIndex],88))</f>
        <v/>
      </c>
      <c r="CL43" s="18">
        <f>IF(COUNTIFS(T_TTAFStock_Log[Part Name],$A43,T_TTAFStock_Log[WeekIndex],89)=0,"",SUMIFS(T_TTAFStock_Log[TTAF_Qty],T_TTAFStock_Log[Part Name],$A43,T_TTAFStock_Log[WeekIndex],89))</f>
        <v/>
      </c>
      <c r="CM43" s="18">
        <f>IF(COUNTIFS(T_TTAFStock_Log[Part Name],$A43,T_TTAFStock_Log[WeekIndex],90)=0,"",SUMIFS(T_TTAFStock_Log[TTAF_Qty],T_TTAFStock_Log[Part Name],$A43,T_TTAFStock_Log[WeekIndex],90))</f>
        <v/>
      </c>
      <c r="CN43" s="18">
        <f>IF(COUNTIFS(T_TTAFStock_Log[Part Name],$A43,T_TTAFStock_Log[WeekIndex],91)=0,"",SUMIFS(T_TTAFStock_Log[TTAF_Qty],T_TTAFStock_Log[Part Name],$A43,T_TTAFStock_Log[WeekIndex],91))</f>
        <v/>
      </c>
      <c r="CO43" s="18">
        <f>IF(COUNTIFS(T_TTAFStock_Log[Part Name],$A43,T_TTAFStock_Log[WeekIndex],92)=0,"",SUMIFS(T_TTAFStock_Log[TTAF_Qty],T_TTAFStock_Log[Part Name],$A43,T_TTAFStock_Log[WeekIndex],92))</f>
        <v/>
      </c>
      <c r="CP43" s="18">
        <f>IF(COUNTIFS(T_TTAFStock_Log[Part Name],$A43,T_TTAFStock_Log[WeekIndex],93)=0,"",SUMIFS(T_TTAFStock_Log[TTAF_Qty],T_TTAFStock_Log[Part Name],$A43,T_TTAFStock_Log[WeekIndex],93))</f>
        <v/>
      </c>
      <c r="CQ43" s="18">
        <f>IF(COUNTIFS(T_TTAFStock_Log[Part Name],$A43,T_TTAFStock_Log[WeekIndex],94)=0,"",SUMIFS(T_TTAFStock_Log[TTAF_Qty],T_TTAFStock_Log[Part Name],$A43,T_TTAFStock_Log[WeekIndex],94))</f>
        <v/>
      </c>
      <c r="CR43" s="18">
        <f>IF(COUNTIFS(T_TTAFStock_Log[Part Name],$A43,T_TTAFStock_Log[WeekIndex],95)=0,"",SUMIFS(T_TTAFStock_Log[TTAF_Qty],T_TTAFStock_Log[Part Name],$A43,T_TTAFStock_Log[WeekIndex],95))</f>
        <v/>
      </c>
      <c r="CS43" s="18">
        <f>IF(COUNTIFS(T_TTAFStock_Log[Part Name],$A43,T_TTAFStock_Log[WeekIndex],96)=0,"",SUMIFS(T_TTAFStock_Log[TTAF_Qty],T_TTAFStock_Log[Part Name],$A43,T_TTAFStock_Log[WeekIndex],96))</f>
        <v/>
      </c>
      <c r="CT43" s="18">
        <f>IF(COUNTIFS(T_TTAFStock_Log[Part Name],$A43,T_TTAFStock_Log[WeekIndex],97)=0,"",SUMIFS(T_TTAFStock_Log[TTAF_Qty],T_TTAFStock_Log[Part Name],$A43,T_TTAFStock_Log[WeekIndex],97))</f>
        <v/>
      </c>
      <c r="CU43" s="18">
        <f>IF(COUNTIFS(T_TTAFStock_Log[Part Name],$A43,T_TTAFStock_Log[WeekIndex],98)=0,"",SUMIFS(T_TTAFStock_Log[TTAF_Qty],T_TTAFStock_Log[Part Name],$A43,T_TTAFStock_Log[WeekIndex],98))</f>
        <v/>
      </c>
      <c r="CV43" s="18">
        <f>IF(COUNTIFS(T_TTAFStock_Log[Part Name],$A43,T_TTAFStock_Log[WeekIndex],99)=0,"",SUMIFS(T_TTAFStock_Log[TTAF_Qty],T_TTAFStock_Log[Part Name],$A43,T_TTAFStock_Log[WeekIndex],99))</f>
        <v/>
      </c>
      <c r="CW43" s="18">
        <f>IF(COUNTIFS(T_TTAFStock_Log[Part Name],$A43,T_TTAFStock_Log[WeekIndex],100)=0,"",SUMIFS(T_TTAFStock_Log[TTAF_Qty],T_TTAFStock_Log[Part Name],$A43,T_TTAFStock_Log[WeekIndex],100))</f>
        <v/>
      </c>
      <c r="CX43" s="18">
        <f>IF(COUNTIFS(T_TTAFStock_Log[Part Name],$A43,T_TTAFStock_Log[WeekIndex],101)=0,"",SUMIFS(T_TTAFStock_Log[TTAF_Qty],T_TTAFStock_Log[Part Name],$A43,T_TTAFStock_Log[WeekIndex],101))</f>
        <v/>
      </c>
      <c r="CY43" s="18">
        <f>IF(COUNTIFS(T_TTAFStock_Log[Part Name],$A43,T_TTAFStock_Log[WeekIndex],102)=0,"",SUMIFS(T_TTAFStock_Log[TTAF_Qty],T_TTAFStock_Log[Part Name],$A43,T_TTAFStock_Log[WeekIndex],102))</f>
        <v/>
      </c>
      <c r="CZ43" s="18">
        <f>IF(COUNTIFS(T_TTAFStock_Log[Part Name],$A43,T_TTAFStock_Log[WeekIndex],103)=0,"",SUMIFS(T_TTAFStock_Log[TTAF_Qty],T_TTAFStock_Log[Part Name],$A43,T_TTAFStock_Log[WeekIndex],103))</f>
        <v/>
      </c>
      <c r="DA43" s="18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5SN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8" t="inlineStr">
        <is>
          <t>1JN</t>
        </is>
      </c>
      <c r="B45" s="18">
        <f>IF(COUNTIFS(T_TTAFStock_Log[Part Name],$A45,T_TTAFStock_Log[WeekIndex],1)=0,"",SUMIFS(T_TTAFStock_Log[TTAF_Qty],T_TTAFStock_Log[Part Name],$A45,T_TTAFStock_Log[WeekIndex],1))</f>
        <v/>
      </c>
      <c r="C45" s="18">
        <f>IF(COUNTIFS(T_TTAFStock_Log[Part Name],$A45,T_TTAFStock_Log[WeekIndex],2)=0,"",SUMIFS(T_TTAFStock_Log[TTAF_Qty],T_TTAFStock_Log[Part Name],$A45,T_TTAFStock_Log[WeekIndex],2))</f>
        <v/>
      </c>
      <c r="D45" s="18">
        <f>IF(COUNTIFS(T_TTAFStock_Log[Part Name],$A45,T_TTAFStock_Log[WeekIndex],3)=0,"",SUMIFS(T_TTAFStock_Log[TTAF_Qty],T_TTAFStock_Log[Part Name],$A45,T_TTAFStock_Log[WeekIndex],3))</f>
        <v/>
      </c>
      <c r="E45" s="18">
        <f>IF(COUNTIFS(T_TTAFStock_Log[Part Name],$A45,T_TTAFStock_Log[WeekIndex],4)=0,"",SUMIFS(T_TTAFStock_Log[TTAF_Qty],T_TTAFStock_Log[Part Name],$A45,T_TTAFStock_Log[WeekIndex],4))</f>
        <v/>
      </c>
      <c r="F45" s="18">
        <f>IF(COUNTIFS(T_TTAFStock_Log[Part Name],$A45,T_TTAFStock_Log[WeekIndex],5)=0,"",SUMIFS(T_TTAFStock_Log[TTAF_Qty],T_TTAFStock_Log[Part Name],$A45,T_TTAFStock_Log[WeekIndex],5))</f>
        <v/>
      </c>
      <c r="G45" s="18">
        <f>IF(COUNTIFS(T_TTAFStock_Log[Part Name],$A45,T_TTAFStock_Log[WeekIndex],6)=0,"",SUMIFS(T_TTAFStock_Log[TTAF_Qty],T_TTAFStock_Log[Part Name],$A45,T_TTAFStock_Log[WeekIndex],6))</f>
        <v/>
      </c>
      <c r="H45" s="18">
        <f>IF(COUNTIFS(T_TTAFStock_Log[Part Name],$A45,T_TTAFStock_Log[WeekIndex],7)=0,"",SUMIFS(T_TTAFStock_Log[TTAF_Qty],T_TTAFStock_Log[Part Name],$A45,T_TTAFStock_Log[WeekIndex],7))</f>
        <v/>
      </c>
      <c r="I45" s="18">
        <f>IF(COUNTIFS(T_TTAFStock_Log[Part Name],$A45,T_TTAFStock_Log[WeekIndex],8)=0,"",SUMIFS(T_TTAFStock_Log[TTAF_Qty],T_TTAFStock_Log[Part Name],$A45,T_TTAFStock_Log[WeekIndex],8))</f>
        <v/>
      </c>
      <c r="J45" s="18">
        <f>IF(COUNTIFS(T_TTAFStock_Log[Part Name],$A45,T_TTAFStock_Log[WeekIndex],9)=0,"",SUMIFS(T_TTAFStock_Log[TTAF_Qty],T_TTAFStock_Log[Part Name],$A45,T_TTAFStock_Log[WeekIndex],9))</f>
        <v/>
      </c>
      <c r="K45" s="18">
        <f>IF(COUNTIFS(T_TTAFStock_Log[Part Name],$A45,T_TTAFStock_Log[WeekIndex],10)=0,"",SUMIFS(T_TTAFStock_Log[TTAF_Qty],T_TTAFStock_Log[Part Name],$A45,T_TTAFStock_Log[WeekIndex],10))</f>
        <v/>
      </c>
      <c r="L45" s="18">
        <f>IF(COUNTIFS(T_TTAFStock_Log[Part Name],$A45,T_TTAFStock_Log[WeekIndex],11)=0,"",SUMIFS(T_TTAFStock_Log[TTAF_Qty],T_TTAFStock_Log[Part Name],$A45,T_TTAFStock_Log[WeekIndex],11))</f>
        <v/>
      </c>
      <c r="M45" s="18">
        <f>IF(COUNTIFS(T_TTAFStock_Log[Part Name],$A45,T_TTAFStock_Log[WeekIndex],12)=0,"",SUMIFS(T_TTAFStock_Log[TTAF_Qty],T_TTAFStock_Log[Part Name],$A45,T_TTAFStock_Log[WeekIndex],12))</f>
        <v/>
      </c>
      <c r="N45" s="18">
        <f>IF(COUNTIFS(T_TTAFStock_Log[Part Name],$A45,T_TTAFStock_Log[WeekIndex],13)=0,"",SUMIFS(T_TTAFStock_Log[TTAF_Qty],T_TTAFStock_Log[Part Name],$A45,T_TTAFStock_Log[WeekIndex],13))</f>
        <v/>
      </c>
      <c r="O45" s="18">
        <f>IF(COUNTIFS(T_TTAFStock_Log[Part Name],$A45,T_TTAFStock_Log[WeekIndex],14)=0,"",SUMIFS(T_TTAFStock_Log[TTAF_Qty],T_TTAFStock_Log[Part Name],$A45,T_TTAFStock_Log[WeekIndex],14))</f>
        <v/>
      </c>
      <c r="P45" s="18">
        <f>IF(COUNTIFS(T_TTAFStock_Log[Part Name],$A45,T_TTAFStock_Log[WeekIndex],15)=0,"",SUMIFS(T_TTAFStock_Log[TTAF_Qty],T_TTAFStock_Log[Part Name],$A45,T_TTAFStock_Log[WeekIndex],15))</f>
        <v/>
      </c>
      <c r="Q45" s="18">
        <f>IF(COUNTIFS(T_TTAFStock_Log[Part Name],$A45,T_TTAFStock_Log[WeekIndex],16)=0,"",SUMIFS(T_TTAFStock_Log[TTAF_Qty],T_TTAFStock_Log[Part Name],$A45,T_TTAFStock_Log[WeekIndex],16))</f>
        <v/>
      </c>
      <c r="R45" s="18">
        <f>IF(COUNTIFS(T_TTAFStock_Log[Part Name],$A45,T_TTAFStock_Log[WeekIndex],17)=0,"",SUMIFS(T_TTAFStock_Log[TTAF_Qty],T_TTAFStock_Log[Part Name],$A45,T_TTAFStock_Log[WeekIndex],17))</f>
        <v/>
      </c>
      <c r="S45" s="18">
        <f>IF(COUNTIFS(T_TTAFStock_Log[Part Name],$A45,T_TTAFStock_Log[WeekIndex],18)=0,"",SUMIFS(T_TTAFStock_Log[TTAF_Qty],T_TTAFStock_Log[Part Name],$A45,T_TTAFStock_Log[WeekIndex],18))</f>
        <v/>
      </c>
      <c r="T45" s="18">
        <f>IF(COUNTIFS(T_TTAFStock_Log[Part Name],$A45,T_TTAFStock_Log[WeekIndex],19)=0,"",SUMIFS(T_TTAFStock_Log[TTAF_Qty],T_TTAFStock_Log[Part Name],$A45,T_TTAFStock_Log[WeekIndex],19))</f>
        <v/>
      </c>
      <c r="U45" s="18">
        <f>IF(COUNTIFS(T_TTAFStock_Log[Part Name],$A45,T_TTAFStock_Log[WeekIndex],20)=0,"",SUMIFS(T_TTAFStock_Log[TTAF_Qty],T_TTAFStock_Log[Part Name],$A45,T_TTAFStock_Log[WeekIndex],20))</f>
        <v/>
      </c>
      <c r="V45" s="18">
        <f>IF(COUNTIFS(T_TTAFStock_Log[Part Name],$A45,T_TTAFStock_Log[WeekIndex],21)=0,"",SUMIFS(T_TTAFStock_Log[TTAF_Qty],T_TTAFStock_Log[Part Name],$A45,T_TTAFStock_Log[WeekIndex],21))</f>
        <v/>
      </c>
      <c r="W45" s="18">
        <f>IF(COUNTIFS(T_TTAFStock_Log[Part Name],$A45,T_TTAFStock_Log[WeekIndex],22)=0,"",SUMIFS(T_TTAFStock_Log[TTAF_Qty],T_TTAFStock_Log[Part Name],$A45,T_TTAFStock_Log[WeekIndex],22))</f>
        <v/>
      </c>
      <c r="X45" s="18">
        <f>IF(COUNTIFS(T_TTAFStock_Log[Part Name],$A45,T_TTAFStock_Log[WeekIndex],23)=0,"",SUMIFS(T_TTAFStock_Log[TTAF_Qty],T_TTAFStock_Log[Part Name],$A45,T_TTAFStock_Log[WeekIndex],23))</f>
        <v/>
      </c>
      <c r="Y45" s="18">
        <f>IF(COUNTIFS(T_TTAFStock_Log[Part Name],$A45,T_TTAFStock_Log[WeekIndex],24)=0,"",SUMIFS(T_TTAFStock_Log[TTAF_Qty],T_TTAFStock_Log[Part Name],$A45,T_TTAFStock_Log[WeekIndex],24))</f>
        <v/>
      </c>
      <c r="Z45" s="18">
        <f>IF(COUNTIFS(T_TTAFStock_Log[Part Name],$A45,T_TTAFStock_Log[WeekIndex],25)=0,"",SUMIFS(T_TTAFStock_Log[TTAF_Qty],T_TTAFStock_Log[Part Name],$A45,T_TTAFStock_Log[WeekIndex],25))</f>
        <v/>
      </c>
      <c r="AA45" s="18">
        <f>IF(COUNTIFS(T_TTAFStock_Log[Part Name],$A45,T_TTAFStock_Log[WeekIndex],26)=0,"",SUMIFS(T_TTAFStock_Log[TTAF_Qty],T_TTAFStock_Log[Part Name],$A45,T_TTAFStock_Log[WeekIndex],26))</f>
        <v/>
      </c>
      <c r="AB45" s="18">
        <f>IF(COUNTIFS(T_TTAFStock_Log[Part Name],$A45,T_TTAFStock_Log[WeekIndex],27)=0,"",SUMIFS(T_TTAFStock_Log[TTAF_Qty],T_TTAFStock_Log[Part Name],$A45,T_TTAFStock_Log[WeekIndex],27))</f>
        <v/>
      </c>
      <c r="AC45" s="18">
        <f>IF(COUNTIFS(T_TTAFStock_Log[Part Name],$A45,T_TTAFStock_Log[WeekIndex],28)=0,"",SUMIFS(T_TTAFStock_Log[TTAF_Qty],T_TTAFStock_Log[Part Name],$A45,T_TTAFStock_Log[WeekIndex],28))</f>
        <v/>
      </c>
      <c r="AD45" s="18">
        <f>IF(COUNTIFS(T_TTAFStock_Log[Part Name],$A45,T_TTAFStock_Log[WeekIndex],29)=0,"",SUMIFS(T_TTAFStock_Log[TTAF_Qty],T_TTAFStock_Log[Part Name],$A45,T_TTAFStock_Log[WeekIndex],29))</f>
        <v/>
      </c>
      <c r="AE45" s="18">
        <f>IF(COUNTIFS(T_TTAFStock_Log[Part Name],$A45,T_TTAFStock_Log[WeekIndex],30)=0,"",SUMIFS(T_TTAFStock_Log[TTAF_Qty],T_TTAFStock_Log[Part Name],$A45,T_TTAFStock_Log[WeekIndex],30))</f>
        <v/>
      </c>
      <c r="AF45" s="18">
        <f>IF(COUNTIFS(T_TTAFStock_Log[Part Name],$A45,T_TTAFStock_Log[WeekIndex],31)=0,"",SUMIFS(T_TTAFStock_Log[TTAF_Qty],T_TTAFStock_Log[Part Name],$A45,T_TTAFStock_Log[WeekIndex],31))</f>
        <v/>
      </c>
      <c r="AG45" s="18">
        <f>IF(COUNTIFS(T_TTAFStock_Log[Part Name],$A45,T_TTAFStock_Log[WeekIndex],32)=0,"",SUMIFS(T_TTAFStock_Log[TTAF_Qty],T_TTAFStock_Log[Part Name],$A45,T_TTAFStock_Log[WeekIndex],32))</f>
        <v/>
      </c>
      <c r="AH45" s="18">
        <f>IF(COUNTIFS(T_TTAFStock_Log[Part Name],$A45,T_TTAFStock_Log[WeekIndex],33)=0,"",SUMIFS(T_TTAFStock_Log[TTAF_Qty],T_TTAFStock_Log[Part Name],$A45,T_TTAFStock_Log[WeekIndex],33))</f>
        <v/>
      </c>
      <c r="AI45" s="18">
        <f>IF(COUNTIFS(T_TTAFStock_Log[Part Name],$A45,T_TTAFStock_Log[WeekIndex],34)=0,"",SUMIFS(T_TTAFStock_Log[TTAF_Qty],T_TTAFStock_Log[Part Name],$A45,T_TTAFStock_Log[WeekIndex],34))</f>
        <v/>
      </c>
      <c r="AJ45" s="18">
        <f>IF(COUNTIFS(T_TTAFStock_Log[Part Name],$A45,T_TTAFStock_Log[WeekIndex],35)=0,"",SUMIFS(T_TTAFStock_Log[TTAF_Qty],T_TTAFStock_Log[Part Name],$A45,T_TTAFStock_Log[WeekIndex],35))</f>
        <v/>
      </c>
      <c r="AK45" s="18">
        <f>IF(COUNTIFS(T_TTAFStock_Log[Part Name],$A45,T_TTAFStock_Log[WeekIndex],36)=0,"",SUMIFS(T_TTAFStock_Log[TTAF_Qty],T_TTAFStock_Log[Part Name],$A45,T_TTAFStock_Log[WeekIndex],36))</f>
        <v/>
      </c>
      <c r="AL45" s="18">
        <f>IF(COUNTIFS(T_TTAFStock_Log[Part Name],$A45,T_TTAFStock_Log[WeekIndex],37)=0,"",SUMIFS(T_TTAFStock_Log[TTAF_Qty],T_TTAFStock_Log[Part Name],$A45,T_TTAFStock_Log[WeekIndex],37))</f>
        <v/>
      </c>
      <c r="AM45" s="18">
        <f>IF(COUNTIFS(T_TTAFStock_Log[Part Name],$A45,T_TTAFStock_Log[WeekIndex],38)=0,"",SUMIFS(T_TTAFStock_Log[TTAF_Qty],T_TTAFStock_Log[Part Name],$A45,T_TTAFStock_Log[WeekIndex],38))</f>
        <v/>
      </c>
      <c r="AN45" s="18">
        <f>IF(COUNTIFS(T_TTAFStock_Log[Part Name],$A45,T_TTAFStock_Log[WeekIndex],39)=0,"",SUMIFS(T_TTAFStock_Log[TTAF_Qty],T_TTAFStock_Log[Part Name],$A45,T_TTAFStock_Log[WeekIndex],39))</f>
        <v/>
      </c>
      <c r="AO45" s="18">
        <f>IF(COUNTIFS(T_TTAFStock_Log[Part Name],$A45,T_TTAFStock_Log[WeekIndex],40)=0,"",SUMIFS(T_TTAFStock_Log[TTAF_Qty],T_TTAFStock_Log[Part Name],$A45,T_TTAFStock_Log[WeekIndex],40))</f>
        <v/>
      </c>
      <c r="AP45" s="18">
        <f>IF(COUNTIFS(T_TTAFStock_Log[Part Name],$A45,T_TTAFStock_Log[WeekIndex],41)=0,"",SUMIFS(T_TTAFStock_Log[TTAF_Qty],T_TTAFStock_Log[Part Name],$A45,T_TTAFStock_Log[WeekIndex],41))</f>
        <v/>
      </c>
      <c r="AQ45" s="18">
        <f>IF(COUNTIFS(T_TTAFStock_Log[Part Name],$A45,T_TTAFStock_Log[WeekIndex],42)=0,"",SUMIFS(T_TTAFStock_Log[TTAF_Qty],T_TTAFStock_Log[Part Name],$A45,T_TTAFStock_Log[WeekIndex],42))</f>
        <v/>
      </c>
      <c r="AR45" s="18">
        <f>IF(COUNTIFS(T_TTAFStock_Log[Part Name],$A45,T_TTAFStock_Log[WeekIndex],43)=0,"",SUMIFS(T_TTAFStock_Log[TTAF_Qty],T_TTAFStock_Log[Part Name],$A45,T_TTAFStock_Log[WeekIndex],43))</f>
        <v/>
      </c>
      <c r="AS45" s="18">
        <f>IF(COUNTIFS(T_TTAFStock_Log[Part Name],$A45,T_TTAFStock_Log[WeekIndex],44)=0,"",SUMIFS(T_TTAFStock_Log[TTAF_Qty],T_TTAFStock_Log[Part Name],$A45,T_TTAFStock_Log[WeekIndex],44))</f>
        <v/>
      </c>
      <c r="AT45" s="18">
        <f>IF(COUNTIFS(T_TTAFStock_Log[Part Name],$A45,T_TTAFStock_Log[WeekIndex],45)=0,"",SUMIFS(T_TTAFStock_Log[TTAF_Qty],T_TTAFStock_Log[Part Name],$A45,T_TTAFStock_Log[WeekIndex],45))</f>
        <v/>
      </c>
      <c r="AU45" s="18">
        <f>IF(COUNTIFS(T_TTAFStock_Log[Part Name],$A45,T_TTAFStock_Log[WeekIndex],46)=0,"",SUMIFS(T_TTAFStock_Log[TTAF_Qty],T_TTAFStock_Log[Part Name],$A45,T_TTAFStock_Log[WeekIndex],46))</f>
        <v/>
      </c>
      <c r="AV45" s="18">
        <f>IF(COUNTIFS(T_TTAFStock_Log[Part Name],$A45,T_TTAFStock_Log[WeekIndex],47)=0,"",SUMIFS(T_TTAFStock_Log[TTAF_Qty],T_TTAFStock_Log[Part Name],$A45,T_TTAFStock_Log[WeekIndex],47))</f>
        <v/>
      </c>
      <c r="AW45" s="18">
        <f>IF(COUNTIFS(T_TTAFStock_Log[Part Name],$A45,T_TTAFStock_Log[WeekIndex],48)=0,"",SUMIFS(T_TTAFStock_Log[TTAF_Qty],T_TTAFStock_Log[Part Name],$A45,T_TTAFStock_Log[WeekIndex],48))</f>
        <v/>
      </c>
      <c r="AX45" s="18">
        <f>IF(COUNTIFS(T_TTAFStock_Log[Part Name],$A45,T_TTAFStock_Log[WeekIndex],49)=0,"",SUMIFS(T_TTAFStock_Log[TTAF_Qty],T_TTAFStock_Log[Part Name],$A45,T_TTAFStock_Log[WeekIndex],49))</f>
        <v/>
      </c>
      <c r="AY45" s="18">
        <f>IF(COUNTIFS(T_TTAFStock_Log[Part Name],$A45,T_TTAFStock_Log[WeekIndex],50)=0,"",SUMIFS(T_TTAFStock_Log[TTAF_Qty],T_TTAFStock_Log[Part Name],$A45,T_TTAFStock_Log[WeekIndex],50))</f>
        <v/>
      </c>
      <c r="AZ45" s="18">
        <f>IF(COUNTIFS(T_TTAFStock_Log[Part Name],$A45,T_TTAFStock_Log[WeekIndex],51)=0,"",SUMIFS(T_TTAFStock_Log[TTAF_Qty],T_TTAFStock_Log[Part Name],$A45,T_TTAFStock_Log[WeekIndex],51))</f>
        <v/>
      </c>
      <c r="BA45" s="18">
        <f>IF(COUNTIFS(T_TTAFStock_Log[Part Name],$A45,T_TTAFStock_Log[WeekIndex],52)=0,"",SUMIFS(T_TTAFStock_Log[TTAF_Qty],T_TTAFStock_Log[Part Name],$A45,T_TTAFStock_Log[WeekIndex],52))</f>
        <v/>
      </c>
      <c r="BB45" s="18">
        <f>IF(COUNTIFS(T_TTAFStock_Log[Part Name],$A45,T_TTAFStock_Log[WeekIndex],53)=0,"",SUMIFS(T_TTAFStock_Log[TTAF_Qty],T_TTAFStock_Log[Part Name],$A45,T_TTAFStock_Log[WeekIndex],53))</f>
        <v/>
      </c>
      <c r="BC45" s="18">
        <f>IF(COUNTIFS(T_TTAFStock_Log[Part Name],$A45,T_TTAFStock_Log[WeekIndex],54)=0,"",SUMIFS(T_TTAFStock_Log[TTAF_Qty],T_TTAFStock_Log[Part Name],$A45,T_TTAFStock_Log[WeekIndex],54))</f>
        <v/>
      </c>
      <c r="BD45" s="18">
        <f>IF(COUNTIFS(T_TTAFStock_Log[Part Name],$A45,T_TTAFStock_Log[WeekIndex],55)=0,"",SUMIFS(T_TTAFStock_Log[TTAF_Qty],T_TTAFStock_Log[Part Name],$A45,T_TTAFStock_Log[WeekIndex],55))</f>
        <v/>
      </c>
      <c r="BE45" s="18">
        <f>IF(COUNTIFS(T_TTAFStock_Log[Part Name],$A45,T_TTAFStock_Log[WeekIndex],56)=0,"",SUMIFS(T_TTAFStock_Log[TTAF_Qty],T_TTAFStock_Log[Part Name],$A45,T_TTAFStock_Log[WeekIndex],56))</f>
        <v/>
      </c>
      <c r="BF45" s="18">
        <f>IF(COUNTIFS(T_TTAFStock_Log[Part Name],$A45,T_TTAFStock_Log[WeekIndex],57)=0,"",SUMIFS(T_TTAFStock_Log[TTAF_Qty],T_TTAFStock_Log[Part Name],$A45,T_TTAFStock_Log[WeekIndex],57))</f>
        <v/>
      </c>
      <c r="BG45" s="18">
        <f>IF(COUNTIFS(T_TTAFStock_Log[Part Name],$A45,T_TTAFStock_Log[WeekIndex],58)=0,"",SUMIFS(T_TTAFStock_Log[TTAF_Qty],T_TTAFStock_Log[Part Name],$A45,T_TTAFStock_Log[WeekIndex],58))</f>
        <v/>
      </c>
      <c r="BH45" s="18">
        <f>IF(COUNTIFS(T_TTAFStock_Log[Part Name],$A45,T_TTAFStock_Log[WeekIndex],59)=0,"",SUMIFS(T_TTAFStock_Log[TTAF_Qty],T_TTAFStock_Log[Part Name],$A45,T_TTAFStock_Log[WeekIndex],59))</f>
        <v/>
      </c>
      <c r="BI45" s="18">
        <f>IF(COUNTIFS(T_TTAFStock_Log[Part Name],$A45,T_TTAFStock_Log[WeekIndex],60)=0,"",SUMIFS(T_TTAFStock_Log[TTAF_Qty],T_TTAFStock_Log[Part Name],$A45,T_TTAFStock_Log[WeekIndex],60))</f>
        <v/>
      </c>
      <c r="BJ45" s="18">
        <f>IF(COUNTIFS(T_TTAFStock_Log[Part Name],$A45,T_TTAFStock_Log[WeekIndex],61)=0,"",SUMIFS(T_TTAFStock_Log[TTAF_Qty],T_TTAFStock_Log[Part Name],$A45,T_TTAFStock_Log[WeekIndex],61))</f>
        <v/>
      </c>
      <c r="BK45" s="18">
        <f>IF(COUNTIFS(T_TTAFStock_Log[Part Name],$A45,T_TTAFStock_Log[WeekIndex],62)=0,"",SUMIFS(T_TTAFStock_Log[TTAF_Qty],T_TTAFStock_Log[Part Name],$A45,T_TTAFStock_Log[WeekIndex],62))</f>
        <v/>
      </c>
      <c r="BL45" s="18">
        <f>IF(COUNTIFS(T_TTAFStock_Log[Part Name],$A45,T_TTAFStock_Log[WeekIndex],63)=0,"",SUMIFS(T_TTAFStock_Log[TTAF_Qty],T_TTAFStock_Log[Part Name],$A45,T_TTAFStock_Log[WeekIndex],63))</f>
        <v/>
      </c>
      <c r="BM45" s="18">
        <f>IF(COUNTIFS(T_TTAFStock_Log[Part Name],$A45,T_TTAFStock_Log[WeekIndex],64)=0,"",SUMIFS(T_TTAFStock_Log[TTAF_Qty],T_TTAFStock_Log[Part Name],$A45,T_TTAFStock_Log[WeekIndex],64))</f>
        <v/>
      </c>
      <c r="BN45" s="18">
        <f>IF(COUNTIFS(T_TTAFStock_Log[Part Name],$A45,T_TTAFStock_Log[WeekIndex],65)=0,"",SUMIFS(T_TTAFStock_Log[TTAF_Qty],T_TTAFStock_Log[Part Name],$A45,T_TTAFStock_Log[WeekIndex],65))</f>
        <v/>
      </c>
      <c r="BO45" s="18">
        <f>IF(COUNTIFS(T_TTAFStock_Log[Part Name],$A45,T_TTAFStock_Log[WeekIndex],66)=0,"",SUMIFS(T_TTAFStock_Log[TTAF_Qty],T_TTAFStock_Log[Part Name],$A45,T_TTAFStock_Log[WeekIndex],66))</f>
        <v/>
      </c>
      <c r="BP45" s="18">
        <f>IF(COUNTIFS(T_TTAFStock_Log[Part Name],$A45,T_TTAFStock_Log[WeekIndex],67)=0,"",SUMIFS(T_TTAFStock_Log[TTAF_Qty],T_TTAFStock_Log[Part Name],$A45,T_TTAFStock_Log[WeekIndex],67))</f>
        <v/>
      </c>
      <c r="BQ45" s="18">
        <f>IF(COUNTIFS(T_TTAFStock_Log[Part Name],$A45,T_TTAFStock_Log[WeekIndex],68)=0,"",SUMIFS(T_TTAFStock_Log[TTAF_Qty],T_TTAFStock_Log[Part Name],$A45,T_TTAFStock_Log[WeekIndex],68))</f>
        <v/>
      </c>
      <c r="BR45" s="18">
        <f>IF(COUNTIFS(T_TTAFStock_Log[Part Name],$A45,T_TTAFStock_Log[WeekIndex],69)=0,"",SUMIFS(T_TTAFStock_Log[TTAF_Qty],T_TTAFStock_Log[Part Name],$A45,T_TTAFStock_Log[WeekIndex],69))</f>
        <v/>
      </c>
      <c r="BS45" s="18">
        <f>IF(COUNTIFS(T_TTAFStock_Log[Part Name],$A45,T_TTAFStock_Log[WeekIndex],70)=0,"",SUMIFS(T_TTAFStock_Log[TTAF_Qty],T_TTAFStock_Log[Part Name],$A45,T_TTAFStock_Log[WeekIndex],70))</f>
        <v/>
      </c>
      <c r="BT45" s="18">
        <f>IF(COUNTIFS(T_TTAFStock_Log[Part Name],$A45,T_TTAFStock_Log[WeekIndex],71)=0,"",SUMIFS(T_TTAFStock_Log[TTAF_Qty],T_TTAFStock_Log[Part Name],$A45,T_TTAFStock_Log[WeekIndex],71))</f>
        <v/>
      </c>
      <c r="BU45" s="18">
        <f>IF(COUNTIFS(T_TTAFStock_Log[Part Name],$A45,T_TTAFStock_Log[WeekIndex],72)=0,"",SUMIFS(T_TTAFStock_Log[TTAF_Qty],T_TTAFStock_Log[Part Name],$A45,T_TTAFStock_Log[WeekIndex],72))</f>
        <v/>
      </c>
      <c r="BV45" s="18">
        <f>IF(COUNTIFS(T_TTAFStock_Log[Part Name],$A45,T_TTAFStock_Log[WeekIndex],73)=0,"",SUMIFS(T_TTAFStock_Log[TTAF_Qty],T_TTAFStock_Log[Part Name],$A45,T_TTAFStock_Log[WeekIndex],73))</f>
        <v/>
      </c>
      <c r="BW45" s="18">
        <f>IF(COUNTIFS(T_TTAFStock_Log[Part Name],$A45,T_TTAFStock_Log[WeekIndex],74)=0,"",SUMIFS(T_TTAFStock_Log[TTAF_Qty],T_TTAFStock_Log[Part Name],$A45,T_TTAFStock_Log[WeekIndex],74))</f>
        <v/>
      </c>
      <c r="BX45" s="18">
        <f>IF(COUNTIFS(T_TTAFStock_Log[Part Name],$A45,T_TTAFStock_Log[WeekIndex],75)=0,"",SUMIFS(T_TTAFStock_Log[TTAF_Qty],T_TTAFStock_Log[Part Name],$A45,T_TTAFStock_Log[WeekIndex],75))</f>
        <v/>
      </c>
      <c r="BY45" s="18">
        <f>IF(COUNTIFS(T_TTAFStock_Log[Part Name],$A45,T_TTAFStock_Log[WeekIndex],76)=0,"",SUMIFS(T_TTAFStock_Log[TTAF_Qty],T_TTAFStock_Log[Part Name],$A45,T_TTAFStock_Log[WeekIndex],76))</f>
        <v/>
      </c>
      <c r="BZ45" s="18">
        <f>IF(COUNTIFS(T_TTAFStock_Log[Part Name],$A45,T_TTAFStock_Log[WeekIndex],77)=0,"",SUMIFS(T_TTAFStock_Log[TTAF_Qty],T_TTAFStock_Log[Part Name],$A45,T_TTAFStock_Log[WeekIndex],77))</f>
        <v/>
      </c>
      <c r="CA45" s="18">
        <f>IF(COUNTIFS(T_TTAFStock_Log[Part Name],$A45,T_TTAFStock_Log[WeekIndex],78)=0,"",SUMIFS(T_TTAFStock_Log[TTAF_Qty],T_TTAFStock_Log[Part Name],$A45,T_TTAFStock_Log[WeekIndex],78))</f>
        <v/>
      </c>
      <c r="CB45" s="18">
        <f>IF(COUNTIFS(T_TTAFStock_Log[Part Name],$A45,T_TTAFStock_Log[WeekIndex],79)=0,"",SUMIFS(T_TTAFStock_Log[TTAF_Qty],T_TTAFStock_Log[Part Name],$A45,T_TTAFStock_Log[WeekIndex],79))</f>
        <v/>
      </c>
      <c r="CC45" s="18">
        <f>IF(COUNTIFS(T_TTAFStock_Log[Part Name],$A45,T_TTAFStock_Log[WeekIndex],80)=0,"",SUMIFS(T_TTAFStock_Log[TTAF_Qty],T_TTAFStock_Log[Part Name],$A45,T_TTAFStock_Log[WeekIndex],80))</f>
        <v/>
      </c>
      <c r="CD45" s="18">
        <f>IF(COUNTIFS(T_TTAFStock_Log[Part Name],$A45,T_TTAFStock_Log[WeekIndex],81)=0,"",SUMIFS(T_TTAFStock_Log[TTAF_Qty],T_TTAFStock_Log[Part Name],$A45,T_TTAFStock_Log[WeekIndex],81))</f>
        <v/>
      </c>
      <c r="CE45" s="18">
        <f>IF(COUNTIFS(T_TTAFStock_Log[Part Name],$A45,T_TTAFStock_Log[WeekIndex],82)=0,"",SUMIFS(T_TTAFStock_Log[TTAF_Qty],T_TTAFStock_Log[Part Name],$A45,T_TTAFStock_Log[WeekIndex],82))</f>
        <v/>
      </c>
      <c r="CF45" s="18">
        <f>IF(COUNTIFS(T_TTAFStock_Log[Part Name],$A45,T_TTAFStock_Log[WeekIndex],83)=0,"",SUMIFS(T_TTAFStock_Log[TTAF_Qty],T_TTAFStock_Log[Part Name],$A45,T_TTAFStock_Log[WeekIndex],83))</f>
        <v/>
      </c>
      <c r="CG45" s="18">
        <f>IF(COUNTIFS(T_TTAFStock_Log[Part Name],$A45,T_TTAFStock_Log[WeekIndex],84)=0,"",SUMIFS(T_TTAFStock_Log[TTAF_Qty],T_TTAFStock_Log[Part Name],$A45,T_TTAFStock_Log[WeekIndex],84))</f>
        <v/>
      </c>
      <c r="CH45" s="18">
        <f>IF(COUNTIFS(T_TTAFStock_Log[Part Name],$A45,T_TTAFStock_Log[WeekIndex],85)=0,"",SUMIFS(T_TTAFStock_Log[TTAF_Qty],T_TTAFStock_Log[Part Name],$A45,T_TTAFStock_Log[WeekIndex],85))</f>
        <v/>
      </c>
      <c r="CI45" s="18">
        <f>IF(COUNTIFS(T_TTAFStock_Log[Part Name],$A45,T_TTAFStock_Log[WeekIndex],86)=0,"",SUMIFS(T_TTAFStock_Log[TTAF_Qty],T_TTAFStock_Log[Part Name],$A45,T_TTAFStock_Log[WeekIndex],86))</f>
        <v/>
      </c>
      <c r="CJ45" s="18">
        <f>IF(COUNTIFS(T_TTAFStock_Log[Part Name],$A45,T_TTAFStock_Log[WeekIndex],87)=0,"",SUMIFS(T_TTAFStock_Log[TTAF_Qty],T_TTAFStock_Log[Part Name],$A45,T_TTAFStock_Log[WeekIndex],87))</f>
        <v/>
      </c>
      <c r="CK45" s="18">
        <f>IF(COUNTIFS(T_TTAFStock_Log[Part Name],$A45,T_TTAFStock_Log[WeekIndex],88)=0,"",SUMIFS(T_TTAFStock_Log[TTAF_Qty],T_TTAFStock_Log[Part Name],$A45,T_TTAFStock_Log[WeekIndex],88))</f>
        <v/>
      </c>
      <c r="CL45" s="18">
        <f>IF(COUNTIFS(T_TTAFStock_Log[Part Name],$A45,T_TTAFStock_Log[WeekIndex],89)=0,"",SUMIFS(T_TTAFStock_Log[TTAF_Qty],T_TTAFStock_Log[Part Name],$A45,T_TTAFStock_Log[WeekIndex],89))</f>
        <v/>
      </c>
      <c r="CM45" s="18">
        <f>IF(COUNTIFS(T_TTAFStock_Log[Part Name],$A45,T_TTAFStock_Log[WeekIndex],90)=0,"",SUMIFS(T_TTAFStock_Log[TTAF_Qty],T_TTAFStock_Log[Part Name],$A45,T_TTAFStock_Log[WeekIndex],90))</f>
        <v/>
      </c>
      <c r="CN45" s="18">
        <f>IF(COUNTIFS(T_TTAFStock_Log[Part Name],$A45,T_TTAFStock_Log[WeekIndex],91)=0,"",SUMIFS(T_TTAFStock_Log[TTAF_Qty],T_TTAFStock_Log[Part Name],$A45,T_TTAFStock_Log[WeekIndex],91))</f>
        <v/>
      </c>
      <c r="CO45" s="18">
        <f>IF(COUNTIFS(T_TTAFStock_Log[Part Name],$A45,T_TTAFStock_Log[WeekIndex],92)=0,"",SUMIFS(T_TTAFStock_Log[TTAF_Qty],T_TTAFStock_Log[Part Name],$A45,T_TTAFStock_Log[WeekIndex],92))</f>
        <v/>
      </c>
      <c r="CP45" s="18">
        <f>IF(COUNTIFS(T_TTAFStock_Log[Part Name],$A45,T_TTAFStock_Log[WeekIndex],93)=0,"",SUMIFS(T_TTAFStock_Log[TTAF_Qty],T_TTAFStock_Log[Part Name],$A45,T_TTAFStock_Log[WeekIndex],93))</f>
        <v/>
      </c>
      <c r="CQ45" s="18">
        <f>IF(COUNTIFS(T_TTAFStock_Log[Part Name],$A45,T_TTAFStock_Log[WeekIndex],94)=0,"",SUMIFS(T_TTAFStock_Log[TTAF_Qty],T_TTAFStock_Log[Part Name],$A45,T_TTAFStock_Log[WeekIndex],94))</f>
        <v/>
      </c>
      <c r="CR45" s="18">
        <f>IF(COUNTIFS(T_TTAFStock_Log[Part Name],$A45,T_TTAFStock_Log[WeekIndex],95)=0,"",SUMIFS(T_TTAFStock_Log[TTAF_Qty],T_TTAFStock_Log[Part Name],$A45,T_TTAFStock_Log[WeekIndex],95))</f>
        <v/>
      </c>
      <c r="CS45" s="18">
        <f>IF(COUNTIFS(T_TTAFStock_Log[Part Name],$A45,T_TTAFStock_Log[WeekIndex],96)=0,"",SUMIFS(T_TTAFStock_Log[TTAF_Qty],T_TTAFStock_Log[Part Name],$A45,T_TTAFStock_Log[WeekIndex],96))</f>
        <v/>
      </c>
      <c r="CT45" s="18">
        <f>IF(COUNTIFS(T_TTAFStock_Log[Part Name],$A45,T_TTAFStock_Log[WeekIndex],97)=0,"",SUMIFS(T_TTAFStock_Log[TTAF_Qty],T_TTAFStock_Log[Part Name],$A45,T_TTAFStock_Log[WeekIndex],97))</f>
        <v/>
      </c>
      <c r="CU45" s="18">
        <f>IF(COUNTIFS(T_TTAFStock_Log[Part Name],$A45,T_TTAFStock_Log[WeekIndex],98)=0,"",SUMIFS(T_TTAFStock_Log[TTAF_Qty],T_TTAFStock_Log[Part Name],$A45,T_TTAFStock_Log[WeekIndex],98))</f>
        <v/>
      </c>
      <c r="CV45" s="18">
        <f>IF(COUNTIFS(T_TTAFStock_Log[Part Name],$A45,T_TTAFStock_Log[WeekIndex],99)=0,"",SUMIFS(T_TTAFStock_Log[TTAF_Qty],T_TTAFStock_Log[Part Name],$A45,T_TTAFStock_Log[WeekIndex],99))</f>
        <v/>
      </c>
      <c r="CW45" s="18">
        <f>IF(COUNTIFS(T_TTAFStock_Log[Part Name],$A45,T_TTAFStock_Log[WeekIndex],100)=0,"",SUMIFS(T_TTAFStock_Log[TTAF_Qty],T_TTAFStock_Log[Part Name],$A45,T_TTAFStock_Log[WeekIndex],100))</f>
        <v/>
      </c>
      <c r="CX45" s="18">
        <f>IF(COUNTIFS(T_TTAFStock_Log[Part Name],$A45,T_TTAFStock_Log[WeekIndex],101)=0,"",SUMIFS(T_TTAFStock_Log[TTAF_Qty],T_TTAFStock_Log[Part Name],$A45,T_TTAFStock_Log[WeekIndex],101))</f>
        <v/>
      </c>
      <c r="CY45" s="18">
        <f>IF(COUNTIFS(T_TTAFStock_Log[Part Name],$A45,T_TTAFStock_Log[WeekIndex],102)=0,"",SUMIFS(T_TTAFStock_Log[TTAF_Qty],T_TTAFStock_Log[Part Name],$A45,T_TTAFStock_Log[WeekIndex],102))</f>
        <v/>
      </c>
      <c r="CZ45" s="18">
        <f>IF(COUNTIFS(T_TTAFStock_Log[Part Name],$A45,T_TTAFStock_Log[WeekIndex],103)=0,"",SUMIFS(T_TTAFStock_Log[TTAF_Qty],T_TTAFStock_Log[Part Name],$A45,T_TTAFStock_Log[WeekIndex],103))</f>
        <v/>
      </c>
      <c r="DA45" s="18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V03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8" t="inlineStr">
        <is>
          <t>V19</t>
        </is>
      </c>
      <c r="B47" s="18">
        <f>IF(COUNTIFS(T_TTAFStock_Log[Part Name],$A47,T_TTAFStock_Log[WeekIndex],1)=0,"",SUMIFS(T_TTAFStock_Log[TTAF_Qty],T_TTAFStock_Log[Part Name],$A47,T_TTAFStock_Log[WeekIndex],1))</f>
        <v/>
      </c>
      <c r="C47" s="18">
        <f>IF(COUNTIFS(T_TTAFStock_Log[Part Name],$A47,T_TTAFStock_Log[WeekIndex],2)=0,"",SUMIFS(T_TTAFStock_Log[TTAF_Qty],T_TTAFStock_Log[Part Name],$A47,T_TTAFStock_Log[WeekIndex],2))</f>
        <v/>
      </c>
      <c r="D47" s="18">
        <f>IF(COUNTIFS(T_TTAFStock_Log[Part Name],$A47,T_TTAFStock_Log[WeekIndex],3)=0,"",SUMIFS(T_TTAFStock_Log[TTAF_Qty],T_TTAFStock_Log[Part Name],$A47,T_TTAFStock_Log[WeekIndex],3))</f>
        <v/>
      </c>
      <c r="E47" s="18">
        <f>IF(COUNTIFS(T_TTAFStock_Log[Part Name],$A47,T_TTAFStock_Log[WeekIndex],4)=0,"",SUMIFS(T_TTAFStock_Log[TTAF_Qty],T_TTAFStock_Log[Part Name],$A47,T_TTAFStock_Log[WeekIndex],4))</f>
        <v/>
      </c>
      <c r="F47" s="18">
        <f>IF(COUNTIFS(T_TTAFStock_Log[Part Name],$A47,T_TTAFStock_Log[WeekIndex],5)=0,"",SUMIFS(T_TTAFStock_Log[TTAF_Qty],T_TTAFStock_Log[Part Name],$A47,T_TTAFStock_Log[WeekIndex],5))</f>
        <v/>
      </c>
      <c r="G47" s="18">
        <f>IF(COUNTIFS(T_TTAFStock_Log[Part Name],$A47,T_TTAFStock_Log[WeekIndex],6)=0,"",SUMIFS(T_TTAFStock_Log[TTAF_Qty],T_TTAFStock_Log[Part Name],$A47,T_TTAFStock_Log[WeekIndex],6))</f>
        <v/>
      </c>
      <c r="H47" s="18">
        <f>IF(COUNTIFS(T_TTAFStock_Log[Part Name],$A47,T_TTAFStock_Log[WeekIndex],7)=0,"",SUMIFS(T_TTAFStock_Log[TTAF_Qty],T_TTAFStock_Log[Part Name],$A47,T_TTAFStock_Log[WeekIndex],7))</f>
        <v/>
      </c>
      <c r="I47" s="18">
        <f>IF(COUNTIFS(T_TTAFStock_Log[Part Name],$A47,T_TTAFStock_Log[WeekIndex],8)=0,"",SUMIFS(T_TTAFStock_Log[TTAF_Qty],T_TTAFStock_Log[Part Name],$A47,T_TTAFStock_Log[WeekIndex],8))</f>
        <v/>
      </c>
      <c r="J47" s="18">
        <f>IF(COUNTIFS(T_TTAFStock_Log[Part Name],$A47,T_TTAFStock_Log[WeekIndex],9)=0,"",SUMIFS(T_TTAFStock_Log[TTAF_Qty],T_TTAFStock_Log[Part Name],$A47,T_TTAFStock_Log[WeekIndex],9))</f>
        <v/>
      </c>
      <c r="K47" s="18">
        <f>IF(COUNTIFS(T_TTAFStock_Log[Part Name],$A47,T_TTAFStock_Log[WeekIndex],10)=0,"",SUMIFS(T_TTAFStock_Log[TTAF_Qty],T_TTAFStock_Log[Part Name],$A47,T_TTAFStock_Log[WeekIndex],10))</f>
        <v/>
      </c>
      <c r="L47" s="18">
        <f>IF(COUNTIFS(T_TTAFStock_Log[Part Name],$A47,T_TTAFStock_Log[WeekIndex],11)=0,"",SUMIFS(T_TTAFStock_Log[TTAF_Qty],T_TTAFStock_Log[Part Name],$A47,T_TTAFStock_Log[WeekIndex],11))</f>
        <v/>
      </c>
      <c r="M47" s="18">
        <f>IF(COUNTIFS(T_TTAFStock_Log[Part Name],$A47,T_TTAFStock_Log[WeekIndex],12)=0,"",SUMIFS(T_TTAFStock_Log[TTAF_Qty],T_TTAFStock_Log[Part Name],$A47,T_TTAFStock_Log[WeekIndex],12))</f>
        <v/>
      </c>
      <c r="N47" s="18">
        <f>IF(COUNTIFS(T_TTAFStock_Log[Part Name],$A47,T_TTAFStock_Log[WeekIndex],13)=0,"",SUMIFS(T_TTAFStock_Log[TTAF_Qty],T_TTAFStock_Log[Part Name],$A47,T_TTAFStock_Log[WeekIndex],13))</f>
        <v/>
      </c>
      <c r="O47" s="18">
        <f>IF(COUNTIFS(T_TTAFStock_Log[Part Name],$A47,T_TTAFStock_Log[WeekIndex],14)=0,"",SUMIFS(T_TTAFStock_Log[TTAF_Qty],T_TTAFStock_Log[Part Name],$A47,T_TTAFStock_Log[WeekIndex],14))</f>
        <v/>
      </c>
      <c r="P47" s="18">
        <f>IF(COUNTIFS(T_TTAFStock_Log[Part Name],$A47,T_TTAFStock_Log[WeekIndex],15)=0,"",SUMIFS(T_TTAFStock_Log[TTAF_Qty],T_TTAFStock_Log[Part Name],$A47,T_TTAFStock_Log[WeekIndex],15))</f>
        <v/>
      </c>
      <c r="Q47" s="18">
        <f>IF(COUNTIFS(T_TTAFStock_Log[Part Name],$A47,T_TTAFStock_Log[WeekIndex],16)=0,"",SUMIFS(T_TTAFStock_Log[TTAF_Qty],T_TTAFStock_Log[Part Name],$A47,T_TTAFStock_Log[WeekIndex],16))</f>
        <v/>
      </c>
      <c r="R47" s="18">
        <f>IF(COUNTIFS(T_TTAFStock_Log[Part Name],$A47,T_TTAFStock_Log[WeekIndex],17)=0,"",SUMIFS(T_TTAFStock_Log[TTAF_Qty],T_TTAFStock_Log[Part Name],$A47,T_TTAFStock_Log[WeekIndex],17))</f>
        <v/>
      </c>
      <c r="S47" s="18">
        <f>IF(COUNTIFS(T_TTAFStock_Log[Part Name],$A47,T_TTAFStock_Log[WeekIndex],18)=0,"",SUMIFS(T_TTAFStock_Log[TTAF_Qty],T_TTAFStock_Log[Part Name],$A47,T_TTAFStock_Log[WeekIndex],18))</f>
        <v/>
      </c>
      <c r="T47" s="18">
        <f>IF(COUNTIFS(T_TTAFStock_Log[Part Name],$A47,T_TTAFStock_Log[WeekIndex],19)=0,"",SUMIFS(T_TTAFStock_Log[TTAF_Qty],T_TTAFStock_Log[Part Name],$A47,T_TTAFStock_Log[WeekIndex],19))</f>
        <v/>
      </c>
      <c r="U47" s="18">
        <f>IF(COUNTIFS(T_TTAFStock_Log[Part Name],$A47,T_TTAFStock_Log[WeekIndex],20)=0,"",SUMIFS(T_TTAFStock_Log[TTAF_Qty],T_TTAFStock_Log[Part Name],$A47,T_TTAFStock_Log[WeekIndex],20))</f>
        <v/>
      </c>
      <c r="V47" s="18">
        <f>IF(COUNTIFS(T_TTAFStock_Log[Part Name],$A47,T_TTAFStock_Log[WeekIndex],21)=0,"",SUMIFS(T_TTAFStock_Log[TTAF_Qty],T_TTAFStock_Log[Part Name],$A47,T_TTAFStock_Log[WeekIndex],21))</f>
        <v/>
      </c>
      <c r="W47" s="18">
        <f>IF(COUNTIFS(T_TTAFStock_Log[Part Name],$A47,T_TTAFStock_Log[WeekIndex],22)=0,"",SUMIFS(T_TTAFStock_Log[TTAF_Qty],T_TTAFStock_Log[Part Name],$A47,T_TTAFStock_Log[WeekIndex],22))</f>
        <v/>
      </c>
      <c r="X47" s="18">
        <f>IF(COUNTIFS(T_TTAFStock_Log[Part Name],$A47,T_TTAFStock_Log[WeekIndex],23)=0,"",SUMIFS(T_TTAFStock_Log[TTAF_Qty],T_TTAFStock_Log[Part Name],$A47,T_TTAFStock_Log[WeekIndex],23))</f>
        <v/>
      </c>
      <c r="Y47" s="18">
        <f>IF(COUNTIFS(T_TTAFStock_Log[Part Name],$A47,T_TTAFStock_Log[WeekIndex],24)=0,"",SUMIFS(T_TTAFStock_Log[TTAF_Qty],T_TTAFStock_Log[Part Name],$A47,T_TTAFStock_Log[WeekIndex],24))</f>
        <v/>
      </c>
      <c r="Z47" s="18">
        <f>IF(COUNTIFS(T_TTAFStock_Log[Part Name],$A47,T_TTAFStock_Log[WeekIndex],25)=0,"",SUMIFS(T_TTAFStock_Log[TTAF_Qty],T_TTAFStock_Log[Part Name],$A47,T_TTAFStock_Log[WeekIndex],25))</f>
        <v/>
      </c>
      <c r="AA47" s="18">
        <f>IF(COUNTIFS(T_TTAFStock_Log[Part Name],$A47,T_TTAFStock_Log[WeekIndex],26)=0,"",SUMIFS(T_TTAFStock_Log[TTAF_Qty],T_TTAFStock_Log[Part Name],$A47,T_TTAFStock_Log[WeekIndex],26))</f>
        <v/>
      </c>
      <c r="AB47" s="18">
        <f>IF(COUNTIFS(T_TTAFStock_Log[Part Name],$A47,T_TTAFStock_Log[WeekIndex],27)=0,"",SUMIFS(T_TTAFStock_Log[TTAF_Qty],T_TTAFStock_Log[Part Name],$A47,T_TTAFStock_Log[WeekIndex],27))</f>
        <v/>
      </c>
      <c r="AC47" s="18">
        <f>IF(COUNTIFS(T_TTAFStock_Log[Part Name],$A47,T_TTAFStock_Log[WeekIndex],28)=0,"",SUMIFS(T_TTAFStock_Log[TTAF_Qty],T_TTAFStock_Log[Part Name],$A47,T_TTAFStock_Log[WeekIndex],28))</f>
        <v/>
      </c>
      <c r="AD47" s="18">
        <f>IF(COUNTIFS(T_TTAFStock_Log[Part Name],$A47,T_TTAFStock_Log[WeekIndex],29)=0,"",SUMIFS(T_TTAFStock_Log[TTAF_Qty],T_TTAFStock_Log[Part Name],$A47,T_TTAFStock_Log[WeekIndex],29))</f>
        <v/>
      </c>
      <c r="AE47" s="18">
        <f>IF(COUNTIFS(T_TTAFStock_Log[Part Name],$A47,T_TTAFStock_Log[WeekIndex],30)=0,"",SUMIFS(T_TTAFStock_Log[TTAF_Qty],T_TTAFStock_Log[Part Name],$A47,T_TTAFStock_Log[WeekIndex],30))</f>
        <v/>
      </c>
      <c r="AF47" s="18">
        <f>IF(COUNTIFS(T_TTAFStock_Log[Part Name],$A47,T_TTAFStock_Log[WeekIndex],31)=0,"",SUMIFS(T_TTAFStock_Log[TTAF_Qty],T_TTAFStock_Log[Part Name],$A47,T_TTAFStock_Log[WeekIndex],31))</f>
        <v/>
      </c>
      <c r="AG47" s="18">
        <f>IF(COUNTIFS(T_TTAFStock_Log[Part Name],$A47,T_TTAFStock_Log[WeekIndex],32)=0,"",SUMIFS(T_TTAFStock_Log[TTAF_Qty],T_TTAFStock_Log[Part Name],$A47,T_TTAFStock_Log[WeekIndex],32))</f>
        <v/>
      </c>
      <c r="AH47" s="18">
        <f>IF(COUNTIFS(T_TTAFStock_Log[Part Name],$A47,T_TTAFStock_Log[WeekIndex],33)=0,"",SUMIFS(T_TTAFStock_Log[TTAF_Qty],T_TTAFStock_Log[Part Name],$A47,T_TTAFStock_Log[WeekIndex],33))</f>
        <v/>
      </c>
      <c r="AI47" s="18">
        <f>IF(COUNTIFS(T_TTAFStock_Log[Part Name],$A47,T_TTAFStock_Log[WeekIndex],34)=0,"",SUMIFS(T_TTAFStock_Log[TTAF_Qty],T_TTAFStock_Log[Part Name],$A47,T_TTAFStock_Log[WeekIndex],34))</f>
        <v/>
      </c>
      <c r="AJ47" s="18">
        <f>IF(COUNTIFS(T_TTAFStock_Log[Part Name],$A47,T_TTAFStock_Log[WeekIndex],35)=0,"",SUMIFS(T_TTAFStock_Log[TTAF_Qty],T_TTAFStock_Log[Part Name],$A47,T_TTAFStock_Log[WeekIndex],35))</f>
        <v/>
      </c>
      <c r="AK47" s="18">
        <f>IF(COUNTIFS(T_TTAFStock_Log[Part Name],$A47,T_TTAFStock_Log[WeekIndex],36)=0,"",SUMIFS(T_TTAFStock_Log[TTAF_Qty],T_TTAFStock_Log[Part Name],$A47,T_TTAFStock_Log[WeekIndex],36))</f>
        <v/>
      </c>
      <c r="AL47" s="18">
        <f>IF(COUNTIFS(T_TTAFStock_Log[Part Name],$A47,T_TTAFStock_Log[WeekIndex],37)=0,"",SUMIFS(T_TTAFStock_Log[TTAF_Qty],T_TTAFStock_Log[Part Name],$A47,T_TTAFStock_Log[WeekIndex],37))</f>
        <v/>
      </c>
      <c r="AM47" s="18">
        <f>IF(COUNTIFS(T_TTAFStock_Log[Part Name],$A47,T_TTAFStock_Log[WeekIndex],38)=0,"",SUMIFS(T_TTAFStock_Log[TTAF_Qty],T_TTAFStock_Log[Part Name],$A47,T_TTAFStock_Log[WeekIndex],38))</f>
        <v/>
      </c>
      <c r="AN47" s="18">
        <f>IF(COUNTIFS(T_TTAFStock_Log[Part Name],$A47,T_TTAFStock_Log[WeekIndex],39)=0,"",SUMIFS(T_TTAFStock_Log[TTAF_Qty],T_TTAFStock_Log[Part Name],$A47,T_TTAFStock_Log[WeekIndex],39))</f>
        <v/>
      </c>
      <c r="AO47" s="18">
        <f>IF(COUNTIFS(T_TTAFStock_Log[Part Name],$A47,T_TTAFStock_Log[WeekIndex],40)=0,"",SUMIFS(T_TTAFStock_Log[TTAF_Qty],T_TTAFStock_Log[Part Name],$A47,T_TTAFStock_Log[WeekIndex],40))</f>
        <v/>
      </c>
      <c r="AP47" s="18">
        <f>IF(COUNTIFS(T_TTAFStock_Log[Part Name],$A47,T_TTAFStock_Log[WeekIndex],41)=0,"",SUMIFS(T_TTAFStock_Log[TTAF_Qty],T_TTAFStock_Log[Part Name],$A47,T_TTAFStock_Log[WeekIndex],41))</f>
        <v/>
      </c>
      <c r="AQ47" s="18">
        <f>IF(COUNTIFS(T_TTAFStock_Log[Part Name],$A47,T_TTAFStock_Log[WeekIndex],42)=0,"",SUMIFS(T_TTAFStock_Log[TTAF_Qty],T_TTAFStock_Log[Part Name],$A47,T_TTAFStock_Log[WeekIndex],42))</f>
        <v/>
      </c>
      <c r="AR47" s="18">
        <f>IF(COUNTIFS(T_TTAFStock_Log[Part Name],$A47,T_TTAFStock_Log[WeekIndex],43)=0,"",SUMIFS(T_TTAFStock_Log[TTAF_Qty],T_TTAFStock_Log[Part Name],$A47,T_TTAFStock_Log[WeekIndex],43))</f>
        <v/>
      </c>
      <c r="AS47" s="18">
        <f>IF(COUNTIFS(T_TTAFStock_Log[Part Name],$A47,T_TTAFStock_Log[WeekIndex],44)=0,"",SUMIFS(T_TTAFStock_Log[TTAF_Qty],T_TTAFStock_Log[Part Name],$A47,T_TTAFStock_Log[WeekIndex],44))</f>
        <v/>
      </c>
      <c r="AT47" s="18">
        <f>IF(COUNTIFS(T_TTAFStock_Log[Part Name],$A47,T_TTAFStock_Log[WeekIndex],45)=0,"",SUMIFS(T_TTAFStock_Log[TTAF_Qty],T_TTAFStock_Log[Part Name],$A47,T_TTAFStock_Log[WeekIndex],45))</f>
        <v/>
      </c>
      <c r="AU47" s="18">
        <f>IF(COUNTIFS(T_TTAFStock_Log[Part Name],$A47,T_TTAFStock_Log[WeekIndex],46)=0,"",SUMIFS(T_TTAFStock_Log[TTAF_Qty],T_TTAFStock_Log[Part Name],$A47,T_TTAFStock_Log[WeekIndex],46))</f>
        <v/>
      </c>
      <c r="AV47" s="18">
        <f>IF(COUNTIFS(T_TTAFStock_Log[Part Name],$A47,T_TTAFStock_Log[WeekIndex],47)=0,"",SUMIFS(T_TTAFStock_Log[TTAF_Qty],T_TTAFStock_Log[Part Name],$A47,T_TTAFStock_Log[WeekIndex],47))</f>
        <v/>
      </c>
      <c r="AW47" s="18">
        <f>IF(COUNTIFS(T_TTAFStock_Log[Part Name],$A47,T_TTAFStock_Log[WeekIndex],48)=0,"",SUMIFS(T_TTAFStock_Log[TTAF_Qty],T_TTAFStock_Log[Part Name],$A47,T_TTAFStock_Log[WeekIndex],48))</f>
        <v/>
      </c>
      <c r="AX47" s="18">
        <f>IF(COUNTIFS(T_TTAFStock_Log[Part Name],$A47,T_TTAFStock_Log[WeekIndex],49)=0,"",SUMIFS(T_TTAFStock_Log[TTAF_Qty],T_TTAFStock_Log[Part Name],$A47,T_TTAFStock_Log[WeekIndex],49))</f>
        <v/>
      </c>
      <c r="AY47" s="18">
        <f>IF(COUNTIFS(T_TTAFStock_Log[Part Name],$A47,T_TTAFStock_Log[WeekIndex],50)=0,"",SUMIFS(T_TTAFStock_Log[TTAF_Qty],T_TTAFStock_Log[Part Name],$A47,T_TTAFStock_Log[WeekIndex],50))</f>
        <v/>
      </c>
      <c r="AZ47" s="18">
        <f>IF(COUNTIFS(T_TTAFStock_Log[Part Name],$A47,T_TTAFStock_Log[WeekIndex],51)=0,"",SUMIFS(T_TTAFStock_Log[TTAF_Qty],T_TTAFStock_Log[Part Name],$A47,T_TTAFStock_Log[WeekIndex],51))</f>
        <v/>
      </c>
      <c r="BA47" s="18">
        <f>IF(COUNTIFS(T_TTAFStock_Log[Part Name],$A47,T_TTAFStock_Log[WeekIndex],52)=0,"",SUMIFS(T_TTAFStock_Log[TTAF_Qty],T_TTAFStock_Log[Part Name],$A47,T_TTAFStock_Log[WeekIndex],52))</f>
        <v/>
      </c>
      <c r="BB47" s="18">
        <f>IF(COUNTIFS(T_TTAFStock_Log[Part Name],$A47,T_TTAFStock_Log[WeekIndex],53)=0,"",SUMIFS(T_TTAFStock_Log[TTAF_Qty],T_TTAFStock_Log[Part Name],$A47,T_TTAFStock_Log[WeekIndex],53))</f>
        <v/>
      </c>
      <c r="BC47" s="18">
        <f>IF(COUNTIFS(T_TTAFStock_Log[Part Name],$A47,T_TTAFStock_Log[WeekIndex],54)=0,"",SUMIFS(T_TTAFStock_Log[TTAF_Qty],T_TTAFStock_Log[Part Name],$A47,T_TTAFStock_Log[WeekIndex],54))</f>
        <v/>
      </c>
      <c r="BD47" s="18">
        <f>IF(COUNTIFS(T_TTAFStock_Log[Part Name],$A47,T_TTAFStock_Log[WeekIndex],55)=0,"",SUMIFS(T_TTAFStock_Log[TTAF_Qty],T_TTAFStock_Log[Part Name],$A47,T_TTAFStock_Log[WeekIndex],55))</f>
        <v/>
      </c>
      <c r="BE47" s="18">
        <f>IF(COUNTIFS(T_TTAFStock_Log[Part Name],$A47,T_TTAFStock_Log[WeekIndex],56)=0,"",SUMIFS(T_TTAFStock_Log[TTAF_Qty],T_TTAFStock_Log[Part Name],$A47,T_TTAFStock_Log[WeekIndex],56))</f>
        <v/>
      </c>
      <c r="BF47" s="18">
        <f>IF(COUNTIFS(T_TTAFStock_Log[Part Name],$A47,T_TTAFStock_Log[WeekIndex],57)=0,"",SUMIFS(T_TTAFStock_Log[TTAF_Qty],T_TTAFStock_Log[Part Name],$A47,T_TTAFStock_Log[WeekIndex],57))</f>
        <v/>
      </c>
      <c r="BG47" s="18">
        <f>IF(COUNTIFS(T_TTAFStock_Log[Part Name],$A47,T_TTAFStock_Log[WeekIndex],58)=0,"",SUMIFS(T_TTAFStock_Log[TTAF_Qty],T_TTAFStock_Log[Part Name],$A47,T_TTAFStock_Log[WeekIndex],58))</f>
        <v/>
      </c>
      <c r="BH47" s="18">
        <f>IF(COUNTIFS(T_TTAFStock_Log[Part Name],$A47,T_TTAFStock_Log[WeekIndex],59)=0,"",SUMIFS(T_TTAFStock_Log[TTAF_Qty],T_TTAFStock_Log[Part Name],$A47,T_TTAFStock_Log[WeekIndex],59))</f>
        <v/>
      </c>
      <c r="BI47" s="18">
        <f>IF(COUNTIFS(T_TTAFStock_Log[Part Name],$A47,T_TTAFStock_Log[WeekIndex],60)=0,"",SUMIFS(T_TTAFStock_Log[TTAF_Qty],T_TTAFStock_Log[Part Name],$A47,T_TTAFStock_Log[WeekIndex],60))</f>
        <v/>
      </c>
      <c r="BJ47" s="18">
        <f>IF(COUNTIFS(T_TTAFStock_Log[Part Name],$A47,T_TTAFStock_Log[WeekIndex],61)=0,"",SUMIFS(T_TTAFStock_Log[TTAF_Qty],T_TTAFStock_Log[Part Name],$A47,T_TTAFStock_Log[WeekIndex],61))</f>
        <v/>
      </c>
      <c r="BK47" s="18">
        <f>IF(COUNTIFS(T_TTAFStock_Log[Part Name],$A47,T_TTAFStock_Log[WeekIndex],62)=0,"",SUMIFS(T_TTAFStock_Log[TTAF_Qty],T_TTAFStock_Log[Part Name],$A47,T_TTAFStock_Log[WeekIndex],62))</f>
        <v/>
      </c>
      <c r="BL47" s="18">
        <f>IF(COUNTIFS(T_TTAFStock_Log[Part Name],$A47,T_TTAFStock_Log[WeekIndex],63)=0,"",SUMIFS(T_TTAFStock_Log[TTAF_Qty],T_TTAFStock_Log[Part Name],$A47,T_TTAFStock_Log[WeekIndex],63))</f>
        <v/>
      </c>
      <c r="BM47" s="18">
        <f>IF(COUNTIFS(T_TTAFStock_Log[Part Name],$A47,T_TTAFStock_Log[WeekIndex],64)=0,"",SUMIFS(T_TTAFStock_Log[TTAF_Qty],T_TTAFStock_Log[Part Name],$A47,T_TTAFStock_Log[WeekIndex],64))</f>
        <v/>
      </c>
      <c r="BN47" s="18">
        <f>IF(COUNTIFS(T_TTAFStock_Log[Part Name],$A47,T_TTAFStock_Log[WeekIndex],65)=0,"",SUMIFS(T_TTAFStock_Log[TTAF_Qty],T_TTAFStock_Log[Part Name],$A47,T_TTAFStock_Log[WeekIndex],65))</f>
        <v/>
      </c>
      <c r="BO47" s="18">
        <f>IF(COUNTIFS(T_TTAFStock_Log[Part Name],$A47,T_TTAFStock_Log[WeekIndex],66)=0,"",SUMIFS(T_TTAFStock_Log[TTAF_Qty],T_TTAFStock_Log[Part Name],$A47,T_TTAFStock_Log[WeekIndex],66))</f>
        <v/>
      </c>
      <c r="BP47" s="18">
        <f>IF(COUNTIFS(T_TTAFStock_Log[Part Name],$A47,T_TTAFStock_Log[WeekIndex],67)=0,"",SUMIFS(T_TTAFStock_Log[TTAF_Qty],T_TTAFStock_Log[Part Name],$A47,T_TTAFStock_Log[WeekIndex],67))</f>
        <v/>
      </c>
      <c r="BQ47" s="18">
        <f>IF(COUNTIFS(T_TTAFStock_Log[Part Name],$A47,T_TTAFStock_Log[WeekIndex],68)=0,"",SUMIFS(T_TTAFStock_Log[TTAF_Qty],T_TTAFStock_Log[Part Name],$A47,T_TTAFStock_Log[WeekIndex],68))</f>
        <v/>
      </c>
      <c r="BR47" s="18">
        <f>IF(COUNTIFS(T_TTAFStock_Log[Part Name],$A47,T_TTAFStock_Log[WeekIndex],69)=0,"",SUMIFS(T_TTAFStock_Log[TTAF_Qty],T_TTAFStock_Log[Part Name],$A47,T_TTAFStock_Log[WeekIndex],69))</f>
        <v/>
      </c>
      <c r="BS47" s="18">
        <f>IF(COUNTIFS(T_TTAFStock_Log[Part Name],$A47,T_TTAFStock_Log[WeekIndex],70)=0,"",SUMIFS(T_TTAFStock_Log[TTAF_Qty],T_TTAFStock_Log[Part Name],$A47,T_TTAFStock_Log[WeekIndex],70))</f>
        <v/>
      </c>
      <c r="BT47" s="18">
        <f>IF(COUNTIFS(T_TTAFStock_Log[Part Name],$A47,T_TTAFStock_Log[WeekIndex],71)=0,"",SUMIFS(T_TTAFStock_Log[TTAF_Qty],T_TTAFStock_Log[Part Name],$A47,T_TTAFStock_Log[WeekIndex],71))</f>
        <v/>
      </c>
      <c r="BU47" s="18">
        <f>IF(COUNTIFS(T_TTAFStock_Log[Part Name],$A47,T_TTAFStock_Log[WeekIndex],72)=0,"",SUMIFS(T_TTAFStock_Log[TTAF_Qty],T_TTAFStock_Log[Part Name],$A47,T_TTAFStock_Log[WeekIndex],72))</f>
        <v/>
      </c>
      <c r="BV47" s="18">
        <f>IF(COUNTIFS(T_TTAFStock_Log[Part Name],$A47,T_TTAFStock_Log[WeekIndex],73)=0,"",SUMIFS(T_TTAFStock_Log[TTAF_Qty],T_TTAFStock_Log[Part Name],$A47,T_TTAFStock_Log[WeekIndex],73))</f>
        <v/>
      </c>
      <c r="BW47" s="18">
        <f>IF(COUNTIFS(T_TTAFStock_Log[Part Name],$A47,T_TTAFStock_Log[WeekIndex],74)=0,"",SUMIFS(T_TTAFStock_Log[TTAF_Qty],T_TTAFStock_Log[Part Name],$A47,T_TTAFStock_Log[WeekIndex],74))</f>
        <v/>
      </c>
      <c r="BX47" s="18">
        <f>IF(COUNTIFS(T_TTAFStock_Log[Part Name],$A47,T_TTAFStock_Log[WeekIndex],75)=0,"",SUMIFS(T_TTAFStock_Log[TTAF_Qty],T_TTAFStock_Log[Part Name],$A47,T_TTAFStock_Log[WeekIndex],75))</f>
        <v/>
      </c>
      <c r="BY47" s="18">
        <f>IF(COUNTIFS(T_TTAFStock_Log[Part Name],$A47,T_TTAFStock_Log[WeekIndex],76)=0,"",SUMIFS(T_TTAFStock_Log[TTAF_Qty],T_TTAFStock_Log[Part Name],$A47,T_TTAFStock_Log[WeekIndex],76))</f>
        <v/>
      </c>
      <c r="BZ47" s="18">
        <f>IF(COUNTIFS(T_TTAFStock_Log[Part Name],$A47,T_TTAFStock_Log[WeekIndex],77)=0,"",SUMIFS(T_TTAFStock_Log[TTAF_Qty],T_TTAFStock_Log[Part Name],$A47,T_TTAFStock_Log[WeekIndex],77))</f>
        <v/>
      </c>
      <c r="CA47" s="18">
        <f>IF(COUNTIFS(T_TTAFStock_Log[Part Name],$A47,T_TTAFStock_Log[WeekIndex],78)=0,"",SUMIFS(T_TTAFStock_Log[TTAF_Qty],T_TTAFStock_Log[Part Name],$A47,T_TTAFStock_Log[WeekIndex],78))</f>
        <v/>
      </c>
      <c r="CB47" s="18">
        <f>IF(COUNTIFS(T_TTAFStock_Log[Part Name],$A47,T_TTAFStock_Log[WeekIndex],79)=0,"",SUMIFS(T_TTAFStock_Log[TTAF_Qty],T_TTAFStock_Log[Part Name],$A47,T_TTAFStock_Log[WeekIndex],79))</f>
        <v/>
      </c>
      <c r="CC47" s="18">
        <f>IF(COUNTIFS(T_TTAFStock_Log[Part Name],$A47,T_TTAFStock_Log[WeekIndex],80)=0,"",SUMIFS(T_TTAFStock_Log[TTAF_Qty],T_TTAFStock_Log[Part Name],$A47,T_TTAFStock_Log[WeekIndex],80))</f>
        <v/>
      </c>
      <c r="CD47" s="18">
        <f>IF(COUNTIFS(T_TTAFStock_Log[Part Name],$A47,T_TTAFStock_Log[WeekIndex],81)=0,"",SUMIFS(T_TTAFStock_Log[TTAF_Qty],T_TTAFStock_Log[Part Name],$A47,T_TTAFStock_Log[WeekIndex],81))</f>
        <v/>
      </c>
      <c r="CE47" s="18">
        <f>IF(COUNTIFS(T_TTAFStock_Log[Part Name],$A47,T_TTAFStock_Log[WeekIndex],82)=0,"",SUMIFS(T_TTAFStock_Log[TTAF_Qty],T_TTAFStock_Log[Part Name],$A47,T_TTAFStock_Log[WeekIndex],82))</f>
        <v/>
      </c>
      <c r="CF47" s="18">
        <f>IF(COUNTIFS(T_TTAFStock_Log[Part Name],$A47,T_TTAFStock_Log[WeekIndex],83)=0,"",SUMIFS(T_TTAFStock_Log[TTAF_Qty],T_TTAFStock_Log[Part Name],$A47,T_TTAFStock_Log[WeekIndex],83))</f>
        <v/>
      </c>
      <c r="CG47" s="18">
        <f>IF(COUNTIFS(T_TTAFStock_Log[Part Name],$A47,T_TTAFStock_Log[WeekIndex],84)=0,"",SUMIFS(T_TTAFStock_Log[TTAF_Qty],T_TTAFStock_Log[Part Name],$A47,T_TTAFStock_Log[WeekIndex],84))</f>
        <v/>
      </c>
      <c r="CH47" s="18">
        <f>IF(COUNTIFS(T_TTAFStock_Log[Part Name],$A47,T_TTAFStock_Log[WeekIndex],85)=0,"",SUMIFS(T_TTAFStock_Log[TTAF_Qty],T_TTAFStock_Log[Part Name],$A47,T_TTAFStock_Log[WeekIndex],85))</f>
        <v/>
      </c>
      <c r="CI47" s="18">
        <f>IF(COUNTIFS(T_TTAFStock_Log[Part Name],$A47,T_TTAFStock_Log[WeekIndex],86)=0,"",SUMIFS(T_TTAFStock_Log[TTAF_Qty],T_TTAFStock_Log[Part Name],$A47,T_TTAFStock_Log[WeekIndex],86))</f>
        <v/>
      </c>
      <c r="CJ47" s="18">
        <f>IF(COUNTIFS(T_TTAFStock_Log[Part Name],$A47,T_TTAFStock_Log[WeekIndex],87)=0,"",SUMIFS(T_TTAFStock_Log[TTAF_Qty],T_TTAFStock_Log[Part Name],$A47,T_TTAFStock_Log[WeekIndex],87))</f>
        <v/>
      </c>
      <c r="CK47" s="18">
        <f>IF(COUNTIFS(T_TTAFStock_Log[Part Name],$A47,T_TTAFStock_Log[WeekIndex],88)=0,"",SUMIFS(T_TTAFStock_Log[TTAF_Qty],T_TTAFStock_Log[Part Name],$A47,T_TTAFStock_Log[WeekIndex],88))</f>
        <v/>
      </c>
      <c r="CL47" s="18">
        <f>IF(COUNTIFS(T_TTAFStock_Log[Part Name],$A47,T_TTAFStock_Log[WeekIndex],89)=0,"",SUMIFS(T_TTAFStock_Log[TTAF_Qty],T_TTAFStock_Log[Part Name],$A47,T_TTAFStock_Log[WeekIndex],89))</f>
        <v/>
      </c>
      <c r="CM47" s="18">
        <f>IF(COUNTIFS(T_TTAFStock_Log[Part Name],$A47,T_TTAFStock_Log[WeekIndex],90)=0,"",SUMIFS(T_TTAFStock_Log[TTAF_Qty],T_TTAFStock_Log[Part Name],$A47,T_TTAFStock_Log[WeekIndex],90))</f>
        <v/>
      </c>
      <c r="CN47" s="18">
        <f>IF(COUNTIFS(T_TTAFStock_Log[Part Name],$A47,T_TTAFStock_Log[WeekIndex],91)=0,"",SUMIFS(T_TTAFStock_Log[TTAF_Qty],T_TTAFStock_Log[Part Name],$A47,T_TTAFStock_Log[WeekIndex],91))</f>
        <v/>
      </c>
      <c r="CO47" s="18">
        <f>IF(COUNTIFS(T_TTAFStock_Log[Part Name],$A47,T_TTAFStock_Log[WeekIndex],92)=0,"",SUMIFS(T_TTAFStock_Log[TTAF_Qty],T_TTAFStock_Log[Part Name],$A47,T_TTAFStock_Log[WeekIndex],92))</f>
        <v/>
      </c>
      <c r="CP47" s="18">
        <f>IF(COUNTIFS(T_TTAFStock_Log[Part Name],$A47,T_TTAFStock_Log[WeekIndex],93)=0,"",SUMIFS(T_TTAFStock_Log[TTAF_Qty],T_TTAFStock_Log[Part Name],$A47,T_TTAFStock_Log[WeekIndex],93))</f>
        <v/>
      </c>
      <c r="CQ47" s="18">
        <f>IF(COUNTIFS(T_TTAFStock_Log[Part Name],$A47,T_TTAFStock_Log[WeekIndex],94)=0,"",SUMIFS(T_TTAFStock_Log[TTAF_Qty],T_TTAFStock_Log[Part Name],$A47,T_TTAFStock_Log[WeekIndex],94))</f>
        <v/>
      </c>
      <c r="CR47" s="18">
        <f>IF(COUNTIFS(T_TTAFStock_Log[Part Name],$A47,T_TTAFStock_Log[WeekIndex],95)=0,"",SUMIFS(T_TTAFStock_Log[TTAF_Qty],T_TTAFStock_Log[Part Name],$A47,T_TTAFStock_Log[WeekIndex],95))</f>
        <v/>
      </c>
      <c r="CS47" s="18">
        <f>IF(COUNTIFS(T_TTAFStock_Log[Part Name],$A47,T_TTAFStock_Log[WeekIndex],96)=0,"",SUMIFS(T_TTAFStock_Log[TTAF_Qty],T_TTAFStock_Log[Part Name],$A47,T_TTAFStock_Log[WeekIndex],96))</f>
        <v/>
      </c>
      <c r="CT47" s="18">
        <f>IF(COUNTIFS(T_TTAFStock_Log[Part Name],$A47,T_TTAFStock_Log[WeekIndex],97)=0,"",SUMIFS(T_TTAFStock_Log[TTAF_Qty],T_TTAFStock_Log[Part Name],$A47,T_TTAFStock_Log[WeekIndex],97))</f>
        <v/>
      </c>
      <c r="CU47" s="18">
        <f>IF(COUNTIFS(T_TTAFStock_Log[Part Name],$A47,T_TTAFStock_Log[WeekIndex],98)=0,"",SUMIFS(T_TTAFStock_Log[TTAF_Qty],T_TTAFStock_Log[Part Name],$A47,T_TTAFStock_Log[WeekIndex],98))</f>
        <v/>
      </c>
      <c r="CV47" s="18">
        <f>IF(COUNTIFS(T_TTAFStock_Log[Part Name],$A47,T_TTAFStock_Log[WeekIndex],99)=0,"",SUMIFS(T_TTAFStock_Log[TTAF_Qty],T_TTAFStock_Log[Part Name],$A47,T_TTAFStock_Log[WeekIndex],99))</f>
        <v/>
      </c>
      <c r="CW47" s="18">
        <f>IF(COUNTIFS(T_TTAFStock_Log[Part Name],$A47,T_TTAFStock_Log[WeekIndex],100)=0,"",SUMIFS(T_TTAFStock_Log[TTAF_Qty],T_TTAFStock_Log[Part Name],$A47,T_TTAFStock_Log[WeekIndex],100))</f>
        <v/>
      </c>
      <c r="CX47" s="18">
        <f>IF(COUNTIFS(T_TTAFStock_Log[Part Name],$A47,T_TTAFStock_Log[WeekIndex],101)=0,"",SUMIFS(T_TTAFStock_Log[TTAF_Qty],T_TTAFStock_Log[Part Name],$A47,T_TTAFStock_Log[WeekIndex],101))</f>
        <v/>
      </c>
      <c r="CY47" s="18">
        <f>IF(COUNTIFS(T_TTAFStock_Log[Part Name],$A47,T_TTAFStock_Log[WeekIndex],102)=0,"",SUMIFS(T_TTAFStock_Log[TTAF_Qty],T_TTAFStock_Log[Part Name],$A47,T_TTAFStock_Log[WeekIndex],102))</f>
        <v/>
      </c>
      <c r="CZ47" s="18">
        <f>IF(COUNTIFS(T_TTAFStock_Log[Part Name],$A47,T_TTAFStock_Log[WeekIndex],103)=0,"",SUMIFS(T_TTAFStock_Log[TTAF_Qty],T_TTAFStock_Log[Part Name],$A47,T_TTAFStock_Log[WeekIndex],103))</f>
        <v/>
      </c>
      <c r="DA47" s="18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3TP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8" t="inlineStr">
        <is>
          <t>A043</t>
        </is>
      </c>
      <c r="B49" s="18">
        <f>IF(COUNTIFS(T_TTAFStock_Log[Part Name],$A49,T_TTAFStock_Log[WeekIndex],1)=0,"",SUMIFS(T_TTAFStock_Log[TTAF_Qty],T_TTAFStock_Log[Part Name],$A49,T_TTAFStock_Log[WeekIndex],1))</f>
        <v/>
      </c>
      <c r="C49" s="18">
        <f>IF(COUNTIFS(T_TTAFStock_Log[Part Name],$A49,T_TTAFStock_Log[WeekIndex],2)=0,"",SUMIFS(T_TTAFStock_Log[TTAF_Qty],T_TTAFStock_Log[Part Name],$A49,T_TTAFStock_Log[WeekIndex],2))</f>
        <v/>
      </c>
      <c r="D49" s="18">
        <f>IF(COUNTIFS(T_TTAFStock_Log[Part Name],$A49,T_TTAFStock_Log[WeekIndex],3)=0,"",SUMIFS(T_TTAFStock_Log[TTAF_Qty],T_TTAFStock_Log[Part Name],$A49,T_TTAFStock_Log[WeekIndex],3))</f>
        <v/>
      </c>
      <c r="E49" s="18">
        <f>IF(COUNTIFS(T_TTAFStock_Log[Part Name],$A49,T_TTAFStock_Log[WeekIndex],4)=0,"",SUMIFS(T_TTAFStock_Log[TTAF_Qty],T_TTAFStock_Log[Part Name],$A49,T_TTAFStock_Log[WeekIndex],4))</f>
        <v/>
      </c>
      <c r="F49" s="18">
        <f>IF(COUNTIFS(T_TTAFStock_Log[Part Name],$A49,T_TTAFStock_Log[WeekIndex],5)=0,"",SUMIFS(T_TTAFStock_Log[TTAF_Qty],T_TTAFStock_Log[Part Name],$A49,T_TTAFStock_Log[WeekIndex],5))</f>
        <v/>
      </c>
      <c r="G49" s="18">
        <f>IF(COUNTIFS(T_TTAFStock_Log[Part Name],$A49,T_TTAFStock_Log[WeekIndex],6)=0,"",SUMIFS(T_TTAFStock_Log[TTAF_Qty],T_TTAFStock_Log[Part Name],$A49,T_TTAFStock_Log[WeekIndex],6))</f>
        <v/>
      </c>
      <c r="H49" s="18">
        <f>IF(COUNTIFS(T_TTAFStock_Log[Part Name],$A49,T_TTAFStock_Log[WeekIndex],7)=0,"",SUMIFS(T_TTAFStock_Log[TTAF_Qty],T_TTAFStock_Log[Part Name],$A49,T_TTAFStock_Log[WeekIndex],7))</f>
        <v/>
      </c>
      <c r="I49" s="18">
        <f>IF(COUNTIFS(T_TTAFStock_Log[Part Name],$A49,T_TTAFStock_Log[WeekIndex],8)=0,"",SUMIFS(T_TTAFStock_Log[TTAF_Qty],T_TTAFStock_Log[Part Name],$A49,T_TTAFStock_Log[WeekIndex],8))</f>
        <v/>
      </c>
      <c r="J49" s="18">
        <f>IF(COUNTIFS(T_TTAFStock_Log[Part Name],$A49,T_TTAFStock_Log[WeekIndex],9)=0,"",SUMIFS(T_TTAFStock_Log[TTAF_Qty],T_TTAFStock_Log[Part Name],$A49,T_TTAFStock_Log[WeekIndex],9))</f>
        <v/>
      </c>
      <c r="K49" s="18">
        <f>IF(COUNTIFS(T_TTAFStock_Log[Part Name],$A49,T_TTAFStock_Log[WeekIndex],10)=0,"",SUMIFS(T_TTAFStock_Log[TTAF_Qty],T_TTAFStock_Log[Part Name],$A49,T_TTAFStock_Log[WeekIndex],10))</f>
        <v/>
      </c>
      <c r="L49" s="18">
        <f>IF(COUNTIFS(T_TTAFStock_Log[Part Name],$A49,T_TTAFStock_Log[WeekIndex],11)=0,"",SUMIFS(T_TTAFStock_Log[TTAF_Qty],T_TTAFStock_Log[Part Name],$A49,T_TTAFStock_Log[WeekIndex],11))</f>
        <v/>
      </c>
      <c r="M49" s="18">
        <f>IF(COUNTIFS(T_TTAFStock_Log[Part Name],$A49,T_TTAFStock_Log[WeekIndex],12)=0,"",SUMIFS(T_TTAFStock_Log[TTAF_Qty],T_TTAFStock_Log[Part Name],$A49,T_TTAFStock_Log[WeekIndex],12))</f>
        <v/>
      </c>
      <c r="N49" s="18">
        <f>IF(COUNTIFS(T_TTAFStock_Log[Part Name],$A49,T_TTAFStock_Log[WeekIndex],13)=0,"",SUMIFS(T_TTAFStock_Log[TTAF_Qty],T_TTAFStock_Log[Part Name],$A49,T_TTAFStock_Log[WeekIndex],13))</f>
        <v/>
      </c>
      <c r="O49" s="18">
        <f>IF(COUNTIFS(T_TTAFStock_Log[Part Name],$A49,T_TTAFStock_Log[WeekIndex],14)=0,"",SUMIFS(T_TTAFStock_Log[TTAF_Qty],T_TTAFStock_Log[Part Name],$A49,T_TTAFStock_Log[WeekIndex],14))</f>
        <v/>
      </c>
      <c r="P49" s="18">
        <f>IF(COUNTIFS(T_TTAFStock_Log[Part Name],$A49,T_TTAFStock_Log[WeekIndex],15)=0,"",SUMIFS(T_TTAFStock_Log[TTAF_Qty],T_TTAFStock_Log[Part Name],$A49,T_TTAFStock_Log[WeekIndex],15))</f>
        <v/>
      </c>
      <c r="Q49" s="18">
        <f>IF(COUNTIFS(T_TTAFStock_Log[Part Name],$A49,T_TTAFStock_Log[WeekIndex],16)=0,"",SUMIFS(T_TTAFStock_Log[TTAF_Qty],T_TTAFStock_Log[Part Name],$A49,T_TTAFStock_Log[WeekIndex],16))</f>
        <v/>
      </c>
      <c r="R49" s="18">
        <f>IF(COUNTIFS(T_TTAFStock_Log[Part Name],$A49,T_TTAFStock_Log[WeekIndex],17)=0,"",SUMIFS(T_TTAFStock_Log[TTAF_Qty],T_TTAFStock_Log[Part Name],$A49,T_TTAFStock_Log[WeekIndex],17))</f>
        <v/>
      </c>
      <c r="S49" s="18">
        <f>IF(COUNTIFS(T_TTAFStock_Log[Part Name],$A49,T_TTAFStock_Log[WeekIndex],18)=0,"",SUMIFS(T_TTAFStock_Log[TTAF_Qty],T_TTAFStock_Log[Part Name],$A49,T_TTAFStock_Log[WeekIndex],18))</f>
        <v/>
      </c>
      <c r="T49" s="18">
        <f>IF(COUNTIFS(T_TTAFStock_Log[Part Name],$A49,T_TTAFStock_Log[WeekIndex],19)=0,"",SUMIFS(T_TTAFStock_Log[TTAF_Qty],T_TTAFStock_Log[Part Name],$A49,T_TTAFStock_Log[WeekIndex],19))</f>
        <v/>
      </c>
      <c r="U49" s="18">
        <f>IF(COUNTIFS(T_TTAFStock_Log[Part Name],$A49,T_TTAFStock_Log[WeekIndex],20)=0,"",SUMIFS(T_TTAFStock_Log[TTAF_Qty],T_TTAFStock_Log[Part Name],$A49,T_TTAFStock_Log[WeekIndex],20))</f>
        <v/>
      </c>
      <c r="V49" s="18">
        <f>IF(COUNTIFS(T_TTAFStock_Log[Part Name],$A49,T_TTAFStock_Log[WeekIndex],21)=0,"",SUMIFS(T_TTAFStock_Log[TTAF_Qty],T_TTAFStock_Log[Part Name],$A49,T_TTAFStock_Log[WeekIndex],21))</f>
        <v/>
      </c>
      <c r="W49" s="18">
        <f>IF(COUNTIFS(T_TTAFStock_Log[Part Name],$A49,T_TTAFStock_Log[WeekIndex],22)=0,"",SUMIFS(T_TTAFStock_Log[TTAF_Qty],T_TTAFStock_Log[Part Name],$A49,T_TTAFStock_Log[WeekIndex],22))</f>
        <v/>
      </c>
      <c r="X49" s="18">
        <f>IF(COUNTIFS(T_TTAFStock_Log[Part Name],$A49,T_TTAFStock_Log[WeekIndex],23)=0,"",SUMIFS(T_TTAFStock_Log[TTAF_Qty],T_TTAFStock_Log[Part Name],$A49,T_TTAFStock_Log[WeekIndex],23))</f>
        <v/>
      </c>
      <c r="Y49" s="18">
        <f>IF(COUNTIFS(T_TTAFStock_Log[Part Name],$A49,T_TTAFStock_Log[WeekIndex],24)=0,"",SUMIFS(T_TTAFStock_Log[TTAF_Qty],T_TTAFStock_Log[Part Name],$A49,T_TTAFStock_Log[WeekIndex],24))</f>
        <v/>
      </c>
      <c r="Z49" s="18">
        <f>IF(COUNTIFS(T_TTAFStock_Log[Part Name],$A49,T_TTAFStock_Log[WeekIndex],25)=0,"",SUMIFS(T_TTAFStock_Log[TTAF_Qty],T_TTAFStock_Log[Part Name],$A49,T_TTAFStock_Log[WeekIndex],25))</f>
        <v/>
      </c>
      <c r="AA49" s="18">
        <f>IF(COUNTIFS(T_TTAFStock_Log[Part Name],$A49,T_TTAFStock_Log[WeekIndex],26)=0,"",SUMIFS(T_TTAFStock_Log[TTAF_Qty],T_TTAFStock_Log[Part Name],$A49,T_TTAFStock_Log[WeekIndex],26))</f>
        <v/>
      </c>
      <c r="AB49" s="18">
        <f>IF(COUNTIFS(T_TTAFStock_Log[Part Name],$A49,T_TTAFStock_Log[WeekIndex],27)=0,"",SUMIFS(T_TTAFStock_Log[TTAF_Qty],T_TTAFStock_Log[Part Name],$A49,T_TTAFStock_Log[WeekIndex],27))</f>
        <v/>
      </c>
      <c r="AC49" s="18">
        <f>IF(COUNTIFS(T_TTAFStock_Log[Part Name],$A49,T_TTAFStock_Log[WeekIndex],28)=0,"",SUMIFS(T_TTAFStock_Log[TTAF_Qty],T_TTAFStock_Log[Part Name],$A49,T_TTAFStock_Log[WeekIndex],28))</f>
        <v/>
      </c>
      <c r="AD49" s="18">
        <f>IF(COUNTIFS(T_TTAFStock_Log[Part Name],$A49,T_TTAFStock_Log[WeekIndex],29)=0,"",SUMIFS(T_TTAFStock_Log[TTAF_Qty],T_TTAFStock_Log[Part Name],$A49,T_TTAFStock_Log[WeekIndex],29))</f>
        <v/>
      </c>
      <c r="AE49" s="18">
        <f>IF(COUNTIFS(T_TTAFStock_Log[Part Name],$A49,T_TTAFStock_Log[WeekIndex],30)=0,"",SUMIFS(T_TTAFStock_Log[TTAF_Qty],T_TTAFStock_Log[Part Name],$A49,T_TTAFStock_Log[WeekIndex],30))</f>
        <v/>
      </c>
      <c r="AF49" s="18">
        <f>IF(COUNTIFS(T_TTAFStock_Log[Part Name],$A49,T_TTAFStock_Log[WeekIndex],31)=0,"",SUMIFS(T_TTAFStock_Log[TTAF_Qty],T_TTAFStock_Log[Part Name],$A49,T_TTAFStock_Log[WeekIndex],31))</f>
        <v/>
      </c>
      <c r="AG49" s="18">
        <f>IF(COUNTIFS(T_TTAFStock_Log[Part Name],$A49,T_TTAFStock_Log[WeekIndex],32)=0,"",SUMIFS(T_TTAFStock_Log[TTAF_Qty],T_TTAFStock_Log[Part Name],$A49,T_TTAFStock_Log[WeekIndex],32))</f>
        <v/>
      </c>
      <c r="AH49" s="18">
        <f>IF(COUNTIFS(T_TTAFStock_Log[Part Name],$A49,T_TTAFStock_Log[WeekIndex],33)=0,"",SUMIFS(T_TTAFStock_Log[TTAF_Qty],T_TTAFStock_Log[Part Name],$A49,T_TTAFStock_Log[WeekIndex],33))</f>
        <v/>
      </c>
      <c r="AI49" s="18">
        <f>IF(COUNTIFS(T_TTAFStock_Log[Part Name],$A49,T_TTAFStock_Log[WeekIndex],34)=0,"",SUMIFS(T_TTAFStock_Log[TTAF_Qty],T_TTAFStock_Log[Part Name],$A49,T_TTAFStock_Log[WeekIndex],34))</f>
        <v/>
      </c>
      <c r="AJ49" s="18">
        <f>IF(COUNTIFS(T_TTAFStock_Log[Part Name],$A49,T_TTAFStock_Log[WeekIndex],35)=0,"",SUMIFS(T_TTAFStock_Log[TTAF_Qty],T_TTAFStock_Log[Part Name],$A49,T_TTAFStock_Log[WeekIndex],35))</f>
        <v/>
      </c>
      <c r="AK49" s="18">
        <f>IF(COUNTIFS(T_TTAFStock_Log[Part Name],$A49,T_TTAFStock_Log[WeekIndex],36)=0,"",SUMIFS(T_TTAFStock_Log[TTAF_Qty],T_TTAFStock_Log[Part Name],$A49,T_TTAFStock_Log[WeekIndex],36))</f>
        <v/>
      </c>
      <c r="AL49" s="18">
        <f>IF(COUNTIFS(T_TTAFStock_Log[Part Name],$A49,T_TTAFStock_Log[WeekIndex],37)=0,"",SUMIFS(T_TTAFStock_Log[TTAF_Qty],T_TTAFStock_Log[Part Name],$A49,T_TTAFStock_Log[WeekIndex],37))</f>
        <v/>
      </c>
      <c r="AM49" s="18">
        <f>IF(COUNTIFS(T_TTAFStock_Log[Part Name],$A49,T_TTAFStock_Log[WeekIndex],38)=0,"",SUMIFS(T_TTAFStock_Log[TTAF_Qty],T_TTAFStock_Log[Part Name],$A49,T_TTAFStock_Log[WeekIndex],38))</f>
        <v/>
      </c>
      <c r="AN49" s="18">
        <f>IF(COUNTIFS(T_TTAFStock_Log[Part Name],$A49,T_TTAFStock_Log[WeekIndex],39)=0,"",SUMIFS(T_TTAFStock_Log[TTAF_Qty],T_TTAFStock_Log[Part Name],$A49,T_TTAFStock_Log[WeekIndex],39))</f>
        <v/>
      </c>
      <c r="AO49" s="18">
        <f>IF(COUNTIFS(T_TTAFStock_Log[Part Name],$A49,T_TTAFStock_Log[WeekIndex],40)=0,"",SUMIFS(T_TTAFStock_Log[TTAF_Qty],T_TTAFStock_Log[Part Name],$A49,T_TTAFStock_Log[WeekIndex],40))</f>
        <v/>
      </c>
      <c r="AP49" s="18">
        <f>IF(COUNTIFS(T_TTAFStock_Log[Part Name],$A49,T_TTAFStock_Log[WeekIndex],41)=0,"",SUMIFS(T_TTAFStock_Log[TTAF_Qty],T_TTAFStock_Log[Part Name],$A49,T_TTAFStock_Log[WeekIndex],41))</f>
        <v/>
      </c>
      <c r="AQ49" s="18">
        <f>IF(COUNTIFS(T_TTAFStock_Log[Part Name],$A49,T_TTAFStock_Log[WeekIndex],42)=0,"",SUMIFS(T_TTAFStock_Log[TTAF_Qty],T_TTAFStock_Log[Part Name],$A49,T_TTAFStock_Log[WeekIndex],42))</f>
        <v/>
      </c>
      <c r="AR49" s="18">
        <f>IF(COUNTIFS(T_TTAFStock_Log[Part Name],$A49,T_TTAFStock_Log[WeekIndex],43)=0,"",SUMIFS(T_TTAFStock_Log[TTAF_Qty],T_TTAFStock_Log[Part Name],$A49,T_TTAFStock_Log[WeekIndex],43))</f>
        <v/>
      </c>
      <c r="AS49" s="18">
        <f>IF(COUNTIFS(T_TTAFStock_Log[Part Name],$A49,T_TTAFStock_Log[WeekIndex],44)=0,"",SUMIFS(T_TTAFStock_Log[TTAF_Qty],T_TTAFStock_Log[Part Name],$A49,T_TTAFStock_Log[WeekIndex],44))</f>
        <v/>
      </c>
      <c r="AT49" s="18">
        <f>IF(COUNTIFS(T_TTAFStock_Log[Part Name],$A49,T_TTAFStock_Log[WeekIndex],45)=0,"",SUMIFS(T_TTAFStock_Log[TTAF_Qty],T_TTAFStock_Log[Part Name],$A49,T_TTAFStock_Log[WeekIndex],45))</f>
        <v/>
      </c>
      <c r="AU49" s="18">
        <f>IF(COUNTIFS(T_TTAFStock_Log[Part Name],$A49,T_TTAFStock_Log[WeekIndex],46)=0,"",SUMIFS(T_TTAFStock_Log[TTAF_Qty],T_TTAFStock_Log[Part Name],$A49,T_TTAFStock_Log[WeekIndex],46))</f>
        <v/>
      </c>
      <c r="AV49" s="18">
        <f>IF(COUNTIFS(T_TTAFStock_Log[Part Name],$A49,T_TTAFStock_Log[WeekIndex],47)=0,"",SUMIFS(T_TTAFStock_Log[TTAF_Qty],T_TTAFStock_Log[Part Name],$A49,T_TTAFStock_Log[WeekIndex],47))</f>
        <v/>
      </c>
      <c r="AW49" s="18">
        <f>IF(COUNTIFS(T_TTAFStock_Log[Part Name],$A49,T_TTAFStock_Log[WeekIndex],48)=0,"",SUMIFS(T_TTAFStock_Log[TTAF_Qty],T_TTAFStock_Log[Part Name],$A49,T_TTAFStock_Log[WeekIndex],48))</f>
        <v/>
      </c>
      <c r="AX49" s="18">
        <f>IF(COUNTIFS(T_TTAFStock_Log[Part Name],$A49,T_TTAFStock_Log[WeekIndex],49)=0,"",SUMIFS(T_TTAFStock_Log[TTAF_Qty],T_TTAFStock_Log[Part Name],$A49,T_TTAFStock_Log[WeekIndex],49))</f>
        <v/>
      </c>
      <c r="AY49" s="18">
        <f>IF(COUNTIFS(T_TTAFStock_Log[Part Name],$A49,T_TTAFStock_Log[WeekIndex],50)=0,"",SUMIFS(T_TTAFStock_Log[TTAF_Qty],T_TTAFStock_Log[Part Name],$A49,T_TTAFStock_Log[WeekIndex],50))</f>
        <v/>
      </c>
      <c r="AZ49" s="18">
        <f>IF(COUNTIFS(T_TTAFStock_Log[Part Name],$A49,T_TTAFStock_Log[WeekIndex],51)=0,"",SUMIFS(T_TTAFStock_Log[TTAF_Qty],T_TTAFStock_Log[Part Name],$A49,T_TTAFStock_Log[WeekIndex],51))</f>
        <v/>
      </c>
      <c r="BA49" s="18">
        <f>IF(COUNTIFS(T_TTAFStock_Log[Part Name],$A49,T_TTAFStock_Log[WeekIndex],52)=0,"",SUMIFS(T_TTAFStock_Log[TTAF_Qty],T_TTAFStock_Log[Part Name],$A49,T_TTAFStock_Log[WeekIndex],52))</f>
        <v/>
      </c>
      <c r="BB49" s="18">
        <f>IF(COUNTIFS(T_TTAFStock_Log[Part Name],$A49,T_TTAFStock_Log[WeekIndex],53)=0,"",SUMIFS(T_TTAFStock_Log[TTAF_Qty],T_TTAFStock_Log[Part Name],$A49,T_TTAFStock_Log[WeekIndex],53))</f>
        <v/>
      </c>
      <c r="BC49" s="18">
        <f>IF(COUNTIFS(T_TTAFStock_Log[Part Name],$A49,T_TTAFStock_Log[WeekIndex],54)=0,"",SUMIFS(T_TTAFStock_Log[TTAF_Qty],T_TTAFStock_Log[Part Name],$A49,T_TTAFStock_Log[WeekIndex],54))</f>
        <v/>
      </c>
      <c r="BD49" s="18">
        <f>IF(COUNTIFS(T_TTAFStock_Log[Part Name],$A49,T_TTAFStock_Log[WeekIndex],55)=0,"",SUMIFS(T_TTAFStock_Log[TTAF_Qty],T_TTAFStock_Log[Part Name],$A49,T_TTAFStock_Log[WeekIndex],55))</f>
        <v/>
      </c>
      <c r="BE49" s="18">
        <f>IF(COUNTIFS(T_TTAFStock_Log[Part Name],$A49,T_TTAFStock_Log[WeekIndex],56)=0,"",SUMIFS(T_TTAFStock_Log[TTAF_Qty],T_TTAFStock_Log[Part Name],$A49,T_TTAFStock_Log[WeekIndex],56))</f>
        <v/>
      </c>
      <c r="BF49" s="18">
        <f>IF(COUNTIFS(T_TTAFStock_Log[Part Name],$A49,T_TTAFStock_Log[WeekIndex],57)=0,"",SUMIFS(T_TTAFStock_Log[TTAF_Qty],T_TTAFStock_Log[Part Name],$A49,T_TTAFStock_Log[WeekIndex],57))</f>
        <v/>
      </c>
      <c r="BG49" s="18">
        <f>IF(COUNTIFS(T_TTAFStock_Log[Part Name],$A49,T_TTAFStock_Log[WeekIndex],58)=0,"",SUMIFS(T_TTAFStock_Log[TTAF_Qty],T_TTAFStock_Log[Part Name],$A49,T_TTAFStock_Log[WeekIndex],58))</f>
        <v/>
      </c>
      <c r="BH49" s="18">
        <f>IF(COUNTIFS(T_TTAFStock_Log[Part Name],$A49,T_TTAFStock_Log[WeekIndex],59)=0,"",SUMIFS(T_TTAFStock_Log[TTAF_Qty],T_TTAFStock_Log[Part Name],$A49,T_TTAFStock_Log[WeekIndex],59))</f>
        <v/>
      </c>
      <c r="BI49" s="18">
        <f>IF(COUNTIFS(T_TTAFStock_Log[Part Name],$A49,T_TTAFStock_Log[WeekIndex],60)=0,"",SUMIFS(T_TTAFStock_Log[TTAF_Qty],T_TTAFStock_Log[Part Name],$A49,T_TTAFStock_Log[WeekIndex],60))</f>
        <v/>
      </c>
      <c r="BJ49" s="18">
        <f>IF(COUNTIFS(T_TTAFStock_Log[Part Name],$A49,T_TTAFStock_Log[WeekIndex],61)=0,"",SUMIFS(T_TTAFStock_Log[TTAF_Qty],T_TTAFStock_Log[Part Name],$A49,T_TTAFStock_Log[WeekIndex],61))</f>
        <v/>
      </c>
      <c r="BK49" s="18">
        <f>IF(COUNTIFS(T_TTAFStock_Log[Part Name],$A49,T_TTAFStock_Log[WeekIndex],62)=0,"",SUMIFS(T_TTAFStock_Log[TTAF_Qty],T_TTAFStock_Log[Part Name],$A49,T_TTAFStock_Log[WeekIndex],62))</f>
        <v/>
      </c>
      <c r="BL49" s="18">
        <f>IF(COUNTIFS(T_TTAFStock_Log[Part Name],$A49,T_TTAFStock_Log[WeekIndex],63)=0,"",SUMIFS(T_TTAFStock_Log[TTAF_Qty],T_TTAFStock_Log[Part Name],$A49,T_TTAFStock_Log[WeekIndex],63))</f>
        <v/>
      </c>
      <c r="BM49" s="18">
        <f>IF(COUNTIFS(T_TTAFStock_Log[Part Name],$A49,T_TTAFStock_Log[WeekIndex],64)=0,"",SUMIFS(T_TTAFStock_Log[TTAF_Qty],T_TTAFStock_Log[Part Name],$A49,T_TTAFStock_Log[WeekIndex],64))</f>
        <v/>
      </c>
      <c r="BN49" s="18">
        <f>IF(COUNTIFS(T_TTAFStock_Log[Part Name],$A49,T_TTAFStock_Log[WeekIndex],65)=0,"",SUMIFS(T_TTAFStock_Log[TTAF_Qty],T_TTAFStock_Log[Part Name],$A49,T_TTAFStock_Log[WeekIndex],65))</f>
        <v/>
      </c>
      <c r="BO49" s="18">
        <f>IF(COUNTIFS(T_TTAFStock_Log[Part Name],$A49,T_TTAFStock_Log[WeekIndex],66)=0,"",SUMIFS(T_TTAFStock_Log[TTAF_Qty],T_TTAFStock_Log[Part Name],$A49,T_TTAFStock_Log[WeekIndex],66))</f>
        <v/>
      </c>
      <c r="BP49" s="18">
        <f>IF(COUNTIFS(T_TTAFStock_Log[Part Name],$A49,T_TTAFStock_Log[WeekIndex],67)=0,"",SUMIFS(T_TTAFStock_Log[TTAF_Qty],T_TTAFStock_Log[Part Name],$A49,T_TTAFStock_Log[WeekIndex],67))</f>
        <v/>
      </c>
      <c r="BQ49" s="18">
        <f>IF(COUNTIFS(T_TTAFStock_Log[Part Name],$A49,T_TTAFStock_Log[WeekIndex],68)=0,"",SUMIFS(T_TTAFStock_Log[TTAF_Qty],T_TTAFStock_Log[Part Name],$A49,T_TTAFStock_Log[WeekIndex],68))</f>
        <v/>
      </c>
      <c r="BR49" s="18">
        <f>IF(COUNTIFS(T_TTAFStock_Log[Part Name],$A49,T_TTAFStock_Log[WeekIndex],69)=0,"",SUMIFS(T_TTAFStock_Log[TTAF_Qty],T_TTAFStock_Log[Part Name],$A49,T_TTAFStock_Log[WeekIndex],69))</f>
        <v/>
      </c>
      <c r="BS49" s="18">
        <f>IF(COUNTIFS(T_TTAFStock_Log[Part Name],$A49,T_TTAFStock_Log[WeekIndex],70)=0,"",SUMIFS(T_TTAFStock_Log[TTAF_Qty],T_TTAFStock_Log[Part Name],$A49,T_TTAFStock_Log[WeekIndex],70))</f>
        <v/>
      </c>
      <c r="BT49" s="18">
        <f>IF(COUNTIFS(T_TTAFStock_Log[Part Name],$A49,T_TTAFStock_Log[WeekIndex],71)=0,"",SUMIFS(T_TTAFStock_Log[TTAF_Qty],T_TTAFStock_Log[Part Name],$A49,T_TTAFStock_Log[WeekIndex],71))</f>
        <v/>
      </c>
      <c r="BU49" s="18">
        <f>IF(COUNTIFS(T_TTAFStock_Log[Part Name],$A49,T_TTAFStock_Log[WeekIndex],72)=0,"",SUMIFS(T_TTAFStock_Log[TTAF_Qty],T_TTAFStock_Log[Part Name],$A49,T_TTAFStock_Log[WeekIndex],72))</f>
        <v/>
      </c>
      <c r="BV49" s="18">
        <f>IF(COUNTIFS(T_TTAFStock_Log[Part Name],$A49,T_TTAFStock_Log[WeekIndex],73)=0,"",SUMIFS(T_TTAFStock_Log[TTAF_Qty],T_TTAFStock_Log[Part Name],$A49,T_TTAFStock_Log[WeekIndex],73))</f>
        <v/>
      </c>
      <c r="BW49" s="18">
        <f>IF(COUNTIFS(T_TTAFStock_Log[Part Name],$A49,T_TTAFStock_Log[WeekIndex],74)=0,"",SUMIFS(T_TTAFStock_Log[TTAF_Qty],T_TTAFStock_Log[Part Name],$A49,T_TTAFStock_Log[WeekIndex],74))</f>
        <v/>
      </c>
      <c r="BX49" s="18">
        <f>IF(COUNTIFS(T_TTAFStock_Log[Part Name],$A49,T_TTAFStock_Log[WeekIndex],75)=0,"",SUMIFS(T_TTAFStock_Log[TTAF_Qty],T_TTAFStock_Log[Part Name],$A49,T_TTAFStock_Log[WeekIndex],75))</f>
        <v/>
      </c>
      <c r="BY49" s="18">
        <f>IF(COUNTIFS(T_TTAFStock_Log[Part Name],$A49,T_TTAFStock_Log[WeekIndex],76)=0,"",SUMIFS(T_TTAFStock_Log[TTAF_Qty],T_TTAFStock_Log[Part Name],$A49,T_TTAFStock_Log[WeekIndex],76))</f>
        <v/>
      </c>
      <c r="BZ49" s="18">
        <f>IF(COUNTIFS(T_TTAFStock_Log[Part Name],$A49,T_TTAFStock_Log[WeekIndex],77)=0,"",SUMIFS(T_TTAFStock_Log[TTAF_Qty],T_TTAFStock_Log[Part Name],$A49,T_TTAFStock_Log[WeekIndex],77))</f>
        <v/>
      </c>
      <c r="CA49" s="18">
        <f>IF(COUNTIFS(T_TTAFStock_Log[Part Name],$A49,T_TTAFStock_Log[WeekIndex],78)=0,"",SUMIFS(T_TTAFStock_Log[TTAF_Qty],T_TTAFStock_Log[Part Name],$A49,T_TTAFStock_Log[WeekIndex],78))</f>
        <v/>
      </c>
      <c r="CB49" s="18">
        <f>IF(COUNTIFS(T_TTAFStock_Log[Part Name],$A49,T_TTAFStock_Log[WeekIndex],79)=0,"",SUMIFS(T_TTAFStock_Log[TTAF_Qty],T_TTAFStock_Log[Part Name],$A49,T_TTAFStock_Log[WeekIndex],79))</f>
        <v/>
      </c>
      <c r="CC49" s="18">
        <f>IF(COUNTIFS(T_TTAFStock_Log[Part Name],$A49,T_TTAFStock_Log[WeekIndex],80)=0,"",SUMIFS(T_TTAFStock_Log[TTAF_Qty],T_TTAFStock_Log[Part Name],$A49,T_TTAFStock_Log[WeekIndex],80))</f>
        <v/>
      </c>
      <c r="CD49" s="18">
        <f>IF(COUNTIFS(T_TTAFStock_Log[Part Name],$A49,T_TTAFStock_Log[WeekIndex],81)=0,"",SUMIFS(T_TTAFStock_Log[TTAF_Qty],T_TTAFStock_Log[Part Name],$A49,T_TTAFStock_Log[WeekIndex],81))</f>
        <v/>
      </c>
      <c r="CE49" s="18">
        <f>IF(COUNTIFS(T_TTAFStock_Log[Part Name],$A49,T_TTAFStock_Log[WeekIndex],82)=0,"",SUMIFS(T_TTAFStock_Log[TTAF_Qty],T_TTAFStock_Log[Part Name],$A49,T_TTAFStock_Log[WeekIndex],82))</f>
        <v/>
      </c>
      <c r="CF49" s="18">
        <f>IF(COUNTIFS(T_TTAFStock_Log[Part Name],$A49,T_TTAFStock_Log[WeekIndex],83)=0,"",SUMIFS(T_TTAFStock_Log[TTAF_Qty],T_TTAFStock_Log[Part Name],$A49,T_TTAFStock_Log[WeekIndex],83))</f>
        <v/>
      </c>
      <c r="CG49" s="18">
        <f>IF(COUNTIFS(T_TTAFStock_Log[Part Name],$A49,T_TTAFStock_Log[WeekIndex],84)=0,"",SUMIFS(T_TTAFStock_Log[TTAF_Qty],T_TTAFStock_Log[Part Name],$A49,T_TTAFStock_Log[WeekIndex],84))</f>
        <v/>
      </c>
      <c r="CH49" s="18">
        <f>IF(COUNTIFS(T_TTAFStock_Log[Part Name],$A49,T_TTAFStock_Log[WeekIndex],85)=0,"",SUMIFS(T_TTAFStock_Log[TTAF_Qty],T_TTAFStock_Log[Part Name],$A49,T_TTAFStock_Log[WeekIndex],85))</f>
        <v/>
      </c>
      <c r="CI49" s="18">
        <f>IF(COUNTIFS(T_TTAFStock_Log[Part Name],$A49,T_TTAFStock_Log[WeekIndex],86)=0,"",SUMIFS(T_TTAFStock_Log[TTAF_Qty],T_TTAFStock_Log[Part Name],$A49,T_TTAFStock_Log[WeekIndex],86))</f>
        <v/>
      </c>
      <c r="CJ49" s="18">
        <f>IF(COUNTIFS(T_TTAFStock_Log[Part Name],$A49,T_TTAFStock_Log[WeekIndex],87)=0,"",SUMIFS(T_TTAFStock_Log[TTAF_Qty],T_TTAFStock_Log[Part Name],$A49,T_TTAFStock_Log[WeekIndex],87))</f>
        <v/>
      </c>
      <c r="CK49" s="18">
        <f>IF(COUNTIFS(T_TTAFStock_Log[Part Name],$A49,T_TTAFStock_Log[WeekIndex],88)=0,"",SUMIFS(T_TTAFStock_Log[TTAF_Qty],T_TTAFStock_Log[Part Name],$A49,T_TTAFStock_Log[WeekIndex],88))</f>
        <v/>
      </c>
      <c r="CL49" s="18">
        <f>IF(COUNTIFS(T_TTAFStock_Log[Part Name],$A49,T_TTAFStock_Log[WeekIndex],89)=0,"",SUMIFS(T_TTAFStock_Log[TTAF_Qty],T_TTAFStock_Log[Part Name],$A49,T_TTAFStock_Log[WeekIndex],89))</f>
        <v/>
      </c>
      <c r="CM49" s="18">
        <f>IF(COUNTIFS(T_TTAFStock_Log[Part Name],$A49,T_TTAFStock_Log[WeekIndex],90)=0,"",SUMIFS(T_TTAFStock_Log[TTAF_Qty],T_TTAFStock_Log[Part Name],$A49,T_TTAFStock_Log[WeekIndex],90))</f>
        <v/>
      </c>
      <c r="CN49" s="18">
        <f>IF(COUNTIFS(T_TTAFStock_Log[Part Name],$A49,T_TTAFStock_Log[WeekIndex],91)=0,"",SUMIFS(T_TTAFStock_Log[TTAF_Qty],T_TTAFStock_Log[Part Name],$A49,T_TTAFStock_Log[WeekIndex],91))</f>
        <v/>
      </c>
      <c r="CO49" s="18">
        <f>IF(COUNTIFS(T_TTAFStock_Log[Part Name],$A49,T_TTAFStock_Log[WeekIndex],92)=0,"",SUMIFS(T_TTAFStock_Log[TTAF_Qty],T_TTAFStock_Log[Part Name],$A49,T_TTAFStock_Log[WeekIndex],92))</f>
        <v/>
      </c>
      <c r="CP49" s="18">
        <f>IF(COUNTIFS(T_TTAFStock_Log[Part Name],$A49,T_TTAFStock_Log[WeekIndex],93)=0,"",SUMIFS(T_TTAFStock_Log[TTAF_Qty],T_TTAFStock_Log[Part Name],$A49,T_TTAFStock_Log[WeekIndex],93))</f>
        <v/>
      </c>
      <c r="CQ49" s="18">
        <f>IF(COUNTIFS(T_TTAFStock_Log[Part Name],$A49,T_TTAFStock_Log[WeekIndex],94)=0,"",SUMIFS(T_TTAFStock_Log[TTAF_Qty],T_TTAFStock_Log[Part Name],$A49,T_TTAFStock_Log[WeekIndex],94))</f>
        <v/>
      </c>
      <c r="CR49" s="18">
        <f>IF(COUNTIFS(T_TTAFStock_Log[Part Name],$A49,T_TTAFStock_Log[WeekIndex],95)=0,"",SUMIFS(T_TTAFStock_Log[TTAF_Qty],T_TTAFStock_Log[Part Name],$A49,T_TTAFStock_Log[WeekIndex],95))</f>
        <v/>
      </c>
      <c r="CS49" s="18">
        <f>IF(COUNTIFS(T_TTAFStock_Log[Part Name],$A49,T_TTAFStock_Log[WeekIndex],96)=0,"",SUMIFS(T_TTAFStock_Log[TTAF_Qty],T_TTAFStock_Log[Part Name],$A49,T_TTAFStock_Log[WeekIndex],96))</f>
        <v/>
      </c>
      <c r="CT49" s="18">
        <f>IF(COUNTIFS(T_TTAFStock_Log[Part Name],$A49,T_TTAFStock_Log[WeekIndex],97)=0,"",SUMIFS(T_TTAFStock_Log[TTAF_Qty],T_TTAFStock_Log[Part Name],$A49,T_TTAFStock_Log[WeekIndex],97))</f>
        <v/>
      </c>
      <c r="CU49" s="18">
        <f>IF(COUNTIFS(T_TTAFStock_Log[Part Name],$A49,T_TTAFStock_Log[WeekIndex],98)=0,"",SUMIFS(T_TTAFStock_Log[TTAF_Qty],T_TTAFStock_Log[Part Name],$A49,T_TTAFStock_Log[WeekIndex],98))</f>
        <v/>
      </c>
      <c r="CV49" s="18">
        <f>IF(COUNTIFS(T_TTAFStock_Log[Part Name],$A49,T_TTAFStock_Log[WeekIndex],99)=0,"",SUMIFS(T_TTAFStock_Log[TTAF_Qty],T_TTAFStock_Log[Part Name],$A49,T_TTAFStock_Log[WeekIndex],99))</f>
        <v/>
      </c>
      <c r="CW49" s="18">
        <f>IF(COUNTIFS(T_TTAFStock_Log[Part Name],$A49,T_TTAFStock_Log[WeekIndex],100)=0,"",SUMIFS(T_TTAFStock_Log[TTAF_Qty],T_TTAFStock_Log[Part Name],$A49,T_TTAFStock_Log[WeekIndex],100))</f>
        <v/>
      </c>
      <c r="CX49" s="18">
        <f>IF(COUNTIFS(T_TTAFStock_Log[Part Name],$A49,T_TTAFStock_Log[WeekIndex],101)=0,"",SUMIFS(T_TTAFStock_Log[TTAF_Qty],T_TTAFStock_Log[Part Name],$A49,T_TTAFStock_Log[WeekIndex],101))</f>
        <v/>
      </c>
      <c r="CY49" s="18">
        <f>IF(COUNTIFS(T_TTAFStock_Log[Part Name],$A49,T_TTAFStock_Log[WeekIndex],102)=0,"",SUMIFS(T_TTAFStock_Log[TTAF_Qty],T_TTAFStock_Log[Part Name],$A49,T_TTAFStock_Log[WeekIndex],102))</f>
        <v/>
      </c>
      <c r="CZ49" s="18">
        <f>IF(COUNTIFS(T_TTAFStock_Log[Part Name],$A49,T_TTAFStock_Log[WeekIndex],103)=0,"",SUMIFS(T_TTAFStock_Log[TTAF_Qty],T_TTAFStock_Log[Part Name],$A49,T_TTAFStock_Log[WeekIndex],103))</f>
        <v/>
      </c>
      <c r="DA49" s="18">
        <f>IF(COUNTIFS(T_TTAFStock_Log[Part Name],$A49,T_TTAFStock_Log[WeekIndex],104)=0,"",SUMIFS(T_TTAFStock_Log[TTAF_Qty],T_TTAFStock_Log[Part Name],$A49,T_TTAFStock_Log[WeekIndex],104))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</cols>
  <sheetData>
    <row r="1">
      <c r="A1" s="5" t="inlineStr">
        <is>
          <t>Part Name</t>
        </is>
      </c>
      <c r="B1" s="5" t="inlineStr">
        <is>
          <t>Description</t>
        </is>
      </c>
      <c r="C1" s="5" t="inlineStr">
        <is>
          <t>Supplier</t>
        </is>
      </c>
      <c r="D1" s="5" t="inlineStr">
        <is>
          <t>Category</t>
        </is>
      </c>
      <c r="E1" s="5" t="inlineStr">
        <is>
          <t>UOM</t>
        </is>
      </c>
      <c r="F1" s="5" t="inlineStr">
        <is>
          <t>基準在庫下限_要入力</t>
        </is>
      </c>
      <c r="G1" s="5" t="inlineStr">
        <is>
          <t>基準在庫上限_要入力</t>
        </is>
      </c>
      <c r="H1" s="5" t="inlineStr">
        <is>
          <t>LeadTime_Weeks_要入力</t>
        </is>
      </c>
      <c r="I1" s="5" t="inlineStr">
        <is>
          <t>TTAF_Code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TTAF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71288614901</t>
        </is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TTAF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712886265</t>
        </is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TTAF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712886270</t>
        </is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TTAF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71288629601</t>
        </is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TTAF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71388003501</t>
        </is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TTAF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>
        <is>
          <t>71388005801</t>
        </is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TTAF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734831040</t>
        </is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TTAF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>
        <is>
          <t>734831050</t>
        </is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TTAF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83988005701</t>
        </is>
      </c>
    </row>
    <row r="11">
      <c r="A11" t="inlineStr">
        <is>
          <t>4HL</t>
        </is>
      </c>
      <c r="B11" t="inlineStr">
        <is>
          <t>(7R-08) TP166-103-084</t>
        </is>
      </c>
      <c r="C11" t="inlineStr">
        <is>
          <t>TTAF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N60H27R08-JP</t>
        </is>
      </c>
    </row>
    <row r="12">
      <c r="A12" t="inlineStr">
        <is>
          <t>1EK</t>
        </is>
      </c>
      <c r="B12" t="inlineStr">
        <is>
          <t>(9R-08) TP166-103-105*T1</t>
        </is>
      </c>
      <c r="C12" t="inlineStr">
        <is>
          <t>TTAF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N60H29R08-JP</t>
        </is>
      </c>
    </row>
    <row r="13">
      <c r="A13" t="inlineStr">
        <is>
          <t>7CL</t>
        </is>
      </c>
      <c r="B13" t="inlineStr">
        <is>
          <t>(8R-08) TP167-103- 096*T4</t>
        </is>
      </c>
      <c r="C13" t="inlineStr">
        <is>
          <t>TTAF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N75H28R08-JP</t>
        </is>
      </c>
    </row>
    <row r="14">
      <c r="A14" t="inlineStr">
        <is>
          <t>9RN</t>
        </is>
      </c>
      <c r="B14" t="inlineStr">
        <is>
          <t>N30S89R11WF7  4FK13117080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>
        <is>
          <t>1846515030 ( 4FK13117080Z)</t>
        </is>
      </c>
    </row>
    <row r="15">
      <c r="A15" t="inlineStr">
        <is>
          <t>CHEM-1400</t>
        </is>
      </c>
      <c r="B15" t="inlineStr">
        <is>
          <t>DISPAL 23N4-80</t>
        </is>
      </c>
      <c r="C15" t="inlineStr">
        <is>
          <t>TTAF</t>
        </is>
      </c>
      <c r="D15" t="inlineStr">
        <is>
          <t>Chemical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>
        <is>
          <t>71288617001</t>
        </is>
      </c>
    </row>
    <row r="16">
      <c r="A16" t="inlineStr">
        <is>
          <t>CHEM-1570</t>
        </is>
      </c>
      <c r="B16" t="inlineStr">
        <is>
          <t>NOPAGOAL A</t>
        </is>
      </c>
      <c r="C16" t="inlineStr">
        <is>
          <t>TTAF</t>
        </is>
      </c>
      <c r="D16" t="inlineStr">
        <is>
          <t>Chemical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>
        <is>
          <t>71288624802</t>
        </is>
      </c>
    </row>
    <row r="17">
      <c r="A17" t="inlineStr">
        <is>
          <t>CHEM-1650</t>
        </is>
      </c>
      <c r="B17" t="inlineStr">
        <is>
          <t>DUASYN ACID BLUE AE-SF 30 LIQUID-SN</t>
        </is>
      </c>
      <c r="C17" t="inlineStr">
        <is>
          <t>TTAF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>
        <is>
          <t>712886256</t>
        </is>
      </c>
    </row>
    <row r="18">
      <c r="A18" t="inlineStr">
        <is>
          <t>CHEM-1660</t>
        </is>
      </c>
      <c r="B18" t="inlineStr">
        <is>
          <t>GW-3394</t>
        </is>
      </c>
      <c r="C18" t="inlineStr">
        <is>
          <t>TTAF</t>
        </is>
      </c>
      <c r="D18" t="inlineStr">
        <is>
          <t>Hazardous 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>
        <is>
          <t>71288627101</t>
        </is>
      </c>
    </row>
    <row r="19">
      <c r="A19" t="inlineStr">
        <is>
          <t>CHEM-1600</t>
        </is>
      </c>
      <c r="B19" t="inlineStr">
        <is>
          <t>BF-1P</t>
        </is>
      </c>
      <c r="C19" t="inlineStr">
        <is>
          <t>TTAF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>
        <is>
          <t>71388005101</t>
        </is>
      </c>
    </row>
    <row r="20">
      <c r="A20" t="inlineStr">
        <is>
          <t>CHEM-1280</t>
        </is>
      </c>
      <c r="B20" t="inlineStr">
        <is>
          <t>DODECYL TRIMETHYL AMMONIUM CHLORIDE</t>
        </is>
      </c>
      <c r="C20" t="inlineStr">
        <is>
          <t>TTAF</t>
        </is>
      </c>
      <c r="D20" t="inlineStr">
        <is>
          <t>Hazardous 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>
        <is>
          <t>83988002202</t>
        </is>
      </c>
    </row>
    <row r="21">
      <c r="A21" t="inlineStr">
        <is>
          <t>CHEM-1240</t>
        </is>
      </c>
      <c r="B21" t="inlineStr">
        <is>
          <t>Alumina SOL(AS200)</t>
        </is>
      </c>
      <c r="C21" t="inlineStr">
        <is>
          <t>TTAF</t>
        </is>
      </c>
      <c r="D21" t="inlineStr">
        <is>
          <t>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>
        <is>
          <t>83988008101</t>
        </is>
      </c>
    </row>
    <row r="22">
      <c r="A22" t="inlineStr">
        <is>
          <t>0JN</t>
        </is>
      </c>
      <c r="B22" t="inlineStr">
        <is>
          <t>N30S/10 : 11R-11 (F2090) Poland</t>
        </is>
      </c>
      <c r="C22" t="inlineStr">
        <is>
          <t>TTAF</t>
        </is>
      </c>
      <c r="D22" t="inlineStr">
        <is>
          <t>Substrate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KFD13117100</t>
        </is>
      </c>
    </row>
    <row r="23">
      <c r="A23" t="inlineStr">
        <is>
          <t>CHEM-1760</t>
        </is>
      </c>
      <c r="B23" t="inlineStr">
        <is>
          <t>Pigment(TC RED FD(A))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713880079</t>
        </is>
      </c>
    </row>
    <row r="24">
      <c r="A24" t="inlineStr">
        <is>
          <t>Original Towel</t>
        </is>
      </c>
      <c r="B24" t="inlineStr">
        <is>
          <t>Towel Paper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859882220</t>
        </is>
      </c>
    </row>
    <row r="25">
      <c r="A25" t="inlineStr">
        <is>
          <t>CHEM-1200</t>
        </is>
      </c>
      <c r="B25" t="inlineStr">
        <is>
          <t>Oxalic Acid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839880012</t>
        </is>
      </c>
    </row>
    <row r="26">
      <c r="A26" t="inlineStr">
        <is>
          <t>CHEM-1830</t>
        </is>
      </c>
      <c r="B26" t="inlineStr">
        <is>
          <t>RCT-43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713880083</t>
        </is>
      </c>
    </row>
    <row r="27">
      <c r="A27" t="inlineStr">
        <is>
          <t>CHEM-1680</t>
        </is>
      </c>
      <c r="B27" t="inlineStr">
        <is>
          <t>NAT38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713880069</t>
        </is>
      </c>
    </row>
    <row r="28">
      <c r="A28" t="inlineStr">
        <is>
          <t>CHEM-1820</t>
        </is>
      </c>
      <c r="B28" t="inlineStr">
        <is>
          <t>JCK-472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713880091</t>
        </is>
      </c>
    </row>
    <row r="29">
      <c r="A29" t="inlineStr">
        <is>
          <t>CHEM-1840</t>
        </is>
      </c>
      <c r="B29" t="inlineStr">
        <is>
          <t>KAOCERA2020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712886281</t>
        </is>
      </c>
    </row>
    <row r="30">
      <c r="A30" t="inlineStr">
        <is>
          <t>TDJ</t>
        </is>
      </c>
      <c r="B30" t="inlineStr">
        <is>
          <t>(11R-08) TP156- 103-130*TG</t>
        </is>
      </c>
      <c r="C30" t="inlineStr">
        <is>
          <t>TTAF</t>
        </is>
      </c>
      <c r="D30" t="inlineStr">
        <is>
          <t>Substrate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1846537010</t>
        </is>
      </c>
    </row>
    <row r="31">
      <c r="A31" t="inlineStr">
        <is>
          <t>CHEM-1730</t>
        </is>
      </c>
      <c r="B31" t="inlineStr">
        <is>
          <t>NAT-41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71388007701</t>
        </is>
      </c>
    </row>
    <row r="32">
      <c r="A32" t="inlineStr">
        <is>
          <t>CHEM-1430</t>
        </is>
      </c>
      <c r="B32" t="inlineStr">
        <is>
          <t>RCT22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71388004301</t>
        </is>
      </c>
    </row>
    <row r="33">
      <c r="A33" t="inlineStr">
        <is>
          <t>CHEM-1480</t>
        </is>
      </c>
      <c r="B33" t="inlineStr">
        <is>
          <t>NAT-30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NAT30</t>
        </is>
      </c>
    </row>
    <row r="34">
      <c r="A34" t="inlineStr">
        <is>
          <t>CHEM-1560</t>
        </is>
      </c>
      <c r="B34" t="inlineStr">
        <is>
          <t>TPZ-511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734831030</t>
        </is>
      </c>
    </row>
    <row r="35">
      <c r="A35" t="inlineStr">
        <is>
          <t>CHEM-1510</t>
        </is>
      </c>
      <c r="B35" t="inlineStr">
        <is>
          <t>BA-070</t>
        </is>
      </c>
      <c r="C35" t="inlineStr">
        <is>
          <t>TTAF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71288625001</t>
        </is>
      </c>
    </row>
    <row r="36">
      <c r="A36" t="inlineStr">
        <is>
          <t>CHEM-1770</t>
        </is>
      </c>
      <c r="B36" t="inlineStr">
        <is>
          <t>RCT-39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New</t>
        </is>
      </c>
    </row>
    <row r="37">
      <c r="A37" t="inlineStr">
        <is>
          <t>CHEM-1020</t>
        </is>
      </c>
      <c r="B37" t="inlineStr">
        <is>
          <t>Sodium Nitrite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</row>
    <row r="38">
      <c r="A38" t="inlineStr">
        <is>
          <t>Ester Film</t>
        </is>
      </c>
      <c r="B38" t="inlineStr">
        <is>
          <t>Ester Film</t>
        </is>
      </c>
      <c r="C38" t="inlineStr">
        <is>
          <t>TTAF</t>
        </is>
      </c>
      <c r="D38" t="inlineStr">
        <is>
          <t>Substrate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/>
    </row>
    <row r="39">
      <c r="A39" t="inlineStr">
        <is>
          <t>PP Film</t>
        </is>
      </c>
      <c r="B39" t="inlineStr">
        <is>
          <t>PP Film</t>
        </is>
      </c>
      <c r="C39" t="inlineStr">
        <is>
          <t>TTAF</t>
        </is>
      </c>
      <c r="D39" t="inlineStr">
        <is>
          <t>Substrate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83988405701</t>
        </is>
      </c>
    </row>
    <row r="40">
      <c r="A40" t="inlineStr">
        <is>
          <t>5SN</t>
        </is>
      </c>
      <c r="B40" t="inlineStr">
        <is>
          <t>5SN</t>
        </is>
      </c>
      <c r="C40" t="inlineStr">
        <is>
          <t>TTAF</t>
        </is>
      </c>
      <c r="D40" t="inlineStr">
        <is>
          <t>Substrate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/>
    </row>
    <row r="41">
      <c r="A41" t="inlineStr">
        <is>
          <t>1JN</t>
        </is>
      </c>
      <c r="B41" t="inlineStr">
        <is>
          <t>1JN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/>
    </row>
    <row r="42">
      <c r="A42" t="inlineStr">
        <is>
          <t>V03</t>
        </is>
      </c>
      <c r="B42" t="inlineStr">
        <is>
          <t>V03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/>
    </row>
    <row r="43">
      <c r="A43" t="inlineStr">
        <is>
          <t>V19</t>
        </is>
      </c>
      <c r="B43" t="inlineStr">
        <is>
          <t>V19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/>
    </row>
    <row r="44">
      <c r="A44" t="inlineStr">
        <is>
          <t>3TP</t>
        </is>
      </c>
      <c r="B44" t="inlineStr">
        <is>
          <t>3TP</t>
        </is>
      </c>
      <c r="C44" t="inlineStr">
        <is>
          <t>TTAF</t>
        </is>
      </c>
      <c r="D44" t="inlineStr">
        <is>
          <t>Substrate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/>
    </row>
    <row r="45">
      <c r="A45" t="inlineStr">
        <is>
          <t>A043</t>
        </is>
      </c>
      <c r="B45" t="inlineStr">
        <is>
          <t>TDJ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5" t="inlineStr">
        <is>
          <t>Intermediate</t>
        </is>
      </c>
      <c r="B1" s="5" t="inlineStr">
        <is>
          <t>Part Name</t>
        </is>
      </c>
      <c r="C1" s="5" t="inlineStr">
        <is>
          <t>RM_Qty_Per_Batch</t>
        </is>
      </c>
      <c r="D1" s="5" t="inlineStr">
        <is>
          <t>PPGridRow</t>
        </is>
      </c>
    </row>
    <row r="2">
      <c r="A2" t="inlineStr">
        <is>
          <t>TSP-049</t>
        </is>
      </c>
      <c r="B2" t="inlineStr">
        <is>
          <t>CHEM-1250</t>
        </is>
      </c>
      <c r="C2" t="n">
        <v>4.5569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CHEM-1420</t>
        </is>
      </c>
      <c r="C3" t="n">
        <v>0.307375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CHEM-1440</t>
        </is>
      </c>
      <c r="C4" t="n">
        <v>0.484115</v>
      </c>
      <c r="D4">
        <f>IFERROR(MATCH($A4,PP_Grid[Intermediate],0),99999)</f>
        <v/>
      </c>
    </row>
    <row r="5">
      <c r="A5" t="inlineStr">
        <is>
          <t>TSP-050</t>
        </is>
      </c>
      <c r="B5" t="inlineStr">
        <is>
          <t>CHEM-1400</t>
        </is>
      </c>
      <c r="C5" t="n">
        <v>7.39</v>
      </c>
      <c r="D5">
        <f>IFERROR(MATCH($A5,PP_Grid[Intermediate],0),99999)</f>
        <v/>
      </c>
    </row>
    <row r="6">
      <c r="A6" t="inlineStr">
        <is>
          <t>TSP-050</t>
        </is>
      </c>
      <c r="B6" t="inlineStr">
        <is>
          <t>CHEM-1430</t>
        </is>
      </c>
      <c r="C6" t="n">
        <v>68.2582</v>
      </c>
      <c r="D6">
        <f>IFERROR(MATCH($A6,PP_Grid[Intermediate],0),99999)</f>
        <v/>
      </c>
    </row>
    <row r="7">
      <c r="A7" t="inlineStr">
        <is>
          <t>TSP-050</t>
        </is>
      </c>
      <c r="B7" t="inlineStr">
        <is>
          <t>CHEM-1420</t>
        </is>
      </c>
      <c r="C7" t="n">
        <v>2.240105</v>
      </c>
      <c r="D7">
        <f>IFERROR(MATCH($A7,PP_Grid[Intermediate],0),99999)</f>
        <v/>
      </c>
    </row>
    <row r="8">
      <c r="A8" t="inlineStr">
        <is>
          <t>TSP-067</t>
        </is>
      </c>
      <c r="B8" t="inlineStr">
        <is>
          <t>CHEM-1250</t>
        </is>
      </c>
      <c r="C8" t="n">
        <v>10.211</v>
      </c>
      <c r="D8">
        <f>IFERROR(MATCH($A8,PP_Grid[Intermediate],0),99999)</f>
        <v/>
      </c>
    </row>
    <row r="9">
      <c r="A9" t="inlineStr">
        <is>
          <t>TSP-067</t>
        </is>
      </c>
      <c r="B9" t="inlineStr">
        <is>
          <t>CHEM-1420</t>
        </is>
      </c>
      <c r="C9" t="n">
        <v>0.5</v>
      </c>
      <c r="D9">
        <f>IFERROR(MATCH($A9,PP_Grid[Intermediate],0),99999)</f>
        <v/>
      </c>
    </row>
    <row r="10">
      <c r="A10" t="inlineStr">
        <is>
          <t>TSP-067</t>
        </is>
      </c>
      <c r="B10" t="inlineStr">
        <is>
          <t>CHEM-1440</t>
        </is>
      </c>
      <c r="C10" t="n">
        <v>0.5</v>
      </c>
      <c r="D10">
        <f>IFERROR(MATCH($A10,PP_Grid[Intermediate],0),99999)</f>
        <v/>
      </c>
    </row>
    <row r="11">
      <c r="A11" t="inlineStr">
        <is>
          <t>TSP-069</t>
        </is>
      </c>
      <c r="B11" t="inlineStr">
        <is>
          <t>CHEM-1250</t>
        </is>
      </c>
      <c r="C11" t="n">
        <v>10.5628</v>
      </c>
      <c r="D11">
        <f>IFERROR(MATCH($A11,PP_Grid[Intermediate],0),99999)</f>
        <v/>
      </c>
    </row>
    <row r="12">
      <c r="A12" t="inlineStr">
        <is>
          <t>TSP-069</t>
        </is>
      </c>
      <c r="B12" t="inlineStr">
        <is>
          <t>CHEM-1440</t>
        </is>
      </c>
      <c r="C12" t="n">
        <v>0.31561515</v>
      </c>
      <c r="D12">
        <f>IFERROR(MATCH($A12,PP_Grid[Intermediate],0),99999)</f>
        <v/>
      </c>
    </row>
    <row r="13">
      <c r="A13" t="inlineStr">
        <is>
          <t>TSP-069</t>
        </is>
      </c>
      <c r="B13" t="inlineStr">
        <is>
          <t>CHEM-1420</t>
        </is>
      </c>
      <c r="C13" t="n">
        <v>0.52602525</v>
      </c>
      <c r="D13">
        <f>IFERROR(MATCH($A13,PP_Grid[Intermediate],0),99999)</f>
        <v/>
      </c>
    </row>
    <row r="14">
      <c r="A14" t="inlineStr">
        <is>
          <t>TSP-077</t>
        </is>
      </c>
      <c r="B14" t="inlineStr">
        <is>
          <t>CHEM-1250</t>
        </is>
      </c>
      <c r="C14" t="n">
        <v>11.363</v>
      </c>
      <c r="D14">
        <f>IFERROR(MATCH($A14,PP_Grid[Intermediate],0),99999)</f>
        <v/>
      </c>
    </row>
    <row r="15">
      <c r="A15" t="inlineStr">
        <is>
          <t>TSP-077</t>
        </is>
      </c>
      <c r="B15" t="inlineStr">
        <is>
          <t>CHEM-1420</t>
        </is>
      </c>
      <c r="C15" t="n">
        <v>0.619961155</v>
      </c>
      <c r="D15">
        <f>IFERROR(MATCH($A15,PP_Grid[Intermediate],0),99999)</f>
        <v/>
      </c>
    </row>
    <row r="16">
      <c r="A16" t="inlineStr">
        <is>
          <t>TSP-077</t>
        </is>
      </c>
      <c r="B16" t="inlineStr">
        <is>
          <t>CHEM-1440</t>
        </is>
      </c>
      <c r="C16" t="n">
        <v>0.4508808400000001</v>
      </c>
      <c r="D16">
        <f>IFERROR(MATCH($A16,PP_Grid[Intermediate],0),99999)</f>
        <v/>
      </c>
    </row>
    <row r="17">
      <c r="A17" t="inlineStr">
        <is>
          <t>TSP-078</t>
        </is>
      </c>
      <c r="B17" t="inlineStr">
        <is>
          <t>CHEM-1400</t>
        </is>
      </c>
      <c r="C17" t="n">
        <v>10.91</v>
      </c>
      <c r="D17">
        <f>IFERROR(MATCH($A17,PP_Grid[Intermediate],0),99999)</f>
        <v/>
      </c>
    </row>
    <row r="18">
      <c r="A18" t="inlineStr">
        <is>
          <t>TSP-078</t>
        </is>
      </c>
      <c r="B18" t="inlineStr">
        <is>
          <t>CHEM-1430</t>
        </is>
      </c>
      <c r="C18" t="n">
        <v>16.91</v>
      </c>
      <c r="D18">
        <f>IFERROR(MATCH($A18,PP_Grid[Intermediate],0),99999)</f>
        <v/>
      </c>
    </row>
    <row r="19">
      <c r="A19" t="inlineStr">
        <is>
          <t>TSP-078</t>
        </is>
      </c>
      <c r="B19" t="inlineStr">
        <is>
          <t>CHEM-1420</t>
        </is>
      </c>
      <c r="C19" t="n">
        <v>3.00645</v>
      </c>
      <c r="D19">
        <f>IFERROR(MATCH($A19,PP_Grid[Intermediate],0),99999)</f>
        <v/>
      </c>
    </row>
    <row r="20">
      <c r="A20" t="inlineStr">
        <is>
          <t>TSP-080</t>
        </is>
      </c>
      <c r="B20" t="inlineStr">
        <is>
          <t>CHEM-1430</t>
        </is>
      </c>
      <c r="C20" t="n">
        <v>20.18</v>
      </c>
      <c r="D20">
        <f>IFERROR(MATCH($A20,PP_Grid[Intermediate],0),99999)</f>
        <v/>
      </c>
    </row>
    <row r="21">
      <c r="A21" t="inlineStr">
        <is>
          <t>TSP-080</t>
        </is>
      </c>
      <c r="B21" t="inlineStr">
        <is>
          <t>CHEM-1420</t>
        </is>
      </c>
      <c r="C21" t="n">
        <v>3.766116928</v>
      </c>
      <c r="D21">
        <f>IFERROR(MATCH($A21,PP_Grid[Intermediate],0),99999)</f>
        <v/>
      </c>
    </row>
    <row r="22">
      <c r="A22" t="inlineStr">
        <is>
          <t>TSP-088</t>
        </is>
      </c>
      <c r="B22" t="inlineStr">
        <is>
          <t>CHEM-1430</t>
        </is>
      </c>
      <c r="C22" t="n">
        <v>9.43</v>
      </c>
      <c r="D22">
        <f>IFERROR(MATCH($A22,PP_Grid[Intermediate],0),99999)</f>
        <v/>
      </c>
    </row>
    <row r="23">
      <c r="A23" t="inlineStr">
        <is>
          <t>TSP-089</t>
        </is>
      </c>
      <c r="B23" t="inlineStr">
        <is>
          <t>CHEM-1430</t>
        </is>
      </c>
      <c r="C23" t="n">
        <v>9.890000000000001</v>
      </c>
      <c r="D23">
        <f>IFERROR(MATCH($A23,PP_Grid[Intermediate],0),99999)</f>
        <v/>
      </c>
    </row>
    <row r="24">
      <c r="A24" t="inlineStr">
        <is>
          <t>TSP-089</t>
        </is>
      </c>
      <c r="B24" t="inlineStr">
        <is>
          <t>CHEM-1420</t>
        </is>
      </c>
      <c r="C24" t="n">
        <v>1.7541125616</v>
      </c>
      <c r="D24">
        <f>IFERROR(MATCH($A24,PP_Grid[Intermediate],0),99999)</f>
        <v/>
      </c>
    </row>
    <row r="25">
      <c r="A25" t="inlineStr">
        <is>
          <t>TSP-104</t>
        </is>
      </c>
      <c r="B25" t="inlineStr">
        <is>
          <t>CHEM-1250</t>
        </is>
      </c>
      <c r="C25" t="n">
        <v>9.9001</v>
      </c>
      <c r="D25">
        <f>IFERROR(MATCH($A25,PP_Grid[Intermediate],0),99999)</f>
        <v/>
      </c>
    </row>
    <row r="26">
      <c r="A26" t="inlineStr">
        <is>
          <t>TSP-104</t>
        </is>
      </c>
      <c r="B26" t="inlineStr">
        <is>
          <t>CHEM-1420</t>
        </is>
      </c>
      <c r="C26" t="n">
        <v>0.307</v>
      </c>
      <c r="D26">
        <f>IFERROR(MATCH($A26,PP_Grid[Intermediate],0),99999)</f>
        <v/>
      </c>
    </row>
    <row r="27">
      <c r="A27" t="inlineStr">
        <is>
          <t>TSP-104</t>
        </is>
      </c>
      <c r="B27" t="inlineStr">
        <is>
          <t>CHEM-1440</t>
        </is>
      </c>
      <c r="C27" t="n">
        <v>0.982</v>
      </c>
      <c r="D27">
        <f>IFERROR(MATCH($A27,PP_Grid[Intermediate],0),99999)</f>
        <v/>
      </c>
    </row>
    <row r="28">
      <c r="A28" t="inlineStr">
        <is>
          <t>TSP-105</t>
        </is>
      </c>
      <c r="B28" t="inlineStr">
        <is>
          <t>CHEM-1400</t>
        </is>
      </c>
      <c r="C28" t="n">
        <v>3.43</v>
      </c>
      <c r="D28">
        <f>IFERROR(MATCH($A28,PP_Grid[Intermediate],0),99999)</f>
        <v/>
      </c>
    </row>
    <row r="29">
      <c r="A29" t="inlineStr">
        <is>
          <t>TSP-105</t>
        </is>
      </c>
      <c r="B29" t="inlineStr">
        <is>
          <t>CHEM-1430</t>
        </is>
      </c>
      <c r="C29" t="n">
        <v>70.41</v>
      </c>
      <c r="D29">
        <f>IFERROR(MATCH($A29,PP_Grid[Intermediate],0),99999)</f>
        <v/>
      </c>
    </row>
    <row r="30">
      <c r="A30" t="inlineStr">
        <is>
          <t>TSP-105</t>
        </is>
      </c>
      <c r="B30" t="inlineStr">
        <is>
          <t>CHEM-1420</t>
        </is>
      </c>
      <c r="C30" t="n">
        <v>1.60032</v>
      </c>
      <c r="D30">
        <f>IFERROR(MATCH($A30,PP_Grid[Intermediate],0),99999)</f>
        <v/>
      </c>
    </row>
    <row r="31">
      <c r="A31" t="inlineStr">
        <is>
          <t>TSP-199</t>
        </is>
      </c>
      <c r="B31" t="inlineStr">
        <is>
          <t>CHEM-1400</t>
        </is>
      </c>
      <c r="C31" t="n">
        <v>3.4253</v>
      </c>
      <c r="D31">
        <f>IFERROR(MATCH($A31,PP_Grid[Intermediate],0),99999)</f>
        <v/>
      </c>
    </row>
    <row r="32">
      <c r="A32" t="inlineStr">
        <is>
          <t>TSP-199</t>
        </is>
      </c>
      <c r="B32" t="inlineStr">
        <is>
          <t>CHEM-1250</t>
        </is>
      </c>
      <c r="C32" t="n">
        <v>5.3219</v>
      </c>
      <c r="D32">
        <f>IFERROR(MATCH($A32,PP_Grid[Intermediate],0),99999)</f>
        <v/>
      </c>
    </row>
    <row r="33">
      <c r="A33" t="inlineStr">
        <is>
          <t>TSP-199</t>
        </is>
      </c>
      <c r="B33" t="inlineStr">
        <is>
          <t>CHEM-1420</t>
        </is>
      </c>
      <c r="C33" t="n">
        <v>0.784</v>
      </c>
      <c r="D33">
        <f>IFERROR(MATCH($A33,PP_Grid[Intermediate],0),99999)</f>
        <v/>
      </c>
    </row>
    <row r="34">
      <c r="A34" t="inlineStr">
        <is>
          <t>TSP-199</t>
        </is>
      </c>
      <c r="B34" t="inlineStr">
        <is>
          <t>CHEM-1440</t>
        </is>
      </c>
      <c r="C34" t="n">
        <v>1.254</v>
      </c>
      <c r="D34">
        <f>IFERROR(MATCH($A34,PP_Grid[Intermediate],0),99999)</f>
        <v/>
      </c>
    </row>
    <row r="35">
      <c r="A35" t="inlineStr">
        <is>
          <t>TSP-205</t>
        </is>
      </c>
      <c r="B35" t="inlineStr">
        <is>
          <t>CHEM-1400</t>
        </is>
      </c>
      <c r="C35" t="n">
        <v>5.08</v>
      </c>
      <c r="D35">
        <f>IFERROR(MATCH($A35,PP_Grid[Intermediate],0),99999)</f>
        <v/>
      </c>
    </row>
    <row r="36">
      <c r="A36" t="inlineStr">
        <is>
          <t>TSP-205</t>
        </is>
      </c>
      <c r="B36" t="inlineStr">
        <is>
          <t>CHEM-1250</t>
        </is>
      </c>
      <c r="C36" t="n">
        <v>7.8373</v>
      </c>
      <c r="D36">
        <f>IFERROR(MATCH($A36,PP_Grid[Intermediate],0),99999)</f>
        <v/>
      </c>
    </row>
    <row r="37">
      <c r="A37" t="inlineStr">
        <is>
          <t>TSP-205</t>
        </is>
      </c>
      <c r="B37" t="inlineStr">
        <is>
          <t>CHEM-1420</t>
        </is>
      </c>
      <c r="C37" t="n">
        <v>0.463</v>
      </c>
      <c r="D37">
        <f>IFERROR(MATCH($A37,PP_Grid[Intermediate],0),99999)</f>
        <v/>
      </c>
    </row>
    <row r="38">
      <c r="A38" t="inlineStr">
        <is>
          <t>TSP-205</t>
        </is>
      </c>
      <c r="B38" t="inlineStr">
        <is>
          <t>CHEM-1440</t>
        </is>
      </c>
      <c r="C38" t="n">
        <v>0.3319681185</v>
      </c>
      <c r="D38">
        <f>IFERROR(MATCH($A38,PP_Grid[Intermediate],0),99999)</f>
        <v/>
      </c>
    </row>
    <row r="39">
      <c r="A39" t="inlineStr">
        <is>
          <t>TSP-206</t>
        </is>
      </c>
      <c r="B39" t="inlineStr">
        <is>
          <t>CHEM-1400</t>
        </is>
      </c>
      <c r="C39" t="n">
        <v>4.3015</v>
      </c>
      <c r="D39">
        <f>IFERROR(MATCH($A39,PP_Grid[Intermediate],0),99999)</f>
        <v/>
      </c>
    </row>
    <row r="40">
      <c r="A40" t="inlineStr">
        <is>
          <t>TSP-206</t>
        </is>
      </c>
      <c r="B40" t="inlineStr">
        <is>
          <t>CHEM-1480</t>
        </is>
      </c>
      <c r="C40" t="n">
        <v>47.5991</v>
      </c>
      <c r="D40">
        <f>IFERROR(MATCH($A40,PP_Grid[Intermediate],0),99999)</f>
        <v/>
      </c>
    </row>
    <row r="41">
      <c r="A41" t="inlineStr">
        <is>
          <t>TSP-206</t>
        </is>
      </c>
      <c r="B41" t="inlineStr">
        <is>
          <t>CHEM-1420</t>
        </is>
      </c>
      <c r="C41" t="n">
        <v>0.6176911500000001</v>
      </c>
      <c r="D41">
        <f>IFERROR(MATCH($A41,PP_Grid[Intermediate],0),99999)</f>
        <v/>
      </c>
    </row>
    <row r="42">
      <c r="A42" t="inlineStr">
        <is>
          <t>TSP-206</t>
        </is>
      </c>
      <c r="B42" t="inlineStr">
        <is>
          <t>CHEM-1440</t>
        </is>
      </c>
      <c r="C42" t="n">
        <v>1.56559455</v>
      </c>
      <c r="D42">
        <f>IFERROR(MATCH($A42,PP_Grid[Intermediate],0),99999)</f>
        <v/>
      </c>
    </row>
    <row r="43">
      <c r="A43" t="inlineStr">
        <is>
          <t>TSP-218</t>
        </is>
      </c>
      <c r="B43" t="inlineStr">
        <is>
          <t>CHEM-1400</t>
        </is>
      </c>
      <c r="C43" t="n">
        <v>1.180807044165801</v>
      </c>
      <c r="D43">
        <f>IFERROR(MATCH($A43,PP_Grid[Intermediate],0),99999)</f>
        <v/>
      </c>
    </row>
    <row r="44">
      <c r="A44" t="inlineStr">
        <is>
          <t>TSP-218</t>
        </is>
      </c>
      <c r="B44" t="inlineStr">
        <is>
          <t>CHEM-1670</t>
        </is>
      </c>
      <c r="C44" t="n">
        <v>5.563962792109256</v>
      </c>
      <c r="D44">
        <f>IFERROR(MATCH($A44,PP_Grid[Intermediate],0),99999)</f>
        <v/>
      </c>
    </row>
    <row r="45">
      <c r="A45" t="inlineStr">
        <is>
          <t>TSP-218</t>
        </is>
      </c>
      <c r="B45" t="inlineStr">
        <is>
          <t>CHEM-1420</t>
        </is>
      </c>
      <c r="C45" t="n">
        <v>0.947</v>
      </c>
      <c r="D45">
        <f>IFERROR(MATCH($A45,PP_Grid[Intermediate],0),99999)</f>
        <v/>
      </c>
    </row>
    <row r="46">
      <c r="A46" t="inlineStr">
        <is>
          <t>TSP-219</t>
        </is>
      </c>
      <c r="B46" t="inlineStr">
        <is>
          <t>CHEM-1400</t>
        </is>
      </c>
      <c r="C46" t="n">
        <v>3.544016061523803</v>
      </c>
      <c r="D46">
        <f>IFERROR(MATCH($A46,PP_Grid[Intermediate],0),99999)</f>
        <v/>
      </c>
    </row>
    <row r="47">
      <c r="A47" t="inlineStr">
        <is>
          <t>TSP-219</t>
        </is>
      </c>
      <c r="B47" t="inlineStr">
        <is>
          <t>CHEM-1600</t>
        </is>
      </c>
      <c r="C47" t="n">
        <v>17.53855461895246</v>
      </c>
      <c r="D47">
        <f>IFERROR(MATCH($A47,PP_Grid[Intermediate],0),99999)</f>
        <v/>
      </c>
    </row>
    <row r="48">
      <c r="A48" t="inlineStr">
        <is>
          <t>TSP-219</t>
        </is>
      </c>
      <c r="B48" t="inlineStr">
        <is>
          <t>CHEM-1510</t>
        </is>
      </c>
      <c r="C48" t="n">
        <v>7.476122094803825</v>
      </c>
      <c r="D48">
        <f>IFERROR(MATCH($A48,PP_Grid[Intermediate],0),99999)</f>
        <v/>
      </c>
    </row>
    <row r="49">
      <c r="A49" t="inlineStr">
        <is>
          <t>TSP-219</t>
        </is>
      </c>
      <c r="B49" t="inlineStr">
        <is>
          <t>0JN</t>
        </is>
      </c>
      <c r="C49" t="n">
        <v>17.09315586581044</v>
      </c>
      <c r="D49">
        <f>IFERROR(MATCH($A49,PP_Grid[Intermediate],0),99999)</f>
        <v/>
      </c>
    </row>
    <row r="50">
      <c r="A50" t="inlineStr">
        <is>
          <t>TSP-219</t>
        </is>
      </c>
      <c r="B50" t="inlineStr">
        <is>
          <t>CHEM-1420</t>
        </is>
      </c>
      <c r="C50" t="n">
        <v>0.522304420321911</v>
      </c>
      <c r="D50">
        <f>IFERROR(MATCH($A50,PP_Grid[Intermediate],0),99999)</f>
        <v/>
      </c>
    </row>
    <row r="51">
      <c r="A51" t="inlineStr">
        <is>
          <t>TSP-219</t>
        </is>
      </c>
      <c r="B51" t="inlineStr">
        <is>
          <t>CHEM-1660</t>
        </is>
      </c>
      <c r="C51" t="n">
        <v>1.536189471535033</v>
      </c>
      <c r="D51">
        <f>IFERROR(MATCH($A51,PP_Grid[Intermediate],0),99999)</f>
        <v/>
      </c>
    </row>
    <row r="52">
      <c r="A52" t="inlineStr">
        <is>
          <t>TSP-224</t>
        </is>
      </c>
      <c r="B52" t="inlineStr">
        <is>
          <t>CHEM-1240</t>
        </is>
      </c>
      <c r="C52" t="n">
        <v>57.38</v>
      </c>
      <c r="D52">
        <f>IFERROR(MATCH($A52,PP_Grid[Intermediate],0),99999)</f>
        <v/>
      </c>
    </row>
    <row r="53">
      <c r="A53" t="inlineStr">
        <is>
          <t>TSP-224</t>
        </is>
      </c>
      <c r="B53" t="inlineStr">
        <is>
          <t>CHEM-1420</t>
        </is>
      </c>
      <c r="C53" t="n">
        <v>0.97</v>
      </c>
      <c r="D53">
        <f>IFERROR(MATCH($A53,PP_Grid[Intermediate],0),99999)</f>
        <v/>
      </c>
    </row>
    <row r="54">
      <c r="A54" t="inlineStr">
        <is>
          <t>TSP-224</t>
        </is>
      </c>
      <c r="B54" t="inlineStr">
        <is>
          <t>CHEM-1440</t>
        </is>
      </c>
      <c r="C54" t="n">
        <v>0.86</v>
      </c>
      <c r="D54">
        <f>IFERROR(MATCH($A54,PP_Grid[Intermediate],0),99999)</f>
        <v/>
      </c>
    </row>
    <row r="55">
      <c r="A55" t="inlineStr">
        <is>
          <t>TSP-225</t>
        </is>
      </c>
      <c r="B55" t="inlineStr">
        <is>
          <t>CHEM-1400</t>
        </is>
      </c>
      <c r="C55" t="n">
        <v>5.53</v>
      </c>
      <c r="D55">
        <f>IFERROR(MATCH($A55,PP_Grid[Intermediate],0),99999)</f>
        <v/>
      </c>
    </row>
    <row r="56">
      <c r="A56" t="inlineStr">
        <is>
          <t>TSP-225</t>
        </is>
      </c>
      <c r="B56" t="inlineStr">
        <is>
          <t>CHEM-1430</t>
        </is>
      </c>
      <c r="C56" t="n">
        <v>14.18</v>
      </c>
      <c r="D56">
        <f>IFERROR(MATCH($A56,PP_Grid[Intermediate],0),99999)</f>
        <v/>
      </c>
    </row>
    <row r="57">
      <c r="A57" t="inlineStr">
        <is>
          <t>TSP-225</t>
        </is>
      </c>
      <c r="B57" t="inlineStr">
        <is>
          <t>CHEM-1420</t>
        </is>
      </c>
      <c r="C57" t="n">
        <v>2.53</v>
      </c>
      <c r="D57">
        <f>IFERROR(MATCH($A57,PP_Grid[Intermediate],0),99999)</f>
        <v/>
      </c>
    </row>
    <row r="58">
      <c r="A58" t="inlineStr">
        <is>
          <t>TSP-360</t>
        </is>
      </c>
      <c r="B58" t="inlineStr">
        <is>
          <t>CHEM-1400</t>
        </is>
      </c>
      <c r="C58" t="n">
        <v>2.975</v>
      </c>
      <c r="D58">
        <f>IFERROR(MATCH($A58,PP_Grid[Intermediate],0),99999)</f>
        <v/>
      </c>
    </row>
    <row r="59">
      <c r="A59" t="inlineStr">
        <is>
          <t>TSP-360</t>
        </is>
      </c>
      <c r="B59" t="inlineStr">
        <is>
          <t>CHEM-1560</t>
        </is>
      </c>
      <c r="C59" t="n">
        <v>3.768</v>
      </c>
      <c r="D59">
        <f>IFERROR(MATCH($A59,PP_Grid[Intermediate],0),99999)</f>
        <v/>
      </c>
    </row>
    <row r="60">
      <c r="A60" t="inlineStr">
        <is>
          <t>TSP-360</t>
        </is>
      </c>
      <c r="B60" t="inlineStr">
        <is>
          <t>CHEM-1510</t>
        </is>
      </c>
      <c r="C60" t="n">
        <v>9.044</v>
      </c>
      <c r="D60">
        <f>IFERROR(MATCH($A60,PP_Grid[Intermediate],0),99999)</f>
        <v/>
      </c>
    </row>
    <row r="61">
      <c r="A61" t="inlineStr">
        <is>
          <t>TSP-360</t>
        </is>
      </c>
      <c r="B61" t="inlineStr">
        <is>
          <t>CHEM-1420</t>
        </is>
      </c>
      <c r="C61" t="n">
        <v>0.278</v>
      </c>
      <c r="D61">
        <f>IFERROR(MATCH($A61,PP_Grid[Intermediate],0),99999)</f>
        <v/>
      </c>
    </row>
    <row r="62">
      <c r="A62" t="inlineStr">
        <is>
          <t>TSP-367</t>
        </is>
      </c>
      <c r="B62" t="inlineStr">
        <is>
          <t>CHEM-1400</t>
        </is>
      </c>
      <c r="C62" t="n">
        <v>3.62</v>
      </c>
      <c r="D62">
        <f>IFERROR(MATCH($A62,PP_Grid[Intermediate],0),99999)</f>
        <v/>
      </c>
    </row>
    <row r="63">
      <c r="A63" t="inlineStr">
        <is>
          <t>TSP-367</t>
        </is>
      </c>
      <c r="B63" t="inlineStr">
        <is>
          <t>CHEM-1510</t>
        </is>
      </c>
      <c r="C63" t="n">
        <v>4.866</v>
      </c>
      <c r="D63">
        <f>IFERROR(MATCH($A63,PP_Grid[Intermediate],0),99999)</f>
        <v/>
      </c>
    </row>
    <row r="64">
      <c r="A64" t="inlineStr">
        <is>
          <t>TSP-367</t>
        </is>
      </c>
      <c r="B64" t="inlineStr">
        <is>
          <t>CHEM-1420</t>
        </is>
      </c>
      <c r="C64" t="n">
        <v>1.17</v>
      </c>
      <c r="D64">
        <f>IFERROR(MATCH($A64,PP_Grid[Intermediate],0),99999)</f>
        <v/>
      </c>
    </row>
    <row r="65">
      <c r="A65" t="inlineStr">
        <is>
          <t>TSP-367</t>
        </is>
      </c>
      <c r="B65" t="inlineStr">
        <is>
          <t>CHEM-1440</t>
        </is>
      </c>
      <c r="C65" t="n">
        <v>1.009987983</v>
      </c>
      <c r="D65">
        <f>IFERROR(MATCH($A65,PP_Grid[Intermediate],0),99999)</f>
        <v/>
      </c>
    </row>
    <row r="66">
      <c r="A66" t="inlineStr">
        <is>
          <t>TSP-369</t>
        </is>
      </c>
      <c r="B66" t="inlineStr">
        <is>
          <t>CHEM-1400</t>
        </is>
      </c>
      <c r="C66" t="n">
        <v>3.889</v>
      </c>
      <c r="D66">
        <f>IFERROR(MATCH($A66,PP_Grid[Intermediate],0),99999)</f>
        <v/>
      </c>
    </row>
    <row r="67">
      <c r="A67" t="inlineStr">
        <is>
          <t>TSP-369</t>
        </is>
      </c>
      <c r="B67" t="inlineStr">
        <is>
          <t>CHEM-1420</t>
        </is>
      </c>
      <c r="C67" t="n">
        <v>1.286</v>
      </c>
      <c r="D67">
        <f>IFERROR(MATCH($A67,PP_Grid[Intermediate],0),99999)</f>
        <v/>
      </c>
    </row>
    <row r="68">
      <c r="A68" t="inlineStr">
        <is>
          <t>TSP-369</t>
        </is>
      </c>
      <c r="B68" t="inlineStr">
        <is>
          <t>CHEM-1440</t>
        </is>
      </c>
      <c r="C68" t="n">
        <v>1.744</v>
      </c>
      <c r="D68">
        <f>IFERROR(MATCH($A68,PP_Grid[Intermediate],0),99999)</f>
        <v/>
      </c>
    </row>
    <row r="69">
      <c r="A69" t="inlineStr">
        <is>
          <t>TSP-390</t>
        </is>
      </c>
      <c r="B69" t="inlineStr">
        <is>
          <t>CHEM-1250</t>
        </is>
      </c>
      <c r="C69" t="n">
        <v>14.029</v>
      </c>
      <c r="D69">
        <f>IFERROR(MATCH($A69,PP_Grid[Intermediate],0),99999)</f>
        <v/>
      </c>
    </row>
    <row r="70">
      <c r="A70" t="inlineStr">
        <is>
          <t>TSP-390</t>
        </is>
      </c>
      <c r="B70" t="inlineStr">
        <is>
          <t>CHEM-1240</t>
        </is>
      </c>
      <c r="C70" t="n">
        <v>17.907</v>
      </c>
      <c r="D70">
        <f>IFERROR(MATCH($A70,PP_Grid[Intermediate],0),99999)</f>
        <v/>
      </c>
    </row>
    <row r="71">
      <c r="A71" t="inlineStr">
        <is>
          <t>TSP-390</t>
        </is>
      </c>
      <c r="B71" t="inlineStr">
        <is>
          <t>CHEM-1420</t>
        </is>
      </c>
      <c r="C71" t="n">
        <v>0.903</v>
      </c>
      <c r="D71">
        <f>IFERROR(MATCH($A71,PP_Grid[Intermediate],0),99999)</f>
        <v/>
      </c>
    </row>
    <row r="72">
      <c r="A72" t="inlineStr">
        <is>
          <t>TSP-390</t>
        </is>
      </c>
      <c r="B72" t="inlineStr">
        <is>
          <t>CHEM-1440</t>
        </is>
      </c>
      <c r="C72" t="n">
        <v>0.852</v>
      </c>
      <c r="D72">
        <f>IFERROR(MATCH($A72,PP_Grid[Intermediate],0),99999)</f>
        <v/>
      </c>
    </row>
    <row r="73">
      <c r="A73" t="inlineStr">
        <is>
          <t>TSP-399</t>
        </is>
      </c>
      <c r="B73" t="inlineStr">
        <is>
          <t>CHEM-1250</t>
        </is>
      </c>
      <c r="C73" t="n">
        <v>14.051</v>
      </c>
      <c r="D73">
        <f>IFERROR(MATCH($A73,PP_Grid[Intermediate],0),99999)</f>
        <v/>
      </c>
    </row>
    <row r="74">
      <c r="A74" t="inlineStr">
        <is>
          <t>TSP-399</t>
        </is>
      </c>
      <c r="B74" t="inlineStr">
        <is>
          <t>CHEM-1240</t>
        </is>
      </c>
      <c r="C74" t="n">
        <v>17.935</v>
      </c>
      <c r="D74">
        <f>IFERROR(MATCH($A74,PP_Grid[Intermediate],0),99999)</f>
        <v/>
      </c>
    </row>
    <row r="75">
      <c r="A75" t="inlineStr">
        <is>
          <t>TSP-399</t>
        </is>
      </c>
      <c r="B75" t="inlineStr">
        <is>
          <t>CHEM-1420</t>
        </is>
      </c>
      <c r="C75" t="n">
        <v>0.895</v>
      </c>
      <c r="D75">
        <f>IFERROR(MATCH($A75,PP_Grid[Intermediate],0),99999)</f>
        <v/>
      </c>
    </row>
    <row r="76">
      <c r="A76" t="inlineStr">
        <is>
          <t>TSP-399</t>
        </is>
      </c>
      <c r="B76" t="inlineStr">
        <is>
          <t>CHEM-1440</t>
        </is>
      </c>
      <c r="C76" t="n">
        <v>0.858</v>
      </c>
      <c r="D76">
        <f>IFERROR(MATCH($A76,PP_Grid[Intermediate],0),99999)</f>
        <v/>
      </c>
    </row>
    <row r="77">
      <c r="A77" t="inlineStr">
        <is>
          <t>TSP-402</t>
        </is>
      </c>
      <c r="B77" t="inlineStr">
        <is>
          <t>CHEM-1530</t>
        </is>
      </c>
      <c r="C77" t="n">
        <v>39.032</v>
      </c>
      <c r="D77">
        <f>IFERROR(MATCH($A77,PP_Grid[Intermediate],0),99999)</f>
        <v/>
      </c>
    </row>
    <row r="78">
      <c r="A78" t="inlineStr">
        <is>
          <t>TSP-402</t>
        </is>
      </c>
      <c r="B78" t="inlineStr">
        <is>
          <t>CHEM-1400</t>
        </is>
      </c>
      <c r="C78" t="n">
        <v>6.745</v>
      </c>
      <c r="D78">
        <f>IFERROR(MATCH($A78,PP_Grid[Intermediate],0),99999)</f>
        <v/>
      </c>
    </row>
    <row r="79">
      <c r="A79" t="inlineStr">
        <is>
          <t>TSP-402</t>
        </is>
      </c>
      <c r="B79" t="inlineStr">
        <is>
          <t>CHEM-1420</t>
        </is>
      </c>
      <c r="C79" t="n">
        <v>1.114</v>
      </c>
      <c r="D79">
        <f>IFERROR(MATCH($A79,PP_Grid[Intermediate],0),99999)</f>
        <v/>
      </c>
    </row>
    <row r="80">
      <c r="A80" t="inlineStr">
        <is>
          <t>TSP-402</t>
        </is>
      </c>
      <c r="B80" t="inlineStr">
        <is>
          <t>CHEM-1650</t>
        </is>
      </c>
      <c r="C80" t="n">
        <v>0.033</v>
      </c>
      <c r="D80">
        <f>IFERROR(MATCH($A80,PP_Grid[Intermediate],0),99999)</f>
        <v/>
      </c>
    </row>
    <row r="81">
      <c r="A81" t="inlineStr">
        <is>
          <t>TSP-403</t>
        </is>
      </c>
      <c r="B81" t="inlineStr">
        <is>
          <t>CHEM-1530</t>
        </is>
      </c>
      <c r="C81" t="n">
        <v>39.513</v>
      </c>
      <c r="D81">
        <f>IFERROR(MATCH($A81,PP_Grid[Intermediate],0),99999)</f>
        <v/>
      </c>
    </row>
    <row r="82">
      <c r="A82" t="inlineStr">
        <is>
          <t>TSP-403</t>
        </is>
      </c>
      <c r="B82" t="inlineStr">
        <is>
          <t>CHEM-1400</t>
        </is>
      </c>
      <c r="C82" t="n">
        <v>6.752</v>
      </c>
      <c r="D82">
        <f>IFERROR(MATCH($A82,PP_Grid[Intermediate],0),99999)</f>
        <v/>
      </c>
    </row>
    <row r="83">
      <c r="A83" t="inlineStr">
        <is>
          <t>TSP-403</t>
        </is>
      </c>
      <c r="B83" t="inlineStr">
        <is>
          <t>CHEM-1420</t>
        </is>
      </c>
      <c r="C83" t="n">
        <v>1.114</v>
      </c>
      <c r="D83">
        <f>IFERROR(MATCH($A83,PP_Grid[Intermediate],0),99999)</f>
        <v/>
      </c>
    </row>
    <row r="84">
      <c r="A84" t="inlineStr">
        <is>
          <t>TSP-403</t>
        </is>
      </c>
      <c r="B84" t="inlineStr">
        <is>
          <t>CHEM-1650</t>
        </is>
      </c>
      <c r="C84" t="n">
        <v>0.033</v>
      </c>
      <c r="D84">
        <f>IFERROR(MATCH($A84,PP_Grid[Intermediate],0),99999)</f>
        <v/>
      </c>
    </row>
    <row r="85">
      <c r="A85" t="inlineStr">
        <is>
          <t>TSP-404</t>
        </is>
      </c>
      <c r="B85" t="inlineStr">
        <is>
          <t>CHEM-1530</t>
        </is>
      </c>
      <c r="C85" t="n">
        <v>36.27</v>
      </c>
      <c r="D85">
        <f>IFERROR(MATCH($A85,PP_Grid[Intermediate],0),99999)</f>
        <v/>
      </c>
    </row>
    <row r="86">
      <c r="A86" t="inlineStr">
        <is>
          <t>TSP-404</t>
        </is>
      </c>
      <c r="B86" t="inlineStr">
        <is>
          <t>CHEM-1400</t>
        </is>
      </c>
      <c r="C86" t="n">
        <v>6.268</v>
      </c>
      <c r="D86">
        <f>IFERROR(MATCH($A86,PP_Grid[Intermediate],0),99999)</f>
        <v/>
      </c>
    </row>
    <row r="87">
      <c r="A87" t="inlineStr">
        <is>
          <t>TSP-404</t>
        </is>
      </c>
      <c r="B87" t="inlineStr">
        <is>
          <t>CHEM-1420</t>
        </is>
      </c>
      <c r="C87" t="n">
        <v>1.033</v>
      </c>
      <c r="D87">
        <f>IFERROR(MATCH($A87,PP_Grid[Intermediate],0),99999)</f>
        <v/>
      </c>
    </row>
    <row r="88">
      <c r="A88" t="inlineStr">
        <is>
          <t>TSP-404</t>
        </is>
      </c>
      <c r="B88" t="inlineStr">
        <is>
          <t>CHEM-1650</t>
        </is>
      </c>
      <c r="C88" t="n">
        <v>0.031</v>
      </c>
      <c r="D88">
        <f>IFERROR(MATCH($A88,PP_Grid[Intermediate],0),99999)</f>
        <v/>
      </c>
    </row>
    <row r="89">
      <c r="A89" t="inlineStr">
        <is>
          <t>TSP-405</t>
        </is>
      </c>
      <c r="B89" t="inlineStr">
        <is>
          <t>CHEM-1530</t>
        </is>
      </c>
      <c r="C89" t="n">
        <v>36.301</v>
      </c>
      <c r="D89">
        <f>IFERROR(MATCH($A89,PP_Grid[Intermediate],0),99999)</f>
        <v/>
      </c>
    </row>
    <row r="90">
      <c r="A90" t="inlineStr">
        <is>
          <t>TSP-405</t>
        </is>
      </c>
      <c r="B90" t="inlineStr">
        <is>
          <t>CHEM-1400</t>
        </is>
      </c>
      <c r="C90" t="n">
        <v>6.273</v>
      </c>
      <c r="D90">
        <f>IFERROR(MATCH($A90,PP_Grid[Intermediate],0),99999)</f>
        <v/>
      </c>
    </row>
    <row r="91">
      <c r="A91" t="inlineStr">
        <is>
          <t>TSP-405</t>
        </is>
      </c>
      <c r="B91" t="inlineStr">
        <is>
          <t>CHEM-1420</t>
        </is>
      </c>
      <c r="C91" t="n">
        <v>1.033</v>
      </c>
      <c r="D91">
        <f>IFERROR(MATCH($A91,PP_Grid[Intermediate],0),99999)</f>
        <v/>
      </c>
    </row>
    <row r="92">
      <c r="A92" t="inlineStr">
        <is>
          <t>TSP-405</t>
        </is>
      </c>
      <c r="B92" t="inlineStr">
        <is>
          <t>CHEM-1650</t>
        </is>
      </c>
      <c r="C92" t="n">
        <v>0.031</v>
      </c>
      <c r="D92">
        <f>IFERROR(MATCH($A92,PP_Grid[Intermediate],0),99999)</f>
        <v/>
      </c>
    </row>
    <row r="93">
      <c r="A93" t="inlineStr">
        <is>
          <t>TSP-544</t>
        </is>
      </c>
      <c r="B93" t="inlineStr">
        <is>
          <t>CHEM-1400</t>
        </is>
      </c>
      <c r="C93" t="n">
        <v>1.299</v>
      </c>
      <c r="D93">
        <f>IFERROR(MATCH($A93,PP_Grid[Intermediate],0),99999)</f>
        <v/>
      </c>
    </row>
    <row r="94">
      <c r="A94" t="inlineStr">
        <is>
          <t>TSP-544</t>
        </is>
      </c>
      <c r="B94" t="inlineStr">
        <is>
          <t>CHEM-1560</t>
        </is>
      </c>
      <c r="C94" t="n">
        <v>4.938</v>
      </c>
      <c r="D94">
        <f>IFERROR(MATCH($A94,PP_Grid[Intermediate],0),99999)</f>
        <v/>
      </c>
    </row>
    <row r="95">
      <c r="A95" t="inlineStr">
        <is>
          <t>TSP-544</t>
        </is>
      </c>
      <c r="B95" t="inlineStr">
        <is>
          <t>CHEM-1510</t>
        </is>
      </c>
      <c r="C95" t="n">
        <v>9.875819999999999</v>
      </c>
      <c r="D95">
        <f>IFERROR(MATCH($A95,PP_Grid[Intermediate],0),99999)</f>
        <v/>
      </c>
    </row>
    <row r="96">
      <c r="A96" t="inlineStr">
        <is>
          <t>TSP-544</t>
        </is>
      </c>
      <c r="B96" t="inlineStr">
        <is>
          <t>CHEM-1420</t>
        </is>
      </c>
      <c r="C96" t="n">
        <v>0.267</v>
      </c>
      <c r="D96">
        <f>IFERROR(MATCH($A96,PP_Grid[Intermediate],0),99999)</f>
        <v/>
      </c>
    </row>
    <row r="97">
      <c r="A97" t="inlineStr">
        <is>
          <t>TSP-544</t>
        </is>
      </c>
      <c r="B97" t="inlineStr">
        <is>
          <t>CHEM-1440</t>
        </is>
      </c>
      <c r="C97" t="n">
        <v>0.731</v>
      </c>
      <c r="D97">
        <f>IFERROR(MATCH($A97,PP_Grid[Intermediate],0),99999)</f>
        <v/>
      </c>
    </row>
    <row r="98">
      <c r="A98" t="inlineStr">
        <is>
          <t>TSP-558</t>
        </is>
      </c>
      <c r="B98" t="inlineStr">
        <is>
          <t>CHEM-1400</t>
        </is>
      </c>
      <c r="C98" t="n">
        <v>1.181</v>
      </c>
      <c r="D98">
        <f>IFERROR(MATCH($A98,PP_Grid[Intermediate],0),99999)</f>
        <v/>
      </c>
    </row>
    <row r="99">
      <c r="A99" t="inlineStr">
        <is>
          <t>TSP-558</t>
        </is>
      </c>
      <c r="B99" t="inlineStr">
        <is>
          <t>CHEM-1670</t>
        </is>
      </c>
      <c r="C99" t="n">
        <v>5.564</v>
      </c>
      <c r="D99">
        <f>IFERROR(MATCH($A99,PP_Grid[Intermediate],0),99999)</f>
        <v/>
      </c>
    </row>
    <row r="100">
      <c r="A100" t="inlineStr">
        <is>
          <t>TSP-558</t>
        </is>
      </c>
      <c r="B100" t="inlineStr">
        <is>
          <t>CHEM-1420</t>
        </is>
      </c>
      <c r="C100" t="n">
        <v>0.947</v>
      </c>
      <c r="D100">
        <f>IFERROR(MATCH($A100,PP_Grid[Intermediate],0),99999)</f>
        <v/>
      </c>
    </row>
    <row r="101">
      <c r="A101" t="inlineStr">
        <is>
          <t>TSP-618</t>
        </is>
      </c>
      <c r="B101" t="inlineStr">
        <is>
          <t>CHEM-1400</t>
        </is>
      </c>
      <c r="C101" t="n">
        <v>1.22</v>
      </c>
      <c r="D101">
        <f>IFERROR(MATCH($A101,PP_Grid[Intermediate],0),99999)</f>
        <v/>
      </c>
    </row>
    <row r="102">
      <c r="A102" t="inlineStr">
        <is>
          <t>TSP-618</t>
        </is>
      </c>
      <c r="B102" t="inlineStr">
        <is>
          <t>CHEM-1690</t>
        </is>
      </c>
      <c r="C102" t="n">
        <v>9.300000000000001</v>
      </c>
      <c r="D102">
        <f>IFERROR(MATCH($A102,PP_Grid[Intermediate],0),99999)</f>
        <v/>
      </c>
    </row>
    <row r="103">
      <c r="A103" t="inlineStr">
        <is>
          <t>TSP-618</t>
        </is>
      </c>
      <c r="B103" t="inlineStr">
        <is>
          <t>CHEM-1420</t>
        </is>
      </c>
      <c r="C103" t="n">
        <v>0.378</v>
      </c>
      <c r="D103">
        <f>IFERROR(MATCH($A103,PP_Grid[Intermediate],0),99999)</f>
        <v/>
      </c>
    </row>
    <row r="104">
      <c r="A104" t="inlineStr">
        <is>
          <t>TSP-618</t>
        </is>
      </c>
      <c r="B104" t="inlineStr">
        <is>
          <t>CHEM-1440</t>
        </is>
      </c>
      <c r="C104" t="n">
        <v>1.303</v>
      </c>
      <c r="D104">
        <f>IFERROR(MATCH($A104,PP_Grid[Intermediate],0),99999)</f>
        <v/>
      </c>
    </row>
    <row r="105">
      <c r="A105" t="inlineStr">
        <is>
          <t>TSP-620</t>
        </is>
      </c>
      <c r="B105" t="inlineStr">
        <is>
          <t>CHEM-1540</t>
        </is>
      </c>
      <c r="C105" t="n">
        <v>37.1545</v>
      </c>
      <c r="D105">
        <f>IFERROR(MATCH($A105,PP_Grid[Intermediate],0),99999)</f>
        <v/>
      </c>
    </row>
    <row r="106">
      <c r="A106" t="inlineStr">
        <is>
          <t>TSP-620</t>
        </is>
      </c>
      <c r="B106" t="inlineStr">
        <is>
          <t>CHEM-1400</t>
        </is>
      </c>
      <c r="C106" t="n">
        <v>1.06</v>
      </c>
      <c r="D106">
        <f>IFERROR(MATCH($A106,PP_Grid[Intermediate],0),99999)</f>
        <v/>
      </c>
    </row>
    <row r="107">
      <c r="A107" t="inlineStr">
        <is>
          <t>TSP-620</t>
        </is>
      </c>
      <c r="B107" t="inlineStr">
        <is>
          <t>CHEM-1420</t>
        </is>
      </c>
      <c r="C107" t="n">
        <v>0.759</v>
      </c>
      <c r="D107">
        <f>IFERROR(MATCH($A107,PP_Grid[Intermediate],0),99999)</f>
        <v/>
      </c>
    </row>
    <row r="108">
      <c r="A108" t="inlineStr">
        <is>
          <t>TSP-620</t>
        </is>
      </c>
      <c r="B108" t="inlineStr">
        <is>
          <t>CHEM-1440</t>
        </is>
      </c>
      <c r="C108" t="n">
        <v>0.534</v>
      </c>
      <c r="D108">
        <f>IFERROR(MATCH($A108,PP_Grid[Intermediate],0),99999)</f>
        <v/>
      </c>
    </row>
    <row r="109">
      <c r="A109" t="inlineStr">
        <is>
          <t>TSP-620</t>
        </is>
      </c>
      <c r="B109" t="inlineStr">
        <is>
          <t>CHEM-1650</t>
        </is>
      </c>
      <c r="C109" t="n">
        <v>0.055</v>
      </c>
      <c r="D109">
        <f>IFERROR(MATCH($A109,PP_Grid[Intermediate],0),99999)</f>
        <v/>
      </c>
    </row>
    <row r="110">
      <c r="A110" t="inlineStr">
        <is>
          <t>TSP-620</t>
        </is>
      </c>
      <c r="B110" t="inlineStr">
        <is>
          <t>CHEM-1700</t>
        </is>
      </c>
      <c r="C110" t="n">
        <v>0.856</v>
      </c>
      <c r="D110">
        <f>IFERROR(MATCH($A110,PP_Grid[Intermediate],0),99999)</f>
        <v/>
      </c>
    </row>
    <row r="111">
      <c r="A111" t="inlineStr">
        <is>
          <t>TSP-623</t>
        </is>
      </c>
      <c r="B111" t="inlineStr">
        <is>
          <t>CHEM-1540</t>
        </is>
      </c>
      <c r="C111" t="n">
        <v>36.855469056</v>
      </c>
      <c r="D111">
        <f>IFERROR(MATCH($A111,PP_Grid[Intermediate],0),99999)</f>
        <v/>
      </c>
    </row>
    <row r="112">
      <c r="A112" t="inlineStr">
        <is>
          <t>TSP-623</t>
        </is>
      </c>
      <c r="B112" t="inlineStr">
        <is>
          <t>CHEM-1400</t>
        </is>
      </c>
      <c r="C112" t="n">
        <v>1.062</v>
      </c>
      <c r="D112">
        <f>IFERROR(MATCH($A112,PP_Grid[Intermediate],0),99999)</f>
        <v/>
      </c>
    </row>
    <row r="113">
      <c r="A113" t="inlineStr">
        <is>
          <t>TSP-623</t>
        </is>
      </c>
      <c r="B113" t="inlineStr">
        <is>
          <t>CHEM-1420</t>
        </is>
      </c>
      <c r="C113" t="n">
        <v>0.759</v>
      </c>
      <c r="D113">
        <f>IFERROR(MATCH($A113,PP_Grid[Intermediate],0),99999)</f>
        <v/>
      </c>
    </row>
    <row r="114">
      <c r="A114" t="inlineStr">
        <is>
          <t>TSP-623</t>
        </is>
      </c>
      <c r="B114" t="inlineStr">
        <is>
          <t>CHEM-1440</t>
        </is>
      </c>
      <c r="C114" t="n">
        <v>0.534</v>
      </c>
      <c r="D114">
        <f>IFERROR(MATCH($A114,PP_Grid[Intermediate],0),99999)</f>
        <v/>
      </c>
    </row>
    <row r="115">
      <c r="A115" t="inlineStr">
        <is>
          <t>TSP-623</t>
        </is>
      </c>
      <c r="B115" t="inlineStr">
        <is>
          <t>CHEM-1650</t>
        </is>
      </c>
      <c r="C115" t="n">
        <v>0.055</v>
      </c>
      <c r="D115">
        <f>IFERROR(MATCH($A115,PP_Grid[Intermediate],0),99999)</f>
        <v/>
      </c>
    </row>
    <row r="116">
      <c r="A116" t="inlineStr">
        <is>
          <t>TSP-623</t>
        </is>
      </c>
      <c r="B116" t="inlineStr">
        <is>
          <t>CHEM-1700</t>
        </is>
      </c>
      <c r="C116" t="n">
        <v>0.857</v>
      </c>
      <c r="D116">
        <f>IFERROR(MATCH($A116,PP_Grid[Intermediate],0),99999)</f>
        <v/>
      </c>
    </row>
    <row r="117">
      <c r="A117" t="inlineStr">
        <is>
          <t>TSP-655</t>
        </is>
      </c>
      <c r="B117" t="inlineStr">
        <is>
          <t>CHEM-1530</t>
        </is>
      </c>
      <c r="C117" t="n">
        <v>55.046</v>
      </c>
      <c r="D117">
        <f>IFERROR(MATCH($A117,PP_Grid[Intermediate],0),99999)</f>
        <v/>
      </c>
    </row>
    <row r="118">
      <c r="A118" t="inlineStr">
        <is>
          <t>TSP-655</t>
        </is>
      </c>
      <c r="B118" t="inlineStr">
        <is>
          <t>CHEM-1400</t>
        </is>
      </c>
      <c r="C118" t="n">
        <v>3.136</v>
      </c>
      <c r="D118">
        <f>IFERROR(MATCH($A118,PP_Grid[Intermediate],0),99999)</f>
        <v/>
      </c>
    </row>
    <row r="119">
      <c r="A119" t="inlineStr">
        <is>
          <t>TSP-655</t>
        </is>
      </c>
      <c r="B119" t="inlineStr">
        <is>
          <t>CHEM-1420</t>
        </is>
      </c>
      <c r="C119" t="n">
        <v>0.894</v>
      </c>
      <c r="D119">
        <f>IFERROR(MATCH($A119,PP_Grid[Intermediate],0),99999)</f>
        <v/>
      </c>
    </row>
    <row r="120">
      <c r="A120" t="inlineStr">
        <is>
          <t>TSP-655</t>
        </is>
      </c>
      <c r="B120" t="inlineStr">
        <is>
          <t>CHEM-1650</t>
        </is>
      </c>
      <c r="C120" t="n">
        <v>0.031</v>
      </c>
      <c r="D120">
        <f>IFERROR(MATCH($A120,PP_Grid[Intermediate],0),99999)</f>
        <v/>
      </c>
    </row>
    <row r="121">
      <c r="A121" t="inlineStr">
        <is>
          <t>TSP-655</t>
        </is>
      </c>
      <c r="B121" t="inlineStr">
        <is>
          <t>CHEM-1660</t>
        </is>
      </c>
      <c r="C121" t="n">
        <v>7.746</v>
      </c>
      <c r="D121">
        <f>IFERROR(MATCH($A121,PP_Grid[Intermediate],0),99999)</f>
        <v/>
      </c>
    </row>
    <row r="122">
      <c r="A122" t="inlineStr">
        <is>
          <t>TSP-656</t>
        </is>
      </c>
      <c r="B122" t="inlineStr">
        <is>
          <t>CHEM-1400</t>
        </is>
      </c>
      <c r="C122" t="n">
        <v>2.813</v>
      </c>
      <c r="D122">
        <f>IFERROR(MATCH($A122,PP_Grid[Intermediate],0),99999)</f>
        <v/>
      </c>
    </row>
    <row r="123">
      <c r="A123" t="inlineStr">
        <is>
          <t>TSP-656</t>
        </is>
      </c>
      <c r="B123" t="inlineStr">
        <is>
          <t>CHEM-1250</t>
        </is>
      </c>
      <c r="C123" t="n">
        <v>5.783</v>
      </c>
      <c r="D123">
        <f>IFERROR(MATCH($A123,PP_Grid[Intermediate],0),99999)</f>
        <v/>
      </c>
    </row>
    <row r="124">
      <c r="A124" t="inlineStr">
        <is>
          <t>TSP-656</t>
        </is>
      </c>
      <c r="B124" t="inlineStr">
        <is>
          <t>CHEM-1420</t>
        </is>
      </c>
      <c r="C124" t="n">
        <v>0.991</v>
      </c>
      <c r="D124">
        <f>IFERROR(MATCH($A124,PP_Grid[Intermediate],0),99999)</f>
        <v/>
      </c>
    </row>
    <row r="125">
      <c r="A125" t="inlineStr">
        <is>
          <t>TSP-656</t>
        </is>
      </c>
      <c r="B125" t="inlineStr">
        <is>
          <t>CHEM-1660</t>
        </is>
      </c>
      <c r="C125" t="n">
        <v>6.557</v>
      </c>
      <c r="D125">
        <f>IFERROR(MATCH($A125,PP_Grid[Intermediate],0),99999)</f>
        <v/>
      </c>
    </row>
    <row r="126">
      <c r="A126" t="inlineStr">
        <is>
          <t>TSP-668</t>
        </is>
      </c>
      <c r="B126" t="inlineStr">
        <is>
          <t>CHEM-1250</t>
        </is>
      </c>
      <c r="C126" t="n">
        <v>19.289</v>
      </c>
      <c r="D126">
        <f>IFERROR(MATCH($A126,PP_Grid[Intermediate],0),99999)</f>
        <v/>
      </c>
    </row>
    <row r="127">
      <c r="A127" t="inlineStr">
        <is>
          <t>TSP-668</t>
        </is>
      </c>
      <c r="B127" t="inlineStr">
        <is>
          <t>CHEM-1240</t>
        </is>
      </c>
      <c r="C127" t="n">
        <v>24.62</v>
      </c>
      <c r="D127">
        <f>IFERROR(MATCH($A127,PP_Grid[Intermediate],0),99999)</f>
        <v/>
      </c>
    </row>
    <row r="128">
      <c r="A128" t="inlineStr">
        <is>
          <t>TSP-668</t>
        </is>
      </c>
      <c r="B128" t="inlineStr">
        <is>
          <t>CHEM-1420</t>
        </is>
      </c>
      <c r="C128" t="n">
        <v>1.115</v>
      </c>
      <c r="D128">
        <f>IFERROR(MATCH($A128,PP_Grid[Intermediate],0),99999)</f>
        <v/>
      </c>
    </row>
    <row r="129">
      <c r="A129" t="inlineStr">
        <is>
          <t>TSP-668</t>
        </is>
      </c>
      <c r="B129" t="inlineStr">
        <is>
          <t>CHEM-1440</t>
        </is>
      </c>
      <c r="C129" t="n">
        <v>1.901</v>
      </c>
      <c r="D129">
        <f>IFERROR(MATCH($A129,PP_Grid[Intermediate],0),99999)</f>
        <v/>
      </c>
    </row>
    <row r="130">
      <c r="A130" t="inlineStr">
        <is>
          <t>TSP-669</t>
        </is>
      </c>
      <c r="B130" t="inlineStr">
        <is>
          <t>CHEM-1250</t>
        </is>
      </c>
      <c r="C130" t="n">
        <v>17.92</v>
      </c>
      <c r="D130">
        <f>IFERROR(MATCH($A130,PP_Grid[Intermediate],0),99999)</f>
        <v/>
      </c>
    </row>
    <row r="131">
      <c r="A131" t="inlineStr">
        <is>
          <t>TSP-669</t>
        </is>
      </c>
      <c r="B131" t="inlineStr">
        <is>
          <t>CHEM-1240</t>
        </is>
      </c>
      <c r="C131" t="n">
        <v>22.87</v>
      </c>
      <c r="D131">
        <f>IFERROR(MATCH($A131,PP_Grid[Intermediate],0),99999)</f>
        <v/>
      </c>
    </row>
    <row r="132">
      <c r="A132" t="inlineStr">
        <is>
          <t>TSP-669</t>
        </is>
      </c>
      <c r="B132" t="inlineStr">
        <is>
          <t>CHEM-1420</t>
        </is>
      </c>
      <c r="C132" t="n">
        <v>1.154303001</v>
      </c>
      <c r="D132">
        <f>IFERROR(MATCH($A132,PP_Grid[Intermediate],0),99999)</f>
        <v/>
      </c>
    </row>
    <row r="133">
      <c r="A133" t="inlineStr">
        <is>
          <t>TSP-669</t>
        </is>
      </c>
      <c r="B133" t="inlineStr">
        <is>
          <t>CHEM-1440</t>
        </is>
      </c>
      <c r="C133" t="n">
        <v>1.412729046</v>
      </c>
      <c r="D133">
        <f>IFERROR(MATCH($A133,PP_Grid[Intermediate],0),99999)</f>
        <v/>
      </c>
    </row>
    <row r="134">
      <c r="A134" t="inlineStr">
        <is>
          <t>TSP-670</t>
        </is>
      </c>
      <c r="B134" t="inlineStr">
        <is>
          <t>CHEM-1250</t>
        </is>
      </c>
      <c r="C134" t="n">
        <v>18.297</v>
      </c>
      <c r="D134">
        <f>IFERROR(MATCH($A134,PP_Grid[Intermediate],0),99999)</f>
        <v/>
      </c>
    </row>
    <row r="135">
      <c r="A135" t="inlineStr">
        <is>
          <t>TSP-670</t>
        </is>
      </c>
      <c r="B135" t="inlineStr">
        <is>
          <t>CHEM-1240</t>
        </is>
      </c>
      <c r="C135" t="n">
        <v>23.354</v>
      </c>
      <c r="D135">
        <f>IFERROR(MATCH($A135,PP_Grid[Intermediate],0),99999)</f>
        <v/>
      </c>
    </row>
    <row r="136">
      <c r="A136" t="inlineStr">
        <is>
          <t>TSP-670</t>
        </is>
      </c>
      <c r="B136" t="inlineStr">
        <is>
          <t>CHEM-1420</t>
        </is>
      </c>
      <c r="C136" t="n">
        <v>1.286</v>
      </c>
      <c r="D136">
        <f>IFERROR(MATCH($A136,PP_Grid[Intermediate],0),99999)</f>
        <v/>
      </c>
    </row>
    <row r="137">
      <c r="A137" t="inlineStr">
        <is>
          <t>TSP-670</t>
        </is>
      </c>
      <c r="B137" t="inlineStr">
        <is>
          <t>CHEM-1440</t>
        </is>
      </c>
      <c r="C137" t="n">
        <v>1.407</v>
      </c>
      <c r="D137">
        <f>IFERROR(MATCH($A137,PP_Grid[Intermediate],0),99999)</f>
        <v/>
      </c>
    </row>
    <row r="138">
      <c r="A138" t="inlineStr">
        <is>
          <t>TSP-699</t>
        </is>
      </c>
      <c r="B138" t="inlineStr">
        <is>
          <t>CHEM-1250</t>
        </is>
      </c>
      <c r="C138" t="n">
        <v>17.918</v>
      </c>
      <c r="D138">
        <f>IFERROR(MATCH($A138,PP_Grid[Intermediate],0),99999)</f>
        <v/>
      </c>
    </row>
    <row r="139">
      <c r="A139" t="inlineStr">
        <is>
          <t>TSP-699</t>
        </is>
      </c>
      <c r="B139" t="inlineStr">
        <is>
          <t>CHEM-1240</t>
        </is>
      </c>
      <c r="C139" t="n">
        <v>22.871</v>
      </c>
      <c r="D139">
        <f>IFERROR(MATCH($A139,PP_Grid[Intermediate],0),99999)</f>
        <v/>
      </c>
    </row>
    <row r="140">
      <c r="A140" t="inlineStr">
        <is>
          <t>TSP-699</t>
        </is>
      </c>
      <c r="B140" t="inlineStr">
        <is>
          <t>CHEM-1420</t>
        </is>
      </c>
      <c r="C140" t="n">
        <v>1.154</v>
      </c>
      <c r="D140">
        <f>IFERROR(MATCH($A140,PP_Grid[Intermediate],0),99999)</f>
        <v/>
      </c>
    </row>
    <row r="141">
      <c r="A141" t="inlineStr">
        <is>
          <t>TSP-699</t>
        </is>
      </c>
      <c r="B141" t="inlineStr">
        <is>
          <t>CHEM-1440</t>
        </is>
      </c>
      <c r="C141" t="n">
        <v>1.413</v>
      </c>
      <c r="D141">
        <f>IFERROR(MATCH($A141,PP_Grid[Intermediate],0),99999)</f>
        <v/>
      </c>
    </row>
    <row r="142">
      <c r="A142" t="inlineStr">
        <is>
          <t>TSP-710</t>
        </is>
      </c>
      <c r="B142" t="inlineStr">
        <is>
          <t>CHEM-1400</t>
        </is>
      </c>
      <c r="C142" t="n">
        <v>3.564</v>
      </c>
      <c r="D142">
        <f>IFERROR(MATCH($A142,PP_Grid[Intermediate],0),99999)</f>
        <v/>
      </c>
    </row>
    <row r="143">
      <c r="A143" t="inlineStr">
        <is>
          <t>TSP-710</t>
        </is>
      </c>
      <c r="B143" t="inlineStr">
        <is>
          <t>CHEM-1560</t>
        </is>
      </c>
      <c r="C143" t="n">
        <v>4.514</v>
      </c>
      <c r="D143">
        <f>IFERROR(MATCH($A143,PP_Grid[Intermediate],0),99999)</f>
        <v/>
      </c>
    </row>
    <row r="144">
      <c r="A144" t="inlineStr">
        <is>
          <t>TSP-710</t>
        </is>
      </c>
      <c r="B144" t="inlineStr">
        <is>
          <t>CHEM-1510</t>
        </is>
      </c>
      <c r="C144" t="n">
        <v>4.334</v>
      </c>
      <c r="D144">
        <f>IFERROR(MATCH($A144,PP_Grid[Intermediate],0),99999)</f>
        <v/>
      </c>
    </row>
    <row r="145">
      <c r="A145" t="inlineStr">
        <is>
          <t>TSP-710</t>
        </is>
      </c>
      <c r="B145" t="inlineStr">
        <is>
          <t>CHEM-1420</t>
        </is>
      </c>
      <c r="C145" t="n">
        <v>0.502</v>
      </c>
      <c r="D145">
        <f>IFERROR(MATCH($A145,PP_Grid[Intermediate],0),99999)</f>
        <v/>
      </c>
    </row>
    <row r="146">
      <c r="A146" t="inlineStr">
        <is>
          <t>TSP-710</t>
        </is>
      </c>
      <c r="B146" t="inlineStr">
        <is>
          <t>CHEM-1440</t>
        </is>
      </c>
      <c r="C146" t="n">
        <v>0.359</v>
      </c>
      <c r="D146">
        <f>IFERROR(MATCH($A146,PP_Grid[Intermediate],0),99999)</f>
        <v/>
      </c>
    </row>
    <row r="147">
      <c r="A147" t="inlineStr">
        <is>
          <t>TSP-828</t>
        </is>
      </c>
      <c r="B147" t="inlineStr">
        <is>
          <t>CHEM-1400</t>
        </is>
      </c>
      <c r="C147" t="n">
        <v>3.103</v>
      </c>
      <c r="D147">
        <f>IFERROR(MATCH($A147,PP_Grid[Intermediate],0),99999)</f>
        <v/>
      </c>
    </row>
    <row r="148">
      <c r="A148" t="inlineStr">
        <is>
          <t>TSP-828</t>
        </is>
      </c>
      <c r="B148" t="inlineStr">
        <is>
          <t>CHEM-1600</t>
        </is>
      </c>
      <c r="C148" t="n">
        <v>3.607</v>
      </c>
      <c r="D148">
        <f>IFERROR(MATCH($A148,PP_Grid[Intermediate],0),99999)</f>
        <v/>
      </c>
    </row>
    <row r="149">
      <c r="A149" t="inlineStr">
        <is>
          <t>TSP-828</t>
        </is>
      </c>
      <c r="B149" t="inlineStr">
        <is>
          <t>CHEM-1420</t>
        </is>
      </c>
      <c r="C149" t="n">
        <v>0.837</v>
      </c>
      <c r="D149">
        <f>IFERROR(MATCH($A149,PP_Grid[Intermediate],0),99999)</f>
        <v/>
      </c>
    </row>
    <row r="150">
      <c r="A150" t="inlineStr">
        <is>
          <t>TSP-828</t>
        </is>
      </c>
      <c r="B150" t="inlineStr">
        <is>
          <t>CHEM-1440</t>
        </is>
      </c>
      <c r="C150" t="n">
        <v>0.707</v>
      </c>
      <c r="D150">
        <f>IFERROR(MATCH($A150,PP_Grid[Intermediate],0),99999)</f>
        <v/>
      </c>
    </row>
    <row r="151">
      <c r="A151" t="inlineStr">
        <is>
          <t>TSP-903</t>
        </is>
      </c>
      <c r="B151" t="inlineStr">
        <is>
          <t>CHEM-1530</t>
        </is>
      </c>
      <c r="C151" t="n">
        <v>13.09</v>
      </c>
      <c r="D151">
        <f>IFERROR(MATCH($A151,PP_Grid[Intermediate],0),99999)</f>
        <v/>
      </c>
    </row>
    <row r="152">
      <c r="A152" t="inlineStr">
        <is>
          <t>TSP-903</t>
        </is>
      </c>
      <c r="B152" t="inlineStr">
        <is>
          <t>CHEM-1400</t>
        </is>
      </c>
      <c r="C152" t="n">
        <v>3.444</v>
      </c>
      <c r="D152">
        <f>IFERROR(MATCH($A152,PP_Grid[Intermediate],0),99999)</f>
        <v/>
      </c>
    </row>
    <row r="153">
      <c r="A153" t="inlineStr">
        <is>
          <t>TSP-903</t>
        </is>
      </c>
      <c r="B153" t="inlineStr">
        <is>
          <t>CHEM-1690</t>
        </is>
      </c>
      <c r="C153" t="n">
        <v>8.734</v>
      </c>
      <c r="D153">
        <f>IFERROR(MATCH($A153,PP_Grid[Intermediate],0),99999)</f>
        <v/>
      </c>
    </row>
    <row r="154">
      <c r="A154" t="inlineStr">
        <is>
          <t>TSP-903</t>
        </is>
      </c>
      <c r="B154" t="inlineStr">
        <is>
          <t>CHEM-1670</t>
        </is>
      </c>
      <c r="C154" t="n">
        <v>3.002</v>
      </c>
      <c r="D154">
        <f>IFERROR(MATCH($A154,PP_Grid[Intermediate],0),99999)</f>
        <v/>
      </c>
    </row>
    <row r="155">
      <c r="A155" t="inlineStr">
        <is>
          <t>TSP-903</t>
        </is>
      </c>
      <c r="B155" t="inlineStr">
        <is>
          <t>CHEM-1420</t>
        </is>
      </c>
      <c r="C155" t="n">
        <v>0.179</v>
      </c>
      <c r="D155">
        <f>IFERROR(MATCH($A155,PP_Grid[Intermediate],0),99999)</f>
        <v/>
      </c>
    </row>
    <row r="156">
      <c r="A156" t="inlineStr">
        <is>
          <t>TSP-903</t>
        </is>
      </c>
      <c r="B156" t="inlineStr">
        <is>
          <t>CHEM-1440</t>
        </is>
      </c>
      <c r="C156" t="n">
        <v>0.524</v>
      </c>
      <c r="D156">
        <f>IFERROR(MATCH($A156,PP_Grid[Intermediate],0),99999)</f>
        <v/>
      </c>
    </row>
    <row r="157">
      <c r="A157" t="inlineStr">
        <is>
          <t>TSP-903</t>
        </is>
      </c>
      <c r="B157" t="inlineStr">
        <is>
          <t>CHEM-1650</t>
        </is>
      </c>
      <c r="C157" t="n">
        <v>0.036</v>
      </c>
      <c r="D157">
        <f>IFERROR(MATCH($A157,PP_Grid[Intermediate],0),99999)</f>
        <v/>
      </c>
    </row>
    <row r="158">
      <c r="A158" t="inlineStr">
        <is>
          <t>TSP-924</t>
        </is>
      </c>
      <c r="B158" t="inlineStr">
        <is>
          <t>CHEM-1420</t>
        </is>
      </c>
      <c r="C158" t="n">
        <v>0.86</v>
      </c>
      <c r="D158">
        <f>IFERROR(MATCH($A158,PP_Grid[Intermediate],0),99999)</f>
        <v/>
      </c>
    </row>
    <row r="159">
      <c r="A159" t="inlineStr">
        <is>
          <t>TSP-924</t>
        </is>
      </c>
      <c r="B159" t="inlineStr">
        <is>
          <t>CHEM-1440</t>
        </is>
      </c>
      <c r="C159" t="n">
        <v>1.812</v>
      </c>
      <c r="D159">
        <f>IFERROR(MATCH($A159,PP_Grid[Intermediate],0),99999)</f>
        <v/>
      </c>
    </row>
    <row r="160">
      <c r="A160" t="inlineStr">
        <is>
          <t>TSP-925</t>
        </is>
      </c>
      <c r="B160" t="inlineStr">
        <is>
          <t>CHEM-1420</t>
        </is>
      </c>
      <c r="C160" t="n">
        <v>0.867</v>
      </c>
      <c r="D160">
        <f>IFERROR(MATCH($A160,PP_Grid[Intermediate],0),99999)</f>
        <v/>
      </c>
    </row>
    <row r="161">
      <c r="A161" t="inlineStr">
        <is>
          <t>TSP-925</t>
        </is>
      </c>
      <c r="B161" t="inlineStr">
        <is>
          <t>CHEM-1440</t>
        </is>
      </c>
      <c r="C161" t="n">
        <v>1.825</v>
      </c>
      <c r="D161">
        <f>IFERROR(MATCH($A161,PP_Grid[Intermediate],0),99999)</f>
        <v/>
      </c>
    </row>
    <row r="162">
      <c r="A162" t="inlineStr">
        <is>
          <t>TSP-927</t>
        </is>
      </c>
      <c r="B162" t="inlineStr">
        <is>
          <t>CHEM-1540</t>
        </is>
      </c>
      <c r="C162" t="n">
        <v>63.66</v>
      </c>
      <c r="D162">
        <f>IFERROR(MATCH($A162,PP_Grid[Intermediate],0),99999)</f>
        <v/>
      </c>
    </row>
    <row r="163">
      <c r="A163" t="inlineStr">
        <is>
          <t>TSP-927</t>
        </is>
      </c>
      <c r="B163" t="inlineStr">
        <is>
          <t>CHEM-1720</t>
        </is>
      </c>
      <c r="C163" t="n">
        <v>6.79</v>
      </c>
      <c r="D163">
        <f>IFERROR(MATCH($A163,PP_Grid[Intermediate],0),99999)</f>
        <v/>
      </c>
    </row>
    <row r="164">
      <c r="A164" t="inlineStr">
        <is>
          <t>TSP-927</t>
        </is>
      </c>
      <c r="B164" t="inlineStr">
        <is>
          <t>CHEM-1420</t>
        </is>
      </c>
      <c r="C164" t="n">
        <v>0.382528</v>
      </c>
      <c r="D164">
        <f>IFERROR(MATCH($A164,PP_Grid[Intermediate],0),99999)</f>
        <v/>
      </c>
    </row>
    <row r="165">
      <c r="A165" t="inlineStr">
        <is>
          <t>TSP-927</t>
        </is>
      </c>
      <c r="B165" t="inlineStr">
        <is>
          <t>CHEM-1440</t>
        </is>
      </c>
      <c r="C165" t="n">
        <v>1.4434048232</v>
      </c>
      <c r="D165">
        <f>IFERROR(MATCH($A165,PP_Grid[Intermediate],0),99999)</f>
        <v/>
      </c>
    </row>
    <row r="166">
      <c r="A166" t="inlineStr">
        <is>
          <t>TSP-928</t>
        </is>
      </c>
      <c r="B166" t="inlineStr">
        <is>
          <t>CHEM-1540</t>
        </is>
      </c>
      <c r="C166" t="n">
        <v>64.483</v>
      </c>
      <c r="D166">
        <f>IFERROR(MATCH($A166,PP_Grid[Intermediate],0),99999)</f>
        <v/>
      </c>
    </row>
    <row r="167">
      <c r="A167" t="inlineStr">
        <is>
          <t>TSP-928</t>
        </is>
      </c>
      <c r="B167" t="inlineStr">
        <is>
          <t>CHEM-1720</t>
        </is>
      </c>
      <c r="C167" t="n">
        <v>6.719</v>
      </c>
      <c r="D167">
        <f>IFERROR(MATCH($A167,PP_Grid[Intermediate],0),99999)</f>
        <v/>
      </c>
    </row>
    <row r="168">
      <c r="A168" t="inlineStr">
        <is>
          <t>TSP-928</t>
        </is>
      </c>
      <c r="B168" t="inlineStr">
        <is>
          <t>CHEM-1420</t>
        </is>
      </c>
      <c r="C168" t="n">
        <v>0.377</v>
      </c>
      <c r="D168">
        <f>IFERROR(MATCH($A168,PP_Grid[Intermediate],0),99999)</f>
        <v/>
      </c>
    </row>
    <row r="169">
      <c r="A169" t="inlineStr">
        <is>
          <t>TSP-928</t>
        </is>
      </c>
      <c r="B169" t="inlineStr">
        <is>
          <t>CHEM-1440</t>
        </is>
      </c>
      <c r="C169" t="n">
        <v>1.258</v>
      </c>
      <c r="D169">
        <f>IFERROR(MATCH($A169,PP_Grid[Intermediate],0),99999)</f>
        <v/>
      </c>
    </row>
    <row r="170">
      <c r="A170" t="inlineStr">
        <is>
          <t>TSP-929</t>
        </is>
      </c>
      <c r="B170" t="inlineStr">
        <is>
          <t>CHEM-1540</t>
        </is>
      </c>
      <c r="C170" t="n">
        <v>64.509</v>
      </c>
      <c r="D170">
        <f>IFERROR(MATCH($A170,PP_Grid[Intermediate],0),99999)</f>
        <v/>
      </c>
    </row>
    <row r="171">
      <c r="A171" t="inlineStr">
        <is>
          <t>TSP-929</t>
        </is>
      </c>
      <c r="B171" t="inlineStr">
        <is>
          <t>CHEM-1720</t>
        </is>
      </c>
      <c r="C171" t="n">
        <v>6.722</v>
      </c>
      <c r="D171">
        <f>IFERROR(MATCH($A171,PP_Grid[Intermediate],0),99999)</f>
        <v/>
      </c>
    </row>
    <row r="172">
      <c r="A172" t="inlineStr">
        <is>
          <t>TSP-929</t>
        </is>
      </c>
      <c r="B172" t="inlineStr">
        <is>
          <t>CHEM-1420</t>
        </is>
      </c>
      <c r="C172" t="n">
        <v>0.377</v>
      </c>
      <c r="D172">
        <f>IFERROR(MATCH($A172,PP_Grid[Intermediate],0),99999)</f>
        <v/>
      </c>
    </row>
    <row r="173">
      <c r="A173" t="inlineStr">
        <is>
          <t>TSP-929</t>
        </is>
      </c>
      <c r="B173" t="inlineStr">
        <is>
          <t>CHEM-1440</t>
        </is>
      </c>
      <c r="C173" t="n">
        <v>1.259</v>
      </c>
      <c r="D173">
        <f>IFERROR(MATCH($A173,PP_Grid[Intermediate],0),99999)</f>
        <v/>
      </c>
    </row>
    <row r="174">
      <c r="A174" t="inlineStr">
        <is>
          <t>TSP-930</t>
        </is>
      </c>
      <c r="B174" t="inlineStr">
        <is>
          <t>CHEM-1540</t>
        </is>
      </c>
      <c r="C174" t="n">
        <v>65.589</v>
      </c>
      <c r="D174">
        <f>IFERROR(MATCH($A174,PP_Grid[Intermediate],0),99999)</f>
        <v/>
      </c>
    </row>
    <row r="175">
      <c r="A175" t="inlineStr">
        <is>
          <t>TSP-930</t>
        </is>
      </c>
      <c r="B175" t="inlineStr">
        <is>
          <t>CHEM-1720</t>
        </is>
      </c>
      <c r="C175" t="n">
        <v>6.884</v>
      </c>
      <c r="D175">
        <f>IFERROR(MATCH($A175,PP_Grid[Intermediate],0),99999)</f>
        <v/>
      </c>
    </row>
    <row r="176">
      <c r="A176" t="inlineStr">
        <is>
          <t>TSP-930</t>
        </is>
      </c>
      <c r="B176" t="inlineStr">
        <is>
          <t>CHEM-1420</t>
        </is>
      </c>
      <c r="C176" t="n">
        <v>0.386</v>
      </c>
      <c r="D176">
        <f>IFERROR(MATCH($A176,PP_Grid[Intermediate],0),99999)</f>
        <v/>
      </c>
    </row>
    <row r="177">
      <c r="A177" t="inlineStr">
        <is>
          <t>TSP-930</t>
        </is>
      </c>
      <c r="B177" t="inlineStr">
        <is>
          <t>CHEM-1440</t>
        </is>
      </c>
      <c r="C177" t="n">
        <v>1.461</v>
      </c>
      <c r="D177">
        <f>IFERROR(MATCH($A177,PP_Grid[Intermediate],0),99999)</f>
        <v/>
      </c>
    </row>
    <row r="178">
      <c r="A178" t="inlineStr">
        <is>
          <t>TSP-934</t>
        </is>
      </c>
      <c r="B178" t="inlineStr">
        <is>
          <t>CHEM-1540</t>
        </is>
      </c>
      <c r="C178" t="n">
        <v>39.967</v>
      </c>
      <c r="D178">
        <f>IFERROR(MATCH($A178,PP_Grid[Intermediate],0),99999)</f>
        <v/>
      </c>
    </row>
    <row r="179">
      <c r="A179" t="inlineStr">
        <is>
          <t>TSP-934</t>
        </is>
      </c>
      <c r="B179" t="inlineStr">
        <is>
          <t>CHEM-1720</t>
        </is>
      </c>
      <c r="C179" t="n">
        <v>6.273</v>
      </c>
      <c r="D179">
        <f>IFERROR(MATCH($A179,PP_Grid[Intermediate],0),99999)</f>
        <v/>
      </c>
    </row>
    <row r="180">
      <c r="A180" t="inlineStr">
        <is>
          <t>TSP-934</t>
        </is>
      </c>
      <c r="B180" t="inlineStr">
        <is>
          <t>CHEM-1420</t>
        </is>
      </c>
      <c r="C180" t="n">
        <v>0.806</v>
      </c>
      <c r="D180">
        <f>IFERROR(MATCH($A180,PP_Grid[Intermediate],0),99999)</f>
        <v/>
      </c>
    </row>
    <row r="181">
      <c r="A181" t="inlineStr">
        <is>
          <t>TSP-934</t>
        </is>
      </c>
      <c r="B181" t="inlineStr">
        <is>
          <t>CHEM-1440</t>
        </is>
      </c>
      <c r="C181" t="n">
        <v>1.621</v>
      </c>
      <c r="D181">
        <f>IFERROR(MATCH($A181,PP_Grid[Intermediate],0),99999)</f>
        <v/>
      </c>
    </row>
    <row r="182">
      <c r="A182" t="inlineStr">
        <is>
          <t>TSP-934</t>
        </is>
      </c>
      <c r="B182" t="inlineStr">
        <is>
          <t>CHEM-1650</t>
        </is>
      </c>
      <c r="C182" t="n">
        <v>0.32</v>
      </c>
      <c r="D182">
        <f>IFERROR(MATCH($A182,PP_Grid[Intermediate],0),99999)</f>
        <v/>
      </c>
    </row>
    <row r="183">
      <c r="A183" t="inlineStr">
        <is>
          <t>TSP-934</t>
        </is>
      </c>
      <c r="B183" t="inlineStr">
        <is>
          <t>CHEM-1700</t>
        </is>
      </c>
      <c r="C183" t="n">
        <v>1.728</v>
      </c>
      <c r="D183">
        <f>IFERROR(MATCH($A183,PP_Grid[Intermediate],0),99999)</f>
        <v/>
      </c>
    </row>
    <row r="184">
      <c r="A184" t="inlineStr">
        <is>
          <t>TSP-935</t>
        </is>
      </c>
      <c r="B184" t="inlineStr">
        <is>
          <t>CHEM-1540</t>
        </is>
      </c>
      <c r="C184" t="n">
        <v>41.637</v>
      </c>
      <c r="D184">
        <f>IFERROR(MATCH($A184,PP_Grid[Intermediate],0),99999)</f>
        <v/>
      </c>
    </row>
    <row r="185">
      <c r="A185" t="inlineStr">
        <is>
          <t>TSP-935</t>
        </is>
      </c>
      <c r="B185" t="inlineStr">
        <is>
          <t>CHEM-1720</t>
        </is>
      </c>
      <c r="C185" t="n">
        <v>6.508</v>
      </c>
      <c r="D185">
        <f>IFERROR(MATCH($A185,PP_Grid[Intermediate],0),99999)</f>
        <v/>
      </c>
    </row>
    <row r="186">
      <c r="A186" t="inlineStr">
        <is>
          <t>TSP-935</t>
        </is>
      </c>
      <c r="B186" t="inlineStr">
        <is>
          <t>CHEM-1420</t>
        </is>
      </c>
      <c r="C186" t="n">
        <v>0.837</v>
      </c>
      <c r="D186">
        <f>IFERROR(MATCH($A186,PP_Grid[Intermediate],0),99999)</f>
        <v/>
      </c>
    </row>
    <row r="187">
      <c r="A187" t="inlineStr">
        <is>
          <t>TSP-935</t>
        </is>
      </c>
      <c r="B187" t="inlineStr">
        <is>
          <t>CHEM-1440</t>
        </is>
      </c>
      <c r="C187" t="n">
        <v>1.682</v>
      </c>
      <c r="D187">
        <f>IFERROR(MATCH($A187,PP_Grid[Intermediate],0),99999)</f>
        <v/>
      </c>
    </row>
    <row r="188">
      <c r="A188" t="inlineStr">
        <is>
          <t>TSP-935</t>
        </is>
      </c>
      <c r="B188" t="inlineStr">
        <is>
          <t>CHEM-1650</t>
        </is>
      </c>
      <c r="C188" t="n">
        <v>0.033</v>
      </c>
      <c r="D188">
        <f>IFERROR(MATCH($A188,PP_Grid[Intermediate],0),99999)</f>
        <v/>
      </c>
    </row>
    <row r="189">
      <c r="A189" t="inlineStr">
        <is>
          <t>TSP-935</t>
        </is>
      </c>
      <c r="B189" t="inlineStr">
        <is>
          <t>CHEM-1700</t>
        </is>
      </c>
      <c r="C189" t="n">
        <v>1.788</v>
      </c>
      <c r="D189">
        <f>IFERROR(MATCH($A189,PP_Grid[Intermediate],0),99999)</f>
        <v/>
      </c>
    </row>
    <row r="190">
      <c r="A190" t="inlineStr">
        <is>
          <t>TSP-936</t>
        </is>
      </c>
      <c r="B190" t="inlineStr">
        <is>
          <t>CHEM-1540</t>
        </is>
      </c>
      <c r="C190" t="n">
        <v>41.439</v>
      </c>
      <c r="D190">
        <f>IFERROR(MATCH($A190,PP_Grid[Intermediate],0),99999)</f>
        <v/>
      </c>
    </row>
    <row r="191">
      <c r="A191" t="inlineStr">
        <is>
          <t>TSP-936</t>
        </is>
      </c>
      <c r="B191" t="inlineStr">
        <is>
          <t>CHEM-1720</t>
        </is>
      </c>
      <c r="C191" t="n">
        <v>6.524</v>
      </c>
      <c r="D191">
        <f>IFERROR(MATCH($A191,PP_Grid[Intermediate],0),99999)</f>
        <v/>
      </c>
    </row>
    <row r="192">
      <c r="A192" t="inlineStr">
        <is>
          <t>TSP-936</t>
        </is>
      </c>
      <c r="B192" t="inlineStr">
        <is>
          <t>CHEM-1420</t>
        </is>
      </c>
      <c r="C192" t="n">
        <v>1.01</v>
      </c>
      <c r="D192">
        <f>IFERROR(MATCH($A192,PP_Grid[Intermediate],0),99999)</f>
        <v/>
      </c>
    </row>
    <row r="193">
      <c r="A193" t="inlineStr">
        <is>
          <t>TSP-936</t>
        </is>
      </c>
      <c r="B193" t="inlineStr">
        <is>
          <t>CHEM-1440</t>
        </is>
      </c>
      <c r="C193" t="n">
        <v>1.686</v>
      </c>
      <c r="D193">
        <f>IFERROR(MATCH($A193,PP_Grid[Intermediate],0),99999)</f>
        <v/>
      </c>
    </row>
    <row r="194">
      <c r="A194" t="inlineStr">
        <is>
          <t>TSP-936</t>
        </is>
      </c>
      <c r="B194" t="inlineStr">
        <is>
          <t>CHEM-1650</t>
        </is>
      </c>
      <c r="C194" t="n">
        <v>0.033</v>
      </c>
      <c r="D194">
        <f>IFERROR(MATCH($A194,PP_Grid[Intermediate],0),99999)</f>
        <v/>
      </c>
    </row>
    <row r="195">
      <c r="A195" t="inlineStr">
        <is>
          <t>TSP-936</t>
        </is>
      </c>
      <c r="B195" t="inlineStr">
        <is>
          <t>CHEM-1700</t>
        </is>
      </c>
      <c r="C195" t="n">
        <v>1.792</v>
      </c>
      <c r="D195">
        <f>IFERROR(MATCH($A195,PP_Grid[Intermediate],0),99999)</f>
        <v/>
      </c>
    </row>
    <row r="196">
      <c r="A196" t="inlineStr">
        <is>
          <t>TSP-937</t>
        </is>
      </c>
      <c r="B196" t="inlineStr">
        <is>
          <t>CHEM-1540</t>
        </is>
      </c>
      <c r="C196" t="n">
        <v>40.638</v>
      </c>
      <c r="D196">
        <f>IFERROR(MATCH($A196,PP_Grid[Intermediate],0),99999)</f>
        <v/>
      </c>
    </row>
    <row r="197">
      <c r="A197" t="inlineStr">
        <is>
          <t>TSP-937</t>
        </is>
      </c>
      <c r="B197" t="inlineStr">
        <is>
          <t>CHEM-1720</t>
        </is>
      </c>
      <c r="C197" t="n">
        <v>6.398</v>
      </c>
      <c r="D197">
        <f>IFERROR(MATCH($A197,PP_Grid[Intermediate],0),99999)</f>
        <v/>
      </c>
    </row>
    <row r="198">
      <c r="A198" t="inlineStr">
        <is>
          <t>TSP-937</t>
        </is>
      </c>
      <c r="B198" t="inlineStr">
        <is>
          <t>CHEM-1420</t>
        </is>
      </c>
      <c r="C198" t="n">
        <v>0.99</v>
      </c>
      <c r="D198">
        <f>IFERROR(MATCH($A198,PP_Grid[Intermediate],0),99999)</f>
        <v/>
      </c>
    </row>
    <row r="199">
      <c r="A199" t="inlineStr">
        <is>
          <t>TSP-937</t>
        </is>
      </c>
      <c r="B199" t="inlineStr">
        <is>
          <t>CHEM-1440</t>
        </is>
      </c>
      <c r="C199" t="n">
        <v>1.653</v>
      </c>
      <c r="D199">
        <f>IFERROR(MATCH($A199,PP_Grid[Intermediate],0),99999)</f>
        <v/>
      </c>
    </row>
    <row r="200">
      <c r="A200" t="inlineStr">
        <is>
          <t>TSP-937</t>
        </is>
      </c>
      <c r="B200" t="inlineStr">
        <is>
          <t>CHEM-1650</t>
        </is>
      </c>
      <c r="C200" t="n">
        <v>0.032</v>
      </c>
      <c r="D200">
        <f>IFERROR(MATCH($A200,PP_Grid[Intermediate],0),99999)</f>
        <v/>
      </c>
    </row>
    <row r="201">
      <c r="A201" t="inlineStr">
        <is>
          <t>TSP-937</t>
        </is>
      </c>
      <c r="B201" t="inlineStr">
        <is>
          <t>CHEM-1700</t>
        </is>
      </c>
      <c r="C201" t="n">
        <v>1.756</v>
      </c>
      <c r="D201">
        <f>IFERROR(MATCH($A201,PP_Grid[Intermediate],0),99999)</f>
        <v/>
      </c>
    </row>
    <row r="202">
      <c r="A202" t="inlineStr">
        <is>
          <t>TSP-959</t>
        </is>
      </c>
      <c r="B202" t="inlineStr">
        <is>
          <t>CHEM-1530</t>
        </is>
      </c>
      <c r="C202" t="n">
        <v>57.3098</v>
      </c>
      <c r="D202">
        <f>IFERROR(MATCH($A202,PP_Grid[Intermediate],0),99999)</f>
        <v/>
      </c>
    </row>
    <row r="203">
      <c r="A203" t="inlineStr">
        <is>
          <t>TSP-959</t>
        </is>
      </c>
      <c r="B203" t="inlineStr">
        <is>
          <t>CHEM-1400</t>
        </is>
      </c>
      <c r="C203" t="n">
        <v>3.161</v>
      </c>
      <c r="D203">
        <f>IFERROR(MATCH($A203,PP_Grid[Intermediate],0),99999)</f>
        <v/>
      </c>
    </row>
    <row r="204">
      <c r="A204" t="inlineStr">
        <is>
          <t>TSP-959</t>
        </is>
      </c>
      <c r="B204" t="inlineStr">
        <is>
          <t>CHEM-1420</t>
        </is>
      </c>
      <c r="C204" t="n">
        <v>0.465</v>
      </c>
      <c r="D204">
        <f>IFERROR(MATCH($A204,PP_Grid[Intermediate],0),99999)</f>
        <v/>
      </c>
    </row>
    <row r="205">
      <c r="A205" t="inlineStr">
        <is>
          <t>TSP-959</t>
        </is>
      </c>
      <c r="B205" t="inlineStr">
        <is>
          <t>CHEM-1650</t>
        </is>
      </c>
      <c r="C205" t="n">
        <v>0.032</v>
      </c>
      <c r="D205">
        <f>IFERROR(MATCH($A205,PP_Grid[Intermediate],0),99999)</f>
        <v/>
      </c>
    </row>
    <row r="206">
      <c r="A206" t="inlineStr">
        <is>
          <t>TSP-966</t>
        </is>
      </c>
      <c r="B206" t="inlineStr">
        <is>
          <t>CHEM-1400</t>
        </is>
      </c>
      <c r="C206" t="n">
        <v>1.838</v>
      </c>
      <c r="D206">
        <f>IFERROR(MATCH($A206,PP_Grid[Intermediate],0),99999)</f>
        <v/>
      </c>
    </row>
    <row r="207">
      <c r="A207" t="inlineStr">
        <is>
          <t>TSP-966</t>
        </is>
      </c>
      <c r="B207" t="inlineStr">
        <is>
          <t>CHEM-1250</t>
        </is>
      </c>
      <c r="C207" t="n">
        <v>3.542</v>
      </c>
      <c r="D207">
        <f>IFERROR(MATCH($A207,PP_Grid[Intermediate],0),99999)</f>
        <v/>
      </c>
    </row>
    <row r="208">
      <c r="A208" t="inlineStr">
        <is>
          <t>TSP-966</t>
        </is>
      </c>
      <c r="B208" t="inlineStr">
        <is>
          <t>CHEM-1690</t>
        </is>
      </c>
      <c r="C208" t="n">
        <v>4.89</v>
      </c>
      <c r="D208">
        <f>IFERROR(MATCH($A208,PP_Grid[Intermediate],0),99999)</f>
        <v/>
      </c>
    </row>
    <row r="209">
      <c r="A209" t="inlineStr">
        <is>
          <t>TSP-966</t>
        </is>
      </c>
      <c r="B209" t="inlineStr">
        <is>
          <t>CHEM-1420</t>
        </is>
      </c>
      <c r="C209" t="n">
        <v>0.546</v>
      </c>
      <c r="D209">
        <f>IFERROR(MATCH($A209,PP_Grid[Intermediate],0),99999)</f>
        <v/>
      </c>
    </row>
    <row r="210">
      <c r="A210" t="inlineStr">
        <is>
          <t>TSZ-616</t>
        </is>
      </c>
      <c r="B210" t="inlineStr">
        <is>
          <t>CHEM-1600</t>
        </is>
      </c>
      <c r="C210" t="n">
        <v>40.8163</v>
      </c>
      <c r="D210">
        <f>IFERROR(MATCH($A210,PP_Grid[Intermediate],0),99999)</f>
        <v/>
      </c>
    </row>
    <row r="211">
      <c r="A211" t="inlineStr">
        <is>
          <t>TSZ-616</t>
        </is>
      </c>
      <c r="B211" t="inlineStr">
        <is>
          <t>CHEM-1510</t>
        </is>
      </c>
      <c r="C211" t="n">
        <v>1.2</v>
      </c>
      <c r="D211">
        <f>IFERROR(MATCH($A211,PP_Grid[Intermediate],0),99999)</f>
        <v/>
      </c>
    </row>
    <row r="212">
      <c r="A212" t="inlineStr">
        <is>
          <t>TVS-833</t>
        </is>
      </c>
      <c r="B212" t="inlineStr">
        <is>
          <t>0JN</t>
        </is>
      </c>
      <c r="C212" t="n">
        <v>1.0253</v>
      </c>
      <c r="D212">
        <f>IFERROR(MATCH($A212,PP_Grid[Intermediate],0),99999)</f>
        <v/>
      </c>
    </row>
    <row r="213">
      <c r="A213" t="inlineStr">
        <is>
          <t>TVS-833</t>
        </is>
      </c>
      <c r="B213" t="inlineStr">
        <is>
          <t>CHEM-1420</t>
        </is>
      </c>
      <c r="C213" t="n">
        <v>2.74785</v>
      </c>
      <c r="D213">
        <f>IFERROR(MATCH($A213,PP_Grid[Intermediate],0),99999)</f>
        <v/>
      </c>
    </row>
    <row r="214">
      <c r="A214" t="inlineStr">
        <is>
          <t>TVS-833</t>
        </is>
      </c>
      <c r="B214" t="inlineStr">
        <is>
          <t>CHEM-1760</t>
        </is>
      </c>
      <c r="C214" t="n">
        <v>0.17607</v>
      </c>
      <c r="D214">
        <f>IFERROR(MATCH($A214,PP_Grid[Intermediate],0),99999)</f>
        <v/>
      </c>
    </row>
    <row r="215">
      <c r="A215" t="inlineStr">
        <is>
          <t>TSP-1388</t>
        </is>
      </c>
      <c r="B215" t="inlineStr">
        <is>
          <t>CHEM-1420</t>
        </is>
      </c>
      <c r="C215" t="n">
        <v>0.349</v>
      </c>
      <c r="D215">
        <f>IFERROR(MATCH($A215,PP_Grid[Intermediate],0),99999)</f>
        <v/>
      </c>
    </row>
    <row r="216">
      <c r="A216" t="inlineStr">
        <is>
          <t>TSP-1388</t>
        </is>
      </c>
      <c r="B216" t="inlineStr">
        <is>
          <t>CHEM-1440</t>
        </is>
      </c>
      <c r="C216" t="n">
        <v>0.805</v>
      </c>
      <c r="D216">
        <f>IFERROR(MATCH($A216,PP_Grid[Intermediate],0),99999)</f>
        <v/>
      </c>
    </row>
    <row r="217">
      <c r="A217" t="inlineStr">
        <is>
          <t>TSP-1388</t>
        </is>
      </c>
      <c r="B217" t="inlineStr">
        <is>
          <t>CHEM-1650</t>
        </is>
      </c>
      <c r="C217" t="n">
        <v>0.1</v>
      </c>
      <c r="D217">
        <f>IFERROR(MATCH($A217,PP_Grid[Intermediate],0),99999)</f>
        <v/>
      </c>
    </row>
    <row r="218">
      <c r="A218" t="inlineStr">
        <is>
          <t>TSP-1388</t>
        </is>
      </c>
      <c r="B218" t="inlineStr">
        <is>
          <t>CHEM-1700</t>
        </is>
      </c>
      <c r="C218" t="n">
        <v>1.732</v>
      </c>
      <c r="D218">
        <f>IFERROR(MATCH($A218,PP_Grid[Intermediate],0),99999)</f>
        <v/>
      </c>
    </row>
    <row r="219">
      <c r="A219" t="inlineStr">
        <is>
          <t>TSP-1444</t>
        </is>
      </c>
      <c r="B219" t="inlineStr">
        <is>
          <t>CHEM-1540</t>
        </is>
      </c>
      <c r="C219" t="n">
        <v>51.818</v>
      </c>
      <c r="D219">
        <f>IFERROR(MATCH($A219,PP_Grid[Intermediate],0),99999)</f>
        <v/>
      </c>
    </row>
    <row r="220">
      <c r="A220" t="inlineStr">
        <is>
          <t>TSP-1444</t>
        </is>
      </c>
      <c r="B220" t="inlineStr">
        <is>
          <t>CHEM-1720</t>
        </is>
      </c>
      <c r="C220" t="n">
        <v>19.828</v>
      </c>
      <c r="D220">
        <f>IFERROR(MATCH($A220,PP_Grid[Intermediate],0),99999)</f>
        <v/>
      </c>
    </row>
    <row r="221">
      <c r="A221" t="inlineStr">
        <is>
          <t>TSP-1444</t>
        </is>
      </c>
      <c r="B221" t="inlineStr">
        <is>
          <t>CHEM-1670</t>
        </is>
      </c>
      <c r="C221" t="n">
        <v>5.164</v>
      </c>
      <c r="D221">
        <f>IFERROR(MATCH($A221,PP_Grid[Intermediate],0),99999)</f>
        <v/>
      </c>
    </row>
    <row r="222">
      <c r="A222" t="inlineStr">
        <is>
          <t>TSP-1444</t>
        </is>
      </c>
      <c r="B222" t="inlineStr">
        <is>
          <t>CHEM-1420</t>
        </is>
      </c>
      <c r="C222" t="n">
        <v>0.389</v>
      </c>
      <c r="D222">
        <f>IFERROR(MATCH($A222,PP_Grid[Intermediate],0),99999)</f>
        <v/>
      </c>
    </row>
    <row r="223">
      <c r="A223" t="inlineStr">
        <is>
          <t>TSP-1444</t>
        </is>
      </c>
      <c r="B223" t="inlineStr">
        <is>
          <t>CHEM-1440</t>
        </is>
      </c>
      <c r="C223" t="n">
        <v>2.065</v>
      </c>
      <c r="D223">
        <f>IFERROR(MATCH($A223,PP_Grid[Intermediate],0),99999)</f>
        <v/>
      </c>
    </row>
    <row r="224">
      <c r="A224" t="inlineStr">
        <is>
          <t>TSP-1448</t>
        </is>
      </c>
      <c r="B224" t="inlineStr">
        <is>
          <t>CHEM-1540</t>
        </is>
      </c>
      <c r="C224" t="n">
        <v>14.5392</v>
      </c>
      <c r="D224">
        <f>IFERROR(MATCH($A224,PP_Grid[Intermediate],0),99999)</f>
        <v/>
      </c>
    </row>
    <row r="225">
      <c r="A225" t="inlineStr">
        <is>
          <t>TSP-1448</t>
        </is>
      </c>
      <c r="B225" t="inlineStr">
        <is>
          <t>CHEM-1720</t>
        </is>
      </c>
      <c r="C225" t="n">
        <v>8.583</v>
      </c>
      <c r="D225">
        <f>IFERROR(MATCH($A225,PP_Grid[Intermediate],0),99999)</f>
        <v/>
      </c>
    </row>
    <row r="226">
      <c r="A226" t="inlineStr">
        <is>
          <t>TSP-1448</t>
        </is>
      </c>
      <c r="B226" t="inlineStr">
        <is>
          <t>CHEM-1240</t>
        </is>
      </c>
      <c r="C226" t="n">
        <v>18.682</v>
      </c>
      <c r="D226">
        <f>IFERROR(MATCH($A226,PP_Grid[Intermediate],0),99999)</f>
        <v/>
      </c>
    </row>
    <row r="227">
      <c r="A227" t="inlineStr">
        <is>
          <t>TSP-1448</t>
        </is>
      </c>
      <c r="B227" t="inlineStr">
        <is>
          <t>CHEM-1420</t>
        </is>
      </c>
      <c r="C227" t="n">
        <v>1.134</v>
      </c>
      <c r="D227">
        <f>IFERROR(MATCH($A227,PP_Grid[Intermediate],0),99999)</f>
        <v/>
      </c>
    </row>
    <row r="228">
      <c r="A228" t="inlineStr">
        <is>
          <t>TSP-1448</t>
        </is>
      </c>
      <c r="B228" t="inlineStr">
        <is>
          <t>CHEM-1440</t>
        </is>
      </c>
      <c r="C228" t="n">
        <v>1.638</v>
      </c>
      <c r="D228">
        <f>IFERROR(MATCH($A228,PP_Grid[Intermediate],0),99999)</f>
        <v/>
      </c>
    </row>
    <row r="229">
      <c r="A229" t="inlineStr">
        <is>
          <t>TSP-1448</t>
        </is>
      </c>
      <c r="B229" t="inlineStr">
        <is>
          <t>CHEM-1650</t>
        </is>
      </c>
      <c r="C229" t="n">
        <v>0.05</v>
      </c>
      <c r="D229">
        <f>IFERROR(MATCH($A229,PP_Grid[Intermediate],0),99999)</f>
        <v/>
      </c>
    </row>
    <row r="230">
      <c r="A230" t="inlineStr">
        <is>
          <t>TSP-1448</t>
        </is>
      </c>
      <c r="B230" t="inlineStr">
        <is>
          <t>CHEM-1700</t>
        </is>
      </c>
      <c r="C230" t="n">
        <v>1.26</v>
      </c>
      <c r="D230">
        <f>IFERROR(MATCH($A230,PP_Grid[Intermediate],0),99999)</f>
        <v/>
      </c>
    </row>
    <row r="231">
      <c r="A231" t="inlineStr">
        <is>
          <t>TSP-1445</t>
        </is>
      </c>
      <c r="B231" t="inlineStr">
        <is>
          <t>CHEM-1540</t>
        </is>
      </c>
      <c r="C231" t="n">
        <v>53.656</v>
      </c>
      <c r="D231">
        <f>IFERROR(MATCH($A231,PP_Grid[Intermediate],0),99999)</f>
        <v/>
      </c>
    </row>
    <row r="232">
      <c r="A232" t="inlineStr">
        <is>
          <t>TSP-1445</t>
        </is>
      </c>
      <c r="B232" t="inlineStr">
        <is>
          <t>CHEM-1720</t>
        </is>
      </c>
      <c r="C232" t="n">
        <v>20.532</v>
      </c>
      <c r="D232">
        <f>IFERROR(MATCH($A232,PP_Grid[Intermediate],0),99999)</f>
        <v/>
      </c>
    </row>
    <row r="233">
      <c r="A233" t="inlineStr">
        <is>
          <t>TSP-1445</t>
        </is>
      </c>
      <c r="B233" t="inlineStr">
        <is>
          <t>CHEM-1670</t>
        </is>
      </c>
      <c r="C233" t="n">
        <v>5.347</v>
      </c>
      <c r="D233">
        <f>IFERROR(MATCH($A233,PP_Grid[Intermediate],0),99999)</f>
        <v/>
      </c>
    </row>
    <row r="234">
      <c r="A234" t="inlineStr">
        <is>
          <t>TSP-1445</t>
        </is>
      </c>
      <c r="B234" t="inlineStr">
        <is>
          <t>CHEM-1420</t>
        </is>
      </c>
      <c r="C234" t="n">
        <v>0.336</v>
      </c>
      <c r="D234">
        <f>IFERROR(MATCH($A234,PP_Grid[Intermediate],0),99999)</f>
        <v/>
      </c>
    </row>
    <row r="235">
      <c r="A235" t="inlineStr">
        <is>
          <t>TSP-1445</t>
        </is>
      </c>
      <c r="B235" t="inlineStr">
        <is>
          <t>CHEM-1440</t>
        </is>
      </c>
      <c r="C235" t="n">
        <v>2.139</v>
      </c>
      <c r="D235">
        <f>IFERROR(MATCH($A235,PP_Grid[Intermediate],0),99999)</f>
        <v/>
      </c>
    </row>
    <row r="236">
      <c r="A236" t="inlineStr">
        <is>
          <t>TSP-1446</t>
        </is>
      </c>
      <c r="B236" t="inlineStr">
        <is>
          <t>CHEM-1540</t>
        </is>
      </c>
      <c r="C236" t="n">
        <v>60.509</v>
      </c>
      <c r="D236">
        <f>IFERROR(MATCH($A236,PP_Grid[Intermediate],0),99999)</f>
        <v/>
      </c>
    </row>
    <row r="237">
      <c r="A237" t="inlineStr">
        <is>
          <t>TSP-1446</t>
        </is>
      </c>
      <c r="B237" t="inlineStr">
        <is>
          <t>CHEM-1720</t>
        </is>
      </c>
      <c r="C237" t="n">
        <v>23.154</v>
      </c>
      <c r="D237">
        <f>IFERROR(MATCH($A237,PP_Grid[Intermediate],0),99999)</f>
        <v/>
      </c>
    </row>
    <row r="238">
      <c r="A238" t="inlineStr">
        <is>
          <t>TSP-1446</t>
        </is>
      </c>
      <c r="B238" t="inlineStr">
        <is>
          <t>CHEM-1670</t>
        </is>
      </c>
      <c r="C238" t="n">
        <v>6.03</v>
      </c>
      <c r="D238">
        <f>IFERROR(MATCH($A238,PP_Grid[Intermediate],0),99999)</f>
        <v/>
      </c>
    </row>
    <row r="239">
      <c r="A239" t="inlineStr">
        <is>
          <t>TSP-1446</t>
        </is>
      </c>
      <c r="B239" t="inlineStr">
        <is>
          <t>CHEM-1420</t>
        </is>
      </c>
      <c r="C239" t="n">
        <v>0.38</v>
      </c>
      <c r="D239">
        <f>IFERROR(MATCH($A239,PP_Grid[Intermediate],0),99999)</f>
        <v/>
      </c>
    </row>
    <row r="240">
      <c r="A240" t="inlineStr">
        <is>
          <t>TSP-1446</t>
        </is>
      </c>
      <c r="B240" t="inlineStr">
        <is>
          <t>CHEM-1440</t>
        </is>
      </c>
      <c r="C240" t="n">
        <v>2.412</v>
      </c>
      <c r="D240">
        <f>IFERROR(MATCH($A240,PP_Grid[Intermediate],0),99999)</f>
        <v/>
      </c>
    </row>
    <row r="241">
      <c r="A241" t="inlineStr">
        <is>
          <t>TSP-1449</t>
        </is>
      </c>
      <c r="B241" t="inlineStr">
        <is>
          <t>CHEM-1400</t>
        </is>
      </c>
      <c r="C241" t="n">
        <v>6.596</v>
      </c>
      <c r="D241">
        <f>IFERROR(MATCH($A241,PP_Grid[Intermediate],0),99999)</f>
        <v/>
      </c>
    </row>
    <row r="242">
      <c r="A242" t="inlineStr">
        <is>
          <t>TSP-1449</t>
        </is>
      </c>
      <c r="B242" t="inlineStr">
        <is>
          <t>CHEM-1600</t>
        </is>
      </c>
      <c r="C242" t="n">
        <v>18.25</v>
      </c>
      <c r="D242">
        <f>IFERROR(MATCH($A242,PP_Grid[Intermediate],0),99999)</f>
        <v/>
      </c>
    </row>
    <row r="243">
      <c r="A243" t="inlineStr">
        <is>
          <t>TSP-1449</t>
        </is>
      </c>
      <c r="B243" t="inlineStr">
        <is>
          <t>0JN</t>
        </is>
      </c>
      <c r="C243" t="n">
        <v>1.053</v>
      </c>
      <c r="D243">
        <f>IFERROR(MATCH($A243,PP_Grid[Intermediate],0),99999)</f>
        <v/>
      </c>
    </row>
    <row r="244">
      <c r="A244" t="inlineStr">
        <is>
          <t>TSP-1449</t>
        </is>
      </c>
      <c r="B244" t="inlineStr">
        <is>
          <t>CHEM-1420</t>
        </is>
      </c>
      <c r="C244" t="n">
        <v>1.045</v>
      </c>
      <c r="D244">
        <f>IFERROR(MATCH($A244,PP_Grid[Intermediate],0),99999)</f>
        <v/>
      </c>
    </row>
    <row r="245">
      <c r="A245" t="inlineStr">
        <is>
          <t>TSP-1449</t>
        </is>
      </c>
      <c r="B245" t="inlineStr">
        <is>
          <t>CHEM-1440</t>
        </is>
      </c>
      <c r="C245" t="n">
        <v>0.653</v>
      </c>
      <c r="D245">
        <f>IFERROR(MATCH($A245,PP_Grid[Intermediate],0),99999)</f>
        <v/>
      </c>
    </row>
    <row r="246">
      <c r="A246" t="inlineStr">
        <is>
          <t>VSP-567</t>
        </is>
      </c>
      <c r="B246" t="inlineStr">
        <is>
          <t>CHEM-1530</t>
        </is>
      </c>
      <c r="C246" t="n">
        <v>55.14</v>
      </c>
      <c r="D246">
        <f>IFERROR(MATCH($A246,PP_Grid[Intermediate],0),99999)</f>
        <v/>
      </c>
    </row>
    <row r="247">
      <c r="A247" t="inlineStr">
        <is>
          <t>VSP-567</t>
        </is>
      </c>
      <c r="B247" t="inlineStr">
        <is>
          <t>CHEM-1400</t>
        </is>
      </c>
      <c r="C247" t="n">
        <v>4.574</v>
      </c>
      <c r="D247">
        <f>IFERROR(MATCH($A247,PP_Grid[Intermediate],0),99999)</f>
        <v/>
      </c>
    </row>
    <row r="248">
      <c r="A248" t="inlineStr">
        <is>
          <t>VSP-567</t>
        </is>
      </c>
      <c r="B248" t="inlineStr">
        <is>
          <t>CHEM-1600</t>
        </is>
      </c>
      <c r="C248" t="n">
        <v>11.076</v>
      </c>
      <c r="D248">
        <f>IFERROR(MATCH($A248,PP_Grid[Intermediate],0),99999)</f>
        <v/>
      </c>
    </row>
    <row r="249">
      <c r="A249" t="inlineStr">
        <is>
          <t>VSP-567</t>
        </is>
      </c>
      <c r="B249" t="inlineStr">
        <is>
          <t>CHEM-1420</t>
        </is>
      </c>
      <c r="C249" t="n">
        <v>1.6</v>
      </c>
      <c r="D249">
        <f>IFERROR(MATCH($A249,PP_Grid[Intermediate],0),99999)</f>
        <v/>
      </c>
    </row>
    <row r="250">
      <c r="A250" t="inlineStr">
        <is>
          <t>VSP-567</t>
        </is>
      </c>
      <c r="B250" t="inlineStr">
        <is>
          <t>CHEM-1440</t>
        </is>
      </c>
      <c r="C250" t="n">
        <v>0.554</v>
      </c>
      <c r="D250">
        <f>IFERROR(MATCH($A250,PP_Grid[Intermediate],0),99999)</f>
        <v/>
      </c>
    </row>
    <row r="251">
      <c r="A251" t="inlineStr">
        <is>
          <t>VSP-567</t>
        </is>
      </c>
      <c r="B251" t="inlineStr">
        <is>
          <t>CHEM-1650</t>
        </is>
      </c>
      <c r="C251" t="n">
        <v>0.049</v>
      </c>
      <c r="D251">
        <f>IFERROR(MATCH($A251,PP_Grid[Intermediate],0),99999)</f>
        <v/>
      </c>
    </row>
    <row r="252">
      <c r="A252" t="inlineStr">
        <is>
          <t>VSP-600</t>
        </is>
      </c>
      <c r="B252" t="inlineStr">
        <is>
          <t>CHEM-1400</t>
        </is>
      </c>
      <c r="C252" t="n">
        <v>6.053</v>
      </c>
      <c r="D252">
        <f>IFERROR(MATCH($A252,PP_Grid[Intermediate],0),99999)</f>
        <v/>
      </c>
    </row>
    <row r="253">
      <c r="A253" t="inlineStr">
        <is>
          <t>VSP-600</t>
        </is>
      </c>
      <c r="B253" t="inlineStr">
        <is>
          <t>CHEM-1600</t>
        </is>
      </c>
      <c r="C253" t="n">
        <v>16.747</v>
      </c>
      <c r="D253">
        <f>IFERROR(MATCH($A253,PP_Grid[Intermediate],0),99999)</f>
        <v/>
      </c>
    </row>
    <row r="254">
      <c r="A254" t="inlineStr">
        <is>
          <t>VSP-600</t>
        </is>
      </c>
      <c r="B254" t="inlineStr">
        <is>
          <t>0JN</t>
        </is>
      </c>
      <c r="C254" t="n">
        <v>2.902</v>
      </c>
      <c r="D254">
        <f>IFERROR(MATCH($A254,PP_Grid[Intermediate],0),99999)</f>
        <v/>
      </c>
    </row>
    <row r="255">
      <c r="A255" t="inlineStr">
        <is>
          <t>VSP-600</t>
        </is>
      </c>
      <c r="B255" t="inlineStr">
        <is>
          <t>CHEM-1420</t>
        </is>
      </c>
      <c r="C255" t="n">
        <v>0.728</v>
      </c>
      <c r="D255">
        <f>IFERROR(MATCH($A255,PP_Grid[Intermediate],0),99999)</f>
        <v/>
      </c>
    </row>
    <row r="256">
      <c r="A256" t="inlineStr">
        <is>
          <t>VSP-600</t>
        </is>
      </c>
      <c r="B256" t="inlineStr">
        <is>
          <t>CHEM-1440</t>
        </is>
      </c>
      <c r="C256" t="n">
        <v>0.504</v>
      </c>
      <c r="D256">
        <f>IFERROR(MATCH($A256,PP_Grid[Intermediate],0),99999)</f>
        <v/>
      </c>
    </row>
    <row r="257">
      <c r="A257" t="inlineStr">
        <is>
          <t>VSP-601</t>
        </is>
      </c>
      <c r="B257" t="inlineStr">
        <is>
          <t>CHEM-1400</t>
        </is>
      </c>
      <c r="C257" t="n">
        <v>6.047</v>
      </c>
      <c r="D257">
        <f>IFERROR(MATCH($A257,PP_Grid[Intermediate],0),99999)</f>
        <v/>
      </c>
    </row>
    <row r="258">
      <c r="A258" t="inlineStr">
        <is>
          <t>VSP-601</t>
        </is>
      </c>
      <c r="B258" t="inlineStr">
        <is>
          <t>CHEM-1600</t>
        </is>
      </c>
      <c r="C258" t="n">
        <v>16.73</v>
      </c>
      <c r="D258">
        <f>IFERROR(MATCH($A258,PP_Grid[Intermediate],0),99999)</f>
        <v/>
      </c>
    </row>
    <row r="259">
      <c r="A259" t="inlineStr">
        <is>
          <t>VSP-601</t>
        </is>
      </c>
      <c r="B259" t="inlineStr">
        <is>
          <t>0JN</t>
        </is>
      </c>
      <c r="C259" t="n">
        <v>8.698</v>
      </c>
      <c r="D259">
        <f>IFERROR(MATCH($A259,PP_Grid[Intermediate],0),99999)</f>
        <v/>
      </c>
    </row>
    <row r="260">
      <c r="A260" t="inlineStr">
        <is>
          <t>VSP-601</t>
        </is>
      </c>
      <c r="B260" t="inlineStr">
        <is>
          <t>CHEM-1420</t>
        </is>
      </c>
      <c r="C260" t="n">
        <v>0.629</v>
      </c>
      <c r="D260">
        <f>IFERROR(MATCH($A260,PP_Grid[Intermediate],0),99999)</f>
        <v/>
      </c>
    </row>
    <row r="261">
      <c r="A261" t="inlineStr">
        <is>
          <t>VSP-602</t>
        </is>
      </c>
      <c r="B261" t="inlineStr">
        <is>
          <t>CHEM-1530</t>
        </is>
      </c>
      <c r="C261" t="n">
        <v>50.015</v>
      </c>
      <c r="D261">
        <f>IFERROR(MATCH($A261,PP_Grid[Intermediate],0),99999)</f>
        <v/>
      </c>
    </row>
    <row r="262">
      <c r="A262" t="inlineStr">
        <is>
          <t>VSP-602</t>
        </is>
      </c>
      <c r="B262" t="inlineStr">
        <is>
          <t>CHEM-1400</t>
        </is>
      </c>
      <c r="C262" t="n">
        <v>9.074999999999999</v>
      </c>
      <c r="D262">
        <f>IFERROR(MATCH($A262,PP_Grid[Intermediate],0),99999)</f>
        <v/>
      </c>
    </row>
    <row r="263">
      <c r="A263" t="inlineStr">
        <is>
          <t>VSP-602</t>
        </is>
      </c>
      <c r="B263" t="inlineStr">
        <is>
          <t>CHEM-1420</t>
        </is>
      </c>
      <c r="C263" t="n">
        <v>1.69</v>
      </c>
      <c r="D263">
        <f>IFERROR(MATCH($A263,PP_Grid[Intermediate],0),99999)</f>
        <v/>
      </c>
    </row>
    <row r="264">
      <c r="A264" t="inlineStr">
        <is>
          <t>VSP-602</t>
        </is>
      </c>
      <c r="B264" t="inlineStr">
        <is>
          <t>CHEM-1440</t>
        </is>
      </c>
      <c r="C264" t="n">
        <v>1.267</v>
      </c>
      <c r="D264">
        <f>IFERROR(MATCH($A264,PP_Grid[Intermediate],0),99999)</f>
        <v/>
      </c>
    </row>
    <row r="265">
      <c r="A265" t="inlineStr">
        <is>
          <t>VSP-602</t>
        </is>
      </c>
      <c r="B265" t="inlineStr">
        <is>
          <t>CHEM-1650</t>
        </is>
      </c>
      <c r="C265" t="n">
        <v>0.042</v>
      </c>
      <c r="D265">
        <f>IFERROR(MATCH($A265,PP_Grid[Intermediate],0),99999)</f>
        <v/>
      </c>
    </row>
    <row r="266">
      <c r="A266" t="inlineStr">
        <is>
          <t>VSP-603</t>
        </is>
      </c>
      <c r="B266" t="inlineStr">
        <is>
          <t>CHEM-1400</t>
        </is>
      </c>
      <c r="C266" t="n">
        <v>5.5259</v>
      </c>
      <c r="D266">
        <f>IFERROR(MATCH($A266,PP_Grid[Intermediate],0),99999)</f>
        <v/>
      </c>
    </row>
    <row r="267">
      <c r="A267" t="inlineStr">
        <is>
          <t>VSP-603</t>
        </is>
      </c>
      <c r="B267" t="inlineStr">
        <is>
          <t>CHEM-1600</t>
        </is>
      </c>
      <c r="C267" t="n">
        <v>11.4671</v>
      </c>
      <c r="D267">
        <f>IFERROR(MATCH($A267,PP_Grid[Intermediate],0),99999)</f>
        <v/>
      </c>
    </row>
    <row r="268">
      <c r="A268" t="inlineStr">
        <is>
          <t>VSP-603</t>
        </is>
      </c>
      <c r="B268" t="inlineStr">
        <is>
          <t>0JN</t>
        </is>
      </c>
      <c r="C268" t="n">
        <v>2.6495</v>
      </c>
      <c r="D268">
        <f>IFERROR(MATCH($A268,PP_Grid[Intermediate],0),99999)</f>
        <v/>
      </c>
    </row>
    <row r="269">
      <c r="A269" t="inlineStr">
        <is>
          <t>VSP-603</t>
        </is>
      </c>
      <c r="B269" t="inlineStr">
        <is>
          <t>CHEM-1420</t>
        </is>
      </c>
      <c r="C269" t="n">
        <v>0.592</v>
      </c>
      <c r="D269">
        <f>IFERROR(MATCH($A269,PP_Grid[Intermediate],0),99999)</f>
        <v/>
      </c>
    </row>
    <row r="270">
      <c r="A270" t="inlineStr">
        <is>
          <t>VSP-603</t>
        </is>
      </c>
      <c r="B270" t="inlineStr">
        <is>
          <t>CHEM-1440</t>
        </is>
      </c>
      <c r="C270" t="n">
        <v>0.546</v>
      </c>
      <c r="D270">
        <f>IFERROR(MATCH($A270,PP_Grid[Intermediate],0),99999)</f>
        <v/>
      </c>
    </row>
    <row r="271">
      <c r="A271" t="inlineStr">
        <is>
          <t>VSP-604</t>
        </is>
      </c>
      <c r="B271" t="inlineStr">
        <is>
          <t>CHEM-1400</t>
        </is>
      </c>
      <c r="C271" t="n">
        <v>4.389</v>
      </c>
      <c r="D271">
        <f>IFERROR(MATCH($A271,PP_Grid[Intermediate],0),99999)</f>
        <v/>
      </c>
    </row>
    <row r="272">
      <c r="A272" t="inlineStr">
        <is>
          <t>VSP-604</t>
        </is>
      </c>
      <c r="B272" t="inlineStr">
        <is>
          <t>CHEM-1600</t>
        </is>
      </c>
      <c r="C272" t="n">
        <v>11.384</v>
      </c>
      <c r="D272">
        <f>IFERROR(MATCH($A272,PP_Grid[Intermediate],0),99999)</f>
        <v/>
      </c>
    </row>
    <row r="273">
      <c r="A273" t="inlineStr">
        <is>
          <t>VSP-604</t>
        </is>
      </c>
      <c r="B273" t="inlineStr">
        <is>
          <t>0JN</t>
        </is>
      </c>
      <c r="C273" t="n">
        <v>1.65731</v>
      </c>
      <c r="D273">
        <f>IFERROR(MATCH($A273,PP_Grid[Intermediate],0),99999)</f>
        <v/>
      </c>
    </row>
    <row r="274">
      <c r="A274" t="inlineStr">
        <is>
          <t>VSP-604</t>
        </is>
      </c>
      <c r="B274" t="inlineStr">
        <is>
          <t>CHEM-1420</t>
        </is>
      </c>
      <c r="C274" t="n">
        <v>1.005</v>
      </c>
      <c r="D274">
        <f>IFERROR(MATCH($A274,PP_Grid[Intermediate],0),99999)</f>
        <v/>
      </c>
    </row>
    <row r="275">
      <c r="A275" t="inlineStr">
        <is>
          <t>VSP-605</t>
        </is>
      </c>
      <c r="B275" t="inlineStr">
        <is>
          <t>CHEM-1530</t>
        </is>
      </c>
      <c r="C275" t="n">
        <v>51.715</v>
      </c>
      <c r="D275">
        <f>IFERROR(MATCH($A275,PP_Grid[Intermediate],0),99999)</f>
        <v/>
      </c>
    </row>
    <row r="276">
      <c r="A276" t="inlineStr">
        <is>
          <t>VSP-605</t>
        </is>
      </c>
      <c r="B276" t="inlineStr">
        <is>
          <t>CHEM-1400</t>
        </is>
      </c>
      <c r="C276" t="n">
        <v>9.897</v>
      </c>
      <c r="D276">
        <f>IFERROR(MATCH($A276,PP_Grid[Intermediate],0),99999)</f>
        <v/>
      </c>
    </row>
    <row r="277">
      <c r="A277" t="inlineStr">
        <is>
          <t>VSP-605</t>
        </is>
      </c>
      <c r="B277" t="inlineStr">
        <is>
          <t>CHEM-1420</t>
        </is>
      </c>
      <c r="C277" t="n">
        <v>2.604</v>
      </c>
      <c r="D277">
        <f>IFERROR(MATCH($A277,PP_Grid[Intermediate],0),99999)</f>
        <v/>
      </c>
    </row>
    <row r="278">
      <c r="A278" t="inlineStr">
        <is>
          <t>VSP-605</t>
        </is>
      </c>
      <c r="B278" t="inlineStr">
        <is>
          <t>CHEM-1440</t>
        </is>
      </c>
      <c r="C278" t="n">
        <v>1.41</v>
      </c>
      <c r="D278">
        <f>IFERROR(MATCH($A278,PP_Grid[Intermediate],0),99999)</f>
        <v/>
      </c>
    </row>
    <row r="279">
      <c r="A279" t="inlineStr">
        <is>
          <t>VSP-605</t>
        </is>
      </c>
      <c r="B279" t="inlineStr">
        <is>
          <t>CHEM-1650</t>
        </is>
      </c>
      <c r="C279" t="n">
        <v>0.042</v>
      </c>
      <c r="D279">
        <f>IFERROR(MATCH($A279,PP_Grid[Intermediate],0),99999)</f>
        <v/>
      </c>
    </row>
    <row r="280">
      <c r="A280" t="inlineStr">
        <is>
          <t>VSP-606</t>
        </is>
      </c>
      <c r="B280" t="inlineStr">
        <is>
          <t>CHEM-1400</t>
        </is>
      </c>
      <c r="C280" t="n">
        <v>7.973</v>
      </c>
      <c r="D280">
        <f>IFERROR(MATCH($A280,PP_Grid[Intermediate],0),99999)</f>
        <v/>
      </c>
    </row>
    <row r="281">
      <c r="A281" t="inlineStr">
        <is>
          <t>VSP-606</t>
        </is>
      </c>
      <c r="B281" t="inlineStr">
        <is>
          <t>CHEM-1600</t>
        </is>
      </c>
      <c r="C281" t="n">
        <v>22.023</v>
      </c>
      <c r="D281">
        <f>IFERROR(MATCH($A281,PP_Grid[Intermediate],0),99999)</f>
        <v/>
      </c>
    </row>
    <row r="282">
      <c r="A282" t="inlineStr">
        <is>
          <t>VSP-606</t>
        </is>
      </c>
      <c r="B282" t="inlineStr">
        <is>
          <t>0JN</t>
        </is>
      </c>
      <c r="C282" t="n">
        <v>1.77</v>
      </c>
      <c r="D282">
        <f>IFERROR(MATCH($A282,PP_Grid[Intermediate],0),99999)</f>
        <v/>
      </c>
    </row>
    <row r="283">
      <c r="A283" t="inlineStr">
        <is>
          <t>VSP-606</t>
        </is>
      </c>
      <c r="B283" t="inlineStr">
        <is>
          <t>CHEM-1420</t>
        </is>
      </c>
      <c r="C283" t="n">
        <v>0.711</v>
      </c>
      <c r="D283">
        <f>IFERROR(MATCH($A283,PP_Grid[Intermediate],0),99999)</f>
        <v/>
      </c>
    </row>
    <row r="284">
      <c r="A284" t="inlineStr">
        <is>
          <t>VSP-606</t>
        </is>
      </c>
      <c r="B284" t="inlineStr">
        <is>
          <t>CHEM-1440</t>
        </is>
      </c>
      <c r="C284" t="n">
        <v>0.868</v>
      </c>
      <c r="D284">
        <f>IFERROR(MATCH($A284,PP_Grid[Intermediate],0),99999)</f>
        <v/>
      </c>
    </row>
    <row r="285">
      <c r="A285" t="inlineStr">
        <is>
          <t>VSP-607</t>
        </is>
      </c>
      <c r="B285" t="inlineStr">
        <is>
          <t>CHEM-1530</t>
        </is>
      </c>
      <c r="C285" t="n">
        <v>63.619</v>
      </c>
      <c r="D285">
        <f>IFERROR(MATCH($A285,PP_Grid[Intermediate],0),99999)</f>
        <v/>
      </c>
    </row>
    <row r="286">
      <c r="A286" t="inlineStr">
        <is>
          <t>VSP-607</t>
        </is>
      </c>
      <c r="B286" t="inlineStr">
        <is>
          <t>CHEM-1400</t>
        </is>
      </c>
      <c r="C286" t="n">
        <v>5.27</v>
      </c>
      <c r="D286">
        <f>IFERROR(MATCH($A286,PP_Grid[Intermediate],0),99999)</f>
        <v/>
      </c>
    </row>
    <row r="287">
      <c r="A287" t="inlineStr">
        <is>
          <t>VSP-607</t>
        </is>
      </c>
      <c r="B287" t="inlineStr">
        <is>
          <t>CHEM-1600</t>
        </is>
      </c>
      <c r="C287" t="n">
        <v>12.806</v>
      </c>
      <c r="D287">
        <f>IFERROR(MATCH($A287,PP_Grid[Intermediate],0),99999)</f>
        <v/>
      </c>
    </row>
    <row r="288">
      <c r="A288" t="inlineStr">
        <is>
          <t>VSP-607</t>
        </is>
      </c>
      <c r="B288" t="inlineStr">
        <is>
          <t>0JN</t>
        </is>
      </c>
      <c r="C288" t="n">
        <v>15.26</v>
      </c>
      <c r="D288">
        <f>IFERROR(MATCH($A288,PP_Grid[Intermediate],0),99999)</f>
        <v/>
      </c>
    </row>
    <row r="289">
      <c r="A289" t="inlineStr">
        <is>
          <t>VSP-607</t>
        </is>
      </c>
      <c r="B289" t="inlineStr">
        <is>
          <t>CHEM-1420</t>
        </is>
      </c>
      <c r="C289" t="n">
        <v>2.131</v>
      </c>
      <c r="D289">
        <f>IFERROR(MATCH($A289,PP_Grid[Intermediate],0),99999)</f>
        <v/>
      </c>
    </row>
    <row r="290">
      <c r="A290" t="inlineStr">
        <is>
          <t>VSP-607</t>
        </is>
      </c>
      <c r="B290" t="inlineStr">
        <is>
          <t>CHEM-1440</t>
        </is>
      </c>
      <c r="C290" t="n">
        <v>0.569</v>
      </c>
      <c r="D290">
        <f>IFERROR(MATCH($A290,PP_Grid[Intermediate],0),99999)</f>
        <v/>
      </c>
    </row>
    <row r="291">
      <c r="A291" t="inlineStr">
        <is>
          <t>VSP-607</t>
        </is>
      </c>
      <c r="B291" t="inlineStr">
        <is>
          <t>CHEM-1650</t>
        </is>
      </c>
      <c r="C291" t="n">
        <v>0.056</v>
      </c>
      <c r="D291">
        <f>IFERROR(MATCH($A291,PP_Grid[Intermediate],0),99999)</f>
        <v/>
      </c>
    </row>
    <row r="292">
      <c r="A292" t="inlineStr">
        <is>
          <t>VSP-738</t>
        </is>
      </c>
      <c r="B292" t="inlineStr">
        <is>
          <t>CHEM-1400</t>
        </is>
      </c>
      <c r="C292" t="n">
        <v>4.548</v>
      </c>
      <c r="D292">
        <f>IFERROR(MATCH($A292,PP_Grid[Intermediate],0),99999)</f>
        <v/>
      </c>
    </row>
    <row r="293">
      <c r="A293" t="inlineStr">
        <is>
          <t>VSP-738</t>
        </is>
      </c>
      <c r="B293" t="inlineStr">
        <is>
          <t>CHEM-1600</t>
        </is>
      </c>
      <c r="C293" t="n">
        <v>12.584</v>
      </c>
      <c r="D293">
        <f>IFERROR(MATCH($A293,PP_Grid[Intermediate],0),99999)</f>
        <v/>
      </c>
    </row>
    <row r="294">
      <c r="A294" t="inlineStr">
        <is>
          <t>VSP-738</t>
        </is>
      </c>
      <c r="B294" t="inlineStr">
        <is>
          <t>0JN</t>
        </is>
      </c>
      <c r="C294" t="n">
        <v>0.8993</v>
      </c>
      <c r="D294">
        <f>IFERROR(MATCH($A294,PP_Grid[Intermediate],0),99999)</f>
        <v/>
      </c>
    </row>
    <row r="295">
      <c r="A295" t="inlineStr">
        <is>
          <t>VSP-738</t>
        </is>
      </c>
      <c r="B295" t="inlineStr">
        <is>
          <t>CHEM-1420</t>
        </is>
      </c>
      <c r="C295" t="n">
        <v>0.338</v>
      </c>
      <c r="D295">
        <f>IFERROR(MATCH($A295,PP_Grid[Intermediate],0),99999)</f>
        <v/>
      </c>
    </row>
    <row r="296">
      <c r="A296" t="inlineStr">
        <is>
          <t>VSP-738</t>
        </is>
      </c>
      <c r="B296" t="inlineStr">
        <is>
          <t>CHEM-1650</t>
        </is>
      </c>
      <c r="C296" t="n">
        <v>0.034</v>
      </c>
      <c r="D296">
        <f>IFERROR(MATCH($A296,PP_Grid[Intermediate],0),99999)</f>
        <v/>
      </c>
    </row>
    <row r="297">
      <c r="A297" t="inlineStr">
        <is>
          <t>VSP-739</t>
        </is>
      </c>
      <c r="B297" t="inlineStr">
        <is>
          <t>CHEM-1400</t>
        </is>
      </c>
      <c r="C297" t="n">
        <v>4.535</v>
      </c>
      <c r="D297">
        <f>IFERROR(MATCH($A297,PP_Grid[Intermediate],0),99999)</f>
        <v/>
      </c>
    </row>
    <row r="298">
      <c r="A298" t="inlineStr">
        <is>
          <t>VSP-739</t>
        </is>
      </c>
      <c r="B298" t="inlineStr">
        <is>
          <t>CHEM-1600</t>
        </is>
      </c>
      <c r="C298" t="n">
        <v>12.549</v>
      </c>
      <c r="D298">
        <f>IFERROR(MATCH($A298,PP_Grid[Intermediate],0),99999)</f>
        <v/>
      </c>
    </row>
    <row r="299">
      <c r="A299" t="inlineStr">
        <is>
          <t>VSP-739</t>
        </is>
      </c>
      <c r="B299" t="inlineStr">
        <is>
          <t>CHEM-1510</t>
        </is>
      </c>
      <c r="C299" t="n">
        <v>4.001</v>
      </c>
      <c r="D299">
        <f>IFERROR(MATCH($A299,PP_Grid[Intermediate],0),99999)</f>
        <v/>
      </c>
    </row>
    <row r="300">
      <c r="A300" t="inlineStr">
        <is>
          <t>VSP-739</t>
        </is>
      </c>
      <c r="B300" t="inlineStr">
        <is>
          <t>0JN</t>
        </is>
      </c>
      <c r="C300" t="n">
        <v>2.6904</v>
      </c>
      <c r="D300">
        <f>IFERROR(MATCH($A300,PP_Grid[Intermediate],0),99999)</f>
        <v/>
      </c>
    </row>
    <row r="301">
      <c r="A301" t="inlineStr">
        <is>
          <t>VSP-739</t>
        </is>
      </c>
      <c r="B301" t="inlineStr">
        <is>
          <t>CHEM-1420</t>
        </is>
      </c>
      <c r="C301" t="n">
        <v>0.339</v>
      </c>
      <c r="D301">
        <f>IFERROR(MATCH($A301,PP_Grid[Intermediate],0),99999)</f>
        <v/>
      </c>
    </row>
    <row r="302">
      <c r="A302" t="inlineStr">
        <is>
          <t>VSP-739</t>
        </is>
      </c>
      <c r="B302" t="inlineStr">
        <is>
          <t>CHEM-1440</t>
        </is>
      </c>
      <c r="C302" t="n">
        <v>0.16</v>
      </c>
      <c r="D302">
        <f>IFERROR(MATCH($A302,PP_Grid[Intermediate],0),99999)</f>
        <v/>
      </c>
    </row>
    <row r="303">
      <c r="A303" t="inlineStr">
        <is>
          <t>VSP-740</t>
        </is>
      </c>
      <c r="B303" t="inlineStr">
        <is>
          <t>CHEM-1530</t>
        </is>
      </c>
      <c r="C303" t="n">
        <v>29.732</v>
      </c>
      <c r="D303">
        <f>IFERROR(MATCH($A303,PP_Grid[Intermediate],0),99999)</f>
        <v/>
      </c>
    </row>
    <row r="304">
      <c r="A304" t="inlineStr">
        <is>
          <t>VSP-740</t>
        </is>
      </c>
      <c r="B304" t="inlineStr">
        <is>
          <t>CHEM-1400</t>
        </is>
      </c>
      <c r="C304" t="n">
        <v>5.395</v>
      </c>
      <c r="D304">
        <f>IFERROR(MATCH($A304,PP_Grid[Intermediate],0),99999)</f>
        <v/>
      </c>
    </row>
    <row r="305">
      <c r="A305" t="inlineStr">
        <is>
          <t>VSP-740</t>
        </is>
      </c>
      <c r="B305" t="inlineStr">
        <is>
          <t>CHEM-1420</t>
        </is>
      </c>
      <c r="C305" t="n">
        <v>0.879</v>
      </c>
      <c r="D305">
        <f>IFERROR(MATCH($A305,PP_Grid[Intermediate],0),99999)</f>
        <v/>
      </c>
    </row>
    <row r="306">
      <c r="A306" t="inlineStr">
        <is>
          <t>VSP-740</t>
        </is>
      </c>
      <c r="B306" t="inlineStr">
        <is>
          <t>CHEM-1440</t>
        </is>
      </c>
      <c r="C306" t="n">
        <v>0.754</v>
      </c>
      <c r="D306">
        <f>IFERROR(MATCH($A306,PP_Grid[Intermediate],0),99999)</f>
        <v/>
      </c>
    </row>
    <row r="307">
      <c r="A307" t="inlineStr">
        <is>
          <t>VSP-740</t>
        </is>
      </c>
      <c r="B307" t="inlineStr">
        <is>
          <t>CHEM-1650</t>
        </is>
      </c>
      <c r="C307" t="n">
        <v>0.025</v>
      </c>
      <c r="D307">
        <f>IFERROR(MATCH($A307,PP_Grid[Intermediate],0),99999)</f>
        <v/>
      </c>
    </row>
    <row r="308">
      <c r="A308" t="inlineStr">
        <is>
          <t>VSP-746</t>
        </is>
      </c>
      <c r="B308" t="inlineStr">
        <is>
          <t>CHEM-1530</t>
        </is>
      </c>
      <c r="C308" t="n">
        <v>0.701</v>
      </c>
      <c r="D308">
        <f>IFERROR(MATCH($A308,PP_Grid[Intermediate],0),99999)</f>
        <v/>
      </c>
    </row>
    <row r="309">
      <c r="A309" t="inlineStr">
        <is>
          <t>VSP-746</t>
        </is>
      </c>
      <c r="B309" t="inlineStr">
        <is>
          <t>CHEM-1400</t>
        </is>
      </c>
      <c r="C309" t="n">
        <v>3.678</v>
      </c>
      <c r="D309">
        <f>IFERROR(MATCH($A309,PP_Grid[Intermediate],0),99999)</f>
        <v/>
      </c>
    </row>
    <row r="310">
      <c r="A310" t="inlineStr">
        <is>
          <t>VSP-746</t>
        </is>
      </c>
      <c r="B310" t="inlineStr">
        <is>
          <t>CHEM-1420</t>
        </is>
      </c>
      <c r="C310" t="n">
        <v>0.904</v>
      </c>
      <c r="D310">
        <f>IFERROR(MATCH($A310,PP_Grid[Intermediate],0),99999)</f>
        <v/>
      </c>
    </row>
    <row r="311">
      <c r="A311" t="inlineStr">
        <is>
          <t>VSP-746</t>
        </is>
      </c>
      <c r="B311" t="inlineStr">
        <is>
          <t>CHEM-1440</t>
        </is>
      </c>
      <c r="C311" t="n">
        <v>0.526</v>
      </c>
      <c r="D311">
        <f>IFERROR(MATCH($A311,PP_Grid[Intermediate],0),99999)</f>
        <v/>
      </c>
    </row>
    <row r="312">
      <c r="A312" t="inlineStr">
        <is>
          <t>VSP-746</t>
        </is>
      </c>
      <c r="B312" t="inlineStr">
        <is>
          <t>CHEM-1650</t>
        </is>
      </c>
      <c r="C312" t="n">
        <v>0.042</v>
      </c>
      <c r="D312">
        <f>IFERROR(MATCH($A312,PP_Grid[Intermediate],0),99999)</f>
        <v/>
      </c>
    </row>
    <row r="313">
      <c r="A313" t="inlineStr">
        <is>
          <t>VSP-820</t>
        </is>
      </c>
      <c r="B313" t="inlineStr">
        <is>
          <t>CHEM-1400</t>
        </is>
      </c>
      <c r="C313" t="n">
        <v>3.625</v>
      </c>
      <c r="D313">
        <f>IFERROR(MATCH($A313,PP_Grid[Intermediate],0),99999)</f>
        <v/>
      </c>
    </row>
    <row r="314">
      <c r="A314" t="inlineStr">
        <is>
          <t>VSP-820</t>
        </is>
      </c>
      <c r="B314" t="inlineStr">
        <is>
          <t>CHEM-1600</t>
        </is>
      </c>
      <c r="C314" t="n">
        <v>20.069</v>
      </c>
      <c r="D314">
        <f>IFERROR(MATCH($A314,PP_Grid[Intermediate],0),99999)</f>
        <v/>
      </c>
    </row>
    <row r="315">
      <c r="A315" t="inlineStr">
        <is>
          <t>VSP-820</t>
        </is>
      </c>
      <c r="B315" t="inlineStr">
        <is>
          <t>CHEM-1510</t>
        </is>
      </c>
      <c r="C315" t="n">
        <v>6.79</v>
      </c>
      <c r="D315">
        <f>IFERROR(MATCH($A315,PP_Grid[Intermediate],0),99999)</f>
        <v/>
      </c>
    </row>
    <row r="316">
      <c r="A316" t="inlineStr">
        <is>
          <t>VSP-820</t>
        </is>
      </c>
      <c r="B316" t="inlineStr">
        <is>
          <t>0JN</t>
        </is>
      </c>
      <c r="C316" t="n">
        <v>3.4746</v>
      </c>
      <c r="D316">
        <f>IFERROR(MATCH($A316,PP_Grid[Intermediate],0),99999)</f>
        <v/>
      </c>
    </row>
    <row r="317">
      <c r="A317" t="inlineStr">
        <is>
          <t>VSP-820</t>
        </is>
      </c>
      <c r="B317" t="inlineStr">
        <is>
          <t>CHEM-1420</t>
        </is>
      </c>
      <c r="C317" t="n">
        <v>0.541</v>
      </c>
      <c r="D317">
        <f>IFERROR(MATCH($A317,PP_Grid[Intermediate],0),99999)</f>
        <v/>
      </c>
    </row>
    <row r="318">
      <c r="A318" t="inlineStr">
        <is>
          <t>VSP-820</t>
        </is>
      </c>
      <c r="B318" t="inlineStr">
        <is>
          <t>CHEM-1660</t>
        </is>
      </c>
      <c r="C318" t="n">
        <v>1.378</v>
      </c>
      <c r="D318">
        <f>IFERROR(MATCH($A318,PP_Grid[Intermediate],0),99999)</f>
        <v/>
      </c>
    </row>
    <row r="319">
      <c r="A319" t="inlineStr">
        <is>
          <t>VSP-822</t>
        </is>
      </c>
      <c r="B319" t="inlineStr">
        <is>
          <t>CHEM-1530</t>
        </is>
      </c>
      <c r="C319" t="n">
        <v>55.6681</v>
      </c>
      <c r="D319">
        <f>IFERROR(MATCH($A319,PP_Grid[Intermediate],0),99999)</f>
        <v/>
      </c>
    </row>
    <row r="320">
      <c r="A320" t="inlineStr">
        <is>
          <t>VSP-822</t>
        </is>
      </c>
      <c r="B320" t="inlineStr">
        <is>
          <t>CHEM-1400</t>
        </is>
      </c>
      <c r="C320" t="n">
        <v>5.05</v>
      </c>
      <c r="D320">
        <f>IFERROR(MATCH($A320,PP_Grid[Intermediate],0),99999)</f>
        <v/>
      </c>
    </row>
    <row r="321">
      <c r="A321" t="inlineStr">
        <is>
          <t>VSP-822</t>
        </is>
      </c>
      <c r="B321" t="inlineStr">
        <is>
          <t>CHEM-1420</t>
        </is>
      </c>
      <c r="C321" t="n">
        <v>1.707</v>
      </c>
      <c r="D321">
        <f>IFERROR(MATCH($A321,PP_Grid[Intermediate],0),99999)</f>
        <v/>
      </c>
    </row>
    <row r="322">
      <c r="A322" t="inlineStr">
        <is>
          <t>VSP-822</t>
        </is>
      </c>
      <c r="B322" t="inlineStr">
        <is>
          <t>CHEM-1440</t>
        </is>
      </c>
      <c r="C322" t="n">
        <v>1.028</v>
      </c>
      <c r="D322">
        <f>IFERROR(MATCH($A322,PP_Grid[Intermediate],0),99999)</f>
        <v/>
      </c>
    </row>
    <row r="323">
      <c r="A323" t="inlineStr">
        <is>
          <t>VSP-822</t>
        </is>
      </c>
      <c r="B323" t="inlineStr">
        <is>
          <t>CHEM-1650</t>
        </is>
      </c>
      <c r="C323" t="n">
        <v>0.041</v>
      </c>
      <c r="D323">
        <f>IFERROR(MATCH($A323,PP_Grid[Intermediate],0),99999)</f>
        <v/>
      </c>
    </row>
    <row r="324">
      <c r="A324" t="inlineStr">
        <is>
          <t>VSP-822</t>
        </is>
      </c>
      <c r="B324" t="inlineStr">
        <is>
          <t>CHEM-1660</t>
        </is>
      </c>
      <c r="C324" t="n">
        <v>1.094</v>
      </c>
      <c r="D324">
        <f>IFERROR(MATCH($A324,PP_Grid[Intermediate],0),99999)</f>
        <v/>
      </c>
    </row>
    <row r="325">
      <c r="A325" t="inlineStr">
        <is>
          <t>VSP-869</t>
        </is>
      </c>
      <c r="B325" t="inlineStr">
        <is>
          <t>CHEM-1400</t>
        </is>
      </c>
      <c r="C325" t="n">
        <v>3.544</v>
      </c>
      <c r="D325">
        <f>IFERROR(MATCH($A325,PP_Grid[Intermediate],0),99999)</f>
        <v/>
      </c>
    </row>
    <row r="326">
      <c r="A326" t="inlineStr">
        <is>
          <t>VSP-869</t>
        </is>
      </c>
      <c r="B326" t="inlineStr">
        <is>
          <t>CHEM-1600</t>
        </is>
      </c>
      <c r="C326" t="n">
        <v>17.539</v>
      </c>
      <c r="D326">
        <f>IFERROR(MATCH($A326,PP_Grid[Intermediate],0),99999)</f>
        <v/>
      </c>
    </row>
    <row r="327">
      <c r="A327" t="inlineStr">
        <is>
          <t>VSP-869</t>
        </is>
      </c>
      <c r="B327" t="inlineStr">
        <is>
          <t>CHEM-1510</t>
        </is>
      </c>
      <c r="C327" t="n">
        <v>7.476</v>
      </c>
      <c r="D327">
        <f>IFERROR(MATCH($A327,PP_Grid[Intermediate],0),99999)</f>
        <v/>
      </c>
    </row>
    <row r="328">
      <c r="A328" t="inlineStr">
        <is>
          <t>VSP-869</t>
        </is>
      </c>
      <c r="B328" t="inlineStr">
        <is>
          <t>0JN</t>
        </is>
      </c>
      <c r="C328" t="n">
        <v>3.58958</v>
      </c>
      <c r="D328">
        <f>IFERROR(MATCH($A328,PP_Grid[Intermediate],0),99999)</f>
        <v/>
      </c>
    </row>
    <row r="329">
      <c r="A329" t="inlineStr">
        <is>
          <t>VSP-869</t>
        </is>
      </c>
      <c r="B329" t="inlineStr">
        <is>
          <t>CHEM-1420</t>
        </is>
      </c>
      <c r="C329" t="n">
        <v>0.533</v>
      </c>
      <c r="D329">
        <f>IFERROR(MATCH($A329,PP_Grid[Intermediate],0),99999)</f>
        <v/>
      </c>
    </row>
    <row r="330">
      <c r="A330" t="inlineStr">
        <is>
          <t>VSP-869</t>
        </is>
      </c>
      <c r="B330" t="inlineStr">
        <is>
          <t>CHEM-1660</t>
        </is>
      </c>
      <c r="C330" t="n">
        <v>1.536</v>
      </c>
      <c r="D330">
        <f>IFERROR(MATCH($A330,PP_Grid[Intermediate],0),99999)</f>
        <v/>
      </c>
    </row>
    <row r="331">
      <c r="A331" t="inlineStr">
        <is>
          <t>VSP-870</t>
        </is>
      </c>
      <c r="B331" t="inlineStr">
        <is>
          <t>CHEM-1530</t>
        </is>
      </c>
      <c r="C331" t="n">
        <v>70.2684</v>
      </c>
      <c r="D331">
        <f>IFERROR(MATCH($A331,PP_Grid[Intermediate],0),99999)</f>
        <v/>
      </c>
    </row>
    <row r="332">
      <c r="A332" t="inlineStr">
        <is>
          <t>VSP-870</t>
        </is>
      </c>
      <c r="B332" t="inlineStr">
        <is>
          <t>CHEM-1400</t>
        </is>
      </c>
      <c r="C332" t="n">
        <v>6.384</v>
      </c>
      <c r="D332">
        <f>IFERROR(MATCH($A332,PP_Grid[Intermediate],0),99999)</f>
        <v/>
      </c>
    </row>
    <row r="333">
      <c r="A333" t="inlineStr">
        <is>
          <t>VSP-870</t>
        </is>
      </c>
      <c r="B333" t="inlineStr">
        <is>
          <t>CHEM-1420</t>
        </is>
      </c>
      <c r="C333" t="n">
        <v>1.359</v>
      </c>
      <c r="D333">
        <f>IFERROR(MATCH($A333,PP_Grid[Intermediate],0),99999)</f>
        <v/>
      </c>
    </row>
    <row r="334">
      <c r="A334" t="inlineStr">
        <is>
          <t>VSP-870</t>
        </is>
      </c>
      <c r="B334" t="inlineStr">
        <is>
          <t>CHEM-1440</t>
        </is>
      </c>
      <c r="C334" t="n">
        <v>1.239</v>
      </c>
      <c r="D334">
        <f>IFERROR(MATCH($A334,PP_Grid[Intermediate],0),99999)</f>
        <v/>
      </c>
    </row>
    <row r="335">
      <c r="A335" t="inlineStr">
        <is>
          <t>VSP-870</t>
        </is>
      </c>
      <c r="B335" t="inlineStr">
        <is>
          <t>CHEM-1650</t>
        </is>
      </c>
      <c r="C335" t="n">
        <v>0.045</v>
      </c>
      <c r="D335">
        <f>IFERROR(MATCH($A335,PP_Grid[Intermediate],0),99999)</f>
        <v/>
      </c>
    </row>
    <row r="336">
      <c r="A336" t="inlineStr">
        <is>
          <t>VSP-870</t>
        </is>
      </c>
      <c r="B336" t="inlineStr">
        <is>
          <t>CHEM-1660</t>
        </is>
      </c>
      <c r="C336" t="n">
        <v>1.433</v>
      </c>
      <c r="D336">
        <f>IFERROR(MATCH($A336,PP_Grid[Intermediate],0),99999)</f>
        <v/>
      </c>
    </row>
    <row r="337">
      <c r="A337" t="inlineStr">
        <is>
          <t>VSP-910</t>
        </is>
      </c>
      <c r="B337" t="inlineStr">
        <is>
          <t>CHEM-1530</t>
        </is>
      </c>
      <c r="C337" t="n">
        <v>44.609</v>
      </c>
      <c r="D337">
        <f>IFERROR(MATCH($A337,PP_Grid[Intermediate],0),99999)</f>
        <v/>
      </c>
    </row>
    <row r="338">
      <c r="A338" t="inlineStr">
        <is>
          <t>VSP-910</t>
        </is>
      </c>
      <c r="B338" t="inlineStr">
        <is>
          <t>CHEM-1400</t>
        </is>
      </c>
      <c r="C338" t="n">
        <v>4.051</v>
      </c>
      <c r="D338">
        <f>IFERROR(MATCH($A338,PP_Grid[Intermediate],0),99999)</f>
        <v/>
      </c>
    </row>
    <row r="339">
      <c r="A339" t="inlineStr">
        <is>
          <t>VSP-910</t>
        </is>
      </c>
      <c r="B339" t="inlineStr">
        <is>
          <t>CHEM-1420</t>
        </is>
      </c>
      <c r="C339" t="n">
        <v>1.43</v>
      </c>
      <c r="D339">
        <f>IFERROR(MATCH($A339,PP_Grid[Intermediate],0),99999)</f>
        <v/>
      </c>
    </row>
    <row r="340">
      <c r="A340" t="inlineStr">
        <is>
          <t>VSP-910</t>
        </is>
      </c>
      <c r="B340" t="inlineStr">
        <is>
          <t>CHEM-1440</t>
        </is>
      </c>
      <c r="C340" t="n">
        <v>1.012</v>
      </c>
      <c r="D340">
        <f>IFERROR(MATCH($A340,PP_Grid[Intermediate],0),99999)</f>
        <v/>
      </c>
    </row>
    <row r="341">
      <c r="A341" t="inlineStr">
        <is>
          <t>VSP-910</t>
        </is>
      </c>
      <c r="B341" t="inlineStr">
        <is>
          <t>CHEM-1660</t>
        </is>
      </c>
      <c r="C341" t="n">
        <v>0.913</v>
      </c>
      <c r="D341">
        <f>IFERROR(MATCH($A341,PP_Grid[Intermediate],0),99999)</f>
        <v/>
      </c>
    </row>
    <row r="342">
      <c r="A342" t="inlineStr">
        <is>
          <t>VSP-989</t>
        </is>
      </c>
      <c r="B342" t="inlineStr">
        <is>
          <t>CHEM-1400</t>
        </is>
      </c>
      <c r="C342" t="n">
        <v>2.198</v>
      </c>
      <c r="D342">
        <f>IFERROR(MATCH($A342,PP_Grid[Intermediate],0),99999)</f>
        <v/>
      </c>
    </row>
    <row r="343">
      <c r="A343" t="inlineStr">
        <is>
          <t>VSP-989</t>
        </is>
      </c>
      <c r="B343" t="inlineStr">
        <is>
          <t>CHEM-1600</t>
        </is>
      </c>
      <c r="C343" t="n">
        <v>7.704</v>
      </c>
      <c r="D343">
        <f>IFERROR(MATCH($A343,PP_Grid[Intermediate],0),99999)</f>
        <v/>
      </c>
    </row>
    <row r="344">
      <c r="A344" t="inlineStr">
        <is>
          <t>VSP-989</t>
        </is>
      </c>
      <c r="B344" t="inlineStr">
        <is>
          <t>CHEM-1510</t>
        </is>
      </c>
      <c r="C344" t="n">
        <v>5.21</v>
      </c>
      <c r="D344">
        <f>IFERROR(MATCH($A344,PP_Grid[Intermediate],0),99999)</f>
        <v/>
      </c>
    </row>
    <row r="345">
      <c r="A345" t="inlineStr">
        <is>
          <t>VSP-989</t>
        </is>
      </c>
      <c r="B345" t="inlineStr">
        <is>
          <t>0JN</t>
        </is>
      </c>
      <c r="C345" t="n">
        <v>15.799</v>
      </c>
      <c r="D345">
        <f>IFERROR(MATCH($A345,PP_Grid[Intermediate],0),99999)</f>
        <v/>
      </c>
    </row>
    <row r="346">
      <c r="A346" t="inlineStr">
        <is>
          <t>VSP-989</t>
        </is>
      </c>
      <c r="B346" t="inlineStr">
        <is>
          <t>CHEM-1420</t>
        </is>
      </c>
      <c r="C346" t="n">
        <v>0.612</v>
      </c>
      <c r="D346">
        <f>IFERROR(MATCH($A346,PP_Grid[Intermediate],0),99999)</f>
        <v/>
      </c>
    </row>
    <row r="347">
      <c r="A347" t="inlineStr">
        <is>
          <t>VSP-989</t>
        </is>
      </c>
      <c r="B347" t="inlineStr">
        <is>
          <t>CHEM-1440</t>
        </is>
      </c>
      <c r="C347" t="n">
        <v>0.0907100544</v>
      </c>
      <c r="D347">
        <f>IFERROR(MATCH($A347,PP_Grid[Intermediate],0),99999)</f>
        <v/>
      </c>
    </row>
    <row r="348">
      <c r="A348" t="inlineStr">
        <is>
          <t>VSP-989</t>
        </is>
      </c>
      <c r="B348" t="inlineStr">
        <is>
          <t>CHEM-1660</t>
        </is>
      </c>
      <c r="C348" t="n">
        <v>0.907</v>
      </c>
      <c r="D348">
        <f>IFERROR(MATCH($A348,PP_Grid[Intermediate],0),99999)</f>
        <v/>
      </c>
    </row>
    <row r="349">
      <c r="A349" t="inlineStr">
        <is>
          <t>VSP-990</t>
        </is>
      </c>
      <c r="B349" t="inlineStr">
        <is>
          <t>CHEM-1530</t>
        </is>
      </c>
      <c r="C349" t="n">
        <v>39.4155</v>
      </c>
      <c r="D349">
        <f>IFERROR(MATCH($A349,PP_Grid[Intermediate],0),99999)</f>
        <v/>
      </c>
    </row>
    <row r="350">
      <c r="A350" t="inlineStr">
        <is>
          <t>VSP-990</t>
        </is>
      </c>
      <c r="B350" t="inlineStr">
        <is>
          <t>CHEM-1400</t>
        </is>
      </c>
      <c r="C350" t="n">
        <v>3.577</v>
      </c>
      <c r="D350">
        <f>IFERROR(MATCH($A350,PP_Grid[Intermediate],0),99999)</f>
        <v/>
      </c>
    </row>
    <row r="351">
      <c r="A351" t="inlineStr">
        <is>
          <t>VSP-990</t>
        </is>
      </c>
      <c r="B351" t="inlineStr">
        <is>
          <t>CHEM-1420</t>
        </is>
      </c>
      <c r="C351" t="n">
        <v>0.85</v>
      </c>
      <c r="D351">
        <f>IFERROR(MATCH($A351,PP_Grid[Intermediate],0),99999)</f>
        <v/>
      </c>
    </row>
    <row r="352">
      <c r="A352" t="inlineStr">
        <is>
          <t>VSP-990</t>
        </is>
      </c>
      <c r="B352" t="inlineStr">
        <is>
          <t>CHEM-1440</t>
        </is>
      </c>
      <c r="C352" t="n">
        <v>0.484</v>
      </c>
      <c r="D352">
        <f>IFERROR(MATCH($A352,PP_Grid[Intermediate],0),99999)</f>
        <v/>
      </c>
    </row>
    <row r="353">
      <c r="A353" t="inlineStr">
        <is>
          <t>VSP-990</t>
        </is>
      </c>
      <c r="B353" t="inlineStr">
        <is>
          <t>CHEM-1650</t>
        </is>
      </c>
      <c r="C353" t="n">
        <v>0.048</v>
      </c>
      <c r="D353">
        <f>IFERROR(MATCH($A353,PP_Grid[Intermediate],0),99999)</f>
        <v/>
      </c>
    </row>
    <row r="354">
      <c r="A354" t="inlineStr">
        <is>
          <t>VSP-990</t>
        </is>
      </c>
      <c r="B354" t="inlineStr">
        <is>
          <t>CHEM-1660</t>
        </is>
      </c>
      <c r="C354" t="n">
        <v>0.8070000000000001</v>
      </c>
      <c r="D354">
        <f>IFERROR(MATCH($A354,PP_Grid[Intermediate],0),99999)</f>
        <v/>
      </c>
    </row>
    <row r="355">
      <c r="A355" t="inlineStr">
        <is>
          <t>VSZ-745</t>
        </is>
      </c>
      <c r="B355" t="inlineStr">
        <is>
          <t>CHEM-1530</t>
        </is>
      </c>
      <c r="C355" t="n">
        <v>29.44</v>
      </c>
      <c r="D355">
        <f>IFERROR(MATCH($A355,PP_Grid[Intermediate],0),99999)</f>
        <v/>
      </c>
    </row>
    <row r="356">
      <c r="A356" t="inlineStr">
        <is>
          <t>VSZ-745</t>
        </is>
      </c>
      <c r="B356" t="inlineStr">
        <is>
          <t>CHEM-1400</t>
        </is>
      </c>
      <c r="C356" t="n">
        <v>7.171</v>
      </c>
      <c r="D356">
        <f>IFERROR(MATCH($A356,PP_Grid[Intermediate],0),99999)</f>
        <v/>
      </c>
    </row>
    <row r="357">
      <c r="A357" t="inlineStr">
        <is>
          <t>VSZ-745</t>
        </is>
      </c>
      <c r="B357" t="inlineStr">
        <is>
          <t>CHEM-1600</t>
        </is>
      </c>
      <c r="C357" t="n">
        <v>14.88</v>
      </c>
      <c r="D357">
        <f>IFERROR(MATCH($A357,PP_Grid[Intermediate],0),99999)</f>
        <v/>
      </c>
    </row>
    <row r="358">
      <c r="A358" t="inlineStr">
        <is>
          <t>VSZ-745</t>
        </is>
      </c>
      <c r="B358" t="inlineStr">
        <is>
          <t>CHEM-1420</t>
        </is>
      </c>
      <c r="C358" t="n">
        <v>0.954</v>
      </c>
      <c r="D358">
        <f>IFERROR(MATCH($A358,PP_Grid[Intermediate],0),99999)</f>
        <v/>
      </c>
    </row>
    <row r="359">
      <c r="A359" t="inlineStr">
        <is>
          <t>VSZ-745</t>
        </is>
      </c>
      <c r="B359" t="inlineStr">
        <is>
          <t>CHEM-1440</t>
        </is>
      </c>
      <c r="C359" t="n">
        <v>0.389</v>
      </c>
      <c r="D359">
        <f>IFERROR(MATCH($A359,PP_Grid[Intermediate],0),99999)</f>
        <v/>
      </c>
    </row>
    <row r="360">
      <c r="A360" t="inlineStr">
        <is>
          <t>VSZ-745</t>
        </is>
      </c>
      <c r="B360" t="inlineStr">
        <is>
          <t>CHEM-1650</t>
        </is>
      </c>
      <c r="C360" t="n">
        <v>0.045</v>
      </c>
      <c r="D360">
        <f>IFERROR(MATCH($A360,PP_Grid[Intermediate],0),99999)</f>
        <v/>
      </c>
    </row>
    <row r="361">
      <c r="A361" t="inlineStr">
        <is>
          <t>TVS-267</t>
        </is>
      </c>
      <c r="B361" t="inlineStr">
        <is>
          <t>CHEM-1420</t>
        </is>
      </c>
      <c r="C361" t="n">
        <v>2.74402</v>
      </c>
      <c r="D361">
        <f>IFERROR(MATCH($A361,PP_Grid[Intermediate],0),99999)</f>
        <v/>
      </c>
    </row>
    <row r="362">
      <c r="A362" t="inlineStr">
        <is>
          <t>TVS-267</t>
        </is>
      </c>
      <c r="B362" t="inlineStr">
        <is>
          <t>CHEM-1760</t>
        </is>
      </c>
      <c r="C362" t="n">
        <v>0.18894</v>
      </c>
      <c r="D362">
        <f>IFERROR(MATCH($A362,PP_Grid[Intermediate],0),99999)</f>
        <v/>
      </c>
    </row>
    <row r="363">
      <c r="A363" t="inlineStr">
        <is>
          <t>TVS-500</t>
        </is>
      </c>
      <c r="B363" t="inlineStr">
        <is>
          <t>CHEM-1420</t>
        </is>
      </c>
      <c r="C363" t="n">
        <v>2.54073</v>
      </c>
      <c r="D363">
        <f>IFERROR(MATCH($A363,PP_Grid[Intermediate],0),99999)</f>
        <v/>
      </c>
    </row>
    <row r="364">
      <c r="A364" t="inlineStr">
        <is>
          <t>TVS-500</t>
        </is>
      </c>
      <c r="B364" t="inlineStr">
        <is>
          <t>CHEM-1760</t>
        </is>
      </c>
      <c r="C364" t="n">
        <v>0.164</v>
      </c>
      <c r="D364">
        <f>IFERROR(MATCH($A364,PP_Grid[Intermediate],0),99999)</f>
        <v/>
      </c>
    </row>
    <row r="365">
      <c r="A365" t="inlineStr">
        <is>
          <t>TPP-190</t>
        </is>
      </c>
      <c r="B365" t="inlineStr">
        <is>
          <t>0JN</t>
        </is>
      </c>
      <c r="C365" t="n">
        <v>3.397</v>
      </c>
      <c r="D365">
        <f>IFERROR(MATCH($A365,PP_Grid[Intermediate],0),99999)</f>
        <v/>
      </c>
    </row>
    <row r="366">
      <c r="A366" t="inlineStr">
        <is>
          <t>TPP-204</t>
        </is>
      </c>
      <c r="B366" t="inlineStr">
        <is>
          <t>0JN</t>
        </is>
      </c>
      <c r="C366" t="n">
        <v>3.68</v>
      </c>
      <c r="D366">
        <f>IFERROR(MATCH($A366,PP_Grid[Intermediate],0),99999)</f>
        <v/>
      </c>
    </row>
    <row r="367">
      <c r="A367" t="inlineStr">
        <is>
          <t>TPP-350</t>
        </is>
      </c>
      <c r="B367" t="inlineStr">
        <is>
          <t>0JN</t>
        </is>
      </c>
      <c r="C367" t="n">
        <v>4.31</v>
      </c>
      <c r="D367">
        <f>IFERROR(MATCH($A367,PP_Grid[Intermediate],0),99999)</f>
        <v/>
      </c>
    </row>
    <row r="368">
      <c r="A368" t="inlineStr">
        <is>
          <t>TPP-356</t>
        </is>
      </c>
      <c r="B368" t="inlineStr">
        <is>
          <t>0JN</t>
        </is>
      </c>
      <c r="C368" t="n">
        <v>11.11</v>
      </c>
      <c r="D368">
        <f>IFERROR(MATCH($A368,PP_Grid[Intermediate],0),99999)</f>
        <v/>
      </c>
    </row>
    <row r="369">
      <c r="A369" t="inlineStr">
        <is>
          <t>TPP-358</t>
        </is>
      </c>
      <c r="B369" t="inlineStr">
        <is>
          <t>CHEM-1540</t>
        </is>
      </c>
      <c r="C369" t="n">
        <v>65.95</v>
      </c>
      <c r="D369">
        <f>IFERROR(MATCH($A369,PP_Grid[Intermediate],0),99999)</f>
        <v/>
      </c>
    </row>
    <row r="370">
      <c r="A370" t="inlineStr">
        <is>
          <t>TPP-704</t>
        </is>
      </c>
      <c r="B370" t="inlineStr">
        <is>
          <t>0JN</t>
        </is>
      </c>
      <c r="C370" t="n">
        <v>5.706</v>
      </c>
      <c r="D370">
        <f>IFERROR(MATCH($A370,PP_Grid[Intermediate],0),99999)</f>
        <v/>
      </c>
    </row>
    <row r="371">
      <c r="A371" t="inlineStr">
        <is>
          <t>TPP-650</t>
        </is>
      </c>
      <c r="B371" t="inlineStr">
        <is>
          <t>CHEM-1530</t>
        </is>
      </c>
      <c r="C371" t="n">
        <v>36.07</v>
      </c>
      <c r="D371">
        <f>IFERROR(MATCH($A371,PP_Grid[Intermediate],0),99999)</f>
        <v/>
      </c>
    </row>
    <row r="372">
      <c r="A372" t="inlineStr">
        <is>
          <t>TPP-650</t>
        </is>
      </c>
      <c r="B372" t="inlineStr">
        <is>
          <t>0JN</t>
        </is>
      </c>
      <c r="C372" t="n">
        <v>8.832000000000001</v>
      </c>
      <c r="D372">
        <f>IFERROR(MATCH($A372,PP_Grid[Intermediate],0),99999)</f>
        <v/>
      </c>
    </row>
    <row r="373">
      <c r="A373" t="inlineStr">
        <is>
          <t>TPP-527</t>
        </is>
      </c>
      <c r="B373" t="inlineStr">
        <is>
          <t>0JN</t>
        </is>
      </c>
      <c r="C373" t="n">
        <v>2.184</v>
      </c>
      <c r="D373">
        <f>IFERROR(MATCH($A373,PP_Grid[Intermediate],0),99999)</f>
        <v/>
      </c>
    </row>
    <row r="374">
      <c r="A374" t="inlineStr">
        <is>
          <t>TPP-533(98%)</t>
        </is>
      </c>
      <c r="B374" t="inlineStr">
        <is>
          <t>CHEM-1540</t>
        </is>
      </c>
      <c r="C374" t="n">
        <v>58.87</v>
      </c>
      <c r="D374">
        <f>IFERROR(MATCH($A374,PP_Grid[Intermediate],0),99999)</f>
        <v/>
      </c>
    </row>
    <row r="375">
      <c r="A375" t="inlineStr">
        <is>
          <t>TPP-537</t>
        </is>
      </c>
      <c r="B375" t="inlineStr">
        <is>
          <t>0JN</t>
        </is>
      </c>
      <c r="C375" t="n">
        <v>0.5659999999999999</v>
      </c>
      <c r="D375">
        <f>IFERROR(MATCH($A375,PP_Grid[Intermediate],0),99999)</f>
        <v/>
      </c>
    </row>
    <row r="376">
      <c r="A376" t="inlineStr">
        <is>
          <t>TPP-609</t>
        </is>
      </c>
      <c r="B376" t="inlineStr">
        <is>
          <t>0JN</t>
        </is>
      </c>
      <c r="C376" t="n">
        <v>3.101</v>
      </c>
      <c r="D376">
        <f>IFERROR(MATCH($A376,PP_Grid[Intermediate],0),99999)</f>
        <v/>
      </c>
    </row>
    <row r="377">
      <c r="A377" t="inlineStr">
        <is>
          <t>TPP-611</t>
        </is>
      </c>
      <c r="B377" t="inlineStr">
        <is>
          <t>CHEM-1680</t>
        </is>
      </c>
      <c r="C377" t="n">
        <v>18.05</v>
      </c>
      <c r="D377">
        <f>IFERROR(MATCH($A377,PP_Grid[Intermediate],0),99999)</f>
        <v/>
      </c>
    </row>
    <row r="378">
      <c r="A378" t="inlineStr">
        <is>
          <t>TPP-613</t>
        </is>
      </c>
      <c r="B378" t="inlineStr">
        <is>
          <t>CHEM-1680</t>
        </is>
      </c>
      <c r="C378" t="n">
        <v>18.07</v>
      </c>
      <c r="D378">
        <f>IFERROR(MATCH($A378,PP_Grid[Intermediate],0),99999)</f>
        <v/>
      </c>
    </row>
    <row r="379">
      <c r="A379" t="inlineStr">
        <is>
          <t>TPP-915</t>
        </is>
      </c>
      <c r="B379" t="inlineStr">
        <is>
          <t>CHEM-1680</t>
        </is>
      </c>
      <c r="C379" t="n">
        <v>25.61</v>
      </c>
      <c r="D379">
        <f>IFERROR(MATCH($A379,PP_Grid[Intermediate],0),99999)</f>
        <v/>
      </c>
    </row>
    <row r="380">
      <c r="A380" t="inlineStr">
        <is>
          <t>TPP-920</t>
        </is>
      </c>
      <c r="B380" t="inlineStr">
        <is>
          <t>CHEM-1680</t>
        </is>
      </c>
      <c r="C380" t="n">
        <v>18.2</v>
      </c>
      <c r="D380">
        <f>IFERROR(MATCH($A380,PP_Grid[Intermediate],0),99999)</f>
        <v/>
      </c>
    </row>
    <row r="381">
      <c r="A381" t="inlineStr">
        <is>
          <t>TPP-911</t>
        </is>
      </c>
      <c r="B381" t="inlineStr">
        <is>
          <t>CHEM-1730</t>
        </is>
      </c>
      <c r="C381" t="n">
        <v>52.04</v>
      </c>
      <c r="D381">
        <f>IFERROR(MATCH($A381,PP_Grid[Intermediate],0),99999)</f>
        <v/>
      </c>
    </row>
    <row r="382">
      <c r="A382" t="inlineStr">
        <is>
          <t>TPP-911</t>
        </is>
      </c>
      <c r="B382" t="inlineStr">
        <is>
          <t>0JN</t>
        </is>
      </c>
      <c r="C382" t="n">
        <v>5.967</v>
      </c>
      <c r="D382">
        <f>IFERROR(MATCH($A382,PP_Grid[Intermediate],0),99999)</f>
        <v/>
      </c>
    </row>
    <row r="383">
      <c r="A383" t="inlineStr">
        <is>
          <t>TPP-533(A)</t>
        </is>
      </c>
      <c r="B383" t="inlineStr">
        <is>
          <t>CHEM-1540</t>
        </is>
      </c>
      <c r="C383" t="n">
        <v>18.64</v>
      </c>
      <c r="D383">
        <f>IFERROR(MATCH($A383,PP_Grid[Intermediate],0),99999)</f>
        <v/>
      </c>
    </row>
    <row r="384">
      <c r="A384" t="inlineStr">
        <is>
          <t>TPP-970</t>
        </is>
      </c>
      <c r="B384" t="inlineStr">
        <is>
          <t>0JN</t>
        </is>
      </c>
      <c r="C384" t="n">
        <v>6.331</v>
      </c>
      <c r="D384">
        <f>IFERROR(MATCH($A384,PP_Grid[Intermediate],0),99999)</f>
        <v/>
      </c>
    </row>
    <row r="385">
      <c r="A385" t="inlineStr">
        <is>
          <t>TPP-914</t>
        </is>
      </c>
      <c r="B385" t="inlineStr">
        <is>
          <t>CHEM-1680</t>
        </is>
      </c>
      <c r="C385" t="n">
        <v>25.96</v>
      </c>
      <c r="D385">
        <f>IFERROR(MATCH($A385,PP_Grid[Intermediate],0),99999)</f>
        <v/>
      </c>
    </row>
    <row r="386">
      <c r="A386" t="inlineStr">
        <is>
          <t>TPP-919</t>
        </is>
      </c>
      <c r="B386" t="inlineStr">
        <is>
          <t>CHEM-1680</t>
        </is>
      </c>
      <c r="C386" t="n">
        <v>17.58</v>
      </c>
      <c r="D386">
        <f>IFERROR(MATCH($A386,PP_Grid[Intermediate],0),99999)</f>
        <v/>
      </c>
    </row>
    <row r="387">
      <c r="A387" t="inlineStr">
        <is>
          <t>TPP-635</t>
        </is>
      </c>
      <c r="B387" t="inlineStr">
        <is>
          <t>CHEM-1770</t>
        </is>
      </c>
      <c r="C387" t="n">
        <v>44.09</v>
      </c>
      <c r="D387">
        <f>IFERROR(MATCH($A387,PP_Grid[Intermediate],0),99999)</f>
        <v/>
      </c>
    </row>
    <row r="388">
      <c r="A388" t="inlineStr">
        <is>
          <t>TPP-912</t>
        </is>
      </c>
      <c r="B388" t="inlineStr">
        <is>
          <t>CHEM-1730</t>
        </is>
      </c>
      <c r="C388" t="n">
        <v>52.25</v>
      </c>
      <c r="D388">
        <f>IFERROR(MATCH($A388,PP_Grid[Intermediate],0),99999)</f>
        <v/>
      </c>
    </row>
    <row r="389">
      <c r="A389" t="inlineStr">
        <is>
          <t>TPP-912</t>
        </is>
      </c>
      <c r="B389" t="inlineStr">
        <is>
          <t>0JN</t>
        </is>
      </c>
      <c r="C389" t="n">
        <v>1.631</v>
      </c>
      <c r="D389">
        <f>IFERROR(MATCH($A389,PP_Grid[Intermediate],0),99999)</f>
        <v/>
      </c>
    </row>
    <row r="390">
      <c r="A390" t="inlineStr">
        <is>
          <t>TPP-916</t>
        </is>
      </c>
      <c r="B390" t="inlineStr">
        <is>
          <t>CHEM-1680</t>
        </is>
      </c>
      <c r="C390" t="n">
        <v>25.62</v>
      </c>
      <c r="D390">
        <f>IFERROR(MATCH($A390,PP_Grid[Intermediate],0),99999)</f>
        <v/>
      </c>
    </row>
    <row r="391">
      <c r="A391" t="inlineStr">
        <is>
          <t>TPP-917</t>
        </is>
      </c>
      <c r="B391" t="inlineStr">
        <is>
          <t>CHEM-1680</t>
        </is>
      </c>
      <c r="C391" t="n">
        <v>26.29</v>
      </c>
      <c r="D391">
        <f>IFERROR(MATCH($A391,PP_Grid[Intermediate],0),99999)</f>
        <v/>
      </c>
    </row>
    <row r="392">
      <c r="A392" t="inlineStr">
        <is>
          <t>TPP-922</t>
        </is>
      </c>
      <c r="B392" t="inlineStr">
        <is>
          <t>CHEM-1680</t>
        </is>
      </c>
      <c r="C392" t="n">
        <v>18.25</v>
      </c>
      <c r="D392">
        <f>IFERROR(MATCH($A392,PP_Grid[Intermediate],0),99999)</f>
        <v/>
      </c>
    </row>
    <row r="393">
      <c r="A393" t="inlineStr">
        <is>
          <t>TPP-923</t>
        </is>
      </c>
      <c r="B393" t="inlineStr">
        <is>
          <t>CHEM-1680</t>
        </is>
      </c>
      <c r="C393" t="n">
        <v>17.93</v>
      </c>
      <c r="D393">
        <f>IFERROR(MATCH($A393,PP_Grid[Intermediate],0),99999)</f>
        <v/>
      </c>
    </row>
    <row r="394">
      <c r="A394" t="inlineStr">
        <is>
          <t>No of times used</t>
        </is>
      </c>
      <c r="B394" t="inlineStr">
        <is>
          <t>CHEM-1540</t>
        </is>
      </c>
      <c r="C394" t="n">
        <v>3</v>
      </c>
      <c r="D394">
        <f>IFERROR(MATCH($A394,PP_Grid[Intermediate],0),99999)</f>
        <v/>
      </c>
    </row>
    <row r="395">
      <c r="A395" t="inlineStr">
        <is>
          <t>No of times used</t>
        </is>
      </c>
      <c r="B395" t="inlineStr">
        <is>
          <t>CHEM-1530</t>
        </is>
      </c>
      <c r="C395" t="n">
        <v>1</v>
      </c>
      <c r="D395">
        <f>IFERROR(MATCH($A395,PP_Grid[Intermediate],0),99999)</f>
        <v/>
      </c>
    </row>
    <row r="396">
      <c r="A396" t="inlineStr">
        <is>
          <t>No of times used</t>
        </is>
      </c>
      <c r="B396" t="inlineStr">
        <is>
          <t>CHEM-1770</t>
        </is>
      </c>
      <c r="C396" t="n">
        <v>1</v>
      </c>
      <c r="D396">
        <f>IFERROR(MATCH($A396,PP_Grid[Intermediate],0),99999)</f>
        <v/>
      </c>
    </row>
    <row r="397">
      <c r="A397" t="inlineStr">
        <is>
          <t>No of times used</t>
        </is>
      </c>
      <c r="B397" t="inlineStr">
        <is>
          <t>CHEM-1730</t>
        </is>
      </c>
      <c r="C397" t="n">
        <v>2</v>
      </c>
      <c r="D397">
        <f>IFERROR(MATCH($A397,PP_Grid[Intermediate],0),99999)</f>
        <v/>
      </c>
    </row>
    <row r="398">
      <c r="A398" t="inlineStr">
        <is>
          <t>No of times used</t>
        </is>
      </c>
      <c r="B398" t="inlineStr">
        <is>
          <t>CHEM-1680</t>
        </is>
      </c>
      <c r="C398" t="n">
        <v>10</v>
      </c>
      <c r="D398">
        <f>IFERROR(MATCH($A398,PP_Grid[Intermediate],0),99999)</f>
        <v/>
      </c>
    </row>
    <row r="399">
      <c r="A399" t="inlineStr">
        <is>
          <t>No of times used</t>
        </is>
      </c>
      <c r="B399" t="inlineStr">
        <is>
          <t>0JN</t>
        </is>
      </c>
      <c r="C399" t="n">
        <v>13</v>
      </c>
      <c r="D399">
        <f>IFERROR(MATCH($A399,PP_Grid[Intermediate],0),99999)</f>
        <v/>
      </c>
    </row>
    <row r="400">
      <c r="A400" t="inlineStr">
        <is>
          <t>0Q110</t>
        </is>
      </c>
      <c r="B400" t="inlineStr">
        <is>
          <t>5SN</t>
        </is>
      </c>
      <c r="C400" t="n">
        <v>1</v>
      </c>
      <c r="D400">
        <f>IFERROR(MATCH($A400,PP_Grid[Intermediate],0),99999)</f>
        <v/>
      </c>
    </row>
    <row r="401">
      <c r="A401" t="inlineStr">
        <is>
          <t>0TA30</t>
        </is>
      </c>
      <c r="B401" t="inlineStr">
        <is>
          <t>TDJ</t>
        </is>
      </c>
      <c r="C401" t="n">
        <v>1</v>
      </c>
      <c r="D401">
        <f>IFERROR(MATCH($A401,PP_Grid[Intermediate],0),99999)</f>
        <v/>
      </c>
    </row>
    <row r="402">
      <c r="A402" t="inlineStr">
        <is>
          <t>20p</t>
        </is>
      </c>
      <c r="B402" t="inlineStr">
        <is>
          <t>CHEM-1020</t>
        </is>
      </c>
      <c r="C402" t="n">
        <v>25</v>
      </c>
      <c r="D402">
        <f>IFERROR(MATCH($A402,PP_Grid[Intermediate],0),99999)</f>
        <v/>
      </c>
    </row>
    <row r="403">
      <c r="A403" t="inlineStr">
        <is>
          <t>Ester Film</t>
        </is>
      </c>
      <c r="B403" t="inlineStr">
        <is>
          <t>Ester Film</t>
        </is>
      </c>
      <c r="C403" t="n">
        <v>35</v>
      </c>
      <c r="D403">
        <f>IFERROR(MATCH($A403,PP_Grid[Intermediate],0),99999)</f>
        <v/>
      </c>
    </row>
    <row r="404">
      <c r="A404" t="inlineStr">
        <is>
          <t>F2090</t>
        </is>
      </c>
      <c r="B404" t="inlineStr">
        <is>
          <t>0JN</t>
        </is>
      </c>
      <c r="C404" t="n">
        <v>1</v>
      </c>
      <c r="D404">
        <f>IFERROR(MATCH($A404,PP_Grid[Intermediate],0),99999)</f>
        <v/>
      </c>
    </row>
    <row r="405">
      <c r="A405" t="inlineStr">
        <is>
          <t>F2290</t>
        </is>
      </c>
      <c r="B405" t="inlineStr">
        <is>
          <t>3TP</t>
        </is>
      </c>
      <c r="C405" t="n">
        <v>1</v>
      </c>
      <c r="D405">
        <f>IFERROR(MATCH($A405,PP_Grid[Intermediate],0),99999)</f>
        <v/>
      </c>
    </row>
    <row r="406">
      <c r="A406" t="inlineStr">
        <is>
          <t>K0050</t>
        </is>
      </c>
      <c r="B406" t="inlineStr">
        <is>
          <t>9RN</t>
        </is>
      </c>
      <c r="C406" t="n">
        <v>1</v>
      </c>
      <c r="D406">
        <f>IFERROR(MATCH($A406,PP_Grid[Intermediate],0),99999)</f>
        <v/>
      </c>
    </row>
    <row r="407">
      <c r="A407" t="inlineStr">
        <is>
          <t>PP Film</t>
        </is>
      </c>
      <c r="B407" t="inlineStr">
        <is>
          <t>PP Film</t>
        </is>
      </c>
      <c r="C407" t="n">
        <v>4</v>
      </c>
      <c r="D407">
        <f>IFERROR(MATCH($A407,PP_Grid[Intermediate],0),99999)</f>
        <v/>
      </c>
    </row>
    <row r="408">
      <c r="A408" t="inlineStr">
        <is>
          <t>TPP-1459</t>
        </is>
      </c>
      <c r="B408" t="inlineStr">
        <is>
          <t>CHEM-1820</t>
        </is>
      </c>
      <c r="C408" t="n">
        <v>32.63</v>
      </c>
      <c r="D408">
        <f>IFERROR(MATCH($A408,PP_Grid[Intermediate],0),99999)</f>
        <v/>
      </c>
    </row>
    <row r="409">
      <c r="A409" t="inlineStr">
        <is>
          <t>TPP-1466</t>
        </is>
      </c>
      <c r="B409" t="inlineStr">
        <is>
          <t>CHEM-1820</t>
        </is>
      </c>
      <c r="C409" t="n">
        <v>32.63</v>
      </c>
      <c r="D409">
        <f>IFERROR(MATCH($A409,PP_Grid[Intermediate],0),99999)</f>
        <v/>
      </c>
    </row>
    <row r="410">
      <c r="A410" t="inlineStr">
        <is>
          <t>TPP-2245</t>
        </is>
      </c>
      <c r="B410" t="inlineStr">
        <is>
          <t>CHEM-1830</t>
        </is>
      </c>
      <c r="C410" t="n">
        <v>0</v>
      </c>
      <c r="D410">
        <f>IFERROR(MATCH($A410,PP_Grid[Intermediate],0),99999)</f>
        <v/>
      </c>
    </row>
    <row r="411">
      <c r="A411" t="inlineStr">
        <is>
          <t>TSP-1388</t>
        </is>
      </c>
      <c r="B411" t="inlineStr">
        <is>
          <t>CHEM-1510</t>
        </is>
      </c>
      <c r="C411" t="n">
        <v>1.873</v>
      </c>
      <c r="D411">
        <f>IFERROR(MATCH($A411,PP_Grid[Intermediate],0),99999)</f>
        <v/>
      </c>
    </row>
    <row r="412">
      <c r="A412" t="inlineStr">
        <is>
          <t>TSP-1388</t>
        </is>
      </c>
      <c r="B412" t="inlineStr">
        <is>
          <t>CHEM-1570</t>
        </is>
      </c>
      <c r="C412" t="n">
        <v>0.231</v>
      </c>
      <c r="D412">
        <f>IFERROR(MATCH($A412,PP_Grid[Intermediate],0),99999)</f>
        <v/>
      </c>
    </row>
    <row r="413">
      <c r="A413" t="inlineStr">
        <is>
          <t>TSP-1388</t>
        </is>
      </c>
      <c r="B413" t="inlineStr">
        <is>
          <t>CHEM-1600</t>
        </is>
      </c>
      <c r="C413" t="n">
        <v>13</v>
      </c>
      <c r="D413">
        <f>IFERROR(MATCH($A413,PP_Grid[Intermediate],0),99999)</f>
        <v/>
      </c>
    </row>
    <row r="414">
      <c r="A414" t="inlineStr">
        <is>
          <t>TSP-1444</t>
        </is>
      </c>
      <c r="B414" t="inlineStr">
        <is>
          <t>CHEM-1570</t>
        </is>
      </c>
      <c r="C414" t="n">
        <v>0.259</v>
      </c>
      <c r="D414">
        <f>IFERROR(MATCH($A414,PP_Grid[Intermediate],0),99999)</f>
        <v/>
      </c>
    </row>
    <row r="415">
      <c r="A415" t="inlineStr">
        <is>
          <t>TSP-1445</t>
        </is>
      </c>
      <c r="B415" t="inlineStr">
        <is>
          <t>CHEM-1570</t>
        </is>
      </c>
      <c r="C415" t="n">
        <v>0.268</v>
      </c>
      <c r="D415">
        <f>IFERROR(MATCH($A415,PP_Grid[Intermediate],0),99999)</f>
        <v/>
      </c>
    </row>
    <row r="416">
      <c r="A416" t="inlineStr">
        <is>
          <t>TSP-1446</t>
        </is>
      </c>
      <c r="B416" t="inlineStr">
        <is>
          <t>CHEM-1570</t>
        </is>
      </c>
      <c r="C416" t="n">
        <v>0.302</v>
      </c>
      <c r="D416">
        <f>IFERROR(MATCH($A416,PP_Grid[Intermediate],0),99999)</f>
        <v/>
      </c>
    </row>
    <row r="417">
      <c r="A417" t="inlineStr">
        <is>
          <t>TSP-1448</t>
        </is>
      </c>
      <c r="B417" t="inlineStr">
        <is>
          <t>CHEM-1570</t>
        </is>
      </c>
      <c r="C417" t="n">
        <v>0.062</v>
      </c>
      <c r="D417">
        <f>IFERROR(MATCH($A417,PP_Grid[Intermediate],0),99999)</f>
        <v/>
      </c>
    </row>
    <row r="418">
      <c r="A418" t="inlineStr">
        <is>
          <t>TSP-1449</t>
        </is>
      </c>
      <c r="B418" t="inlineStr">
        <is>
          <t>CHEM-1240</t>
        </is>
      </c>
      <c r="C418" t="n">
        <v>20</v>
      </c>
      <c r="D418">
        <f>IFERROR(MATCH($A418,PP_Grid[Intermediate],0),99999)</f>
        <v/>
      </c>
    </row>
    <row r="419">
      <c r="A419" t="inlineStr">
        <is>
          <t>TSP-1449</t>
        </is>
      </c>
      <c r="B419" t="inlineStr">
        <is>
          <t>CHEM-1540</t>
        </is>
      </c>
      <c r="C419" t="n">
        <v>15</v>
      </c>
      <c r="D419">
        <f>IFERROR(MATCH($A419,PP_Grid[Intermediate],0),99999)</f>
        <v/>
      </c>
    </row>
    <row r="420">
      <c r="A420" t="inlineStr">
        <is>
          <t>TSP-1449</t>
        </is>
      </c>
      <c r="B420" t="inlineStr">
        <is>
          <t>CHEM-1570</t>
        </is>
      </c>
      <c r="C420" t="n">
        <v>0.12</v>
      </c>
      <c r="D420">
        <f>IFERROR(MATCH($A420,PP_Grid[Intermediate],0),99999)</f>
        <v/>
      </c>
    </row>
    <row r="421">
      <c r="A421" t="inlineStr">
        <is>
          <t>TSP-1449</t>
        </is>
      </c>
      <c r="B421" t="inlineStr">
        <is>
          <t>CHEM-1700</t>
        </is>
      </c>
      <c r="C421" t="n">
        <v>1.5</v>
      </c>
      <c r="D421">
        <f>IFERROR(MATCH($A421,PP_Grid[Intermediate],0),99999)</f>
        <v/>
      </c>
    </row>
    <row r="422">
      <c r="A422" t="inlineStr">
        <is>
          <t>TSP-1449</t>
        </is>
      </c>
      <c r="B422" t="inlineStr">
        <is>
          <t>CHEM-1720</t>
        </is>
      </c>
      <c r="C422" t="n">
        <v>10</v>
      </c>
      <c r="D422">
        <f>IFERROR(MATCH($A422,PP_Grid[Intermediate],0),99999)</f>
        <v/>
      </c>
    </row>
    <row r="423">
      <c r="A423" t="inlineStr">
        <is>
          <t>TSP-1499</t>
        </is>
      </c>
      <c r="B423" t="inlineStr">
        <is>
          <t>CHEM-1400</t>
        </is>
      </c>
      <c r="C423" t="n">
        <v>0.7</v>
      </c>
      <c r="D423">
        <f>IFERROR(MATCH($A423,PP_Grid[Intermediate],0),99999)</f>
        <v/>
      </c>
    </row>
    <row r="424">
      <c r="A424" t="inlineStr">
        <is>
          <t>TSP-1499</t>
        </is>
      </c>
      <c r="B424" t="inlineStr">
        <is>
          <t>CHEM-1420</t>
        </is>
      </c>
      <c r="C424" t="n">
        <v>0.2</v>
      </c>
      <c r="D424">
        <f>IFERROR(MATCH($A424,PP_Grid[Intermediate],0),99999)</f>
        <v/>
      </c>
    </row>
    <row r="425">
      <c r="A425" t="inlineStr">
        <is>
          <t>TSP-1499</t>
        </is>
      </c>
      <c r="B425" t="inlineStr">
        <is>
          <t>CHEM-1530</t>
        </is>
      </c>
      <c r="C425" t="n">
        <v>19.03</v>
      </c>
      <c r="D425">
        <f>IFERROR(MATCH($A425,PP_Grid[Intermediate],0),99999)</f>
        <v/>
      </c>
    </row>
    <row r="426">
      <c r="A426" t="inlineStr">
        <is>
          <t>TSP-1499</t>
        </is>
      </c>
      <c r="B426" t="inlineStr">
        <is>
          <t>CHEM-1570</t>
        </is>
      </c>
      <c r="C426" t="n">
        <v>0.08</v>
      </c>
      <c r="D426">
        <f>IFERROR(MATCH($A426,PP_Grid[Intermediate],0),99999)</f>
        <v/>
      </c>
    </row>
    <row r="427">
      <c r="A427" t="inlineStr">
        <is>
          <t>TSP-1499</t>
        </is>
      </c>
      <c r="B427" t="inlineStr">
        <is>
          <t>CHEM-1670</t>
        </is>
      </c>
      <c r="C427" t="n">
        <v>0.8</v>
      </c>
      <c r="D427">
        <f>IFERROR(MATCH($A427,PP_Grid[Intermediate],0),99999)</f>
        <v/>
      </c>
    </row>
    <row r="428">
      <c r="A428" t="inlineStr">
        <is>
          <t>TSP-1499</t>
        </is>
      </c>
      <c r="B428" t="inlineStr">
        <is>
          <t>CHEM-1700</t>
        </is>
      </c>
      <c r="C428" t="n">
        <v>0.79</v>
      </c>
      <c r="D428">
        <f>IFERROR(MATCH($A428,PP_Grid[Intermediate],0),99999)</f>
        <v/>
      </c>
    </row>
    <row r="429">
      <c r="A429" t="inlineStr">
        <is>
          <t>TSP-1499</t>
        </is>
      </c>
      <c r="B429" t="inlineStr">
        <is>
          <t>CHEM-1720</t>
        </is>
      </c>
      <c r="C429" t="n">
        <v>4.83</v>
      </c>
      <c r="D429">
        <f>IFERROR(MATCH($A429,PP_Grid[Intermediate],0),99999)</f>
        <v/>
      </c>
    </row>
    <row r="430">
      <c r="A430" t="inlineStr">
        <is>
          <t>TSP-1558</t>
        </is>
      </c>
      <c r="B430" t="inlineStr">
        <is>
          <t>CHEM-1240</t>
        </is>
      </c>
      <c r="C430" t="n">
        <v>11.18</v>
      </c>
      <c r="D430">
        <f>IFERROR(MATCH($A430,PP_Grid[Intermediate],0),99999)</f>
        <v/>
      </c>
    </row>
    <row r="431">
      <c r="A431" t="inlineStr">
        <is>
          <t>TSP-1558</t>
        </is>
      </c>
      <c r="B431" t="inlineStr">
        <is>
          <t>CHEM-1420</t>
        </is>
      </c>
      <c r="C431" t="n">
        <v>0.31</v>
      </c>
      <c r="D431">
        <f>IFERROR(MATCH($A431,PP_Grid[Intermediate],0),99999)</f>
        <v/>
      </c>
    </row>
    <row r="432">
      <c r="A432" t="inlineStr">
        <is>
          <t>TSP-1558</t>
        </is>
      </c>
      <c r="B432" t="inlineStr">
        <is>
          <t>CHEM-1440</t>
        </is>
      </c>
      <c r="C432" t="n">
        <v>0.5</v>
      </c>
      <c r="D432">
        <f>IFERROR(MATCH($A432,PP_Grid[Intermediate],0),99999)</f>
        <v/>
      </c>
    </row>
    <row r="433">
      <c r="A433" t="inlineStr">
        <is>
          <t>TSP-1558</t>
        </is>
      </c>
      <c r="B433" t="inlineStr">
        <is>
          <t>CHEM-1570</t>
        </is>
      </c>
      <c r="C433" t="n">
        <v>0.17</v>
      </c>
      <c r="D433">
        <f>IFERROR(MATCH($A433,PP_Grid[Intermediate],0),99999)</f>
        <v/>
      </c>
    </row>
    <row r="434">
      <c r="A434" t="inlineStr">
        <is>
          <t>TSP-1558</t>
        </is>
      </c>
      <c r="B434" t="inlineStr">
        <is>
          <t>CHEM-1830</t>
        </is>
      </c>
      <c r="C434" t="n">
        <v>13.47</v>
      </c>
      <c r="D434">
        <f>IFERROR(MATCH($A434,PP_Grid[Intermediate],0),99999)</f>
        <v/>
      </c>
    </row>
    <row r="435">
      <c r="A435" t="inlineStr">
        <is>
          <t>TSP-1558</t>
        </is>
      </c>
      <c r="B435" t="inlineStr">
        <is>
          <t>CHEM-1840</t>
        </is>
      </c>
      <c r="C435" t="n">
        <v>1.99</v>
      </c>
      <c r="D435">
        <f>IFERROR(MATCH($A435,PP_Grid[Intermediate],0),99999)</f>
        <v/>
      </c>
    </row>
    <row r="436">
      <c r="A436" t="inlineStr">
        <is>
          <t>TSP-1559</t>
        </is>
      </c>
      <c r="B436" t="inlineStr">
        <is>
          <t>CHEM-1830</t>
        </is>
      </c>
      <c r="C436" t="n">
        <v>0</v>
      </c>
      <c r="D436">
        <f>IFERROR(MATCH($A436,PP_Grid[Intermediate],0),99999)</f>
        <v/>
      </c>
    </row>
    <row r="437">
      <c r="A437" t="inlineStr">
        <is>
          <t>TSP-1559</t>
        </is>
      </c>
      <c r="B437" t="inlineStr">
        <is>
          <t>CHEM-1840</t>
        </is>
      </c>
      <c r="C437" t="n">
        <v>1.99</v>
      </c>
      <c r="D437">
        <f>IFERROR(MATCH($A437,PP_Grid[Intermediate],0),99999)</f>
        <v/>
      </c>
    </row>
    <row r="438">
      <c r="A438" t="inlineStr">
        <is>
          <t>TSP-2157</t>
        </is>
      </c>
      <c r="B438" t="inlineStr">
        <is>
          <t>CHEM-1830</t>
        </is>
      </c>
      <c r="C438" t="n">
        <v>0</v>
      </c>
      <c r="D438">
        <f>IFERROR(MATCH($A438,PP_Grid[Intermediate],0),99999)</f>
        <v/>
      </c>
    </row>
    <row r="439">
      <c r="A439" t="inlineStr">
        <is>
          <t>TSP-2168</t>
        </is>
      </c>
      <c r="B439" t="inlineStr">
        <is>
          <t>CHEM-1830</t>
        </is>
      </c>
      <c r="C439" t="n">
        <v>0</v>
      </c>
      <c r="D439">
        <f>IFERROR(MATCH($A439,PP_Grid[Intermediate],0),99999)</f>
        <v/>
      </c>
    </row>
    <row r="440">
      <c r="A440" t="inlineStr">
        <is>
          <t>TSP-219</t>
        </is>
      </c>
      <c r="B440" t="inlineStr">
        <is>
          <t>CHEM-1820</t>
        </is>
      </c>
      <c r="C440" t="n">
        <v>0</v>
      </c>
      <c r="D440">
        <f>IFERROR(MATCH($A440,PP_Grid[Intermediate],0),99999)</f>
        <v/>
      </c>
    </row>
    <row r="441">
      <c r="A441" t="inlineStr">
        <is>
          <t>TSP-655</t>
        </is>
      </c>
      <c r="B441" t="inlineStr">
        <is>
          <t>CHEM-1570</t>
        </is>
      </c>
      <c r="C441" t="n">
        <v>0.928</v>
      </c>
      <c r="D441">
        <f>IFERROR(MATCH($A441,PP_Grid[Intermediate],0),99999)</f>
        <v/>
      </c>
    </row>
    <row r="442">
      <c r="A442" t="inlineStr">
        <is>
          <t>TSP-656</t>
        </is>
      </c>
      <c r="B442" t="inlineStr">
        <is>
          <t>CHEM-1570</t>
        </is>
      </c>
      <c r="C442" t="n">
        <v>0.462</v>
      </c>
      <c r="D442">
        <f>IFERROR(MATCH($A442,PP_Grid[Intermediate],0),99999)</f>
        <v/>
      </c>
    </row>
    <row r="443">
      <c r="A443" t="inlineStr">
        <is>
          <t>TSP-903</t>
        </is>
      </c>
      <c r="B443" t="inlineStr">
        <is>
          <t>CHEM-1570</t>
        </is>
      </c>
      <c r="C443" t="n">
        <v>0.018</v>
      </c>
      <c r="D443">
        <f>IFERROR(MATCH($A443,PP_Grid[Intermediate],0),99999)</f>
        <v/>
      </c>
    </row>
    <row r="444">
      <c r="A444" t="inlineStr">
        <is>
          <t>TSP-924</t>
        </is>
      </c>
      <c r="B444" t="inlineStr">
        <is>
          <t>CHEM-1510</t>
        </is>
      </c>
      <c r="C444" t="n">
        <v>0.44</v>
      </c>
      <c r="D444">
        <f>IFERROR(MATCH($A444,PP_Grid[Intermediate],0),99999)</f>
        <v/>
      </c>
    </row>
    <row r="445">
      <c r="A445" t="inlineStr">
        <is>
          <t>TSP-924</t>
        </is>
      </c>
      <c r="B445" t="inlineStr">
        <is>
          <t>CHEM-1600</t>
        </is>
      </c>
      <c r="C445" t="n">
        <v>15.094</v>
      </c>
      <c r="D445">
        <f>IFERROR(MATCH($A445,PP_Grid[Intermediate],0),99999)</f>
        <v/>
      </c>
    </row>
    <row r="446">
      <c r="A446" t="inlineStr">
        <is>
          <t>TSP-925</t>
        </is>
      </c>
      <c r="B446" t="inlineStr">
        <is>
          <t>CHEM-1510</t>
        </is>
      </c>
      <c r="C446" t="n">
        <v>0.44</v>
      </c>
      <c r="D446">
        <f>IFERROR(MATCH($A446,PP_Grid[Intermediate],0),99999)</f>
        <v/>
      </c>
    </row>
    <row r="447">
      <c r="A447" t="inlineStr">
        <is>
          <t>TSP-925</t>
        </is>
      </c>
      <c r="B447" t="inlineStr">
        <is>
          <t>CHEM-1600</t>
        </is>
      </c>
      <c r="C447" t="n">
        <v>15.121</v>
      </c>
      <c r="D447">
        <f>IFERROR(MATCH($A447,PP_Grid[Intermediate],0),99999)</f>
        <v/>
      </c>
    </row>
    <row r="448">
      <c r="A448" t="inlineStr">
        <is>
          <t>TSP-935</t>
        </is>
      </c>
      <c r="B448" t="inlineStr">
        <is>
          <t>CHEM-1570</t>
        </is>
      </c>
      <c r="C448" t="n">
        <v>0.081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0.079</v>
      </c>
      <c r="D449">
        <f>IFERROR(MATCH($A449,PP_Grid[Intermediate],0),99999)</f>
        <v/>
      </c>
    </row>
    <row r="450">
      <c r="A450" t="inlineStr">
        <is>
          <t>TSP-959</t>
        </is>
      </c>
      <c r="B450" t="inlineStr">
        <is>
          <t>CHEM-1570</t>
        </is>
      </c>
      <c r="C450" t="n">
        <v>0.07099999999999999</v>
      </c>
      <c r="D450">
        <f>IFERROR(MATCH($A450,PP_Grid[Intermediate],0),99999)</f>
        <v/>
      </c>
    </row>
    <row r="451">
      <c r="A451" t="inlineStr">
        <is>
          <t>TSP-966</t>
        </is>
      </c>
      <c r="B451" t="inlineStr">
        <is>
          <t>CHEM-1570</t>
        </is>
      </c>
      <c r="C451" t="n">
        <v>0.0377</v>
      </c>
      <c r="D451">
        <f>IFERROR(MATCH($A451,PP_Grid[Intermediate],0),99999)</f>
        <v/>
      </c>
    </row>
    <row r="452">
      <c r="A452" t="inlineStr">
        <is>
          <t>TSZ-616</t>
        </is>
      </c>
      <c r="B452" t="inlineStr">
        <is>
          <t>CHEM-1570</t>
        </is>
      </c>
      <c r="C452" t="n">
        <v>0.04</v>
      </c>
      <c r="D452">
        <f>IFERROR(MATCH($A452,PP_Grid[Intermediate],0),99999)</f>
        <v/>
      </c>
    </row>
    <row r="453">
      <c r="A453" t="inlineStr">
        <is>
          <t>TVS-267</t>
        </is>
      </c>
      <c r="B453" t="inlineStr">
        <is>
          <t>CHEM-1570</t>
        </is>
      </c>
      <c r="C453" t="n">
        <v>0.09032</v>
      </c>
      <c r="D453">
        <f>IFERROR(MATCH($A453,PP_Grid[Intermediate],0),99999)</f>
        <v/>
      </c>
    </row>
    <row r="454">
      <c r="A454" t="inlineStr">
        <is>
          <t>TVS-833</t>
        </is>
      </c>
      <c r="B454" t="inlineStr">
        <is>
          <t>CHEM-1570</t>
        </is>
      </c>
      <c r="C454" t="n">
        <v>0.17607</v>
      </c>
      <c r="D454">
        <f>IFERROR(MATCH($A454,PP_Grid[Intermediate],0),99999)</f>
        <v/>
      </c>
    </row>
    <row r="455">
      <c r="A455" t="inlineStr">
        <is>
          <t>VSP-600</t>
        </is>
      </c>
      <c r="B455" t="inlineStr">
        <is>
          <t>CHEM-1650</t>
        </is>
      </c>
      <c r="C455" t="n">
        <v>0.044845592</v>
      </c>
      <c r="D455">
        <f>IFERROR(MATCH($A455,PP_Grid[Intermediate],0),99999)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A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5" t="inlineStr">
        <is>
          <t>Intermediate</t>
        </is>
      </c>
      <c r="B1" s="5" t="inlineStr">
        <is>
          <t>2026-W01</t>
        </is>
      </c>
      <c r="C1" s="5" t="inlineStr">
        <is>
          <t>2026-W02</t>
        </is>
      </c>
      <c r="D1" s="5" t="inlineStr">
        <is>
          <t>2026-W03</t>
        </is>
      </c>
      <c r="E1" s="5" t="inlineStr">
        <is>
          <t>2026-W04</t>
        </is>
      </c>
      <c r="F1" s="5" t="inlineStr">
        <is>
          <t>2026-W05</t>
        </is>
      </c>
      <c r="G1" s="5" t="inlineStr">
        <is>
          <t>2026-W06</t>
        </is>
      </c>
      <c r="H1" s="5" t="inlineStr">
        <is>
          <t>2026-W07</t>
        </is>
      </c>
      <c r="I1" s="5" t="inlineStr">
        <is>
          <t>2026-W08</t>
        </is>
      </c>
      <c r="J1" s="5" t="inlineStr">
        <is>
          <t>2026-W09</t>
        </is>
      </c>
      <c r="K1" s="5" t="inlineStr">
        <is>
          <t>2026-W10</t>
        </is>
      </c>
      <c r="L1" s="5" t="inlineStr">
        <is>
          <t>2026-W11</t>
        </is>
      </c>
      <c r="M1" s="5" t="inlineStr">
        <is>
          <t>2026-W12</t>
        </is>
      </c>
      <c r="N1" s="5" t="inlineStr">
        <is>
          <t>2026-W13</t>
        </is>
      </c>
      <c r="O1" s="5" t="inlineStr">
        <is>
          <t>2026-W14</t>
        </is>
      </c>
      <c r="P1" s="5" t="inlineStr">
        <is>
          <t>2026-W15</t>
        </is>
      </c>
      <c r="Q1" s="5" t="inlineStr">
        <is>
          <t>2026-W16</t>
        </is>
      </c>
      <c r="R1" s="5" t="inlineStr">
        <is>
          <t>2026-W17</t>
        </is>
      </c>
      <c r="S1" s="5" t="inlineStr">
        <is>
          <t>2026-W18</t>
        </is>
      </c>
      <c r="T1" s="5" t="inlineStr">
        <is>
          <t>2026-W19</t>
        </is>
      </c>
      <c r="U1" s="5" t="inlineStr">
        <is>
          <t>2026-W20</t>
        </is>
      </c>
      <c r="V1" s="5" t="inlineStr">
        <is>
          <t>2026-W21</t>
        </is>
      </c>
      <c r="W1" s="5" t="inlineStr">
        <is>
          <t>2026-W22</t>
        </is>
      </c>
      <c r="X1" s="5" t="inlineStr">
        <is>
          <t>2026-W23</t>
        </is>
      </c>
      <c r="Y1" s="5" t="inlineStr">
        <is>
          <t>2026-W24</t>
        </is>
      </c>
      <c r="Z1" s="5" t="inlineStr">
        <is>
          <t>2026-W25</t>
        </is>
      </c>
      <c r="AA1" s="5" t="inlineStr">
        <is>
          <t>2026-W26</t>
        </is>
      </c>
      <c r="AB1" s="5" t="inlineStr">
        <is>
          <t>2026-W27</t>
        </is>
      </c>
      <c r="AC1" s="5" t="inlineStr">
        <is>
          <t>2026-W28</t>
        </is>
      </c>
      <c r="AD1" s="5" t="inlineStr">
        <is>
          <t>2026-W29</t>
        </is>
      </c>
      <c r="AE1" s="5" t="inlineStr">
        <is>
          <t>2026-W30</t>
        </is>
      </c>
      <c r="AF1" s="5" t="inlineStr">
        <is>
          <t>2026-W31</t>
        </is>
      </c>
      <c r="AG1" s="5" t="inlineStr">
        <is>
          <t>2026-W32</t>
        </is>
      </c>
      <c r="AH1" s="5" t="inlineStr">
        <is>
          <t>2026-W33</t>
        </is>
      </c>
      <c r="AI1" s="5" t="inlineStr">
        <is>
          <t>2026-W34</t>
        </is>
      </c>
      <c r="AJ1" s="5" t="inlineStr">
        <is>
          <t>2026-W35</t>
        </is>
      </c>
      <c r="AK1" s="5" t="inlineStr">
        <is>
          <t>2026-W36</t>
        </is>
      </c>
      <c r="AL1" s="5" t="inlineStr">
        <is>
          <t>2026-W37</t>
        </is>
      </c>
      <c r="AM1" s="5" t="inlineStr">
        <is>
          <t>2026-W38</t>
        </is>
      </c>
      <c r="AN1" s="5" t="inlineStr">
        <is>
          <t>2026-W39</t>
        </is>
      </c>
      <c r="AO1" s="5" t="inlineStr">
        <is>
          <t>2026-W40</t>
        </is>
      </c>
      <c r="AP1" s="5" t="inlineStr">
        <is>
          <t>2026-W41</t>
        </is>
      </c>
      <c r="AQ1" s="5" t="inlineStr">
        <is>
          <t>2026-W42</t>
        </is>
      </c>
      <c r="AR1" s="5" t="inlineStr">
        <is>
          <t>2026-W43</t>
        </is>
      </c>
      <c r="AS1" s="5" t="inlineStr">
        <is>
          <t>2026-W44</t>
        </is>
      </c>
      <c r="AT1" s="5" t="inlineStr">
        <is>
          <t>2026-W45</t>
        </is>
      </c>
      <c r="AU1" s="5" t="inlineStr">
        <is>
          <t>2026-W46</t>
        </is>
      </c>
      <c r="AV1" s="5" t="inlineStr">
        <is>
          <t>2026-W47</t>
        </is>
      </c>
      <c r="AW1" s="5" t="inlineStr">
        <is>
          <t>2026-W48</t>
        </is>
      </c>
      <c r="AX1" s="5" t="inlineStr">
        <is>
          <t>2026-W49</t>
        </is>
      </c>
      <c r="AY1" s="5" t="inlineStr">
        <is>
          <t>2026-W50</t>
        </is>
      </c>
      <c r="AZ1" s="5" t="inlineStr">
        <is>
          <t>2026-W51</t>
        </is>
      </c>
      <c r="BA1" s="5" t="inlineStr">
        <is>
          <t>2026-W52</t>
        </is>
      </c>
      <c r="BB1" s="5" t="inlineStr">
        <is>
          <t>2027-W01</t>
        </is>
      </c>
      <c r="BC1" s="5" t="inlineStr">
        <is>
          <t>2027-W02</t>
        </is>
      </c>
      <c r="BD1" s="5" t="inlineStr">
        <is>
          <t>2027-W03</t>
        </is>
      </c>
      <c r="BE1" s="5" t="inlineStr">
        <is>
          <t>2027-W04</t>
        </is>
      </c>
      <c r="BF1" s="5" t="inlineStr">
        <is>
          <t>2027-W05</t>
        </is>
      </c>
      <c r="BG1" s="5" t="inlineStr">
        <is>
          <t>2027-W06</t>
        </is>
      </c>
      <c r="BH1" s="5" t="inlineStr">
        <is>
          <t>2027-W07</t>
        </is>
      </c>
      <c r="BI1" s="5" t="inlineStr">
        <is>
          <t>2027-W08</t>
        </is>
      </c>
      <c r="BJ1" s="5" t="inlineStr">
        <is>
          <t>2027-W09</t>
        </is>
      </c>
      <c r="BK1" s="5" t="inlineStr">
        <is>
          <t>2027-W10</t>
        </is>
      </c>
      <c r="BL1" s="5" t="inlineStr">
        <is>
          <t>2027-W11</t>
        </is>
      </c>
      <c r="BM1" s="5" t="inlineStr">
        <is>
          <t>2027-W12</t>
        </is>
      </c>
      <c r="BN1" s="5" t="inlineStr">
        <is>
          <t>2027-W13</t>
        </is>
      </c>
      <c r="BO1" s="5" t="inlineStr">
        <is>
          <t>2027-W14</t>
        </is>
      </c>
      <c r="BP1" s="5" t="inlineStr">
        <is>
          <t>2027-W15</t>
        </is>
      </c>
      <c r="BQ1" s="5" t="inlineStr">
        <is>
          <t>2027-W16</t>
        </is>
      </c>
      <c r="BR1" s="5" t="inlineStr">
        <is>
          <t>2027-W17</t>
        </is>
      </c>
      <c r="BS1" s="5" t="inlineStr">
        <is>
          <t>2027-W18</t>
        </is>
      </c>
      <c r="BT1" s="5" t="inlineStr">
        <is>
          <t>2027-W19</t>
        </is>
      </c>
      <c r="BU1" s="5" t="inlineStr">
        <is>
          <t>2027-W20</t>
        </is>
      </c>
      <c r="BV1" s="5" t="inlineStr">
        <is>
          <t>2027-W21</t>
        </is>
      </c>
      <c r="BW1" s="5" t="inlineStr">
        <is>
          <t>2027-W22</t>
        </is>
      </c>
      <c r="BX1" s="5" t="inlineStr">
        <is>
          <t>2027-W23</t>
        </is>
      </c>
      <c r="BY1" s="5" t="inlineStr">
        <is>
          <t>2027-W24</t>
        </is>
      </c>
      <c r="BZ1" s="5" t="inlineStr">
        <is>
          <t>2027-W25</t>
        </is>
      </c>
      <c r="CA1" s="5" t="inlineStr">
        <is>
          <t>2027-W26</t>
        </is>
      </c>
      <c r="CB1" s="5" t="inlineStr">
        <is>
          <t>2027-W27</t>
        </is>
      </c>
      <c r="CC1" s="5" t="inlineStr">
        <is>
          <t>2027-W28</t>
        </is>
      </c>
      <c r="CD1" s="5" t="inlineStr">
        <is>
          <t>2027-W29</t>
        </is>
      </c>
      <c r="CE1" s="5" t="inlineStr">
        <is>
          <t>2027-W30</t>
        </is>
      </c>
      <c r="CF1" s="5" t="inlineStr">
        <is>
          <t>2027-W31</t>
        </is>
      </c>
      <c r="CG1" s="5" t="inlineStr">
        <is>
          <t>2027-W32</t>
        </is>
      </c>
      <c r="CH1" s="5" t="inlineStr">
        <is>
          <t>2027-W33</t>
        </is>
      </c>
      <c r="CI1" s="5" t="inlineStr">
        <is>
          <t>2027-W34</t>
        </is>
      </c>
      <c r="CJ1" s="5" t="inlineStr">
        <is>
          <t>2027-W35</t>
        </is>
      </c>
      <c r="CK1" s="5" t="inlineStr">
        <is>
          <t>2027-W36</t>
        </is>
      </c>
      <c r="CL1" s="5" t="inlineStr">
        <is>
          <t>2027-W37</t>
        </is>
      </c>
      <c r="CM1" s="5" t="inlineStr">
        <is>
          <t>2027-W38</t>
        </is>
      </c>
      <c r="CN1" s="5" t="inlineStr">
        <is>
          <t>2027-W39</t>
        </is>
      </c>
      <c r="CO1" s="5" t="inlineStr">
        <is>
          <t>2027-W40</t>
        </is>
      </c>
      <c r="CP1" s="5" t="inlineStr">
        <is>
          <t>2027-W41</t>
        </is>
      </c>
      <c r="CQ1" s="5" t="inlineStr">
        <is>
          <t>2027-W42</t>
        </is>
      </c>
      <c r="CR1" s="5" t="inlineStr">
        <is>
          <t>2027-W43</t>
        </is>
      </c>
      <c r="CS1" s="5" t="inlineStr">
        <is>
          <t>2027-W44</t>
        </is>
      </c>
      <c r="CT1" s="5" t="inlineStr">
        <is>
          <t>2027-W45</t>
        </is>
      </c>
      <c r="CU1" s="5" t="inlineStr">
        <is>
          <t>2027-W46</t>
        </is>
      </c>
      <c r="CV1" s="5" t="inlineStr">
        <is>
          <t>2027-W47</t>
        </is>
      </c>
      <c r="CW1" s="5" t="inlineStr">
        <is>
          <t>2027-W48</t>
        </is>
      </c>
      <c r="CX1" s="5" t="inlineStr">
        <is>
          <t>2027-W49</t>
        </is>
      </c>
      <c r="CY1" s="5" t="inlineStr">
        <is>
          <t>2027-W50</t>
        </is>
      </c>
      <c r="CZ1" s="5" t="inlineStr">
        <is>
          <t>2027-W51</t>
        </is>
      </c>
      <c r="DA1" s="5" t="inlineStr">
        <is>
          <t>2027-W52</t>
        </is>
      </c>
    </row>
    <row r="2">
      <c r="A2" t="inlineStr">
        <is>
          <t>TSP-049</t>
        </is>
      </c>
      <c r="B2" s="25" t="n">
        <v>0</v>
      </c>
      <c r="C2" s="25" t="n">
        <v>0</v>
      </c>
      <c r="D2" s="25" t="n">
        <v>0</v>
      </c>
      <c r="E2" s="25" t="n">
        <v>0</v>
      </c>
      <c r="F2" s="25" t="n">
        <v>0</v>
      </c>
      <c r="G2" s="25" t="n">
        <v>0</v>
      </c>
      <c r="H2" s="25" t="n">
        <v>0</v>
      </c>
      <c r="I2" s="25" t="n">
        <v>0</v>
      </c>
      <c r="J2" s="25" t="n">
        <v>0</v>
      </c>
      <c r="K2" s="25" t="n">
        <v>0</v>
      </c>
      <c r="L2" s="25" t="n">
        <v>0</v>
      </c>
      <c r="M2" s="25" t="n">
        <v>0</v>
      </c>
      <c r="N2" s="25" t="n">
        <v>0</v>
      </c>
      <c r="O2" s="25" t="n">
        <v>0</v>
      </c>
      <c r="P2" s="25" t="n">
        <v>0</v>
      </c>
      <c r="Q2" s="25" t="n">
        <v>0</v>
      </c>
      <c r="R2" s="25" t="n">
        <v>0</v>
      </c>
      <c r="S2" s="25" t="n">
        <v>0</v>
      </c>
      <c r="T2" s="25" t="n">
        <v>0</v>
      </c>
      <c r="U2" s="25" t="n">
        <v>0</v>
      </c>
      <c r="V2" s="25" t="n">
        <v>0</v>
      </c>
      <c r="W2" s="25" t="n">
        <v>0</v>
      </c>
      <c r="X2" s="25" t="n">
        <v>0</v>
      </c>
      <c r="Y2" s="25" t="n">
        <v>0</v>
      </c>
      <c r="Z2" s="25" t="n">
        <v>0</v>
      </c>
      <c r="AA2" s="25" t="n">
        <v>0</v>
      </c>
      <c r="AB2" s="25" t="n">
        <v>0</v>
      </c>
      <c r="AC2" s="25" t="n">
        <v>0</v>
      </c>
      <c r="AD2" s="25" t="n">
        <v>0</v>
      </c>
      <c r="AE2" s="25" t="n">
        <v>0</v>
      </c>
      <c r="AF2" s="25" t="n">
        <v>0</v>
      </c>
      <c r="AG2" s="25" t="n">
        <v>0</v>
      </c>
      <c r="AH2" s="25" t="n">
        <v>0</v>
      </c>
      <c r="AI2" s="25" t="n">
        <v>0</v>
      </c>
      <c r="AJ2" s="25" t="n">
        <v>0</v>
      </c>
      <c r="AK2" s="25" t="n">
        <v>0</v>
      </c>
      <c r="AL2" s="25" t="n">
        <v>0</v>
      </c>
      <c r="AM2" s="25" t="n">
        <v>0</v>
      </c>
      <c r="AN2" s="25" t="n">
        <v>0</v>
      </c>
      <c r="AO2" s="25" t="n">
        <v>0</v>
      </c>
      <c r="AP2" s="25" t="n">
        <v>0</v>
      </c>
      <c r="AQ2" s="25" t="n">
        <v>0</v>
      </c>
      <c r="AR2" s="25" t="n">
        <v>0</v>
      </c>
      <c r="AS2" s="25" t="n">
        <v>0</v>
      </c>
      <c r="AT2" s="25" t="n">
        <v>0</v>
      </c>
      <c r="AU2" s="25" t="n">
        <v>0</v>
      </c>
      <c r="AV2" s="25" t="n">
        <v>0</v>
      </c>
      <c r="AW2" s="25" t="n">
        <v>0</v>
      </c>
      <c r="AX2" s="25" t="n">
        <v>0</v>
      </c>
      <c r="AY2" s="25" t="n">
        <v>0</v>
      </c>
      <c r="AZ2" s="25" t="n">
        <v>0</v>
      </c>
      <c r="BA2" s="25" t="n">
        <v>0</v>
      </c>
      <c r="BB2" s="25" t="n">
        <v>0</v>
      </c>
      <c r="BC2" s="25" t="n">
        <v>0</v>
      </c>
      <c r="BD2" s="25" t="n">
        <v>0</v>
      </c>
      <c r="BE2" s="25" t="n">
        <v>0</v>
      </c>
      <c r="BF2" s="25" t="n">
        <v>0</v>
      </c>
      <c r="BG2" s="25" t="n">
        <v>0</v>
      </c>
      <c r="BH2" s="25" t="n">
        <v>0</v>
      </c>
      <c r="BI2" s="25" t="n">
        <v>0</v>
      </c>
      <c r="BJ2" s="25" t="n">
        <v>0</v>
      </c>
      <c r="BK2" s="25" t="n">
        <v>0</v>
      </c>
      <c r="BL2" s="25" t="n">
        <v>0</v>
      </c>
      <c r="BM2" s="25" t="n">
        <v>0</v>
      </c>
      <c r="BN2" s="25" t="n">
        <v>0</v>
      </c>
      <c r="BO2" s="25" t="n">
        <v>0</v>
      </c>
      <c r="BP2" s="25" t="n">
        <v>0</v>
      </c>
      <c r="BQ2" s="25" t="n">
        <v>0</v>
      </c>
      <c r="BR2" s="25" t="n">
        <v>0</v>
      </c>
      <c r="BS2" s="25" t="n">
        <v>0</v>
      </c>
      <c r="BT2" s="25" t="n">
        <v>0</v>
      </c>
      <c r="BU2" s="25" t="n">
        <v>0</v>
      </c>
      <c r="BV2" s="25" t="n">
        <v>0</v>
      </c>
      <c r="BW2" s="25" t="n">
        <v>0</v>
      </c>
      <c r="BX2" s="25" t="n">
        <v>0</v>
      </c>
      <c r="BY2" s="25" t="n">
        <v>0</v>
      </c>
      <c r="BZ2" s="25" t="n">
        <v>0</v>
      </c>
      <c r="CA2" s="25" t="n">
        <v>0</v>
      </c>
      <c r="CB2" s="25" t="n">
        <v>0</v>
      </c>
      <c r="CC2" s="25" t="n">
        <v>0</v>
      </c>
      <c r="CD2" s="25" t="n">
        <v>0</v>
      </c>
      <c r="CE2" s="25" t="n">
        <v>0</v>
      </c>
      <c r="CF2" s="25" t="n">
        <v>0</v>
      </c>
      <c r="CG2" s="25" t="n">
        <v>0</v>
      </c>
      <c r="CH2" s="25" t="n">
        <v>0</v>
      </c>
      <c r="CI2" s="25" t="n">
        <v>0</v>
      </c>
      <c r="CJ2" s="25" t="n">
        <v>0</v>
      </c>
      <c r="CK2" s="25" t="n">
        <v>0</v>
      </c>
      <c r="CL2" s="25" t="n">
        <v>0</v>
      </c>
      <c r="CM2" s="25" t="n">
        <v>0</v>
      </c>
      <c r="CN2" s="25" t="n">
        <v>0</v>
      </c>
      <c r="CO2" s="25" t="n">
        <v>0</v>
      </c>
      <c r="CP2" s="25" t="n">
        <v>0</v>
      </c>
      <c r="CQ2" s="25" t="n">
        <v>0</v>
      </c>
      <c r="CR2" s="25" t="n">
        <v>0</v>
      </c>
      <c r="CS2" s="25" t="n">
        <v>0</v>
      </c>
      <c r="CT2" s="25" t="n">
        <v>0</v>
      </c>
      <c r="CU2" s="25" t="n">
        <v>0</v>
      </c>
      <c r="CV2" s="25" t="n">
        <v>0</v>
      </c>
      <c r="CW2" s="25" t="n">
        <v>0</v>
      </c>
      <c r="CX2" s="25" t="n">
        <v>0</v>
      </c>
      <c r="CY2" s="25" t="n">
        <v>0</v>
      </c>
      <c r="CZ2" s="25" t="n">
        <v>0</v>
      </c>
      <c r="DA2" s="25" t="n">
        <v>0</v>
      </c>
    </row>
    <row r="3">
      <c r="A3" t="inlineStr">
        <is>
          <t>TSP-050</t>
        </is>
      </c>
      <c r="B3" s="25" t="n">
        <v>0</v>
      </c>
      <c r="C3" s="25" t="n">
        <v>0</v>
      </c>
      <c r="D3" s="25" t="n">
        <v>0</v>
      </c>
      <c r="E3" s="25" t="n">
        <v>0</v>
      </c>
      <c r="F3" s="25" t="n">
        <v>0</v>
      </c>
      <c r="G3" s="25" t="n">
        <v>0</v>
      </c>
      <c r="H3" s="25" t="n">
        <v>0</v>
      </c>
      <c r="I3" s="25" t="n">
        <v>0</v>
      </c>
      <c r="J3" s="25" t="n">
        <v>0</v>
      </c>
      <c r="K3" s="25" t="n">
        <v>0</v>
      </c>
      <c r="L3" s="25" t="n">
        <v>0</v>
      </c>
      <c r="M3" s="25" t="n">
        <v>0</v>
      </c>
      <c r="N3" s="25" t="n">
        <v>0</v>
      </c>
      <c r="O3" s="25" t="n">
        <v>0</v>
      </c>
      <c r="P3" s="25" t="n">
        <v>0</v>
      </c>
      <c r="Q3" s="25" t="n">
        <v>0</v>
      </c>
      <c r="R3" s="25" t="n">
        <v>0</v>
      </c>
      <c r="S3" s="25" t="n">
        <v>0</v>
      </c>
      <c r="T3" s="25" t="n">
        <v>0</v>
      </c>
      <c r="U3" s="25" t="n">
        <v>0</v>
      </c>
      <c r="V3" s="25" t="n">
        <v>0</v>
      </c>
      <c r="W3" s="25" t="n">
        <v>0</v>
      </c>
      <c r="X3" s="25" t="n">
        <v>0</v>
      </c>
      <c r="Y3" s="25" t="n">
        <v>0</v>
      </c>
      <c r="Z3" s="25" t="n">
        <v>0</v>
      </c>
      <c r="AA3" s="25" t="n">
        <v>0</v>
      </c>
      <c r="AB3" s="25" t="n">
        <v>0</v>
      </c>
      <c r="AC3" s="25" t="n">
        <v>0</v>
      </c>
      <c r="AD3" s="25" t="n">
        <v>0</v>
      </c>
      <c r="AE3" s="25" t="n">
        <v>0</v>
      </c>
      <c r="AF3" s="25" t="n">
        <v>0</v>
      </c>
      <c r="AG3" s="25" t="n">
        <v>0</v>
      </c>
      <c r="AH3" s="25" t="n">
        <v>0</v>
      </c>
      <c r="AI3" s="25" t="n">
        <v>0</v>
      </c>
      <c r="AJ3" s="25" t="n">
        <v>0</v>
      </c>
      <c r="AK3" s="25" t="n">
        <v>0</v>
      </c>
      <c r="AL3" s="25" t="n">
        <v>0</v>
      </c>
      <c r="AM3" s="25" t="n">
        <v>0</v>
      </c>
      <c r="AN3" s="25" t="n">
        <v>0</v>
      </c>
      <c r="AO3" s="25" t="n">
        <v>0</v>
      </c>
      <c r="AP3" s="25" t="n">
        <v>0</v>
      </c>
      <c r="AQ3" s="25" t="n">
        <v>0</v>
      </c>
      <c r="AR3" s="25" t="n">
        <v>0</v>
      </c>
      <c r="AS3" s="25" t="n">
        <v>0</v>
      </c>
      <c r="AT3" s="25" t="n">
        <v>0</v>
      </c>
      <c r="AU3" s="25" t="n">
        <v>0</v>
      </c>
      <c r="AV3" s="25" t="n">
        <v>0</v>
      </c>
      <c r="AW3" s="25" t="n">
        <v>0</v>
      </c>
      <c r="AX3" s="25" t="n">
        <v>0</v>
      </c>
      <c r="AY3" s="25" t="n">
        <v>0</v>
      </c>
      <c r="AZ3" s="25" t="n">
        <v>0</v>
      </c>
      <c r="BA3" s="25" t="n">
        <v>0</v>
      </c>
      <c r="BB3" s="25" t="n">
        <v>0</v>
      </c>
      <c r="BC3" s="25" t="n">
        <v>0</v>
      </c>
      <c r="BD3" s="25" t="n">
        <v>0</v>
      </c>
      <c r="BE3" s="25" t="n">
        <v>0</v>
      </c>
      <c r="BF3" s="25" t="n">
        <v>0</v>
      </c>
      <c r="BG3" s="25" t="n">
        <v>0</v>
      </c>
      <c r="BH3" s="25" t="n">
        <v>0</v>
      </c>
      <c r="BI3" s="25" t="n">
        <v>0</v>
      </c>
      <c r="BJ3" s="25" t="n">
        <v>0</v>
      </c>
      <c r="BK3" s="25" t="n">
        <v>0</v>
      </c>
      <c r="BL3" s="25" t="n">
        <v>0</v>
      </c>
      <c r="BM3" s="25" t="n">
        <v>0</v>
      </c>
      <c r="BN3" s="25" t="n">
        <v>0</v>
      </c>
      <c r="BO3" s="25" t="n">
        <v>0</v>
      </c>
      <c r="BP3" s="25" t="n">
        <v>0</v>
      </c>
      <c r="BQ3" s="25" t="n">
        <v>0</v>
      </c>
      <c r="BR3" s="25" t="n">
        <v>0</v>
      </c>
      <c r="BS3" s="25" t="n">
        <v>0</v>
      </c>
      <c r="BT3" s="25" t="n">
        <v>0</v>
      </c>
      <c r="BU3" s="25" t="n">
        <v>0</v>
      </c>
      <c r="BV3" s="25" t="n">
        <v>0</v>
      </c>
      <c r="BW3" s="25" t="n">
        <v>0</v>
      </c>
      <c r="BX3" s="25" t="n">
        <v>0</v>
      </c>
      <c r="BY3" s="25" t="n">
        <v>0</v>
      </c>
      <c r="BZ3" s="25" t="n">
        <v>0</v>
      </c>
      <c r="CA3" s="25" t="n">
        <v>0</v>
      </c>
      <c r="CB3" s="25" t="n">
        <v>0</v>
      </c>
      <c r="CC3" s="25" t="n">
        <v>0</v>
      </c>
      <c r="CD3" s="25" t="n">
        <v>0</v>
      </c>
      <c r="CE3" s="25" t="n">
        <v>0</v>
      </c>
      <c r="CF3" s="25" t="n">
        <v>0</v>
      </c>
      <c r="CG3" s="25" t="n">
        <v>0</v>
      </c>
      <c r="CH3" s="25" t="n">
        <v>0</v>
      </c>
      <c r="CI3" s="25" t="n">
        <v>0</v>
      </c>
      <c r="CJ3" s="25" t="n">
        <v>0</v>
      </c>
      <c r="CK3" s="25" t="n">
        <v>0</v>
      </c>
      <c r="CL3" s="25" t="n">
        <v>0</v>
      </c>
      <c r="CM3" s="25" t="n">
        <v>0</v>
      </c>
      <c r="CN3" s="25" t="n">
        <v>0</v>
      </c>
      <c r="CO3" s="25" t="n">
        <v>0</v>
      </c>
      <c r="CP3" s="25" t="n">
        <v>0</v>
      </c>
      <c r="CQ3" s="25" t="n">
        <v>0</v>
      </c>
      <c r="CR3" s="25" t="n">
        <v>0</v>
      </c>
      <c r="CS3" s="25" t="n">
        <v>0</v>
      </c>
      <c r="CT3" s="25" t="n">
        <v>0</v>
      </c>
      <c r="CU3" s="25" t="n">
        <v>0</v>
      </c>
      <c r="CV3" s="25" t="n">
        <v>0</v>
      </c>
      <c r="CW3" s="25" t="n">
        <v>0</v>
      </c>
      <c r="CX3" s="25" t="n">
        <v>0</v>
      </c>
      <c r="CY3" s="25" t="n">
        <v>0</v>
      </c>
      <c r="CZ3" s="25" t="n">
        <v>0</v>
      </c>
      <c r="DA3" s="25" t="n">
        <v>0</v>
      </c>
    </row>
    <row r="4">
      <c r="A4" t="inlineStr">
        <is>
          <t>TSP-067</t>
        </is>
      </c>
      <c r="B4" s="25" t="n">
        <v>0</v>
      </c>
      <c r="C4" s="25" t="n">
        <v>0</v>
      </c>
      <c r="D4" s="25" t="n">
        <v>0</v>
      </c>
      <c r="E4" s="25" t="n">
        <v>0</v>
      </c>
      <c r="F4" s="25" t="n">
        <v>0</v>
      </c>
      <c r="G4" s="25" t="n">
        <v>0</v>
      </c>
      <c r="H4" s="25" t="n">
        <v>0</v>
      </c>
      <c r="I4" s="25" t="n">
        <v>0</v>
      </c>
      <c r="J4" s="25" t="n">
        <v>0</v>
      </c>
      <c r="K4" s="25" t="n">
        <v>0</v>
      </c>
      <c r="L4" s="25" t="n">
        <v>0</v>
      </c>
      <c r="M4" s="25" t="n">
        <v>0</v>
      </c>
      <c r="N4" s="25" t="n">
        <v>0</v>
      </c>
      <c r="O4" s="25" t="n">
        <v>0</v>
      </c>
      <c r="P4" s="25" t="n">
        <v>0</v>
      </c>
      <c r="Q4" s="25" t="n">
        <v>0</v>
      </c>
      <c r="R4" s="25" t="n">
        <v>0</v>
      </c>
      <c r="S4" s="25" t="n">
        <v>0</v>
      </c>
      <c r="T4" s="25" t="n">
        <v>0</v>
      </c>
      <c r="U4" s="25" t="n">
        <v>0</v>
      </c>
      <c r="V4" s="25" t="n">
        <v>0</v>
      </c>
      <c r="W4" s="25" t="n">
        <v>0</v>
      </c>
      <c r="X4" s="25" t="n">
        <v>0</v>
      </c>
      <c r="Y4" s="25" t="n">
        <v>0</v>
      </c>
      <c r="Z4" s="25" t="n">
        <v>0</v>
      </c>
      <c r="AA4" s="25" t="n">
        <v>0</v>
      </c>
      <c r="AB4" s="25" t="n">
        <v>0</v>
      </c>
      <c r="AC4" s="25" t="n">
        <v>0</v>
      </c>
      <c r="AD4" s="25" t="n">
        <v>0</v>
      </c>
      <c r="AE4" s="25" t="n">
        <v>0</v>
      </c>
      <c r="AF4" s="25" t="n">
        <v>0</v>
      </c>
      <c r="AG4" s="25" t="n">
        <v>0</v>
      </c>
      <c r="AH4" s="25" t="n">
        <v>0</v>
      </c>
      <c r="AI4" s="25" t="n">
        <v>0</v>
      </c>
      <c r="AJ4" s="25" t="n">
        <v>0</v>
      </c>
      <c r="AK4" s="25" t="n">
        <v>0</v>
      </c>
      <c r="AL4" s="25" t="n">
        <v>0</v>
      </c>
      <c r="AM4" s="25" t="n">
        <v>0</v>
      </c>
      <c r="AN4" s="25" t="n">
        <v>0</v>
      </c>
      <c r="AO4" s="25" t="n">
        <v>0</v>
      </c>
      <c r="AP4" s="25" t="n">
        <v>0</v>
      </c>
      <c r="AQ4" s="25" t="n">
        <v>0</v>
      </c>
      <c r="AR4" s="25" t="n">
        <v>0</v>
      </c>
      <c r="AS4" s="25" t="n">
        <v>0</v>
      </c>
      <c r="AT4" s="25" t="n">
        <v>0</v>
      </c>
      <c r="AU4" s="25" t="n">
        <v>0</v>
      </c>
      <c r="AV4" s="25" t="n">
        <v>0</v>
      </c>
      <c r="AW4" s="25" t="n">
        <v>0</v>
      </c>
      <c r="AX4" s="25" t="n">
        <v>0</v>
      </c>
      <c r="AY4" s="25" t="n">
        <v>0</v>
      </c>
      <c r="AZ4" s="25" t="n">
        <v>0</v>
      </c>
      <c r="BA4" s="25" t="n">
        <v>0</v>
      </c>
      <c r="BB4" s="25" t="n">
        <v>0</v>
      </c>
      <c r="BC4" s="25" t="n">
        <v>0</v>
      </c>
      <c r="BD4" s="25" t="n">
        <v>0</v>
      </c>
      <c r="BE4" s="25" t="n">
        <v>0</v>
      </c>
      <c r="BF4" s="25" t="n">
        <v>0</v>
      </c>
      <c r="BG4" s="25" t="n">
        <v>0</v>
      </c>
      <c r="BH4" s="25" t="n">
        <v>0</v>
      </c>
      <c r="BI4" s="25" t="n">
        <v>0</v>
      </c>
      <c r="BJ4" s="25" t="n">
        <v>0</v>
      </c>
      <c r="BK4" s="25" t="n">
        <v>0</v>
      </c>
      <c r="BL4" s="25" t="n">
        <v>0</v>
      </c>
      <c r="BM4" s="25" t="n">
        <v>0</v>
      </c>
      <c r="BN4" s="25" t="n">
        <v>0</v>
      </c>
      <c r="BO4" s="25" t="n">
        <v>0</v>
      </c>
      <c r="BP4" s="25" t="n">
        <v>0</v>
      </c>
      <c r="BQ4" s="25" t="n">
        <v>0</v>
      </c>
      <c r="BR4" s="25" t="n">
        <v>0</v>
      </c>
      <c r="BS4" s="25" t="n">
        <v>0</v>
      </c>
      <c r="BT4" s="25" t="n">
        <v>0</v>
      </c>
      <c r="BU4" s="25" t="n">
        <v>0</v>
      </c>
      <c r="BV4" s="25" t="n">
        <v>0</v>
      </c>
      <c r="BW4" s="25" t="n">
        <v>0</v>
      </c>
      <c r="BX4" s="25" t="n">
        <v>0</v>
      </c>
      <c r="BY4" s="25" t="n">
        <v>0</v>
      </c>
      <c r="BZ4" s="25" t="n">
        <v>0</v>
      </c>
      <c r="CA4" s="25" t="n">
        <v>0</v>
      </c>
      <c r="CB4" s="25" t="n">
        <v>0</v>
      </c>
      <c r="CC4" s="25" t="n">
        <v>0</v>
      </c>
      <c r="CD4" s="25" t="n">
        <v>0</v>
      </c>
      <c r="CE4" s="25" t="n">
        <v>0</v>
      </c>
      <c r="CF4" s="25" t="n">
        <v>0</v>
      </c>
      <c r="CG4" s="25" t="n">
        <v>0</v>
      </c>
      <c r="CH4" s="25" t="n">
        <v>0</v>
      </c>
      <c r="CI4" s="25" t="n">
        <v>0</v>
      </c>
      <c r="CJ4" s="25" t="n">
        <v>0</v>
      </c>
      <c r="CK4" s="25" t="n">
        <v>0</v>
      </c>
      <c r="CL4" s="25" t="n">
        <v>0</v>
      </c>
      <c r="CM4" s="25" t="n">
        <v>0</v>
      </c>
      <c r="CN4" s="25" t="n">
        <v>0</v>
      </c>
      <c r="CO4" s="25" t="n">
        <v>0</v>
      </c>
      <c r="CP4" s="25" t="n">
        <v>0</v>
      </c>
      <c r="CQ4" s="25" t="n">
        <v>0</v>
      </c>
      <c r="CR4" s="25" t="n">
        <v>0</v>
      </c>
      <c r="CS4" s="25" t="n">
        <v>0</v>
      </c>
      <c r="CT4" s="25" t="n">
        <v>0</v>
      </c>
      <c r="CU4" s="25" t="n">
        <v>0</v>
      </c>
      <c r="CV4" s="25" t="n">
        <v>0</v>
      </c>
      <c r="CW4" s="25" t="n">
        <v>0</v>
      </c>
      <c r="CX4" s="25" t="n">
        <v>0</v>
      </c>
      <c r="CY4" s="25" t="n">
        <v>0</v>
      </c>
      <c r="CZ4" s="25" t="n">
        <v>0</v>
      </c>
      <c r="DA4" s="25" t="n">
        <v>0</v>
      </c>
    </row>
    <row r="5">
      <c r="A5" t="inlineStr">
        <is>
          <t>TSP-069</t>
        </is>
      </c>
      <c r="B5" s="25" t="n">
        <v>0</v>
      </c>
      <c r="C5" s="25" t="n">
        <v>0</v>
      </c>
      <c r="D5" s="25" t="n">
        <v>0</v>
      </c>
      <c r="E5" s="25" t="n">
        <v>0</v>
      </c>
      <c r="F5" s="25" t="n">
        <v>0</v>
      </c>
      <c r="G5" s="25" t="n">
        <v>0</v>
      </c>
      <c r="H5" s="25" t="n">
        <v>0</v>
      </c>
      <c r="I5" s="25" t="n">
        <v>0</v>
      </c>
      <c r="J5" s="25" t="n">
        <v>0</v>
      </c>
      <c r="K5" s="25" t="n">
        <v>0</v>
      </c>
      <c r="L5" s="25" t="n">
        <v>0</v>
      </c>
      <c r="M5" s="25" t="n">
        <v>0</v>
      </c>
      <c r="N5" s="25" t="n">
        <v>0</v>
      </c>
      <c r="O5" s="25" t="n">
        <v>0</v>
      </c>
      <c r="P5" s="25" t="n">
        <v>0</v>
      </c>
      <c r="Q5" s="25" t="n">
        <v>0</v>
      </c>
      <c r="R5" s="25" t="n">
        <v>0</v>
      </c>
      <c r="S5" s="25" t="n">
        <v>0</v>
      </c>
      <c r="T5" s="25" t="n">
        <v>0</v>
      </c>
      <c r="U5" s="25" t="n">
        <v>0</v>
      </c>
      <c r="V5" s="25" t="n">
        <v>0</v>
      </c>
      <c r="W5" s="25" t="n">
        <v>0</v>
      </c>
      <c r="X5" s="25" t="n">
        <v>0</v>
      </c>
      <c r="Y5" s="25" t="n">
        <v>0</v>
      </c>
      <c r="Z5" s="25" t="n">
        <v>0</v>
      </c>
      <c r="AA5" s="25" t="n">
        <v>0</v>
      </c>
      <c r="AB5" s="25" t="n">
        <v>0</v>
      </c>
      <c r="AC5" s="25" t="n">
        <v>0</v>
      </c>
      <c r="AD5" s="25" t="n">
        <v>0</v>
      </c>
      <c r="AE5" s="25" t="n">
        <v>0</v>
      </c>
      <c r="AF5" s="25" t="n">
        <v>0</v>
      </c>
      <c r="AG5" s="25" t="n">
        <v>0</v>
      </c>
      <c r="AH5" s="25" t="n">
        <v>0</v>
      </c>
      <c r="AI5" s="25" t="n">
        <v>0</v>
      </c>
      <c r="AJ5" s="25" t="n">
        <v>0</v>
      </c>
      <c r="AK5" s="25" t="n">
        <v>0</v>
      </c>
      <c r="AL5" s="25" t="n">
        <v>0</v>
      </c>
      <c r="AM5" s="25" t="n">
        <v>0</v>
      </c>
      <c r="AN5" s="25" t="n">
        <v>0</v>
      </c>
      <c r="AO5" s="25" t="n">
        <v>0</v>
      </c>
      <c r="AP5" s="25" t="n">
        <v>0</v>
      </c>
      <c r="AQ5" s="25" t="n">
        <v>0</v>
      </c>
      <c r="AR5" s="25" t="n">
        <v>0</v>
      </c>
      <c r="AS5" s="25" t="n">
        <v>0</v>
      </c>
      <c r="AT5" s="25" t="n">
        <v>0</v>
      </c>
      <c r="AU5" s="25" t="n">
        <v>0</v>
      </c>
      <c r="AV5" s="25" t="n">
        <v>0</v>
      </c>
      <c r="AW5" s="25" t="n">
        <v>0</v>
      </c>
      <c r="AX5" s="25" t="n">
        <v>0</v>
      </c>
      <c r="AY5" s="25" t="n">
        <v>0</v>
      </c>
      <c r="AZ5" s="25" t="n">
        <v>0</v>
      </c>
      <c r="BA5" s="25" t="n">
        <v>0</v>
      </c>
      <c r="BB5" s="25" t="n">
        <v>0</v>
      </c>
      <c r="BC5" s="25" t="n">
        <v>0</v>
      </c>
      <c r="BD5" s="25" t="n">
        <v>0</v>
      </c>
      <c r="BE5" s="25" t="n">
        <v>0</v>
      </c>
      <c r="BF5" s="25" t="n">
        <v>0</v>
      </c>
      <c r="BG5" s="25" t="n">
        <v>0</v>
      </c>
      <c r="BH5" s="25" t="n">
        <v>0</v>
      </c>
      <c r="BI5" s="25" t="n">
        <v>0</v>
      </c>
      <c r="BJ5" s="25" t="n">
        <v>0</v>
      </c>
      <c r="BK5" s="25" t="n">
        <v>0</v>
      </c>
      <c r="BL5" s="25" t="n">
        <v>0</v>
      </c>
      <c r="BM5" s="25" t="n">
        <v>0</v>
      </c>
      <c r="BN5" s="25" t="n">
        <v>0</v>
      </c>
      <c r="BO5" s="25" t="n">
        <v>0</v>
      </c>
      <c r="BP5" s="25" t="n">
        <v>0</v>
      </c>
      <c r="BQ5" s="25" t="n">
        <v>0</v>
      </c>
      <c r="BR5" s="25" t="n">
        <v>0</v>
      </c>
      <c r="BS5" s="25" t="n">
        <v>0</v>
      </c>
      <c r="BT5" s="25" t="n">
        <v>0</v>
      </c>
      <c r="BU5" s="25" t="n">
        <v>0</v>
      </c>
      <c r="BV5" s="25" t="n">
        <v>0</v>
      </c>
      <c r="BW5" s="25" t="n">
        <v>0</v>
      </c>
      <c r="BX5" s="25" t="n">
        <v>0</v>
      </c>
      <c r="BY5" s="25" t="n">
        <v>0</v>
      </c>
      <c r="BZ5" s="25" t="n">
        <v>0</v>
      </c>
      <c r="CA5" s="25" t="n">
        <v>0</v>
      </c>
      <c r="CB5" s="25" t="n">
        <v>0</v>
      </c>
      <c r="CC5" s="25" t="n">
        <v>0</v>
      </c>
      <c r="CD5" s="25" t="n">
        <v>0</v>
      </c>
      <c r="CE5" s="25" t="n">
        <v>0</v>
      </c>
      <c r="CF5" s="25" t="n">
        <v>0</v>
      </c>
      <c r="CG5" s="25" t="n">
        <v>0</v>
      </c>
      <c r="CH5" s="25" t="n">
        <v>0</v>
      </c>
      <c r="CI5" s="25" t="n">
        <v>0</v>
      </c>
      <c r="CJ5" s="25" t="n">
        <v>0</v>
      </c>
      <c r="CK5" s="25" t="n">
        <v>0</v>
      </c>
      <c r="CL5" s="25" t="n">
        <v>0</v>
      </c>
      <c r="CM5" s="25" t="n">
        <v>0</v>
      </c>
      <c r="CN5" s="25" t="n">
        <v>0</v>
      </c>
      <c r="CO5" s="25" t="n">
        <v>0</v>
      </c>
      <c r="CP5" s="25" t="n">
        <v>0</v>
      </c>
      <c r="CQ5" s="25" t="n">
        <v>0</v>
      </c>
      <c r="CR5" s="25" t="n">
        <v>0</v>
      </c>
      <c r="CS5" s="25" t="n">
        <v>0</v>
      </c>
      <c r="CT5" s="25" t="n">
        <v>0</v>
      </c>
      <c r="CU5" s="25" t="n">
        <v>0</v>
      </c>
      <c r="CV5" s="25" t="n">
        <v>0</v>
      </c>
      <c r="CW5" s="25" t="n">
        <v>0</v>
      </c>
      <c r="CX5" s="25" t="n">
        <v>0</v>
      </c>
      <c r="CY5" s="25" t="n">
        <v>0</v>
      </c>
      <c r="CZ5" s="25" t="n">
        <v>0</v>
      </c>
      <c r="DA5" s="25" t="n">
        <v>0</v>
      </c>
    </row>
    <row r="6">
      <c r="A6" t="inlineStr">
        <is>
          <t>TSP-078</t>
        </is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0</v>
      </c>
      <c r="Q6" s="25" t="n">
        <v>0</v>
      </c>
      <c r="R6" s="25" t="n">
        <v>0</v>
      </c>
      <c r="S6" s="25" t="n">
        <v>0</v>
      </c>
      <c r="T6" s="25" t="n">
        <v>0</v>
      </c>
      <c r="U6" s="25" t="n">
        <v>0</v>
      </c>
      <c r="V6" s="25" t="n">
        <v>0</v>
      </c>
      <c r="W6" s="25" t="n">
        <v>0</v>
      </c>
      <c r="X6" s="25" t="n">
        <v>0</v>
      </c>
      <c r="Y6" s="25" t="n">
        <v>0</v>
      </c>
      <c r="Z6" s="25" t="n">
        <v>0</v>
      </c>
      <c r="AA6" s="25" t="n">
        <v>0</v>
      </c>
      <c r="AB6" s="25" t="n">
        <v>0</v>
      </c>
      <c r="AC6" s="25" t="n">
        <v>0</v>
      </c>
      <c r="AD6" s="25" t="n">
        <v>0</v>
      </c>
      <c r="AE6" s="25" t="n">
        <v>0</v>
      </c>
      <c r="AF6" s="25" t="n">
        <v>0</v>
      </c>
      <c r="AG6" s="25" t="n">
        <v>0</v>
      </c>
      <c r="AH6" s="25" t="n">
        <v>0</v>
      </c>
      <c r="AI6" s="25" t="n">
        <v>0</v>
      </c>
      <c r="AJ6" s="25" t="n">
        <v>0</v>
      </c>
      <c r="AK6" s="25" t="n">
        <v>0</v>
      </c>
      <c r="AL6" s="25" t="n">
        <v>0</v>
      </c>
      <c r="AM6" s="25" t="n">
        <v>0</v>
      </c>
      <c r="AN6" s="25" t="n">
        <v>0</v>
      </c>
      <c r="AO6" s="25" t="n">
        <v>0</v>
      </c>
      <c r="AP6" s="25" t="n">
        <v>0</v>
      </c>
      <c r="AQ6" s="25" t="n">
        <v>0</v>
      </c>
      <c r="AR6" s="25" t="n">
        <v>0</v>
      </c>
      <c r="AS6" s="25" t="n">
        <v>0</v>
      </c>
      <c r="AT6" s="25" t="n">
        <v>0</v>
      </c>
      <c r="AU6" s="25" t="n">
        <v>0</v>
      </c>
      <c r="AV6" s="25" t="n">
        <v>0</v>
      </c>
      <c r="AW6" s="25" t="n">
        <v>0</v>
      </c>
      <c r="AX6" s="25" t="n">
        <v>0</v>
      </c>
      <c r="AY6" s="25" t="n">
        <v>0</v>
      </c>
      <c r="AZ6" s="25" t="n">
        <v>0</v>
      </c>
      <c r="BA6" s="25" t="n">
        <v>0</v>
      </c>
      <c r="BB6" s="25" t="n">
        <v>0</v>
      </c>
      <c r="BC6" s="25" t="n">
        <v>0</v>
      </c>
      <c r="BD6" s="25" t="n">
        <v>0</v>
      </c>
      <c r="BE6" s="25" t="n">
        <v>0</v>
      </c>
      <c r="BF6" s="25" t="n">
        <v>0</v>
      </c>
      <c r="BG6" s="25" t="n">
        <v>0</v>
      </c>
      <c r="BH6" s="25" t="n">
        <v>0</v>
      </c>
      <c r="BI6" s="25" t="n">
        <v>0</v>
      </c>
      <c r="BJ6" s="25" t="n">
        <v>0</v>
      </c>
      <c r="BK6" s="25" t="n">
        <v>0</v>
      </c>
      <c r="BL6" s="25" t="n">
        <v>0</v>
      </c>
      <c r="BM6" s="25" t="n">
        <v>0</v>
      </c>
      <c r="BN6" s="25" t="n">
        <v>0</v>
      </c>
      <c r="BO6" s="25" t="n">
        <v>0</v>
      </c>
      <c r="BP6" s="25" t="n">
        <v>0</v>
      </c>
      <c r="BQ6" s="25" t="n">
        <v>0</v>
      </c>
      <c r="BR6" s="25" t="n">
        <v>0</v>
      </c>
      <c r="BS6" s="25" t="n">
        <v>0</v>
      </c>
      <c r="BT6" s="25" t="n">
        <v>0</v>
      </c>
      <c r="BU6" s="25" t="n">
        <v>0</v>
      </c>
      <c r="BV6" s="25" t="n">
        <v>0</v>
      </c>
      <c r="BW6" s="25" t="n">
        <v>0</v>
      </c>
      <c r="BX6" s="25" t="n">
        <v>0</v>
      </c>
      <c r="BY6" s="25" t="n">
        <v>0</v>
      </c>
      <c r="BZ6" s="25" t="n">
        <v>0</v>
      </c>
      <c r="CA6" s="25" t="n">
        <v>0</v>
      </c>
      <c r="CB6" s="25" t="n">
        <v>0</v>
      </c>
      <c r="CC6" s="25" t="n">
        <v>0</v>
      </c>
      <c r="CD6" s="25" t="n">
        <v>0</v>
      </c>
      <c r="CE6" s="25" t="n">
        <v>0</v>
      </c>
      <c r="CF6" s="25" t="n">
        <v>0</v>
      </c>
      <c r="CG6" s="25" t="n">
        <v>0</v>
      </c>
      <c r="CH6" s="25" t="n">
        <v>0</v>
      </c>
      <c r="CI6" s="25" t="n">
        <v>0</v>
      </c>
      <c r="CJ6" s="25" t="n">
        <v>0</v>
      </c>
      <c r="CK6" s="25" t="n">
        <v>0</v>
      </c>
      <c r="CL6" s="25" t="n">
        <v>0</v>
      </c>
      <c r="CM6" s="25" t="n">
        <v>0</v>
      </c>
      <c r="CN6" s="25" t="n">
        <v>0</v>
      </c>
      <c r="CO6" s="25" t="n">
        <v>0</v>
      </c>
      <c r="CP6" s="25" t="n">
        <v>0</v>
      </c>
      <c r="CQ6" s="25" t="n">
        <v>0</v>
      </c>
      <c r="CR6" s="25" t="n">
        <v>0</v>
      </c>
      <c r="CS6" s="25" t="n">
        <v>0</v>
      </c>
      <c r="CT6" s="25" t="n">
        <v>0</v>
      </c>
      <c r="CU6" s="25" t="n">
        <v>0</v>
      </c>
      <c r="CV6" s="25" t="n">
        <v>0</v>
      </c>
      <c r="CW6" s="25" t="n">
        <v>0</v>
      </c>
      <c r="CX6" s="25" t="n">
        <v>0</v>
      </c>
      <c r="CY6" s="25" t="n">
        <v>0</v>
      </c>
      <c r="CZ6" s="25" t="n">
        <v>0</v>
      </c>
      <c r="DA6" s="25" t="n">
        <v>0</v>
      </c>
    </row>
    <row r="7">
      <c r="A7" t="inlineStr">
        <is>
          <t>TSP-080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0</v>
      </c>
      <c r="K7" s="25" t="n">
        <v>0</v>
      </c>
      <c r="L7" s="25" t="n">
        <v>0</v>
      </c>
      <c r="M7" s="25" t="n">
        <v>0</v>
      </c>
      <c r="N7" s="25" t="n">
        <v>0</v>
      </c>
      <c r="O7" s="25" t="n">
        <v>0</v>
      </c>
      <c r="P7" s="25" t="n">
        <v>0</v>
      </c>
      <c r="Q7" s="25" t="n">
        <v>0</v>
      </c>
      <c r="R7" s="25" t="n">
        <v>0</v>
      </c>
      <c r="S7" s="25" t="n">
        <v>0</v>
      </c>
      <c r="T7" s="25" t="n">
        <v>0</v>
      </c>
      <c r="U7" s="25" t="n">
        <v>0</v>
      </c>
      <c r="V7" s="25" t="n">
        <v>0</v>
      </c>
      <c r="W7" s="25" t="n">
        <v>0</v>
      </c>
      <c r="X7" s="25" t="n">
        <v>0</v>
      </c>
      <c r="Y7" s="25" t="n">
        <v>0</v>
      </c>
      <c r="Z7" s="25" t="n">
        <v>0</v>
      </c>
      <c r="AA7" s="25" t="n">
        <v>0</v>
      </c>
      <c r="AB7" s="25" t="n">
        <v>0</v>
      </c>
      <c r="AC7" s="25" t="n">
        <v>0</v>
      </c>
      <c r="AD7" s="25" t="n">
        <v>0</v>
      </c>
      <c r="AE7" s="25" t="n">
        <v>0</v>
      </c>
      <c r="AF7" s="25" t="n">
        <v>0</v>
      </c>
      <c r="AG7" s="25" t="n">
        <v>0</v>
      </c>
      <c r="AH7" s="25" t="n">
        <v>0</v>
      </c>
      <c r="AI7" s="25" t="n">
        <v>0</v>
      </c>
      <c r="AJ7" s="25" t="n">
        <v>0</v>
      </c>
      <c r="AK7" s="25" t="n">
        <v>0</v>
      </c>
      <c r="AL7" s="25" t="n">
        <v>0</v>
      </c>
      <c r="AM7" s="25" t="n">
        <v>0</v>
      </c>
      <c r="AN7" s="25" t="n">
        <v>0</v>
      </c>
      <c r="AO7" s="25" t="n">
        <v>0</v>
      </c>
      <c r="AP7" s="25" t="n">
        <v>0</v>
      </c>
      <c r="AQ7" s="25" t="n">
        <v>0</v>
      </c>
      <c r="AR7" s="25" t="n">
        <v>0</v>
      </c>
      <c r="AS7" s="25" t="n">
        <v>0</v>
      </c>
      <c r="AT7" s="25" t="n">
        <v>0</v>
      </c>
      <c r="AU7" s="25" t="n">
        <v>0</v>
      </c>
      <c r="AV7" s="25" t="n">
        <v>0</v>
      </c>
      <c r="AW7" s="25" t="n">
        <v>0</v>
      </c>
      <c r="AX7" s="25" t="n">
        <v>0</v>
      </c>
      <c r="AY7" s="25" t="n">
        <v>0</v>
      </c>
      <c r="AZ7" s="25" t="n">
        <v>0</v>
      </c>
      <c r="BA7" s="25" t="n">
        <v>0</v>
      </c>
      <c r="BB7" s="25" t="n">
        <v>0</v>
      </c>
      <c r="BC7" s="25" t="n">
        <v>0</v>
      </c>
      <c r="BD7" s="25" t="n">
        <v>0</v>
      </c>
      <c r="BE7" s="25" t="n">
        <v>0</v>
      </c>
      <c r="BF7" s="25" t="n">
        <v>0</v>
      </c>
      <c r="BG7" s="25" t="n">
        <v>0</v>
      </c>
      <c r="BH7" s="25" t="n">
        <v>0</v>
      </c>
      <c r="BI7" s="25" t="n">
        <v>0</v>
      </c>
      <c r="BJ7" s="25" t="n">
        <v>0</v>
      </c>
      <c r="BK7" s="25" t="n">
        <v>0</v>
      </c>
      <c r="BL7" s="25" t="n">
        <v>0</v>
      </c>
      <c r="BM7" s="25" t="n">
        <v>0</v>
      </c>
      <c r="BN7" s="25" t="n">
        <v>0</v>
      </c>
      <c r="BO7" s="25" t="n">
        <v>0</v>
      </c>
      <c r="BP7" s="25" t="n">
        <v>0</v>
      </c>
      <c r="BQ7" s="25" t="n">
        <v>0</v>
      </c>
      <c r="BR7" s="25" t="n">
        <v>0</v>
      </c>
      <c r="BS7" s="25" t="n">
        <v>0</v>
      </c>
      <c r="BT7" s="25" t="n">
        <v>0</v>
      </c>
      <c r="BU7" s="25" t="n">
        <v>0</v>
      </c>
      <c r="BV7" s="25" t="n">
        <v>0</v>
      </c>
      <c r="BW7" s="25" t="n">
        <v>0</v>
      </c>
      <c r="BX7" s="25" t="n">
        <v>0</v>
      </c>
      <c r="BY7" s="25" t="n">
        <v>0</v>
      </c>
      <c r="BZ7" s="25" t="n">
        <v>0</v>
      </c>
      <c r="CA7" s="25" t="n">
        <v>0</v>
      </c>
      <c r="CB7" s="25" t="n">
        <v>0</v>
      </c>
      <c r="CC7" s="25" t="n">
        <v>0</v>
      </c>
      <c r="CD7" s="25" t="n">
        <v>0</v>
      </c>
      <c r="CE7" s="25" t="n">
        <v>0</v>
      </c>
      <c r="CF7" s="25" t="n">
        <v>0</v>
      </c>
      <c r="CG7" s="25" t="n">
        <v>0</v>
      </c>
      <c r="CH7" s="25" t="n">
        <v>0</v>
      </c>
      <c r="CI7" s="25" t="n">
        <v>0</v>
      </c>
      <c r="CJ7" s="25" t="n">
        <v>0</v>
      </c>
      <c r="CK7" s="25" t="n">
        <v>0</v>
      </c>
      <c r="CL7" s="25" t="n">
        <v>0</v>
      </c>
      <c r="CM7" s="25" t="n">
        <v>0</v>
      </c>
      <c r="CN7" s="25" t="n">
        <v>0</v>
      </c>
      <c r="CO7" s="25" t="n">
        <v>0</v>
      </c>
      <c r="CP7" s="25" t="n">
        <v>0</v>
      </c>
      <c r="CQ7" s="25" t="n">
        <v>0</v>
      </c>
      <c r="CR7" s="25" t="n">
        <v>0</v>
      </c>
      <c r="CS7" s="25" t="n">
        <v>0</v>
      </c>
      <c r="CT7" s="25" t="n">
        <v>0</v>
      </c>
      <c r="CU7" s="25" t="n">
        <v>0</v>
      </c>
      <c r="CV7" s="25" t="n">
        <v>0</v>
      </c>
      <c r="CW7" s="25" t="n">
        <v>0</v>
      </c>
      <c r="CX7" s="25" t="n">
        <v>0</v>
      </c>
      <c r="CY7" s="25" t="n">
        <v>0</v>
      </c>
      <c r="CZ7" s="25" t="n">
        <v>0</v>
      </c>
      <c r="DA7" s="25" t="n">
        <v>0</v>
      </c>
    </row>
    <row r="8">
      <c r="A8" t="inlineStr">
        <is>
          <t>TSP-104</t>
        </is>
      </c>
      <c r="B8" s="25" t="n">
        <v>0</v>
      </c>
      <c r="C8" s="25" t="n">
        <v>0</v>
      </c>
      <c r="D8" s="25" t="n">
        <v>0</v>
      </c>
      <c r="E8" s="25" t="n">
        <v>0</v>
      </c>
      <c r="F8" s="25" t="n">
        <v>0</v>
      </c>
      <c r="G8" s="25" t="n">
        <v>0</v>
      </c>
      <c r="H8" s="25" t="n">
        <v>0</v>
      </c>
      <c r="I8" s="25" t="n">
        <v>0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0</v>
      </c>
      <c r="S8" s="25" t="n">
        <v>0</v>
      </c>
      <c r="T8" s="25" t="n">
        <v>0</v>
      </c>
      <c r="U8" s="25" t="n">
        <v>0</v>
      </c>
      <c r="V8" s="25" t="n">
        <v>0</v>
      </c>
      <c r="W8" s="25" t="n">
        <v>0</v>
      </c>
      <c r="X8" s="25" t="n">
        <v>0</v>
      </c>
      <c r="Y8" s="25" t="n">
        <v>0</v>
      </c>
      <c r="Z8" s="25" t="n">
        <v>0</v>
      </c>
      <c r="AA8" s="25" t="n">
        <v>0</v>
      </c>
      <c r="AB8" s="25" t="n">
        <v>0</v>
      </c>
      <c r="AC8" s="25" t="n">
        <v>0</v>
      </c>
      <c r="AD8" s="25" t="n">
        <v>0</v>
      </c>
      <c r="AE8" s="25" t="n">
        <v>0</v>
      </c>
      <c r="AF8" s="25" t="n">
        <v>0</v>
      </c>
      <c r="AG8" s="25" t="n">
        <v>0</v>
      </c>
      <c r="AH8" s="25" t="n">
        <v>0</v>
      </c>
      <c r="AI8" s="25" t="n">
        <v>0</v>
      </c>
      <c r="AJ8" s="25" t="n">
        <v>0</v>
      </c>
      <c r="AK8" s="25" t="n">
        <v>0</v>
      </c>
      <c r="AL8" s="25" t="n">
        <v>0</v>
      </c>
      <c r="AM8" s="25" t="n">
        <v>0</v>
      </c>
      <c r="AN8" s="25" t="n">
        <v>0</v>
      </c>
      <c r="AO8" s="25" t="n">
        <v>0</v>
      </c>
      <c r="AP8" s="25" t="n">
        <v>0</v>
      </c>
      <c r="AQ8" s="25" t="n">
        <v>0</v>
      </c>
      <c r="AR8" s="25" t="n">
        <v>0</v>
      </c>
      <c r="AS8" s="25" t="n">
        <v>0</v>
      </c>
      <c r="AT8" s="25" t="n">
        <v>0</v>
      </c>
      <c r="AU8" s="25" t="n">
        <v>0</v>
      </c>
      <c r="AV8" s="25" t="n">
        <v>0</v>
      </c>
      <c r="AW8" s="25" t="n">
        <v>0</v>
      </c>
      <c r="AX8" s="25" t="n">
        <v>0</v>
      </c>
      <c r="AY8" s="25" t="n">
        <v>0</v>
      </c>
      <c r="AZ8" s="25" t="n">
        <v>0</v>
      </c>
      <c r="BA8" s="25" t="n">
        <v>0</v>
      </c>
      <c r="BB8" s="25" t="n">
        <v>0</v>
      </c>
      <c r="BC8" s="25" t="n">
        <v>0</v>
      </c>
      <c r="BD8" s="25" t="n">
        <v>0</v>
      </c>
      <c r="BE8" s="25" t="n">
        <v>0</v>
      </c>
      <c r="BF8" s="25" t="n">
        <v>0</v>
      </c>
      <c r="BG8" s="25" t="n">
        <v>0</v>
      </c>
      <c r="BH8" s="25" t="n">
        <v>0</v>
      </c>
      <c r="BI8" s="25" t="n">
        <v>0</v>
      </c>
      <c r="BJ8" s="25" t="n">
        <v>0</v>
      </c>
      <c r="BK8" s="25" t="n">
        <v>0</v>
      </c>
      <c r="BL8" s="25" t="n">
        <v>0</v>
      </c>
      <c r="BM8" s="25" t="n">
        <v>0</v>
      </c>
      <c r="BN8" s="25" t="n">
        <v>0</v>
      </c>
      <c r="BO8" s="25" t="n">
        <v>0</v>
      </c>
      <c r="BP8" s="25" t="n">
        <v>0</v>
      </c>
      <c r="BQ8" s="25" t="n">
        <v>0</v>
      </c>
      <c r="BR8" s="25" t="n">
        <v>0</v>
      </c>
      <c r="BS8" s="25" t="n">
        <v>0</v>
      </c>
      <c r="BT8" s="25" t="n">
        <v>0</v>
      </c>
      <c r="BU8" s="25" t="n">
        <v>0</v>
      </c>
      <c r="BV8" s="25" t="n">
        <v>0</v>
      </c>
      <c r="BW8" s="25" t="n">
        <v>0</v>
      </c>
      <c r="BX8" s="25" t="n">
        <v>0</v>
      </c>
      <c r="BY8" s="25" t="n">
        <v>0</v>
      </c>
      <c r="BZ8" s="25" t="n">
        <v>0</v>
      </c>
      <c r="CA8" s="25" t="n">
        <v>0</v>
      </c>
      <c r="CB8" s="25" t="n">
        <v>0</v>
      </c>
      <c r="CC8" s="25" t="n">
        <v>0</v>
      </c>
      <c r="CD8" s="25" t="n">
        <v>0</v>
      </c>
      <c r="CE8" s="25" t="n">
        <v>0</v>
      </c>
      <c r="CF8" s="25" t="n">
        <v>0</v>
      </c>
      <c r="CG8" s="25" t="n">
        <v>0</v>
      </c>
      <c r="CH8" s="25" t="n">
        <v>0</v>
      </c>
      <c r="CI8" s="25" t="n">
        <v>0</v>
      </c>
      <c r="CJ8" s="25" t="n">
        <v>0</v>
      </c>
      <c r="CK8" s="25" t="n">
        <v>0</v>
      </c>
      <c r="CL8" s="25" t="n">
        <v>0</v>
      </c>
      <c r="CM8" s="25" t="n">
        <v>0</v>
      </c>
      <c r="CN8" s="25" t="n">
        <v>0</v>
      </c>
      <c r="CO8" s="25" t="n">
        <v>0</v>
      </c>
      <c r="CP8" s="25" t="n">
        <v>0</v>
      </c>
      <c r="CQ8" s="25" t="n">
        <v>0</v>
      </c>
      <c r="CR8" s="25" t="n">
        <v>0</v>
      </c>
      <c r="CS8" s="25" t="n">
        <v>0</v>
      </c>
      <c r="CT8" s="25" t="n">
        <v>0</v>
      </c>
      <c r="CU8" s="25" t="n">
        <v>0</v>
      </c>
      <c r="CV8" s="25" t="n">
        <v>0</v>
      </c>
      <c r="CW8" s="25" t="n">
        <v>0</v>
      </c>
      <c r="CX8" s="25" t="n">
        <v>0</v>
      </c>
      <c r="CY8" s="25" t="n">
        <v>0</v>
      </c>
      <c r="CZ8" s="25" t="n">
        <v>0</v>
      </c>
      <c r="DA8" s="25" t="n">
        <v>0</v>
      </c>
    </row>
    <row r="9">
      <c r="A9" t="inlineStr">
        <is>
          <t>TSP-105</t>
        </is>
      </c>
      <c r="B9" s="25" t="n">
        <v>0</v>
      </c>
      <c r="C9" s="25" t="n">
        <v>0</v>
      </c>
      <c r="D9" s="25" t="n">
        <v>0</v>
      </c>
      <c r="E9" s="25" t="n">
        <v>0</v>
      </c>
      <c r="F9" s="25" t="n">
        <v>0</v>
      </c>
      <c r="G9" s="25" t="n">
        <v>0</v>
      </c>
      <c r="H9" s="25" t="n">
        <v>0</v>
      </c>
      <c r="I9" s="25" t="n">
        <v>0</v>
      </c>
      <c r="J9" s="25" t="n">
        <v>0</v>
      </c>
      <c r="K9" s="25" t="n">
        <v>0</v>
      </c>
      <c r="L9" s="25" t="n">
        <v>0</v>
      </c>
      <c r="M9" s="25" t="n">
        <v>0</v>
      </c>
      <c r="N9" s="25" t="n">
        <v>0</v>
      </c>
      <c r="O9" s="25" t="n">
        <v>0</v>
      </c>
      <c r="P9" s="25" t="n">
        <v>0</v>
      </c>
      <c r="Q9" s="25" t="n">
        <v>0</v>
      </c>
      <c r="R9" s="25" t="n">
        <v>0</v>
      </c>
      <c r="S9" s="25" t="n">
        <v>0</v>
      </c>
      <c r="T9" s="25" t="n">
        <v>0</v>
      </c>
      <c r="U9" s="25" t="n">
        <v>0</v>
      </c>
      <c r="V9" s="25" t="n">
        <v>0</v>
      </c>
      <c r="W9" s="25" t="n">
        <v>0</v>
      </c>
      <c r="X9" s="25" t="n">
        <v>0</v>
      </c>
      <c r="Y9" s="25" t="n">
        <v>0</v>
      </c>
      <c r="Z9" s="25" t="n">
        <v>0</v>
      </c>
      <c r="AA9" s="25" t="n">
        <v>0</v>
      </c>
      <c r="AB9" s="25" t="n">
        <v>0</v>
      </c>
      <c r="AC9" s="25" t="n">
        <v>0</v>
      </c>
      <c r="AD9" s="25" t="n">
        <v>0</v>
      </c>
      <c r="AE9" s="25" t="n">
        <v>0</v>
      </c>
      <c r="AF9" s="25" t="n">
        <v>0</v>
      </c>
      <c r="AG9" s="25" t="n">
        <v>0</v>
      </c>
      <c r="AH9" s="25" t="n">
        <v>0</v>
      </c>
      <c r="AI9" s="25" t="n">
        <v>0</v>
      </c>
      <c r="AJ9" s="25" t="n">
        <v>0</v>
      </c>
      <c r="AK9" s="25" t="n">
        <v>0</v>
      </c>
      <c r="AL9" s="25" t="n">
        <v>0</v>
      </c>
      <c r="AM9" s="25" t="n">
        <v>0</v>
      </c>
      <c r="AN9" s="25" t="n">
        <v>0</v>
      </c>
      <c r="AO9" s="25" t="n">
        <v>0</v>
      </c>
      <c r="AP9" s="25" t="n">
        <v>0</v>
      </c>
      <c r="AQ9" s="25" t="n">
        <v>0</v>
      </c>
      <c r="AR9" s="25" t="n">
        <v>0</v>
      </c>
      <c r="AS9" s="25" t="n">
        <v>0</v>
      </c>
      <c r="AT9" s="25" t="n">
        <v>0</v>
      </c>
      <c r="AU9" s="25" t="n">
        <v>0</v>
      </c>
      <c r="AV9" s="25" t="n">
        <v>0</v>
      </c>
      <c r="AW9" s="25" t="n">
        <v>0</v>
      </c>
      <c r="AX9" s="25" t="n">
        <v>0</v>
      </c>
      <c r="AY9" s="25" t="n">
        <v>0</v>
      </c>
      <c r="AZ9" s="25" t="n">
        <v>0</v>
      </c>
      <c r="BA9" s="25" t="n">
        <v>0</v>
      </c>
      <c r="BB9" s="25" t="n">
        <v>0</v>
      </c>
      <c r="BC9" s="25" t="n">
        <v>0</v>
      </c>
      <c r="BD9" s="25" t="n">
        <v>0</v>
      </c>
      <c r="BE9" s="25" t="n">
        <v>0</v>
      </c>
      <c r="BF9" s="25" t="n">
        <v>0</v>
      </c>
      <c r="BG9" s="25" t="n">
        <v>0</v>
      </c>
      <c r="BH9" s="25" t="n">
        <v>0</v>
      </c>
      <c r="BI9" s="25" t="n">
        <v>0</v>
      </c>
      <c r="BJ9" s="25" t="n">
        <v>0</v>
      </c>
      <c r="BK9" s="25" t="n">
        <v>0</v>
      </c>
      <c r="BL9" s="25" t="n">
        <v>0</v>
      </c>
      <c r="BM9" s="25" t="n">
        <v>0</v>
      </c>
      <c r="BN9" s="25" t="n">
        <v>0</v>
      </c>
      <c r="BO9" s="25" t="n">
        <v>0</v>
      </c>
      <c r="BP9" s="25" t="n">
        <v>0</v>
      </c>
      <c r="BQ9" s="25" t="n">
        <v>0</v>
      </c>
      <c r="BR9" s="25" t="n">
        <v>0</v>
      </c>
      <c r="BS9" s="25" t="n">
        <v>0</v>
      </c>
      <c r="BT9" s="25" t="n">
        <v>0</v>
      </c>
      <c r="BU9" s="25" t="n">
        <v>0</v>
      </c>
      <c r="BV9" s="25" t="n">
        <v>0</v>
      </c>
      <c r="BW9" s="25" t="n">
        <v>0</v>
      </c>
      <c r="BX9" s="25" t="n">
        <v>0</v>
      </c>
      <c r="BY9" s="25" t="n">
        <v>0</v>
      </c>
      <c r="BZ9" s="25" t="n">
        <v>0</v>
      </c>
      <c r="CA9" s="25" t="n">
        <v>0</v>
      </c>
      <c r="CB9" s="25" t="n">
        <v>0</v>
      </c>
      <c r="CC9" s="25" t="n">
        <v>0</v>
      </c>
      <c r="CD9" s="25" t="n">
        <v>0</v>
      </c>
      <c r="CE9" s="25" t="n">
        <v>0</v>
      </c>
      <c r="CF9" s="25" t="n">
        <v>0</v>
      </c>
      <c r="CG9" s="25" t="n">
        <v>0</v>
      </c>
      <c r="CH9" s="25" t="n">
        <v>0</v>
      </c>
      <c r="CI9" s="25" t="n">
        <v>0</v>
      </c>
      <c r="CJ9" s="25" t="n">
        <v>0</v>
      </c>
      <c r="CK9" s="25" t="n">
        <v>0</v>
      </c>
      <c r="CL9" s="25" t="n">
        <v>0</v>
      </c>
      <c r="CM9" s="25" t="n">
        <v>0</v>
      </c>
      <c r="CN9" s="25" t="n">
        <v>0</v>
      </c>
      <c r="CO9" s="25" t="n">
        <v>0</v>
      </c>
      <c r="CP9" s="25" t="n">
        <v>0</v>
      </c>
      <c r="CQ9" s="25" t="n">
        <v>0</v>
      </c>
      <c r="CR9" s="25" t="n">
        <v>0</v>
      </c>
      <c r="CS9" s="25" t="n">
        <v>0</v>
      </c>
      <c r="CT9" s="25" t="n">
        <v>0</v>
      </c>
      <c r="CU9" s="25" t="n">
        <v>0</v>
      </c>
      <c r="CV9" s="25" t="n">
        <v>0</v>
      </c>
      <c r="CW9" s="25" t="n">
        <v>0</v>
      </c>
      <c r="CX9" s="25" t="n">
        <v>0</v>
      </c>
      <c r="CY9" s="25" t="n">
        <v>0</v>
      </c>
      <c r="CZ9" s="25" t="n">
        <v>0</v>
      </c>
      <c r="DA9" s="25" t="n">
        <v>0</v>
      </c>
    </row>
    <row r="10">
      <c r="A10" t="inlineStr">
        <is>
          <t>TSP-1388</t>
        </is>
      </c>
      <c r="B10" s="25" t="n">
        <v>0</v>
      </c>
      <c r="C10" s="25" t="n">
        <v>0</v>
      </c>
      <c r="D10" s="25" t="n">
        <v>0</v>
      </c>
      <c r="E10" s="25" t="n">
        <v>0</v>
      </c>
      <c r="F10" s="25" t="n">
        <v>0</v>
      </c>
      <c r="G10" s="25" t="n">
        <v>0</v>
      </c>
      <c r="H10" s="25" t="n">
        <v>0</v>
      </c>
      <c r="I10" s="25" t="n">
        <v>0</v>
      </c>
      <c r="J10" s="25" t="n">
        <v>0</v>
      </c>
      <c r="K10" s="25" t="n">
        <v>0</v>
      </c>
      <c r="L10" s="25" t="n">
        <v>0</v>
      </c>
      <c r="M10" s="25" t="n">
        <v>0</v>
      </c>
      <c r="N10" s="25" t="n">
        <v>0</v>
      </c>
      <c r="O10" s="25" t="n">
        <v>0</v>
      </c>
      <c r="P10" s="25" t="n">
        <v>0</v>
      </c>
      <c r="Q10" s="25" t="n">
        <v>0</v>
      </c>
      <c r="R10" s="25" t="n">
        <v>0</v>
      </c>
      <c r="S10" s="25" t="n">
        <v>0</v>
      </c>
      <c r="T10" s="25" t="n">
        <v>0</v>
      </c>
      <c r="U10" s="25" t="n">
        <v>0</v>
      </c>
      <c r="V10" s="25" t="n">
        <v>0</v>
      </c>
      <c r="W10" s="25" t="n">
        <v>0</v>
      </c>
      <c r="X10" s="25" t="n">
        <v>4.84752501513953</v>
      </c>
      <c r="Y10" s="25" t="n">
        <v>1.189476793284051</v>
      </c>
      <c r="Z10" s="25" t="n">
        <v>0</v>
      </c>
      <c r="AA10" s="25" t="n">
        <v>2.423762507569765</v>
      </c>
      <c r="AB10" s="25" t="n">
        <v>3.232471942097165</v>
      </c>
      <c r="AC10" s="25" t="n">
        <v>0</v>
      </c>
      <c r="AD10" s="25" t="n">
        <v>1.189476793284051</v>
      </c>
      <c r="AE10" s="25" t="n">
        <v>3.277280863098829</v>
      </c>
      <c r="AF10" s="25" t="n">
        <v>2.468571428571428</v>
      </c>
      <c r="AG10" s="25" t="n">
        <v>2.423762507569765</v>
      </c>
      <c r="AH10" s="25" t="n">
        <v>3.658048221855479</v>
      </c>
      <c r="AI10" s="25" t="n">
        <v>4.466757656382879</v>
      </c>
      <c r="AJ10" s="25" t="n">
        <v>2.468571428571428</v>
      </c>
      <c r="AK10" s="25" t="n">
        <v>2.468571428571428</v>
      </c>
      <c r="AL10" s="25" t="n">
        <v>2.423762507569765</v>
      </c>
      <c r="AM10" s="25" t="n">
        <v>2.468571428571428</v>
      </c>
      <c r="AN10" s="25" t="n">
        <v>3.232471942097165</v>
      </c>
      <c r="AO10" s="25" t="n">
        <v>1.234285714285714</v>
      </c>
      <c r="AP10" s="25" t="n">
        <v>3.658048221855479</v>
      </c>
      <c r="AQ10" s="25" t="n">
        <v>3.658048221855479</v>
      </c>
      <c r="AR10" s="25" t="n">
        <v>3.232471942097165</v>
      </c>
      <c r="AS10" s="25" t="n">
        <v>4.84752501513953</v>
      </c>
      <c r="AT10" s="25" t="n">
        <v>4.466757656382879</v>
      </c>
      <c r="AU10" s="25" t="n">
        <v>4.892333936141194</v>
      </c>
      <c r="AV10" s="25" t="n">
        <v>5.701043370668594</v>
      </c>
      <c r="AW10" s="25" t="n">
        <v>4.466757656382879</v>
      </c>
      <c r="AX10" s="25" t="n">
        <v>3.658048221855479</v>
      </c>
      <c r="AY10" s="25" t="n">
        <v>4.466757656382879</v>
      </c>
      <c r="AZ10" s="25" t="n">
        <v>1.234285714285714</v>
      </c>
      <c r="BA10" s="25" t="n">
        <v>0</v>
      </c>
      <c r="BB10" s="25" t="n">
        <v>0</v>
      </c>
      <c r="BC10" s="25" t="n">
        <v>1.234285714285714</v>
      </c>
      <c r="BD10" s="25" t="n">
        <v>2.468571428571428</v>
      </c>
      <c r="BE10" s="25" t="n">
        <v>3.658048221855479</v>
      </c>
      <c r="BF10" s="25" t="n">
        <v>4.466757656382879</v>
      </c>
      <c r="BG10" s="25" t="n">
        <v>2.423762507569765</v>
      </c>
      <c r="BH10" s="25" t="n">
        <v>3.658048221855479</v>
      </c>
      <c r="BI10" s="25" t="n">
        <v>2.423762507569765</v>
      </c>
      <c r="BJ10" s="25" t="n">
        <v>2.042995148813114</v>
      </c>
      <c r="BK10" s="25" t="n">
        <v>2.423762507569765</v>
      </c>
      <c r="BL10" s="25" t="n">
        <v>2.468571428571428</v>
      </c>
      <c r="BM10" s="25" t="n">
        <v>1.234285714285714</v>
      </c>
      <c r="BN10" s="25" t="n">
        <v>1.234285714285714</v>
      </c>
      <c r="BO10" s="25" t="n">
        <v>2.431624960405448</v>
      </c>
      <c r="BP10" s="25" t="n">
        <v>0</v>
      </c>
      <c r="BQ10" s="25" t="n">
        <v>1.234285714285714</v>
      </c>
      <c r="BR10" s="25" t="n">
        <v>1.234285714285714</v>
      </c>
      <c r="BS10" s="25" t="n">
        <v>1.234285714285714</v>
      </c>
      <c r="BT10" s="25" t="n">
        <v>0</v>
      </c>
      <c r="BU10" s="25" t="n">
        <v>1.234285714285714</v>
      </c>
      <c r="BV10" s="25" t="n">
        <v>0.9257142857142857</v>
      </c>
      <c r="BW10" s="25" t="n">
        <v>0</v>
      </c>
      <c r="BX10" s="25" t="n">
        <v>0</v>
      </c>
      <c r="BY10" s="25" t="n">
        <v>0</v>
      </c>
      <c r="BZ10" s="25" t="n">
        <v>0</v>
      </c>
      <c r="CA10" s="25" t="n">
        <v>0</v>
      </c>
      <c r="CB10" s="25" t="n">
        <v>0</v>
      </c>
      <c r="CC10" s="25" t="n">
        <v>0</v>
      </c>
      <c r="CD10" s="25" t="n">
        <v>0</v>
      </c>
      <c r="CE10" s="25" t="n">
        <v>0</v>
      </c>
      <c r="CF10" s="25" t="n">
        <v>0</v>
      </c>
      <c r="CG10" s="25" t="n">
        <v>0</v>
      </c>
      <c r="CH10" s="25" t="n">
        <v>0</v>
      </c>
      <c r="CI10" s="25" t="n">
        <v>0</v>
      </c>
      <c r="CJ10" s="25" t="n">
        <v>0</v>
      </c>
      <c r="CK10" s="25" t="n">
        <v>0</v>
      </c>
      <c r="CL10" s="25" t="n">
        <v>0</v>
      </c>
      <c r="CM10" s="25" t="n">
        <v>0</v>
      </c>
      <c r="CN10" s="25" t="n">
        <v>0</v>
      </c>
      <c r="CO10" s="25" t="n">
        <v>0</v>
      </c>
      <c r="CP10" s="25" t="n">
        <v>0</v>
      </c>
      <c r="CQ10" s="25" t="n">
        <v>0</v>
      </c>
      <c r="CR10" s="25" t="n">
        <v>0</v>
      </c>
      <c r="CS10" s="25" t="n">
        <v>0</v>
      </c>
      <c r="CT10" s="25" t="n">
        <v>0</v>
      </c>
      <c r="CU10" s="25" t="n">
        <v>0</v>
      </c>
      <c r="CV10" s="25" t="n">
        <v>0</v>
      </c>
      <c r="CW10" s="25" t="n">
        <v>0</v>
      </c>
      <c r="CX10" s="25" t="n">
        <v>0</v>
      </c>
      <c r="CY10" s="25" t="n">
        <v>0</v>
      </c>
      <c r="CZ10" s="25" t="n">
        <v>0</v>
      </c>
      <c r="DA10" s="25" t="n">
        <v>0</v>
      </c>
    </row>
    <row r="11">
      <c r="A11" t="inlineStr">
        <is>
          <t>TSP-1444</t>
        </is>
      </c>
      <c r="B11" s="25" t="n">
        <v>0</v>
      </c>
      <c r="C11" s="25" t="n">
        <v>0</v>
      </c>
      <c r="D11" s="25" t="n">
        <v>0</v>
      </c>
      <c r="E11" s="25" t="n">
        <v>0</v>
      </c>
      <c r="F11" s="25" t="n">
        <v>0</v>
      </c>
      <c r="G11" s="25" t="n">
        <v>0</v>
      </c>
      <c r="H11" s="25" t="n">
        <v>0</v>
      </c>
      <c r="I11" s="25" t="n">
        <v>0</v>
      </c>
      <c r="J11" s="25" t="n">
        <v>0</v>
      </c>
      <c r="K11" s="25" t="n">
        <v>0</v>
      </c>
      <c r="L11" s="25" t="n">
        <v>0</v>
      </c>
      <c r="M11" s="25" t="n">
        <v>0</v>
      </c>
      <c r="N11" s="25" t="n">
        <v>0</v>
      </c>
      <c r="O11" s="25" t="n">
        <v>0</v>
      </c>
      <c r="P11" s="25" t="n">
        <v>0</v>
      </c>
      <c r="Q11" s="25" t="n">
        <v>0</v>
      </c>
      <c r="R11" s="25" t="n">
        <v>0</v>
      </c>
      <c r="S11" s="25" t="n">
        <v>0</v>
      </c>
      <c r="T11" s="25" t="n">
        <v>0</v>
      </c>
      <c r="U11" s="25" t="n">
        <v>0</v>
      </c>
      <c r="V11" s="25" t="n">
        <v>0</v>
      </c>
      <c r="W11" s="25" t="n">
        <v>0</v>
      </c>
      <c r="X11" s="25" t="n">
        <v>7.458075052893359</v>
      </c>
      <c r="Y11" s="25" t="n">
        <v>0</v>
      </c>
      <c r="Z11" s="25" t="n">
        <v>0</v>
      </c>
      <c r="AA11" s="25" t="n">
        <v>3.72903752644668</v>
      </c>
      <c r="AB11" s="25" t="n">
        <v>6.098185949208053</v>
      </c>
      <c r="AC11" s="25" t="n">
        <v>0</v>
      </c>
      <c r="AD11" s="25" t="n">
        <v>0</v>
      </c>
      <c r="AE11" s="25" t="n">
        <v>9.827223475654733</v>
      </c>
      <c r="AF11" s="25" t="n">
        <v>7.458075052893359</v>
      </c>
      <c r="AG11" s="25" t="n">
        <v>3.72903752644668</v>
      </c>
      <c r="AH11" s="25" t="n">
        <v>7.458075052893359</v>
      </c>
      <c r="AI11" s="25" t="n">
        <v>9.827223475654733</v>
      </c>
      <c r="AJ11" s="25" t="n">
        <v>7.458075052893359</v>
      </c>
      <c r="AK11" s="25" t="n">
        <v>7.458075052893359</v>
      </c>
      <c r="AL11" s="25" t="n">
        <v>3.72903752644668</v>
      </c>
      <c r="AM11" s="25" t="n">
        <v>7.458075052893359</v>
      </c>
      <c r="AN11" s="25" t="n">
        <v>6.098185949208053</v>
      </c>
      <c r="AO11" s="25" t="n">
        <v>3.72903752644668</v>
      </c>
      <c r="AP11" s="25" t="n">
        <v>7.458075052893359</v>
      </c>
      <c r="AQ11" s="25" t="n">
        <v>7.458075052893359</v>
      </c>
      <c r="AR11" s="25" t="n">
        <v>6.098185949208053</v>
      </c>
      <c r="AS11" s="25" t="n">
        <v>7.458075052893359</v>
      </c>
      <c r="AT11" s="25" t="n">
        <v>9.827223475654733</v>
      </c>
      <c r="AU11" s="25" t="n">
        <v>11.18711257934004</v>
      </c>
      <c r="AV11" s="25" t="n">
        <v>13.55626100210141</v>
      </c>
      <c r="AW11" s="25" t="n">
        <v>9.827223475654733</v>
      </c>
      <c r="AX11" s="25" t="n">
        <v>7.458075052893359</v>
      </c>
      <c r="AY11" s="25" t="n">
        <v>9.827223475654733</v>
      </c>
      <c r="AZ11" s="25" t="n">
        <v>3.72903752644668</v>
      </c>
      <c r="BA11" s="25" t="n">
        <v>0</v>
      </c>
      <c r="BB11" s="25" t="n">
        <v>0</v>
      </c>
      <c r="BC11" s="25" t="n">
        <v>3.72903752644668</v>
      </c>
      <c r="BD11" s="25" t="n">
        <v>7.458075052893359</v>
      </c>
      <c r="BE11" s="25" t="n">
        <v>7.458075052893359</v>
      </c>
      <c r="BF11" s="25" t="n">
        <v>9.827223475654733</v>
      </c>
      <c r="BG11" s="25" t="n">
        <v>3.72903752644668</v>
      </c>
      <c r="BH11" s="25" t="n">
        <v>7.458075052893359</v>
      </c>
      <c r="BI11" s="25" t="n">
        <v>3.72903752644668</v>
      </c>
      <c r="BJ11" s="25" t="n">
        <v>6.098185949208053</v>
      </c>
      <c r="BK11" s="25" t="n">
        <v>3.72903752644668</v>
      </c>
      <c r="BL11" s="25" t="n">
        <v>7.458075052893359</v>
      </c>
      <c r="BM11" s="25" t="n">
        <v>3.72903752644668</v>
      </c>
      <c r="BN11" s="25" t="n">
        <v>3.72903752644668</v>
      </c>
      <c r="BO11" s="25" t="n">
        <v>4.913611737827367</v>
      </c>
      <c r="BP11" s="25" t="n">
        <v>0</v>
      </c>
      <c r="BQ11" s="25" t="n">
        <v>3.72903752644668</v>
      </c>
      <c r="BR11" s="25" t="n">
        <v>3.72903752644668</v>
      </c>
      <c r="BS11" s="25" t="n">
        <v>3.72903752644668</v>
      </c>
      <c r="BT11" s="25" t="n">
        <v>0</v>
      </c>
      <c r="BU11" s="25" t="n">
        <v>3.72903752644668</v>
      </c>
      <c r="BV11" s="25" t="n">
        <v>2.79677814483501</v>
      </c>
      <c r="BW11" s="25" t="n">
        <v>0</v>
      </c>
      <c r="BX11" s="25" t="n">
        <v>0</v>
      </c>
      <c r="BY11" s="25" t="n">
        <v>0</v>
      </c>
      <c r="BZ11" s="25" t="n">
        <v>0</v>
      </c>
      <c r="CA11" s="25" t="n">
        <v>0</v>
      </c>
      <c r="CB11" s="25" t="n">
        <v>0</v>
      </c>
      <c r="CC11" s="25" t="n">
        <v>0</v>
      </c>
      <c r="CD11" s="25" t="n">
        <v>0</v>
      </c>
      <c r="CE11" s="25" t="n">
        <v>0</v>
      </c>
      <c r="CF11" s="25" t="n">
        <v>0</v>
      </c>
      <c r="CG11" s="25" t="n">
        <v>0</v>
      </c>
      <c r="CH11" s="25" t="n">
        <v>0</v>
      </c>
      <c r="CI11" s="25" t="n">
        <v>0</v>
      </c>
      <c r="CJ11" s="25" t="n">
        <v>0</v>
      </c>
      <c r="CK11" s="25" t="n">
        <v>0</v>
      </c>
      <c r="CL11" s="25" t="n">
        <v>0</v>
      </c>
      <c r="CM11" s="25" t="n">
        <v>0</v>
      </c>
      <c r="CN11" s="25" t="n">
        <v>0</v>
      </c>
      <c r="CO11" s="25" t="n">
        <v>0</v>
      </c>
      <c r="CP11" s="25" t="n">
        <v>0</v>
      </c>
      <c r="CQ11" s="25" t="n">
        <v>0</v>
      </c>
      <c r="CR11" s="25" t="n">
        <v>0</v>
      </c>
      <c r="CS11" s="25" t="n">
        <v>0</v>
      </c>
      <c r="CT11" s="25" t="n">
        <v>0</v>
      </c>
      <c r="CU11" s="25" t="n">
        <v>0</v>
      </c>
      <c r="CV11" s="25" t="n">
        <v>0</v>
      </c>
      <c r="CW11" s="25" t="n">
        <v>0</v>
      </c>
      <c r="CX11" s="25" t="n">
        <v>0</v>
      </c>
      <c r="CY11" s="25" t="n">
        <v>0</v>
      </c>
      <c r="CZ11" s="25" t="n">
        <v>0</v>
      </c>
      <c r="DA11" s="25" t="n">
        <v>0</v>
      </c>
    </row>
    <row r="12">
      <c r="A12" t="inlineStr">
        <is>
          <t>TSP-1445</t>
        </is>
      </c>
      <c r="B12" s="25" t="n">
        <v>0</v>
      </c>
      <c r="C12" s="25" t="n">
        <v>0</v>
      </c>
      <c r="D12" s="25" t="n">
        <v>0</v>
      </c>
      <c r="E12" s="25" t="n">
        <v>0</v>
      </c>
      <c r="F12" s="25" t="n">
        <v>0</v>
      </c>
      <c r="G12" s="25" t="n">
        <v>0</v>
      </c>
      <c r="H12" s="25" t="n">
        <v>0</v>
      </c>
      <c r="I12" s="25" t="n">
        <v>0</v>
      </c>
      <c r="J12" s="25" t="n">
        <v>0</v>
      </c>
      <c r="K12" s="25" t="n">
        <v>0</v>
      </c>
      <c r="L12" s="25" t="n">
        <v>0</v>
      </c>
      <c r="M12" s="25" t="n">
        <v>0</v>
      </c>
      <c r="N12" s="25" t="n">
        <v>0</v>
      </c>
      <c r="O12" s="25" t="n">
        <v>0</v>
      </c>
      <c r="P12" s="25" t="n">
        <v>0</v>
      </c>
      <c r="Q12" s="25" t="n">
        <v>0</v>
      </c>
      <c r="R12" s="25" t="n">
        <v>0</v>
      </c>
      <c r="S12" s="25" t="n">
        <v>0</v>
      </c>
      <c r="T12" s="25" t="n">
        <v>0</v>
      </c>
      <c r="U12" s="25" t="n">
        <v>0</v>
      </c>
      <c r="V12" s="25" t="n">
        <v>0</v>
      </c>
      <c r="W12" s="25" t="n">
        <v>0</v>
      </c>
      <c r="X12" s="25" t="n">
        <v>6.689372517092537</v>
      </c>
      <c r="Y12" s="25" t="n">
        <v>3.344686258546269</v>
      </c>
      <c r="Z12" s="25" t="n">
        <v>0</v>
      </c>
      <c r="AA12" s="25" t="n">
        <v>3.344686258546269</v>
      </c>
      <c r="AB12" s="25" t="n">
        <v>3.344686258546269</v>
      </c>
      <c r="AC12" s="25" t="n">
        <v>0</v>
      </c>
      <c r="AD12" s="25" t="n">
        <v>3.344686258546269</v>
      </c>
      <c r="AE12" s="25" t="n">
        <v>0</v>
      </c>
      <c r="AF12" s="25" t="n">
        <v>1.114895419515423</v>
      </c>
      <c r="AG12" s="25" t="n">
        <v>3.344686258546269</v>
      </c>
      <c r="AH12" s="25" t="n">
        <v>3.344686258546269</v>
      </c>
      <c r="AI12" s="25" t="n">
        <v>3.344686258546269</v>
      </c>
      <c r="AJ12" s="25" t="n">
        <v>0</v>
      </c>
      <c r="AK12" s="25" t="n">
        <v>0</v>
      </c>
      <c r="AL12" s="25" t="n">
        <v>3.344686258546269</v>
      </c>
      <c r="AM12" s="25" t="n">
        <v>0</v>
      </c>
      <c r="AN12" s="25" t="n">
        <v>3.344686258546269</v>
      </c>
      <c r="AO12" s="25" t="n">
        <v>0</v>
      </c>
      <c r="AP12" s="25" t="n">
        <v>3.344686258546269</v>
      </c>
      <c r="AQ12" s="25" t="n">
        <v>3.344686258546269</v>
      </c>
      <c r="AR12" s="25" t="n">
        <v>3.344686258546269</v>
      </c>
      <c r="AS12" s="25" t="n">
        <v>7.80426793660796</v>
      </c>
      <c r="AT12" s="25" t="n">
        <v>3.344686258546269</v>
      </c>
      <c r="AU12" s="25" t="n">
        <v>3.344686258546269</v>
      </c>
      <c r="AV12" s="25" t="n">
        <v>3.344686258546269</v>
      </c>
      <c r="AW12" s="25" t="n">
        <v>3.344686258546269</v>
      </c>
      <c r="AX12" s="25" t="n">
        <v>3.344686258546269</v>
      </c>
      <c r="AY12" s="25" t="n">
        <v>3.344686258546269</v>
      </c>
      <c r="AZ12" s="25" t="n">
        <v>0</v>
      </c>
      <c r="BA12" s="25" t="n">
        <v>0</v>
      </c>
      <c r="BB12" s="25" t="n">
        <v>0</v>
      </c>
      <c r="BC12" s="25" t="n">
        <v>0</v>
      </c>
      <c r="BD12" s="25" t="n">
        <v>0</v>
      </c>
      <c r="BE12" s="25" t="n">
        <v>3.344686258546269</v>
      </c>
      <c r="BF12" s="25" t="n">
        <v>4.459581678061691</v>
      </c>
      <c r="BG12" s="25" t="n">
        <v>3.344686258546269</v>
      </c>
      <c r="BH12" s="25" t="n">
        <v>3.344686258546269</v>
      </c>
      <c r="BI12" s="25" t="n">
        <v>3.344686258546269</v>
      </c>
      <c r="BJ12" s="25" t="n">
        <v>0</v>
      </c>
      <c r="BK12" s="25" t="n">
        <v>3.344686258546269</v>
      </c>
      <c r="BL12" s="25" t="n">
        <v>1.114895419515423</v>
      </c>
      <c r="BM12" s="25" t="n">
        <v>0</v>
      </c>
      <c r="BN12" s="25" t="n">
        <v>0</v>
      </c>
      <c r="BO12" s="25" t="n">
        <v>2.229790839030846</v>
      </c>
      <c r="BP12" s="25" t="n">
        <v>1.114895419515423</v>
      </c>
      <c r="BQ12" s="25" t="n">
        <v>0</v>
      </c>
      <c r="BR12" s="25" t="n">
        <v>0</v>
      </c>
      <c r="BS12" s="25" t="n">
        <v>1.114895419515423</v>
      </c>
      <c r="BT12" s="25" t="n">
        <v>0</v>
      </c>
      <c r="BU12" s="25" t="n">
        <v>0</v>
      </c>
      <c r="BV12" s="25" t="n">
        <v>0</v>
      </c>
      <c r="BW12" s="25" t="n">
        <v>1.114895419515423</v>
      </c>
      <c r="BX12" s="25" t="n">
        <v>0</v>
      </c>
      <c r="BY12" s="25" t="n">
        <v>0</v>
      </c>
      <c r="BZ12" s="25" t="n">
        <v>0</v>
      </c>
      <c r="CA12" s="25" t="n">
        <v>0</v>
      </c>
      <c r="CB12" s="25" t="n">
        <v>0</v>
      </c>
      <c r="CC12" s="25" t="n">
        <v>0</v>
      </c>
      <c r="CD12" s="25" t="n">
        <v>0</v>
      </c>
      <c r="CE12" s="25" t="n">
        <v>0</v>
      </c>
      <c r="CF12" s="25" t="n">
        <v>0</v>
      </c>
      <c r="CG12" s="25" t="n">
        <v>0</v>
      </c>
      <c r="CH12" s="25" t="n">
        <v>0</v>
      </c>
      <c r="CI12" s="25" t="n">
        <v>0</v>
      </c>
      <c r="CJ12" s="25" t="n">
        <v>0</v>
      </c>
      <c r="CK12" s="25" t="n">
        <v>0</v>
      </c>
      <c r="CL12" s="25" t="n">
        <v>0</v>
      </c>
      <c r="CM12" s="25" t="n">
        <v>0</v>
      </c>
      <c r="CN12" s="25" t="n">
        <v>0</v>
      </c>
      <c r="CO12" s="25" t="n">
        <v>0</v>
      </c>
      <c r="CP12" s="25" t="n">
        <v>0</v>
      </c>
      <c r="CQ12" s="25" t="n">
        <v>0</v>
      </c>
      <c r="CR12" s="25" t="n">
        <v>0</v>
      </c>
      <c r="CS12" s="25" t="n">
        <v>0</v>
      </c>
      <c r="CT12" s="25" t="n">
        <v>0</v>
      </c>
      <c r="CU12" s="25" t="n">
        <v>0</v>
      </c>
      <c r="CV12" s="25" t="n">
        <v>0</v>
      </c>
      <c r="CW12" s="25" t="n">
        <v>0</v>
      </c>
      <c r="CX12" s="25" t="n">
        <v>0</v>
      </c>
      <c r="CY12" s="25" t="n">
        <v>0</v>
      </c>
      <c r="CZ12" s="25" t="n">
        <v>0</v>
      </c>
      <c r="DA12" s="25" t="n">
        <v>0</v>
      </c>
    </row>
    <row r="13">
      <c r="A13" t="inlineStr">
        <is>
          <t>TSP-1446</t>
        </is>
      </c>
      <c r="B13" s="25" t="n">
        <v>0</v>
      </c>
      <c r="C13" s="25" t="n">
        <v>0</v>
      </c>
      <c r="D13" s="25" t="n">
        <v>0</v>
      </c>
      <c r="E13" s="25" t="n">
        <v>0</v>
      </c>
      <c r="F13" s="25" t="n">
        <v>0</v>
      </c>
      <c r="G13" s="25" t="n">
        <v>0</v>
      </c>
      <c r="H13" s="25" t="n">
        <v>0</v>
      </c>
      <c r="I13" s="25" t="n">
        <v>0</v>
      </c>
      <c r="J13" s="25" t="n">
        <v>0</v>
      </c>
      <c r="K13" s="25" t="n">
        <v>0</v>
      </c>
      <c r="L13" s="25" t="n">
        <v>0</v>
      </c>
      <c r="M13" s="25" t="n">
        <v>0</v>
      </c>
      <c r="N13" s="25" t="n">
        <v>0</v>
      </c>
      <c r="O13" s="25" t="n">
        <v>0</v>
      </c>
      <c r="P13" s="25" t="n">
        <v>0</v>
      </c>
      <c r="Q13" s="25" t="n">
        <v>0</v>
      </c>
      <c r="R13" s="25" t="n">
        <v>0</v>
      </c>
      <c r="S13" s="25" t="n">
        <v>0</v>
      </c>
      <c r="T13" s="25" t="n">
        <v>0</v>
      </c>
      <c r="U13" s="25" t="n">
        <v>0</v>
      </c>
      <c r="V13" s="25" t="n">
        <v>0</v>
      </c>
      <c r="W13" s="25" t="n">
        <v>0</v>
      </c>
      <c r="X13" s="25" t="n">
        <v>0</v>
      </c>
      <c r="Y13" s="25" t="n">
        <v>0</v>
      </c>
      <c r="Z13" s="25" t="n">
        <v>0</v>
      </c>
      <c r="AA13" s="25" t="n">
        <v>0</v>
      </c>
      <c r="AB13" s="25" t="n">
        <v>0</v>
      </c>
      <c r="AC13" s="25" t="n">
        <v>0</v>
      </c>
      <c r="AD13" s="25" t="n">
        <v>0</v>
      </c>
      <c r="AE13" s="25" t="n">
        <v>0</v>
      </c>
      <c r="AF13" s="25" t="n">
        <v>0</v>
      </c>
      <c r="AG13" s="25" t="n">
        <v>0</v>
      </c>
      <c r="AH13" s="25" t="n">
        <v>0</v>
      </c>
      <c r="AI13" s="25" t="n">
        <v>0</v>
      </c>
      <c r="AJ13" s="25" t="n">
        <v>0</v>
      </c>
      <c r="AK13" s="25" t="n">
        <v>0</v>
      </c>
      <c r="AL13" s="25" t="n">
        <v>0</v>
      </c>
      <c r="AM13" s="25" t="n">
        <v>0</v>
      </c>
      <c r="AN13" s="25" t="n">
        <v>0</v>
      </c>
      <c r="AO13" s="25" t="n">
        <v>0</v>
      </c>
      <c r="AP13" s="25" t="n">
        <v>0</v>
      </c>
      <c r="AQ13" s="25" t="n">
        <v>0</v>
      </c>
      <c r="AR13" s="25" t="n">
        <v>0</v>
      </c>
      <c r="AS13" s="25" t="n">
        <v>0</v>
      </c>
      <c r="AT13" s="25" t="n">
        <v>0</v>
      </c>
      <c r="AU13" s="25" t="n">
        <v>0</v>
      </c>
      <c r="AV13" s="25" t="n">
        <v>0</v>
      </c>
      <c r="AW13" s="25" t="n">
        <v>0</v>
      </c>
      <c r="AX13" s="25" t="n">
        <v>0</v>
      </c>
      <c r="AY13" s="25" t="n">
        <v>0</v>
      </c>
      <c r="AZ13" s="25" t="n">
        <v>0</v>
      </c>
      <c r="BA13" s="25" t="n">
        <v>0</v>
      </c>
      <c r="BB13" s="25" t="n">
        <v>0</v>
      </c>
      <c r="BC13" s="25" t="n">
        <v>0</v>
      </c>
      <c r="BD13" s="25" t="n">
        <v>0</v>
      </c>
      <c r="BE13" s="25" t="n">
        <v>0</v>
      </c>
      <c r="BF13" s="25" t="n">
        <v>0</v>
      </c>
      <c r="BG13" s="25" t="n">
        <v>0</v>
      </c>
      <c r="BH13" s="25" t="n">
        <v>0</v>
      </c>
      <c r="BI13" s="25" t="n">
        <v>0</v>
      </c>
      <c r="BJ13" s="25" t="n">
        <v>0</v>
      </c>
      <c r="BK13" s="25" t="n">
        <v>0</v>
      </c>
      <c r="BL13" s="25" t="n">
        <v>0</v>
      </c>
      <c r="BM13" s="25" t="n">
        <v>0</v>
      </c>
      <c r="BN13" s="25" t="n">
        <v>0</v>
      </c>
      <c r="BO13" s="25" t="n">
        <v>0</v>
      </c>
      <c r="BP13" s="25" t="n">
        <v>0</v>
      </c>
      <c r="BQ13" s="25" t="n">
        <v>0</v>
      </c>
      <c r="BR13" s="25" t="n">
        <v>0</v>
      </c>
      <c r="BS13" s="25" t="n">
        <v>0</v>
      </c>
      <c r="BT13" s="25" t="n">
        <v>0</v>
      </c>
      <c r="BU13" s="25" t="n">
        <v>0</v>
      </c>
      <c r="BV13" s="25" t="n">
        <v>0</v>
      </c>
      <c r="BW13" s="25" t="n">
        <v>0</v>
      </c>
      <c r="BX13" s="25" t="n">
        <v>0</v>
      </c>
      <c r="BY13" s="25" t="n">
        <v>0</v>
      </c>
      <c r="BZ13" s="25" t="n">
        <v>0</v>
      </c>
      <c r="CA13" s="25" t="n">
        <v>0</v>
      </c>
      <c r="CB13" s="25" t="n">
        <v>0</v>
      </c>
      <c r="CC13" s="25" t="n">
        <v>0</v>
      </c>
      <c r="CD13" s="25" t="n">
        <v>0</v>
      </c>
      <c r="CE13" s="25" t="n">
        <v>0</v>
      </c>
      <c r="CF13" s="25" t="n">
        <v>0</v>
      </c>
      <c r="CG13" s="25" t="n">
        <v>0</v>
      </c>
      <c r="CH13" s="25" t="n">
        <v>0</v>
      </c>
      <c r="CI13" s="25" t="n">
        <v>0</v>
      </c>
      <c r="CJ13" s="25" t="n">
        <v>0</v>
      </c>
      <c r="CK13" s="25" t="n">
        <v>0</v>
      </c>
      <c r="CL13" s="25" t="n">
        <v>0</v>
      </c>
      <c r="CM13" s="25" t="n">
        <v>0</v>
      </c>
      <c r="CN13" s="25" t="n">
        <v>0</v>
      </c>
      <c r="CO13" s="25" t="n">
        <v>0</v>
      </c>
      <c r="CP13" s="25" t="n">
        <v>0</v>
      </c>
      <c r="CQ13" s="25" t="n">
        <v>0</v>
      </c>
      <c r="CR13" s="25" t="n">
        <v>0</v>
      </c>
      <c r="CS13" s="25" t="n">
        <v>0</v>
      </c>
      <c r="CT13" s="25" t="n">
        <v>0</v>
      </c>
      <c r="CU13" s="25" t="n">
        <v>0</v>
      </c>
      <c r="CV13" s="25" t="n">
        <v>0</v>
      </c>
      <c r="CW13" s="25" t="n">
        <v>0</v>
      </c>
      <c r="CX13" s="25" t="n">
        <v>0</v>
      </c>
      <c r="CY13" s="25" t="n">
        <v>0</v>
      </c>
      <c r="CZ13" s="25" t="n">
        <v>0</v>
      </c>
      <c r="DA13" s="25" t="n">
        <v>0</v>
      </c>
    </row>
    <row r="14">
      <c r="A14" t="inlineStr">
        <is>
          <t>TSP-1448</t>
        </is>
      </c>
      <c r="B14" s="25" t="n">
        <v>0</v>
      </c>
      <c r="C14" s="25" t="n">
        <v>0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0</v>
      </c>
      <c r="M14" s="25" t="n">
        <v>0</v>
      </c>
      <c r="N14" s="25" t="n">
        <v>0</v>
      </c>
      <c r="O14" s="25" t="n">
        <v>0</v>
      </c>
      <c r="P14" s="25" t="n">
        <v>0</v>
      </c>
      <c r="Q14" s="25" t="n">
        <v>0</v>
      </c>
      <c r="R14" s="25" t="n">
        <v>0</v>
      </c>
      <c r="S14" s="25" t="n">
        <v>0</v>
      </c>
      <c r="T14" s="25" t="n">
        <v>0</v>
      </c>
      <c r="U14" s="25" t="n">
        <v>0</v>
      </c>
      <c r="V14" s="25" t="n">
        <v>0</v>
      </c>
      <c r="W14" s="25" t="n">
        <v>0</v>
      </c>
      <c r="X14" s="25" t="n">
        <v>4.629994301523985</v>
      </c>
      <c r="Y14" s="25" t="n">
        <v>0</v>
      </c>
      <c r="Z14" s="25" t="n">
        <v>0</v>
      </c>
      <c r="AA14" s="25" t="n">
        <v>2.314997150761993</v>
      </c>
      <c r="AB14" s="25" t="n">
        <v>3.81902062939158</v>
      </c>
      <c r="AC14" s="25" t="n">
        <v>0</v>
      </c>
      <c r="AD14" s="25" t="n">
        <v>0</v>
      </c>
      <c r="AE14" s="25" t="n">
        <v>6.134017780153573</v>
      </c>
      <c r="AF14" s="25" t="n">
        <v>4.629994301523985</v>
      </c>
      <c r="AG14" s="25" t="n">
        <v>2.314997150761993</v>
      </c>
      <c r="AH14" s="25" t="n">
        <v>4.629994301523985</v>
      </c>
      <c r="AI14" s="25" t="n">
        <v>6.134017780153573</v>
      </c>
      <c r="AJ14" s="25" t="n">
        <v>4.629994301523985</v>
      </c>
      <c r="AK14" s="25" t="n">
        <v>4.629994301523985</v>
      </c>
      <c r="AL14" s="25" t="n">
        <v>2.314997150761993</v>
      </c>
      <c r="AM14" s="25" t="n">
        <v>4.629994301523985</v>
      </c>
      <c r="AN14" s="25" t="n">
        <v>3.81902062939158</v>
      </c>
      <c r="AO14" s="25" t="n">
        <v>2.314997150761993</v>
      </c>
      <c r="AP14" s="25" t="n">
        <v>4.629994301523985</v>
      </c>
      <c r="AQ14" s="25" t="n">
        <v>4.629994301523985</v>
      </c>
      <c r="AR14" s="25" t="n">
        <v>3.81902062939158</v>
      </c>
      <c r="AS14" s="25" t="n">
        <v>4.629994301523985</v>
      </c>
      <c r="AT14" s="25" t="n">
        <v>6.134017780153573</v>
      </c>
      <c r="AU14" s="25" t="n">
        <v>6.944991452285977</v>
      </c>
      <c r="AV14" s="25" t="n">
        <v>8.449014930915565</v>
      </c>
      <c r="AW14" s="25" t="n">
        <v>6.134017780153573</v>
      </c>
      <c r="AX14" s="25" t="n">
        <v>4.629994301523985</v>
      </c>
      <c r="AY14" s="25" t="n">
        <v>6.134017780153573</v>
      </c>
      <c r="AZ14" s="25" t="n">
        <v>2.314997150761993</v>
      </c>
      <c r="BA14" s="25" t="n">
        <v>0</v>
      </c>
      <c r="BB14" s="25" t="n">
        <v>0</v>
      </c>
      <c r="BC14" s="25" t="n">
        <v>2.314997150761993</v>
      </c>
      <c r="BD14" s="25" t="n">
        <v>4.629994301523985</v>
      </c>
      <c r="BE14" s="25" t="n">
        <v>4.629994301523985</v>
      </c>
      <c r="BF14" s="25" t="n">
        <v>6.134017780153573</v>
      </c>
      <c r="BG14" s="25" t="n">
        <v>2.314997150761993</v>
      </c>
      <c r="BH14" s="25" t="n">
        <v>4.629994301523985</v>
      </c>
      <c r="BI14" s="25" t="n">
        <v>2.314997150761993</v>
      </c>
      <c r="BJ14" s="25" t="n">
        <v>3.81902062939158</v>
      </c>
      <c r="BK14" s="25" t="n">
        <v>2.314997150761993</v>
      </c>
      <c r="BL14" s="25" t="n">
        <v>4.629994301523985</v>
      </c>
      <c r="BM14" s="25" t="n">
        <v>2.314997150761993</v>
      </c>
      <c r="BN14" s="25" t="n">
        <v>2.314997150761993</v>
      </c>
      <c r="BO14" s="25" t="n">
        <v>3.067008890076786</v>
      </c>
      <c r="BP14" s="25" t="n">
        <v>0</v>
      </c>
      <c r="BQ14" s="25" t="n">
        <v>2.314997150761993</v>
      </c>
      <c r="BR14" s="25" t="n">
        <v>2.314997150761993</v>
      </c>
      <c r="BS14" s="25" t="n">
        <v>2.314997150761993</v>
      </c>
      <c r="BT14" s="25" t="n">
        <v>0</v>
      </c>
      <c r="BU14" s="25" t="n">
        <v>2.314997150761993</v>
      </c>
      <c r="BV14" s="25" t="n">
        <v>1.736247863071494</v>
      </c>
      <c r="BW14" s="25" t="n">
        <v>0</v>
      </c>
      <c r="BX14" s="25" t="n">
        <v>0</v>
      </c>
      <c r="BY14" s="25" t="n">
        <v>0</v>
      </c>
      <c r="BZ14" s="25" t="n">
        <v>0</v>
      </c>
      <c r="CA14" s="25" t="n">
        <v>0</v>
      </c>
      <c r="CB14" s="25" t="n">
        <v>0</v>
      </c>
      <c r="CC14" s="25" t="n">
        <v>0</v>
      </c>
      <c r="CD14" s="25" t="n">
        <v>0</v>
      </c>
      <c r="CE14" s="25" t="n">
        <v>0</v>
      </c>
      <c r="CF14" s="25" t="n">
        <v>0</v>
      </c>
      <c r="CG14" s="25" t="n">
        <v>0</v>
      </c>
      <c r="CH14" s="25" t="n">
        <v>0</v>
      </c>
      <c r="CI14" s="25" t="n">
        <v>0</v>
      </c>
      <c r="CJ14" s="25" t="n">
        <v>0</v>
      </c>
      <c r="CK14" s="25" t="n">
        <v>0</v>
      </c>
      <c r="CL14" s="25" t="n">
        <v>0</v>
      </c>
      <c r="CM14" s="25" t="n">
        <v>0</v>
      </c>
      <c r="CN14" s="25" t="n">
        <v>0</v>
      </c>
      <c r="CO14" s="25" t="n">
        <v>0</v>
      </c>
      <c r="CP14" s="25" t="n">
        <v>0</v>
      </c>
      <c r="CQ14" s="25" t="n">
        <v>0</v>
      </c>
      <c r="CR14" s="25" t="n">
        <v>0</v>
      </c>
      <c r="CS14" s="25" t="n">
        <v>0</v>
      </c>
      <c r="CT14" s="25" t="n">
        <v>0</v>
      </c>
      <c r="CU14" s="25" t="n">
        <v>0</v>
      </c>
      <c r="CV14" s="25" t="n">
        <v>0</v>
      </c>
      <c r="CW14" s="25" t="n">
        <v>0</v>
      </c>
      <c r="CX14" s="25" t="n">
        <v>0</v>
      </c>
      <c r="CY14" s="25" t="n">
        <v>0</v>
      </c>
      <c r="CZ14" s="25" t="n">
        <v>0</v>
      </c>
      <c r="DA14" s="25" t="n">
        <v>0</v>
      </c>
    </row>
    <row r="15">
      <c r="A15" t="inlineStr">
        <is>
          <t>TSP-1449</t>
        </is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0</v>
      </c>
      <c r="R15" s="25" t="n">
        <v>0</v>
      </c>
      <c r="S15" s="25" t="n">
        <v>0</v>
      </c>
      <c r="T15" s="25" t="n">
        <v>0</v>
      </c>
      <c r="U15" s="25" t="n">
        <v>0</v>
      </c>
      <c r="V15" s="25" t="n">
        <v>0</v>
      </c>
      <c r="W15" s="25" t="n">
        <v>0</v>
      </c>
      <c r="X15" s="25" t="n">
        <v>4.281174270692706</v>
      </c>
      <c r="Y15" s="25" t="n">
        <v>2.140587135346353</v>
      </c>
      <c r="Z15" s="25" t="n">
        <v>0</v>
      </c>
      <c r="AA15" s="25" t="n">
        <v>2.140587135346353</v>
      </c>
      <c r="AB15" s="25" t="n">
        <v>2.140587135346353</v>
      </c>
      <c r="AC15" s="25" t="n">
        <v>0</v>
      </c>
      <c r="AD15" s="25" t="n">
        <v>2.140587135346353</v>
      </c>
      <c r="AE15" s="25" t="n">
        <v>0</v>
      </c>
      <c r="AF15" s="25" t="n">
        <v>0.7135290451154509</v>
      </c>
      <c r="AG15" s="25" t="n">
        <v>2.140587135346353</v>
      </c>
      <c r="AH15" s="25" t="n">
        <v>2.140587135346353</v>
      </c>
      <c r="AI15" s="25" t="n">
        <v>2.140587135346353</v>
      </c>
      <c r="AJ15" s="25" t="n">
        <v>0</v>
      </c>
      <c r="AK15" s="25" t="n">
        <v>0</v>
      </c>
      <c r="AL15" s="25" t="n">
        <v>2.140587135346353</v>
      </c>
      <c r="AM15" s="25" t="n">
        <v>0</v>
      </c>
      <c r="AN15" s="25" t="n">
        <v>2.140587135346353</v>
      </c>
      <c r="AO15" s="25" t="n">
        <v>0</v>
      </c>
      <c r="AP15" s="25" t="n">
        <v>2.140587135346353</v>
      </c>
      <c r="AQ15" s="25" t="n">
        <v>2.140587135346353</v>
      </c>
      <c r="AR15" s="25" t="n">
        <v>2.140587135346353</v>
      </c>
      <c r="AS15" s="25" t="n">
        <v>4.994703315808157</v>
      </c>
      <c r="AT15" s="25" t="n">
        <v>2.140587135346353</v>
      </c>
      <c r="AU15" s="25" t="n">
        <v>2.140587135346353</v>
      </c>
      <c r="AV15" s="25" t="n">
        <v>2.140587135346353</v>
      </c>
      <c r="AW15" s="25" t="n">
        <v>2.140587135346353</v>
      </c>
      <c r="AX15" s="25" t="n">
        <v>2.140587135346353</v>
      </c>
      <c r="AY15" s="25" t="n">
        <v>2.140587135346353</v>
      </c>
      <c r="AZ15" s="25" t="n">
        <v>0</v>
      </c>
      <c r="BA15" s="25" t="n">
        <v>0</v>
      </c>
      <c r="BB15" s="25" t="n">
        <v>0</v>
      </c>
      <c r="BC15" s="25" t="n">
        <v>0</v>
      </c>
      <c r="BD15" s="25" t="n">
        <v>0</v>
      </c>
      <c r="BE15" s="25" t="n">
        <v>2.140587135346353</v>
      </c>
      <c r="BF15" s="25" t="n">
        <v>2.854116180461804</v>
      </c>
      <c r="BG15" s="25" t="n">
        <v>2.140587135346353</v>
      </c>
      <c r="BH15" s="25" t="n">
        <v>2.140587135346353</v>
      </c>
      <c r="BI15" s="25" t="n">
        <v>2.140587135346353</v>
      </c>
      <c r="BJ15" s="25" t="n">
        <v>0</v>
      </c>
      <c r="BK15" s="25" t="n">
        <v>2.140587135346353</v>
      </c>
      <c r="BL15" s="25" t="n">
        <v>0.7135290451154509</v>
      </c>
      <c r="BM15" s="25" t="n">
        <v>0</v>
      </c>
      <c r="BN15" s="25" t="n">
        <v>0</v>
      </c>
      <c r="BO15" s="25" t="n">
        <v>1.427058090230902</v>
      </c>
      <c r="BP15" s="25" t="n">
        <v>0.7135290451154509</v>
      </c>
      <c r="BQ15" s="25" t="n">
        <v>0</v>
      </c>
      <c r="BR15" s="25" t="n">
        <v>0</v>
      </c>
      <c r="BS15" s="25" t="n">
        <v>0.7135290451154509</v>
      </c>
      <c r="BT15" s="25" t="n">
        <v>0</v>
      </c>
      <c r="BU15" s="25" t="n">
        <v>0</v>
      </c>
      <c r="BV15" s="25" t="n">
        <v>0</v>
      </c>
      <c r="BW15" s="25" t="n">
        <v>0.7135290451154509</v>
      </c>
      <c r="BX15" s="25" t="n">
        <v>0</v>
      </c>
      <c r="BY15" s="25" t="n">
        <v>0</v>
      </c>
      <c r="BZ15" s="25" t="n">
        <v>0</v>
      </c>
      <c r="CA15" s="25" t="n">
        <v>0</v>
      </c>
      <c r="CB15" s="25" t="n">
        <v>0</v>
      </c>
      <c r="CC15" s="25" t="n">
        <v>0</v>
      </c>
      <c r="CD15" s="25" t="n">
        <v>0</v>
      </c>
      <c r="CE15" s="25" t="n">
        <v>0</v>
      </c>
      <c r="CF15" s="25" t="n">
        <v>0</v>
      </c>
      <c r="CG15" s="25" t="n">
        <v>0</v>
      </c>
      <c r="CH15" s="25" t="n">
        <v>0</v>
      </c>
      <c r="CI15" s="25" t="n">
        <v>0</v>
      </c>
      <c r="CJ15" s="25" t="n">
        <v>0</v>
      </c>
      <c r="CK15" s="25" t="n">
        <v>0</v>
      </c>
      <c r="CL15" s="25" t="n">
        <v>0</v>
      </c>
      <c r="CM15" s="25" t="n">
        <v>0</v>
      </c>
      <c r="CN15" s="25" t="n">
        <v>0</v>
      </c>
      <c r="CO15" s="25" t="n">
        <v>0</v>
      </c>
      <c r="CP15" s="25" t="n">
        <v>0</v>
      </c>
      <c r="CQ15" s="25" t="n">
        <v>0</v>
      </c>
      <c r="CR15" s="25" t="n">
        <v>0</v>
      </c>
      <c r="CS15" s="25" t="n">
        <v>0</v>
      </c>
      <c r="CT15" s="25" t="n">
        <v>0</v>
      </c>
      <c r="CU15" s="25" t="n">
        <v>0</v>
      </c>
      <c r="CV15" s="25" t="n">
        <v>0</v>
      </c>
      <c r="CW15" s="25" t="n">
        <v>0</v>
      </c>
      <c r="CX15" s="25" t="n">
        <v>0</v>
      </c>
      <c r="CY15" s="25" t="n">
        <v>0</v>
      </c>
      <c r="CZ15" s="25" t="n">
        <v>0</v>
      </c>
      <c r="DA15" s="25" t="n">
        <v>0</v>
      </c>
    </row>
    <row r="16">
      <c r="A16" t="inlineStr">
        <is>
          <t>TSP-199</t>
        </is>
      </c>
      <c r="B16" s="25" t="n">
        <v>0</v>
      </c>
      <c r="C16" s="25" t="n">
        <v>0</v>
      </c>
      <c r="D16" s="25" t="n">
        <v>0</v>
      </c>
      <c r="E16" s="25" t="n">
        <v>0</v>
      </c>
      <c r="F16" s="25" t="n">
        <v>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0</v>
      </c>
      <c r="R16" s="25" t="n">
        <v>0</v>
      </c>
      <c r="S16" s="25" t="n">
        <v>0</v>
      </c>
      <c r="T16" s="25" t="n">
        <v>0</v>
      </c>
      <c r="U16" s="25" t="n">
        <v>0</v>
      </c>
      <c r="V16" s="25" t="n">
        <v>0</v>
      </c>
      <c r="W16" s="25" t="n">
        <v>0</v>
      </c>
      <c r="X16" s="25" t="n">
        <v>0</v>
      </c>
      <c r="Y16" s="25" t="n">
        <v>0</v>
      </c>
      <c r="Z16" s="25" t="n">
        <v>0</v>
      </c>
      <c r="AA16" s="25" t="n">
        <v>0</v>
      </c>
      <c r="AB16" s="25" t="n">
        <v>0</v>
      </c>
      <c r="AC16" s="25" t="n">
        <v>0</v>
      </c>
      <c r="AD16" s="25" t="n">
        <v>0</v>
      </c>
      <c r="AE16" s="25" t="n">
        <v>0</v>
      </c>
      <c r="AF16" s="25" t="n">
        <v>0</v>
      </c>
      <c r="AG16" s="25" t="n">
        <v>0</v>
      </c>
      <c r="AH16" s="25" t="n">
        <v>0</v>
      </c>
      <c r="AI16" s="25" t="n">
        <v>0</v>
      </c>
      <c r="AJ16" s="25" t="n">
        <v>0</v>
      </c>
      <c r="AK16" s="25" t="n">
        <v>0</v>
      </c>
      <c r="AL16" s="25" t="n">
        <v>0</v>
      </c>
      <c r="AM16" s="25" t="n">
        <v>0</v>
      </c>
      <c r="AN16" s="25" t="n">
        <v>0</v>
      </c>
      <c r="AO16" s="25" t="n">
        <v>0</v>
      </c>
      <c r="AP16" s="25" t="n">
        <v>0</v>
      </c>
      <c r="AQ16" s="25" t="n">
        <v>0</v>
      </c>
      <c r="AR16" s="25" t="n">
        <v>0</v>
      </c>
      <c r="AS16" s="25" t="n">
        <v>0</v>
      </c>
      <c r="AT16" s="25" t="n">
        <v>0</v>
      </c>
      <c r="AU16" s="25" t="n">
        <v>0</v>
      </c>
      <c r="AV16" s="25" t="n">
        <v>0</v>
      </c>
      <c r="AW16" s="25" t="n">
        <v>0</v>
      </c>
      <c r="AX16" s="25" t="n">
        <v>0</v>
      </c>
      <c r="AY16" s="25" t="n">
        <v>0</v>
      </c>
      <c r="AZ16" s="25" t="n">
        <v>0</v>
      </c>
      <c r="BA16" s="25" t="n">
        <v>0</v>
      </c>
      <c r="BB16" s="25" t="n">
        <v>0</v>
      </c>
      <c r="BC16" s="25" t="n">
        <v>0</v>
      </c>
      <c r="BD16" s="25" t="n">
        <v>0</v>
      </c>
      <c r="BE16" s="25" t="n">
        <v>0</v>
      </c>
      <c r="BF16" s="25" t="n">
        <v>0</v>
      </c>
      <c r="BG16" s="25" t="n">
        <v>0</v>
      </c>
      <c r="BH16" s="25" t="n">
        <v>0</v>
      </c>
      <c r="BI16" s="25" t="n">
        <v>0</v>
      </c>
      <c r="BJ16" s="25" t="n">
        <v>0</v>
      </c>
      <c r="BK16" s="25" t="n">
        <v>0</v>
      </c>
      <c r="BL16" s="25" t="n">
        <v>0</v>
      </c>
      <c r="BM16" s="25" t="n">
        <v>0</v>
      </c>
      <c r="BN16" s="25" t="n">
        <v>0</v>
      </c>
      <c r="BO16" s="25" t="n">
        <v>0</v>
      </c>
      <c r="BP16" s="25" t="n">
        <v>0</v>
      </c>
      <c r="BQ16" s="25" t="n">
        <v>0</v>
      </c>
      <c r="BR16" s="25" t="n">
        <v>0</v>
      </c>
      <c r="BS16" s="25" t="n">
        <v>0</v>
      </c>
      <c r="BT16" s="25" t="n">
        <v>0</v>
      </c>
      <c r="BU16" s="25" t="n">
        <v>0</v>
      </c>
      <c r="BV16" s="25" t="n">
        <v>0</v>
      </c>
      <c r="BW16" s="25" t="n">
        <v>0</v>
      </c>
      <c r="BX16" s="25" t="n">
        <v>0</v>
      </c>
      <c r="BY16" s="25" t="n">
        <v>0</v>
      </c>
      <c r="BZ16" s="25" t="n">
        <v>0</v>
      </c>
      <c r="CA16" s="25" t="n">
        <v>0</v>
      </c>
      <c r="CB16" s="25" t="n">
        <v>0</v>
      </c>
      <c r="CC16" s="25" t="n">
        <v>0</v>
      </c>
      <c r="CD16" s="25" t="n">
        <v>0</v>
      </c>
      <c r="CE16" s="25" t="n">
        <v>0</v>
      </c>
      <c r="CF16" s="25" t="n">
        <v>0</v>
      </c>
      <c r="CG16" s="25" t="n">
        <v>0</v>
      </c>
      <c r="CH16" s="25" t="n">
        <v>0</v>
      </c>
      <c r="CI16" s="25" t="n">
        <v>0</v>
      </c>
      <c r="CJ16" s="25" t="n">
        <v>0</v>
      </c>
      <c r="CK16" s="25" t="n">
        <v>0</v>
      </c>
      <c r="CL16" s="25" t="n">
        <v>0</v>
      </c>
      <c r="CM16" s="25" t="n">
        <v>0</v>
      </c>
      <c r="CN16" s="25" t="n">
        <v>0</v>
      </c>
      <c r="CO16" s="25" t="n">
        <v>0</v>
      </c>
      <c r="CP16" s="25" t="n">
        <v>0</v>
      </c>
      <c r="CQ16" s="25" t="n">
        <v>0</v>
      </c>
      <c r="CR16" s="25" t="n">
        <v>0</v>
      </c>
      <c r="CS16" s="25" t="n">
        <v>0</v>
      </c>
      <c r="CT16" s="25" t="n">
        <v>0</v>
      </c>
      <c r="CU16" s="25" t="n">
        <v>0</v>
      </c>
      <c r="CV16" s="25" t="n">
        <v>0</v>
      </c>
      <c r="CW16" s="25" t="n">
        <v>0</v>
      </c>
      <c r="CX16" s="25" t="n">
        <v>0</v>
      </c>
      <c r="CY16" s="25" t="n">
        <v>0</v>
      </c>
      <c r="CZ16" s="25" t="n">
        <v>0</v>
      </c>
      <c r="DA16" s="25" t="n">
        <v>0</v>
      </c>
    </row>
    <row r="17">
      <c r="A17" t="inlineStr">
        <is>
          <t>TSP-205</t>
        </is>
      </c>
      <c r="B17" s="25" t="n">
        <v>0</v>
      </c>
      <c r="C17" s="25" t="n">
        <v>0</v>
      </c>
      <c r="D17" s="25" t="n">
        <v>0</v>
      </c>
      <c r="E17" s="25" t="n">
        <v>0</v>
      </c>
      <c r="F17" s="25" t="n">
        <v>0</v>
      </c>
      <c r="G17" s="25" t="n">
        <v>0</v>
      </c>
      <c r="H17" s="25" t="n">
        <v>0</v>
      </c>
      <c r="I17" s="25" t="n">
        <v>0</v>
      </c>
      <c r="J17" s="25" t="n">
        <v>0</v>
      </c>
      <c r="K17" s="25" t="n">
        <v>0</v>
      </c>
      <c r="L17" s="25" t="n">
        <v>0</v>
      </c>
      <c r="M17" s="25" t="n">
        <v>0</v>
      </c>
      <c r="N17" s="25" t="n">
        <v>0</v>
      </c>
      <c r="O17" s="25" t="n">
        <v>0</v>
      </c>
      <c r="P17" s="25" t="n">
        <v>0</v>
      </c>
      <c r="Q17" s="25" t="n">
        <v>0</v>
      </c>
      <c r="R17" s="25" t="n">
        <v>0</v>
      </c>
      <c r="S17" s="25" t="n">
        <v>0</v>
      </c>
      <c r="T17" s="25" t="n">
        <v>0</v>
      </c>
      <c r="U17" s="25" t="n">
        <v>0</v>
      </c>
      <c r="V17" s="25" t="n">
        <v>0</v>
      </c>
      <c r="W17" s="25" t="n">
        <v>0</v>
      </c>
      <c r="X17" s="25" t="n">
        <v>0</v>
      </c>
      <c r="Y17" s="25" t="n">
        <v>0</v>
      </c>
      <c r="Z17" s="25" t="n">
        <v>0</v>
      </c>
      <c r="AA17" s="25" t="n">
        <v>0</v>
      </c>
      <c r="AB17" s="25" t="n">
        <v>0</v>
      </c>
      <c r="AC17" s="25" t="n">
        <v>0</v>
      </c>
      <c r="AD17" s="25" t="n">
        <v>0</v>
      </c>
      <c r="AE17" s="25" t="n">
        <v>0</v>
      </c>
      <c r="AF17" s="25" t="n">
        <v>0</v>
      </c>
      <c r="AG17" s="25" t="n">
        <v>0</v>
      </c>
      <c r="AH17" s="25" t="n">
        <v>0</v>
      </c>
      <c r="AI17" s="25" t="n">
        <v>0</v>
      </c>
      <c r="AJ17" s="25" t="n">
        <v>0</v>
      </c>
      <c r="AK17" s="25" t="n">
        <v>0</v>
      </c>
      <c r="AL17" s="25" t="n">
        <v>0</v>
      </c>
      <c r="AM17" s="25" t="n">
        <v>0</v>
      </c>
      <c r="AN17" s="25" t="n">
        <v>0</v>
      </c>
      <c r="AO17" s="25" t="n">
        <v>0</v>
      </c>
      <c r="AP17" s="25" t="n">
        <v>0</v>
      </c>
      <c r="AQ17" s="25" t="n">
        <v>0</v>
      </c>
      <c r="AR17" s="25" t="n">
        <v>0</v>
      </c>
      <c r="AS17" s="25" t="n">
        <v>0</v>
      </c>
      <c r="AT17" s="25" t="n">
        <v>0</v>
      </c>
      <c r="AU17" s="25" t="n">
        <v>0</v>
      </c>
      <c r="AV17" s="25" t="n">
        <v>0</v>
      </c>
      <c r="AW17" s="25" t="n">
        <v>0</v>
      </c>
      <c r="AX17" s="25" t="n">
        <v>0</v>
      </c>
      <c r="AY17" s="25" t="n">
        <v>0</v>
      </c>
      <c r="AZ17" s="25" t="n">
        <v>0</v>
      </c>
      <c r="BA17" s="25" t="n">
        <v>0</v>
      </c>
      <c r="BB17" s="25" t="n">
        <v>0</v>
      </c>
      <c r="BC17" s="25" t="n">
        <v>0</v>
      </c>
      <c r="BD17" s="25" t="n">
        <v>0</v>
      </c>
      <c r="BE17" s="25" t="n">
        <v>0</v>
      </c>
      <c r="BF17" s="25" t="n">
        <v>0</v>
      </c>
      <c r="BG17" s="25" t="n">
        <v>0</v>
      </c>
      <c r="BH17" s="25" t="n">
        <v>0</v>
      </c>
      <c r="BI17" s="25" t="n">
        <v>0</v>
      </c>
      <c r="BJ17" s="25" t="n">
        <v>0</v>
      </c>
      <c r="BK17" s="25" t="n">
        <v>0</v>
      </c>
      <c r="BL17" s="25" t="n">
        <v>0</v>
      </c>
      <c r="BM17" s="25" t="n">
        <v>0</v>
      </c>
      <c r="BN17" s="25" t="n">
        <v>0</v>
      </c>
      <c r="BO17" s="25" t="n">
        <v>0</v>
      </c>
      <c r="BP17" s="25" t="n">
        <v>0</v>
      </c>
      <c r="BQ17" s="25" t="n">
        <v>0</v>
      </c>
      <c r="BR17" s="25" t="n">
        <v>0</v>
      </c>
      <c r="BS17" s="25" t="n">
        <v>0</v>
      </c>
      <c r="BT17" s="25" t="n">
        <v>0</v>
      </c>
      <c r="BU17" s="25" t="n">
        <v>0</v>
      </c>
      <c r="BV17" s="25" t="n">
        <v>0</v>
      </c>
      <c r="BW17" s="25" t="n">
        <v>0</v>
      </c>
      <c r="BX17" s="25" t="n">
        <v>0</v>
      </c>
      <c r="BY17" s="25" t="n">
        <v>0</v>
      </c>
      <c r="BZ17" s="25" t="n">
        <v>0</v>
      </c>
      <c r="CA17" s="25" t="n">
        <v>0</v>
      </c>
      <c r="CB17" s="25" t="n">
        <v>0</v>
      </c>
      <c r="CC17" s="25" t="n">
        <v>0</v>
      </c>
      <c r="CD17" s="25" t="n">
        <v>0</v>
      </c>
      <c r="CE17" s="25" t="n">
        <v>0</v>
      </c>
      <c r="CF17" s="25" t="n">
        <v>0</v>
      </c>
      <c r="CG17" s="25" t="n">
        <v>0</v>
      </c>
      <c r="CH17" s="25" t="n">
        <v>0</v>
      </c>
      <c r="CI17" s="25" t="n">
        <v>0</v>
      </c>
      <c r="CJ17" s="25" t="n">
        <v>0</v>
      </c>
      <c r="CK17" s="25" t="n">
        <v>0</v>
      </c>
      <c r="CL17" s="25" t="n">
        <v>0</v>
      </c>
      <c r="CM17" s="25" t="n">
        <v>0</v>
      </c>
      <c r="CN17" s="25" t="n">
        <v>0</v>
      </c>
      <c r="CO17" s="25" t="n">
        <v>0</v>
      </c>
      <c r="CP17" s="25" t="n">
        <v>0</v>
      </c>
      <c r="CQ17" s="25" t="n">
        <v>0</v>
      </c>
      <c r="CR17" s="25" t="n">
        <v>0</v>
      </c>
      <c r="CS17" s="25" t="n">
        <v>0</v>
      </c>
      <c r="CT17" s="25" t="n">
        <v>0</v>
      </c>
      <c r="CU17" s="25" t="n">
        <v>0</v>
      </c>
      <c r="CV17" s="25" t="n">
        <v>0</v>
      </c>
      <c r="CW17" s="25" t="n">
        <v>0</v>
      </c>
      <c r="CX17" s="25" t="n">
        <v>0</v>
      </c>
      <c r="CY17" s="25" t="n">
        <v>0</v>
      </c>
      <c r="CZ17" s="25" t="n">
        <v>0</v>
      </c>
      <c r="DA17" s="25" t="n">
        <v>0</v>
      </c>
    </row>
    <row r="18">
      <c r="A18" t="inlineStr">
        <is>
          <t>TSP-206</t>
        </is>
      </c>
      <c r="B18" s="25" t="n">
        <v>0</v>
      </c>
      <c r="C18" s="25" t="n">
        <v>0</v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5" t="n">
        <v>0</v>
      </c>
      <c r="J18" s="25" t="n">
        <v>0</v>
      </c>
      <c r="K18" s="25" t="n">
        <v>0</v>
      </c>
      <c r="L18" s="25" t="n">
        <v>0</v>
      </c>
      <c r="M18" s="25" t="n">
        <v>0</v>
      </c>
      <c r="N18" s="25" t="n">
        <v>0</v>
      </c>
      <c r="O18" s="25" t="n">
        <v>0</v>
      </c>
      <c r="P18" s="25" t="n">
        <v>0</v>
      </c>
      <c r="Q18" s="25" t="n">
        <v>0</v>
      </c>
      <c r="R18" s="25" t="n">
        <v>0</v>
      </c>
      <c r="S18" s="25" t="n">
        <v>0</v>
      </c>
      <c r="T18" s="25" t="n">
        <v>0</v>
      </c>
      <c r="U18" s="25" t="n">
        <v>0</v>
      </c>
      <c r="V18" s="25" t="n">
        <v>0</v>
      </c>
      <c r="W18" s="25" t="n">
        <v>0</v>
      </c>
      <c r="X18" s="25" t="n">
        <v>0</v>
      </c>
      <c r="Y18" s="25" t="n">
        <v>0</v>
      </c>
      <c r="Z18" s="25" t="n">
        <v>0</v>
      </c>
      <c r="AA18" s="25" t="n">
        <v>0</v>
      </c>
      <c r="AB18" s="25" t="n">
        <v>0</v>
      </c>
      <c r="AC18" s="25" t="n">
        <v>0</v>
      </c>
      <c r="AD18" s="25" t="n">
        <v>0</v>
      </c>
      <c r="AE18" s="25" t="n">
        <v>0</v>
      </c>
      <c r="AF18" s="25" t="n">
        <v>0</v>
      </c>
      <c r="AG18" s="25" t="n">
        <v>0</v>
      </c>
      <c r="AH18" s="25" t="n">
        <v>0</v>
      </c>
      <c r="AI18" s="25" t="n">
        <v>0</v>
      </c>
      <c r="AJ18" s="25" t="n">
        <v>0</v>
      </c>
      <c r="AK18" s="25" t="n">
        <v>0</v>
      </c>
      <c r="AL18" s="25" t="n">
        <v>0</v>
      </c>
      <c r="AM18" s="25" t="n">
        <v>0</v>
      </c>
      <c r="AN18" s="25" t="n">
        <v>0</v>
      </c>
      <c r="AO18" s="25" t="n">
        <v>0</v>
      </c>
      <c r="AP18" s="25" t="n">
        <v>0</v>
      </c>
      <c r="AQ18" s="25" t="n">
        <v>0</v>
      </c>
      <c r="AR18" s="25" t="n">
        <v>0</v>
      </c>
      <c r="AS18" s="25" t="n">
        <v>0</v>
      </c>
      <c r="AT18" s="25" t="n">
        <v>0</v>
      </c>
      <c r="AU18" s="25" t="n">
        <v>0</v>
      </c>
      <c r="AV18" s="25" t="n">
        <v>0</v>
      </c>
      <c r="AW18" s="25" t="n">
        <v>0</v>
      </c>
      <c r="AX18" s="25" t="n">
        <v>0</v>
      </c>
      <c r="AY18" s="25" t="n">
        <v>0</v>
      </c>
      <c r="AZ18" s="25" t="n">
        <v>0</v>
      </c>
      <c r="BA18" s="25" t="n">
        <v>0</v>
      </c>
      <c r="BB18" s="25" t="n">
        <v>0</v>
      </c>
      <c r="BC18" s="25" t="n">
        <v>0</v>
      </c>
      <c r="BD18" s="25" t="n">
        <v>0</v>
      </c>
      <c r="BE18" s="25" t="n">
        <v>0</v>
      </c>
      <c r="BF18" s="25" t="n">
        <v>0</v>
      </c>
      <c r="BG18" s="25" t="n">
        <v>0</v>
      </c>
      <c r="BH18" s="25" t="n">
        <v>0</v>
      </c>
      <c r="BI18" s="25" t="n">
        <v>0</v>
      </c>
      <c r="BJ18" s="25" t="n">
        <v>0</v>
      </c>
      <c r="BK18" s="25" t="n">
        <v>0</v>
      </c>
      <c r="BL18" s="25" t="n">
        <v>0</v>
      </c>
      <c r="BM18" s="25" t="n">
        <v>0</v>
      </c>
      <c r="BN18" s="25" t="n">
        <v>0</v>
      </c>
      <c r="BO18" s="25" t="n">
        <v>0</v>
      </c>
      <c r="BP18" s="25" t="n">
        <v>0</v>
      </c>
      <c r="BQ18" s="25" t="n">
        <v>0</v>
      </c>
      <c r="BR18" s="25" t="n">
        <v>0</v>
      </c>
      <c r="BS18" s="25" t="n">
        <v>0</v>
      </c>
      <c r="BT18" s="25" t="n">
        <v>0</v>
      </c>
      <c r="BU18" s="25" t="n">
        <v>0</v>
      </c>
      <c r="BV18" s="25" t="n">
        <v>0</v>
      </c>
      <c r="BW18" s="25" t="n">
        <v>0</v>
      </c>
      <c r="BX18" s="25" t="n">
        <v>0</v>
      </c>
      <c r="BY18" s="25" t="n">
        <v>0</v>
      </c>
      <c r="BZ18" s="25" t="n">
        <v>0</v>
      </c>
      <c r="CA18" s="25" t="n">
        <v>0</v>
      </c>
      <c r="CB18" s="25" t="n">
        <v>0</v>
      </c>
      <c r="CC18" s="25" t="n">
        <v>0</v>
      </c>
      <c r="CD18" s="25" t="n">
        <v>0</v>
      </c>
      <c r="CE18" s="25" t="n">
        <v>0</v>
      </c>
      <c r="CF18" s="25" t="n">
        <v>0</v>
      </c>
      <c r="CG18" s="25" t="n">
        <v>0</v>
      </c>
      <c r="CH18" s="25" t="n">
        <v>0</v>
      </c>
      <c r="CI18" s="25" t="n">
        <v>0</v>
      </c>
      <c r="CJ18" s="25" t="n">
        <v>0</v>
      </c>
      <c r="CK18" s="25" t="n">
        <v>0</v>
      </c>
      <c r="CL18" s="25" t="n">
        <v>0</v>
      </c>
      <c r="CM18" s="25" t="n">
        <v>0</v>
      </c>
      <c r="CN18" s="25" t="n">
        <v>0</v>
      </c>
      <c r="CO18" s="25" t="n">
        <v>0</v>
      </c>
      <c r="CP18" s="25" t="n">
        <v>0</v>
      </c>
      <c r="CQ18" s="25" t="n">
        <v>0</v>
      </c>
      <c r="CR18" s="25" t="n">
        <v>0</v>
      </c>
      <c r="CS18" s="25" t="n">
        <v>0</v>
      </c>
      <c r="CT18" s="25" t="n">
        <v>0</v>
      </c>
      <c r="CU18" s="25" t="n">
        <v>0</v>
      </c>
      <c r="CV18" s="25" t="n">
        <v>0</v>
      </c>
      <c r="CW18" s="25" t="n">
        <v>0</v>
      </c>
      <c r="CX18" s="25" t="n">
        <v>0</v>
      </c>
      <c r="CY18" s="25" t="n">
        <v>0</v>
      </c>
      <c r="CZ18" s="25" t="n">
        <v>0</v>
      </c>
      <c r="DA18" s="25" t="n">
        <v>0</v>
      </c>
    </row>
    <row r="19">
      <c r="A19" t="inlineStr">
        <is>
          <t>TSP-224</t>
        </is>
      </c>
      <c r="B19" s="25" t="n">
        <v>0</v>
      </c>
      <c r="C19" s="25" t="n">
        <v>0</v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5" t="n">
        <v>0</v>
      </c>
      <c r="J19" s="25" t="n">
        <v>0</v>
      </c>
      <c r="K19" s="25" t="n">
        <v>0</v>
      </c>
      <c r="L19" s="25" t="n">
        <v>0</v>
      </c>
      <c r="M19" s="25" t="n">
        <v>0</v>
      </c>
      <c r="N19" s="25" t="n">
        <v>0</v>
      </c>
      <c r="O19" s="25" t="n">
        <v>0</v>
      </c>
      <c r="P19" s="25" t="n">
        <v>0</v>
      </c>
      <c r="Q19" s="25" t="n">
        <v>0</v>
      </c>
      <c r="R19" s="25" t="n">
        <v>0</v>
      </c>
      <c r="S19" s="25" t="n">
        <v>0</v>
      </c>
      <c r="T19" s="25" t="n">
        <v>0</v>
      </c>
      <c r="U19" s="25" t="n">
        <v>0</v>
      </c>
      <c r="V19" s="25" t="n">
        <v>0</v>
      </c>
      <c r="W19" s="25" t="n">
        <v>0</v>
      </c>
      <c r="X19" s="25" t="n">
        <v>0</v>
      </c>
      <c r="Y19" s="25" t="n">
        <v>0</v>
      </c>
      <c r="Z19" s="25" t="n">
        <v>0</v>
      </c>
      <c r="AA19" s="25" t="n">
        <v>0</v>
      </c>
      <c r="AB19" s="25" t="n">
        <v>0</v>
      </c>
      <c r="AC19" s="25" t="n">
        <v>0</v>
      </c>
      <c r="AD19" s="25" t="n">
        <v>0</v>
      </c>
      <c r="AE19" s="25" t="n">
        <v>0</v>
      </c>
      <c r="AF19" s="25" t="n">
        <v>0</v>
      </c>
      <c r="AG19" s="25" t="n">
        <v>0</v>
      </c>
      <c r="AH19" s="25" t="n">
        <v>0</v>
      </c>
      <c r="AI19" s="25" t="n">
        <v>0</v>
      </c>
      <c r="AJ19" s="25" t="n">
        <v>0</v>
      </c>
      <c r="AK19" s="25" t="n">
        <v>0</v>
      </c>
      <c r="AL19" s="25" t="n">
        <v>0</v>
      </c>
      <c r="AM19" s="25" t="n">
        <v>0</v>
      </c>
      <c r="AN19" s="25" t="n">
        <v>0</v>
      </c>
      <c r="AO19" s="25" t="n">
        <v>0</v>
      </c>
      <c r="AP19" s="25" t="n">
        <v>0</v>
      </c>
      <c r="AQ19" s="25" t="n">
        <v>0</v>
      </c>
      <c r="AR19" s="25" t="n">
        <v>0</v>
      </c>
      <c r="AS19" s="25" t="n">
        <v>0</v>
      </c>
      <c r="AT19" s="25" t="n">
        <v>0</v>
      </c>
      <c r="AU19" s="25" t="n">
        <v>0</v>
      </c>
      <c r="AV19" s="25" t="n">
        <v>0</v>
      </c>
      <c r="AW19" s="25" t="n">
        <v>0</v>
      </c>
      <c r="AX19" s="25" t="n">
        <v>0</v>
      </c>
      <c r="AY19" s="25" t="n">
        <v>0</v>
      </c>
      <c r="AZ19" s="25" t="n">
        <v>0</v>
      </c>
      <c r="BA19" s="25" t="n">
        <v>0</v>
      </c>
      <c r="BB19" s="25" t="n">
        <v>0</v>
      </c>
      <c r="BC19" s="25" t="n">
        <v>0</v>
      </c>
      <c r="BD19" s="25" t="n">
        <v>0</v>
      </c>
      <c r="BE19" s="25" t="n">
        <v>0</v>
      </c>
      <c r="BF19" s="25" t="n">
        <v>0</v>
      </c>
      <c r="BG19" s="25" t="n">
        <v>0</v>
      </c>
      <c r="BH19" s="25" t="n">
        <v>0</v>
      </c>
      <c r="BI19" s="25" t="n">
        <v>0</v>
      </c>
      <c r="BJ19" s="25" t="n">
        <v>0</v>
      </c>
      <c r="BK19" s="25" t="n">
        <v>0</v>
      </c>
      <c r="BL19" s="25" t="n">
        <v>0</v>
      </c>
      <c r="BM19" s="25" t="n">
        <v>0</v>
      </c>
      <c r="BN19" s="25" t="n">
        <v>0</v>
      </c>
      <c r="BO19" s="25" t="n">
        <v>0</v>
      </c>
      <c r="BP19" s="25" t="n">
        <v>0</v>
      </c>
      <c r="BQ19" s="25" t="n">
        <v>0</v>
      </c>
      <c r="BR19" s="25" t="n">
        <v>0</v>
      </c>
      <c r="BS19" s="25" t="n">
        <v>0</v>
      </c>
      <c r="BT19" s="25" t="n">
        <v>0</v>
      </c>
      <c r="BU19" s="25" t="n">
        <v>0</v>
      </c>
      <c r="BV19" s="25" t="n">
        <v>0</v>
      </c>
      <c r="BW19" s="25" t="n">
        <v>0</v>
      </c>
      <c r="BX19" s="25" t="n">
        <v>0</v>
      </c>
      <c r="BY19" s="25" t="n">
        <v>0</v>
      </c>
      <c r="BZ19" s="25" t="n">
        <v>0</v>
      </c>
      <c r="CA19" s="25" t="n">
        <v>0</v>
      </c>
      <c r="CB19" s="25" t="n">
        <v>0</v>
      </c>
      <c r="CC19" s="25" t="n">
        <v>0</v>
      </c>
      <c r="CD19" s="25" t="n">
        <v>0</v>
      </c>
      <c r="CE19" s="25" t="n">
        <v>0</v>
      </c>
      <c r="CF19" s="25" t="n">
        <v>0</v>
      </c>
      <c r="CG19" s="25" t="n">
        <v>0</v>
      </c>
      <c r="CH19" s="25" t="n">
        <v>0</v>
      </c>
      <c r="CI19" s="25" t="n">
        <v>0</v>
      </c>
      <c r="CJ19" s="25" t="n">
        <v>0</v>
      </c>
      <c r="CK19" s="25" t="n">
        <v>0</v>
      </c>
      <c r="CL19" s="25" t="n">
        <v>0</v>
      </c>
      <c r="CM19" s="25" t="n">
        <v>0</v>
      </c>
      <c r="CN19" s="25" t="n">
        <v>0</v>
      </c>
      <c r="CO19" s="25" t="n">
        <v>0</v>
      </c>
      <c r="CP19" s="25" t="n">
        <v>0</v>
      </c>
      <c r="CQ19" s="25" t="n">
        <v>0</v>
      </c>
      <c r="CR19" s="25" t="n">
        <v>0</v>
      </c>
      <c r="CS19" s="25" t="n">
        <v>0</v>
      </c>
      <c r="CT19" s="25" t="n">
        <v>0</v>
      </c>
      <c r="CU19" s="25" t="n">
        <v>0</v>
      </c>
      <c r="CV19" s="25" t="n">
        <v>0</v>
      </c>
      <c r="CW19" s="25" t="n">
        <v>0</v>
      </c>
      <c r="CX19" s="25" t="n">
        <v>0</v>
      </c>
      <c r="CY19" s="25" t="n">
        <v>0</v>
      </c>
      <c r="CZ19" s="25" t="n">
        <v>0</v>
      </c>
      <c r="DA19" s="25" t="n">
        <v>0</v>
      </c>
    </row>
    <row r="20">
      <c r="A20" t="inlineStr">
        <is>
          <t>TSP-225</t>
        </is>
      </c>
      <c r="B20" s="25" t="n">
        <v>0</v>
      </c>
      <c r="C20" s="25" t="n">
        <v>0</v>
      </c>
      <c r="D20" s="25" t="n">
        <v>0</v>
      </c>
      <c r="E20" s="25" t="n">
        <v>0</v>
      </c>
      <c r="F20" s="25" t="n">
        <v>0</v>
      </c>
      <c r="G20" s="25" t="n">
        <v>0</v>
      </c>
      <c r="H20" s="25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  <c r="N20" s="25" t="n">
        <v>0</v>
      </c>
      <c r="O20" s="25" t="n">
        <v>0</v>
      </c>
      <c r="P20" s="25" t="n">
        <v>0</v>
      </c>
      <c r="Q20" s="25" t="n">
        <v>0</v>
      </c>
      <c r="R20" s="25" t="n">
        <v>0</v>
      </c>
      <c r="S20" s="25" t="n">
        <v>0</v>
      </c>
      <c r="T20" s="25" t="n">
        <v>0</v>
      </c>
      <c r="U20" s="25" t="n">
        <v>0</v>
      </c>
      <c r="V20" s="25" t="n">
        <v>0</v>
      </c>
      <c r="W20" s="25" t="n">
        <v>0</v>
      </c>
      <c r="X20" s="25" t="n">
        <v>0</v>
      </c>
      <c r="Y20" s="25" t="n">
        <v>0</v>
      </c>
      <c r="Z20" s="25" t="n">
        <v>0</v>
      </c>
      <c r="AA20" s="25" t="n">
        <v>0</v>
      </c>
      <c r="AB20" s="25" t="n">
        <v>0</v>
      </c>
      <c r="AC20" s="25" t="n">
        <v>0</v>
      </c>
      <c r="AD20" s="25" t="n">
        <v>0</v>
      </c>
      <c r="AE20" s="25" t="n">
        <v>0</v>
      </c>
      <c r="AF20" s="25" t="n">
        <v>0</v>
      </c>
      <c r="AG20" s="25" t="n">
        <v>0</v>
      </c>
      <c r="AH20" s="25" t="n">
        <v>0</v>
      </c>
      <c r="AI20" s="25" t="n">
        <v>0</v>
      </c>
      <c r="AJ20" s="25" t="n">
        <v>0</v>
      </c>
      <c r="AK20" s="25" t="n">
        <v>0</v>
      </c>
      <c r="AL20" s="25" t="n">
        <v>0</v>
      </c>
      <c r="AM20" s="25" t="n">
        <v>0</v>
      </c>
      <c r="AN20" s="25" t="n">
        <v>0</v>
      </c>
      <c r="AO20" s="25" t="n">
        <v>0</v>
      </c>
      <c r="AP20" s="25" t="n">
        <v>0</v>
      </c>
      <c r="AQ20" s="25" t="n">
        <v>0</v>
      </c>
      <c r="AR20" s="25" t="n">
        <v>0</v>
      </c>
      <c r="AS20" s="25" t="n">
        <v>0</v>
      </c>
      <c r="AT20" s="25" t="n">
        <v>0</v>
      </c>
      <c r="AU20" s="25" t="n">
        <v>0</v>
      </c>
      <c r="AV20" s="25" t="n">
        <v>0</v>
      </c>
      <c r="AW20" s="25" t="n">
        <v>0</v>
      </c>
      <c r="AX20" s="25" t="n">
        <v>0</v>
      </c>
      <c r="AY20" s="25" t="n">
        <v>0</v>
      </c>
      <c r="AZ20" s="25" t="n">
        <v>0</v>
      </c>
      <c r="BA20" s="25" t="n">
        <v>0</v>
      </c>
      <c r="BB20" s="25" t="n">
        <v>0</v>
      </c>
      <c r="BC20" s="25" t="n">
        <v>0</v>
      </c>
      <c r="BD20" s="25" t="n">
        <v>0</v>
      </c>
      <c r="BE20" s="25" t="n">
        <v>0</v>
      </c>
      <c r="BF20" s="25" t="n">
        <v>0</v>
      </c>
      <c r="BG20" s="25" t="n">
        <v>0</v>
      </c>
      <c r="BH20" s="25" t="n">
        <v>0</v>
      </c>
      <c r="BI20" s="25" t="n">
        <v>0</v>
      </c>
      <c r="BJ20" s="25" t="n">
        <v>0</v>
      </c>
      <c r="BK20" s="25" t="n">
        <v>0</v>
      </c>
      <c r="BL20" s="25" t="n">
        <v>0</v>
      </c>
      <c r="BM20" s="25" t="n">
        <v>0</v>
      </c>
      <c r="BN20" s="25" t="n">
        <v>0</v>
      </c>
      <c r="BO20" s="25" t="n">
        <v>0</v>
      </c>
      <c r="BP20" s="25" t="n">
        <v>0</v>
      </c>
      <c r="BQ20" s="25" t="n">
        <v>0</v>
      </c>
      <c r="BR20" s="25" t="n">
        <v>0</v>
      </c>
      <c r="BS20" s="25" t="n">
        <v>0</v>
      </c>
      <c r="BT20" s="25" t="n">
        <v>0</v>
      </c>
      <c r="BU20" s="25" t="n">
        <v>0</v>
      </c>
      <c r="BV20" s="25" t="n">
        <v>0</v>
      </c>
      <c r="BW20" s="25" t="n">
        <v>0</v>
      </c>
      <c r="BX20" s="25" t="n">
        <v>0</v>
      </c>
      <c r="BY20" s="25" t="n">
        <v>0</v>
      </c>
      <c r="BZ20" s="25" t="n">
        <v>0</v>
      </c>
      <c r="CA20" s="25" t="n">
        <v>0</v>
      </c>
      <c r="CB20" s="25" t="n">
        <v>0</v>
      </c>
      <c r="CC20" s="25" t="n">
        <v>0</v>
      </c>
      <c r="CD20" s="25" t="n">
        <v>0</v>
      </c>
      <c r="CE20" s="25" t="n">
        <v>0</v>
      </c>
      <c r="CF20" s="25" t="n">
        <v>0</v>
      </c>
      <c r="CG20" s="25" t="n">
        <v>0</v>
      </c>
      <c r="CH20" s="25" t="n">
        <v>0</v>
      </c>
      <c r="CI20" s="25" t="n">
        <v>0</v>
      </c>
      <c r="CJ20" s="25" t="n">
        <v>0</v>
      </c>
      <c r="CK20" s="25" t="n">
        <v>0</v>
      </c>
      <c r="CL20" s="25" t="n">
        <v>0</v>
      </c>
      <c r="CM20" s="25" t="n">
        <v>0</v>
      </c>
      <c r="CN20" s="25" t="n">
        <v>0</v>
      </c>
      <c r="CO20" s="25" t="n">
        <v>0</v>
      </c>
      <c r="CP20" s="25" t="n">
        <v>0</v>
      </c>
      <c r="CQ20" s="25" t="n">
        <v>0</v>
      </c>
      <c r="CR20" s="25" t="n">
        <v>0</v>
      </c>
      <c r="CS20" s="25" t="n">
        <v>0</v>
      </c>
      <c r="CT20" s="25" t="n">
        <v>0</v>
      </c>
      <c r="CU20" s="25" t="n">
        <v>0</v>
      </c>
      <c r="CV20" s="25" t="n">
        <v>0</v>
      </c>
      <c r="CW20" s="25" t="n">
        <v>0</v>
      </c>
      <c r="CX20" s="25" t="n">
        <v>0</v>
      </c>
      <c r="CY20" s="25" t="n">
        <v>0</v>
      </c>
      <c r="CZ20" s="25" t="n">
        <v>0</v>
      </c>
      <c r="DA20" s="25" t="n">
        <v>0</v>
      </c>
    </row>
    <row r="21">
      <c r="A21" t="inlineStr">
        <is>
          <t>TSP-360</t>
        </is>
      </c>
      <c r="B21" s="25" t="n">
        <v>0</v>
      </c>
      <c r="C21" s="25" t="n">
        <v>0</v>
      </c>
      <c r="D21" s="25" t="n">
        <v>0</v>
      </c>
      <c r="E21" s="25" t="n">
        <v>0</v>
      </c>
      <c r="F21" s="25" t="n">
        <v>0</v>
      </c>
      <c r="G21" s="25" t="n">
        <v>0</v>
      </c>
      <c r="H21" s="25" t="n">
        <v>0</v>
      </c>
      <c r="I21" s="25" t="n">
        <v>0</v>
      </c>
      <c r="J21" s="25" t="n">
        <v>0</v>
      </c>
      <c r="K21" s="25" t="n">
        <v>0</v>
      </c>
      <c r="L21" s="25" t="n">
        <v>0</v>
      </c>
      <c r="M21" s="25" t="n">
        <v>0</v>
      </c>
      <c r="N21" s="25" t="n">
        <v>0</v>
      </c>
      <c r="O21" s="25" t="n">
        <v>0</v>
      </c>
      <c r="P21" s="25" t="n">
        <v>0</v>
      </c>
      <c r="Q21" s="25" t="n">
        <v>0</v>
      </c>
      <c r="R21" s="25" t="n">
        <v>0</v>
      </c>
      <c r="S21" s="25" t="n">
        <v>0</v>
      </c>
      <c r="T21" s="25" t="n">
        <v>0</v>
      </c>
      <c r="U21" s="25" t="n">
        <v>0</v>
      </c>
      <c r="V21" s="25" t="n">
        <v>0</v>
      </c>
      <c r="W21" s="25" t="n">
        <v>0</v>
      </c>
      <c r="X21" s="25" t="n">
        <v>0</v>
      </c>
      <c r="Y21" s="25" t="n">
        <v>0</v>
      </c>
      <c r="Z21" s="25" t="n">
        <v>0</v>
      </c>
      <c r="AA21" s="25" t="n">
        <v>0</v>
      </c>
      <c r="AB21" s="25" t="n">
        <v>0</v>
      </c>
      <c r="AC21" s="25" t="n">
        <v>0</v>
      </c>
      <c r="AD21" s="25" t="n">
        <v>0</v>
      </c>
      <c r="AE21" s="25" t="n">
        <v>0</v>
      </c>
      <c r="AF21" s="25" t="n">
        <v>0</v>
      </c>
      <c r="AG21" s="25" t="n">
        <v>0</v>
      </c>
      <c r="AH21" s="25" t="n">
        <v>0</v>
      </c>
      <c r="AI21" s="25" t="n">
        <v>0</v>
      </c>
      <c r="AJ21" s="25" t="n">
        <v>0</v>
      </c>
      <c r="AK21" s="25" t="n">
        <v>0</v>
      </c>
      <c r="AL21" s="25" t="n">
        <v>0</v>
      </c>
      <c r="AM21" s="25" t="n">
        <v>0</v>
      </c>
      <c r="AN21" s="25" t="n">
        <v>0</v>
      </c>
      <c r="AO21" s="25" t="n">
        <v>0</v>
      </c>
      <c r="AP21" s="25" t="n">
        <v>0</v>
      </c>
      <c r="AQ21" s="25" t="n">
        <v>0</v>
      </c>
      <c r="AR21" s="25" t="n">
        <v>0</v>
      </c>
      <c r="AS21" s="25" t="n">
        <v>0</v>
      </c>
      <c r="AT21" s="25" t="n">
        <v>0</v>
      </c>
      <c r="AU21" s="25" t="n">
        <v>0</v>
      </c>
      <c r="AV21" s="25" t="n">
        <v>0</v>
      </c>
      <c r="AW21" s="25" t="n">
        <v>0</v>
      </c>
      <c r="AX21" s="25" t="n">
        <v>0</v>
      </c>
      <c r="AY21" s="25" t="n">
        <v>0</v>
      </c>
      <c r="AZ21" s="25" t="n">
        <v>0</v>
      </c>
      <c r="BA21" s="25" t="n">
        <v>0</v>
      </c>
      <c r="BB21" s="25" t="n">
        <v>0</v>
      </c>
      <c r="BC21" s="25" t="n">
        <v>0</v>
      </c>
      <c r="BD21" s="25" t="n">
        <v>0</v>
      </c>
      <c r="BE21" s="25" t="n">
        <v>0</v>
      </c>
      <c r="BF21" s="25" t="n">
        <v>0</v>
      </c>
      <c r="BG21" s="25" t="n">
        <v>0</v>
      </c>
      <c r="BH21" s="25" t="n">
        <v>0</v>
      </c>
      <c r="BI21" s="25" t="n">
        <v>0</v>
      </c>
      <c r="BJ21" s="25" t="n">
        <v>0</v>
      </c>
      <c r="BK21" s="25" t="n">
        <v>0</v>
      </c>
      <c r="BL21" s="25" t="n">
        <v>0</v>
      </c>
      <c r="BM21" s="25" t="n">
        <v>0</v>
      </c>
      <c r="BN21" s="25" t="n">
        <v>0</v>
      </c>
      <c r="BO21" s="25" t="n">
        <v>0</v>
      </c>
      <c r="BP21" s="25" t="n">
        <v>0</v>
      </c>
      <c r="BQ21" s="25" t="n">
        <v>0</v>
      </c>
      <c r="BR21" s="25" t="n">
        <v>0</v>
      </c>
      <c r="BS21" s="25" t="n">
        <v>0</v>
      </c>
      <c r="BT21" s="25" t="n">
        <v>0</v>
      </c>
      <c r="BU21" s="25" t="n">
        <v>0</v>
      </c>
      <c r="BV21" s="25" t="n">
        <v>0</v>
      </c>
      <c r="BW21" s="25" t="n">
        <v>0</v>
      </c>
      <c r="BX21" s="25" t="n">
        <v>0</v>
      </c>
      <c r="BY21" s="25" t="n">
        <v>0</v>
      </c>
      <c r="BZ21" s="25" t="n">
        <v>0</v>
      </c>
      <c r="CA21" s="25" t="n">
        <v>0</v>
      </c>
      <c r="CB21" s="25" t="n">
        <v>0</v>
      </c>
      <c r="CC21" s="25" t="n">
        <v>0</v>
      </c>
      <c r="CD21" s="25" t="n">
        <v>0</v>
      </c>
      <c r="CE21" s="25" t="n">
        <v>0</v>
      </c>
      <c r="CF21" s="25" t="n">
        <v>0</v>
      </c>
      <c r="CG21" s="25" t="n">
        <v>0</v>
      </c>
      <c r="CH21" s="25" t="n">
        <v>0</v>
      </c>
      <c r="CI21" s="25" t="n">
        <v>0</v>
      </c>
      <c r="CJ21" s="25" t="n">
        <v>0</v>
      </c>
      <c r="CK21" s="25" t="n">
        <v>0</v>
      </c>
      <c r="CL21" s="25" t="n">
        <v>0</v>
      </c>
      <c r="CM21" s="25" t="n">
        <v>0</v>
      </c>
      <c r="CN21" s="25" t="n">
        <v>0</v>
      </c>
      <c r="CO21" s="25" t="n">
        <v>0</v>
      </c>
      <c r="CP21" s="25" t="n">
        <v>0</v>
      </c>
      <c r="CQ21" s="25" t="n">
        <v>0</v>
      </c>
      <c r="CR21" s="25" t="n">
        <v>0</v>
      </c>
      <c r="CS21" s="25" t="n">
        <v>0</v>
      </c>
      <c r="CT21" s="25" t="n">
        <v>0</v>
      </c>
      <c r="CU21" s="25" t="n">
        <v>0</v>
      </c>
      <c r="CV21" s="25" t="n">
        <v>0</v>
      </c>
      <c r="CW21" s="25" t="n">
        <v>0</v>
      </c>
      <c r="CX21" s="25" t="n">
        <v>0</v>
      </c>
      <c r="CY21" s="25" t="n">
        <v>0</v>
      </c>
      <c r="CZ21" s="25" t="n">
        <v>0</v>
      </c>
      <c r="DA21" s="25" t="n">
        <v>0</v>
      </c>
    </row>
    <row r="22">
      <c r="A22" t="inlineStr">
        <is>
          <t>TSP-367</t>
        </is>
      </c>
      <c r="B22" s="25" t="n">
        <v>0</v>
      </c>
      <c r="C22" s="25" t="n">
        <v>0</v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0</v>
      </c>
      <c r="Q22" s="25" t="n">
        <v>0</v>
      </c>
      <c r="R22" s="25" t="n">
        <v>0</v>
      </c>
      <c r="S22" s="25" t="n">
        <v>0</v>
      </c>
      <c r="T22" s="25" t="n">
        <v>0</v>
      </c>
      <c r="U22" s="25" t="n">
        <v>0</v>
      </c>
      <c r="V22" s="25" t="n">
        <v>0</v>
      </c>
      <c r="W22" s="25" t="n">
        <v>0</v>
      </c>
      <c r="X22" s="25" t="n">
        <v>0</v>
      </c>
      <c r="Y22" s="25" t="n">
        <v>0</v>
      </c>
      <c r="Z22" s="25" t="n">
        <v>0</v>
      </c>
      <c r="AA22" s="25" t="n">
        <v>0</v>
      </c>
      <c r="AB22" s="25" t="n">
        <v>0</v>
      </c>
      <c r="AC22" s="25" t="n">
        <v>0</v>
      </c>
      <c r="AD22" s="25" t="n">
        <v>0</v>
      </c>
      <c r="AE22" s="25" t="n">
        <v>0</v>
      </c>
      <c r="AF22" s="25" t="n">
        <v>0</v>
      </c>
      <c r="AG22" s="25" t="n">
        <v>0</v>
      </c>
      <c r="AH22" s="25" t="n">
        <v>0</v>
      </c>
      <c r="AI22" s="25" t="n">
        <v>0</v>
      </c>
      <c r="AJ22" s="25" t="n">
        <v>0</v>
      </c>
      <c r="AK22" s="25" t="n">
        <v>0</v>
      </c>
      <c r="AL22" s="25" t="n">
        <v>0</v>
      </c>
      <c r="AM22" s="25" t="n">
        <v>0</v>
      </c>
      <c r="AN22" s="25" t="n">
        <v>0</v>
      </c>
      <c r="AO22" s="25" t="n">
        <v>0</v>
      </c>
      <c r="AP22" s="25" t="n">
        <v>0</v>
      </c>
      <c r="AQ22" s="25" t="n">
        <v>0</v>
      </c>
      <c r="AR22" s="25" t="n">
        <v>0</v>
      </c>
      <c r="AS22" s="25" t="n">
        <v>0</v>
      </c>
      <c r="AT22" s="25" t="n">
        <v>0</v>
      </c>
      <c r="AU22" s="25" t="n">
        <v>0</v>
      </c>
      <c r="AV22" s="25" t="n">
        <v>0</v>
      </c>
      <c r="AW22" s="25" t="n">
        <v>0</v>
      </c>
      <c r="AX22" s="25" t="n">
        <v>0</v>
      </c>
      <c r="AY22" s="25" t="n">
        <v>0</v>
      </c>
      <c r="AZ22" s="25" t="n">
        <v>0</v>
      </c>
      <c r="BA22" s="25" t="n">
        <v>0</v>
      </c>
      <c r="BB22" s="25" t="n">
        <v>0</v>
      </c>
      <c r="BC22" s="25" t="n">
        <v>0</v>
      </c>
      <c r="BD22" s="25" t="n">
        <v>0</v>
      </c>
      <c r="BE22" s="25" t="n">
        <v>0</v>
      </c>
      <c r="BF22" s="25" t="n">
        <v>0</v>
      </c>
      <c r="BG22" s="25" t="n">
        <v>0</v>
      </c>
      <c r="BH22" s="25" t="n">
        <v>0</v>
      </c>
      <c r="BI22" s="25" t="n">
        <v>0</v>
      </c>
      <c r="BJ22" s="25" t="n">
        <v>0</v>
      </c>
      <c r="BK22" s="25" t="n">
        <v>0</v>
      </c>
      <c r="BL22" s="25" t="n">
        <v>0</v>
      </c>
      <c r="BM22" s="25" t="n">
        <v>0</v>
      </c>
      <c r="BN22" s="25" t="n">
        <v>0</v>
      </c>
      <c r="BO22" s="25" t="n">
        <v>0</v>
      </c>
      <c r="BP22" s="25" t="n">
        <v>0</v>
      </c>
      <c r="BQ22" s="25" t="n">
        <v>0</v>
      </c>
      <c r="BR22" s="25" t="n">
        <v>0</v>
      </c>
      <c r="BS22" s="25" t="n">
        <v>0</v>
      </c>
      <c r="BT22" s="25" t="n">
        <v>0</v>
      </c>
      <c r="BU22" s="25" t="n">
        <v>0</v>
      </c>
      <c r="BV22" s="25" t="n">
        <v>0</v>
      </c>
      <c r="BW22" s="25" t="n">
        <v>0</v>
      </c>
      <c r="BX22" s="25" t="n">
        <v>0</v>
      </c>
      <c r="BY22" s="25" t="n">
        <v>0</v>
      </c>
      <c r="BZ22" s="25" t="n">
        <v>0</v>
      </c>
      <c r="CA22" s="25" t="n">
        <v>0</v>
      </c>
      <c r="CB22" s="25" t="n">
        <v>0</v>
      </c>
      <c r="CC22" s="25" t="n">
        <v>0</v>
      </c>
      <c r="CD22" s="25" t="n">
        <v>0</v>
      </c>
      <c r="CE22" s="25" t="n">
        <v>0</v>
      </c>
      <c r="CF22" s="25" t="n">
        <v>0</v>
      </c>
      <c r="CG22" s="25" t="n">
        <v>0</v>
      </c>
      <c r="CH22" s="25" t="n">
        <v>0</v>
      </c>
      <c r="CI22" s="25" t="n">
        <v>0</v>
      </c>
      <c r="CJ22" s="25" t="n">
        <v>0</v>
      </c>
      <c r="CK22" s="25" t="n">
        <v>0</v>
      </c>
      <c r="CL22" s="25" t="n">
        <v>0</v>
      </c>
      <c r="CM22" s="25" t="n">
        <v>0</v>
      </c>
      <c r="CN22" s="25" t="n">
        <v>0</v>
      </c>
      <c r="CO22" s="25" t="n">
        <v>0</v>
      </c>
      <c r="CP22" s="25" t="n">
        <v>0</v>
      </c>
      <c r="CQ22" s="25" t="n">
        <v>0</v>
      </c>
      <c r="CR22" s="25" t="n">
        <v>0</v>
      </c>
      <c r="CS22" s="25" t="n">
        <v>0</v>
      </c>
      <c r="CT22" s="25" t="n">
        <v>0</v>
      </c>
      <c r="CU22" s="25" t="n">
        <v>0</v>
      </c>
      <c r="CV22" s="25" t="n">
        <v>0</v>
      </c>
      <c r="CW22" s="25" t="n">
        <v>0</v>
      </c>
      <c r="CX22" s="25" t="n">
        <v>0</v>
      </c>
      <c r="CY22" s="25" t="n">
        <v>0</v>
      </c>
      <c r="CZ22" s="25" t="n">
        <v>0</v>
      </c>
      <c r="DA22" s="25" t="n">
        <v>0</v>
      </c>
    </row>
    <row r="23">
      <c r="A23" t="inlineStr">
        <is>
          <t>TSP-369</t>
        </is>
      </c>
      <c r="B23" s="25" t="n">
        <v>0</v>
      </c>
      <c r="C23" s="25" t="n">
        <v>0</v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5" t="n">
        <v>0</v>
      </c>
      <c r="J23" s="25" t="n">
        <v>0</v>
      </c>
      <c r="K23" s="25" t="n">
        <v>0</v>
      </c>
      <c r="L23" s="25" t="n">
        <v>0</v>
      </c>
      <c r="M23" s="25" t="n">
        <v>0</v>
      </c>
      <c r="N23" s="25" t="n">
        <v>0</v>
      </c>
      <c r="O23" s="25" t="n">
        <v>0</v>
      </c>
      <c r="P23" s="25" t="n">
        <v>0</v>
      </c>
      <c r="Q23" s="25" t="n">
        <v>0</v>
      </c>
      <c r="R23" s="25" t="n">
        <v>0</v>
      </c>
      <c r="S23" s="25" t="n">
        <v>0</v>
      </c>
      <c r="T23" s="25" t="n">
        <v>0</v>
      </c>
      <c r="U23" s="25" t="n">
        <v>0</v>
      </c>
      <c r="V23" s="25" t="n">
        <v>0</v>
      </c>
      <c r="W23" s="25" t="n">
        <v>0</v>
      </c>
      <c r="X23" s="25" t="n">
        <v>0</v>
      </c>
      <c r="Y23" s="25" t="n">
        <v>0</v>
      </c>
      <c r="Z23" s="25" t="n">
        <v>0</v>
      </c>
      <c r="AA23" s="25" t="n">
        <v>0</v>
      </c>
      <c r="AB23" s="25" t="n">
        <v>0</v>
      </c>
      <c r="AC23" s="25" t="n">
        <v>0</v>
      </c>
      <c r="AD23" s="25" t="n">
        <v>0</v>
      </c>
      <c r="AE23" s="25" t="n">
        <v>0</v>
      </c>
      <c r="AF23" s="25" t="n">
        <v>0</v>
      </c>
      <c r="AG23" s="25" t="n">
        <v>0</v>
      </c>
      <c r="AH23" s="25" t="n">
        <v>0</v>
      </c>
      <c r="AI23" s="25" t="n">
        <v>0</v>
      </c>
      <c r="AJ23" s="25" t="n">
        <v>0</v>
      </c>
      <c r="AK23" s="25" t="n">
        <v>0</v>
      </c>
      <c r="AL23" s="25" t="n">
        <v>0</v>
      </c>
      <c r="AM23" s="25" t="n">
        <v>0</v>
      </c>
      <c r="AN23" s="25" t="n">
        <v>0</v>
      </c>
      <c r="AO23" s="25" t="n">
        <v>0</v>
      </c>
      <c r="AP23" s="25" t="n">
        <v>0</v>
      </c>
      <c r="AQ23" s="25" t="n">
        <v>0</v>
      </c>
      <c r="AR23" s="25" t="n">
        <v>0</v>
      </c>
      <c r="AS23" s="25" t="n">
        <v>0</v>
      </c>
      <c r="AT23" s="25" t="n">
        <v>0</v>
      </c>
      <c r="AU23" s="25" t="n">
        <v>0</v>
      </c>
      <c r="AV23" s="25" t="n">
        <v>0</v>
      </c>
      <c r="AW23" s="25" t="n">
        <v>0</v>
      </c>
      <c r="AX23" s="25" t="n">
        <v>0</v>
      </c>
      <c r="AY23" s="25" t="n">
        <v>0</v>
      </c>
      <c r="AZ23" s="25" t="n">
        <v>0</v>
      </c>
      <c r="BA23" s="25" t="n">
        <v>0</v>
      </c>
      <c r="BB23" s="25" t="n">
        <v>0</v>
      </c>
      <c r="BC23" s="25" t="n">
        <v>0</v>
      </c>
      <c r="BD23" s="25" t="n">
        <v>0</v>
      </c>
      <c r="BE23" s="25" t="n">
        <v>0</v>
      </c>
      <c r="BF23" s="25" t="n">
        <v>0</v>
      </c>
      <c r="BG23" s="25" t="n">
        <v>0</v>
      </c>
      <c r="BH23" s="25" t="n">
        <v>0</v>
      </c>
      <c r="BI23" s="25" t="n">
        <v>0</v>
      </c>
      <c r="BJ23" s="25" t="n">
        <v>0</v>
      </c>
      <c r="BK23" s="25" t="n">
        <v>0</v>
      </c>
      <c r="BL23" s="25" t="n">
        <v>0</v>
      </c>
      <c r="BM23" s="25" t="n">
        <v>0</v>
      </c>
      <c r="BN23" s="25" t="n">
        <v>0</v>
      </c>
      <c r="BO23" s="25" t="n">
        <v>0</v>
      </c>
      <c r="BP23" s="25" t="n">
        <v>0</v>
      </c>
      <c r="BQ23" s="25" t="n">
        <v>0</v>
      </c>
      <c r="BR23" s="25" t="n">
        <v>0</v>
      </c>
      <c r="BS23" s="25" t="n">
        <v>0</v>
      </c>
      <c r="BT23" s="25" t="n">
        <v>0</v>
      </c>
      <c r="BU23" s="25" t="n">
        <v>0</v>
      </c>
      <c r="BV23" s="25" t="n">
        <v>0</v>
      </c>
      <c r="BW23" s="25" t="n">
        <v>0</v>
      </c>
      <c r="BX23" s="25" t="n">
        <v>0</v>
      </c>
      <c r="BY23" s="25" t="n">
        <v>0</v>
      </c>
      <c r="BZ23" s="25" t="n">
        <v>0</v>
      </c>
      <c r="CA23" s="25" t="n">
        <v>0</v>
      </c>
      <c r="CB23" s="25" t="n">
        <v>0</v>
      </c>
      <c r="CC23" s="25" t="n">
        <v>0</v>
      </c>
      <c r="CD23" s="25" t="n">
        <v>0</v>
      </c>
      <c r="CE23" s="25" t="n">
        <v>0</v>
      </c>
      <c r="CF23" s="25" t="n">
        <v>0</v>
      </c>
      <c r="CG23" s="25" t="n">
        <v>0</v>
      </c>
      <c r="CH23" s="25" t="n">
        <v>0</v>
      </c>
      <c r="CI23" s="25" t="n">
        <v>0</v>
      </c>
      <c r="CJ23" s="25" t="n">
        <v>0</v>
      </c>
      <c r="CK23" s="25" t="n">
        <v>0</v>
      </c>
      <c r="CL23" s="25" t="n">
        <v>0</v>
      </c>
      <c r="CM23" s="25" t="n">
        <v>0</v>
      </c>
      <c r="CN23" s="25" t="n">
        <v>0</v>
      </c>
      <c r="CO23" s="25" t="n">
        <v>0</v>
      </c>
      <c r="CP23" s="25" t="n">
        <v>0</v>
      </c>
      <c r="CQ23" s="25" t="n">
        <v>0</v>
      </c>
      <c r="CR23" s="25" t="n">
        <v>0</v>
      </c>
      <c r="CS23" s="25" t="n">
        <v>0</v>
      </c>
      <c r="CT23" s="25" t="n">
        <v>0</v>
      </c>
      <c r="CU23" s="25" t="n">
        <v>0</v>
      </c>
      <c r="CV23" s="25" t="n">
        <v>0</v>
      </c>
      <c r="CW23" s="25" t="n">
        <v>0</v>
      </c>
      <c r="CX23" s="25" t="n">
        <v>0</v>
      </c>
      <c r="CY23" s="25" t="n">
        <v>0</v>
      </c>
      <c r="CZ23" s="25" t="n">
        <v>0</v>
      </c>
      <c r="DA23" s="25" t="n">
        <v>0</v>
      </c>
    </row>
    <row r="24">
      <c r="A24" t="inlineStr">
        <is>
          <t>TSP-402</t>
        </is>
      </c>
      <c r="B24" s="25" t="n">
        <v>0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 t="n">
        <v>0</v>
      </c>
      <c r="AB24" s="25" t="n">
        <v>0</v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25" t="n">
        <v>0</v>
      </c>
      <c r="AJ24" s="25" t="n">
        <v>0</v>
      </c>
      <c r="AK24" s="25" t="n">
        <v>0</v>
      </c>
      <c r="AL24" s="25" t="n">
        <v>0</v>
      </c>
      <c r="AM24" s="25" t="n">
        <v>0</v>
      </c>
      <c r="AN24" s="25" t="n">
        <v>0</v>
      </c>
      <c r="AO24" s="25" t="n">
        <v>0</v>
      </c>
      <c r="AP24" s="25" t="n">
        <v>0</v>
      </c>
      <c r="AQ24" s="25" t="n">
        <v>0</v>
      </c>
      <c r="AR24" s="25" t="n">
        <v>0</v>
      </c>
      <c r="AS24" s="25" t="n">
        <v>0</v>
      </c>
      <c r="AT24" s="25" t="n">
        <v>0</v>
      </c>
      <c r="AU24" s="25" t="n">
        <v>0</v>
      </c>
      <c r="AV24" s="25" t="n">
        <v>0</v>
      </c>
      <c r="AW24" s="25" t="n">
        <v>0</v>
      </c>
      <c r="AX24" s="25" t="n">
        <v>0</v>
      </c>
      <c r="AY24" s="25" t="n">
        <v>0</v>
      </c>
      <c r="AZ24" s="25" t="n">
        <v>0</v>
      </c>
      <c r="BA24" s="25" t="n">
        <v>0</v>
      </c>
      <c r="BB24" s="25" t="n">
        <v>0</v>
      </c>
      <c r="BC24" s="25" t="n">
        <v>0</v>
      </c>
      <c r="BD24" s="25" t="n">
        <v>0</v>
      </c>
      <c r="BE24" s="25" t="n">
        <v>0</v>
      </c>
      <c r="BF24" s="25" t="n">
        <v>0</v>
      </c>
      <c r="BG24" s="25" t="n">
        <v>0</v>
      </c>
      <c r="BH24" s="25" t="n">
        <v>0</v>
      </c>
      <c r="BI24" s="25" t="n">
        <v>0</v>
      </c>
      <c r="BJ24" s="25" t="n">
        <v>0</v>
      </c>
      <c r="BK24" s="25" t="n">
        <v>0</v>
      </c>
      <c r="BL24" s="25" t="n">
        <v>0</v>
      </c>
      <c r="BM24" s="25" t="n">
        <v>0</v>
      </c>
      <c r="BN24" s="25" t="n">
        <v>0</v>
      </c>
      <c r="BO24" s="25" t="n">
        <v>0</v>
      </c>
      <c r="BP24" s="25" t="n">
        <v>0</v>
      </c>
      <c r="BQ24" s="25" t="n">
        <v>0</v>
      </c>
      <c r="BR24" s="25" t="n">
        <v>0</v>
      </c>
      <c r="BS24" s="25" t="n">
        <v>0</v>
      </c>
      <c r="BT24" s="25" t="n">
        <v>0</v>
      </c>
      <c r="BU24" s="25" t="n">
        <v>0</v>
      </c>
      <c r="BV24" s="25" t="n">
        <v>0</v>
      </c>
      <c r="BW24" s="25" t="n">
        <v>0</v>
      </c>
      <c r="BX24" s="25" t="n">
        <v>0</v>
      </c>
      <c r="BY24" s="25" t="n">
        <v>0</v>
      </c>
      <c r="BZ24" s="25" t="n">
        <v>0</v>
      </c>
      <c r="CA24" s="25" t="n">
        <v>0</v>
      </c>
      <c r="CB24" s="25" t="n">
        <v>0</v>
      </c>
      <c r="CC24" s="25" t="n">
        <v>0</v>
      </c>
      <c r="CD24" s="25" t="n">
        <v>0</v>
      </c>
      <c r="CE24" s="25" t="n">
        <v>0</v>
      </c>
      <c r="CF24" s="25" t="n">
        <v>0</v>
      </c>
      <c r="CG24" s="25" t="n">
        <v>0</v>
      </c>
      <c r="CH24" s="25" t="n">
        <v>0</v>
      </c>
      <c r="CI24" s="25" t="n">
        <v>0</v>
      </c>
      <c r="CJ24" s="25" t="n">
        <v>0</v>
      </c>
      <c r="CK24" s="25" t="n">
        <v>0</v>
      </c>
      <c r="CL24" s="25" t="n">
        <v>0</v>
      </c>
      <c r="CM24" s="25" t="n">
        <v>0</v>
      </c>
      <c r="CN24" s="25" t="n">
        <v>0</v>
      </c>
      <c r="CO24" s="25" t="n">
        <v>0</v>
      </c>
      <c r="CP24" s="25" t="n">
        <v>0</v>
      </c>
      <c r="CQ24" s="25" t="n">
        <v>0</v>
      </c>
      <c r="CR24" s="25" t="n">
        <v>0</v>
      </c>
      <c r="CS24" s="25" t="n">
        <v>0</v>
      </c>
      <c r="CT24" s="25" t="n">
        <v>0</v>
      </c>
      <c r="CU24" s="25" t="n">
        <v>0</v>
      </c>
      <c r="CV24" s="25" t="n">
        <v>0</v>
      </c>
      <c r="CW24" s="25" t="n">
        <v>0</v>
      </c>
      <c r="CX24" s="25" t="n">
        <v>0</v>
      </c>
      <c r="CY24" s="25" t="n">
        <v>0</v>
      </c>
      <c r="CZ24" s="25" t="n">
        <v>0</v>
      </c>
      <c r="DA24" s="25" t="n">
        <v>0</v>
      </c>
    </row>
    <row r="25">
      <c r="A25" t="inlineStr">
        <is>
          <t>TSP-403</t>
        </is>
      </c>
      <c r="B25" s="25" t="n">
        <v>0</v>
      </c>
      <c r="C25" s="25" t="n">
        <v>0</v>
      </c>
      <c r="D25" s="25" t="n">
        <v>0</v>
      </c>
      <c r="E25" s="25" t="n">
        <v>0</v>
      </c>
      <c r="F25" s="25" t="n">
        <v>0</v>
      </c>
      <c r="G25" s="25" t="n">
        <v>0</v>
      </c>
      <c r="H25" s="25" t="n">
        <v>0</v>
      </c>
      <c r="I25" s="25" t="n">
        <v>0</v>
      </c>
      <c r="J25" s="25" t="n">
        <v>0</v>
      </c>
      <c r="K25" s="25" t="n">
        <v>0</v>
      </c>
      <c r="L25" s="25" t="n">
        <v>0</v>
      </c>
      <c r="M25" s="25" t="n">
        <v>0</v>
      </c>
      <c r="N25" s="25" t="n">
        <v>0</v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0</v>
      </c>
      <c r="W25" s="25" t="n">
        <v>0</v>
      </c>
      <c r="X25" s="25" t="n">
        <v>0</v>
      </c>
      <c r="Y25" s="25" t="n">
        <v>0</v>
      </c>
      <c r="Z25" s="25" t="n">
        <v>0</v>
      </c>
      <c r="AA25" s="25" t="n">
        <v>0</v>
      </c>
      <c r="AB25" s="25" t="n">
        <v>0</v>
      </c>
      <c r="AC25" s="25" t="n">
        <v>0</v>
      </c>
      <c r="AD25" s="25" t="n">
        <v>0</v>
      </c>
      <c r="AE25" s="25" t="n">
        <v>0</v>
      </c>
      <c r="AF25" s="25" t="n">
        <v>0</v>
      </c>
      <c r="AG25" s="25" t="n">
        <v>0</v>
      </c>
      <c r="AH25" s="25" t="n">
        <v>0</v>
      </c>
      <c r="AI25" s="25" t="n">
        <v>0</v>
      </c>
      <c r="AJ25" s="25" t="n">
        <v>0</v>
      </c>
      <c r="AK25" s="25" t="n">
        <v>0</v>
      </c>
      <c r="AL25" s="25" t="n">
        <v>0</v>
      </c>
      <c r="AM25" s="25" t="n">
        <v>0</v>
      </c>
      <c r="AN25" s="25" t="n">
        <v>0</v>
      </c>
      <c r="AO25" s="25" t="n">
        <v>0</v>
      </c>
      <c r="AP25" s="25" t="n">
        <v>0</v>
      </c>
      <c r="AQ25" s="25" t="n">
        <v>0</v>
      </c>
      <c r="AR25" s="25" t="n">
        <v>0</v>
      </c>
      <c r="AS25" s="25" t="n">
        <v>0</v>
      </c>
      <c r="AT25" s="25" t="n">
        <v>0</v>
      </c>
      <c r="AU25" s="25" t="n">
        <v>0</v>
      </c>
      <c r="AV25" s="25" t="n">
        <v>0</v>
      </c>
      <c r="AW25" s="25" t="n">
        <v>0</v>
      </c>
      <c r="AX25" s="25" t="n">
        <v>0</v>
      </c>
      <c r="AY25" s="25" t="n">
        <v>0</v>
      </c>
      <c r="AZ25" s="25" t="n">
        <v>0</v>
      </c>
      <c r="BA25" s="25" t="n">
        <v>0</v>
      </c>
      <c r="BB25" s="25" t="n">
        <v>0</v>
      </c>
      <c r="BC25" s="25" t="n">
        <v>0</v>
      </c>
      <c r="BD25" s="25" t="n">
        <v>0</v>
      </c>
      <c r="BE25" s="25" t="n">
        <v>0</v>
      </c>
      <c r="BF25" s="25" t="n">
        <v>0</v>
      </c>
      <c r="BG25" s="25" t="n">
        <v>0</v>
      </c>
      <c r="BH25" s="25" t="n">
        <v>0</v>
      </c>
      <c r="BI25" s="25" t="n">
        <v>0</v>
      </c>
      <c r="BJ25" s="25" t="n">
        <v>0</v>
      </c>
      <c r="BK25" s="25" t="n">
        <v>0</v>
      </c>
      <c r="BL25" s="25" t="n">
        <v>0</v>
      </c>
      <c r="BM25" s="25" t="n">
        <v>0</v>
      </c>
      <c r="BN25" s="25" t="n">
        <v>0</v>
      </c>
      <c r="BO25" s="25" t="n">
        <v>0</v>
      </c>
      <c r="BP25" s="25" t="n">
        <v>0</v>
      </c>
      <c r="BQ25" s="25" t="n">
        <v>0</v>
      </c>
      <c r="BR25" s="25" t="n">
        <v>0</v>
      </c>
      <c r="BS25" s="25" t="n">
        <v>0</v>
      </c>
      <c r="BT25" s="25" t="n">
        <v>0</v>
      </c>
      <c r="BU25" s="25" t="n">
        <v>0</v>
      </c>
      <c r="BV25" s="25" t="n">
        <v>0</v>
      </c>
      <c r="BW25" s="25" t="n">
        <v>0</v>
      </c>
      <c r="BX25" s="25" t="n">
        <v>0</v>
      </c>
      <c r="BY25" s="25" t="n">
        <v>0</v>
      </c>
      <c r="BZ25" s="25" t="n">
        <v>0</v>
      </c>
      <c r="CA25" s="25" t="n">
        <v>0</v>
      </c>
      <c r="CB25" s="25" t="n">
        <v>0</v>
      </c>
      <c r="CC25" s="25" t="n">
        <v>0</v>
      </c>
      <c r="CD25" s="25" t="n">
        <v>0</v>
      </c>
      <c r="CE25" s="25" t="n">
        <v>0</v>
      </c>
      <c r="CF25" s="25" t="n">
        <v>0</v>
      </c>
      <c r="CG25" s="25" t="n">
        <v>0</v>
      </c>
      <c r="CH25" s="25" t="n">
        <v>0</v>
      </c>
      <c r="CI25" s="25" t="n">
        <v>0</v>
      </c>
      <c r="CJ25" s="25" t="n">
        <v>0</v>
      </c>
      <c r="CK25" s="25" t="n">
        <v>0</v>
      </c>
      <c r="CL25" s="25" t="n">
        <v>0</v>
      </c>
      <c r="CM25" s="25" t="n">
        <v>0</v>
      </c>
      <c r="CN25" s="25" t="n">
        <v>0</v>
      </c>
      <c r="CO25" s="25" t="n">
        <v>0</v>
      </c>
      <c r="CP25" s="25" t="n">
        <v>0</v>
      </c>
      <c r="CQ25" s="25" t="n">
        <v>0</v>
      </c>
      <c r="CR25" s="25" t="n">
        <v>0</v>
      </c>
      <c r="CS25" s="25" t="n">
        <v>0</v>
      </c>
      <c r="CT25" s="25" t="n">
        <v>0</v>
      </c>
      <c r="CU25" s="25" t="n">
        <v>0</v>
      </c>
      <c r="CV25" s="25" t="n">
        <v>0</v>
      </c>
      <c r="CW25" s="25" t="n">
        <v>0</v>
      </c>
      <c r="CX25" s="25" t="n">
        <v>0</v>
      </c>
      <c r="CY25" s="25" t="n">
        <v>0</v>
      </c>
      <c r="CZ25" s="25" t="n">
        <v>0</v>
      </c>
      <c r="DA25" s="25" t="n">
        <v>0</v>
      </c>
    </row>
    <row r="26">
      <c r="A26" t="inlineStr">
        <is>
          <t>TSP-404</t>
        </is>
      </c>
      <c r="B26" s="25" t="n">
        <v>0</v>
      </c>
      <c r="C26" s="25" t="n">
        <v>0</v>
      </c>
      <c r="D26" s="25" t="n">
        <v>0</v>
      </c>
      <c r="E26" s="25" t="n">
        <v>0</v>
      </c>
      <c r="F26" s="25" t="n">
        <v>0</v>
      </c>
      <c r="G26" s="25" t="n">
        <v>0</v>
      </c>
      <c r="H26" s="25" t="n">
        <v>0</v>
      </c>
      <c r="I26" s="25" t="n">
        <v>0</v>
      </c>
      <c r="J26" s="25" t="n">
        <v>0</v>
      </c>
      <c r="K26" s="25" t="n">
        <v>0</v>
      </c>
      <c r="L26" s="25" t="n">
        <v>0</v>
      </c>
      <c r="M26" s="25" t="n">
        <v>0</v>
      </c>
      <c r="N26" s="25" t="n">
        <v>0</v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 t="n">
        <v>0</v>
      </c>
      <c r="AB26" s="25" t="n">
        <v>0</v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25" t="n">
        <v>0</v>
      </c>
      <c r="AJ26" s="25" t="n">
        <v>0</v>
      </c>
      <c r="AK26" s="25" t="n">
        <v>0</v>
      </c>
      <c r="AL26" s="25" t="n">
        <v>0</v>
      </c>
      <c r="AM26" s="25" t="n">
        <v>0</v>
      </c>
      <c r="AN26" s="25" t="n">
        <v>0</v>
      </c>
      <c r="AO26" s="25" t="n">
        <v>0</v>
      </c>
      <c r="AP26" s="25" t="n">
        <v>0</v>
      </c>
      <c r="AQ26" s="25" t="n">
        <v>0</v>
      </c>
      <c r="AR26" s="25" t="n">
        <v>0</v>
      </c>
      <c r="AS26" s="25" t="n">
        <v>0</v>
      </c>
      <c r="AT26" s="25" t="n">
        <v>0</v>
      </c>
      <c r="AU26" s="25" t="n">
        <v>0</v>
      </c>
      <c r="AV26" s="25" t="n">
        <v>0</v>
      </c>
      <c r="AW26" s="25" t="n">
        <v>0</v>
      </c>
      <c r="AX26" s="25" t="n">
        <v>0</v>
      </c>
      <c r="AY26" s="25" t="n">
        <v>0</v>
      </c>
      <c r="AZ26" s="25" t="n">
        <v>0</v>
      </c>
      <c r="BA26" s="25" t="n">
        <v>0</v>
      </c>
      <c r="BB26" s="25" t="n">
        <v>0</v>
      </c>
      <c r="BC26" s="25" t="n">
        <v>0</v>
      </c>
      <c r="BD26" s="25" t="n">
        <v>0</v>
      </c>
      <c r="BE26" s="25" t="n">
        <v>0</v>
      </c>
      <c r="BF26" s="25" t="n">
        <v>0</v>
      </c>
      <c r="BG26" s="25" t="n">
        <v>0</v>
      </c>
      <c r="BH26" s="25" t="n">
        <v>0</v>
      </c>
      <c r="BI26" s="25" t="n">
        <v>0</v>
      </c>
      <c r="BJ26" s="25" t="n">
        <v>0</v>
      </c>
      <c r="BK26" s="25" t="n">
        <v>0</v>
      </c>
      <c r="BL26" s="25" t="n">
        <v>0</v>
      </c>
      <c r="BM26" s="25" t="n">
        <v>0</v>
      </c>
      <c r="BN26" s="25" t="n">
        <v>0</v>
      </c>
      <c r="BO26" s="25" t="n">
        <v>0</v>
      </c>
      <c r="BP26" s="25" t="n">
        <v>0</v>
      </c>
      <c r="BQ26" s="25" t="n">
        <v>0</v>
      </c>
      <c r="BR26" s="25" t="n">
        <v>0</v>
      </c>
      <c r="BS26" s="25" t="n">
        <v>0</v>
      </c>
      <c r="BT26" s="25" t="n">
        <v>0</v>
      </c>
      <c r="BU26" s="25" t="n">
        <v>0</v>
      </c>
      <c r="BV26" s="25" t="n">
        <v>0</v>
      </c>
      <c r="BW26" s="25" t="n">
        <v>0</v>
      </c>
      <c r="BX26" s="25" t="n">
        <v>0</v>
      </c>
      <c r="BY26" s="25" t="n">
        <v>0</v>
      </c>
      <c r="BZ26" s="25" t="n">
        <v>0</v>
      </c>
      <c r="CA26" s="25" t="n">
        <v>0</v>
      </c>
      <c r="CB26" s="25" t="n">
        <v>0</v>
      </c>
      <c r="CC26" s="25" t="n">
        <v>0</v>
      </c>
      <c r="CD26" s="25" t="n">
        <v>0</v>
      </c>
      <c r="CE26" s="25" t="n">
        <v>0</v>
      </c>
      <c r="CF26" s="25" t="n">
        <v>0</v>
      </c>
      <c r="CG26" s="25" t="n">
        <v>0</v>
      </c>
      <c r="CH26" s="25" t="n">
        <v>0</v>
      </c>
      <c r="CI26" s="25" t="n">
        <v>0</v>
      </c>
      <c r="CJ26" s="25" t="n">
        <v>0</v>
      </c>
      <c r="CK26" s="25" t="n">
        <v>0</v>
      </c>
      <c r="CL26" s="25" t="n">
        <v>0</v>
      </c>
      <c r="CM26" s="25" t="n">
        <v>0</v>
      </c>
      <c r="CN26" s="25" t="n">
        <v>0</v>
      </c>
      <c r="CO26" s="25" t="n">
        <v>0</v>
      </c>
      <c r="CP26" s="25" t="n">
        <v>0</v>
      </c>
      <c r="CQ26" s="25" t="n">
        <v>0</v>
      </c>
      <c r="CR26" s="25" t="n">
        <v>0</v>
      </c>
      <c r="CS26" s="25" t="n">
        <v>0</v>
      </c>
      <c r="CT26" s="25" t="n">
        <v>0</v>
      </c>
      <c r="CU26" s="25" t="n">
        <v>0</v>
      </c>
      <c r="CV26" s="25" t="n">
        <v>0</v>
      </c>
      <c r="CW26" s="25" t="n">
        <v>0</v>
      </c>
      <c r="CX26" s="25" t="n">
        <v>0</v>
      </c>
      <c r="CY26" s="25" t="n">
        <v>0</v>
      </c>
      <c r="CZ26" s="25" t="n">
        <v>0</v>
      </c>
      <c r="DA26" s="25" t="n">
        <v>0</v>
      </c>
    </row>
    <row r="27">
      <c r="A27" t="inlineStr">
        <is>
          <t>TSP-405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0</v>
      </c>
      <c r="W27" s="25" t="n">
        <v>0</v>
      </c>
      <c r="X27" s="25" t="n">
        <v>0</v>
      </c>
      <c r="Y27" s="25" t="n">
        <v>0</v>
      </c>
      <c r="Z27" s="25" t="n">
        <v>0</v>
      </c>
      <c r="AA27" s="25" t="n">
        <v>0</v>
      </c>
      <c r="AB27" s="25" t="n">
        <v>0</v>
      </c>
      <c r="AC27" s="25" t="n">
        <v>0</v>
      </c>
      <c r="AD27" s="25" t="n">
        <v>0</v>
      </c>
      <c r="AE27" s="25" t="n">
        <v>0</v>
      </c>
      <c r="AF27" s="25" t="n">
        <v>0</v>
      </c>
      <c r="AG27" s="25" t="n">
        <v>0</v>
      </c>
      <c r="AH27" s="25" t="n">
        <v>0</v>
      </c>
      <c r="AI27" s="25" t="n">
        <v>0</v>
      </c>
      <c r="AJ27" s="25" t="n">
        <v>0</v>
      </c>
      <c r="AK27" s="25" t="n">
        <v>0</v>
      </c>
      <c r="AL27" s="25" t="n">
        <v>0</v>
      </c>
      <c r="AM27" s="25" t="n">
        <v>0</v>
      </c>
      <c r="AN27" s="25" t="n">
        <v>0</v>
      </c>
      <c r="AO27" s="25" t="n">
        <v>0</v>
      </c>
      <c r="AP27" s="25" t="n">
        <v>0</v>
      </c>
      <c r="AQ27" s="25" t="n">
        <v>0</v>
      </c>
      <c r="AR27" s="25" t="n">
        <v>0</v>
      </c>
      <c r="AS27" s="25" t="n">
        <v>0</v>
      </c>
      <c r="AT27" s="25" t="n">
        <v>0</v>
      </c>
      <c r="AU27" s="25" t="n">
        <v>0</v>
      </c>
      <c r="AV27" s="25" t="n">
        <v>0</v>
      </c>
      <c r="AW27" s="25" t="n">
        <v>0</v>
      </c>
      <c r="AX27" s="25" t="n">
        <v>0</v>
      </c>
      <c r="AY27" s="25" t="n">
        <v>0</v>
      </c>
      <c r="AZ27" s="25" t="n">
        <v>0</v>
      </c>
      <c r="BA27" s="25" t="n">
        <v>0</v>
      </c>
      <c r="BB27" s="25" t="n">
        <v>0</v>
      </c>
      <c r="BC27" s="25" t="n">
        <v>0</v>
      </c>
      <c r="BD27" s="25" t="n">
        <v>0</v>
      </c>
      <c r="BE27" s="25" t="n">
        <v>0</v>
      </c>
      <c r="BF27" s="25" t="n">
        <v>0</v>
      </c>
      <c r="BG27" s="25" t="n">
        <v>0</v>
      </c>
      <c r="BH27" s="25" t="n">
        <v>0</v>
      </c>
      <c r="BI27" s="25" t="n">
        <v>0</v>
      </c>
      <c r="BJ27" s="25" t="n">
        <v>0</v>
      </c>
      <c r="BK27" s="25" t="n">
        <v>0</v>
      </c>
      <c r="BL27" s="25" t="n">
        <v>0</v>
      </c>
      <c r="BM27" s="25" t="n">
        <v>0</v>
      </c>
      <c r="BN27" s="25" t="n">
        <v>0</v>
      </c>
      <c r="BO27" s="25" t="n">
        <v>0</v>
      </c>
      <c r="BP27" s="25" t="n">
        <v>0</v>
      </c>
      <c r="BQ27" s="25" t="n">
        <v>0</v>
      </c>
      <c r="BR27" s="25" t="n">
        <v>0</v>
      </c>
      <c r="BS27" s="25" t="n">
        <v>0</v>
      </c>
      <c r="BT27" s="25" t="n">
        <v>0</v>
      </c>
      <c r="BU27" s="25" t="n">
        <v>0</v>
      </c>
      <c r="BV27" s="25" t="n">
        <v>0</v>
      </c>
      <c r="BW27" s="25" t="n">
        <v>0</v>
      </c>
      <c r="BX27" s="25" t="n">
        <v>0</v>
      </c>
      <c r="BY27" s="25" t="n">
        <v>0</v>
      </c>
      <c r="BZ27" s="25" t="n">
        <v>0</v>
      </c>
      <c r="CA27" s="25" t="n">
        <v>0</v>
      </c>
      <c r="CB27" s="25" t="n">
        <v>0</v>
      </c>
      <c r="CC27" s="25" t="n">
        <v>0</v>
      </c>
      <c r="CD27" s="25" t="n">
        <v>0</v>
      </c>
      <c r="CE27" s="25" t="n">
        <v>0</v>
      </c>
      <c r="CF27" s="25" t="n">
        <v>0</v>
      </c>
      <c r="CG27" s="25" t="n">
        <v>0</v>
      </c>
      <c r="CH27" s="25" t="n">
        <v>0</v>
      </c>
      <c r="CI27" s="25" t="n">
        <v>0</v>
      </c>
      <c r="CJ27" s="25" t="n">
        <v>0</v>
      </c>
      <c r="CK27" s="25" t="n">
        <v>0</v>
      </c>
      <c r="CL27" s="25" t="n">
        <v>0</v>
      </c>
      <c r="CM27" s="25" t="n">
        <v>0</v>
      </c>
      <c r="CN27" s="25" t="n">
        <v>0</v>
      </c>
      <c r="CO27" s="25" t="n">
        <v>0</v>
      </c>
      <c r="CP27" s="25" t="n">
        <v>0</v>
      </c>
      <c r="CQ27" s="25" t="n">
        <v>0</v>
      </c>
      <c r="CR27" s="25" t="n">
        <v>0</v>
      </c>
      <c r="CS27" s="25" t="n">
        <v>0</v>
      </c>
      <c r="CT27" s="25" t="n">
        <v>0</v>
      </c>
      <c r="CU27" s="25" t="n">
        <v>0</v>
      </c>
      <c r="CV27" s="25" t="n">
        <v>0</v>
      </c>
      <c r="CW27" s="25" t="n">
        <v>0</v>
      </c>
      <c r="CX27" s="25" t="n">
        <v>0</v>
      </c>
      <c r="CY27" s="25" t="n">
        <v>0</v>
      </c>
      <c r="CZ27" s="25" t="n">
        <v>0</v>
      </c>
      <c r="DA27" s="25" t="n">
        <v>0</v>
      </c>
    </row>
    <row r="28">
      <c r="A28" t="inlineStr">
        <is>
          <t>TSP-544</t>
        </is>
      </c>
      <c r="B28" s="25" t="n">
        <v>0</v>
      </c>
      <c r="C28" s="25" t="n">
        <v>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0</v>
      </c>
      <c r="W28" s="25" t="n">
        <v>0</v>
      </c>
      <c r="X28" s="25" t="n">
        <v>0</v>
      </c>
      <c r="Y28" s="25" t="n">
        <v>0</v>
      </c>
      <c r="Z28" s="25" t="n">
        <v>0</v>
      </c>
      <c r="AA28" s="25" t="n">
        <v>0</v>
      </c>
      <c r="AB28" s="25" t="n">
        <v>0</v>
      </c>
      <c r="AC28" s="25" t="n">
        <v>0</v>
      </c>
      <c r="AD28" s="25" t="n">
        <v>0</v>
      </c>
      <c r="AE28" s="25" t="n">
        <v>0</v>
      </c>
      <c r="AF28" s="25" t="n">
        <v>0</v>
      </c>
      <c r="AG28" s="25" t="n">
        <v>0</v>
      </c>
      <c r="AH28" s="25" t="n">
        <v>0</v>
      </c>
      <c r="AI28" s="25" t="n">
        <v>0</v>
      </c>
      <c r="AJ28" s="25" t="n">
        <v>0</v>
      </c>
      <c r="AK28" s="25" t="n">
        <v>0</v>
      </c>
      <c r="AL28" s="25" t="n">
        <v>0</v>
      </c>
      <c r="AM28" s="25" t="n">
        <v>0</v>
      </c>
      <c r="AN28" s="25" t="n">
        <v>0</v>
      </c>
      <c r="AO28" s="25" t="n">
        <v>0</v>
      </c>
      <c r="AP28" s="25" t="n">
        <v>0</v>
      </c>
      <c r="AQ28" s="25" t="n">
        <v>0</v>
      </c>
      <c r="AR28" s="25" t="n">
        <v>0</v>
      </c>
      <c r="AS28" s="25" t="n">
        <v>0</v>
      </c>
      <c r="AT28" s="25" t="n">
        <v>0</v>
      </c>
      <c r="AU28" s="25" t="n">
        <v>0</v>
      </c>
      <c r="AV28" s="25" t="n">
        <v>0</v>
      </c>
      <c r="AW28" s="25" t="n">
        <v>0</v>
      </c>
      <c r="AX28" s="25" t="n">
        <v>0</v>
      </c>
      <c r="AY28" s="25" t="n">
        <v>0</v>
      </c>
      <c r="AZ28" s="25" t="n">
        <v>0</v>
      </c>
      <c r="BA28" s="25" t="n">
        <v>0</v>
      </c>
      <c r="BB28" s="25" t="n">
        <v>0</v>
      </c>
      <c r="BC28" s="25" t="n">
        <v>0</v>
      </c>
      <c r="BD28" s="25" t="n">
        <v>0</v>
      </c>
      <c r="BE28" s="25" t="n">
        <v>0</v>
      </c>
      <c r="BF28" s="25" t="n">
        <v>0</v>
      </c>
      <c r="BG28" s="25" t="n">
        <v>0</v>
      </c>
      <c r="BH28" s="25" t="n">
        <v>0</v>
      </c>
      <c r="BI28" s="25" t="n">
        <v>0</v>
      </c>
      <c r="BJ28" s="25" t="n">
        <v>0</v>
      </c>
      <c r="BK28" s="25" t="n">
        <v>0</v>
      </c>
      <c r="BL28" s="25" t="n">
        <v>0</v>
      </c>
      <c r="BM28" s="25" t="n">
        <v>0</v>
      </c>
      <c r="BN28" s="25" t="n">
        <v>0</v>
      </c>
      <c r="BO28" s="25" t="n">
        <v>0</v>
      </c>
      <c r="BP28" s="25" t="n">
        <v>0</v>
      </c>
      <c r="BQ28" s="25" t="n">
        <v>0</v>
      </c>
      <c r="BR28" s="25" t="n">
        <v>0</v>
      </c>
      <c r="BS28" s="25" t="n">
        <v>0</v>
      </c>
      <c r="BT28" s="25" t="n">
        <v>0</v>
      </c>
      <c r="BU28" s="25" t="n">
        <v>0</v>
      </c>
      <c r="BV28" s="25" t="n">
        <v>0</v>
      </c>
      <c r="BW28" s="25" t="n">
        <v>0</v>
      </c>
      <c r="BX28" s="25" t="n">
        <v>0</v>
      </c>
      <c r="BY28" s="25" t="n">
        <v>0</v>
      </c>
      <c r="BZ28" s="25" t="n">
        <v>0</v>
      </c>
      <c r="CA28" s="25" t="n">
        <v>0</v>
      </c>
      <c r="CB28" s="25" t="n">
        <v>0</v>
      </c>
      <c r="CC28" s="25" t="n">
        <v>0</v>
      </c>
      <c r="CD28" s="25" t="n">
        <v>0</v>
      </c>
      <c r="CE28" s="25" t="n">
        <v>0</v>
      </c>
      <c r="CF28" s="25" t="n">
        <v>0</v>
      </c>
      <c r="CG28" s="25" t="n">
        <v>0</v>
      </c>
      <c r="CH28" s="25" t="n">
        <v>0</v>
      </c>
      <c r="CI28" s="25" t="n">
        <v>0</v>
      </c>
      <c r="CJ28" s="25" t="n">
        <v>0</v>
      </c>
      <c r="CK28" s="25" t="n">
        <v>0</v>
      </c>
      <c r="CL28" s="25" t="n">
        <v>0</v>
      </c>
      <c r="CM28" s="25" t="n">
        <v>0</v>
      </c>
      <c r="CN28" s="25" t="n">
        <v>0</v>
      </c>
      <c r="CO28" s="25" t="n">
        <v>0</v>
      </c>
      <c r="CP28" s="25" t="n">
        <v>0</v>
      </c>
      <c r="CQ28" s="25" t="n">
        <v>0</v>
      </c>
      <c r="CR28" s="25" t="n">
        <v>0</v>
      </c>
      <c r="CS28" s="25" t="n">
        <v>0</v>
      </c>
      <c r="CT28" s="25" t="n">
        <v>0</v>
      </c>
      <c r="CU28" s="25" t="n">
        <v>0</v>
      </c>
      <c r="CV28" s="25" t="n">
        <v>0</v>
      </c>
      <c r="CW28" s="25" t="n">
        <v>0</v>
      </c>
      <c r="CX28" s="25" t="n">
        <v>0</v>
      </c>
      <c r="CY28" s="25" t="n">
        <v>0</v>
      </c>
      <c r="CZ28" s="25" t="n">
        <v>0</v>
      </c>
      <c r="DA28" s="25" t="n">
        <v>0</v>
      </c>
    </row>
    <row r="29">
      <c r="A29" t="inlineStr">
        <is>
          <t>TSP-558</t>
        </is>
      </c>
      <c r="B29" s="25" t="n">
        <v>0</v>
      </c>
      <c r="C29" s="25" t="n">
        <v>0</v>
      </c>
      <c r="D29" s="25" t="n">
        <v>0</v>
      </c>
      <c r="E29" s="25" t="n">
        <v>0</v>
      </c>
      <c r="F29" s="25" t="n">
        <v>0</v>
      </c>
      <c r="G29" s="25" t="n">
        <v>0</v>
      </c>
      <c r="H29" s="25" t="n">
        <v>0</v>
      </c>
      <c r="I29" s="25" t="n">
        <v>0</v>
      </c>
      <c r="J29" s="25" t="n">
        <v>0</v>
      </c>
      <c r="K29" s="25" t="n">
        <v>0</v>
      </c>
      <c r="L29" s="25" t="n">
        <v>0</v>
      </c>
      <c r="M29" s="25" t="n">
        <v>0</v>
      </c>
      <c r="N29" s="25" t="n">
        <v>0</v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 t="n">
        <v>0</v>
      </c>
      <c r="AB29" s="25" t="n">
        <v>0</v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25" t="n">
        <v>0</v>
      </c>
      <c r="AJ29" s="25" t="n">
        <v>0</v>
      </c>
      <c r="AK29" s="25" t="n">
        <v>0</v>
      </c>
      <c r="AL29" s="25" t="n">
        <v>0</v>
      </c>
      <c r="AM29" s="25" t="n">
        <v>0</v>
      </c>
      <c r="AN29" s="25" t="n">
        <v>0</v>
      </c>
      <c r="AO29" s="25" t="n">
        <v>0</v>
      </c>
      <c r="AP29" s="25" t="n">
        <v>0</v>
      </c>
      <c r="AQ29" s="25" t="n">
        <v>0</v>
      </c>
      <c r="AR29" s="25" t="n">
        <v>0</v>
      </c>
      <c r="AS29" s="25" t="n">
        <v>0</v>
      </c>
      <c r="AT29" s="25" t="n">
        <v>0</v>
      </c>
      <c r="AU29" s="25" t="n">
        <v>0</v>
      </c>
      <c r="AV29" s="25" t="n">
        <v>0</v>
      </c>
      <c r="AW29" s="25" t="n">
        <v>0</v>
      </c>
      <c r="AX29" s="25" t="n">
        <v>0</v>
      </c>
      <c r="AY29" s="25" t="n">
        <v>0</v>
      </c>
      <c r="AZ29" s="25" t="n">
        <v>0</v>
      </c>
      <c r="BA29" s="25" t="n">
        <v>0</v>
      </c>
      <c r="BB29" s="25" t="n">
        <v>0</v>
      </c>
      <c r="BC29" s="25" t="n">
        <v>0</v>
      </c>
      <c r="BD29" s="25" t="n">
        <v>0</v>
      </c>
      <c r="BE29" s="25" t="n">
        <v>0</v>
      </c>
      <c r="BF29" s="25" t="n">
        <v>0</v>
      </c>
      <c r="BG29" s="25" t="n">
        <v>0</v>
      </c>
      <c r="BH29" s="25" t="n">
        <v>0</v>
      </c>
      <c r="BI29" s="25" t="n">
        <v>0</v>
      </c>
      <c r="BJ29" s="25" t="n">
        <v>0</v>
      </c>
      <c r="BK29" s="25" t="n">
        <v>0</v>
      </c>
      <c r="BL29" s="25" t="n">
        <v>0</v>
      </c>
      <c r="BM29" s="25" t="n">
        <v>0</v>
      </c>
      <c r="BN29" s="25" t="n">
        <v>0</v>
      </c>
      <c r="BO29" s="25" t="n">
        <v>0</v>
      </c>
      <c r="BP29" s="25" t="n">
        <v>0</v>
      </c>
      <c r="BQ29" s="25" t="n">
        <v>0</v>
      </c>
      <c r="BR29" s="25" t="n">
        <v>0</v>
      </c>
      <c r="BS29" s="25" t="n">
        <v>0</v>
      </c>
      <c r="BT29" s="25" t="n">
        <v>0</v>
      </c>
      <c r="BU29" s="25" t="n">
        <v>0</v>
      </c>
      <c r="BV29" s="25" t="n">
        <v>0</v>
      </c>
      <c r="BW29" s="25" t="n">
        <v>0</v>
      </c>
      <c r="BX29" s="25" t="n">
        <v>0</v>
      </c>
      <c r="BY29" s="25" t="n">
        <v>0</v>
      </c>
      <c r="BZ29" s="25" t="n">
        <v>0</v>
      </c>
      <c r="CA29" s="25" t="n">
        <v>0</v>
      </c>
      <c r="CB29" s="25" t="n">
        <v>0</v>
      </c>
      <c r="CC29" s="25" t="n">
        <v>0</v>
      </c>
      <c r="CD29" s="25" t="n">
        <v>0</v>
      </c>
      <c r="CE29" s="25" t="n">
        <v>0</v>
      </c>
      <c r="CF29" s="25" t="n">
        <v>0</v>
      </c>
      <c r="CG29" s="25" t="n">
        <v>0</v>
      </c>
      <c r="CH29" s="25" t="n">
        <v>0</v>
      </c>
      <c r="CI29" s="25" t="n">
        <v>0</v>
      </c>
      <c r="CJ29" s="25" t="n">
        <v>0</v>
      </c>
      <c r="CK29" s="25" t="n">
        <v>0</v>
      </c>
      <c r="CL29" s="25" t="n">
        <v>0</v>
      </c>
      <c r="CM29" s="25" t="n">
        <v>0</v>
      </c>
      <c r="CN29" s="25" t="n">
        <v>0</v>
      </c>
      <c r="CO29" s="25" t="n">
        <v>0</v>
      </c>
      <c r="CP29" s="25" t="n">
        <v>0</v>
      </c>
      <c r="CQ29" s="25" t="n">
        <v>0</v>
      </c>
      <c r="CR29" s="25" t="n">
        <v>0</v>
      </c>
      <c r="CS29" s="25" t="n">
        <v>0</v>
      </c>
      <c r="CT29" s="25" t="n">
        <v>0</v>
      </c>
      <c r="CU29" s="25" t="n">
        <v>0</v>
      </c>
      <c r="CV29" s="25" t="n">
        <v>0</v>
      </c>
      <c r="CW29" s="25" t="n">
        <v>0</v>
      </c>
      <c r="CX29" s="25" t="n">
        <v>0</v>
      </c>
      <c r="CY29" s="25" t="n">
        <v>0</v>
      </c>
      <c r="CZ29" s="25" t="n">
        <v>0</v>
      </c>
      <c r="DA29" s="25" t="n">
        <v>0</v>
      </c>
    </row>
    <row r="30">
      <c r="A30" t="inlineStr">
        <is>
          <t>TSP-618</t>
        </is>
      </c>
      <c r="B30" s="25" t="n">
        <v>0</v>
      </c>
      <c r="C30" s="25" t="n">
        <v>0</v>
      </c>
      <c r="D30" s="25" t="n">
        <v>0</v>
      </c>
      <c r="E30" s="25" t="n">
        <v>0</v>
      </c>
      <c r="F30" s="25" t="n">
        <v>0</v>
      </c>
      <c r="G30" s="25" t="n">
        <v>0</v>
      </c>
      <c r="H30" s="25" t="n">
        <v>0</v>
      </c>
      <c r="I30" s="25" t="n">
        <v>0</v>
      </c>
      <c r="J30" s="25" t="n">
        <v>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0</v>
      </c>
      <c r="Q30" s="25" t="n">
        <v>0</v>
      </c>
      <c r="R30" s="25" t="n">
        <v>0</v>
      </c>
      <c r="S30" s="25" t="n">
        <v>0</v>
      </c>
      <c r="T30" s="25" t="n">
        <v>0</v>
      </c>
      <c r="U30" s="25" t="n">
        <v>0</v>
      </c>
      <c r="V30" s="25" t="n">
        <v>0</v>
      </c>
      <c r="W30" s="25" t="n">
        <v>0</v>
      </c>
      <c r="X30" s="25" t="n">
        <v>0</v>
      </c>
      <c r="Y30" s="25" t="n">
        <v>0</v>
      </c>
      <c r="Z30" s="25" t="n">
        <v>0</v>
      </c>
      <c r="AA30" s="25" t="n">
        <v>0</v>
      </c>
      <c r="AB30" s="25" t="n">
        <v>0</v>
      </c>
      <c r="AC30" s="25" t="n">
        <v>0</v>
      </c>
      <c r="AD30" s="25" t="n">
        <v>0</v>
      </c>
      <c r="AE30" s="25" t="n">
        <v>0</v>
      </c>
      <c r="AF30" s="25" t="n">
        <v>0</v>
      </c>
      <c r="AG30" s="25" t="n">
        <v>0</v>
      </c>
      <c r="AH30" s="25" t="n">
        <v>0</v>
      </c>
      <c r="AI30" s="25" t="n">
        <v>0</v>
      </c>
      <c r="AJ30" s="25" t="n">
        <v>0</v>
      </c>
      <c r="AK30" s="25" t="n">
        <v>0</v>
      </c>
      <c r="AL30" s="25" t="n">
        <v>0</v>
      </c>
      <c r="AM30" s="25" t="n">
        <v>0</v>
      </c>
      <c r="AN30" s="25" t="n">
        <v>0</v>
      </c>
      <c r="AO30" s="25" t="n">
        <v>0</v>
      </c>
      <c r="AP30" s="25" t="n">
        <v>0</v>
      </c>
      <c r="AQ30" s="25" t="n">
        <v>0</v>
      </c>
      <c r="AR30" s="25" t="n">
        <v>0</v>
      </c>
      <c r="AS30" s="25" t="n">
        <v>0</v>
      </c>
      <c r="AT30" s="25" t="n">
        <v>0</v>
      </c>
      <c r="AU30" s="25" t="n">
        <v>0</v>
      </c>
      <c r="AV30" s="25" t="n">
        <v>0</v>
      </c>
      <c r="AW30" s="25" t="n">
        <v>0</v>
      </c>
      <c r="AX30" s="25" t="n">
        <v>0</v>
      </c>
      <c r="AY30" s="25" t="n">
        <v>0</v>
      </c>
      <c r="AZ30" s="25" t="n">
        <v>0</v>
      </c>
      <c r="BA30" s="25" t="n">
        <v>0</v>
      </c>
      <c r="BB30" s="25" t="n">
        <v>0</v>
      </c>
      <c r="BC30" s="25" t="n">
        <v>0</v>
      </c>
      <c r="BD30" s="25" t="n">
        <v>0</v>
      </c>
      <c r="BE30" s="25" t="n">
        <v>0</v>
      </c>
      <c r="BF30" s="25" t="n">
        <v>0</v>
      </c>
      <c r="BG30" s="25" t="n">
        <v>0</v>
      </c>
      <c r="BH30" s="25" t="n">
        <v>0</v>
      </c>
      <c r="BI30" s="25" t="n">
        <v>0</v>
      </c>
      <c r="BJ30" s="25" t="n">
        <v>0</v>
      </c>
      <c r="BK30" s="25" t="n">
        <v>0</v>
      </c>
      <c r="BL30" s="25" t="n">
        <v>0</v>
      </c>
      <c r="BM30" s="25" t="n">
        <v>0</v>
      </c>
      <c r="BN30" s="25" t="n">
        <v>0</v>
      </c>
      <c r="BO30" s="25" t="n">
        <v>0</v>
      </c>
      <c r="BP30" s="25" t="n">
        <v>0</v>
      </c>
      <c r="BQ30" s="25" t="n">
        <v>0</v>
      </c>
      <c r="BR30" s="25" t="n">
        <v>0</v>
      </c>
      <c r="BS30" s="25" t="n">
        <v>0</v>
      </c>
      <c r="BT30" s="25" t="n">
        <v>0</v>
      </c>
      <c r="BU30" s="25" t="n">
        <v>0</v>
      </c>
      <c r="BV30" s="25" t="n">
        <v>0</v>
      </c>
      <c r="BW30" s="25" t="n">
        <v>0</v>
      </c>
      <c r="BX30" s="25" t="n">
        <v>0</v>
      </c>
      <c r="BY30" s="25" t="n">
        <v>0</v>
      </c>
      <c r="BZ30" s="25" t="n">
        <v>0</v>
      </c>
      <c r="CA30" s="25" t="n">
        <v>0</v>
      </c>
      <c r="CB30" s="25" t="n">
        <v>0</v>
      </c>
      <c r="CC30" s="25" t="n">
        <v>0</v>
      </c>
      <c r="CD30" s="25" t="n">
        <v>0</v>
      </c>
      <c r="CE30" s="25" t="n">
        <v>0</v>
      </c>
      <c r="CF30" s="25" t="n">
        <v>0</v>
      </c>
      <c r="CG30" s="25" t="n">
        <v>0</v>
      </c>
      <c r="CH30" s="25" t="n">
        <v>0</v>
      </c>
      <c r="CI30" s="25" t="n">
        <v>0</v>
      </c>
      <c r="CJ30" s="25" t="n">
        <v>0</v>
      </c>
      <c r="CK30" s="25" t="n">
        <v>0</v>
      </c>
      <c r="CL30" s="25" t="n">
        <v>0</v>
      </c>
      <c r="CM30" s="25" t="n">
        <v>0</v>
      </c>
      <c r="CN30" s="25" t="n">
        <v>0</v>
      </c>
      <c r="CO30" s="25" t="n">
        <v>0</v>
      </c>
      <c r="CP30" s="25" t="n">
        <v>0</v>
      </c>
      <c r="CQ30" s="25" t="n">
        <v>0</v>
      </c>
      <c r="CR30" s="25" t="n">
        <v>0</v>
      </c>
      <c r="CS30" s="25" t="n">
        <v>0</v>
      </c>
      <c r="CT30" s="25" t="n">
        <v>0</v>
      </c>
      <c r="CU30" s="25" t="n">
        <v>0</v>
      </c>
      <c r="CV30" s="25" t="n">
        <v>0</v>
      </c>
      <c r="CW30" s="25" t="n">
        <v>0</v>
      </c>
      <c r="CX30" s="25" t="n">
        <v>0</v>
      </c>
      <c r="CY30" s="25" t="n">
        <v>0</v>
      </c>
      <c r="CZ30" s="25" t="n">
        <v>0</v>
      </c>
      <c r="DA30" s="25" t="n">
        <v>0</v>
      </c>
    </row>
    <row r="31">
      <c r="A31" t="inlineStr">
        <is>
          <t>TSP-620</t>
        </is>
      </c>
      <c r="B31" s="25" t="n">
        <v>0</v>
      </c>
      <c r="C31" s="25" t="n">
        <v>0</v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5" t="n">
        <v>0</v>
      </c>
      <c r="J31" s="25" t="n">
        <v>0</v>
      </c>
      <c r="K31" s="25" t="n">
        <v>0</v>
      </c>
      <c r="L31" s="25" t="n">
        <v>0</v>
      </c>
      <c r="M31" s="25" t="n">
        <v>0</v>
      </c>
      <c r="N31" s="25" t="n">
        <v>0</v>
      </c>
      <c r="O31" s="25" t="n">
        <v>0</v>
      </c>
      <c r="P31" s="25" t="n">
        <v>0</v>
      </c>
      <c r="Q31" s="25" t="n">
        <v>0</v>
      </c>
      <c r="R31" s="25" t="n">
        <v>0</v>
      </c>
      <c r="S31" s="25" t="n">
        <v>0</v>
      </c>
      <c r="T31" s="25" t="n">
        <v>0</v>
      </c>
      <c r="U31" s="25" t="n">
        <v>0</v>
      </c>
      <c r="V31" s="25" t="n">
        <v>0</v>
      </c>
      <c r="W31" s="25" t="n">
        <v>0</v>
      </c>
      <c r="X31" s="25" t="n">
        <v>0</v>
      </c>
      <c r="Y31" s="25" t="n">
        <v>0</v>
      </c>
      <c r="Z31" s="25" t="n">
        <v>0</v>
      </c>
      <c r="AA31" s="25" t="n">
        <v>0</v>
      </c>
      <c r="AB31" s="25" t="n">
        <v>0</v>
      </c>
      <c r="AC31" s="25" t="n">
        <v>0</v>
      </c>
      <c r="AD31" s="25" t="n">
        <v>0</v>
      </c>
      <c r="AE31" s="25" t="n">
        <v>0</v>
      </c>
      <c r="AF31" s="25" t="n">
        <v>0</v>
      </c>
      <c r="AG31" s="25" t="n">
        <v>0</v>
      </c>
      <c r="AH31" s="25" t="n">
        <v>0</v>
      </c>
      <c r="AI31" s="25" t="n">
        <v>0</v>
      </c>
      <c r="AJ31" s="25" t="n">
        <v>0</v>
      </c>
      <c r="AK31" s="25" t="n">
        <v>0</v>
      </c>
      <c r="AL31" s="25" t="n">
        <v>0</v>
      </c>
      <c r="AM31" s="25" t="n">
        <v>0</v>
      </c>
      <c r="AN31" s="25" t="n">
        <v>0</v>
      </c>
      <c r="AO31" s="25" t="n">
        <v>0</v>
      </c>
      <c r="AP31" s="25" t="n">
        <v>0</v>
      </c>
      <c r="AQ31" s="25" t="n">
        <v>0</v>
      </c>
      <c r="AR31" s="25" t="n">
        <v>0</v>
      </c>
      <c r="AS31" s="25" t="n">
        <v>0</v>
      </c>
      <c r="AT31" s="25" t="n">
        <v>0</v>
      </c>
      <c r="AU31" s="25" t="n">
        <v>0</v>
      </c>
      <c r="AV31" s="25" t="n">
        <v>0</v>
      </c>
      <c r="AW31" s="25" t="n">
        <v>0</v>
      </c>
      <c r="AX31" s="25" t="n">
        <v>0</v>
      </c>
      <c r="AY31" s="25" t="n">
        <v>0</v>
      </c>
      <c r="AZ31" s="25" t="n">
        <v>0</v>
      </c>
      <c r="BA31" s="25" t="n">
        <v>0</v>
      </c>
      <c r="BB31" s="25" t="n">
        <v>0</v>
      </c>
      <c r="BC31" s="25" t="n">
        <v>0</v>
      </c>
      <c r="BD31" s="25" t="n">
        <v>0</v>
      </c>
      <c r="BE31" s="25" t="n">
        <v>0</v>
      </c>
      <c r="BF31" s="25" t="n">
        <v>0</v>
      </c>
      <c r="BG31" s="25" t="n">
        <v>0</v>
      </c>
      <c r="BH31" s="25" t="n">
        <v>0</v>
      </c>
      <c r="BI31" s="25" t="n">
        <v>0</v>
      </c>
      <c r="BJ31" s="25" t="n">
        <v>0</v>
      </c>
      <c r="BK31" s="25" t="n">
        <v>0</v>
      </c>
      <c r="BL31" s="25" t="n">
        <v>0</v>
      </c>
      <c r="BM31" s="25" t="n">
        <v>0</v>
      </c>
      <c r="BN31" s="25" t="n">
        <v>0</v>
      </c>
      <c r="BO31" s="25" t="n">
        <v>0</v>
      </c>
      <c r="BP31" s="25" t="n">
        <v>0</v>
      </c>
      <c r="BQ31" s="25" t="n">
        <v>0</v>
      </c>
      <c r="BR31" s="25" t="n">
        <v>0</v>
      </c>
      <c r="BS31" s="25" t="n">
        <v>0</v>
      </c>
      <c r="BT31" s="25" t="n">
        <v>0</v>
      </c>
      <c r="BU31" s="25" t="n">
        <v>0</v>
      </c>
      <c r="BV31" s="25" t="n">
        <v>0</v>
      </c>
      <c r="BW31" s="25" t="n">
        <v>0</v>
      </c>
      <c r="BX31" s="25" t="n">
        <v>0</v>
      </c>
      <c r="BY31" s="25" t="n">
        <v>0</v>
      </c>
      <c r="BZ31" s="25" t="n">
        <v>0</v>
      </c>
      <c r="CA31" s="25" t="n">
        <v>0</v>
      </c>
      <c r="CB31" s="25" t="n">
        <v>0</v>
      </c>
      <c r="CC31" s="25" t="n">
        <v>0</v>
      </c>
      <c r="CD31" s="25" t="n">
        <v>0</v>
      </c>
      <c r="CE31" s="25" t="n">
        <v>0</v>
      </c>
      <c r="CF31" s="25" t="n">
        <v>0</v>
      </c>
      <c r="CG31" s="25" t="n">
        <v>0</v>
      </c>
      <c r="CH31" s="25" t="n">
        <v>0</v>
      </c>
      <c r="CI31" s="25" t="n">
        <v>0</v>
      </c>
      <c r="CJ31" s="25" t="n">
        <v>0</v>
      </c>
      <c r="CK31" s="25" t="n">
        <v>0</v>
      </c>
      <c r="CL31" s="25" t="n">
        <v>0</v>
      </c>
      <c r="CM31" s="25" t="n">
        <v>0</v>
      </c>
      <c r="CN31" s="25" t="n">
        <v>0</v>
      </c>
      <c r="CO31" s="25" t="n">
        <v>0</v>
      </c>
      <c r="CP31" s="25" t="n">
        <v>0</v>
      </c>
      <c r="CQ31" s="25" t="n">
        <v>0</v>
      </c>
      <c r="CR31" s="25" t="n">
        <v>0</v>
      </c>
      <c r="CS31" s="25" t="n">
        <v>0</v>
      </c>
      <c r="CT31" s="25" t="n">
        <v>0</v>
      </c>
      <c r="CU31" s="25" t="n">
        <v>0</v>
      </c>
      <c r="CV31" s="25" t="n">
        <v>0</v>
      </c>
      <c r="CW31" s="25" t="n">
        <v>0</v>
      </c>
      <c r="CX31" s="25" t="n">
        <v>0</v>
      </c>
      <c r="CY31" s="25" t="n">
        <v>0</v>
      </c>
      <c r="CZ31" s="25" t="n">
        <v>0</v>
      </c>
      <c r="DA31" s="25" t="n">
        <v>0</v>
      </c>
    </row>
    <row r="32">
      <c r="A32" t="inlineStr">
        <is>
          <t>TSP-623</t>
        </is>
      </c>
      <c r="B32" s="25" t="n">
        <v>0</v>
      </c>
      <c r="C32" s="25" t="n">
        <v>0</v>
      </c>
      <c r="D32" s="25" t="n">
        <v>0</v>
      </c>
      <c r="E32" s="25" t="n">
        <v>0</v>
      </c>
      <c r="F32" s="25" t="n">
        <v>0</v>
      </c>
      <c r="G32" s="25" t="n">
        <v>0</v>
      </c>
      <c r="H32" s="25" t="n">
        <v>0</v>
      </c>
      <c r="I32" s="25" t="n">
        <v>0</v>
      </c>
      <c r="J32" s="25" t="n">
        <v>0</v>
      </c>
      <c r="K32" s="25" t="n">
        <v>0</v>
      </c>
      <c r="L32" s="25" t="n">
        <v>0</v>
      </c>
      <c r="M32" s="25" t="n">
        <v>0</v>
      </c>
      <c r="N32" s="25" t="n">
        <v>0</v>
      </c>
      <c r="O32" s="25" t="n">
        <v>0</v>
      </c>
      <c r="P32" s="25" t="n">
        <v>0</v>
      </c>
      <c r="Q32" s="25" t="n">
        <v>0</v>
      </c>
      <c r="R32" s="25" t="n">
        <v>0</v>
      </c>
      <c r="S32" s="25" t="n">
        <v>0</v>
      </c>
      <c r="T32" s="25" t="n">
        <v>0</v>
      </c>
      <c r="U32" s="25" t="n">
        <v>0</v>
      </c>
      <c r="V32" s="25" t="n">
        <v>0</v>
      </c>
      <c r="W32" s="25" t="n">
        <v>0</v>
      </c>
      <c r="X32" s="25" t="n">
        <v>0</v>
      </c>
      <c r="Y32" s="25" t="n">
        <v>0</v>
      </c>
      <c r="Z32" s="25" t="n">
        <v>0</v>
      </c>
      <c r="AA32" s="25" t="n">
        <v>0</v>
      </c>
      <c r="AB32" s="25" t="n">
        <v>0</v>
      </c>
      <c r="AC32" s="25" t="n">
        <v>0</v>
      </c>
      <c r="AD32" s="25" t="n">
        <v>0</v>
      </c>
      <c r="AE32" s="25" t="n">
        <v>0</v>
      </c>
      <c r="AF32" s="25" t="n">
        <v>0</v>
      </c>
      <c r="AG32" s="25" t="n">
        <v>0</v>
      </c>
      <c r="AH32" s="25" t="n">
        <v>0</v>
      </c>
      <c r="AI32" s="25" t="n">
        <v>0</v>
      </c>
      <c r="AJ32" s="25" t="n">
        <v>0</v>
      </c>
      <c r="AK32" s="25" t="n">
        <v>0</v>
      </c>
      <c r="AL32" s="25" t="n">
        <v>0</v>
      </c>
      <c r="AM32" s="25" t="n">
        <v>0</v>
      </c>
      <c r="AN32" s="25" t="n">
        <v>0</v>
      </c>
      <c r="AO32" s="25" t="n">
        <v>0</v>
      </c>
      <c r="AP32" s="25" t="n">
        <v>0</v>
      </c>
      <c r="AQ32" s="25" t="n">
        <v>0</v>
      </c>
      <c r="AR32" s="25" t="n">
        <v>0</v>
      </c>
      <c r="AS32" s="25" t="n">
        <v>0</v>
      </c>
      <c r="AT32" s="25" t="n">
        <v>0</v>
      </c>
      <c r="AU32" s="25" t="n">
        <v>0</v>
      </c>
      <c r="AV32" s="25" t="n">
        <v>0</v>
      </c>
      <c r="AW32" s="25" t="n">
        <v>0</v>
      </c>
      <c r="AX32" s="25" t="n">
        <v>0</v>
      </c>
      <c r="AY32" s="25" t="n">
        <v>0</v>
      </c>
      <c r="AZ32" s="25" t="n">
        <v>0</v>
      </c>
      <c r="BA32" s="25" t="n">
        <v>0</v>
      </c>
      <c r="BB32" s="25" t="n">
        <v>0</v>
      </c>
      <c r="BC32" s="25" t="n">
        <v>0</v>
      </c>
      <c r="BD32" s="25" t="n">
        <v>0</v>
      </c>
      <c r="BE32" s="25" t="n">
        <v>0</v>
      </c>
      <c r="BF32" s="25" t="n">
        <v>0</v>
      </c>
      <c r="BG32" s="25" t="n">
        <v>0</v>
      </c>
      <c r="BH32" s="25" t="n">
        <v>0</v>
      </c>
      <c r="BI32" s="25" t="n">
        <v>0</v>
      </c>
      <c r="BJ32" s="25" t="n">
        <v>0</v>
      </c>
      <c r="BK32" s="25" t="n">
        <v>0</v>
      </c>
      <c r="BL32" s="25" t="n">
        <v>0</v>
      </c>
      <c r="BM32" s="25" t="n">
        <v>0</v>
      </c>
      <c r="BN32" s="25" t="n">
        <v>0</v>
      </c>
      <c r="BO32" s="25" t="n">
        <v>0</v>
      </c>
      <c r="BP32" s="25" t="n">
        <v>0</v>
      </c>
      <c r="BQ32" s="25" t="n">
        <v>0</v>
      </c>
      <c r="BR32" s="25" t="n">
        <v>0</v>
      </c>
      <c r="BS32" s="25" t="n">
        <v>0</v>
      </c>
      <c r="BT32" s="25" t="n">
        <v>0</v>
      </c>
      <c r="BU32" s="25" t="n">
        <v>0</v>
      </c>
      <c r="BV32" s="25" t="n">
        <v>0</v>
      </c>
      <c r="BW32" s="25" t="n">
        <v>0</v>
      </c>
      <c r="BX32" s="25" t="n">
        <v>0</v>
      </c>
      <c r="BY32" s="25" t="n">
        <v>0</v>
      </c>
      <c r="BZ32" s="25" t="n">
        <v>0</v>
      </c>
      <c r="CA32" s="25" t="n">
        <v>0</v>
      </c>
      <c r="CB32" s="25" t="n">
        <v>0</v>
      </c>
      <c r="CC32" s="25" t="n">
        <v>0</v>
      </c>
      <c r="CD32" s="25" t="n">
        <v>0</v>
      </c>
      <c r="CE32" s="25" t="n">
        <v>0</v>
      </c>
      <c r="CF32" s="25" t="n">
        <v>0</v>
      </c>
      <c r="CG32" s="25" t="n">
        <v>0</v>
      </c>
      <c r="CH32" s="25" t="n">
        <v>0</v>
      </c>
      <c r="CI32" s="25" t="n">
        <v>0</v>
      </c>
      <c r="CJ32" s="25" t="n">
        <v>0</v>
      </c>
      <c r="CK32" s="25" t="n">
        <v>0</v>
      </c>
      <c r="CL32" s="25" t="n">
        <v>0</v>
      </c>
      <c r="CM32" s="25" t="n">
        <v>0</v>
      </c>
      <c r="CN32" s="25" t="n">
        <v>0</v>
      </c>
      <c r="CO32" s="25" t="n">
        <v>0</v>
      </c>
      <c r="CP32" s="25" t="n">
        <v>0</v>
      </c>
      <c r="CQ32" s="25" t="n">
        <v>0</v>
      </c>
      <c r="CR32" s="25" t="n">
        <v>0</v>
      </c>
      <c r="CS32" s="25" t="n">
        <v>0</v>
      </c>
      <c r="CT32" s="25" t="n">
        <v>0</v>
      </c>
      <c r="CU32" s="25" t="n">
        <v>0</v>
      </c>
      <c r="CV32" s="25" t="n">
        <v>0</v>
      </c>
      <c r="CW32" s="25" t="n">
        <v>0</v>
      </c>
      <c r="CX32" s="25" t="n">
        <v>0</v>
      </c>
      <c r="CY32" s="25" t="n">
        <v>0</v>
      </c>
      <c r="CZ32" s="25" t="n">
        <v>0</v>
      </c>
      <c r="DA32" s="25" t="n">
        <v>0</v>
      </c>
    </row>
    <row r="33">
      <c r="A33" t="inlineStr">
        <is>
          <t>TSP-655</t>
        </is>
      </c>
      <c r="B33" s="25" t="n">
        <v>0</v>
      </c>
      <c r="C33" s="25" t="n">
        <v>0</v>
      </c>
      <c r="D33" s="25" t="n">
        <v>0</v>
      </c>
      <c r="E33" s="25" t="n">
        <v>0</v>
      </c>
      <c r="F33" s="25" t="n">
        <v>0</v>
      </c>
      <c r="G33" s="25" t="n">
        <v>0</v>
      </c>
      <c r="H33" s="25" t="n">
        <v>0</v>
      </c>
      <c r="I33" s="25" t="n">
        <v>0</v>
      </c>
      <c r="J33" s="25" t="n">
        <v>0</v>
      </c>
      <c r="K33" s="25" t="n">
        <v>0</v>
      </c>
      <c r="L33" s="25" t="n">
        <v>0</v>
      </c>
      <c r="M33" s="25" t="n">
        <v>0</v>
      </c>
      <c r="N33" s="25" t="n">
        <v>0</v>
      </c>
      <c r="O33" s="25" t="n">
        <v>0</v>
      </c>
      <c r="P33" s="25" t="n">
        <v>0</v>
      </c>
      <c r="Q33" s="25" t="n">
        <v>0</v>
      </c>
      <c r="R33" s="25" t="n">
        <v>0</v>
      </c>
      <c r="S33" s="25" t="n">
        <v>0</v>
      </c>
      <c r="T33" s="25" t="n">
        <v>0</v>
      </c>
      <c r="U33" s="25" t="n">
        <v>0</v>
      </c>
      <c r="V33" s="25" t="n">
        <v>0</v>
      </c>
      <c r="W33" s="25" t="n">
        <v>0</v>
      </c>
      <c r="X33" s="25" t="n">
        <v>0</v>
      </c>
      <c r="Y33" s="25" t="n">
        <v>10.0125317527519</v>
      </c>
      <c r="Z33" s="25" t="n">
        <v>0</v>
      </c>
      <c r="AA33" s="25" t="n">
        <v>5.006265876375952</v>
      </c>
      <c r="AB33" s="25" t="n">
        <v>3.754699407281964</v>
      </c>
      <c r="AC33" s="25" t="n">
        <v>5.006265876375952</v>
      </c>
      <c r="AD33" s="25" t="n">
        <v>3.754699407281964</v>
      </c>
      <c r="AE33" s="25" t="n">
        <v>5.006265876375952</v>
      </c>
      <c r="AF33" s="25" t="n">
        <v>3.754699407281964</v>
      </c>
      <c r="AG33" s="25" t="n">
        <v>3.754699407281964</v>
      </c>
      <c r="AH33" s="25" t="n">
        <v>0</v>
      </c>
      <c r="AI33" s="25" t="n">
        <v>3.754699407281964</v>
      </c>
      <c r="AJ33" s="25" t="n">
        <v>0</v>
      </c>
      <c r="AK33" s="25" t="n">
        <v>5.006265876375952</v>
      </c>
      <c r="AL33" s="25" t="n">
        <v>0</v>
      </c>
      <c r="AM33" s="25" t="n">
        <v>5.006265876375952</v>
      </c>
      <c r="AN33" s="25" t="n">
        <v>0</v>
      </c>
      <c r="AO33" s="25" t="n">
        <v>0</v>
      </c>
      <c r="AP33" s="25" t="n">
        <v>5.006265876375952</v>
      </c>
      <c r="AQ33" s="25" t="n">
        <v>0</v>
      </c>
      <c r="AR33" s="25" t="n">
        <v>5.006265876375952</v>
      </c>
      <c r="AS33" s="25" t="n">
        <v>0</v>
      </c>
      <c r="AT33" s="25" t="n">
        <v>5.006265876375952</v>
      </c>
      <c r="AU33" s="25" t="n">
        <v>5.006265876375952</v>
      </c>
      <c r="AV33" s="25" t="n">
        <v>5.006265876375952</v>
      </c>
      <c r="AW33" s="25" t="n">
        <v>5.006265876375952</v>
      </c>
      <c r="AX33" s="25" t="n">
        <v>5.006265876375952</v>
      </c>
      <c r="AY33" s="25" t="n">
        <v>0</v>
      </c>
      <c r="AZ33" s="25" t="n">
        <v>0</v>
      </c>
      <c r="BA33" s="25" t="n">
        <v>0</v>
      </c>
      <c r="BB33" s="25" t="n">
        <v>0</v>
      </c>
      <c r="BC33" s="25" t="n">
        <v>0</v>
      </c>
      <c r="BD33" s="25" t="n">
        <v>5.006265876375952</v>
      </c>
      <c r="BE33" s="25" t="n">
        <v>0</v>
      </c>
      <c r="BF33" s="25" t="n">
        <v>5.006265876375952</v>
      </c>
      <c r="BG33" s="25" t="n">
        <v>0</v>
      </c>
      <c r="BH33" s="25" t="n">
        <v>5.006265876375952</v>
      </c>
      <c r="BI33" s="25" t="n">
        <v>0</v>
      </c>
      <c r="BJ33" s="25" t="n">
        <v>0</v>
      </c>
      <c r="BK33" s="25" t="n">
        <v>5.006265876375952</v>
      </c>
      <c r="BL33" s="25" t="n">
        <v>0</v>
      </c>
      <c r="BM33" s="25" t="n">
        <v>0</v>
      </c>
      <c r="BN33" s="25" t="n">
        <v>2.503132938187976</v>
      </c>
      <c r="BO33" s="25" t="n">
        <v>0</v>
      </c>
      <c r="BP33" s="25" t="n">
        <v>0</v>
      </c>
      <c r="BQ33" s="25" t="n">
        <v>1.251566469093988</v>
      </c>
      <c r="BR33" s="25" t="n">
        <v>0</v>
      </c>
      <c r="BS33" s="25" t="n">
        <v>0</v>
      </c>
      <c r="BT33" s="25" t="n">
        <v>0</v>
      </c>
      <c r="BU33" s="25" t="n">
        <v>0</v>
      </c>
      <c r="BV33" s="25" t="n">
        <v>0</v>
      </c>
      <c r="BW33" s="25" t="n">
        <v>0</v>
      </c>
      <c r="BX33" s="25" t="n">
        <v>0</v>
      </c>
      <c r="BY33" s="25" t="n">
        <v>0</v>
      </c>
      <c r="BZ33" s="25" t="n">
        <v>0</v>
      </c>
      <c r="CA33" s="25" t="n">
        <v>0</v>
      </c>
      <c r="CB33" s="25" t="n">
        <v>0</v>
      </c>
      <c r="CC33" s="25" t="n">
        <v>0</v>
      </c>
      <c r="CD33" s="25" t="n">
        <v>0</v>
      </c>
      <c r="CE33" s="25" t="n">
        <v>0</v>
      </c>
      <c r="CF33" s="25" t="n">
        <v>0</v>
      </c>
      <c r="CG33" s="25" t="n">
        <v>0</v>
      </c>
      <c r="CH33" s="25" t="n">
        <v>0</v>
      </c>
      <c r="CI33" s="25" t="n">
        <v>0</v>
      </c>
      <c r="CJ33" s="25" t="n">
        <v>0</v>
      </c>
      <c r="CK33" s="25" t="n">
        <v>0</v>
      </c>
      <c r="CL33" s="25" t="n">
        <v>0</v>
      </c>
      <c r="CM33" s="25" t="n">
        <v>0</v>
      </c>
      <c r="CN33" s="25" t="n">
        <v>0</v>
      </c>
      <c r="CO33" s="25" t="n">
        <v>0</v>
      </c>
      <c r="CP33" s="25" t="n">
        <v>0</v>
      </c>
      <c r="CQ33" s="25" t="n">
        <v>0</v>
      </c>
      <c r="CR33" s="25" t="n">
        <v>0</v>
      </c>
      <c r="CS33" s="25" t="n">
        <v>0</v>
      </c>
      <c r="CT33" s="25" t="n">
        <v>0</v>
      </c>
      <c r="CU33" s="25" t="n">
        <v>0</v>
      </c>
      <c r="CV33" s="25" t="n">
        <v>0</v>
      </c>
      <c r="CW33" s="25" t="n">
        <v>0</v>
      </c>
      <c r="CX33" s="25" t="n">
        <v>0</v>
      </c>
      <c r="CY33" s="25" t="n">
        <v>0</v>
      </c>
      <c r="CZ33" s="25" t="n">
        <v>0</v>
      </c>
      <c r="DA33" s="25" t="n">
        <v>0</v>
      </c>
    </row>
    <row r="34">
      <c r="A34" t="inlineStr">
        <is>
          <t>TSP-656</t>
        </is>
      </c>
      <c r="B34" s="25" t="n">
        <v>0</v>
      </c>
      <c r="C34" s="25" t="n">
        <v>0</v>
      </c>
      <c r="D34" s="25" t="n">
        <v>0</v>
      </c>
      <c r="E34" s="25" t="n">
        <v>0</v>
      </c>
      <c r="F34" s="25" t="n">
        <v>0</v>
      </c>
      <c r="G34" s="25" t="n">
        <v>0</v>
      </c>
      <c r="H34" s="25" t="n">
        <v>0</v>
      </c>
      <c r="I34" s="25" t="n">
        <v>0</v>
      </c>
      <c r="J34" s="25" t="n">
        <v>0</v>
      </c>
      <c r="K34" s="25" t="n">
        <v>0</v>
      </c>
      <c r="L34" s="25" t="n">
        <v>0</v>
      </c>
      <c r="M34" s="25" t="n">
        <v>0</v>
      </c>
      <c r="N34" s="25" t="n">
        <v>0</v>
      </c>
      <c r="O34" s="25" t="n">
        <v>0</v>
      </c>
      <c r="P34" s="25" t="n">
        <v>0</v>
      </c>
      <c r="Q34" s="25" t="n">
        <v>0</v>
      </c>
      <c r="R34" s="25" t="n">
        <v>0</v>
      </c>
      <c r="S34" s="25" t="n">
        <v>0</v>
      </c>
      <c r="T34" s="25" t="n">
        <v>0</v>
      </c>
      <c r="U34" s="25" t="n">
        <v>0</v>
      </c>
      <c r="V34" s="25" t="n">
        <v>0</v>
      </c>
      <c r="W34" s="25" t="n">
        <v>0</v>
      </c>
      <c r="X34" s="25" t="n">
        <v>0</v>
      </c>
      <c r="Y34" s="25" t="n">
        <v>5.38754903782059</v>
      </c>
      <c r="Z34" s="25" t="n">
        <v>0</v>
      </c>
      <c r="AA34" s="25" t="n">
        <v>2.693774518910295</v>
      </c>
      <c r="AB34" s="25" t="n">
        <v>2.020330889182722</v>
      </c>
      <c r="AC34" s="25" t="n">
        <v>2.693774518910295</v>
      </c>
      <c r="AD34" s="25" t="n">
        <v>2.020330889182722</v>
      </c>
      <c r="AE34" s="25" t="n">
        <v>2.693774518910295</v>
      </c>
      <c r="AF34" s="25" t="n">
        <v>2.020330889182722</v>
      </c>
      <c r="AG34" s="25" t="n">
        <v>2.020330889182722</v>
      </c>
      <c r="AH34" s="25" t="n">
        <v>0</v>
      </c>
      <c r="AI34" s="25" t="n">
        <v>2.020330889182722</v>
      </c>
      <c r="AJ34" s="25" t="n">
        <v>0</v>
      </c>
      <c r="AK34" s="25" t="n">
        <v>2.693774518910295</v>
      </c>
      <c r="AL34" s="25" t="n">
        <v>0</v>
      </c>
      <c r="AM34" s="25" t="n">
        <v>2.693774518910295</v>
      </c>
      <c r="AN34" s="25" t="n">
        <v>0</v>
      </c>
      <c r="AO34" s="25" t="n">
        <v>0</v>
      </c>
      <c r="AP34" s="25" t="n">
        <v>2.693774518910295</v>
      </c>
      <c r="AQ34" s="25" t="n">
        <v>0</v>
      </c>
      <c r="AR34" s="25" t="n">
        <v>2.693774518910295</v>
      </c>
      <c r="AS34" s="25" t="n">
        <v>0</v>
      </c>
      <c r="AT34" s="25" t="n">
        <v>2.693774518910295</v>
      </c>
      <c r="AU34" s="25" t="n">
        <v>2.693774518910295</v>
      </c>
      <c r="AV34" s="25" t="n">
        <v>2.693774518910295</v>
      </c>
      <c r="AW34" s="25" t="n">
        <v>2.693774518910295</v>
      </c>
      <c r="AX34" s="25" t="n">
        <v>2.693774518910295</v>
      </c>
      <c r="AY34" s="25" t="n">
        <v>0</v>
      </c>
      <c r="AZ34" s="25" t="n">
        <v>0</v>
      </c>
      <c r="BA34" s="25" t="n">
        <v>0</v>
      </c>
      <c r="BB34" s="25" t="n">
        <v>0</v>
      </c>
      <c r="BC34" s="25" t="n">
        <v>0</v>
      </c>
      <c r="BD34" s="25" t="n">
        <v>2.693774518910295</v>
      </c>
      <c r="BE34" s="25" t="n">
        <v>0</v>
      </c>
      <c r="BF34" s="25" t="n">
        <v>2.693774518910295</v>
      </c>
      <c r="BG34" s="25" t="n">
        <v>0</v>
      </c>
      <c r="BH34" s="25" t="n">
        <v>2.693774518910295</v>
      </c>
      <c r="BI34" s="25" t="n">
        <v>0</v>
      </c>
      <c r="BJ34" s="25" t="n">
        <v>0</v>
      </c>
      <c r="BK34" s="25" t="n">
        <v>2.693774518910295</v>
      </c>
      <c r="BL34" s="25" t="n">
        <v>0</v>
      </c>
      <c r="BM34" s="25" t="n">
        <v>0</v>
      </c>
      <c r="BN34" s="25" t="n">
        <v>1.346887259455148</v>
      </c>
      <c r="BO34" s="25" t="n">
        <v>0</v>
      </c>
      <c r="BP34" s="25" t="n">
        <v>0</v>
      </c>
      <c r="BQ34" s="25" t="n">
        <v>0.6734436297275738</v>
      </c>
      <c r="BR34" s="25" t="n">
        <v>0</v>
      </c>
      <c r="BS34" s="25" t="n">
        <v>0</v>
      </c>
      <c r="BT34" s="25" t="n">
        <v>0</v>
      </c>
      <c r="BU34" s="25" t="n">
        <v>0</v>
      </c>
      <c r="BV34" s="25" t="n">
        <v>0</v>
      </c>
      <c r="BW34" s="25" t="n">
        <v>0</v>
      </c>
      <c r="BX34" s="25" t="n">
        <v>0</v>
      </c>
      <c r="BY34" s="25" t="n">
        <v>0</v>
      </c>
      <c r="BZ34" s="25" t="n">
        <v>0</v>
      </c>
      <c r="CA34" s="25" t="n">
        <v>0</v>
      </c>
      <c r="CB34" s="25" t="n">
        <v>0</v>
      </c>
      <c r="CC34" s="25" t="n">
        <v>0</v>
      </c>
      <c r="CD34" s="25" t="n">
        <v>0</v>
      </c>
      <c r="CE34" s="25" t="n">
        <v>0</v>
      </c>
      <c r="CF34" s="25" t="n">
        <v>0</v>
      </c>
      <c r="CG34" s="25" t="n">
        <v>0</v>
      </c>
      <c r="CH34" s="25" t="n">
        <v>0</v>
      </c>
      <c r="CI34" s="25" t="n">
        <v>0</v>
      </c>
      <c r="CJ34" s="25" t="n">
        <v>0</v>
      </c>
      <c r="CK34" s="25" t="n">
        <v>0</v>
      </c>
      <c r="CL34" s="25" t="n">
        <v>0</v>
      </c>
      <c r="CM34" s="25" t="n">
        <v>0</v>
      </c>
      <c r="CN34" s="25" t="n">
        <v>0</v>
      </c>
      <c r="CO34" s="25" t="n">
        <v>0</v>
      </c>
      <c r="CP34" s="25" t="n">
        <v>0</v>
      </c>
      <c r="CQ34" s="25" t="n">
        <v>0</v>
      </c>
      <c r="CR34" s="25" t="n">
        <v>0</v>
      </c>
      <c r="CS34" s="25" t="n">
        <v>0</v>
      </c>
      <c r="CT34" s="25" t="n">
        <v>0</v>
      </c>
      <c r="CU34" s="25" t="n">
        <v>0</v>
      </c>
      <c r="CV34" s="25" t="n">
        <v>0</v>
      </c>
      <c r="CW34" s="25" t="n">
        <v>0</v>
      </c>
      <c r="CX34" s="25" t="n">
        <v>0</v>
      </c>
      <c r="CY34" s="25" t="n">
        <v>0</v>
      </c>
      <c r="CZ34" s="25" t="n">
        <v>0</v>
      </c>
      <c r="DA34" s="25" t="n">
        <v>0</v>
      </c>
    </row>
    <row r="35">
      <c r="A35" t="inlineStr">
        <is>
          <t>TSP-668</t>
        </is>
      </c>
      <c r="B35" s="25" t="n">
        <v>0</v>
      </c>
      <c r="C35" s="25" t="n">
        <v>0</v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5" t="n">
        <v>0</v>
      </c>
      <c r="J35" s="25" t="n">
        <v>0</v>
      </c>
      <c r="K35" s="25" t="n">
        <v>0</v>
      </c>
      <c r="L35" s="25" t="n">
        <v>0</v>
      </c>
      <c r="M35" s="25" t="n">
        <v>0</v>
      </c>
      <c r="N35" s="25" t="n">
        <v>0</v>
      </c>
      <c r="O35" s="25" t="n">
        <v>0</v>
      </c>
      <c r="P35" s="25" t="n">
        <v>0</v>
      </c>
      <c r="Q35" s="25" t="n">
        <v>0</v>
      </c>
      <c r="R35" s="25" t="n">
        <v>0</v>
      </c>
      <c r="S35" s="25" t="n">
        <v>0</v>
      </c>
      <c r="T35" s="25" t="n">
        <v>0</v>
      </c>
      <c r="U35" s="25" t="n">
        <v>0</v>
      </c>
      <c r="V35" s="25" t="n">
        <v>0</v>
      </c>
      <c r="W35" s="25" t="n">
        <v>0</v>
      </c>
      <c r="X35" s="25" t="n">
        <v>0</v>
      </c>
      <c r="Y35" s="25" t="n">
        <v>0</v>
      </c>
      <c r="Z35" s="25" t="n">
        <v>0</v>
      </c>
      <c r="AA35" s="25" t="n">
        <v>0</v>
      </c>
      <c r="AB35" s="25" t="n">
        <v>0</v>
      </c>
      <c r="AC35" s="25" t="n">
        <v>0</v>
      </c>
      <c r="AD35" s="25" t="n">
        <v>0</v>
      </c>
      <c r="AE35" s="25" t="n">
        <v>0</v>
      </c>
      <c r="AF35" s="25" t="n">
        <v>0</v>
      </c>
      <c r="AG35" s="25" t="n">
        <v>0</v>
      </c>
      <c r="AH35" s="25" t="n">
        <v>0</v>
      </c>
      <c r="AI35" s="25" t="n">
        <v>0</v>
      </c>
      <c r="AJ35" s="25" t="n">
        <v>0</v>
      </c>
      <c r="AK35" s="25" t="n">
        <v>0</v>
      </c>
      <c r="AL35" s="25" t="n">
        <v>0</v>
      </c>
      <c r="AM35" s="25" t="n">
        <v>0</v>
      </c>
      <c r="AN35" s="25" t="n">
        <v>0</v>
      </c>
      <c r="AO35" s="25" t="n">
        <v>0</v>
      </c>
      <c r="AP35" s="25" t="n">
        <v>0</v>
      </c>
      <c r="AQ35" s="25" t="n">
        <v>0</v>
      </c>
      <c r="AR35" s="25" t="n">
        <v>0</v>
      </c>
      <c r="AS35" s="25" t="n">
        <v>0</v>
      </c>
      <c r="AT35" s="25" t="n">
        <v>0</v>
      </c>
      <c r="AU35" s="25" t="n">
        <v>0</v>
      </c>
      <c r="AV35" s="25" t="n">
        <v>0</v>
      </c>
      <c r="AW35" s="25" t="n">
        <v>0</v>
      </c>
      <c r="AX35" s="25" t="n">
        <v>0</v>
      </c>
      <c r="AY35" s="25" t="n">
        <v>0</v>
      </c>
      <c r="AZ35" s="25" t="n">
        <v>0</v>
      </c>
      <c r="BA35" s="25" t="n">
        <v>0</v>
      </c>
      <c r="BB35" s="25" t="n">
        <v>0</v>
      </c>
      <c r="BC35" s="25" t="n">
        <v>0</v>
      </c>
      <c r="BD35" s="25" t="n">
        <v>0</v>
      </c>
      <c r="BE35" s="25" t="n">
        <v>0</v>
      </c>
      <c r="BF35" s="25" t="n">
        <v>0</v>
      </c>
      <c r="BG35" s="25" t="n">
        <v>0</v>
      </c>
      <c r="BH35" s="25" t="n">
        <v>0</v>
      </c>
      <c r="BI35" s="25" t="n">
        <v>0</v>
      </c>
      <c r="BJ35" s="25" t="n">
        <v>0</v>
      </c>
      <c r="BK35" s="25" t="n">
        <v>0</v>
      </c>
      <c r="BL35" s="25" t="n">
        <v>0</v>
      </c>
      <c r="BM35" s="25" t="n">
        <v>0</v>
      </c>
      <c r="BN35" s="25" t="n">
        <v>0</v>
      </c>
      <c r="BO35" s="25" t="n">
        <v>0</v>
      </c>
      <c r="BP35" s="25" t="n">
        <v>0</v>
      </c>
      <c r="BQ35" s="25" t="n">
        <v>0</v>
      </c>
      <c r="BR35" s="25" t="n">
        <v>0</v>
      </c>
      <c r="BS35" s="25" t="n">
        <v>0</v>
      </c>
      <c r="BT35" s="25" t="n">
        <v>0</v>
      </c>
      <c r="BU35" s="25" t="n">
        <v>0</v>
      </c>
      <c r="BV35" s="25" t="n">
        <v>0</v>
      </c>
      <c r="BW35" s="25" t="n">
        <v>0</v>
      </c>
      <c r="BX35" s="25" t="n">
        <v>0</v>
      </c>
      <c r="BY35" s="25" t="n">
        <v>0</v>
      </c>
      <c r="BZ35" s="25" t="n">
        <v>0</v>
      </c>
      <c r="CA35" s="25" t="n">
        <v>0</v>
      </c>
      <c r="CB35" s="25" t="n">
        <v>0</v>
      </c>
      <c r="CC35" s="25" t="n">
        <v>0</v>
      </c>
      <c r="CD35" s="25" t="n">
        <v>0</v>
      </c>
      <c r="CE35" s="25" t="n">
        <v>0</v>
      </c>
      <c r="CF35" s="25" t="n">
        <v>0</v>
      </c>
      <c r="CG35" s="25" t="n">
        <v>0</v>
      </c>
      <c r="CH35" s="25" t="n">
        <v>0</v>
      </c>
      <c r="CI35" s="25" t="n">
        <v>0</v>
      </c>
      <c r="CJ35" s="25" t="n">
        <v>0</v>
      </c>
      <c r="CK35" s="25" t="n">
        <v>0</v>
      </c>
      <c r="CL35" s="25" t="n">
        <v>0</v>
      </c>
      <c r="CM35" s="25" t="n">
        <v>0</v>
      </c>
      <c r="CN35" s="25" t="n">
        <v>0</v>
      </c>
      <c r="CO35" s="25" t="n">
        <v>0</v>
      </c>
      <c r="CP35" s="25" t="n">
        <v>0</v>
      </c>
      <c r="CQ35" s="25" t="n">
        <v>0</v>
      </c>
      <c r="CR35" s="25" t="n">
        <v>0</v>
      </c>
      <c r="CS35" s="25" t="n">
        <v>0</v>
      </c>
      <c r="CT35" s="25" t="n">
        <v>0</v>
      </c>
      <c r="CU35" s="25" t="n">
        <v>0</v>
      </c>
      <c r="CV35" s="25" t="n">
        <v>0</v>
      </c>
      <c r="CW35" s="25" t="n">
        <v>0</v>
      </c>
      <c r="CX35" s="25" t="n">
        <v>0</v>
      </c>
      <c r="CY35" s="25" t="n">
        <v>0</v>
      </c>
      <c r="CZ35" s="25" t="n">
        <v>0</v>
      </c>
      <c r="DA35" s="25" t="n">
        <v>0</v>
      </c>
    </row>
    <row r="36">
      <c r="A36" t="inlineStr">
        <is>
          <t>TSP-669</t>
        </is>
      </c>
      <c r="B36" s="25" t="n">
        <v>0</v>
      </c>
      <c r="C36" s="25" t="n">
        <v>0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0</v>
      </c>
      <c r="J36" s="25" t="n">
        <v>0</v>
      </c>
      <c r="K36" s="25" t="n">
        <v>0</v>
      </c>
      <c r="L36" s="25" t="n">
        <v>0</v>
      </c>
      <c r="M36" s="25" t="n">
        <v>0</v>
      </c>
      <c r="N36" s="25" t="n">
        <v>0</v>
      </c>
      <c r="O36" s="25" t="n">
        <v>0</v>
      </c>
      <c r="P36" s="25" t="n">
        <v>0</v>
      </c>
      <c r="Q36" s="25" t="n">
        <v>0</v>
      </c>
      <c r="R36" s="25" t="n">
        <v>0</v>
      </c>
      <c r="S36" s="25" t="n">
        <v>0</v>
      </c>
      <c r="T36" s="25" t="n">
        <v>0</v>
      </c>
      <c r="U36" s="25" t="n">
        <v>0</v>
      </c>
      <c r="V36" s="25" t="n">
        <v>0</v>
      </c>
      <c r="W36" s="25" t="n">
        <v>0</v>
      </c>
      <c r="X36" s="25" t="n">
        <v>0</v>
      </c>
      <c r="Y36" s="25" t="n">
        <v>0</v>
      </c>
      <c r="Z36" s="25" t="n">
        <v>0</v>
      </c>
      <c r="AA36" s="25" t="n">
        <v>0</v>
      </c>
      <c r="AB36" s="25" t="n">
        <v>0</v>
      </c>
      <c r="AC36" s="25" t="n">
        <v>0</v>
      </c>
      <c r="AD36" s="25" t="n">
        <v>0</v>
      </c>
      <c r="AE36" s="25" t="n">
        <v>0</v>
      </c>
      <c r="AF36" s="25" t="n">
        <v>0</v>
      </c>
      <c r="AG36" s="25" t="n">
        <v>0</v>
      </c>
      <c r="AH36" s="25" t="n">
        <v>0</v>
      </c>
      <c r="AI36" s="25" t="n">
        <v>0</v>
      </c>
      <c r="AJ36" s="25" t="n">
        <v>0</v>
      </c>
      <c r="AK36" s="25" t="n">
        <v>0</v>
      </c>
      <c r="AL36" s="25" t="n">
        <v>0</v>
      </c>
      <c r="AM36" s="25" t="n">
        <v>0</v>
      </c>
      <c r="AN36" s="25" t="n">
        <v>0</v>
      </c>
      <c r="AO36" s="25" t="n">
        <v>0</v>
      </c>
      <c r="AP36" s="25" t="n">
        <v>0</v>
      </c>
      <c r="AQ36" s="25" t="n">
        <v>0</v>
      </c>
      <c r="AR36" s="25" t="n">
        <v>0</v>
      </c>
      <c r="AS36" s="25" t="n">
        <v>0</v>
      </c>
      <c r="AT36" s="25" t="n">
        <v>0</v>
      </c>
      <c r="AU36" s="25" t="n">
        <v>0</v>
      </c>
      <c r="AV36" s="25" t="n">
        <v>0</v>
      </c>
      <c r="AW36" s="25" t="n">
        <v>0</v>
      </c>
      <c r="AX36" s="25" t="n">
        <v>0</v>
      </c>
      <c r="AY36" s="25" t="n">
        <v>0</v>
      </c>
      <c r="AZ36" s="25" t="n">
        <v>0</v>
      </c>
      <c r="BA36" s="25" t="n">
        <v>0</v>
      </c>
      <c r="BB36" s="25" t="n">
        <v>0</v>
      </c>
      <c r="BC36" s="25" t="n">
        <v>0</v>
      </c>
      <c r="BD36" s="25" t="n">
        <v>0</v>
      </c>
      <c r="BE36" s="25" t="n">
        <v>0</v>
      </c>
      <c r="BF36" s="25" t="n">
        <v>0</v>
      </c>
      <c r="BG36" s="25" t="n">
        <v>0</v>
      </c>
      <c r="BH36" s="25" t="n">
        <v>0</v>
      </c>
      <c r="BI36" s="25" t="n">
        <v>0</v>
      </c>
      <c r="BJ36" s="25" t="n">
        <v>0</v>
      </c>
      <c r="BK36" s="25" t="n">
        <v>0</v>
      </c>
      <c r="BL36" s="25" t="n">
        <v>0</v>
      </c>
      <c r="BM36" s="25" t="n">
        <v>0</v>
      </c>
      <c r="BN36" s="25" t="n">
        <v>0</v>
      </c>
      <c r="BO36" s="25" t="n">
        <v>0</v>
      </c>
      <c r="BP36" s="25" t="n">
        <v>0</v>
      </c>
      <c r="BQ36" s="25" t="n">
        <v>0</v>
      </c>
      <c r="BR36" s="25" t="n">
        <v>0</v>
      </c>
      <c r="BS36" s="25" t="n">
        <v>0</v>
      </c>
      <c r="BT36" s="25" t="n">
        <v>0</v>
      </c>
      <c r="BU36" s="25" t="n">
        <v>0</v>
      </c>
      <c r="BV36" s="25" t="n">
        <v>0</v>
      </c>
      <c r="BW36" s="25" t="n">
        <v>0</v>
      </c>
      <c r="BX36" s="25" t="n">
        <v>0</v>
      </c>
      <c r="BY36" s="25" t="n">
        <v>0</v>
      </c>
      <c r="BZ36" s="25" t="n">
        <v>0</v>
      </c>
      <c r="CA36" s="25" t="n">
        <v>0</v>
      </c>
      <c r="CB36" s="25" t="n">
        <v>0</v>
      </c>
      <c r="CC36" s="25" t="n">
        <v>0</v>
      </c>
      <c r="CD36" s="25" t="n">
        <v>0</v>
      </c>
      <c r="CE36" s="25" t="n">
        <v>0</v>
      </c>
      <c r="CF36" s="25" t="n">
        <v>0</v>
      </c>
      <c r="CG36" s="25" t="n">
        <v>0</v>
      </c>
      <c r="CH36" s="25" t="n">
        <v>0</v>
      </c>
      <c r="CI36" s="25" t="n">
        <v>0</v>
      </c>
      <c r="CJ36" s="25" t="n">
        <v>0</v>
      </c>
      <c r="CK36" s="25" t="n">
        <v>0</v>
      </c>
      <c r="CL36" s="25" t="n">
        <v>0</v>
      </c>
      <c r="CM36" s="25" t="n">
        <v>0</v>
      </c>
      <c r="CN36" s="25" t="n">
        <v>0</v>
      </c>
      <c r="CO36" s="25" t="n">
        <v>0</v>
      </c>
      <c r="CP36" s="25" t="n">
        <v>0</v>
      </c>
      <c r="CQ36" s="25" t="n">
        <v>0</v>
      </c>
      <c r="CR36" s="25" t="n">
        <v>0</v>
      </c>
      <c r="CS36" s="25" t="n">
        <v>0</v>
      </c>
      <c r="CT36" s="25" t="n">
        <v>0</v>
      </c>
      <c r="CU36" s="25" t="n">
        <v>0</v>
      </c>
      <c r="CV36" s="25" t="n">
        <v>0</v>
      </c>
      <c r="CW36" s="25" t="n">
        <v>0</v>
      </c>
      <c r="CX36" s="25" t="n">
        <v>0</v>
      </c>
      <c r="CY36" s="25" t="n">
        <v>0</v>
      </c>
      <c r="CZ36" s="25" t="n">
        <v>0</v>
      </c>
      <c r="DA36" s="25" t="n">
        <v>0</v>
      </c>
    </row>
    <row r="37">
      <c r="A37" t="inlineStr">
        <is>
          <t>TSP-670</t>
        </is>
      </c>
      <c r="B37" s="25" t="n">
        <v>0</v>
      </c>
      <c r="C37" s="25" t="n">
        <v>0</v>
      </c>
      <c r="D37" s="25" t="n">
        <v>0</v>
      </c>
      <c r="E37" s="25" t="n">
        <v>0</v>
      </c>
      <c r="F37" s="25" t="n">
        <v>0</v>
      </c>
      <c r="G37" s="25" t="n">
        <v>0</v>
      </c>
      <c r="H37" s="25" t="n">
        <v>0</v>
      </c>
      <c r="I37" s="25" t="n">
        <v>0</v>
      </c>
      <c r="J37" s="25" t="n">
        <v>0</v>
      </c>
      <c r="K37" s="25" t="n">
        <v>0</v>
      </c>
      <c r="L37" s="25" t="n">
        <v>0</v>
      </c>
      <c r="M37" s="25" t="n">
        <v>0</v>
      </c>
      <c r="N37" s="25" t="n">
        <v>0</v>
      </c>
      <c r="O37" s="25" t="n">
        <v>0</v>
      </c>
      <c r="P37" s="25" t="n">
        <v>0</v>
      </c>
      <c r="Q37" s="25" t="n">
        <v>0</v>
      </c>
      <c r="R37" s="25" t="n">
        <v>0</v>
      </c>
      <c r="S37" s="25" t="n">
        <v>0</v>
      </c>
      <c r="T37" s="25" t="n">
        <v>0</v>
      </c>
      <c r="U37" s="25" t="n">
        <v>0</v>
      </c>
      <c r="V37" s="25" t="n">
        <v>0</v>
      </c>
      <c r="W37" s="25" t="n">
        <v>0</v>
      </c>
      <c r="X37" s="25" t="n">
        <v>0</v>
      </c>
      <c r="Y37" s="25" t="n">
        <v>0</v>
      </c>
      <c r="Z37" s="25" t="n">
        <v>0</v>
      </c>
      <c r="AA37" s="25" t="n">
        <v>0</v>
      </c>
      <c r="AB37" s="25" t="n">
        <v>0</v>
      </c>
      <c r="AC37" s="25" t="n">
        <v>0</v>
      </c>
      <c r="AD37" s="25" t="n">
        <v>0</v>
      </c>
      <c r="AE37" s="25" t="n">
        <v>0</v>
      </c>
      <c r="AF37" s="25" t="n">
        <v>0</v>
      </c>
      <c r="AG37" s="25" t="n">
        <v>0</v>
      </c>
      <c r="AH37" s="25" t="n">
        <v>0</v>
      </c>
      <c r="AI37" s="25" t="n">
        <v>0</v>
      </c>
      <c r="AJ37" s="25" t="n">
        <v>0</v>
      </c>
      <c r="AK37" s="25" t="n">
        <v>0</v>
      </c>
      <c r="AL37" s="25" t="n">
        <v>0</v>
      </c>
      <c r="AM37" s="25" t="n">
        <v>0</v>
      </c>
      <c r="AN37" s="25" t="n">
        <v>0</v>
      </c>
      <c r="AO37" s="25" t="n">
        <v>0</v>
      </c>
      <c r="AP37" s="25" t="n">
        <v>0</v>
      </c>
      <c r="AQ37" s="25" t="n">
        <v>0</v>
      </c>
      <c r="AR37" s="25" t="n">
        <v>0</v>
      </c>
      <c r="AS37" s="25" t="n">
        <v>0</v>
      </c>
      <c r="AT37" s="25" t="n">
        <v>0</v>
      </c>
      <c r="AU37" s="25" t="n">
        <v>0</v>
      </c>
      <c r="AV37" s="25" t="n">
        <v>0</v>
      </c>
      <c r="AW37" s="25" t="n">
        <v>0</v>
      </c>
      <c r="AX37" s="25" t="n">
        <v>0</v>
      </c>
      <c r="AY37" s="25" t="n">
        <v>0</v>
      </c>
      <c r="AZ37" s="25" t="n">
        <v>0</v>
      </c>
      <c r="BA37" s="25" t="n">
        <v>0</v>
      </c>
      <c r="BB37" s="25" t="n">
        <v>0</v>
      </c>
      <c r="BC37" s="25" t="n">
        <v>0</v>
      </c>
      <c r="BD37" s="25" t="n">
        <v>0</v>
      </c>
      <c r="BE37" s="25" t="n">
        <v>0</v>
      </c>
      <c r="BF37" s="25" t="n">
        <v>0</v>
      </c>
      <c r="BG37" s="25" t="n">
        <v>0</v>
      </c>
      <c r="BH37" s="25" t="n">
        <v>0</v>
      </c>
      <c r="BI37" s="25" t="n">
        <v>0</v>
      </c>
      <c r="BJ37" s="25" t="n">
        <v>0</v>
      </c>
      <c r="BK37" s="25" t="n">
        <v>0</v>
      </c>
      <c r="BL37" s="25" t="n">
        <v>0</v>
      </c>
      <c r="BM37" s="25" t="n">
        <v>0</v>
      </c>
      <c r="BN37" s="25" t="n">
        <v>0</v>
      </c>
      <c r="BO37" s="25" t="n">
        <v>0</v>
      </c>
      <c r="BP37" s="25" t="n">
        <v>0</v>
      </c>
      <c r="BQ37" s="25" t="n">
        <v>0</v>
      </c>
      <c r="BR37" s="25" t="n">
        <v>0</v>
      </c>
      <c r="BS37" s="25" t="n">
        <v>0</v>
      </c>
      <c r="BT37" s="25" t="n">
        <v>0</v>
      </c>
      <c r="BU37" s="25" t="n">
        <v>0</v>
      </c>
      <c r="BV37" s="25" t="n">
        <v>0</v>
      </c>
      <c r="BW37" s="25" t="n">
        <v>0</v>
      </c>
      <c r="BX37" s="25" t="n">
        <v>0</v>
      </c>
      <c r="BY37" s="25" t="n">
        <v>0</v>
      </c>
      <c r="BZ37" s="25" t="n">
        <v>0</v>
      </c>
      <c r="CA37" s="25" t="n">
        <v>0</v>
      </c>
      <c r="CB37" s="25" t="n">
        <v>0</v>
      </c>
      <c r="CC37" s="25" t="n">
        <v>0</v>
      </c>
      <c r="CD37" s="25" t="n">
        <v>0</v>
      </c>
      <c r="CE37" s="25" t="n">
        <v>0</v>
      </c>
      <c r="CF37" s="25" t="n">
        <v>0</v>
      </c>
      <c r="CG37" s="25" t="n">
        <v>0</v>
      </c>
      <c r="CH37" s="25" t="n">
        <v>0</v>
      </c>
      <c r="CI37" s="25" t="n">
        <v>0</v>
      </c>
      <c r="CJ37" s="25" t="n">
        <v>0</v>
      </c>
      <c r="CK37" s="25" t="n">
        <v>0</v>
      </c>
      <c r="CL37" s="25" t="n">
        <v>0</v>
      </c>
      <c r="CM37" s="25" t="n">
        <v>0</v>
      </c>
      <c r="CN37" s="25" t="n">
        <v>0</v>
      </c>
      <c r="CO37" s="25" t="n">
        <v>0</v>
      </c>
      <c r="CP37" s="25" t="n">
        <v>0</v>
      </c>
      <c r="CQ37" s="25" t="n">
        <v>0</v>
      </c>
      <c r="CR37" s="25" t="n">
        <v>0</v>
      </c>
      <c r="CS37" s="25" t="n">
        <v>0</v>
      </c>
      <c r="CT37" s="25" t="n">
        <v>0</v>
      </c>
      <c r="CU37" s="25" t="n">
        <v>0</v>
      </c>
      <c r="CV37" s="25" t="n">
        <v>0</v>
      </c>
      <c r="CW37" s="25" t="n">
        <v>0</v>
      </c>
      <c r="CX37" s="25" t="n">
        <v>0</v>
      </c>
      <c r="CY37" s="25" t="n">
        <v>0</v>
      </c>
      <c r="CZ37" s="25" t="n">
        <v>0</v>
      </c>
      <c r="DA37" s="25" t="n">
        <v>0</v>
      </c>
    </row>
    <row r="38">
      <c r="A38" t="inlineStr">
        <is>
          <t>TSP-710</t>
        </is>
      </c>
      <c r="B38" s="25" t="n">
        <v>0</v>
      </c>
      <c r="C38" s="25" t="n">
        <v>0</v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5" t="n">
        <v>0</v>
      </c>
      <c r="J38" s="25" t="n">
        <v>0</v>
      </c>
      <c r="K38" s="25" t="n">
        <v>0</v>
      </c>
      <c r="L38" s="25" t="n">
        <v>0</v>
      </c>
      <c r="M38" s="25" t="n">
        <v>0</v>
      </c>
      <c r="N38" s="25" t="n">
        <v>0</v>
      </c>
      <c r="O38" s="25" t="n">
        <v>0</v>
      </c>
      <c r="P38" s="25" t="n">
        <v>0</v>
      </c>
      <c r="Q38" s="25" t="n">
        <v>0</v>
      </c>
      <c r="R38" s="25" t="n">
        <v>0</v>
      </c>
      <c r="S38" s="25" t="n">
        <v>0</v>
      </c>
      <c r="T38" s="25" t="n">
        <v>0</v>
      </c>
      <c r="U38" s="25" t="n">
        <v>0</v>
      </c>
      <c r="V38" s="25" t="n">
        <v>0</v>
      </c>
      <c r="W38" s="25" t="n">
        <v>0</v>
      </c>
      <c r="X38" s="25" t="n">
        <v>0</v>
      </c>
      <c r="Y38" s="25" t="n">
        <v>0</v>
      </c>
      <c r="Z38" s="25" t="n">
        <v>0</v>
      </c>
      <c r="AA38" s="25" t="n">
        <v>0</v>
      </c>
      <c r="AB38" s="25" t="n">
        <v>0</v>
      </c>
      <c r="AC38" s="25" t="n">
        <v>0</v>
      </c>
      <c r="AD38" s="25" t="n">
        <v>0</v>
      </c>
      <c r="AE38" s="25" t="n">
        <v>0</v>
      </c>
      <c r="AF38" s="25" t="n">
        <v>0</v>
      </c>
      <c r="AG38" s="25" t="n">
        <v>0</v>
      </c>
      <c r="AH38" s="25" t="n">
        <v>0</v>
      </c>
      <c r="AI38" s="25" t="n">
        <v>0</v>
      </c>
      <c r="AJ38" s="25" t="n">
        <v>0</v>
      </c>
      <c r="AK38" s="25" t="n">
        <v>0</v>
      </c>
      <c r="AL38" s="25" t="n">
        <v>0</v>
      </c>
      <c r="AM38" s="25" t="n">
        <v>0</v>
      </c>
      <c r="AN38" s="25" t="n">
        <v>0</v>
      </c>
      <c r="AO38" s="25" t="n">
        <v>0</v>
      </c>
      <c r="AP38" s="25" t="n">
        <v>0</v>
      </c>
      <c r="AQ38" s="25" t="n">
        <v>0</v>
      </c>
      <c r="AR38" s="25" t="n">
        <v>0</v>
      </c>
      <c r="AS38" s="25" t="n">
        <v>0</v>
      </c>
      <c r="AT38" s="25" t="n">
        <v>0</v>
      </c>
      <c r="AU38" s="25" t="n">
        <v>0</v>
      </c>
      <c r="AV38" s="25" t="n">
        <v>0</v>
      </c>
      <c r="AW38" s="25" t="n">
        <v>0</v>
      </c>
      <c r="AX38" s="25" t="n">
        <v>0</v>
      </c>
      <c r="AY38" s="25" t="n">
        <v>0</v>
      </c>
      <c r="AZ38" s="25" t="n">
        <v>0</v>
      </c>
      <c r="BA38" s="25" t="n">
        <v>0</v>
      </c>
      <c r="BB38" s="25" t="n">
        <v>0</v>
      </c>
      <c r="BC38" s="25" t="n">
        <v>0</v>
      </c>
      <c r="BD38" s="25" t="n">
        <v>0</v>
      </c>
      <c r="BE38" s="25" t="n">
        <v>0</v>
      </c>
      <c r="BF38" s="25" t="n">
        <v>0</v>
      </c>
      <c r="BG38" s="25" t="n">
        <v>0</v>
      </c>
      <c r="BH38" s="25" t="n">
        <v>0</v>
      </c>
      <c r="BI38" s="25" t="n">
        <v>0</v>
      </c>
      <c r="BJ38" s="25" t="n">
        <v>0</v>
      </c>
      <c r="BK38" s="25" t="n">
        <v>0</v>
      </c>
      <c r="BL38" s="25" t="n">
        <v>0</v>
      </c>
      <c r="BM38" s="25" t="n">
        <v>0</v>
      </c>
      <c r="BN38" s="25" t="n">
        <v>0</v>
      </c>
      <c r="BO38" s="25" t="n">
        <v>0</v>
      </c>
      <c r="BP38" s="25" t="n">
        <v>0</v>
      </c>
      <c r="BQ38" s="25" t="n">
        <v>0</v>
      </c>
      <c r="BR38" s="25" t="n">
        <v>0</v>
      </c>
      <c r="BS38" s="25" t="n">
        <v>0</v>
      </c>
      <c r="BT38" s="25" t="n">
        <v>0</v>
      </c>
      <c r="BU38" s="25" t="n">
        <v>0</v>
      </c>
      <c r="BV38" s="25" t="n">
        <v>0</v>
      </c>
      <c r="BW38" s="25" t="n">
        <v>0</v>
      </c>
      <c r="BX38" s="25" t="n">
        <v>0</v>
      </c>
      <c r="BY38" s="25" t="n">
        <v>0</v>
      </c>
      <c r="BZ38" s="25" t="n">
        <v>0</v>
      </c>
      <c r="CA38" s="25" t="n">
        <v>0</v>
      </c>
      <c r="CB38" s="25" t="n">
        <v>0</v>
      </c>
      <c r="CC38" s="25" t="n">
        <v>0</v>
      </c>
      <c r="CD38" s="25" t="n">
        <v>0</v>
      </c>
      <c r="CE38" s="25" t="n">
        <v>0</v>
      </c>
      <c r="CF38" s="25" t="n">
        <v>0</v>
      </c>
      <c r="CG38" s="25" t="n">
        <v>0</v>
      </c>
      <c r="CH38" s="25" t="n">
        <v>0</v>
      </c>
      <c r="CI38" s="25" t="n">
        <v>0</v>
      </c>
      <c r="CJ38" s="25" t="n">
        <v>0</v>
      </c>
      <c r="CK38" s="25" t="n">
        <v>0</v>
      </c>
      <c r="CL38" s="25" t="n">
        <v>0</v>
      </c>
      <c r="CM38" s="25" t="n">
        <v>0</v>
      </c>
      <c r="CN38" s="25" t="n">
        <v>0</v>
      </c>
      <c r="CO38" s="25" t="n">
        <v>0</v>
      </c>
      <c r="CP38" s="25" t="n">
        <v>0</v>
      </c>
      <c r="CQ38" s="25" t="n">
        <v>0</v>
      </c>
      <c r="CR38" s="25" t="n">
        <v>0</v>
      </c>
      <c r="CS38" s="25" t="n">
        <v>0</v>
      </c>
      <c r="CT38" s="25" t="n">
        <v>0</v>
      </c>
      <c r="CU38" s="25" t="n">
        <v>0</v>
      </c>
      <c r="CV38" s="25" t="n">
        <v>0</v>
      </c>
      <c r="CW38" s="25" t="n">
        <v>0</v>
      </c>
      <c r="CX38" s="25" t="n">
        <v>0</v>
      </c>
      <c r="CY38" s="25" t="n">
        <v>0</v>
      </c>
      <c r="CZ38" s="25" t="n">
        <v>0</v>
      </c>
      <c r="DA38" s="25" t="n">
        <v>0</v>
      </c>
    </row>
    <row r="39">
      <c r="A39" t="inlineStr">
        <is>
          <t>TSP-828</t>
        </is>
      </c>
      <c r="B39" s="25" t="n">
        <v>0</v>
      </c>
      <c r="C39" s="25" t="n">
        <v>0</v>
      </c>
      <c r="D39" s="25" t="n">
        <v>0</v>
      </c>
      <c r="E39" s="25" t="n">
        <v>0</v>
      </c>
      <c r="F39" s="25" t="n">
        <v>0</v>
      </c>
      <c r="G39" s="25" t="n">
        <v>0</v>
      </c>
      <c r="H39" s="25" t="n">
        <v>0</v>
      </c>
      <c r="I39" s="25" t="n">
        <v>0</v>
      </c>
      <c r="J39" s="25" t="n">
        <v>0</v>
      </c>
      <c r="K39" s="25" t="n">
        <v>0</v>
      </c>
      <c r="L39" s="25" t="n">
        <v>0</v>
      </c>
      <c r="M39" s="25" t="n">
        <v>0</v>
      </c>
      <c r="N39" s="25" t="n">
        <v>0</v>
      </c>
      <c r="O39" s="25" t="n">
        <v>0</v>
      </c>
      <c r="P39" s="25" t="n">
        <v>0</v>
      </c>
      <c r="Q39" s="25" t="n">
        <v>0</v>
      </c>
      <c r="R39" s="25" t="n">
        <v>0</v>
      </c>
      <c r="S39" s="25" t="n">
        <v>0</v>
      </c>
      <c r="T39" s="25" t="n">
        <v>0</v>
      </c>
      <c r="U39" s="25" t="n">
        <v>0</v>
      </c>
      <c r="V39" s="25" t="n">
        <v>0</v>
      </c>
      <c r="W39" s="25" t="n">
        <v>0</v>
      </c>
      <c r="X39" s="25" t="n">
        <v>0</v>
      </c>
      <c r="Y39" s="25" t="n">
        <v>0</v>
      </c>
      <c r="Z39" s="25" t="n">
        <v>0</v>
      </c>
      <c r="AA39" s="25" t="n">
        <v>0</v>
      </c>
      <c r="AB39" s="25" t="n">
        <v>0</v>
      </c>
      <c r="AC39" s="25" t="n">
        <v>0</v>
      </c>
      <c r="AD39" s="25" t="n">
        <v>0</v>
      </c>
      <c r="AE39" s="25" t="n">
        <v>0</v>
      </c>
      <c r="AF39" s="25" t="n">
        <v>0</v>
      </c>
      <c r="AG39" s="25" t="n">
        <v>0</v>
      </c>
      <c r="AH39" s="25" t="n">
        <v>0</v>
      </c>
      <c r="AI39" s="25" t="n">
        <v>0</v>
      </c>
      <c r="AJ39" s="25" t="n">
        <v>0</v>
      </c>
      <c r="AK39" s="25" t="n">
        <v>0</v>
      </c>
      <c r="AL39" s="25" t="n">
        <v>0</v>
      </c>
      <c r="AM39" s="25" t="n">
        <v>0</v>
      </c>
      <c r="AN39" s="25" t="n">
        <v>0</v>
      </c>
      <c r="AO39" s="25" t="n">
        <v>0</v>
      </c>
      <c r="AP39" s="25" t="n">
        <v>0</v>
      </c>
      <c r="AQ39" s="25" t="n">
        <v>0</v>
      </c>
      <c r="AR39" s="25" t="n">
        <v>0</v>
      </c>
      <c r="AS39" s="25" t="n">
        <v>0</v>
      </c>
      <c r="AT39" s="25" t="n">
        <v>0</v>
      </c>
      <c r="AU39" s="25" t="n">
        <v>0</v>
      </c>
      <c r="AV39" s="25" t="n">
        <v>0</v>
      </c>
      <c r="AW39" s="25" t="n">
        <v>0</v>
      </c>
      <c r="AX39" s="25" t="n">
        <v>0</v>
      </c>
      <c r="AY39" s="25" t="n">
        <v>0</v>
      </c>
      <c r="AZ39" s="25" t="n">
        <v>0</v>
      </c>
      <c r="BA39" s="25" t="n">
        <v>0</v>
      </c>
      <c r="BB39" s="25" t="n">
        <v>0</v>
      </c>
      <c r="BC39" s="25" t="n">
        <v>0</v>
      </c>
      <c r="BD39" s="25" t="n">
        <v>0</v>
      </c>
      <c r="BE39" s="25" t="n">
        <v>0</v>
      </c>
      <c r="BF39" s="25" t="n">
        <v>0</v>
      </c>
      <c r="BG39" s="25" t="n">
        <v>0</v>
      </c>
      <c r="BH39" s="25" t="n">
        <v>0</v>
      </c>
      <c r="BI39" s="25" t="n">
        <v>0</v>
      </c>
      <c r="BJ39" s="25" t="n">
        <v>0</v>
      </c>
      <c r="BK39" s="25" t="n">
        <v>0</v>
      </c>
      <c r="BL39" s="25" t="n">
        <v>0</v>
      </c>
      <c r="BM39" s="25" t="n">
        <v>0</v>
      </c>
      <c r="BN39" s="25" t="n">
        <v>0</v>
      </c>
      <c r="BO39" s="25" t="n">
        <v>0</v>
      </c>
      <c r="BP39" s="25" t="n">
        <v>0</v>
      </c>
      <c r="BQ39" s="25" t="n">
        <v>0</v>
      </c>
      <c r="BR39" s="25" t="n">
        <v>0</v>
      </c>
      <c r="BS39" s="25" t="n">
        <v>0</v>
      </c>
      <c r="BT39" s="25" t="n">
        <v>0</v>
      </c>
      <c r="BU39" s="25" t="n">
        <v>0</v>
      </c>
      <c r="BV39" s="25" t="n">
        <v>0</v>
      </c>
      <c r="BW39" s="25" t="n">
        <v>0</v>
      </c>
      <c r="BX39" s="25" t="n">
        <v>0</v>
      </c>
      <c r="BY39" s="25" t="n">
        <v>0</v>
      </c>
      <c r="BZ39" s="25" t="n">
        <v>0</v>
      </c>
      <c r="CA39" s="25" t="n">
        <v>0</v>
      </c>
      <c r="CB39" s="25" t="n">
        <v>0</v>
      </c>
      <c r="CC39" s="25" t="n">
        <v>0</v>
      </c>
      <c r="CD39" s="25" t="n">
        <v>0</v>
      </c>
      <c r="CE39" s="25" t="n">
        <v>0</v>
      </c>
      <c r="CF39" s="25" t="n">
        <v>0</v>
      </c>
      <c r="CG39" s="25" t="n">
        <v>0</v>
      </c>
      <c r="CH39" s="25" t="n">
        <v>0</v>
      </c>
      <c r="CI39" s="25" t="n">
        <v>0</v>
      </c>
      <c r="CJ39" s="25" t="n">
        <v>0</v>
      </c>
      <c r="CK39" s="25" t="n">
        <v>0</v>
      </c>
      <c r="CL39" s="25" t="n">
        <v>0</v>
      </c>
      <c r="CM39" s="25" t="n">
        <v>0</v>
      </c>
      <c r="CN39" s="25" t="n">
        <v>0</v>
      </c>
      <c r="CO39" s="25" t="n">
        <v>0</v>
      </c>
      <c r="CP39" s="25" t="n">
        <v>0</v>
      </c>
      <c r="CQ39" s="25" t="n">
        <v>0</v>
      </c>
      <c r="CR39" s="25" t="n">
        <v>0</v>
      </c>
      <c r="CS39" s="25" t="n">
        <v>0</v>
      </c>
      <c r="CT39" s="25" t="n">
        <v>0</v>
      </c>
      <c r="CU39" s="25" t="n">
        <v>0</v>
      </c>
      <c r="CV39" s="25" t="n">
        <v>0</v>
      </c>
      <c r="CW39" s="25" t="n">
        <v>0</v>
      </c>
      <c r="CX39" s="25" t="n">
        <v>0</v>
      </c>
      <c r="CY39" s="25" t="n">
        <v>0</v>
      </c>
      <c r="CZ39" s="25" t="n">
        <v>0</v>
      </c>
      <c r="DA39" s="25" t="n">
        <v>0</v>
      </c>
    </row>
    <row r="40">
      <c r="A40" t="inlineStr">
        <is>
          <t>TSP-903</t>
        </is>
      </c>
      <c r="B40" s="25" t="n">
        <v>0</v>
      </c>
      <c r="C40" s="25" t="n">
        <v>0</v>
      </c>
      <c r="D40" s="25" t="n">
        <v>0</v>
      </c>
      <c r="E40" s="25" t="n">
        <v>0</v>
      </c>
      <c r="F40" s="25" t="n">
        <v>0</v>
      </c>
      <c r="G40" s="25" t="n">
        <v>0</v>
      </c>
      <c r="H40" s="25" t="n">
        <v>0</v>
      </c>
      <c r="I40" s="25" t="n">
        <v>0</v>
      </c>
      <c r="J40" s="25" t="n">
        <v>0</v>
      </c>
      <c r="K40" s="25" t="n">
        <v>0</v>
      </c>
      <c r="L40" s="25" t="n">
        <v>0</v>
      </c>
      <c r="M40" s="25" t="n">
        <v>0</v>
      </c>
      <c r="N40" s="25" t="n">
        <v>0</v>
      </c>
      <c r="O40" s="25" t="n">
        <v>0</v>
      </c>
      <c r="P40" s="25" t="n">
        <v>0</v>
      </c>
      <c r="Q40" s="25" t="n">
        <v>0</v>
      </c>
      <c r="R40" s="25" t="n">
        <v>0</v>
      </c>
      <c r="S40" s="25" t="n">
        <v>0</v>
      </c>
      <c r="T40" s="25" t="n">
        <v>0</v>
      </c>
      <c r="U40" s="25" t="n">
        <v>0</v>
      </c>
      <c r="V40" s="25" t="n">
        <v>0</v>
      </c>
      <c r="W40" s="25" t="n">
        <v>0</v>
      </c>
      <c r="X40" s="25" t="n">
        <v>0</v>
      </c>
      <c r="Y40" s="25" t="n">
        <v>0</v>
      </c>
      <c r="Z40" s="25" t="n">
        <v>0</v>
      </c>
      <c r="AA40" s="25" t="n">
        <v>0</v>
      </c>
      <c r="AB40" s="25" t="n">
        <v>0</v>
      </c>
      <c r="AC40" s="25" t="n">
        <v>0</v>
      </c>
      <c r="AD40" s="25" t="n">
        <v>0</v>
      </c>
      <c r="AE40" s="25" t="n">
        <v>0</v>
      </c>
      <c r="AF40" s="25" t="n">
        <v>0</v>
      </c>
      <c r="AG40" s="25" t="n">
        <v>0</v>
      </c>
      <c r="AH40" s="25" t="n">
        <v>0</v>
      </c>
      <c r="AI40" s="25" t="n">
        <v>0</v>
      </c>
      <c r="AJ40" s="25" t="n">
        <v>0</v>
      </c>
      <c r="AK40" s="25" t="n">
        <v>0</v>
      </c>
      <c r="AL40" s="25" t="n">
        <v>0</v>
      </c>
      <c r="AM40" s="25" t="n">
        <v>0</v>
      </c>
      <c r="AN40" s="25" t="n">
        <v>0</v>
      </c>
      <c r="AO40" s="25" t="n">
        <v>0</v>
      </c>
      <c r="AP40" s="25" t="n">
        <v>0</v>
      </c>
      <c r="AQ40" s="25" t="n">
        <v>0</v>
      </c>
      <c r="AR40" s="25" t="n">
        <v>0</v>
      </c>
      <c r="AS40" s="25" t="n">
        <v>0</v>
      </c>
      <c r="AT40" s="25" t="n">
        <v>0</v>
      </c>
      <c r="AU40" s="25" t="n">
        <v>0</v>
      </c>
      <c r="AV40" s="25" t="n">
        <v>0</v>
      </c>
      <c r="AW40" s="25" t="n">
        <v>0</v>
      </c>
      <c r="AX40" s="25" t="n">
        <v>0</v>
      </c>
      <c r="AY40" s="25" t="n">
        <v>0</v>
      </c>
      <c r="AZ40" s="25" t="n">
        <v>0</v>
      </c>
      <c r="BA40" s="25" t="n">
        <v>0</v>
      </c>
      <c r="BB40" s="25" t="n">
        <v>0</v>
      </c>
      <c r="BC40" s="25" t="n">
        <v>0</v>
      </c>
      <c r="BD40" s="25" t="n">
        <v>0</v>
      </c>
      <c r="BE40" s="25" t="n">
        <v>0</v>
      </c>
      <c r="BF40" s="25" t="n">
        <v>0</v>
      </c>
      <c r="BG40" s="25" t="n">
        <v>0</v>
      </c>
      <c r="BH40" s="25" t="n">
        <v>0</v>
      </c>
      <c r="BI40" s="25" t="n">
        <v>0</v>
      </c>
      <c r="BJ40" s="25" t="n">
        <v>0</v>
      </c>
      <c r="BK40" s="25" t="n">
        <v>0</v>
      </c>
      <c r="BL40" s="25" t="n">
        <v>0</v>
      </c>
      <c r="BM40" s="25" t="n">
        <v>0</v>
      </c>
      <c r="BN40" s="25" t="n">
        <v>0</v>
      </c>
      <c r="BO40" s="25" t="n">
        <v>0</v>
      </c>
      <c r="BP40" s="25" t="n">
        <v>0</v>
      </c>
      <c r="BQ40" s="25" t="n">
        <v>0</v>
      </c>
      <c r="BR40" s="25" t="n">
        <v>0</v>
      </c>
      <c r="BS40" s="25" t="n">
        <v>0</v>
      </c>
      <c r="BT40" s="25" t="n">
        <v>0</v>
      </c>
      <c r="BU40" s="25" t="n">
        <v>0</v>
      </c>
      <c r="BV40" s="25" t="n">
        <v>0</v>
      </c>
      <c r="BW40" s="25" t="n">
        <v>0</v>
      </c>
      <c r="BX40" s="25" t="n">
        <v>0</v>
      </c>
      <c r="BY40" s="25" t="n">
        <v>0</v>
      </c>
      <c r="BZ40" s="25" t="n">
        <v>0</v>
      </c>
      <c r="CA40" s="25" t="n">
        <v>0</v>
      </c>
      <c r="CB40" s="25" t="n">
        <v>0</v>
      </c>
      <c r="CC40" s="25" t="n">
        <v>0</v>
      </c>
      <c r="CD40" s="25" t="n">
        <v>0</v>
      </c>
      <c r="CE40" s="25" t="n">
        <v>0</v>
      </c>
      <c r="CF40" s="25" t="n">
        <v>0</v>
      </c>
      <c r="CG40" s="25" t="n">
        <v>0</v>
      </c>
      <c r="CH40" s="25" t="n">
        <v>0</v>
      </c>
      <c r="CI40" s="25" t="n">
        <v>0</v>
      </c>
      <c r="CJ40" s="25" t="n">
        <v>0</v>
      </c>
      <c r="CK40" s="25" t="n">
        <v>0</v>
      </c>
      <c r="CL40" s="25" t="n">
        <v>0</v>
      </c>
      <c r="CM40" s="25" t="n">
        <v>0</v>
      </c>
      <c r="CN40" s="25" t="n">
        <v>0</v>
      </c>
      <c r="CO40" s="25" t="n">
        <v>0</v>
      </c>
      <c r="CP40" s="25" t="n">
        <v>0</v>
      </c>
      <c r="CQ40" s="25" t="n">
        <v>0</v>
      </c>
      <c r="CR40" s="25" t="n">
        <v>0</v>
      </c>
      <c r="CS40" s="25" t="n">
        <v>0</v>
      </c>
      <c r="CT40" s="25" t="n">
        <v>0</v>
      </c>
      <c r="CU40" s="25" t="n">
        <v>0</v>
      </c>
      <c r="CV40" s="25" t="n">
        <v>0</v>
      </c>
      <c r="CW40" s="25" t="n">
        <v>0</v>
      </c>
      <c r="CX40" s="25" t="n">
        <v>0</v>
      </c>
      <c r="CY40" s="25" t="n">
        <v>0</v>
      </c>
      <c r="CZ40" s="25" t="n">
        <v>0</v>
      </c>
      <c r="DA40" s="25" t="n">
        <v>0</v>
      </c>
    </row>
    <row r="41">
      <c r="A41" t="inlineStr">
        <is>
          <t>TSP-924</t>
        </is>
      </c>
      <c r="B41" s="25" t="n">
        <v>0</v>
      </c>
      <c r="C41" s="25" t="n">
        <v>0</v>
      </c>
      <c r="D41" s="25" t="n">
        <v>0</v>
      </c>
      <c r="E41" s="25" t="n">
        <v>0</v>
      </c>
      <c r="F41" s="25" t="n">
        <v>0</v>
      </c>
      <c r="G41" s="25" t="n">
        <v>0</v>
      </c>
      <c r="H41" s="25" t="n">
        <v>0</v>
      </c>
      <c r="I41" s="25" t="n">
        <v>0</v>
      </c>
      <c r="J41" s="25" t="n">
        <v>0</v>
      </c>
      <c r="K41" s="25" t="n">
        <v>0</v>
      </c>
      <c r="L41" s="25" t="n">
        <v>0</v>
      </c>
      <c r="M41" s="25" t="n">
        <v>0</v>
      </c>
      <c r="N41" s="25" t="n">
        <v>0</v>
      </c>
      <c r="O41" s="25" t="n">
        <v>0</v>
      </c>
      <c r="P41" s="25" t="n">
        <v>0</v>
      </c>
      <c r="Q41" s="25" t="n">
        <v>0</v>
      </c>
      <c r="R41" s="25" t="n">
        <v>0</v>
      </c>
      <c r="S41" s="25" t="n">
        <v>0</v>
      </c>
      <c r="T41" s="25" t="n">
        <v>0</v>
      </c>
      <c r="U41" s="25" t="n">
        <v>0</v>
      </c>
      <c r="V41" s="25" t="n">
        <v>0</v>
      </c>
      <c r="W41" s="25" t="n">
        <v>0</v>
      </c>
      <c r="X41" s="25" t="n">
        <v>0</v>
      </c>
      <c r="Y41" s="25" t="n">
        <v>0</v>
      </c>
      <c r="Z41" s="25" t="n">
        <v>0</v>
      </c>
      <c r="AA41" s="25" t="n">
        <v>0</v>
      </c>
      <c r="AB41" s="25" t="n">
        <v>0</v>
      </c>
      <c r="AC41" s="25" t="n">
        <v>0</v>
      </c>
      <c r="AD41" s="25" t="n">
        <v>0</v>
      </c>
      <c r="AE41" s="25" t="n">
        <v>0</v>
      </c>
      <c r="AF41" s="25" t="n">
        <v>0.5132905723431526</v>
      </c>
      <c r="AG41" s="25" t="n">
        <v>0</v>
      </c>
      <c r="AH41" s="25" t="n">
        <v>0</v>
      </c>
      <c r="AI41" s="25" t="n">
        <v>0</v>
      </c>
      <c r="AJ41" s="25" t="n">
        <v>0</v>
      </c>
      <c r="AK41" s="25" t="n">
        <v>0.5132905723431526</v>
      </c>
      <c r="AL41" s="25" t="n">
        <v>0</v>
      </c>
      <c r="AM41" s="25" t="n">
        <v>0</v>
      </c>
      <c r="AN41" s="25" t="n">
        <v>0</v>
      </c>
      <c r="AO41" s="25" t="n">
        <v>0</v>
      </c>
      <c r="AP41" s="25" t="n">
        <v>0.5132905723431526</v>
      </c>
      <c r="AQ41" s="25" t="n">
        <v>0</v>
      </c>
      <c r="AR41" s="25" t="n">
        <v>0</v>
      </c>
      <c r="AS41" s="25" t="n">
        <v>0</v>
      </c>
      <c r="AT41" s="25" t="n">
        <v>0.5132905723431526</v>
      </c>
      <c r="AU41" s="25" t="n">
        <v>0</v>
      </c>
      <c r="AV41" s="25" t="n">
        <v>0</v>
      </c>
      <c r="AW41" s="25" t="n">
        <v>0</v>
      </c>
      <c r="AX41" s="25" t="n">
        <v>0.410632457874522</v>
      </c>
      <c r="AY41" s="25" t="n">
        <v>0</v>
      </c>
      <c r="AZ41" s="25" t="n">
        <v>0</v>
      </c>
      <c r="BA41" s="25" t="n">
        <v>0</v>
      </c>
      <c r="BB41" s="25" t="n">
        <v>0</v>
      </c>
      <c r="BC41" s="25" t="n">
        <v>0</v>
      </c>
      <c r="BD41" s="25" t="n">
        <v>0</v>
      </c>
      <c r="BE41" s="25" t="n">
        <v>0</v>
      </c>
      <c r="BF41" s="25" t="n">
        <v>0</v>
      </c>
      <c r="BG41" s="25" t="n">
        <v>0</v>
      </c>
      <c r="BH41" s="25" t="n">
        <v>0</v>
      </c>
      <c r="BI41" s="25" t="n">
        <v>0</v>
      </c>
      <c r="BJ41" s="25" t="n">
        <v>0</v>
      </c>
      <c r="BK41" s="25" t="n">
        <v>0</v>
      </c>
      <c r="BL41" s="25" t="n">
        <v>0</v>
      </c>
      <c r="BM41" s="25" t="n">
        <v>0</v>
      </c>
      <c r="BN41" s="25" t="n">
        <v>0</v>
      </c>
      <c r="BO41" s="25" t="n">
        <v>0</v>
      </c>
      <c r="BP41" s="25" t="n">
        <v>0</v>
      </c>
      <c r="BQ41" s="25" t="n">
        <v>0</v>
      </c>
      <c r="BR41" s="25" t="n">
        <v>0</v>
      </c>
      <c r="BS41" s="25" t="n">
        <v>0</v>
      </c>
      <c r="BT41" s="25" t="n">
        <v>0</v>
      </c>
      <c r="BU41" s="25" t="n">
        <v>0</v>
      </c>
      <c r="BV41" s="25" t="n">
        <v>0</v>
      </c>
      <c r="BW41" s="25" t="n">
        <v>0</v>
      </c>
      <c r="BX41" s="25" t="n">
        <v>0</v>
      </c>
      <c r="BY41" s="25" t="n">
        <v>0</v>
      </c>
      <c r="BZ41" s="25" t="n">
        <v>0</v>
      </c>
      <c r="CA41" s="25" t="n">
        <v>0</v>
      </c>
      <c r="CB41" s="25" t="n">
        <v>0</v>
      </c>
      <c r="CC41" s="25" t="n">
        <v>0</v>
      </c>
      <c r="CD41" s="25" t="n">
        <v>0</v>
      </c>
      <c r="CE41" s="25" t="n">
        <v>0</v>
      </c>
      <c r="CF41" s="25" t="n">
        <v>0</v>
      </c>
      <c r="CG41" s="25" t="n">
        <v>0</v>
      </c>
      <c r="CH41" s="25" t="n">
        <v>0</v>
      </c>
      <c r="CI41" s="25" t="n">
        <v>0</v>
      </c>
      <c r="CJ41" s="25" t="n">
        <v>0</v>
      </c>
      <c r="CK41" s="25" t="n">
        <v>0</v>
      </c>
      <c r="CL41" s="25" t="n">
        <v>0</v>
      </c>
      <c r="CM41" s="25" t="n">
        <v>0</v>
      </c>
      <c r="CN41" s="25" t="n">
        <v>0</v>
      </c>
      <c r="CO41" s="25" t="n">
        <v>0</v>
      </c>
      <c r="CP41" s="25" t="n">
        <v>0</v>
      </c>
      <c r="CQ41" s="25" t="n">
        <v>0</v>
      </c>
      <c r="CR41" s="25" t="n">
        <v>0</v>
      </c>
      <c r="CS41" s="25" t="n">
        <v>0</v>
      </c>
      <c r="CT41" s="25" t="n">
        <v>0</v>
      </c>
      <c r="CU41" s="25" t="n">
        <v>0</v>
      </c>
      <c r="CV41" s="25" t="n">
        <v>0</v>
      </c>
      <c r="CW41" s="25" t="n">
        <v>0</v>
      </c>
      <c r="CX41" s="25" t="n">
        <v>0</v>
      </c>
      <c r="CY41" s="25" t="n">
        <v>0</v>
      </c>
      <c r="CZ41" s="25" t="n">
        <v>0</v>
      </c>
      <c r="DA41" s="25" t="n">
        <v>0</v>
      </c>
    </row>
    <row r="42">
      <c r="A42" t="inlineStr">
        <is>
          <t>TSP-925</t>
        </is>
      </c>
      <c r="B42" s="25" t="n">
        <v>0</v>
      </c>
      <c r="C42" s="25" t="n">
        <v>0</v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5" t="n">
        <v>0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0</v>
      </c>
      <c r="Q42" s="25" t="n">
        <v>0</v>
      </c>
      <c r="R42" s="25" t="n">
        <v>0</v>
      </c>
      <c r="S42" s="25" t="n">
        <v>0</v>
      </c>
      <c r="T42" s="25" t="n">
        <v>0</v>
      </c>
      <c r="U42" s="25" t="n">
        <v>0</v>
      </c>
      <c r="V42" s="25" t="n">
        <v>0</v>
      </c>
      <c r="W42" s="25" t="n">
        <v>0</v>
      </c>
      <c r="X42" s="25" t="n">
        <v>0.3892207792207791</v>
      </c>
      <c r="Y42" s="25" t="n">
        <v>0</v>
      </c>
      <c r="Z42" s="25" t="n">
        <v>0</v>
      </c>
      <c r="AA42" s="25" t="n">
        <v>0</v>
      </c>
      <c r="AB42" s="25" t="n">
        <v>0</v>
      </c>
      <c r="AC42" s="25" t="n">
        <v>0</v>
      </c>
      <c r="AD42" s="25" t="n">
        <v>0.3892207792207791</v>
      </c>
      <c r="AE42" s="25" t="n">
        <v>0</v>
      </c>
      <c r="AF42" s="25" t="n">
        <v>0</v>
      </c>
      <c r="AG42" s="25" t="n">
        <v>0.3892207792207791</v>
      </c>
      <c r="AH42" s="25" t="n">
        <v>0</v>
      </c>
      <c r="AI42" s="25" t="n">
        <v>0</v>
      </c>
      <c r="AJ42" s="25" t="n">
        <v>0.3892207792207791</v>
      </c>
      <c r="AK42" s="25" t="n">
        <v>0</v>
      </c>
      <c r="AL42" s="25" t="n">
        <v>0</v>
      </c>
      <c r="AM42" s="25" t="n">
        <v>0</v>
      </c>
      <c r="AN42" s="25" t="n">
        <v>0</v>
      </c>
      <c r="AO42" s="25" t="n">
        <v>0.3892207792207791</v>
      </c>
      <c r="AP42" s="25" t="n">
        <v>0</v>
      </c>
      <c r="AQ42" s="25" t="n">
        <v>0</v>
      </c>
      <c r="AR42" s="25" t="n">
        <v>0</v>
      </c>
      <c r="AS42" s="25" t="n">
        <v>0.3892207792207791</v>
      </c>
      <c r="AT42" s="25" t="n">
        <v>0</v>
      </c>
      <c r="AU42" s="25" t="n">
        <v>0</v>
      </c>
      <c r="AV42" s="25" t="n">
        <v>0</v>
      </c>
      <c r="AW42" s="25" t="n">
        <v>0</v>
      </c>
      <c r="AX42" s="25" t="n">
        <v>0</v>
      </c>
      <c r="AY42" s="25" t="n">
        <v>0</v>
      </c>
      <c r="AZ42" s="25" t="n">
        <v>0</v>
      </c>
      <c r="BA42" s="25" t="n">
        <v>0</v>
      </c>
      <c r="BB42" s="25" t="n">
        <v>0</v>
      </c>
      <c r="BC42" s="25" t="n">
        <v>0</v>
      </c>
      <c r="BD42" s="25" t="n">
        <v>0</v>
      </c>
      <c r="BE42" s="25" t="n">
        <v>0</v>
      </c>
      <c r="BF42" s="25" t="n">
        <v>0</v>
      </c>
      <c r="BG42" s="25" t="n">
        <v>0</v>
      </c>
      <c r="BH42" s="25" t="n">
        <v>0</v>
      </c>
      <c r="BI42" s="25" t="n">
        <v>0</v>
      </c>
      <c r="BJ42" s="25" t="n">
        <v>0</v>
      </c>
      <c r="BK42" s="25" t="n">
        <v>0</v>
      </c>
      <c r="BL42" s="25" t="n">
        <v>0</v>
      </c>
      <c r="BM42" s="25" t="n">
        <v>0</v>
      </c>
      <c r="BN42" s="25" t="n">
        <v>0</v>
      </c>
      <c r="BO42" s="25" t="n">
        <v>0</v>
      </c>
      <c r="BP42" s="25" t="n">
        <v>0</v>
      </c>
      <c r="BQ42" s="25" t="n">
        <v>0</v>
      </c>
      <c r="BR42" s="25" t="n">
        <v>0</v>
      </c>
      <c r="BS42" s="25" t="n">
        <v>0</v>
      </c>
      <c r="BT42" s="25" t="n">
        <v>0</v>
      </c>
      <c r="BU42" s="25" t="n">
        <v>0</v>
      </c>
      <c r="BV42" s="25" t="n">
        <v>0</v>
      </c>
      <c r="BW42" s="25" t="n">
        <v>0</v>
      </c>
      <c r="BX42" s="25" t="n">
        <v>0</v>
      </c>
      <c r="BY42" s="25" t="n">
        <v>0</v>
      </c>
      <c r="BZ42" s="25" t="n">
        <v>0</v>
      </c>
      <c r="CA42" s="25" t="n">
        <v>0</v>
      </c>
      <c r="CB42" s="25" t="n">
        <v>0</v>
      </c>
      <c r="CC42" s="25" t="n">
        <v>0</v>
      </c>
      <c r="CD42" s="25" t="n">
        <v>0</v>
      </c>
      <c r="CE42" s="25" t="n">
        <v>0</v>
      </c>
      <c r="CF42" s="25" t="n">
        <v>0</v>
      </c>
      <c r="CG42" s="25" t="n">
        <v>0</v>
      </c>
      <c r="CH42" s="25" t="n">
        <v>0</v>
      </c>
      <c r="CI42" s="25" t="n">
        <v>0</v>
      </c>
      <c r="CJ42" s="25" t="n">
        <v>0</v>
      </c>
      <c r="CK42" s="25" t="n">
        <v>0</v>
      </c>
      <c r="CL42" s="25" t="n">
        <v>0</v>
      </c>
      <c r="CM42" s="25" t="n">
        <v>0</v>
      </c>
      <c r="CN42" s="25" t="n">
        <v>0</v>
      </c>
      <c r="CO42" s="25" t="n">
        <v>0</v>
      </c>
      <c r="CP42" s="25" t="n">
        <v>0</v>
      </c>
      <c r="CQ42" s="25" t="n">
        <v>0</v>
      </c>
      <c r="CR42" s="25" t="n">
        <v>0</v>
      </c>
      <c r="CS42" s="25" t="n">
        <v>0</v>
      </c>
      <c r="CT42" s="25" t="n">
        <v>0</v>
      </c>
      <c r="CU42" s="25" t="n">
        <v>0</v>
      </c>
      <c r="CV42" s="25" t="n">
        <v>0</v>
      </c>
      <c r="CW42" s="25" t="n">
        <v>0</v>
      </c>
      <c r="CX42" s="25" t="n">
        <v>0</v>
      </c>
      <c r="CY42" s="25" t="n">
        <v>0</v>
      </c>
      <c r="CZ42" s="25" t="n">
        <v>0</v>
      </c>
      <c r="DA42" s="25" t="n">
        <v>0</v>
      </c>
    </row>
    <row r="43">
      <c r="A43" t="inlineStr">
        <is>
          <t>TSP-927</t>
        </is>
      </c>
      <c r="B43" s="25" t="n">
        <v>0</v>
      </c>
      <c r="C43" s="25" t="n">
        <v>0</v>
      </c>
      <c r="D43" s="25" t="n">
        <v>0</v>
      </c>
      <c r="E43" s="25" t="n">
        <v>0</v>
      </c>
      <c r="F43" s="25" t="n">
        <v>0</v>
      </c>
      <c r="G43" s="25" t="n">
        <v>0</v>
      </c>
      <c r="H43" s="25" t="n">
        <v>0</v>
      </c>
      <c r="I43" s="25" t="n">
        <v>0</v>
      </c>
      <c r="J43" s="25" t="n">
        <v>0</v>
      </c>
      <c r="K43" s="25" t="n">
        <v>0</v>
      </c>
      <c r="L43" s="25" t="n">
        <v>0</v>
      </c>
      <c r="M43" s="25" t="n">
        <v>0</v>
      </c>
      <c r="N43" s="25" t="n">
        <v>0</v>
      </c>
      <c r="O43" s="25" t="n">
        <v>0</v>
      </c>
      <c r="P43" s="25" t="n">
        <v>0</v>
      </c>
      <c r="Q43" s="25" t="n">
        <v>0</v>
      </c>
      <c r="R43" s="25" t="n">
        <v>0</v>
      </c>
      <c r="S43" s="25" t="n">
        <v>0</v>
      </c>
      <c r="T43" s="25" t="n">
        <v>0</v>
      </c>
      <c r="U43" s="25" t="n">
        <v>0</v>
      </c>
      <c r="V43" s="25" t="n">
        <v>0</v>
      </c>
      <c r="W43" s="25" t="n">
        <v>0</v>
      </c>
      <c r="X43" s="25" t="n">
        <v>0</v>
      </c>
      <c r="Y43" s="25" t="n">
        <v>0</v>
      </c>
      <c r="Z43" s="25" t="n">
        <v>0</v>
      </c>
      <c r="AA43" s="25" t="n">
        <v>0</v>
      </c>
      <c r="AB43" s="25" t="n">
        <v>0</v>
      </c>
      <c r="AC43" s="25" t="n">
        <v>0</v>
      </c>
      <c r="AD43" s="25" t="n">
        <v>0</v>
      </c>
      <c r="AE43" s="25" t="n">
        <v>0</v>
      </c>
      <c r="AF43" s="25" t="n">
        <v>0</v>
      </c>
      <c r="AG43" s="25" t="n">
        <v>0</v>
      </c>
      <c r="AH43" s="25" t="n">
        <v>0</v>
      </c>
      <c r="AI43" s="25" t="n">
        <v>0</v>
      </c>
      <c r="AJ43" s="25" t="n">
        <v>0</v>
      </c>
      <c r="AK43" s="25" t="n">
        <v>0</v>
      </c>
      <c r="AL43" s="25" t="n">
        <v>0</v>
      </c>
      <c r="AM43" s="25" t="n">
        <v>0</v>
      </c>
      <c r="AN43" s="25" t="n">
        <v>0</v>
      </c>
      <c r="AO43" s="25" t="n">
        <v>0</v>
      </c>
      <c r="AP43" s="25" t="n">
        <v>0</v>
      </c>
      <c r="AQ43" s="25" t="n">
        <v>0</v>
      </c>
      <c r="AR43" s="25" t="n">
        <v>0</v>
      </c>
      <c r="AS43" s="25" t="n">
        <v>0</v>
      </c>
      <c r="AT43" s="25" t="n">
        <v>0</v>
      </c>
      <c r="AU43" s="25" t="n">
        <v>0</v>
      </c>
      <c r="AV43" s="25" t="n">
        <v>0</v>
      </c>
      <c r="AW43" s="25" t="n">
        <v>0</v>
      </c>
      <c r="AX43" s="25" t="n">
        <v>0</v>
      </c>
      <c r="AY43" s="25" t="n">
        <v>0</v>
      </c>
      <c r="AZ43" s="25" t="n">
        <v>0</v>
      </c>
      <c r="BA43" s="25" t="n">
        <v>0</v>
      </c>
      <c r="BB43" s="25" t="n">
        <v>0</v>
      </c>
      <c r="BC43" s="25" t="n">
        <v>0</v>
      </c>
      <c r="BD43" s="25" t="n">
        <v>0</v>
      </c>
      <c r="BE43" s="25" t="n">
        <v>0</v>
      </c>
      <c r="BF43" s="25" t="n">
        <v>0</v>
      </c>
      <c r="BG43" s="25" t="n">
        <v>0</v>
      </c>
      <c r="BH43" s="25" t="n">
        <v>0</v>
      </c>
      <c r="BI43" s="25" t="n">
        <v>0</v>
      </c>
      <c r="BJ43" s="25" t="n">
        <v>0</v>
      </c>
      <c r="BK43" s="25" t="n">
        <v>0</v>
      </c>
      <c r="BL43" s="25" t="n">
        <v>0</v>
      </c>
      <c r="BM43" s="25" t="n">
        <v>0</v>
      </c>
      <c r="BN43" s="25" t="n">
        <v>0</v>
      </c>
      <c r="BO43" s="25" t="n">
        <v>0</v>
      </c>
      <c r="BP43" s="25" t="n">
        <v>0</v>
      </c>
      <c r="BQ43" s="25" t="n">
        <v>0</v>
      </c>
      <c r="BR43" s="25" t="n">
        <v>0</v>
      </c>
      <c r="BS43" s="25" t="n">
        <v>0</v>
      </c>
      <c r="BT43" s="25" t="n">
        <v>0</v>
      </c>
      <c r="BU43" s="25" t="n">
        <v>0</v>
      </c>
      <c r="BV43" s="25" t="n">
        <v>0</v>
      </c>
      <c r="BW43" s="25" t="n">
        <v>0</v>
      </c>
      <c r="BX43" s="25" t="n">
        <v>0</v>
      </c>
      <c r="BY43" s="25" t="n">
        <v>0</v>
      </c>
      <c r="BZ43" s="25" t="n">
        <v>0</v>
      </c>
      <c r="CA43" s="25" t="n">
        <v>0</v>
      </c>
      <c r="CB43" s="25" t="n">
        <v>0</v>
      </c>
      <c r="CC43" s="25" t="n">
        <v>0</v>
      </c>
      <c r="CD43" s="25" t="n">
        <v>0</v>
      </c>
      <c r="CE43" s="25" t="n">
        <v>0</v>
      </c>
      <c r="CF43" s="25" t="n">
        <v>0</v>
      </c>
      <c r="CG43" s="25" t="n">
        <v>0</v>
      </c>
      <c r="CH43" s="25" t="n">
        <v>0</v>
      </c>
      <c r="CI43" s="25" t="n">
        <v>0</v>
      </c>
      <c r="CJ43" s="25" t="n">
        <v>0</v>
      </c>
      <c r="CK43" s="25" t="n">
        <v>0</v>
      </c>
      <c r="CL43" s="25" t="n">
        <v>0</v>
      </c>
      <c r="CM43" s="25" t="n">
        <v>0</v>
      </c>
      <c r="CN43" s="25" t="n">
        <v>0</v>
      </c>
      <c r="CO43" s="25" t="n">
        <v>0</v>
      </c>
      <c r="CP43" s="25" t="n">
        <v>0</v>
      </c>
      <c r="CQ43" s="25" t="n">
        <v>0</v>
      </c>
      <c r="CR43" s="25" t="n">
        <v>0</v>
      </c>
      <c r="CS43" s="25" t="n">
        <v>0</v>
      </c>
      <c r="CT43" s="25" t="n">
        <v>0</v>
      </c>
      <c r="CU43" s="25" t="n">
        <v>0</v>
      </c>
      <c r="CV43" s="25" t="n">
        <v>0</v>
      </c>
      <c r="CW43" s="25" t="n">
        <v>0</v>
      </c>
      <c r="CX43" s="25" t="n">
        <v>0</v>
      </c>
      <c r="CY43" s="25" t="n">
        <v>0</v>
      </c>
      <c r="CZ43" s="25" t="n">
        <v>0</v>
      </c>
      <c r="DA43" s="25" t="n">
        <v>0</v>
      </c>
    </row>
    <row r="44">
      <c r="A44" t="inlineStr">
        <is>
          <t>TSP-928</t>
        </is>
      </c>
      <c r="B44" s="25" t="n">
        <v>0</v>
      </c>
      <c r="C44" s="25" t="n">
        <v>0</v>
      </c>
      <c r="D44" s="25" t="n">
        <v>0</v>
      </c>
      <c r="E44" s="25" t="n">
        <v>0</v>
      </c>
      <c r="F44" s="25" t="n">
        <v>0</v>
      </c>
      <c r="G44" s="25" t="n">
        <v>0</v>
      </c>
      <c r="H44" s="25" t="n">
        <v>0</v>
      </c>
      <c r="I44" s="25" t="n">
        <v>0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0</v>
      </c>
      <c r="O44" s="25" t="n">
        <v>0</v>
      </c>
      <c r="P44" s="25" t="n">
        <v>0</v>
      </c>
      <c r="Q44" s="25" t="n">
        <v>0</v>
      </c>
      <c r="R44" s="25" t="n">
        <v>0</v>
      </c>
      <c r="S44" s="25" t="n">
        <v>0</v>
      </c>
      <c r="T44" s="25" t="n">
        <v>0</v>
      </c>
      <c r="U44" s="25" t="n">
        <v>0</v>
      </c>
      <c r="V44" s="25" t="n">
        <v>0</v>
      </c>
      <c r="W44" s="25" t="n">
        <v>0</v>
      </c>
      <c r="X44" s="25" t="n">
        <v>0</v>
      </c>
      <c r="Y44" s="25" t="n">
        <v>0</v>
      </c>
      <c r="Z44" s="25" t="n">
        <v>0</v>
      </c>
      <c r="AA44" s="25" t="n">
        <v>0</v>
      </c>
      <c r="AB44" s="25" t="n">
        <v>0</v>
      </c>
      <c r="AC44" s="25" t="n">
        <v>0</v>
      </c>
      <c r="AD44" s="25" t="n">
        <v>0</v>
      </c>
      <c r="AE44" s="25" t="n">
        <v>0</v>
      </c>
      <c r="AF44" s="25" t="n">
        <v>1.595842200578393</v>
      </c>
      <c r="AG44" s="25" t="n">
        <v>0</v>
      </c>
      <c r="AH44" s="25" t="n">
        <v>0</v>
      </c>
      <c r="AI44" s="25" t="n">
        <v>0</v>
      </c>
      <c r="AJ44" s="25" t="n">
        <v>0</v>
      </c>
      <c r="AK44" s="25" t="n">
        <v>1.595842200578393</v>
      </c>
      <c r="AL44" s="25" t="n">
        <v>0</v>
      </c>
      <c r="AM44" s="25" t="n">
        <v>0</v>
      </c>
      <c r="AN44" s="25" t="n">
        <v>0</v>
      </c>
      <c r="AO44" s="25" t="n">
        <v>0</v>
      </c>
      <c r="AP44" s="25" t="n">
        <v>1.595842200578393</v>
      </c>
      <c r="AQ44" s="25" t="n">
        <v>0</v>
      </c>
      <c r="AR44" s="25" t="n">
        <v>0</v>
      </c>
      <c r="AS44" s="25" t="n">
        <v>0</v>
      </c>
      <c r="AT44" s="25" t="n">
        <v>1.595842200578393</v>
      </c>
      <c r="AU44" s="25" t="n">
        <v>0</v>
      </c>
      <c r="AV44" s="25" t="n">
        <v>0</v>
      </c>
      <c r="AW44" s="25" t="n">
        <v>0</v>
      </c>
      <c r="AX44" s="25" t="n">
        <v>1.276673760462714</v>
      </c>
      <c r="AY44" s="25" t="n">
        <v>0</v>
      </c>
      <c r="AZ44" s="25" t="n">
        <v>0</v>
      </c>
      <c r="BA44" s="25" t="n">
        <v>0</v>
      </c>
      <c r="BB44" s="25" t="n">
        <v>0</v>
      </c>
      <c r="BC44" s="25" t="n">
        <v>0</v>
      </c>
      <c r="BD44" s="25" t="n">
        <v>0</v>
      </c>
      <c r="BE44" s="25" t="n">
        <v>0</v>
      </c>
      <c r="BF44" s="25" t="n">
        <v>0</v>
      </c>
      <c r="BG44" s="25" t="n">
        <v>0</v>
      </c>
      <c r="BH44" s="25" t="n">
        <v>0</v>
      </c>
      <c r="BI44" s="25" t="n">
        <v>0</v>
      </c>
      <c r="BJ44" s="25" t="n">
        <v>0</v>
      </c>
      <c r="BK44" s="25" t="n">
        <v>0</v>
      </c>
      <c r="BL44" s="25" t="n">
        <v>0</v>
      </c>
      <c r="BM44" s="25" t="n">
        <v>0</v>
      </c>
      <c r="BN44" s="25" t="n">
        <v>0</v>
      </c>
      <c r="BO44" s="25" t="n">
        <v>0</v>
      </c>
      <c r="BP44" s="25" t="n">
        <v>0</v>
      </c>
      <c r="BQ44" s="25" t="n">
        <v>0</v>
      </c>
      <c r="BR44" s="25" t="n">
        <v>0</v>
      </c>
      <c r="BS44" s="25" t="n">
        <v>0</v>
      </c>
      <c r="BT44" s="25" t="n">
        <v>0</v>
      </c>
      <c r="BU44" s="25" t="n">
        <v>0</v>
      </c>
      <c r="BV44" s="25" t="n">
        <v>0</v>
      </c>
      <c r="BW44" s="25" t="n">
        <v>0</v>
      </c>
      <c r="BX44" s="25" t="n">
        <v>0</v>
      </c>
      <c r="BY44" s="25" t="n">
        <v>0</v>
      </c>
      <c r="BZ44" s="25" t="n">
        <v>0</v>
      </c>
      <c r="CA44" s="25" t="n">
        <v>0</v>
      </c>
      <c r="CB44" s="25" t="n">
        <v>0</v>
      </c>
      <c r="CC44" s="25" t="n">
        <v>0</v>
      </c>
      <c r="CD44" s="25" t="n">
        <v>0</v>
      </c>
      <c r="CE44" s="25" t="n">
        <v>0</v>
      </c>
      <c r="CF44" s="25" t="n">
        <v>0</v>
      </c>
      <c r="CG44" s="25" t="n">
        <v>0</v>
      </c>
      <c r="CH44" s="25" t="n">
        <v>0</v>
      </c>
      <c r="CI44" s="25" t="n">
        <v>0</v>
      </c>
      <c r="CJ44" s="25" t="n">
        <v>0</v>
      </c>
      <c r="CK44" s="25" t="n">
        <v>0</v>
      </c>
      <c r="CL44" s="25" t="n">
        <v>0</v>
      </c>
      <c r="CM44" s="25" t="n">
        <v>0</v>
      </c>
      <c r="CN44" s="25" t="n">
        <v>0</v>
      </c>
      <c r="CO44" s="25" t="n">
        <v>0</v>
      </c>
      <c r="CP44" s="25" t="n">
        <v>0</v>
      </c>
      <c r="CQ44" s="25" t="n">
        <v>0</v>
      </c>
      <c r="CR44" s="25" t="n">
        <v>0</v>
      </c>
      <c r="CS44" s="25" t="n">
        <v>0</v>
      </c>
      <c r="CT44" s="25" t="n">
        <v>0</v>
      </c>
      <c r="CU44" s="25" t="n">
        <v>0</v>
      </c>
      <c r="CV44" s="25" t="n">
        <v>0</v>
      </c>
      <c r="CW44" s="25" t="n">
        <v>0</v>
      </c>
      <c r="CX44" s="25" t="n">
        <v>0</v>
      </c>
      <c r="CY44" s="25" t="n">
        <v>0</v>
      </c>
      <c r="CZ44" s="25" t="n">
        <v>0</v>
      </c>
      <c r="DA44" s="25" t="n">
        <v>0</v>
      </c>
    </row>
    <row r="45">
      <c r="A45" t="inlineStr">
        <is>
          <t>TSP-929</t>
        </is>
      </c>
      <c r="B45" s="25" t="n">
        <v>0</v>
      </c>
      <c r="C45" s="25" t="n">
        <v>0</v>
      </c>
      <c r="D45" s="25" t="n">
        <v>0</v>
      </c>
      <c r="E45" s="25" t="n">
        <v>0</v>
      </c>
      <c r="F45" s="25" t="n">
        <v>0</v>
      </c>
      <c r="G45" s="25" t="n">
        <v>0</v>
      </c>
      <c r="H45" s="25" t="n">
        <v>0</v>
      </c>
      <c r="I45" s="25" t="n">
        <v>0</v>
      </c>
      <c r="J45" s="25" t="n">
        <v>0</v>
      </c>
      <c r="K45" s="25" t="n">
        <v>0</v>
      </c>
      <c r="L45" s="25" t="n">
        <v>0</v>
      </c>
      <c r="M45" s="25" t="n">
        <v>0</v>
      </c>
      <c r="N45" s="25" t="n">
        <v>0</v>
      </c>
      <c r="O45" s="25" t="n">
        <v>0</v>
      </c>
      <c r="P45" s="25" t="n">
        <v>0</v>
      </c>
      <c r="Q45" s="25" t="n">
        <v>0</v>
      </c>
      <c r="R45" s="25" t="n">
        <v>0</v>
      </c>
      <c r="S45" s="25" t="n">
        <v>0</v>
      </c>
      <c r="T45" s="25" t="n">
        <v>0</v>
      </c>
      <c r="U45" s="25" t="n">
        <v>0</v>
      </c>
      <c r="V45" s="25" t="n">
        <v>0</v>
      </c>
      <c r="W45" s="25" t="n">
        <v>0</v>
      </c>
      <c r="X45" s="25" t="n">
        <v>0</v>
      </c>
      <c r="Y45" s="25" t="n">
        <v>0</v>
      </c>
      <c r="Z45" s="25" t="n">
        <v>0</v>
      </c>
      <c r="AA45" s="25" t="n">
        <v>0</v>
      </c>
      <c r="AB45" s="25" t="n">
        <v>0</v>
      </c>
      <c r="AC45" s="25" t="n">
        <v>0</v>
      </c>
      <c r="AD45" s="25" t="n">
        <v>0</v>
      </c>
      <c r="AE45" s="25" t="n">
        <v>0</v>
      </c>
      <c r="AF45" s="25" t="n">
        <v>0</v>
      </c>
      <c r="AG45" s="25" t="n">
        <v>0</v>
      </c>
      <c r="AH45" s="25" t="n">
        <v>0</v>
      </c>
      <c r="AI45" s="25" t="n">
        <v>0</v>
      </c>
      <c r="AJ45" s="25" t="n">
        <v>0</v>
      </c>
      <c r="AK45" s="25" t="n">
        <v>0</v>
      </c>
      <c r="AL45" s="25" t="n">
        <v>0</v>
      </c>
      <c r="AM45" s="25" t="n">
        <v>0</v>
      </c>
      <c r="AN45" s="25" t="n">
        <v>0</v>
      </c>
      <c r="AO45" s="25" t="n">
        <v>0</v>
      </c>
      <c r="AP45" s="25" t="n">
        <v>0</v>
      </c>
      <c r="AQ45" s="25" t="n">
        <v>0</v>
      </c>
      <c r="AR45" s="25" t="n">
        <v>0</v>
      </c>
      <c r="AS45" s="25" t="n">
        <v>0</v>
      </c>
      <c r="AT45" s="25" t="n">
        <v>0</v>
      </c>
      <c r="AU45" s="25" t="n">
        <v>0</v>
      </c>
      <c r="AV45" s="25" t="n">
        <v>0</v>
      </c>
      <c r="AW45" s="25" t="n">
        <v>0</v>
      </c>
      <c r="AX45" s="25" t="n">
        <v>0</v>
      </c>
      <c r="AY45" s="25" t="n">
        <v>0</v>
      </c>
      <c r="AZ45" s="25" t="n">
        <v>0</v>
      </c>
      <c r="BA45" s="25" t="n">
        <v>0</v>
      </c>
      <c r="BB45" s="25" t="n">
        <v>0</v>
      </c>
      <c r="BC45" s="25" t="n">
        <v>0</v>
      </c>
      <c r="BD45" s="25" t="n">
        <v>0</v>
      </c>
      <c r="BE45" s="25" t="n">
        <v>0</v>
      </c>
      <c r="BF45" s="25" t="n">
        <v>0</v>
      </c>
      <c r="BG45" s="25" t="n">
        <v>0</v>
      </c>
      <c r="BH45" s="25" t="n">
        <v>0</v>
      </c>
      <c r="BI45" s="25" t="n">
        <v>0</v>
      </c>
      <c r="BJ45" s="25" t="n">
        <v>0</v>
      </c>
      <c r="BK45" s="25" t="n">
        <v>0</v>
      </c>
      <c r="BL45" s="25" t="n">
        <v>0</v>
      </c>
      <c r="BM45" s="25" t="n">
        <v>0</v>
      </c>
      <c r="BN45" s="25" t="n">
        <v>0</v>
      </c>
      <c r="BO45" s="25" t="n">
        <v>0</v>
      </c>
      <c r="BP45" s="25" t="n">
        <v>0</v>
      </c>
      <c r="BQ45" s="25" t="n">
        <v>0</v>
      </c>
      <c r="BR45" s="25" t="n">
        <v>0</v>
      </c>
      <c r="BS45" s="25" t="n">
        <v>0</v>
      </c>
      <c r="BT45" s="25" t="n">
        <v>0</v>
      </c>
      <c r="BU45" s="25" t="n">
        <v>0</v>
      </c>
      <c r="BV45" s="25" t="n">
        <v>0</v>
      </c>
      <c r="BW45" s="25" t="n">
        <v>0</v>
      </c>
      <c r="BX45" s="25" t="n">
        <v>0</v>
      </c>
      <c r="BY45" s="25" t="n">
        <v>0</v>
      </c>
      <c r="BZ45" s="25" t="n">
        <v>0</v>
      </c>
      <c r="CA45" s="25" t="n">
        <v>0</v>
      </c>
      <c r="CB45" s="25" t="n">
        <v>0</v>
      </c>
      <c r="CC45" s="25" t="n">
        <v>0</v>
      </c>
      <c r="CD45" s="25" t="n">
        <v>0</v>
      </c>
      <c r="CE45" s="25" t="n">
        <v>0</v>
      </c>
      <c r="CF45" s="25" t="n">
        <v>0</v>
      </c>
      <c r="CG45" s="25" t="n">
        <v>0</v>
      </c>
      <c r="CH45" s="25" t="n">
        <v>0</v>
      </c>
      <c r="CI45" s="25" t="n">
        <v>0</v>
      </c>
      <c r="CJ45" s="25" t="n">
        <v>0</v>
      </c>
      <c r="CK45" s="25" t="n">
        <v>0</v>
      </c>
      <c r="CL45" s="25" t="n">
        <v>0</v>
      </c>
      <c r="CM45" s="25" t="n">
        <v>0</v>
      </c>
      <c r="CN45" s="25" t="n">
        <v>0</v>
      </c>
      <c r="CO45" s="25" t="n">
        <v>0</v>
      </c>
      <c r="CP45" s="25" t="n">
        <v>0</v>
      </c>
      <c r="CQ45" s="25" t="n">
        <v>0</v>
      </c>
      <c r="CR45" s="25" t="n">
        <v>0</v>
      </c>
      <c r="CS45" s="25" t="n">
        <v>0</v>
      </c>
      <c r="CT45" s="25" t="n">
        <v>0</v>
      </c>
      <c r="CU45" s="25" t="n">
        <v>0</v>
      </c>
      <c r="CV45" s="25" t="n">
        <v>0</v>
      </c>
      <c r="CW45" s="25" t="n">
        <v>0</v>
      </c>
      <c r="CX45" s="25" t="n">
        <v>0</v>
      </c>
      <c r="CY45" s="25" t="n">
        <v>0</v>
      </c>
      <c r="CZ45" s="25" t="n">
        <v>0</v>
      </c>
      <c r="DA45" s="25" t="n">
        <v>0</v>
      </c>
    </row>
    <row r="46">
      <c r="A46" t="inlineStr">
        <is>
          <t>TSP-930</t>
        </is>
      </c>
      <c r="B46" s="25" t="n">
        <v>0</v>
      </c>
      <c r="C46" s="25" t="n">
        <v>0</v>
      </c>
      <c r="D46" s="25" t="n">
        <v>0</v>
      </c>
      <c r="E46" s="25" t="n">
        <v>0</v>
      </c>
      <c r="F46" s="25" t="n">
        <v>0</v>
      </c>
      <c r="G46" s="25" t="n">
        <v>0</v>
      </c>
      <c r="H46" s="25" t="n">
        <v>0</v>
      </c>
      <c r="I46" s="25" t="n">
        <v>0</v>
      </c>
      <c r="J46" s="25" t="n">
        <v>0</v>
      </c>
      <c r="K46" s="25" t="n">
        <v>0</v>
      </c>
      <c r="L46" s="25" t="n">
        <v>0</v>
      </c>
      <c r="M46" s="25" t="n">
        <v>0</v>
      </c>
      <c r="N46" s="25" t="n">
        <v>0</v>
      </c>
      <c r="O46" s="25" t="n">
        <v>0</v>
      </c>
      <c r="P46" s="25" t="n">
        <v>0</v>
      </c>
      <c r="Q46" s="25" t="n">
        <v>0</v>
      </c>
      <c r="R46" s="25" t="n">
        <v>0</v>
      </c>
      <c r="S46" s="25" t="n">
        <v>0</v>
      </c>
      <c r="T46" s="25" t="n">
        <v>0</v>
      </c>
      <c r="U46" s="25" t="n">
        <v>0</v>
      </c>
      <c r="V46" s="25" t="n">
        <v>0</v>
      </c>
      <c r="W46" s="25" t="n">
        <v>0</v>
      </c>
      <c r="X46" s="25" t="n">
        <v>1.20003066745039</v>
      </c>
      <c r="Y46" s="25" t="n">
        <v>0</v>
      </c>
      <c r="Z46" s="25" t="n">
        <v>0</v>
      </c>
      <c r="AA46" s="25" t="n">
        <v>0</v>
      </c>
      <c r="AB46" s="25" t="n">
        <v>0</v>
      </c>
      <c r="AC46" s="25" t="n">
        <v>0</v>
      </c>
      <c r="AD46" s="25" t="n">
        <v>1.20003066745039</v>
      </c>
      <c r="AE46" s="25" t="n">
        <v>0</v>
      </c>
      <c r="AF46" s="25" t="n">
        <v>0</v>
      </c>
      <c r="AG46" s="25" t="n">
        <v>1.20003066745039</v>
      </c>
      <c r="AH46" s="25" t="n">
        <v>0</v>
      </c>
      <c r="AI46" s="25" t="n">
        <v>0</v>
      </c>
      <c r="AJ46" s="25" t="n">
        <v>1.20003066745039</v>
      </c>
      <c r="AK46" s="25" t="n">
        <v>0</v>
      </c>
      <c r="AL46" s="25" t="n">
        <v>0</v>
      </c>
      <c r="AM46" s="25" t="n">
        <v>0</v>
      </c>
      <c r="AN46" s="25" t="n">
        <v>0</v>
      </c>
      <c r="AO46" s="25" t="n">
        <v>1.20003066745039</v>
      </c>
      <c r="AP46" s="25" t="n">
        <v>0</v>
      </c>
      <c r="AQ46" s="25" t="n">
        <v>0</v>
      </c>
      <c r="AR46" s="25" t="n">
        <v>0</v>
      </c>
      <c r="AS46" s="25" t="n">
        <v>1.20003066745039</v>
      </c>
      <c r="AT46" s="25" t="n">
        <v>0</v>
      </c>
      <c r="AU46" s="25" t="n">
        <v>0</v>
      </c>
      <c r="AV46" s="25" t="n">
        <v>0</v>
      </c>
      <c r="AW46" s="25" t="n">
        <v>0</v>
      </c>
      <c r="AX46" s="25" t="n">
        <v>0</v>
      </c>
      <c r="AY46" s="25" t="n">
        <v>0</v>
      </c>
      <c r="AZ46" s="25" t="n">
        <v>0</v>
      </c>
      <c r="BA46" s="25" t="n">
        <v>0</v>
      </c>
      <c r="BB46" s="25" t="n">
        <v>0</v>
      </c>
      <c r="BC46" s="25" t="n">
        <v>0</v>
      </c>
      <c r="BD46" s="25" t="n">
        <v>0</v>
      </c>
      <c r="BE46" s="25" t="n">
        <v>0</v>
      </c>
      <c r="BF46" s="25" t="n">
        <v>0</v>
      </c>
      <c r="BG46" s="25" t="n">
        <v>0</v>
      </c>
      <c r="BH46" s="25" t="n">
        <v>0</v>
      </c>
      <c r="BI46" s="25" t="n">
        <v>0</v>
      </c>
      <c r="BJ46" s="25" t="n">
        <v>0</v>
      </c>
      <c r="BK46" s="25" t="n">
        <v>0</v>
      </c>
      <c r="BL46" s="25" t="n">
        <v>0</v>
      </c>
      <c r="BM46" s="25" t="n">
        <v>0</v>
      </c>
      <c r="BN46" s="25" t="n">
        <v>0</v>
      </c>
      <c r="BO46" s="25" t="n">
        <v>0</v>
      </c>
      <c r="BP46" s="25" t="n">
        <v>0</v>
      </c>
      <c r="BQ46" s="25" t="n">
        <v>0</v>
      </c>
      <c r="BR46" s="25" t="n">
        <v>0</v>
      </c>
      <c r="BS46" s="25" t="n">
        <v>0</v>
      </c>
      <c r="BT46" s="25" t="n">
        <v>0</v>
      </c>
      <c r="BU46" s="25" t="n">
        <v>0</v>
      </c>
      <c r="BV46" s="25" t="n">
        <v>0</v>
      </c>
      <c r="BW46" s="25" t="n">
        <v>0</v>
      </c>
      <c r="BX46" s="25" t="n">
        <v>0</v>
      </c>
      <c r="BY46" s="25" t="n">
        <v>0</v>
      </c>
      <c r="BZ46" s="25" t="n">
        <v>0</v>
      </c>
      <c r="CA46" s="25" t="n">
        <v>0</v>
      </c>
      <c r="CB46" s="25" t="n">
        <v>0</v>
      </c>
      <c r="CC46" s="25" t="n">
        <v>0</v>
      </c>
      <c r="CD46" s="25" t="n">
        <v>0</v>
      </c>
      <c r="CE46" s="25" t="n">
        <v>0</v>
      </c>
      <c r="CF46" s="25" t="n">
        <v>0</v>
      </c>
      <c r="CG46" s="25" t="n">
        <v>0</v>
      </c>
      <c r="CH46" s="25" t="n">
        <v>0</v>
      </c>
      <c r="CI46" s="25" t="n">
        <v>0</v>
      </c>
      <c r="CJ46" s="25" t="n">
        <v>0</v>
      </c>
      <c r="CK46" s="25" t="n">
        <v>0</v>
      </c>
      <c r="CL46" s="25" t="n">
        <v>0</v>
      </c>
      <c r="CM46" s="25" t="n">
        <v>0</v>
      </c>
      <c r="CN46" s="25" t="n">
        <v>0</v>
      </c>
      <c r="CO46" s="25" t="n">
        <v>0</v>
      </c>
      <c r="CP46" s="25" t="n">
        <v>0</v>
      </c>
      <c r="CQ46" s="25" t="n">
        <v>0</v>
      </c>
      <c r="CR46" s="25" t="n">
        <v>0</v>
      </c>
      <c r="CS46" s="25" t="n">
        <v>0</v>
      </c>
      <c r="CT46" s="25" t="n">
        <v>0</v>
      </c>
      <c r="CU46" s="25" t="n">
        <v>0</v>
      </c>
      <c r="CV46" s="25" t="n">
        <v>0</v>
      </c>
      <c r="CW46" s="25" t="n">
        <v>0</v>
      </c>
      <c r="CX46" s="25" t="n">
        <v>0</v>
      </c>
      <c r="CY46" s="25" t="n">
        <v>0</v>
      </c>
      <c r="CZ46" s="25" t="n">
        <v>0</v>
      </c>
      <c r="DA46" s="25" t="n">
        <v>0</v>
      </c>
    </row>
    <row r="47">
      <c r="A47" t="inlineStr">
        <is>
          <t>TSP-934</t>
        </is>
      </c>
      <c r="B47" s="25" t="n">
        <v>0</v>
      </c>
      <c r="C47" s="25" t="n">
        <v>0</v>
      </c>
      <c r="D47" s="25" t="n">
        <v>0</v>
      </c>
      <c r="E47" s="25" t="n">
        <v>0</v>
      </c>
      <c r="F47" s="25" t="n">
        <v>0</v>
      </c>
      <c r="G47" s="25" t="n">
        <v>0</v>
      </c>
      <c r="H47" s="25" t="n">
        <v>0</v>
      </c>
      <c r="I47" s="25" t="n">
        <v>0</v>
      </c>
      <c r="J47" s="25" t="n">
        <v>0</v>
      </c>
      <c r="K47" s="25" t="n">
        <v>0</v>
      </c>
      <c r="L47" s="25" t="n">
        <v>0</v>
      </c>
      <c r="M47" s="25" t="n">
        <v>0</v>
      </c>
      <c r="N47" s="25" t="n">
        <v>0</v>
      </c>
      <c r="O47" s="25" t="n">
        <v>0</v>
      </c>
      <c r="P47" s="25" t="n">
        <v>0</v>
      </c>
      <c r="Q47" s="25" t="n">
        <v>0</v>
      </c>
      <c r="R47" s="25" t="n">
        <v>0</v>
      </c>
      <c r="S47" s="25" t="n">
        <v>0</v>
      </c>
      <c r="T47" s="25" t="n">
        <v>0</v>
      </c>
      <c r="U47" s="25" t="n">
        <v>0</v>
      </c>
      <c r="V47" s="25" t="n">
        <v>0</v>
      </c>
      <c r="W47" s="25" t="n">
        <v>0</v>
      </c>
      <c r="X47" s="25" t="n">
        <v>0</v>
      </c>
      <c r="Y47" s="25" t="n">
        <v>0</v>
      </c>
      <c r="Z47" s="25" t="n">
        <v>0</v>
      </c>
      <c r="AA47" s="25" t="n">
        <v>0</v>
      </c>
      <c r="AB47" s="25" t="n">
        <v>0</v>
      </c>
      <c r="AC47" s="25" t="n">
        <v>0</v>
      </c>
      <c r="AD47" s="25" t="n">
        <v>0</v>
      </c>
      <c r="AE47" s="25" t="n">
        <v>0</v>
      </c>
      <c r="AF47" s="25" t="n">
        <v>0</v>
      </c>
      <c r="AG47" s="25" t="n">
        <v>0</v>
      </c>
      <c r="AH47" s="25" t="n">
        <v>0</v>
      </c>
      <c r="AI47" s="25" t="n">
        <v>0</v>
      </c>
      <c r="AJ47" s="25" t="n">
        <v>0</v>
      </c>
      <c r="AK47" s="25" t="n">
        <v>0</v>
      </c>
      <c r="AL47" s="25" t="n">
        <v>0</v>
      </c>
      <c r="AM47" s="25" t="n">
        <v>0</v>
      </c>
      <c r="AN47" s="25" t="n">
        <v>0</v>
      </c>
      <c r="AO47" s="25" t="n">
        <v>0</v>
      </c>
      <c r="AP47" s="25" t="n">
        <v>0</v>
      </c>
      <c r="AQ47" s="25" t="n">
        <v>0</v>
      </c>
      <c r="AR47" s="25" t="n">
        <v>0</v>
      </c>
      <c r="AS47" s="25" t="n">
        <v>0</v>
      </c>
      <c r="AT47" s="25" t="n">
        <v>0</v>
      </c>
      <c r="AU47" s="25" t="n">
        <v>0</v>
      </c>
      <c r="AV47" s="25" t="n">
        <v>0</v>
      </c>
      <c r="AW47" s="25" t="n">
        <v>0</v>
      </c>
      <c r="AX47" s="25" t="n">
        <v>0</v>
      </c>
      <c r="AY47" s="25" t="n">
        <v>0</v>
      </c>
      <c r="AZ47" s="25" t="n">
        <v>0</v>
      </c>
      <c r="BA47" s="25" t="n">
        <v>0</v>
      </c>
      <c r="BB47" s="25" t="n">
        <v>0</v>
      </c>
      <c r="BC47" s="25" t="n">
        <v>0</v>
      </c>
      <c r="BD47" s="25" t="n">
        <v>0</v>
      </c>
      <c r="BE47" s="25" t="n">
        <v>0</v>
      </c>
      <c r="BF47" s="25" t="n">
        <v>0</v>
      </c>
      <c r="BG47" s="25" t="n">
        <v>0</v>
      </c>
      <c r="BH47" s="25" t="n">
        <v>0</v>
      </c>
      <c r="BI47" s="25" t="n">
        <v>0</v>
      </c>
      <c r="BJ47" s="25" t="n">
        <v>0</v>
      </c>
      <c r="BK47" s="25" t="n">
        <v>0</v>
      </c>
      <c r="BL47" s="25" t="n">
        <v>0</v>
      </c>
      <c r="BM47" s="25" t="n">
        <v>0</v>
      </c>
      <c r="BN47" s="25" t="n">
        <v>0</v>
      </c>
      <c r="BO47" s="25" t="n">
        <v>0</v>
      </c>
      <c r="BP47" s="25" t="n">
        <v>0</v>
      </c>
      <c r="BQ47" s="25" t="n">
        <v>0</v>
      </c>
      <c r="BR47" s="25" t="n">
        <v>0</v>
      </c>
      <c r="BS47" s="25" t="n">
        <v>0</v>
      </c>
      <c r="BT47" s="25" t="n">
        <v>0</v>
      </c>
      <c r="BU47" s="25" t="n">
        <v>0</v>
      </c>
      <c r="BV47" s="25" t="n">
        <v>0</v>
      </c>
      <c r="BW47" s="25" t="n">
        <v>0</v>
      </c>
      <c r="BX47" s="25" t="n">
        <v>0</v>
      </c>
      <c r="BY47" s="25" t="n">
        <v>0</v>
      </c>
      <c r="BZ47" s="25" t="n">
        <v>0</v>
      </c>
      <c r="CA47" s="25" t="n">
        <v>0</v>
      </c>
      <c r="CB47" s="25" t="n">
        <v>0</v>
      </c>
      <c r="CC47" s="25" t="n">
        <v>0</v>
      </c>
      <c r="CD47" s="25" t="n">
        <v>0</v>
      </c>
      <c r="CE47" s="25" t="n">
        <v>0</v>
      </c>
      <c r="CF47" s="25" t="n">
        <v>0</v>
      </c>
      <c r="CG47" s="25" t="n">
        <v>0</v>
      </c>
      <c r="CH47" s="25" t="n">
        <v>0</v>
      </c>
      <c r="CI47" s="25" t="n">
        <v>0</v>
      </c>
      <c r="CJ47" s="25" t="n">
        <v>0</v>
      </c>
      <c r="CK47" s="25" t="n">
        <v>0</v>
      </c>
      <c r="CL47" s="25" t="n">
        <v>0</v>
      </c>
      <c r="CM47" s="25" t="n">
        <v>0</v>
      </c>
      <c r="CN47" s="25" t="n">
        <v>0</v>
      </c>
      <c r="CO47" s="25" t="n">
        <v>0</v>
      </c>
      <c r="CP47" s="25" t="n">
        <v>0</v>
      </c>
      <c r="CQ47" s="25" t="n">
        <v>0</v>
      </c>
      <c r="CR47" s="25" t="n">
        <v>0</v>
      </c>
      <c r="CS47" s="25" t="n">
        <v>0</v>
      </c>
      <c r="CT47" s="25" t="n">
        <v>0</v>
      </c>
      <c r="CU47" s="25" t="n">
        <v>0</v>
      </c>
      <c r="CV47" s="25" t="n">
        <v>0</v>
      </c>
      <c r="CW47" s="25" t="n">
        <v>0</v>
      </c>
      <c r="CX47" s="25" t="n">
        <v>0</v>
      </c>
      <c r="CY47" s="25" t="n">
        <v>0</v>
      </c>
      <c r="CZ47" s="25" t="n">
        <v>0</v>
      </c>
      <c r="DA47" s="25" t="n">
        <v>0</v>
      </c>
    </row>
    <row r="48">
      <c r="A48" t="inlineStr">
        <is>
          <t>TSP-935</t>
        </is>
      </c>
      <c r="B48" s="25" t="n">
        <v>0</v>
      </c>
      <c r="C48" s="25" t="n">
        <v>0</v>
      </c>
      <c r="D48" s="25" t="n">
        <v>0</v>
      </c>
      <c r="E48" s="25" t="n">
        <v>0</v>
      </c>
      <c r="F48" s="25" t="n">
        <v>0</v>
      </c>
      <c r="G48" s="25" t="n">
        <v>0</v>
      </c>
      <c r="H48" s="25" t="n">
        <v>0</v>
      </c>
      <c r="I48" s="25" t="n">
        <v>0</v>
      </c>
      <c r="J48" s="25" t="n">
        <v>0</v>
      </c>
      <c r="K48" s="25" t="n">
        <v>0</v>
      </c>
      <c r="L48" s="25" t="n">
        <v>0</v>
      </c>
      <c r="M48" s="25" t="n">
        <v>0</v>
      </c>
      <c r="N48" s="25" t="n">
        <v>0</v>
      </c>
      <c r="O48" s="25" t="n">
        <v>0</v>
      </c>
      <c r="P48" s="25" t="n">
        <v>0</v>
      </c>
      <c r="Q48" s="25" t="n">
        <v>0</v>
      </c>
      <c r="R48" s="25" t="n">
        <v>0</v>
      </c>
      <c r="S48" s="25" t="n">
        <v>0</v>
      </c>
      <c r="T48" s="25" t="n">
        <v>0</v>
      </c>
      <c r="U48" s="25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25" t="n">
        <v>0</v>
      </c>
      <c r="AB48" s="25" t="n">
        <v>0</v>
      </c>
      <c r="AC48" s="25" t="n">
        <v>0</v>
      </c>
      <c r="AD48" s="25" t="n">
        <v>0</v>
      </c>
      <c r="AE48" s="25" t="n">
        <v>0</v>
      </c>
      <c r="AF48" s="25" t="n">
        <v>1.647732293074346</v>
      </c>
      <c r="AG48" s="25" t="n">
        <v>0</v>
      </c>
      <c r="AH48" s="25" t="n">
        <v>0</v>
      </c>
      <c r="AI48" s="25" t="n">
        <v>0</v>
      </c>
      <c r="AJ48" s="25" t="n">
        <v>0</v>
      </c>
      <c r="AK48" s="25" t="n">
        <v>1.647732293074346</v>
      </c>
      <c r="AL48" s="25" t="n">
        <v>0</v>
      </c>
      <c r="AM48" s="25" t="n">
        <v>0</v>
      </c>
      <c r="AN48" s="25" t="n">
        <v>0</v>
      </c>
      <c r="AO48" s="25" t="n">
        <v>0</v>
      </c>
      <c r="AP48" s="25" t="n">
        <v>1.647732293074346</v>
      </c>
      <c r="AQ48" s="25" t="n">
        <v>0</v>
      </c>
      <c r="AR48" s="25" t="n">
        <v>0</v>
      </c>
      <c r="AS48" s="25" t="n">
        <v>0</v>
      </c>
      <c r="AT48" s="25" t="n">
        <v>1.647732293074346</v>
      </c>
      <c r="AU48" s="25" t="n">
        <v>0</v>
      </c>
      <c r="AV48" s="25" t="n">
        <v>0</v>
      </c>
      <c r="AW48" s="25" t="n">
        <v>0</v>
      </c>
      <c r="AX48" s="25" t="n">
        <v>1.318185834459477</v>
      </c>
      <c r="AY48" s="25" t="n">
        <v>0</v>
      </c>
      <c r="AZ48" s="25" t="n">
        <v>0</v>
      </c>
      <c r="BA48" s="25" t="n">
        <v>0</v>
      </c>
      <c r="BB48" s="25" t="n">
        <v>0</v>
      </c>
      <c r="BC48" s="25" t="n">
        <v>0</v>
      </c>
      <c r="BD48" s="25" t="n">
        <v>0</v>
      </c>
      <c r="BE48" s="25" t="n">
        <v>0</v>
      </c>
      <c r="BF48" s="25" t="n">
        <v>0</v>
      </c>
      <c r="BG48" s="25" t="n">
        <v>0</v>
      </c>
      <c r="BH48" s="25" t="n">
        <v>0</v>
      </c>
      <c r="BI48" s="25" t="n">
        <v>0</v>
      </c>
      <c r="BJ48" s="25" t="n">
        <v>0</v>
      </c>
      <c r="BK48" s="25" t="n">
        <v>0</v>
      </c>
      <c r="BL48" s="25" t="n">
        <v>0</v>
      </c>
      <c r="BM48" s="25" t="n">
        <v>0</v>
      </c>
      <c r="BN48" s="25" t="n">
        <v>0</v>
      </c>
      <c r="BO48" s="25" t="n">
        <v>0</v>
      </c>
      <c r="BP48" s="25" t="n">
        <v>0</v>
      </c>
      <c r="BQ48" s="25" t="n">
        <v>0</v>
      </c>
      <c r="BR48" s="25" t="n">
        <v>0</v>
      </c>
      <c r="BS48" s="25" t="n">
        <v>0</v>
      </c>
      <c r="BT48" s="25" t="n">
        <v>0</v>
      </c>
      <c r="BU48" s="25" t="n">
        <v>0</v>
      </c>
      <c r="BV48" s="25" t="n">
        <v>0</v>
      </c>
      <c r="BW48" s="25" t="n">
        <v>0</v>
      </c>
      <c r="BX48" s="25" t="n">
        <v>0</v>
      </c>
      <c r="BY48" s="25" t="n">
        <v>0</v>
      </c>
      <c r="BZ48" s="25" t="n">
        <v>0</v>
      </c>
      <c r="CA48" s="25" t="n">
        <v>0</v>
      </c>
      <c r="CB48" s="25" t="n">
        <v>0</v>
      </c>
      <c r="CC48" s="25" t="n">
        <v>0</v>
      </c>
      <c r="CD48" s="25" t="n">
        <v>0</v>
      </c>
      <c r="CE48" s="25" t="n">
        <v>0</v>
      </c>
      <c r="CF48" s="25" t="n">
        <v>0</v>
      </c>
      <c r="CG48" s="25" t="n">
        <v>0</v>
      </c>
      <c r="CH48" s="25" t="n">
        <v>0</v>
      </c>
      <c r="CI48" s="25" t="n">
        <v>0</v>
      </c>
      <c r="CJ48" s="25" t="n">
        <v>0</v>
      </c>
      <c r="CK48" s="25" t="n">
        <v>0</v>
      </c>
      <c r="CL48" s="25" t="n">
        <v>0</v>
      </c>
      <c r="CM48" s="25" t="n">
        <v>0</v>
      </c>
      <c r="CN48" s="25" t="n">
        <v>0</v>
      </c>
      <c r="CO48" s="25" t="n">
        <v>0</v>
      </c>
      <c r="CP48" s="25" t="n">
        <v>0</v>
      </c>
      <c r="CQ48" s="25" t="n">
        <v>0</v>
      </c>
      <c r="CR48" s="25" t="n">
        <v>0</v>
      </c>
      <c r="CS48" s="25" t="n">
        <v>0</v>
      </c>
      <c r="CT48" s="25" t="n">
        <v>0</v>
      </c>
      <c r="CU48" s="25" t="n">
        <v>0</v>
      </c>
      <c r="CV48" s="25" t="n">
        <v>0</v>
      </c>
      <c r="CW48" s="25" t="n">
        <v>0</v>
      </c>
      <c r="CX48" s="25" t="n">
        <v>0</v>
      </c>
      <c r="CY48" s="25" t="n">
        <v>0</v>
      </c>
      <c r="CZ48" s="25" t="n">
        <v>0</v>
      </c>
      <c r="DA48" s="25" t="n">
        <v>0</v>
      </c>
    </row>
    <row r="49">
      <c r="A49" t="inlineStr">
        <is>
          <t>TSP-936</t>
        </is>
      </c>
      <c r="B49" s="25" t="n">
        <v>0</v>
      </c>
      <c r="C49" s="25" t="n">
        <v>0</v>
      </c>
      <c r="D49" s="25" t="n">
        <v>0</v>
      </c>
      <c r="E49" s="25" t="n">
        <v>0</v>
      </c>
      <c r="F49" s="25" t="n">
        <v>0</v>
      </c>
      <c r="G49" s="25" t="n">
        <v>0</v>
      </c>
      <c r="H49" s="25" t="n">
        <v>0</v>
      </c>
      <c r="I49" s="25" t="n">
        <v>0</v>
      </c>
      <c r="J49" s="25" t="n">
        <v>0</v>
      </c>
      <c r="K49" s="25" t="n">
        <v>0</v>
      </c>
      <c r="L49" s="25" t="n">
        <v>0</v>
      </c>
      <c r="M49" s="25" t="n">
        <v>0</v>
      </c>
      <c r="N49" s="25" t="n">
        <v>0</v>
      </c>
      <c r="O49" s="25" t="n">
        <v>0</v>
      </c>
      <c r="P49" s="25" t="n">
        <v>0</v>
      </c>
      <c r="Q49" s="25" t="n">
        <v>0</v>
      </c>
      <c r="R49" s="25" t="n">
        <v>0</v>
      </c>
      <c r="S49" s="25" t="n">
        <v>0</v>
      </c>
      <c r="T49" s="25" t="n">
        <v>0</v>
      </c>
      <c r="U49" s="25" t="n">
        <v>0</v>
      </c>
      <c r="V49" s="25" t="n">
        <v>0</v>
      </c>
      <c r="W49" s="25" t="n">
        <v>0</v>
      </c>
      <c r="X49" s="25" t="n">
        <v>0</v>
      </c>
      <c r="Y49" s="25" t="n">
        <v>0</v>
      </c>
      <c r="Z49" s="25" t="n">
        <v>0</v>
      </c>
      <c r="AA49" s="25" t="n">
        <v>0</v>
      </c>
      <c r="AB49" s="25" t="n">
        <v>0</v>
      </c>
      <c r="AC49" s="25" t="n">
        <v>0</v>
      </c>
      <c r="AD49" s="25" t="n">
        <v>0</v>
      </c>
      <c r="AE49" s="25" t="n">
        <v>0</v>
      </c>
      <c r="AF49" s="25" t="n">
        <v>0</v>
      </c>
      <c r="AG49" s="25" t="n">
        <v>0</v>
      </c>
      <c r="AH49" s="25" t="n">
        <v>0</v>
      </c>
      <c r="AI49" s="25" t="n">
        <v>0</v>
      </c>
      <c r="AJ49" s="25" t="n">
        <v>0</v>
      </c>
      <c r="AK49" s="25" t="n">
        <v>0</v>
      </c>
      <c r="AL49" s="25" t="n">
        <v>0</v>
      </c>
      <c r="AM49" s="25" t="n">
        <v>0</v>
      </c>
      <c r="AN49" s="25" t="n">
        <v>0</v>
      </c>
      <c r="AO49" s="25" t="n">
        <v>0</v>
      </c>
      <c r="AP49" s="25" t="n">
        <v>0</v>
      </c>
      <c r="AQ49" s="25" t="n">
        <v>0</v>
      </c>
      <c r="AR49" s="25" t="n">
        <v>0</v>
      </c>
      <c r="AS49" s="25" t="n">
        <v>0</v>
      </c>
      <c r="AT49" s="25" t="n">
        <v>0</v>
      </c>
      <c r="AU49" s="25" t="n">
        <v>0</v>
      </c>
      <c r="AV49" s="25" t="n">
        <v>0</v>
      </c>
      <c r="AW49" s="25" t="n">
        <v>0</v>
      </c>
      <c r="AX49" s="25" t="n">
        <v>0</v>
      </c>
      <c r="AY49" s="25" t="n">
        <v>0</v>
      </c>
      <c r="AZ49" s="25" t="n">
        <v>0</v>
      </c>
      <c r="BA49" s="25" t="n">
        <v>0</v>
      </c>
      <c r="BB49" s="25" t="n">
        <v>0</v>
      </c>
      <c r="BC49" s="25" t="n">
        <v>0</v>
      </c>
      <c r="BD49" s="25" t="n">
        <v>0</v>
      </c>
      <c r="BE49" s="25" t="n">
        <v>0</v>
      </c>
      <c r="BF49" s="25" t="n">
        <v>0</v>
      </c>
      <c r="BG49" s="25" t="n">
        <v>0</v>
      </c>
      <c r="BH49" s="25" t="n">
        <v>0</v>
      </c>
      <c r="BI49" s="25" t="n">
        <v>0</v>
      </c>
      <c r="BJ49" s="25" t="n">
        <v>0</v>
      </c>
      <c r="BK49" s="25" t="n">
        <v>0</v>
      </c>
      <c r="BL49" s="25" t="n">
        <v>0</v>
      </c>
      <c r="BM49" s="25" t="n">
        <v>0</v>
      </c>
      <c r="BN49" s="25" t="n">
        <v>0</v>
      </c>
      <c r="BO49" s="25" t="n">
        <v>0</v>
      </c>
      <c r="BP49" s="25" t="n">
        <v>0</v>
      </c>
      <c r="BQ49" s="25" t="n">
        <v>0</v>
      </c>
      <c r="BR49" s="25" t="n">
        <v>0</v>
      </c>
      <c r="BS49" s="25" t="n">
        <v>0</v>
      </c>
      <c r="BT49" s="25" t="n">
        <v>0</v>
      </c>
      <c r="BU49" s="25" t="n">
        <v>0</v>
      </c>
      <c r="BV49" s="25" t="n">
        <v>0</v>
      </c>
      <c r="BW49" s="25" t="n">
        <v>0</v>
      </c>
      <c r="BX49" s="25" t="n">
        <v>0</v>
      </c>
      <c r="BY49" s="25" t="n">
        <v>0</v>
      </c>
      <c r="BZ49" s="25" t="n">
        <v>0</v>
      </c>
      <c r="CA49" s="25" t="n">
        <v>0</v>
      </c>
      <c r="CB49" s="25" t="n">
        <v>0</v>
      </c>
      <c r="CC49" s="25" t="n">
        <v>0</v>
      </c>
      <c r="CD49" s="25" t="n">
        <v>0</v>
      </c>
      <c r="CE49" s="25" t="n">
        <v>0</v>
      </c>
      <c r="CF49" s="25" t="n">
        <v>0</v>
      </c>
      <c r="CG49" s="25" t="n">
        <v>0</v>
      </c>
      <c r="CH49" s="25" t="n">
        <v>0</v>
      </c>
      <c r="CI49" s="25" t="n">
        <v>0</v>
      </c>
      <c r="CJ49" s="25" t="n">
        <v>0</v>
      </c>
      <c r="CK49" s="25" t="n">
        <v>0</v>
      </c>
      <c r="CL49" s="25" t="n">
        <v>0</v>
      </c>
      <c r="CM49" s="25" t="n">
        <v>0</v>
      </c>
      <c r="CN49" s="25" t="n">
        <v>0</v>
      </c>
      <c r="CO49" s="25" t="n">
        <v>0</v>
      </c>
      <c r="CP49" s="25" t="n">
        <v>0</v>
      </c>
      <c r="CQ49" s="25" t="n">
        <v>0</v>
      </c>
      <c r="CR49" s="25" t="n">
        <v>0</v>
      </c>
      <c r="CS49" s="25" t="n">
        <v>0</v>
      </c>
      <c r="CT49" s="25" t="n">
        <v>0</v>
      </c>
      <c r="CU49" s="25" t="n">
        <v>0</v>
      </c>
      <c r="CV49" s="25" t="n">
        <v>0</v>
      </c>
      <c r="CW49" s="25" t="n">
        <v>0</v>
      </c>
      <c r="CX49" s="25" t="n">
        <v>0</v>
      </c>
      <c r="CY49" s="25" t="n">
        <v>0</v>
      </c>
      <c r="CZ49" s="25" t="n">
        <v>0</v>
      </c>
      <c r="DA49" s="25" t="n">
        <v>0</v>
      </c>
    </row>
    <row r="50">
      <c r="A50" t="inlineStr">
        <is>
          <t>TSP-937</t>
        </is>
      </c>
      <c r="B50" s="25" t="n">
        <v>0</v>
      </c>
      <c r="C50" s="25" t="n">
        <v>0</v>
      </c>
      <c r="D50" s="25" t="n">
        <v>0</v>
      </c>
      <c r="E50" s="25" t="n">
        <v>0</v>
      </c>
      <c r="F50" s="25" t="n">
        <v>0</v>
      </c>
      <c r="G50" s="25" t="n">
        <v>0</v>
      </c>
      <c r="H50" s="25" t="n">
        <v>0</v>
      </c>
      <c r="I50" s="25" t="n">
        <v>0</v>
      </c>
      <c r="J50" s="25" t="n">
        <v>0</v>
      </c>
      <c r="K50" s="25" t="n">
        <v>0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0</v>
      </c>
      <c r="Q50" s="25" t="n">
        <v>0</v>
      </c>
      <c r="R50" s="25" t="n">
        <v>0</v>
      </c>
      <c r="S50" s="25" t="n">
        <v>0</v>
      </c>
      <c r="T50" s="25" t="n">
        <v>0</v>
      </c>
      <c r="U50" s="25" t="n">
        <v>0</v>
      </c>
      <c r="V50" s="25" t="n">
        <v>0</v>
      </c>
      <c r="W50" s="25" t="n">
        <v>0</v>
      </c>
      <c r="X50" s="25" t="n">
        <v>1.239039250313827</v>
      </c>
      <c r="Y50" s="25" t="n">
        <v>0</v>
      </c>
      <c r="Z50" s="25" t="n">
        <v>0</v>
      </c>
      <c r="AA50" s="25" t="n">
        <v>0</v>
      </c>
      <c r="AB50" s="25" t="n">
        <v>0</v>
      </c>
      <c r="AC50" s="25" t="n">
        <v>0</v>
      </c>
      <c r="AD50" s="25" t="n">
        <v>1.239039250313827</v>
      </c>
      <c r="AE50" s="25" t="n">
        <v>0</v>
      </c>
      <c r="AF50" s="25" t="n">
        <v>0</v>
      </c>
      <c r="AG50" s="25" t="n">
        <v>1.239039250313827</v>
      </c>
      <c r="AH50" s="25" t="n">
        <v>0</v>
      </c>
      <c r="AI50" s="25" t="n">
        <v>0</v>
      </c>
      <c r="AJ50" s="25" t="n">
        <v>1.239039250313827</v>
      </c>
      <c r="AK50" s="25" t="n">
        <v>0</v>
      </c>
      <c r="AL50" s="25" t="n">
        <v>0</v>
      </c>
      <c r="AM50" s="25" t="n">
        <v>0</v>
      </c>
      <c r="AN50" s="25" t="n">
        <v>0</v>
      </c>
      <c r="AO50" s="25" t="n">
        <v>1.239039250313827</v>
      </c>
      <c r="AP50" s="25" t="n">
        <v>0</v>
      </c>
      <c r="AQ50" s="25" t="n">
        <v>0</v>
      </c>
      <c r="AR50" s="25" t="n">
        <v>0</v>
      </c>
      <c r="AS50" s="25" t="n">
        <v>1.239039250313827</v>
      </c>
      <c r="AT50" s="25" t="n">
        <v>0</v>
      </c>
      <c r="AU50" s="25" t="n">
        <v>0</v>
      </c>
      <c r="AV50" s="25" t="n">
        <v>0</v>
      </c>
      <c r="AW50" s="25" t="n">
        <v>0</v>
      </c>
      <c r="AX50" s="25" t="n">
        <v>0</v>
      </c>
      <c r="AY50" s="25" t="n">
        <v>0</v>
      </c>
      <c r="AZ50" s="25" t="n">
        <v>0</v>
      </c>
      <c r="BA50" s="25" t="n">
        <v>0</v>
      </c>
      <c r="BB50" s="25" t="n">
        <v>0</v>
      </c>
      <c r="BC50" s="25" t="n">
        <v>0</v>
      </c>
      <c r="BD50" s="25" t="n">
        <v>0</v>
      </c>
      <c r="BE50" s="25" t="n">
        <v>0</v>
      </c>
      <c r="BF50" s="25" t="n">
        <v>0</v>
      </c>
      <c r="BG50" s="25" t="n">
        <v>0</v>
      </c>
      <c r="BH50" s="25" t="n">
        <v>0</v>
      </c>
      <c r="BI50" s="25" t="n">
        <v>0</v>
      </c>
      <c r="BJ50" s="25" t="n">
        <v>0</v>
      </c>
      <c r="BK50" s="25" t="n">
        <v>0</v>
      </c>
      <c r="BL50" s="25" t="n">
        <v>0</v>
      </c>
      <c r="BM50" s="25" t="n">
        <v>0</v>
      </c>
      <c r="BN50" s="25" t="n">
        <v>0</v>
      </c>
      <c r="BO50" s="25" t="n">
        <v>0</v>
      </c>
      <c r="BP50" s="25" t="n">
        <v>0</v>
      </c>
      <c r="BQ50" s="25" t="n">
        <v>0</v>
      </c>
      <c r="BR50" s="25" t="n">
        <v>0</v>
      </c>
      <c r="BS50" s="25" t="n">
        <v>0</v>
      </c>
      <c r="BT50" s="25" t="n">
        <v>0</v>
      </c>
      <c r="BU50" s="25" t="n">
        <v>0</v>
      </c>
      <c r="BV50" s="25" t="n">
        <v>0</v>
      </c>
      <c r="BW50" s="25" t="n">
        <v>0</v>
      </c>
      <c r="BX50" s="25" t="n">
        <v>0</v>
      </c>
      <c r="BY50" s="25" t="n">
        <v>0</v>
      </c>
      <c r="BZ50" s="25" t="n">
        <v>0</v>
      </c>
      <c r="CA50" s="25" t="n">
        <v>0</v>
      </c>
      <c r="CB50" s="25" t="n">
        <v>0</v>
      </c>
      <c r="CC50" s="25" t="n">
        <v>0</v>
      </c>
      <c r="CD50" s="25" t="n">
        <v>0</v>
      </c>
      <c r="CE50" s="25" t="n">
        <v>0</v>
      </c>
      <c r="CF50" s="25" t="n">
        <v>0</v>
      </c>
      <c r="CG50" s="25" t="n">
        <v>0</v>
      </c>
      <c r="CH50" s="25" t="n">
        <v>0</v>
      </c>
      <c r="CI50" s="25" t="n">
        <v>0</v>
      </c>
      <c r="CJ50" s="25" t="n">
        <v>0</v>
      </c>
      <c r="CK50" s="25" t="n">
        <v>0</v>
      </c>
      <c r="CL50" s="25" t="n">
        <v>0</v>
      </c>
      <c r="CM50" s="25" t="n">
        <v>0</v>
      </c>
      <c r="CN50" s="25" t="n">
        <v>0</v>
      </c>
      <c r="CO50" s="25" t="n">
        <v>0</v>
      </c>
      <c r="CP50" s="25" t="n">
        <v>0</v>
      </c>
      <c r="CQ50" s="25" t="n">
        <v>0</v>
      </c>
      <c r="CR50" s="25" t="n">
        <v>0</v>
      </c>
      <c r="CS50" s="25" t="n">
        <v>0</v>
      </c>
      <c r="CT50" s="25" t="n">
        <v>0</v>
      </c>
      <c r="CU50" s="25" t="n">
        <v>0</v>
      </c>
      <c r="CV50" s="25" t="n">
        <v>0</v>
      </c>
      <c r="CW50" s="25" t="n">
        <v>0</v>
      </c>
      <c r="CX50" s="25" t="n">
        <v>0</v>
      </c>
      <c r="CY50" s="25" t="n">
        <v>0</v>
      </c>
      <c r="CZ50" s="25" t="n">
        <v>0</v>
      </c>
      <c r="DA50" s="25" t="n">
        <v>0</v>
      </c>
    </row>
    <row r="51">
      <c r="A51" t="inlineStr">
        <is>
          <t>TSP-959</t>
        </is>
      </c>
      <c r="B51" s="25" t="n">
        <v>0</v>
      </c>
      <c r="C51" s="25" t="n">
        <v>0</v>
      </c>
      <c r="D51" s="25" t="n">
        <v>0</v>
      </c>
      <c r="E51" s="25" t="n">
        <v>0</v>
      </c>
      <c r="F51" s="25" t="n">
        <v>0</v>
      </c>
      <c r="G51" s="25" t="n">
        <v>0</v>
      </c>
      <c r="H51" s="25" t="n">
        <v>0</v>
      </c>
      <c r="I51" s="25" t="n">
        <v>0</v>
      </c>
      <c r="J51" s="25" t="n">
        <v>0</v>
      </c>
      <c r="K51" s="25" t="n">
        <v>0</v>
      </c>
      <c r="L51" s="25" t="n">
        <v>0</v>
      </c>
      <c r="M51" s="25" t="n">
        <v>0</v>
      </c>
      <c r="N51" s="25" t="n">
        <v>0</v>
      </c>
      <c r="O51" s="25" t="n">
        <v>0</v>
      </c>
      <c r="P51" s="25" t="n">
        <v>0</v>
      </c>
      <c r="Q51" s="25" t="n">
        <v>0</v>
      </c>
      <c r="R51" s="25" t="n">
        <v>0</v>
      </c>
      <c r="S51" s="25" t="n">
        <v>0</v>
      </c>
      <c r="T51" s="25" t="n">
        <v>0</v>
      </c>
      <c r="U51" s="25" t="n">
        <v>0</v>
      </c>
      <c r="V51" s="25" t="n">
        <v>0</v>
      </c>
      <c r="W51" s="25" t="n">
        <v>0</v>
      </c>
      <c r="X51" s="25" t="n">
        <v>4.682540897586271</v>
      </c>
      <c r="Y51" s="25" t="n">
        <v>4.682540897586271</v>
      </c>
      <c r="Z51" s="25" t="n">
        <v>0</v>
      </c>
      <c r="AA51" s="25" t="n">
        <v>5.619049077103525</v>
      </c>
      <c r="AB51" s="25" t="n">
        <v>3.746032718069016</v>
      </c>
      <c r="AC51" s="25" t="n">
        <v>4.682540897586271</v>
      </c>
      <c r="AD51" s="25" t="n">
        <v>4.682540897586271</v>
      </c>
      <c r="AE51" s="25" t="n">
        <v>2.341270448793135</v>
      </c>
      <c r="AF51" s="25" t="n">
        <v>2.341270448793135</v>
      </c>
      <c r="AG51" s="25" t="n">
        <v>4.682540897586271</v>
      </c>
      <c r="AH51" s="25" t="n">
        <v>4.682540897586271</v>
      </c>
      <c r="AI51" s="25" t="n">
        <v>4.682540897586271</v>
      </c>
      <c r="AJ51" s="25" t="n">
        <v>4.682540897586271</v>
      </c>
      <c r="AK51" s="25" t="n">
        <v>4.682540897586271</v>
      </c>
      <c r="AL51" s="25" t="n">
        <v>4.682540897586271</v>
      </c>
      <c r="AM51" s="25" t="n">
        <v>4.682540897586271</v>
      </c>
      <c r="AN51" s="25" t="n">
        <v>2.341270448793135</v>
      </c>
      <c r="AO51" s="25" t="n">
        <v>2.341270448793135</v>
      </c>
      <c r="AP51" s="25" t="n">
        <v>4.682540897586271</v>
      </c>
      <c r="AQ51" s="25" t="n">
        <v>4.682540897586271</v>
      </c>
      <c r="AR51" s="25" t="n">
        <v>4.682540897586271</v>
      </c>
      <c r="AS51" s="25" t="n">
        <v>4.682540897586271</v>
      </c>
      <c r="AT51" s="25" t="n">
        <v>7.023811346379405</v>
      </c>
      <c r="AU51" s="25" t="n">
        <v>7.023811346379405</v>
      </c>
      <c r="AV51" s="25" t="n">
        <v>7.023811346379405</v>
      </c>
      <c r="AW51" s="25" t="n">
        <v>7.023811346379405</v>
      </c>
      <c r="AX51" s="25" t="n">
        <v>4.682540897586271</v>
      </c>
      <c r="AY51" s="25" t="n">
        <v>4.682540897586271</v>
      </c>
      <c r="AZ51" s="25" t="n">
        <v>2.341270448793135</v>
      </c>
      <c r="BA51" s="25" t="n">
        <v>0</v>
      </c>
      <c r="BB51" s="25" t="n">
        <v>0</v>
      </c>
      <c r="BC51" s="25" t="n">
        <v>4.682540897586271</v>
      </c>
      <c r="BD51" s="25" t="n">
        <v>4.682540897586271</v>
      </c>
      <c r="BE51" s="25" t="n">
        <v>4.682540897586271</v>
      </c>
      <c r="BF51" s="25" t="n">
        <v>4.682540897586271</v>
      </c>
      <c r="BG51" s="25" t="n">
        <v>4.682540897586271</v>
      </c>
      <c r="BH51" s="25" t="n">
        <v>4.682540897586271</v>
      </c>
      <c r="BI51" s="25" t="n">
        <v>4.682540897586271</v>
      </c>
      <c r="BJ51" s="25" t="n">
        <v>4.682540897586271</v>
      </c>
      <c r="BK51" s="25" t="n">
        <v>4.682540897586271</v>
      </c>
      <c r="BL51" s="25" t="n">
        <v>0</v>
      </c>
      <c r="BM51" s="25" t="n">
        <v>4.682540897586271</v>
      </c>
      <c r="BN51" s="25" t="n">
        <v>0</v>
      </c>
      <c r="BO51" s="25" t="n">
        <v>2.341270448793135</v>
      </c>
      <c r="BP51" s="25" t="n">
        <v>2.341270448793135</v>
      </c>
      <c r="BQ51" s="25" t="n">
        <v>2.341270448793135</v>
      </c>
      <c r="BR51" s="25" t="n">
        <v>2.341270448793135</v>
      </c>
      <c r="BS51" s="25" t="n">
        <v>0</v>
      </c>
      <c r="BT51" s="25" t="n">
        <v>2.341270448793135</v>
      </c>
      <c r="BU51" s="25" t="n">
        <v>2.341270448793135</v>
      </c>
      <c r="BV51" s="25" t="n">
        <v>2.341270448793135</v>
      </c>
      <c r="BW51" s="25" t="n">
        <v>2.341270448793135</v>
      </c>
      <c r="BX51" s="25" t="n">
        <v>0</v>
      </c>
      <c r="BY51" s="25" t="n">
        <v>0</v>
      </c>
      <c r="BZ51" s="25" t="n">
        <v>0</v>
      </c>
      <c r="CA51" s="25" t="n">
        <v>0</v>
      </c>
      <c r="CB51" s="25" t="n">
        <v>0</v>
      </c>
      <c r="CC51" s="25" t="n">
        <v>0</v>
      </c>
      <c r="CD51" s="25" t="n">
        <v>0</v>
      </c>
      <c r="CE51" s="25" t="n">
        <v>0</v>
      </c>
      <c r="CF51" s="25" t="n">
        <v>0</v>
      </c>
      <c r="CG51" s="25" t="n">
        <v>0</v>
      </c>
      <c r="CH51" s="25" t="n">
        <v>0</v>
      </c>
      <c r="CI51" s="25" t="n">
        <v>0</v>
      </c>
      <c r="CJ51" s="25" t="n">
        <v>0</v>
      </c>
      <c r="CK51" s="25" t="n">
        <v>0</v>
      </c>
      <c r="CL51" s="25" t="n">
        <v>0</v>
      </c>
      <c r="CM51" s="25" t="n">
        <v>0</v>
      </c>
      <c r="CN51" s="25" t="n">
        <v>0</v>
      </c>
      <c r="CO51" s="25" t="n">
        <v>0</v>
      </c>
      <c r="CP51" s="25" t="n">
        <v>0</v>
      </c>
      <c r="CQ51" s="25" t="n">
        <v>0</v>
      </c>
      <c r="CR51" s="25" t="n">
        <v>0</v>
      </c>
      <c r="CS51" s="25" t="n">
        <v>0</v>
      </c>
      <c r="CT51" s="25" t="n">
        <v>0</v>
      </c>
      <c r="CU51" s="25" t="n">
        <v>0</v>
      </c>
      <c r="CV51" s="25" t="n">
        <v>0</v>
      </c>
      <c r="CW51" s="25" t="n">
        <v>0</v>
      </c>
      <c r="CX51" s="25" t="n">
        <v>0</v>
      </c>
      <c r="CY51" s="25" t="n">
        <v>0</v>
      </c>
      <c r="CZ51" s="25" t="n">
        <v>0</v>
      </c>
      <c r="DA51" s="25" t="n">
        <v>0</v>
      </c>
    </row>
    <row r="52">
      <c r="A52" t="inlineStr">
        <is>
          <t>TSP-966</t>
        </is>
      </c>
      <c r="B52" s="25" t="n">
        <v>0</v>
      </c>
      <c r="C52" s="25" t="n">
        <v>0</v>
      </c>
      <c r="D52" s="25" t="n">
        <v>0</v>
      </c>
      <c r="E52" s="25" t="n">
        <v>0</v>
      </c>
      <c r="F52" s="25" t="n">
        <v>0</v>
      </c>
      <c r="G52" s="25" t="n">
        <v>0</v>
      </c>
      <c r="H52" s="25" t="n">
        <v>0</v>
      </c>
      <c r="I52" s="25" t="n">
        <v>0</v>
      </c>
      <c r="J52" s="25" t="n">
        <v>0</v>
      </c>
      <c r="K52" s="25" t="n">
        <v>0</v>
      </c>
      <c r="L52" s="25" t="n">
        <v>0</v>
      </c>
      <c r="M52" s="25" t="n">
        <v>0</v>
      </c>
      <c r="N52" s="25" t="n">
        <v>0</v>
      </c>
      <c r="O52" s="25" t="n">
        <v>0</v>
      </c>
      <c r="P52" s="25" t="n">
        <v>0</v>
      </c>
      <c r="Q52" s="25" t="n">
        <v>0</v>
      </c>
      <c r="R52" s="25" t="n">
        <v>0</v>
      </c>
      <c r="S52" s="25" t="n">
        <v>0</v>
      </c>
      <c r="T52" s="25" t="n">
        <v>0</v>
      </c>
      <c r="U52" s="25" t="n">
        <v>0</v>
      </c>
      <c r="V52" s="25" t="n">
        <v>0</v>
      </c>
      <c r="W52" s="25" t="n">
        <v>0</v>
      </c>
      <c r="X52" s="25" t="n">
        <v>3.986454051712438</v>
      </c>
      <c r="Y52" s="25" t="n">
        <v>3.986454051712438</v>
      </c>
      <c r="Z52" s="25" t="n">
        <v>0</v>
      </c>
      <c r="AA52" s="25" t="n">
        <v>4.783744862054926</v>
      </c>
      <c r="AB52" s="25" t="n">
        <v>3.18916324136995</v>
      </c>
      <c r="AC52" s="25" t="n">
        <v>3.986454051712438</v>
      </c>
      <c r="AD52" s="25" t="n">
        <v>3.986454051712438</v>
      </c>
      <c r="AE52" s="25" t="n">
        <v>1.993227025856219</v>
      </c>
      <c r="AF52" s="25" t="n">
        <v>1.993227025856219</v>
      </c>
      <c r="AG52" s="25" t="n">
        <v>3.986454051712438</v>
      </c>
      <c r="AH52" s="25" t="n">
        <v>3.986454051712438</v>
      </c>
      <c r="AI52" s="25" t="n">
        <v>3.986454051712438</v>
      </c>
      <c r="AJ52" s="25" t="n">
        <v>3.986454051712438</v>
      </c>
      <c r="AK52" s="25" t="n">
        <v>3.986454051712438</v>
      </c>
      <c r="AL52" s="25" t="n">
        <v>3.986454051712438</v>
      </c>
      <c r="AM52" s="25" t="n">
        <v>3.986454051712438</v>
      </c>
      <c r="AN52" s="25" t="n">
        <v>1.993227025856219</v>
      </c>
      <c r="AO52" s="25" t="n">
        <v>1.993227025856219</v>
      </c>
      <c r="AP52" s="25" t="n">
        <v>3.986454051712438</v>
      </c>
      <c r="AQ52" s="25" t="n">
        <v>3.986454051712438</v>
      </c>
      <c r="AR52" s="25" t="n">
        <v>3.986454051712438</v>
      </c>
      <c r="AS52" s="25" t="n">
        <v>3.986454051712438</v>
      </c>
      <c r="AT52" s="25" t="n">
        <v>5.979681077568658</v>
      </c>
      <c r="AU52" s="25" t="n">
        <v>5.979681077568658</v>
      </c>
      <c r="AV52" s="25" t="n">
        <v>5.979681077568658</v>
      </c>
      <c r="AW52" s="25" t="n">
        <v>5.979681077568658</v>
      </c>
      <c r="AX52" s="25" t="n">
        <v>3.986454051712438</v>
      </c>
      <c r="AY52" s="25" t="n">
        <v>3.986454051712438</v>
      </c>
      <c r="AZ52" s="25" t="n">
        <v>1.993227025856219</v>
      </c>
      <c r="BA52" s="25" t="n">
        <v>0</v>
      </c>
      <c r="BB52" s="25" t="n">
        <v>0</v>
      </c>
      <c r="BC52" s="25" t="n">
        <v>3.986454051712438</v>
      </c>
      <c r="BD52" s="25" t="n">
        <v>3.986454051712438</v>
      </c>
      <c r="BE52" s="25" t="n">
        <v>3.986454051712438</v>
      </c>
      <c r="BF52" s="25" t="n">
        <v>3.986454051712438</v>
      </c>
      <c r="BG52" s="25" t="n">
        <v>3.986454051712438</v>
      </c>
      <c r="BH52" s="25" t="n">
        <v>3.986454051712438</v>
      </c>
      <c r="BI52" s="25" t="n">
        <v>3.986454051712438</v>
      </c>
      <c r="BJ52" s="25" t="n">
        <v>3.986454051712438</v>
      </c>
      <c r="BK52" s="25" t="n">
        <v>3.986454051712438</v>
      </c>
      <c r="BL52" s="25" t="n">
        <v>0</v>
      </c>
      <c r="BM52" s="25" t="n">
        <v>3.986454051712438</v>
      </c>
      <c r="BN52" s="25" t="n">
        <v>0</v>
      </c>
      <c r="BO52" s="25" t="n">
        <v>1.993227025856219</v>
      </c>
      <c r="BP52" s="25" t="n">
        <v>1.993227025856219</v>
      </c>
      <c r="BQ52" s="25" t="n">
        <v>1.993227025856219</v>
      </c>
      <c r="BR52" s="25" t="n">
        <v>1.993227025856219</v>
      </c>
      <c r="BS52" s="25" t="n">
        <v>0</v>
      </c>
      <c r="BT52" s="25" t="n">
        <v>1.993227025856219</v>
      </c>
      <c r="BU52" s="25" t="n">
        <v>1.993227025856219</v>
      </c>
      <c r="BV52" s="25" t="n">
        <v>1.993227025856219</v>
      </c>
      <c r="BW52" s="25" t="n">
        <v>1.993227025856219</v>
      </c>
      <c r="BX52" s="25" t="n">
        <v>0</v>
      </c>
      <c r="BY52" s="25" t="n">
        <v>0</v>
      </c>
      <c r="BZ52" s="25" t="n">
        <v>0</v>
      </c>
      <c r="CA52" s="25" t="n">
        <v>0</v>
      </c>
      <c r="CB52" s="25" t="n">
        <v>0</v>
      </c>
      <c r="CC52" s="25" t="n">
        <v>0</v>
      </c>
      <c r="CD52" s="25" t="n">
        <v>0</v>
      </c>
      <c r="CE52" s="25" t="n">
        <v>0</v>
      </c>
      <c r="CF52" s="25" t="n">
        <v>0</v>
      </c>
      <c r="CG52" s="25" t="n">
        <v>0</v>
      </c>
      <c r="CH52" s="25" t="n">
        <v>0</v>
      </c>
      <c r="CI52" s="25" t="n">
        <v>0</v>
      </c>
      <c r="CJ52" s="25" t="n">
        <v>0</v>
      </c>
      <c r="CK52" s="25" t="n">
        <v>0</v>
      </c>
      <c r="CL52" s="25" t="n">
        <v>0</v>
      </c>
      <c r="CM52" s="25" t="n">
        <v>0</v>
      </c>
      <c r="CN52" s="25" t="n">
        <v>0</v>
      </c>
      <c r="CO52" s="25" t="n">
        <v>0</v>
      </c>
      <c r="CP52" s="25" t="n">
        <v>0</v>
      </c>
      <c r="CQ52" s="25" t="n">
        <v>0</v>
      </c>
      <c r="CR52" s="25" t="n">
        <v>0</v>
      </c>
      <c r="CS52" s="25" t="n">
        <v>0</v>
      </c>
      <c r="CT52" s="25" t="n">
        <v>0</v>
      </c>
      <c r="CU52" s="25" t="n">
        <v>0</v>
      </c>
      <c r="CV52" s="25" t="n">
        <v>0</v>
      </c>
      <c r="CW52" s="25" t="n">
        <v>0</v>
      </c>
      <c r="CX52" s="25" t="n">
        <v>0</v>
      </c>
      <c r="CY52" s="25" t="n">
        <v>0</v>
      </c>
      <c r="CZ52" s="25" t="n">
        <v>0</v>
      </c>
      <c r="DA52" s="25" t="n">
        <v>0</v>
      </c>
    </row>
    <row r="53">
      <c r="A53" t="inlineStr">
        <is>
          <t>TSZ-616</t>
        </is>
      </c>
      <c r="B53" s="25" t="n">
        <v>0</v>
      </c>
      <c r="C53" s="25" t="n">
        <v>0</v>
      </c>
      <c r="D53" s="25" t="n">
        <v>0</v>
      </c>
      <c r="E53" s="25" t="n">
        <v>0</v>
      </c>
      <c r="F53" s="25" t="n">
        <v>0</v>
      </c>
      <c r="G53" s="25" t="n">
        <v>0</v>
      </c>
      <c r="H53" s="25" t="n">
        <v>0</v>
      </c>
      <c r="I53" s="25" t="n">
        <v>0</v>
      </c>
      <c r="J53" s="25" t="n">
        <v>0</v>
      </c>
      <c r="K53" s="25" t="n">
        <v>0</v>
      </c>
      <c r="L53" s="25" t="n">
        <v>0</v>
      </c>
      <c r="M53" s="25" t="n">
        <v>0</v>
      </c>
      <c r="N53" s="25" t="n">
        <v>0</v>
      </c>
      <c r="O53" s="25" t="n">
        <v>0</v>
      </c>
      <c r="P53" s="25" t="n">
        <v>0</v>
      </c>
      <c r="Q53" s="25" t="n">
        <v>0</v>
      </c>
      <c r="R53" s="25" t="n">
        <v>0</v>
      </c>
      <c r="S53" s="25" t="n">
        <v>0</v>
      </c>
      <c r="T53" s="25" t="n">
        <v>0</v>
      </c>
      <c r="U53" s="25" t="n">
        <v>0</v>
      </c>
      <c r="V53" s="25" t="n">
        <v>0</v>
      </c>
      <c r="W53" s="25" t="n">
        <v>0</v>
      </c>
      <c r="X53" s="25" t="n">
        <v>0</v>
      </c>
      <c r="Y53" s="25" t="n">
        <v>0</v>
      </c>
      <c r="Z53" s="25" t="n">
        <v>0</v>
      </c>
      <c r="AA53" s="25" t="n">
        <v>0</v>
      </c>
      <c r="AB53" s="25" t="n">
        <v>0</v>
      </c>
      <c r="AC53" s="25" t="n">
        <v>0</v>
      </c>
      <c r="AD53" s="25" t="n">
        <v>0</v>
      </c>
      <c r="AE53" s="25" t="n">
        <v>0</v>
      </c>
      <c r="AF53" s="25" t="n">
        <v>0</v>
      </c>
      <c r="AG53" s="25" t="n">
        <v>0</v>
      </c>
      <c r="AH53" s="25" t="n">
        <v>0</v>
      </c>
      <c r="AI53" s="25" t="n">
        <v>0</v>
      </c>
      <c r="AJ53" s="25" t="n">
        <v>0</v>
      </c>
      <c r="AK53" s="25" t="n">
        <v>0</v>
      </c>
      <c r="AL53" s="25" t="n">
        <v>0</v>
      </c>
      <c r="AM53" s="25" t="n">
        <v>0</v>
      </c>
      <c r="AN53" s="25" t="n">
        <v>0</v>
      </c>
      <c r="AO53" s="25" t="n">
        <v>0</v>
      </c>
      <c r="AP53" s="25" t="n">
        <v>0</v>
      </c>
      <c r="AQ53" s="25" t="n">
        <v>0</v>
      </c>
      <c r="AR53" s="25" t="n">
        <v>0</v>
      </c>
      <c r="AS53" s="25" t="n">
        <v>0</v>
      </c>
      <c r="AT53" s="25" t="n">
        <v>0</v>
      </c>
      <c r="AU53" s="25" t="n">
        <v>0</v>
      </c>
      <c r="AV53" s="25" t="n">
        <v>0</v>
      </c>
      <c r="AW53" s="25" t="n">
        <v>0</v>
      </c>
      <c r="AX53" s="25" t="n">
        <v>0</v>
      </c>
      <c r="AY53" s="25" t="n">
        <v>0</v>
      </c>
      <c r="AZ53" s="25" t="n">
        <v>0</v>
      </c>
      <c r="BA53" s="25" t="n">
        <v>0</v>
      </c>
      <c r="BB53" s="25" t="n">
        <v>0</v>
      </c>
      <c r="BC53" s="25" t="n">
        <v>0</v>
      </c>
      <c r="BD53" s="25" t="n">
        <v>0</v>
      </c>
      <c r="BE53" s="25" t="n">
        <v>0</v>
      </c>
      <c r="BF53" s="25" t="n">
        <v>0</v>
      </c>
      <c r="BG53" s="25" t="n">
        <v>0</v>
      </c>
      <c r="BH53" s="25" t="n">
        <v>0</v>
      </c>
      <c r="BI53" s="25" t="n">
        <v>0</v>
      </c>
      <c r="BJ53" s="25" t="n">
        <v>0</v>
      </c>
      <c r="BK53" s="25" t="n">
        <v>0</v>
      </c>
      <c r="BL53" s="25" t="n">
        <v>0</v>
      </c>
      <c r="BM53" s="25" t="n">
        <v>0</v>
      </c>
      <c r="BN53" s="25" t="n">
        <v>0</v>
      </c>
      <c r="BO53" s="25" t="n">
        <v>0</v>
      </c>
      <c r="BP53" s="25" t="n">
        <v>0</v>
      </c>
      <c r="BQ53" s="25" t="n">
        <v>0</v>
      </c>
      <c r="BR53" s="25" t="n">
        <v>0</v>
      </c>
      <c r="BS53" s="25" t="n">
        <v>0</v>
      </c>
      <c r="BT53" s="25" t="n">
        <v>0</v>
      </c>
      <c r="BU53" s="25" t="n">
        <v>0</v>
      </c>
      <c r="BV53" s="25" t="n">
        <v>0</v>
      </c>
      <c r="BW53" s="25" t="n">
        <v>0</v>
      </c>
      <c r="BX53" s="25" t="n">
        <v>0</v>
      </c>
      <c r="BY53" s="25" t="n">
        <v>0</v>
      </c>
      <c r="BZ53" s="25" t="n">
        <v>0</v>
      </c>
      <c r="CA53" s="25" t="n">
        <v>0</v>
      </c>
      <c r="CB53" s="25" t="n">
        <v>0</v>
      </c>
      <c r="CC53" s="25" t="n">
        <v>0</v>
      </c>
      <c r="CD53" s="25" t="n">
        <v>0</v>
      </c>
      <c r="CE53" s="25" t="n">
        <v>0</v>
      </c>
      <c r="CF53" s="25" t="n">
        <v>0</v>
      </c>
      <c r="CG53" s="25" t="n">
        <v>0</v>
      </c>
      <c r="CH53" s="25" t="n">
        <v>0</v>
      </c>
      <c r="CI53" s="25" t="n">
        <v>0</v>
      </c>
      <c r="CJ53" s="25" t="n">
        <v>0</v>
      </c>
      <c r="CK53" s="25" t="n">
        <v>0</v>
      </c>
      <c r="CL53" s="25" t="n">
        <v>0</v>
      </c>
      <c r="CM53" s="25" t="n">
        <v>0</v>
      </c>
      <c r="CN53" s="25" t="n">
        <v>0</v>
      </c>
      <c r="CO53" s="25" t="n">
        <v>0</v>
      </c>
      <c r="CP53" s="25" t="n">
        <v>0</v>
      </c>
      <c r="CQ53" s="25" t="n">
        <v>0</v>
      </c>
      <c r="CR53" s="25" t="n">
        <v>0</v>
      </c>
      <c r="CS53" s="25" t="n">
        <v>0</v>
      </c>
      <c r="CT53" s="25" t="n">
        <v>0</v>
      </c>
      <c r="CU53" s="25" t="n">
        <v>0</v>
      </c>
      <c r="CV53" s="25" t="n">
        <v>0</v>
      </c>
      <c r="CW53" s="25" t="n">
        <v>0</v>
      </c>
      <c r="CX53" s="25" t="n">
        <v>0</v>
      </c>
      <c r="CY53" s="25" t="n">
        <v>0</v>
      </c>
      <c r="CZ53" s="25" t="n">
        <v>0</v>
      </c>
      <c r="DA53" s="25" t="n">
        <v>0</v>
      </c>
    </row>
    <row r="54">
      <c r="A54" t="inlineStr">
        <is>
          <t>TVS-267</t>
        </is>
      </c>
      <c r="B54" s="25" t="n">
        <v>0</v>
      </c>
      <c r="C54" s="25" t="n">
        <v>0</v>
      </c>
      <c r="D54" s="25" t="n">
        <v>0</v>
      </c>
      <c r="E54" s="25" t="n">
        <v>0</v>
      </c>
      <c r="F54" s="25" t="n">
        <v>0</v>
      </c>
      <c r="G54" s="25" t="n">
        <v>0</v>
      </c>
      <c r="H54" s="25" t="n">
        <v>0</v>
      </c>
      <c r="I54" s="25" t="n">
        <v>0</v>
      </c>
      <c r="J54" s="25" t="n">
        <v>0</v>
      </c>
      <c r="K54" s="25" t="n">
        <v>0</v>
      </c>
      <c r="L54" s="25" t="n">
        <v>0</v>
      </c>
      <c r="M54" s="25" t="n">
        <v>0</v>
      </c>
      <c r="N54" s="25" t="n">
        <v>0</v>
      </c>
      <c r="O54" s="25" t="n">
        <v>0</v>
      </c>
      <c r="P54" s="25" t="n">
        <v>0</v>
      </c>
      <c r="Q54" s="25" t="n">
        <v>0</v>
      </c>
      <c r="R54" s="25" t="n">
        <v>0</v>
      </c>
      <c r="S54" s="25" t="n">
        <v>0</v>
      </c>
      <c r="T54" s="25" t="n">
        <v>0</v>
      </c>
      <c r="U54" s="25" t="n">
        <v>0</v>
      </c>
      <c r="V54" s="25" t="n">
        <v>0</v>
      </c>
      <c r="W54" s="25" t="n">
        <v>0</v>
      </c>
      <c r="X54" s="25" t="n">
        <v>1.039041627515491</v>
      </c>
      <c r="Y54" s="25" t="n">
        <v>0</v>
      </c>
      <c r="Z54" s="25" t="n">
        <v>0</v>
      </c>
      <c r="AA54" s="25" t="n">
        <v>0</v>
      </c>
      <c r="AB54" s="25" t="n">
        <v>0</v>
      </c>
      <c r="AC54" s="25" t="n">
        <v>0</v>
      </c>
      <c r="AD54" s="25" t="n">
        <v>1.039041627515491</v>
      </c>
      <c r="AE54" s="25" t="n">
        <v>0</v>
      </c>
      <c r="AF54" s="25" t="n">
        <v>0</v>
      </c>
      <c r="AG54" s="25" t="n">
        <v>1.039041627515491</v>
      </c>
      <c r="AH54" s="25" t="n">
        <v>0</v>
      </c>
      <c r="AI54" s="25" t="n">
        <v>0</v>
      </c>
      <c r="AJ54" s="25" t="n">
        <v>1.039041627515491</v>
      </c>
      <c r="AK54" s="25" t="n">
        <v>0</v>
      </c>
      <c r="AL54" s="25" t="n">
        <v>0</v>
      </c>
      <c r="AM54" s="25" t="n">
        <v>0</v>
      </c>
      <c r="AN54" s="25" t="n">
        <v>0</v>
      </c>
      <c r="AO54" s="25" t="n">
        <v>1.039041627515491</v>
      </c>
      <c r="AP54" s="25" t="n">
        <v>0</v>
      </c>
      <c r="AQ54" s="25" t="n">
        <v>0</v>
      </c>
      <c r="AR54" s="25" t="n">
        <v>0</v>
      </c>
      <c r="AS54" s="25" t="n">
        <v>1.039041627515491</v>
      </c>
      <c r="AT54" s="25" t="n">
        <v>0</v>
      </c>
      <c r="AU54" s="25" t="n">
        <v>0</v>
      </c>
      <c r="AV54" s="25" t="n">
        <v>0</v>
      </c>
      <c r="AW54" s="25" t="n">
        <v>0</v>
      </c>
      <c r="AX54" s="25" t="n">
        <v>0</v>
      </c>
      <c r="AY54" s="25" t="n">
        <v>0</v>
      </c>
      <c r="AZ54" s="25" t="n">
        <v>0</v>
      </c>
      <c r="BA54" s="25" t="n">
        <v>0</v>
      </c>
      <c r="BB54" s="25" t="n">
        <v>0</v>
      </c>
      <c r="BC54" s="25" t="n">
        <v>0</v>
      </c>
      <c r="BD54" s="25" t="n">
        <v>0</v>
      </c>
      <c r="BE54" s="25" t="n">
        <v>0</v>
      </c>
      <c r="BF54" s="25" t="n">
        <v>0</v>
      </c>
      <c r="BG54" s="25" t="n">
        <v>0</v>
      </c>
      <c r="BH54" s="25" t="n">
        <v>0</v>
      </c>
      <c r="BI54" s="25" t="n">
        <v>0</v>
      </c>
      <c r="BJ54" s="25" t="n">
        <v>0</v>
      </c>
      <c r="BK54" s="25" t="n">
        <v>0</v>
      </c>
      <c r="BL54" s="25" t="n">
        <v>0</v>
      </c>
      <c r="BM54" s="25" t="n">
        <v>0</v>
      </c>
      <c r="BN54" s="25" t="n">
        <v>0</v>
      </c>
      <c r="BO54" s="25" t="n">
        <v>0</v>
      </c>
      <c r="BP54" s="25" t="n">
        <v>0</v>
      </c>
      <c r="BQ54" s="25" t="n">
        <v>0</v>
      </c>
      <c r="BR54" s="25" t="n">
        <v>0</v>
      </c>
      <c r="BS54" s="25" t="n">
        <v>0</v>
      </c>
      <c r="BT54" s="25" t="n">
        <v>0</v>
      </c>
      <c r="BU54" s="25" t="n">
        <v>0</v>
      </c>
      <c r="BV54" s="25" t="n">
        <v>0</v>
      </c>
      <c r="BW54" s="25" t="n">
        <v>0</v>
      </c>
      <c r="BX54" s="25" t="n">
        <v>0</v>
      </c>
      <c r="BY54" s="25" t="n">
        <v>0</v>
      </c>
      <c r="BZ54" s="25" t="n">
        <v>0</v>
      </c>
      <c r="CA54" s="25" t="n">
        <v>0</v>
      </c>
      <c r="CB54" s="25" t="n">
        <v>0</v>
      </c>
      <c r="CC54" s="25" t="n">
        <v>0</v>
      </c>
      <c r="CD54" s="25" t="n">
        <v>0</v>
      </c>
      <c r="CE54" s="25" t="n">
        <v>0</v>
      </c>
      <c r="CF54" s="25" t="n">
        <v>0</v>
      </c>
      <c r="CG54" s="25" t="n">
        <v>0</v>
      </c>
      <c r="CH54" s="25" t="n">
        <v>0</v>
      </c>
      <c r="CI54" s="25" t="n">
        <v>0</v>
      </c>
      <c r="CJ54" s="25" t="n">
        <v>0</v>
      </c>
      <c r="CK54" s="25" t="n">
        <v>0</v>
      </c>
      <c r="CL54" s="25" t="n">
        <v>0</v>
      </c>
      <c r="CM54" s="25" t="n">
        <v>0</v>
      </c>
      <c r="CN54" s="25" t="n">
        <v>0</v>
      </c>
      <c r="CO54" s="25" t="n">
        <v>0</v>
      </c>
      <c r="CP54" s="25" t="n">
        <v>0</v>
      </c>
      <c r="CQ54" s="25" t="n">
        <v>0</v>
      </c>
      <c r="CR54" s="25" t="n">
        <v>0</v>
      </c>
      <c r="CS54" s="25" t="n">
        <v>0</v>
      </c>
      <c r="CT54" s="25" t="n">
        <v>0</v>
      </c>
      <c r="CU54" s="25" t="n">
        <v>0</v>
      </c>
      <c r="CV54" s="25" t="n">
        <v>0</v>
      </c>
      <c r="CW54" s="25" t="n">
        <v>0</v>
      </c>
      <c r="CX54" s="25" t="n">
        <v>0</v>
      </c>
      <c r="CY54" s="25" t="n">
        <v>0</v>
      </c>
      <c r="CZ54" s="25" t="n">
        <v>0</v>
      </c>
      <c r="DA54" s="25" t="n">
        <v>0</v>
      </c>
    </row>
    <row r="55">
      <c r="A55" t="inlineStr">
        <is>
          <t>TVS-500</t>
        </is>
      </c>
      <c r="B55" s="25" t="n">
        <v>0</v>
      </c>
      <c r="C55" s="25" t="n">
        <v>0</v>
      </c>
      <c r="D55" s="25" t="n">
        <v>0</v>
      </c>
      <c r="E55" s="25" t="n">
        <v>0</v>
      </c>
      <c r="F55" s="25" t="n">
        <v>0</v>
      </c>
      <c r="G55" s="25" t="n">
        <v>0</v>
      </c>
      <c r="H55" s="25" t="n">
        <v>0</v>
      </c>
      <c r="I55" s="25" t="n">
        <v>0</v>
      </c>
      <c r="J55" s="25" t="n">
        <v>0</v>
      </c>
      <c r="K55" s="25" t="n">
        <v>0</v>
      </c>
      <c r="L55" s="25" t="n">
        <v>0</v>
      </c>
      <c r="M55" s="25" t="n">
        <v>0</v>
      </c>
      <c r="N55" s="25" t="n">
        <v>0</v>
      </c>
      <c r="O55" s="25" t="n">
        <v>0</v>
      </c>
      <c r="P55" s="25" t="n">
        <v>0</v>
      </c>
      <c r="Q55" s="25" t="n">
        <v>0</v>
      </c>
      <c r="R55" s="25" t="n">
        <v>0</v>
      </c>
      <c r="S55" s="25" t="n">
        <v>0</v>
      </c>
      <c r="T55" s="25" t="n">
        <v>0</v>
      </c>
      <c r="U55" s="25" t="n">
        <v>0</v>
      </c>
      <c r="V55" s="25" t="n">
        <v>0</v>
      </c>
      <c r="W55" s="25" t="n">
        <v>0</v>
      </c>
      <c r="X55" s="25" t="n">
        <v>0</v>
      </c>
      <c r="Y55" s="25" t="n">
        <v>0</v>
      </c>
      <c r="Z55" s="25" t="n">
        <v>0</v>
      </c>
      <c r="AA55" s="25" t="n">
        <v>0</v>
      </c>
      <c r="AB55" s="25" t="n">
        <v>0</v>
      </c>
      <c r="AC55" s="25" t="n">
        <v>0</v>
      </c>
      <c r="AD55" s="25" t="n">
        <v>0</v>
      </c>
      <c r="AE55" s="25" t="n">
        <v>0</v>
      </c>
      <c r="AF55" s="25" t="n">
        <v>0</v>
      </c>
      <c r="AG55" s="25" t="n">
        <v>0</v>
      </c>
      <c r="AH55" s="25" t="n">
        <v>0</v>
      </c>
      <c r="AI55" s="25" t="n">
        <v>0</v>
      </c>
      <c r="AJ55" s="25" t="n">
        <v>0</v>
      </c>
      <c r="AK55" s="25" t="n">
        <v>0</v>
      </c>
      <c r="AL55" s="25" t="n">
        <v>0</v>
      </c>
      <c r="AM55" s="25" t="n">
        <v>0</v>
      </c>
      <c r="AN55" s="25" t="n">
        <v>0</v>
      </c>
      <c r="AO55" s="25" t="n">
        <v>0</v>
      </c>
      <c r="AP55" s="25" t="n">
        <v>0</v>
      </c>
      <c r="AQ55" s="25" t="n">
        <v>0</v>
      </c>
      <c r="AR55" s="25" t="n">
        <v>0</v>
      </c>
      <c r="AS55" s="25" t="n">
        <v>0</v>
      </c>
      <c r="AT55" s="25" t="n">
        <v>0</v>
      </c>
      <c r="AU55" s="25" t="n">
        <v>0</v>
      </c>
      <c r="AV55" s="25" t="n">
        <v>0</v>
      </c>
      <c r="AW55" s="25" t="n">
        <v>0</v>
      </c>
      <c r="AX55" s="25" t="n">
        <v>0</v>
      </c>
      <c r="AY55" s="25" t="n">
        <v>0</v>
      </c>
      <c r="AZ55" s="25" t="n">
        <v>0</v>
      </c>
      <c r="BA55" s="25" t="n">
        <v>0</v>
      </c>
      <c r="BB55" s="25" t="n">
        <v>0</v>
      </c>
      <c r="BC55" s="25" t="n">
        <v>0</v>
      </c>
      <c r="BD55" s="25" t="n">
        <v>0</v>
      </c>
      <c r="BE55" s="25" t="n">
        <v>0</v>
      </c>
      <c r="BF55" s="25" t="n">
        <v>0</v>
      </c>
      <c r="BG55" s="25" t="n">
        <v>0</v>
      </c>
      <c r="BH55" s="25" t="n">
        <v>0</v>
      </c>
      <c r="BI55" s="25" t="n">
        <v>0</v>
      </c>
      <c r="BJ55" s="25" t="n">
        <v>0</v>
      </c>
      <c r="BK55" s="25" t="n">
        <v>0</v>
      </c>
      <c r="BL55" s="25" t="n">
        <v>0</v>
      </c>
      <c r="BM55" s="25" t="n">
        <v>0</v>
      </c>
      <c r="BN55" s="25" t="n">
        <v>0</v>
      </c>
      <c r="BO55" s="25" t="n">
        <v>0</v>
      </c>
      <c r="BP55" s="25" t="n">
        <v>0</v>
      </c>
      <c r="BQ55" s="25" t="n">
        <v>0</v>
      </c>
      <c r="BR55" s="25" t="n">
        <v>0</v>
      </c>
      <c r="BS55" s="25" t="n">
        <v>0</v>
      </c>
      <c r="BT55" s="25" t="n">
        <v>0</v>
      </c>
      <c r="BU55" s="25" t="n">
        <v>0</v>
      </c>
      <c r="BV55" s="25" t="n">
        <v>0</v>
      </c>
      <c r="BW55" s="25" t="n">
        <v>0</v>
      </c>
      <c r="BX55" s="25" t="n">
        <v>0</v>
      </c>
      <c r="BY55" s="25" t="n">
        <v>0</v>
      </c>
      <c r="BZ55" s="25" t="n">
        <v>0</v>
      </c>
      <c r="CA55" s="25" t="n">
        <v>0</v>
      </c>
      <c r="CB55" s="25" t="n">
        <v>0</v>
      </c>
      <c r="CC55" s="25" t="n">
        <v>0</v>
      </c>
      <c r="CD55" s="25" t="n">
        <v>0</v>
      </c>
      <c r="CE55" s="25" t="n">
        <v>0</v>
      </c>
      <c r="CF55" s="25" t="n">
        <v>0</v>
      </c>
      <c r="CG55" s="25" t="n">
        <v>0</v>
      </c>
      <c r="CH55" s="25" t="n">
        <v>0</v>
      </c>
      <c r="CI55" s="25" t="n">
        <v>0</v>
      </c>
      <c r="CJ55" s="25" t="n">
        <v>0</v>
      </c>
      <c r="CK55" s="25" t="n">
        <v>0</v>
      </c>
      <c r="CL55" s="25" t="n">
        <v>0</v>
      </c>
      <c r="CM55" s="25" t="n">
        <v>0</v>
      </c>
      <c r="CN55" s="25" t="n">
        <v>0</v>
      </c>
      <c r="CO55" s="25" t="n">
        <v>0</v>
      </c>
      <c r="CP55" s="25" t="n">
        <v>0</v>
      </c>
      <c r="CQ55" s="25" t="n">
        <v>0</v>
      </c>
      <c r="CR55" s="25" t="n">
        <v>0</v>
      </c>
      <c r="CS55" s="25" t="n">
        <v>0</v>
      </c>
      <c r="CT55" s="25" t="n">
        <v>0</v>
      </c>
      <c r="CU55" s="25" t="n">
        <v>0</v>
      </c>
      <c r="CV55" s="25" t="n">
        <v>0</v>
      </c>
      <c r="CW55" s="25" t="n">
        <v>0</v>
      </c>
      <c r="CX55" s="25" t="n">
        <v>0</v>
      </c>
      <c r="CY55" s="25" t="n">
        <v>0</v>
      </c>
      <c r="CZ55" s="25" t="n">
        <v>0</v>
      </c>
      <c r="DA55" s="25" t="n">
        <v>0</v>
      </c>
    </row>
    <row r="56">
      <c r="A56" t="inlineStr">
        <is>
          <t>TVS-833</t>
        </is>
      </c>
      <c r="B56" s="25" t="n">
        <v>0</v>
      </c>
      <c r="C56" s="25" t="n">
        <v>0</v>
      </c>
      <c r="D56" s="25" t="n">
        <v>0</v>
      </c>
      <c r="E56" s="25" t="n">
        <v>0</v>
      </c>
      <c r="F56" s="25" t="n">
        <v>0</v>
      </c>
      <c r="G56" s="25" t="n">
        <v>0</v>
      </c>
      <c r="H56" s="25" t="n">
        <v>0</v>
      </c>
      <c r="I56" s="25" t="n">
        <v>0</v>
      </c>
      <c r="J56" s="25" t="n">
        <v>0</v>
      </c>
      <c r="K56" s="25" t="n">
        <v>0</v>
      </c>
      <c r="L56" s="25" t="n">
        <v>0</v>
      </c>
      <c r="M56" s="25" t="n">
        <v>0</v>
      </c>
      <c r="N56" s="25" t="n">
        <v>0</v>
      </c>
      <c r="O56" s="25" t="n">
        <v>0</v>
      </c>
      <c r="P56" s="25" t="n">
        <v>0</v>
      </c>
      <c r="Q56" s="25" t="n">
        <v>0</v>
      </c>
      <c r="R56" s="25" t="n">
        <v>0</v>
      </c>
      <c r="S56" s="25" t="n">
        <v>0</v>
      </c>
      <c r="T56" s="25" t="n">
        <v>0</v>
      </c>
      <c r="U56" s="25" t="n">
        <v>0</v>
      </c>
      <c r="V56" s="25" t="n">
        <v>0</v>
      </c>
      <c r="W56" s="25" t="n">
        <v>0</v>
      </c>
      <c r="X56" s="25" t="n">
        <v>13.66098314386007</v>
      </c>
      <c r="Y56" s="25" t="n">
        <v>2.818518711832559</v>
      </c>
      <c r="Z56" s="25" t="n">
        <v>0</v>
      </c>
      <c r="AA56" s="25" t="n">
        <v>6.830491571930034</v>
      </c>
      <c r="AB56" s="25" t="n">
        <v>8.769229800140572</v>
      </c>
      <c r="AC56" s="25" t="n">
        <v>0</v>
      </c>
      <c r="AD56" s="25" t="n">
        <v>2.818518711832559</v>
      </c>
      <c r="AE56" s="25" t="n">
        <v>9.962683948405489</v>
      </c>
      <c r="AF56" s="25" t="n">
        <v>9.024958164669282</v>
      </c>
      <c r="AG56" s="25" t="n">
        <v>6.830491571930034</v>
      </c>
      <c r="AH56" s="25" t="n">
        <v>10.84246443202751</v>
      </c>
      <c r="AI56" s="25" t="n">
        <v>12.78120266023805</v>
      </c>
      <c r="AJ56" s="25" t="n">
        <v>8.02394572019495</v>
      </c>
      <c r="AK56" s="25" t="n">
        <v>9.024958164669282</v>
      </c>
      <c r="AL56" s="25" t="n">
        <v>6.830491571930034</v>
      </c>
      <c r="AM56" s="25" t="n">
        <v>8.02394572019495</v>
      </c>
      <c r="AN56" s="25" t="n">
        <v>8.769229800140572</v>
      </c>
      <c r="AO56" s="25" t="n">
        <v>4.011972860097475</v>
      </c>
      <c r="AP56" s="25" t="n">
        <v>11.84347687650184</v>
      </c>
      <c r="AQ56" s="25" t="n">
        <v>10.84246443202751</v>
      </c>
      <c r="AR56" s="25" t="n">
        <v>8.769229800140572</v>
      </c>
      <c r="AS56" s="25" t="n">
        <v>13.66098314386007</v>
      </c>
      <c r="AT56" s="25" t="n">
        <v>13.78221510471238</v>
      </c>
      <c r="AU56" s="25" t="n">
        <v>14.85443729212498</v>
      </c>
      <c r="AV56" s="25" t="n">
        <v>16.79317552033552</v>
      </c>
      <c r="AW56" s="25" t="n">
        <v>12.78120266023805</v>
      </c>
      <c r="AX56" s="25" t="n">
        <v>11.64327438760697</v>
      </c>
      <c r="AY56" s="25" t="n">
        <v>12.78120266023805</v>
      </c>
      <c r="AZ56" s="25" t="n">
        <v>4.011972860097475</v>
      </c>
      <c r="BA56" s="25" t="n">
        <v>0</v>
      </c>
      <c r="BB56" s="25" t="n">
        <v>0</v>
      </c>
      <c r="BC56" s="25" t="n">
        <v>4.011972860097475</v>
      </c>
      <c r="BD56" s="25" t="n">
        <v>8.02394572019495</v>
      </c>
      <c r="BE56" s="25" t="n">
        <v>10.84246443202751</v>
      </c>
      <c r="BF56" s="25" t="n">
        <v>12.78120266023805</v>
      </c>
      <c r="BG56" s="25" t="n">
        <v>6.830491571930034</v>
      </c>
      <c r="BH56" s="25" t="n">
        <v>10.84246443202751</v>
      </c>
      <c r="BI56" s="25" t="n">
        <v>6.830491571930034</v>
      </c>
      <c r="BJ56" s="25" t="n">
        <v>5.950711088308013</v>
      </c>
      <c r="BK56" s="25" t="n">
        <v>6.830491571930034</v>
      </c>
      <c r="BL56" s="25" t="n">
        <v>8.02394572019495</v>
      </c>
      <c r="BM56" s="25" t="n">
        <v>4.011972860097475</v>
      </c>
      <c r="BN56" s="25" t="n">
        <v>4.011972860097475</v>
      </c>
      <c r="BO56" s="25" t="n">
        <v>6.860354448757784</v>
      </c>
      <c r="BP56" s="25" t="n">
        <v>0</v>
      </c>
      <c r="BQ56" s="25" t="n">
        <v>4.011972860097475</v>
      </c>
      <c r="BR56" s="25" t="n">
        <v>4.011972860097475</v>
      </c>
      <c r="BS56" s="25" t="n">
        <v>4.011972860097475</v>
      </c>
      <c r="BT56" s="25" t="n">
        <v>0</v>
      </c>
      <c r="BU56" s="25" t="n">
        <v>4.011972860097475</v>
      </c>
      <c r="BV56" s="25" t="n">
        <v>3.008979645073107</v>
      </c>
      <c r="BW56" s="25" t="n">
        <v>0</v>
      </c>
      <c r="BX56" s="25" t="n">
        <v>0</v>
      </c>
      <c r="BY56" s="25" t="n">
        <v>0</v>
      </c>
      <c r="BZ56" s="25" t="n">
        <v>0</v>
      </c>
      <c r="CA56" s="25" t="n">
        <v>0</v>
      </c>
      <c r="CB56" s="25" t="n">
        <v>0</v>
      </c>
      <c r="CC56" s="25" t="n">
        <v>0</v>
      </c>
      <c r="CD56" s="25" t="n">
        <v>0</v>
      </c>
      <c r="CE56" s="25" t="n">
        <v>0</v>
      </c>
      <c r="CF56" s="25" t="n">
        <v>0</v>
      </c>
      <c r="CG56" s="25" t="n">
        <v>0</v>
      </c>
      <c r="CH56" s="25" t="n">
        <v>0</v>
      </c>
      <c r="CI56" s="25" t="n">
        <v>0</v>
      </c>
      <c r="CJ56" s="25" t="n">
        <v>0</v>
      </c>
      <c r="CK56" s="25" t="n">
        <v>0</v>
      </c>
      <c r="CL56" s="25" t="n">
        <v>0</v>
      </c>
      <c r="CM56" s="25" t="n">
        <v>0</v>
      </c>
      <c r="CN56" s="25" t="n">
        <v>0</v>
      </c>
      <c r="CO56" s="25" t="n">
        <v>0</v>
      </c>
      <c r="CP56" s="25" t="n">
        <v>0</v>
      </c>
      <c r="CQ56" s="25" t="n">
        <v>0</v>
      </c>
      <c r="CR56" s="25" t="n">
        <v>0</v>
      </c>
      <c r="CS56" s="25" t="n">
        <v>0</v>
      </c>
      <c r="CT56" s="25" t="n">
        <v>0</v>
      </c>
      <c r="CU56" s="25" t="n">
        <v>0</v>
      </c>
      <c r="CV56" s="25" t="n">
        <v>0</v>
      </c>
      <c r="CW56" s="25" t="n">
        <v>0</v>
      </c>
      <c r="CX56" s="25" t="n">
        <v>0</v>
      </c>
      <c r="CY56" s="25" t="n">
        <v>0</v>
      </c>
      <c r="CZ56" s="25" t="n">
        <v>0</v>
      </c>
      <c r="DA56" s="25" t="n">
        <v>0</v>
      </c>
    </row>
    <row r="57">
      <c r="A57" t="inlineStr">
        <is>
          <t>VSP-600</t>
        </is>
      </c>
      <c r="B57" s="25" t="n">
        <v>0</v>
      </c>
      <c r="C57" s="25" t="n">
        <v>0</v>
      </c>
      <c r="D57" s="25" t="n">
        <v>0</v>
      </c>
      <c r="E57" s="25" t="n">
        <v>0</v>
      </c>
      <c r="F57" s="25" t="n">
        <v>0</v>
      </c>
      <c r="G57" s="25" t="n">
        <v>0</v>
      </c>
      <c r="H57" s="25" t="n">
        <v>0</v>
      </c>
      <c r="I57" s="25" t="n">
        <v>0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0</v>
      </c>
      <c r="R57" s="25" t="n">
        <v>0</v>
      </c>
      <c r="S57" s="25" t="n">
        <v>0</v>
      </c>
      <c r="T57" s="25" t="n">
        <v>0</v>
      </c>
      <c r="U57" s="25" t="n">
        <v>0</v>
      </c>
      <c r="V57" s="25" t="n">
        <v>0</v>
      </c>
      <c r="W57" s="25" t="n">
        <v>0</v>
      </c>
      <c r="X57" s="25" t="n">
        <v>0</v>
      </c>
      <c r="Y57" s="25" t="n">
        <v>3.840891207323119</v>
      </c>
      <c r="Z57" s="25" t="n">
        <v>0</v>
      </c>
      <c r="AA57" s="25" t="n">
        <v>0</v>
      </c>
      <c r="AB57" s="25" t="n">
        <v>0</v>
      </c>
      <c r="AC57" s="25" t="n">
        <v>3.840891207323119</v>
      </c>
      <c r="AD57" s="25" t="n">
        <v>0</v>
      </c>
      <c r="AE57" s="25" t="n">
        <v>0</v>
      </c>
      <c r="AF57" s="25" t="n">
        <v>0</v>
      </c>
      <c r="AG57" s="25" t="n">
        <v>0</v>
      </c>
      <c r="AH57" s="25" t="n">
        <v>3.840891207323119</v>
      </c>
      <c r="AI57" s="25" t="n">
        <v>0</v>
      </c>
      <c r="AJ57" s="25" t="n">
        <v>0</v>
      </c>
      <c r="AK57" s="25" t="n">
        <v>3.840891207323119</v>
      </c>
      <c r="AL57" s="25" t="n">
        <v>0</v>
      </c>
      <c r="AM57" s="25" t="n">
        <v>0</v>
      </c>
      <c r="AN57" s="25" t="n">
        <v>0</v>
      </c>
      <c r="AO57" s="25" t="n">
        <v>0</v>
      </c>
      <c r="AP57" s="25" t="n">
        <v>0</v>
      </c>
      <c r="AQ57" s="25" t="n">
        <v>0</v>
      </c>
      <c r="AR57" s="25" t="n">
        <v>3.840891207323119</v>
      </c>
      <c r="AS57" s="25" t="n">
        <v>0</v>
      </c>
      <c r="AT57" s="25" t="n">
        <v>0</v>
      </c>
      <c r="AU57" s="25" t="n">
        <v>0</v>
      </c>
      <c r="AV57" s="25" t="n">
        <v>0</v>
      </c>
      <c r="AW57" s="25" t="n">
        <v>0</v>
      </c>
      <c r="AX57" s="25" t="n">
        <v>3.840891207323119</v>
      </c>
      <c r="AY57" s="25" t="n">
        <v>0</v>
      </c>
      <c r="AZ57" s="25" t="n">
        <v>0</v>
      </c>
      <c r="BA57" s="25" t="n">
        <v>0</v>
      </c>
      <c r="BB57" s="25" t="n">
        <v>0</v>
      </c>
      <c r="BC57" s="25" t="n">
        <v>0</v>
      </c>
      <c r="BD57" s="25" t="n">
        <v>0</v>
      </c>
      <c r="BE57" s="25" t="n">
        <v>3.840891207323119</v>
      </c>
      <c r="BF57" s="25" t="n">
        <v>0</v>
      </c>
      <c r="BG57" s="25" t="n">
        <v>0</v>
      </c>
      <c r="BH57" s="25" t="n">
        <v>0</v>
      </c>
      <c r="BI57" s="25" t="n">
        <v>3.840891207323119</v>
      </c>
      <c r="BJ57" s="25" t="n">
        <v>0</v>
      </c>
      <c r="BK57" s="25" t="n">
        <v>0</v>
      </c>
      <c r="BL57" s="25" t="n">
        <v>0</v>
      </c>
      <c r="BM57" s="25" t="n">
        <v>0</v>
      </c>
      <c r="BN57" s="25" t="n">
        <v>0</v>
      </c>
      <c r="BO57" s="25" t="n">
        <v>0</v>
      </c>
      <c r="BP57" s="25" t="n">
        <v>0</v>
      </c>
      <c r="BQ57" s="25" t="n">
        <v>0</v>
      </c>
      <c r="BR57" s="25" t="n">
        <v>0</v>
      </c>
      <c r="BS57" s="25" t="n">
        <v>0</v>
      </c>
      <c r="BT57" s="25" t="n">
        <v>0</v>
      </c>
      <c r="BU57" s="25" t="n">
        <v>0</v>
      </c>
      <c r="BV57" s="25" t="n">
        <v>0</v>
      </c>
      <c r="BW57" s="25" t="n">
        <v>0</v>
      </c>
      <c r="BX57" s="25" t="n">
        <v>0</v>
      </c>
      <c r="BY57" s="25" t="n">
        <v>0</v>
      </c>
      <c r="BZ57" s="25" t="n">
        <v>0</v>
      </c>
      <c r="CA57" s="25" t="n">
        <v>0</v>
      </c>
      <c r="CB57" s="25" t="n">
        <v>0</v>
      </c>
      <c r="CC57" s="25" t="n">
        <v>0</v>
      </c>
      <c r="CD57" s="25" t="n">
        <v>0</v>
      </c>
      <c r="CE57" s="25" t="n">
        <v>0</v>
      </c>
      <c r="CF57" s="25" t="n">
        <v>0</v>
      </c>
      <c r="CG57" s="25" t="n">
        <v>0</v>
      </c>
      <c r="CH57" s="25" t="n">
        <v>0</v>
      </c>
      <c r="CI57" s="25" t="n">
        <v>0</v>
      </c>
      <c r="CJ57" s="25" t="n">
        <v>0</v>
      </c>
      <c r="CK57" s="25" t="n">
        <v>0</v>
      </c>
      <c r="CL57" s="25" t="n">
        <v>0</v>
      </c>
      <c r="CM57" s="25" t="n">
        <v>0</v>
      </c>
      <c r="CN57" s="25" t="n">
        <v>0</v>
      </c>
      <c r="CO57" s="25" t="n">
        <v>0</v>
      </c>
      <c r="CP57" s="25" t="n">
        <v>0</v>
      </c>
      <c r="CQ57" s="25" t="n">
        <v>0</v>
      </c>
      <c r="CR57" s="25" t="n">
        <v>0</v>
      </c>
      <c r="CS57" s="25" t="n">
        <v>0</v>
      </c>
      <c r="CT57" s="25" t="n">
        <v>0</v>
      </c>
      <c r="CU57" s="25" t="n">
        <v>0</v>
      </c>
      <c r="CV57" s="25" t="n">
        <v>0</v>
      </c>
      <c r="CW57" s="25" t="n">
        <v>0</v>
      </c>
      <c r="CX57" s="25" t="n">
        <v>0</v>
      </c>
      <c r="CY57" s="25" t="n">
        <v>0</v>
      </c>
      <c r="CZ57" s="25" t="n">
        <v>0</v>
      </c>
      <c r="DA57" s="25" t="n">
        <v>0</v>
      </c>
    </row>
    <row r="58">
      <c r="A58" t="inlineStr">
        <is>
          <t>VSP-601</t>
        </is>
      </c>
      <c r="B58" s="25" t="n">
        <v>0</v>
      </c>
      <c r="C58" s="25" t="n">
        <v>0</v>
      </c>
      <c r="D58" s="25" t="n">
        <v>0</v>
      </c>
      <c r="E58" s="25" t="n">
        <v>0</v>
      </c>
      <c r="F58" s="25" t="n">
        <v>0</v>
      </c>
      <c r="G58" s="25" t="n">
        <v>0</v>
      </c>
      <c r="H58" s="25" t="n">
        <v>0</v>
      </c>
      <c r="I58" s="25" t="n">
        <v>0</v>
      </c>
      <c r="J58" s="25" t="n">
        <v>0</v>
      </c>
      <c r="K58" s="25" t="n">
        <v>0</v>
      </c>
      <c r="L58" s="25" t="n">
        <v>0</v>
      </c>
      <c r="M58" s="25" t="n">
        <v>0</v>
      </c>
      <c r="N58" s="25" t="n">
        <v>0</v>
      </c>
      <c r="O58" s="25" t="n">
        <v>0</v>
      </c>
      <c r="P58" s="25" t="n">
        <v>0</v>
      </c>
      <c r="Q58" s="25" t="n">
        <v>0</v>
      </c>
      <c r="R58" s="25" t="n">
        <v>0</v>
      </c>
      <c r="S58" s="25" t="n">
        <v>0</v>
      </c>
      <c r="T58" s="25" t="n">
        <v>0</v>
      </c>
      <c r="U58" s="25" t="n">
        <v>0</v>
      </c>
      <c r="V58" s="25" t="n">
        <v>0</v>
      </c>
      <c r="W58" s="25" t="n">
        <v>0</v>
      </c>
      <c r="X58" s="25" t="n">
        <v>0</v>
      </c>
      <c r="Y58" s="25" t="n">
        <v>3.844512359077455</v>
      </c>
      <c r="Z58" s="25" t="n">
        <v>0</v>
      </c>
      <c r="AA58" s="25" t="n">
        <v>0</v>
      </c>
      <c r="AB58" s="25" t="n">
        <v>0</v>
      </c>
      <c r="AC58" s="25" t="n">
        <v>3.844512359077455</v>
      </c>
      <c r="AD58" s="25" t="n">
        <v>0</v>
      </c>
      <c r="AE58" s="25" t="n">
        <v>0</v>
      </c>
      <c r="AF58" s="25" t="n">
        <v>0</v>
      </c>
      <c r="AG58" s="25" t="n">
        <v>0</v>
      </c>
      <c r="AH58" s="25" t="n">
        <v>3.844512359077455</v>
      </c>
      <c r="AI58" s="25" t="n">
        <v>0</v>
      </c>
      <c r="AJ58" s="25" t="n">
        <v>0</v>
      </c>
      <c r="AK58" s="25" t="n">
        <v>3.844512359077455</v>
      </c>
      <c r="AL58" s="25" t="n">
        <v>0</v>
      </c>
      <c r="AM58" s="25" t="n">
        <v>0</v>
      </c>
      <c r="AN58" s="25" t="n">
        <v>0</v>
      </c>
      <c r="AO58" s="25" t="n">
        <v>0</v>
      </c>
      <c r="AP58" s="25" t="n">
        <v>0</v>
      </c>
      <c r="AQ58" s="25" t="n">
        <v>0</v>
      </c>
      <c r="AR58" s="25" t="n">
        <v>3.844512359077455</v>
      </c>
      <c r="AS58" s="25" t="n">
        <v>0</v>
      </c>
      <c r="AT58" s="25" t="n">
        <v>0</v>
      </c>
      <c r="AU58" s="25" t="n">
        <v>0</v>
      </c>
      <c r="AV58" s="25" t="n">
        <v>0</v>
      </c>
      <c r="AW58" s="25" t="n">
        <v>0</v>
      </c>
      <c r="AX58" s="25" t="n">
        <v>3.844512359077455</v>
      </c>
      <c r="AY58" s="25" t="n">
        <v>0</v>
      </c>
      <c r="AZ58" s="25" t="n">
        <v>0</v>
      </c>
      <c r="BA58" s="25" t="n">
        <v>0</v>
      </c>
      <c r="BB58" s="25" t="n">
        <v>0</v>
      </c>
      <c r="BC58" s="25" t="n">
        <v>0</v>
      </c>
      <c r="BD58" s="25" t="n">
        <v>0</v>
      </c>
      <c r="BE58" s="25" t="n">
        <v>3.844512359077455</v>
      </c>
      <c r="BF58" s="25" t="n">
        <v>0</v>
      </c>
      <c r="BG58" s="25" t="n">
        <v>0</v>
      </c>
      <c r="BH58" s="25" t="n">
        <v>0</v>
      </c>
      <c r="BI58" s="25" t="n">
        <v>3.844512359077455</v>
      </c>
      <c r="BJ58" s="25" t="n">
        <v>0</v>
      </c>
      <c r="BK58" s="25" t="n">
        <v>0</v>
      </c>
      <c r="BL58" s="25" t="n">
        <v>0</v>
      </c>
      <c r="BM58" s="25" t="n">
        <v>0</v>
      </c>
      <c r="BN58" s="25" t="n">
        <v>0</v>
      </c>
      <c r="BO58" s="25" t="n">
        <v>0</v>
      </c>
      <c r="BP58" s="25" t="n">
        <v>0</v>
      </c>
      <c r="BQ58" s="25" t="n">
        <v>0</v>
      </c>
      <c r="BR58" s="25" t="n">
        <v>0</v>
      </c>
      <c r="BS58" s="25" t="n">
        <v>0</v>
      </c>
      <c r="BT58" s="25" t="n">
        <v>0</v>
      </c>
      <c r="BU58" s="25" t="n">
        <v>0</v>
      </c>
      <c r="BV58" s="25" t="n">
        <v>0</v>
      </c>
      <c r="BW58" s="25" t="n">
        <v>0</v>
      </c>
      <c r="BX58" s="25" t="n">
        <v>0</v>
      </c>
      <c r="BY58" s="25" t="n">
        <v>0</v>
      </c>
      <c r="BZ58" s="25" t="n">
        <v>0</v>
      </c>
      <c r="CA58" s="25" t="n">
        <v>0</v>
      </c>
      <c r="CB58" s="25" t="n">
        <v>0</v>
      </c>
      <c r="CC58" s="25" t="n">
        <v>0</v>
      </c>
      <c r="CD58" s="25" t="n">
        <v>0</v>
      </c>
      <c r="CE58" s="25" t="n">
        <v>0</v>
      </c>
      <c r="CF58" s="25" t="n">
        <v>0</v>
      </c>
      <c r="CG58" s="25" t="n">
        <v>0</v>
      </c>
      <c r="CH58" s="25" t="n">
        <v>0</v>
      </c>
      <c r="CI58" s="25" t="n">
        <v>0</v>
      </c>
      <c r="CJ58" s="25" t="n">
        <v>0</v>
      </c>
      <c r="CK58" s="25" t="n">
        <v>0</v>
      </c>
      <c r="CL58" s="25" t="n">
        <v>0</v>
      </c>
      <c r="CM58" s="25" t="n">
        <v>0</v>
      </c>
      <c r="CN58" s="25" t="n">
        <v>0</v>
      </c>
      <c r="CO58" s="25" t="n">
        <v>0</v>
      </c>
      <c r="CP58" s="25" t="n">
        <v>0</v>
      </c>
      <c r="CQ58" s="25" t="n">
        <v>0</v>
      </c>
      <c r="CR58" s="25" t="n">
        <v>0</v>
      </c>
      <c r="CS58" s="25" t="n">
        <v>0</v>
      </c>
      <c r="CT58" s="25" t="n">
        <v>0</v>
      </c>
      <c r="CU58" s="25" t="n">
        <v>0</v>
      </c>
      <c r="CV58" s="25" t="n">
        <v>0</v>
      </c>
      <c r="CW58" s="25" t="n">
        <v>0</v>
      </c>
      <c r="CX58" s="25" t="n">
        <v>0</v>
      </c>
      <c r="CY58" s="25" t="n">
        <v>0</v>
      </c>
      <c r="CZ58" s="25" t="n">
        <v>0</v>
      </c>
      <c r="DA58" s="25" t="n">
        <v>0</v>
      </c>
    </row>
    <row r="59">
      <c r="A59" t="inlineStr">
        <is>
          <t>VSP-602</t>
        </is>
      </c>
      <c r="B59" s="25" t="n">
        <v>0</v>
      </c>
      <c r="C59" s="25" t="n">
        <v>0</v>
      </c>
      <c r="D59" s="25" t="n">
        <v>0</v>
      </c>
      <c r="E59" s="25" t="n">
        <v>0</v>
      </c>
      <c r="F59" s="25" t="n">
        <v>0</v>
      </c>
      <c r="G59" s="25" t="n">
        <v>0</v>
      </c>
      <c r="H59" s="25" t="n">
        <v>0</v>
      </c>
      <c r="I59" s="25" t="n">
        <v>0</v>
      </c>
      <c r="J59" s="25" t="n">
        <v>0</v>
      </c>
      <c r="K59" s="25" t="n">
        <v>0</v>
      </c>
      <c r="L59" s="25" t="n">
        <v>0</v>
      </c>
      <c r="M59" s="25" t="n">
        <v>0</v>
      </c>
      <c r="N59" s="25" t="n">
        <v>0</v>
      </c>
      <c r="O59" s="25" t="n">
        <v>0</v>
      </c>
      <c r="P59" s="25" t="n">
        <v>0</v>
      </c>
      <c r="Q59" s="25" t="n">
        <v>0</v>
      </c>
      <c r="R59" s="25" t="n">
        <v>0</v>
      </c>
      <c r="S59" s="25" t="n">
        <v>0</v>
      </c>
      <c r="T59" s="25" t="n">
        <v>0</v>
      </c>
      <c r="U59" s="25" t="n">
        <v>0</v>
      </c>
      <c r="V59" s="25" t="n">
        <v>0</v>
      </c>
      <c r="W59" s="25" t="n">
        <v>0</v>
      </c>
      <c r="X59" s="25" t="n">
        <v>0</v>
      </c>
      <c r="Y59" s="25" t="n">
        <v>3.845278475612647</v>
      </c>
      <c r="Z59" s="25" t="n">
        <v>0</v>
      </c>
      <c r="AA59" s="25" t="n">
        <v>0</v>
      </c>
      <c r="AB59" s="25" t="n">
        <v>0</v>
      </c>
      <c r="AC59" s="25" t="n">
        <v>3.845278475612647</v>
      </c>
      <c r="AD59" s="25" t="n">
        <v>0</v>
      </c>
      <c r="AE59" s="25" t="n">
        <v>0</v>
      </c>
      <c r="AF59" s="25" t="n">
        <v>0</v>
      </c>
      <c r="AG59" s="25" t="n">
        <v>0</v>
      </c>
      <c r="AH59" s="25" t="n">
        <v>3.845278475612647</v>
      </c>
      <c r="AI59" s="25" t="n">
        <v>0</v>
      </c>
      <c r="AJ59" s="25" t="n">
        <v>0</v>
      </c>
      <c r="AK59" s="25" t="n">
        <v>3.845278475612647</v>
      </c>
      <c r="AL59" s="25" t="n">
        <v>0</v>
      </c>
      <c r="AM59" s="25" t="n">
        <v>0</v>
      </c>
      <c r="AN59" s="25" t="n">
        <v>0</v>
      </c>
      <c r="AO59" s="25" t="n">
        <v>0</v>
      </c>
      <c r="AP59" s="25" t="n">
        <v>0</v>
      </c>
      <c r="AQ59" s="25" t="n">
        <v>0</v>
      </c>
      <c r="AR59" s="25" t="n">
        <v>3.845278475612647</v>
      </c>
      <c r="AS59" s="25" t="n">
        <v>0</v>
      </c>
      <c r="AT59" s="25" t="n">
        <v>0</v>
      </c>
      <c r="AU59" s="25" t="n">
        <v>0</v>
      </c>
      <c r="AV59" s="25" t="n">
        <v>0</v>
      </c>
      <c r="AW59" s="25" t="n">
        <v>0</v>
      </c>
      <c r="AX59" s="25" t="n">
        <v>3.845278475612647</v>
      </c>
      <c r="AY59" s="25" t="n">
        <v>0</v>
      </c>
      <c r="AZ59" s="25" t="n">
        <v>0</v>
      </c>
      <c r="BA59" s="25" t="n">
        <v>0</v>
      </c>
      <c r="BB59" s="25" t="n">
        <v>0</v>
      </c>
      <c r="BC59" s="25" t="n">
        <v>0</v>
      </c>
      <c r="BD59" s="25" t="n">
        <v>0</v>
      </c>
      <c r="BE59" s="25" t="n">
        <v>3.845278475612647</v>
      </c>
      <c r="BF59" s="25" t="n">
        <v>0</v>
      </c>
      <c r="BG59" s="25" t="n">
        <v>0</v>
      </c>
      <c r="BH59" s="25" t="n">
        <v>0</v>
      </c>
      <c r="BI59" s="25" t="n">
        <v>3.845278475612647</v>
      </c>
      <c r="BJ59" s="25" t="n">
        <v>0</v>
      </c>
      <c r="BK59" s="25" t="n">
        <v>0</v>
      </c>
      <c r="BL59" s="25" t="n">
        <v>0</v>
      </c>
      <c r="BM59" s="25" t="n">
        <v>0</v>
      </c>
      <c r="BN59" s="25" t="n">
        <v>0</v>
      </c>
      <c r="BO59" s="25" t="n">
        <v>0</v>
      </c>
      <c r="BP59" s="25" t="n">
        <v>0</v>
      </c>
      <c r="BQ59" s="25" t="n">
        <v>0</v>
      </c>
      <c r="BR59" s="25" t="n">
        <v>0</v>
      </c>
      <c r="BS59" s="25" t="n">
        <v>0</v>
      </c>
      <c r="BT59" s="25" t="n">
        <v>0</v>
      </c>
      <c r="BU59" s="25" t="n">
        <v>0</v>
      </c>
      <c r="BV59" s="25" t="n">
        <v>0</v>
      </c>
      <c r="BW59" s="25" t="n">
        <v>0</v>
      </c>
      <c r="BX59" s="25" t="n">
        <v>0</v>
      </c>
      <c r="BY59" s="25" t="n">
        <v>0</v>
      </c>
      <c r="BZ59" s="25" t="n">
        <v>0</v>
      </c>
      <c r="CA59" s="25" t="n">
        <v>0</v>
      </c>
      <c r="CB59" s="25" t="n">
        <v>0</v>
      </c>
      <c r="CC59" s="25" t="n">
        <v>0</v>
      </c>
      <c r="CD59" s="25" t="n">
        <v>0</v>
      </c>
      <c r="CE59" s="25" t="n">
        <v>0</v>
      </c>
      <c r="CF59" s="25" t="n">
        <v>0</v>
      </c>
      <c r="CG59" s="25" t="n">
        <v>0</v>
      </c>
      <c r="CH59" s="25" t="n">
        <v>0</v>
      </c>
      <c r="CI59" s="25" t="n">
        <v>0</v>
      </c>
      <c r="CJ59" s="25" t="n">
        <v>0</v>
      </c>
      <c r="CK59" s="25" t="n">
        <v>0</v>
      </c>
      <c r="CL59" s="25" t="n">
        <v>0</v>
      </c>
      <c r="CM59" s="25" t="n">
        <v>0</v>
      </c>
      <c r="CN59" s="25" t="n">
        <v>0</v>
      </c>
      <c r="CO59" s="25" t="n">
        <v>0</v>
      </c>
      <c r="CP59" s="25" t="n">
        <v>0</v>
      </c>
      <c r="CQ59" s="25" t="n">
        <v>0</v>
      </c>
      <c r="CR59" s="25" t="n">
        <v>0</v>
      </c>
      <c r="CS59" s="25" t="n">
        <v>0</v>
      </c>
      <c r="CT59" s="25" t="n">
        <v>0</v>
      </c>
      <c r="CU59" s="25" t="n">
        <v>0</v>
      </c>
      <c r="CV59" s="25" t="n">
        <v>0</v>
      </c>
      <c r="CW59" s="25" t="n">
        <v>0</v>
      </c>
      <c r="CX59" s="25" t="n">
        <v>0</v>
      </c>
      <c r="CY59" s="25" t="n">
        <v>0</v>
      </c>
      <c r="CZ59" s="25" t="n">
        <v>0</v>
      </c>
      <c r="DA59" s="25" t="n">
        <v>0</v>
      </c>
    </row>
    <row r="60">
      <c r="A60" t="inlineStr">
        <is>
          <t>VSP-820</t>
        </is>
      </c>
      <c r="B60" s="25" t="n">
        <v>0</v>
      </c>
      <c r="C60" s="25" t="n">
        <v>0</v>
      </c>
      <c r="D60" s="25" t="n">
        <v>0</v>
      </c>
      <c r="E60" s="25" t="n">
        <v>0</v>
      </c>
      <c r="F60" s="25" t="n">
        <v>0</v>
      </c>
      <c r="G60" s="25" t="n">
        <v>0</v>
      </c>
      <c r="H60" s="25" t="n">
        <v>0</v>
      </c>
      <c r="I60" s="25" t="n">
        <v>0</v>
      </c>
      <c r="J60" s="25" t="n">
        <v>0</v>
      </c>
      <c r="K60" s="25" t="n">
        <v>0</v>
      </c>
      <c r="L60" s="25" t="n">
        <v>0</v>
      </c>
      <c r="M60" s="25" t="n">
        <v>0</v>
      </c>
      <c r="N60" s="25" t="n">
        <v>0</v>
      </c>
      <c r="O60" s="25" t="n">
        <v>0</v>
      </c>
      <c r="P60" s="25" t="n">
        <v>0</v>
      </c>
      <c r="Q60" s="25" t="n">
        <v>0</v>
      </c>
      <c r="R60" s="25" t="n">
        <v>0</v>
      </c>
      <c r="S60" s="25" t="n">
        <v>0</v>
      </c>
      <c r="T60" s="25" t="n">
        <v>0</v>
      </c>
      <c r="U60" s="25" t="n">
        <v>0</v>
      </c>
      <c r="V60" s="25" t="n">
        <v>0</v>
      </c>
      <c r="W60" s="25" t="n">
        <v>0</v>
      </c>
      <c r="X60" s="25" t="n">
        <v>0</v>
      </c>
      <c r="Y60" s="25" t="n">
        <v>0</v>
      </c>
      <c r="Z60" s="25" t="n">
        <v>0</v>
      </c>
      <c r="AA60" s="25" t="n">
        <v>0</v>
      </c>
      <c r="AB60" s="25" t="n">
        <v>0</v>
      </c>
      <c r="AC60" s="25" t="n">
        <v>0</v>
      </c>
      <c r="AD60" s="25" t="n">
        <v>0</v>
      </c>
      <c r="AE60" s="25" t="n">
        <v>0</v>
      </c>
      <c r="AF60" s="25" t="n">
        <v>0</v>
      </c>
      <c r="AG60" s="25" t="n">
        <v>0</v>
      </c>
      <c r="AH60" s="25" t="n">
        <v>0</v>
      </c>
      <c r="AI60" s="25" t="n">
        <v>0</v>
      </c>
      <c r="AJ60" s="25" t="n">
        <v>0</v>
      </c>
      <c r="AK60" s="25" t="n">
        <v>0</v>
      </c>
      <c r="AL60" s="25" t="n">
        <v>0</v>
      </c>
      <c r="AM60" s="25" t="n">
        <v>0</v>
      </c>
      <c r="AN60" s="25" t="n">
        <v>0</v>
      </c>
      <c r="AO60" s="25" t="n">
        <v>0</v>
      </c>
      <c r="AP60" s="25" t="n">
        <v>0</v>
      </c>
      <c r="AQ60" s="25" t="n">
        <v>0</v>
      </c>
      <c r="AR60" s="25" t="n">
        <v>0</v>
      </c>
      <c r="AS60" s="25" t="n">
        <v>0</v>
      </c>
      <c r="AT60" s="25" t="n">
        <v>0</v>
      </c>
      <c r="AU60" s="25" t="n">
        <v>0</v>
      </c>
      <c r="AV60" s="25" t="n">
        <v>0</v>
      </c>
      <c r="AW60" s="25" t="n">
        <v>0</v>
      </c>
      <c r="AX60" s="25" t="n">
        <v>0</v>
      </c>
      <c r="AY60" s="25" t="n">
        <v>0</v>
      </c>
      <c r="AZ60" s="25" t="n">
        <v>0</v>
      </c>
      <c r="BA60" s="25" t="n">
        <v>0</v>
      </c>
      <c r="BB60" s="25" t="n">
        <v>0</v>
      </c>
      <c r="BC60" s="25" t="n">
        <v>0</v>
      </c>
      <c r="BD60" s="25" t="n">
        <v>0</v>
      </c>
      <c r="BE60" s="25" t="n">
        <v>0</v>
      </c>
      <c r="BF60" s="25" t="n">
        <v>0</v>
      </c>
      <c r="BG60" s="25" t="n">
        <v>0</v>
      </c>
      <c r="BH60" s="25" t="n">
        <v>0</v>
      </c>
      <c r="BI60" s="25" t="n">
        <v>0</v>
      </c>
      <c r="BJ60" s="25" t="n">
        <v>0</v>
      </c>
      <c r="BK60" s="25" t="n">
        <v>0</v>
      </c>
      <c r="BL60" s="25" t="n">
        <v>0</v>
      </c>
      <c r="BM60" s="25" t="n">
        <v>0</v>
      </c>
      <c r="BN60" s="25" t="n">
        <v>0</v>
      </c>
      <c r="BO60" s="25" t="n">
        <v>0</v>
      </c>
      <c r="BP60" s="25" t="n">
        <v>0</v>
      </c>
      <c r="BQ60" s="25" t="n">
        <v>0</v>
      </c>
      <c r="BR60" s="25" t="n">
        <v>0</v>
      </c>
      <c r="BS60" s="25" t="n">
        <v>0</v>
      </c>
      <c r="BT60" s="25" t="n">
        <v>0</v>
      </c>
      <c r="BU60" s="25" t="n">
        <v>0</v>
      </c>
      <c r="BV60" s="25" t="n">
        <v>0</v>
      </c>
      <c r="BW60" s="25" t="n">
        <v>0</v>
      </c>
      <c r="BX60" s="25" t="n">
        <v>0</v>
      </c>
      <c r="BY60" s="25" t="n">
        <v>0</v>
      </c>
      <c r="BZ60" s="25" t="n">
        <v>0</v>
      </c>
      <c r="CA60" s="25" t="n">
        <v>0</v>
      </c>
      <c r="CB60" s="25" t="n">
        <v>0</v>
      </c>
      <c r="CC60" s="25" t="n">
        <v>0</v>
      </c>
      <c r="CD60" s="25" t="n">
        <v>0</v>
      </c>
      <c r="CE60" s="25" t="n">
        <v>0</v>
      </c>
      <c r="CF60" s="25" t="n">
        <v>0</v>
      </c>
      <c r="CG60" s="25" t="n">
        <v>0</v>
      </c>
      <c r="CH60" s="25" t="n">
        <v>0</v>
      </c>
      <c r="CI60" s="25" t="n">
        <v>0</v>
      </c>
      <c r="CJ60" s="25" t="n">
        <v>0</v>
      </c>
      <c r="CK60" s="25" t="n">
        <v>0</v>
      </c>
      <c r="CL60" s="25" t="n">
        <v>0</v>
      </c>
      <c r="CM60" s="25" t="n">
        <v>0</v>
      </c>
      <c r="CN60" s="25" t="n">
        <v>0</v>
      </c>
      <c r="CO60" s="25" t="n">
        <v>0</v>
      </c>
      <c r="CP60" s="25" t="n">
        <v>0</v>
      </c>
      <c r="CQ60" s="25" t="n">
        <v>0</v>
      </c>
      <c r="CR60" s="25" t="n">
        <v>0</v>
      </c>
      <c r="CS60" s="25" t="n">
        <v>0</v>
      </c>
      <c r="CT60" s="25" t="n">
        <v>0</v>
      </c>
      <c r="CU60" s="25" t="n">
        <v>0</v>
      </c>
      <c r="CV60" s="25" t="n">
        <v>0</v>
      </c>
      <c r="CW60" s="25" t="n">
        <v>0</v>
      </c>
      <c r="CX60" s="25" t="n">
        <v>0</v>
      </c>
      <c r="CY60" s="25" t="n">
        <v>0</v>
      </c>
      <c r="CZ60" s="25" t="n">
        <v>0</v>
      </c>
      <c r="DA60" s="25" t="n">
        <v>0</v>
      </c>
    </row>
    <row r="61">
      <c r="A61" t="inlineStr">
        <is>
          <t>VSP-822</t>
        </is>
      </c>
      <c r="B61" s="25" t="n">
        <v>0</v>
      </c>
      <c r="C61" s="25" t="n">
        <v>0</v>
      </c>
      <c r="D61" s="25" t="n">
        <v>0</v>
      </c>
      <c r="E61" s="25" t="n">
        <v>0</v>
      </c>
      <c r="F61" s="25" t="n">
        <v>0</v>
      </c>
      <c r="G61" s="25" t="n">
        <v>0</v>
      </c>
      <c r="H61" s="25" t="n">
        <v>0</v>
      </c>
      <c r="I61" s="25" t="n">
        <v>0</v>
      </c>
      <c r="J61" s="25" t="n">
        <v>0</v>
      </c>
      <c r="K61" s="25" t="n">
        <v>0</v>
      </c>
      <c r="L61" s="25" t="n">
        <v>0</v>
      </c>
      <c r="M61" s="25" t="n">
        <v>0</v>
      </c>
      <c r="N61" s="25" t="n">
        <v>0</v>
      </c>
      <c r="O61" s="25" t="n">
        <v>0</v>
      </c>
      <c r="P61" s="25" t="n">
        <v>0</v>
      </c>
      <c r="Q61" s="25" t="n">
        <v>0</v>
      </c>
      <c r="R61" s="25" t="n">
        <v>0</v>
      </c>
      <c r="S61" s="25" t="n">
        <v>0</v>
      </c>
      <c r="T61" s="25" t="n">
        <v>0</v>
      </c>
      <c r="U61" s="25" t="n">
        <v>0</v>
      </c>
      <c r="V61" s="25" t="n">
        <v>0</v>
      </c>
      <c r="W61" s="25" t="n">
        <v>0</v>
      </c>
      <c r="X61" s="25" t="n">
        <v>0</v>
      </c>
      <c r="Y61" s="25" t="n">
        <v>0</v>
      </c>
      <c r="Z61" s="25" t="n">
        <v>0</v>
      </c>
      <c r="AA61" s="25" t="n">
        <v>0</v>
      </c>
      <c r="AB61" s="25" t="n">
        <v>0</v>
      </c>
      <c r="AC61" s="25" t="n">
        <v>0</v>
      </c>
      <c r="AD61" s="25" t="n">
        <v>0</v>
      </c>
      <c r="AE61" s="25" t="n">
        <v>0</v>
      </c>
      <c r="AF61" s="25" t="n">
        <v>0</v>
      </c>
      <c r="AG61" s="25" t="n">
        <v>0</v>
      </c>
      <c r="AH61" s="25" t="n">
        <v>0</v>
      </c>
      <c r="AI61" s="25" t="n">
        <v>0</v>
      </c>
      <c r="AJ61" s="25" t="n">
        <v>0</v>
      </c>
      <c r="AK61" s="25" t="n">
        <v>0</v>
      </c>
      <c r="AL61" s="25" t="n">
        <v>0</v>
      </c>
      <c r="AM61" s="25" t="n">
        <v>0</v>
      </c>
      <c r="AN61" s="25" t="n">
        <v>0</v>
      </c>
      <c r="AO61" s="25" t="n">
        <v>0</v>
      </c>
      <c r="AP61" s="25" t="n">
        <v>0</v>
      </c>
      <c r="AQ61" s="25" t="n">
        <v>0</v>
      </c>
      <c r="AR61" s="25" t="n">
        <v>0</v>
      </c>
      <c r="AS61" s="25" t="n">
        <v>0</v>
      </c>
      <c r="AT61" s="25" t="n">
        <v>0</v>
      </c>
      <c r="AU61" s="25" t="n">
        <v>0</v>
      </c>
      <c r="AV61" s="25" t="n">
        <v>0</v>
      </c>
      <c r="AW61" s="25" t="n">
        <v>0</v>
      </c>
      <c r="AX61" s="25" t="n">
        <v>0</v>
      </c>
      <c r="AY61" s="25" t="n">
        <v>0</v>
      </c>
      <c r="AZ61" s="25" t="n">
        <v>0</v>
      </c>
      <c r="BA61" s="25" t="n">
        <v>0</v>
      </c>
      <c r="BB61" s="25" t="n">
        <v>0</v>
      </c>
      <c r="BC61" s="25" t="n">
        <v>0</v>
      </c>
      <c r="BD61" s="25" t="n">
        <v>0</v>
      </c>
      <c r="BE61" s="25" t="n">
        <v>0</v>
      </c>
      <c r="BF61" s="25" t="n">
        <v>0</v>
      </c>
      <c r="BG61" s="25" t="n">
        <v>0</v>
      </c>
      <c r="BH61" s="25" t="n">
        <v>0</v>
      </c>
      <c r="BI61" s="25" t="n">
        <v>0</v>
      </c>
      <c r="BJ61" s="25" t="n">
        <v>0</v>
      </c>
      <c r="BK61" s="25" t="n">
        <v>0</v>
      </c>
      <c r="BL61" s="25" t="n">
        <v>0</v>
      </c>
      <c r="BM61" s="25" t="n">
        <v>0</v>
      </c>
      <c r="BN61" s="25" t="n">
        <v>0</v>
      </c>
      <c r="BO61" s="25" t="n">
        <v>0</v>
      </c>
      <c r="BP61" s="25" t="n">
        <v>0</v>
      </c>
      <c r="BQ61" s="25" t="n">
        <v>0</v>
      </c>
      <c r="BR61" s="25" t="n">
        <v>0</v>
      </c>
      <c r="BS61" s="25" t="n">
        <v>0</v>
      </c>
      <c r="BT61" s="25" t="n">
        <v>0</v>
      </c>
      <c r="BU61" s="25" t="n">
        <v>0</v>
      </c>
      <c r="BV61" s="25" t="n">
        <v>0</v>
      </c>
      <c r="BW61" s="25" t="n">
        <v>0</v>
      </c>
      <c r="BX61" s="25" t="n">
        <v>0</v>
      </c>
      <c r="BY61" s="25" t="n">
        <v>0</v>
      </c>
      <c r="BZ61" s="25" t="n">
        <v>0</v>
      </c>
      <c r="CA61" s="25" t="n">
        <v>0</v>
      </c>
      <c r="CB61" s="25" t="n">
        <v>0</v>
      </c>
      <c r="CC61" s="25" t="n">
        <v>0</v>
      </c>
      <c r="CD61" s="25" t="n">
        <v>0</v>
      </c>
      <c r="CE61" s="25" t="n">
        <v>0</v>
      </c>
      <c r="CF61" s="25" t="n">
        <v>0</v>
      </c>
      <c r="CG61" s="25" t="n">
        <v>0</v>
      </c>
      <c r="CH61" s="25" t="n">
        <v>0</v>
      </c>
      <c r="CI61" s="25" t="n">
        <v>0</v>
      </c>
      <c r="CJ61" s="25" t="n">
        <v>0</v>
      </c>
      <c r="CK61" s="25" t="n">
        <v>0</v>
      </c>
      <c r="CL61" s="25" t="n">
        <v>0</v>
      </c>
      <c r="CM61" s="25" t="n">
        <v>0</v>
      </c>
      <c r="CN61" s="25" t="n">
        <v>0</v>
      </c>
      <c r="CO61" s="25" t="n">
        <v>0</v>
      </c>
      <c r="CP61" s="25" t="n">
        <v>0</v>
      </c>
      <c r="CQ61" s="25" t="n">
        <v>0</v>
      </c>
      <c r="CR61" s="25" t="n">
        <v>0</v>
      </c>
      <c r="CS61" s="25" t="n">
        <v>0</v>
      </c>
      <c r="CT61" s="25" t="n">
        <v>0</v>
      </c>
      <c r="CU61" s="25" t="n">
        <v>0</v>
      </c>
      <c r="CV61" s="25" t="n">
        <v>0</v>
      </c>
      <c r="CW61" s="25" t="n">
        <v>0</v>
      </c>
      <c r="CX61" s="25" t="n">
        <v>0</v>
      </c>
      <c r="CY61" s="25" t="n">
        <v>0</v>
      </c>
      <c r="CZ61" s="25" t="n">
        <v>0</v>
      </c>
      <c r="DA61" s="25" t="n">
        <v>0</v>
      </c>
    </row>
    <row r="62">
      <c r="A62" t="inlineStr">
        <is>
          <t>VSP-910</t>
        </is>
      </c>
      <c r="B62" s="25" t="n">
        <v>0</v>
      </c>
      <c r="C62" s="25" t="n">
        <v>0</v>
      </c>
      <c r="D62" s="25" t="n">
        <v>0</v>
      </c>
      <c r="E62" s="25" t="n">
        <v>0</v>
      </c>
      <c r="F62" s="25" t="n">
        <v>0</v>
      </c>
      <c r="G62" s="25" t="n">
        <v>0</v>
      </c>
      <c r="H62" s="25" t="n">
        <v>0</v>
      </c>
      <c r="I62" s="25" t="n">
        <v>0</v>
      </c>
      <c r="J62" s="25" t="n">
        <v>0</v>
      </c>
      <c r="K62" s="25" t="n">
        <v>0</v>
      </c>
      <c r="L62" s="25" t="n">
        <v>0</v>
      </c>
      <c r="M62" s="25" t="n">
        <v>0</v>
      </c>
      <c r="N62" s="25" t="n">
        <v>0</v>
      </c>
      <c r="O62" s="25" t="n">
        <v>0</v>
      </c>
      <c r="P62" s="25" t="n">
        <v>0</v>
      </c>
      <c r="Q62" s="25" t="n">
        <v>0</v>
      </c>
      <c r="R62" s="25" t="n">
        <v>0</v>
      </c>
      <c r="S62" s="25" t="n">
        <v>0</v>
      </c>
      <c r="T62" s="25" t="n">
        <v>0</v>
      </c>
      <c r="U62" s="25" t="n">
        <v>0</v>
      </c>
      <c r="V62" s="25" t="n">
        <v>0</v>
      </c>
      <c r="W62" s="25" t="n">
        <v>0</v>
      </c>
      <c r="X62" s="25" t="n">
        <v>0</v>
      </c>
      <c r="Y62" s="25" t="n">
        <v>0</v>
      </c>
      <c r="Z62" s="25" t="n">
        <v>0</v>
      </c>
      <c r="AA62" s="25" t="n">
        <v>0</v>
      </c>
      <c r="AB62" s="25" t="n">
        <v>0</v>
      </c>
      <c r="AC62" s="25" t="n">
        <v>0</v>
      </c>
      <c r="AD62" s="25" t="n">
        <v>0</v>
      </c>
      <c r="AE62" s="25" t="n">
        <v>0</v>
      </c>
      <c r="AF62" s="25" t="n">
        <v>0</v>
      </c>
      <c r="AG62" s="25" t="n">
        <v>0</v>
      </c>
      <c r="AH62" s="25" t="n">
        <v>0</v>
      </c>
      <c r="AI62" s="25" t="n">
        <v>0</v>
      </c>
      <c r="AJ62" s="25" t="n">
        <v>0</v>
      </c>
      <c r="AK62" s="25" t="n">
        <v>0</v>
      </c>
      <c r="AL62" s="25" t="n">
        <v>0</v>
      </c>
      <c r="AM62" s="25" t="n">
        <v>0</v>
      </c>
      <c r="AN62" s="25" t="n">
        <v>0</v>
      </c>
      <c r="AO62" s="25" t="n">
        <v>0</v>
      </c>
      <c r="AP62" s="25" t="n">
        <v>0</v>
      </c>
      <c r="AQ62" s="25" t="n">
        <v>0</v>
      </c>
      <c r="AR62" s="25" t="n">
        <v>0</v>
      </c>
      <c r="AS62" s="25" t="n">
        <v>0</v>
      </c>
      <c r="AT62" s="25" t="n">
        <v>0</v>
      </c>
      <c r="AU62" s="25" t="n">
        <v>0</v>
      </c>
      <c r="AV62" s="25" t="n">
        <v>0</v>
      </c>
      <c r="AW62" s="25" t="n">
        <v>0</v>
      </c>
      <c r="AX62" s="25" t="n">
        <v>0</v>
      </c>
      <c r="AY62" s="25" t="n">
        <v>0</v>
      </c>
      <c r="AZ62" s="25" t="n">
        <v>0</v>
      </c>
      <c r="BA62" s="25" t="n">
        <v>0</v>
      </c>
      <c r="BB62" s="25" t="n">
        <v>0</v>
      </c>
      <c r="BC62" s="25" t="n">
        <v>0</v>
      </c>
      <c r="BD62" s="25" t="n">
        <v>0</v>
      </c>
      <c r="BE62" s="25" t="n">
        <v>0</v>
      </c>
      <c r="BF62" s="25" t="n">
        <v>0</v>
      </c>
      <c r="BG62" s="25" t="n">
        <v>0</v>
      </c>
      <c r="BH62" s="25" t="n">
        <v>0</v>
      </c>
      <c r="BI62" s="25" t="n">
        <v>0</v>
      </c>
      <c r="BJ62" s="25" t="n">
        <v>0</v>
      </c>
      <c r="BK62" s="25" t="n">
        <v>0</v>
      </c>
      <c r="BL62" s="25" t="n">
        <v>0</v>
      </c>
      <c r="BM62" s="25" t="n">
        <v>0</v>
      </c>
      <c r="BN62" s="25" t="n">
        <v>0</v>
      </c>
      <c r="BO62" s="25" t="n">
        <v>0</v>
      </c>
      <c r="BP62" s="25" t="n">
        <v>0</v>
      </c>
      <c r="BQ62" s="25" t="n">
        <v>0</v>
      </c>
      <c r="BR62" s="25" t="n">
        <v>0</v>
      </c>
      <c r="BS62" s="25" t="n">
        <v>0</v>
      </c>
      <c r="BT62" s="25" t="n">
        <v>0</v>
      </c>
      <c r="BU62" s="25" t="n">
        <v>0</v>
      </c>
      <c r="BV62" s="25" t="n">
        <v>0</v>
      </c>
      <c r="BW62" s="25" t="n">
        <v>0</v>
      </c>
      <c r="BX62" s="25" t="n">
        <v>0</v>
      </c>
      <c r="BY62" s="25" t="n">
        <v>0</v>
      </c>
      <c r="BZ62" s="25" t="n">
        <v>0</v>
      </c>
      <c r="CA62" s="25" t="n">
        <v>0</v>
      </c>
      <c r="CB62" s="25" t="n">
        <v>0</v>
      </c>
      <c r="CC62" s="25" t="n">
        <v>0</v>
      </c>
      <c r="CD62" s="25" t="n">
        <v>0</v>
      </c>
      <c r="CE62" s="25" t="n">
        <v>0</v>
      </c>
      <c r="CF62" s="25" t="n">
        <v>0</v>
      </c>
      <c r="CG62" s="25" t="n">
        <v>0</v>
      </c>
      <c r="CH62" s="25" t="n">
        <v>0</v>
      </c>
      <c r="CI62" s="25" t="n">
        <v>0</v>
      </c>
      <c r="CJ62" s="25" t="n">
        <v>0</v>
      </c>
      <c r="CK62" s="25" t="n">
        <v>0</v>
      </c>
      <c r="CL62" s="25" t="n">
        <v>0</v>
      </c>
      <c r="CM62" s="25" t="n">
        <v>0</v>
      </c>
      <c r="CN62" s="25" t="n">
        <v>0</v>
      </c>
      <c r="CO62" s="25" t="n">
        <v>0</v>
      </c>
      <c r="CP62" s="25" t="n">
        <v>0</v>
      </c>
      <c r="CQ62" s="25" t="n">
        <v>0</v>
      </c>
      <c r="CR62" s="25" t="n">
        <v>0</v>
      </c>
      <c r="CS62" s="25" t="n">
        <v>0</v>
      </c>
      <c r="CT62" s="25" t="n">
        <v>0</v>
      </c>
      <c r="CU62" s="25" t="n">
        <v>0</v>
      </c>
      <c r="CV62" s="25" t="n">
        <v>0</v>
      </c>
      <c r="CW62" s="25" t="n">
        <v>0</v>
      </c>
      <c r="CX62" s="25" t="n">
        <v>0</v>
      </c>
      <c r="CY62" s="25" t="n">
        <v>0</v>
      </c>
      <c r="CZ62" s="25" t="n">
        <v>0</v>
      </c>
      <c r="DA62" s="25" t="n">
        <v>0</v>
      </c>
    </row>
    <row r="63">
      <c r="A63" t="inlineStr">
        <is>
          <t>VSP-989</t>
        </is>
      </c>
      <c r="B63" s="25" t="n">
        <v>0</v>
      </c>
      <c r="C63" s="25" t="n">
        <v>0</v>
      </c>
      <c r="D63" s="25" t="n">
        <v>0</v>
      </c>
      <c r="E63" s="25" t="n">
        <v>0</v>
      </c>
      <c r="F63" s="25" t="n">
        <v>0</v>
      </c>
      <c r="G63" s="25" t="n">
        <v>0</v>
      </c>
      <c r="H63" s="25" t="n">
        <v>0</v>
      </c>
      <c r="I63" s="25" t="n">
        <v>0</v>
      </c>
      <c r="J63" s="25" t="n">
        <v>0</v>
      </c>
      <c r="K63" s="25" t="n">
        <v>0</v>
      </c>
      <c r="L63" s="25" t="n">
        <v>0</v>
      </c>
      <c r="M63" s="25" t="n">
        <v>0</v>
      </c>
      <c r="N63" s="25" t="n">
        <v>0</v>
      </c>
      <c r="O63" s="25" t="n">
        <v>0</v>
      </c>
      <c r="P63" s="25" t="n">
        <v>0</v>
      </c>
      <c r="Q63" s="25" t="n">
        <v>0</v>
      </c>
      <c r="R63" s="25" t="n">
        <v>0</v>
      </c>
      <c r="S63" s="25" t="n">
        <v>0</v>
      </c>
      <c r="T63" s="25" t="n">
        <v>0</v>
      </c>
      <c r="U63" s="25" t="n">
        <v>0</v>
      </c>
      <c r="V63" s="25" t="n">
        <v>0</v>
      </c>
      <c r="W63" s="25" t="n">
        <v>0</v>
      </c>
      <c r="X63" s="25" t="n">
        <v>0</v>
      </c>
      <c r="Y63" s="25" t="n">
        <v>0</v>
      </c>
      <c r="Z63" s="25" t="n">
        <v>0</v>
      </c>
      <c r="AA63" s="25" t="n">
        <v>0</v>
      </c>
      <c r="AB63" s="25" t="n">
        <v>0</v>
      </c>
      <c r="AC63" s="25" t="n">
        <v>0</v>
      </c>
      <c r="AD63" s="25" t="n">
        <v>0</v>
      </c>
      <c r="AE63" s="25" t="n">
        <v>0</v>
      </c>
      <c r="AF63" s="25" t="n">
        <v>0</v>
      </c>
      <c r="AG63" s="25" t="n">
        <v>0</v>
      </c>
      <c r="AH63" s="25" t="n">
        <v>0</v>
      </c>
      <c r="AI63" s="25" t="n">
        <v>0</v>
      </c>
      <c r="AJ63" s="25" t="n">
        <v>0</v>
      </c>
      <c r="AK63" s="25" t="n">
        <v>0</v>
      </c>
      <c r="AL63" s="25" t="n">
        <v>0</v>
      </c>
      <c r="AM63" s="25" t="n">
        <v>0</v>
      </c>
      <c r="AN63" s="25" t="n">
        <v>0</v>
      </c>
      <c r="AO63" s="25" t="n">
        <v>0</v>
      </c>
      <c r="AP63" s="25" t="n">
        <v>0</v>
      </c>
      <c r="AQ63" s="25" t="n">
        <v>0</v>
      </c>
      <c r="AR63" s="25" t="n">
        <v>0</v>
      </c>
      <c r="AS63" s="25" t="n">
        <v>0</v>
      </c>
      <c r="AT63" s="25" t="n">
        <v>0</v>
      </c>
      <c r="AU63" s="25" t="n">
        <v>0</v>
      </c>
      <c r="AV63" s="25" t="n">
        <v>0</v>
      </c>
      <c r="AW63" s="25" t="n">
        <v>0</v>
      </c>
      <c r="AX63" s="25" t="n">
        <v>0</v>
      </c>
      <c r="AY63" s="25" t="n">
        <v>0</v>
      </c>
      <c r="AZ63" s="25" t="n">
        <v>0</v>
      </c>
      <c r="BA63" s="25" t="n">
        <v>0</v>
      </c>
      <c r="BB63" s="25" t="n">
        <v>0</v>
      </c>
      <c r="BC63" s="25" t="n">
        <v>0</v>
      </c>
      <c r="BD63" s="25" t="n">
        <v>0</v>
      </c>
      <c r="BE63" s="25" t="n">
        <v>0</v>
      </c>
      <c r="BF63" s="25" t="n">
        <v>0</v>
      </c>
      <c r="BG63" s="25" t="n">
        <v>0</v>
      </c>
      <c r="BH63" s="25" t="n">
        <v>0</v>
      </c>
      <c r="BI63" s="25" t="n">
        <v>0</v>
      </c>
      <c r="BJ63" s="25" t="n">
        <v>0</v>
      </c>
      <c r="BK63" s="25" t="n">
        <v>0</v>
      </c>
      <c r="BL63" s="25" t="n">
        <v>0</v>
      </c>
      <c r="BM63" s="25" t="n">
        <v>0</v>
      </c>
      <c r="BN63" s="25" t="n">
        <v>0</v>
      </c>
      <c r="BO63" s="25" t="n">
        <v>0</v>
      </c>
      <c r="BP63" s="25" t="n">
        <v>0</v>
      </c>
      <c r="BQ63" s="25" t="n">
        <v>0</v>
      </c>
      <c r="BR63" s="25" t="n">
        <v>0</v>
      </c>
      <c r="BS63" s="25" t="n">
        <v>0</v>
      </c>
      <c r="BT63" s="25" t="n">
        <v>0</v>
      </c>
      <c r="BU63" s="25" t="n">
        <v>0</v>
      </c>
      <c r="BV63" s="25" t="n">
        <v>0</v>
      </c>
      <c r="BW63" s="25" t="n">
        <v>0</v>
      </c>
      <c r="BX63" s="25" t="n">
        <v>0</v>
      </c>
      <c r="BY63" s="25" t="n">
        <v>0</v>
      </c>
      <c r="BZ63" s="25" t="n">
        <v>0</v>
      </c>
      <c r="CA63" s="25" t="n">
        <v>0</v>
      </c>
      <c r="CB63" s="25" t="n">
        <v>0</v>
      </c>
      <c r="CC63" s="25" t="n">
        <v>0</v>
      </c>
      <c r="CD63" s="25" t="n">
        <v>0</v>
      </c>
      <c r="CE63" s="25" t="n">
        <v>0</v>
      </c>
      <c r="CF63" s="25" t="n">
        <v>0</v>
      </c>
      <c r="CG63" s="25" t="n">
        <v>0</v>
      </c>
      <c r="CH63" s="25" t="n">
        <v>0</v>
      </c>
      <c r="CI63" s="25" t="n">
        <v>0</v>
      </c>
      <c r="CJ63" s="25" t="n">
        <v>0</v>
      </c>
      <c r="CK63" s="25" t="n">
        <v>0</v>
      </c>
      <c r="CL63" s="25" t="n">
        <v>0</v>
      </c>
      <c r="CM63" s="25" t="n">
        <v>0</v>
      </c>
      <c r="CN63" s="25" t="n">
        <v>0</v>
      </c>
      <c r="CO63" s="25" t="n">
        <v>0</v>
      </c>
      <c r="CP63" s="25" t="n">
        <v>0</v>
      </c>
      <c r="CQ63" s="25" t="n">
        <v>0</v>
      </c>
      <c r="CR63" s="25" t="n">
        <v>0</v>
      </c>
      <c r="CS63" s="25" t="n">
        <v>0</v>
      </c>
      <c r="CT63" s="25" t="n">
        <v>0</v>
      </c>
      <c r="CU63" s="25" t="n">
        <v>0</v>
      </c>
      <c r="CV63" s="25" t="n">
        <v>0</v>
      </c>
      <c r="CW63" s="25" t="n">
        <v>0</v>
      </c>
      <c r="CX63" s="25" t="n">
        <v>0</v>
      </c>
      <c r="CY63" s="25" t="n">
        <v>0</v>
      </c>
      <c r="CZ63" s="25" t="n">
        <v>0</v>
      </c>
      <c r="DA63" s="25" t="n">
        <v>0</v>
      </c>
    </row>
    <row r="64">
      <c r="A64" t="inlineStr">
        <is>
          <t>VSP-990</t>
        </is>
      </c>
      <c r="B64" s="25" t="n">
        <v>0</v>
      </c>
      <c r="C64" s="25" t="n">
        <v>0</v>
      </c>
      <c r="D64" s="25" t="n">
        <v>0</v>
      </c>
      <c r="E64" s="25" t="n">
        <v>0</v>
      </c>
      <c r="F64" s="25" t="n">
        <v>0</v>
      </c>
      <c r="G64" s="25" t="n">
        <v>0</v>
      </c>
      <c r="H64" s="25" t="n">
        <v>0</v>
      </c>
      <c r="I64" s="25" t="n">
        <v>0</v>
      </c>
      <c r="J64" s="25" t="n">
        <v>0</v>
      </c>
      <c r="K64" s="25" t="n">
        <v>0</v>
      </c>
      <c r="L64" s="25" t="n">
        <v>0</v>
      </c>
      <c r="M64" s="25" t="n">
        <v>0</v>
      </c>
      <c r="N64" s="25" t="n">
        <v>0</v>
      </c>
      <c r="O64" s="25" t="n">
        <v>0</v>
      </c>
      <c r="P64" s="25" t="n">
        <v>0</v>
      </c>
      <c r="Q64" s="25" t="n">
        <v>0</v>
      </c>
      <c r="R64" s="25" t="n">
        <v>0</v>
      </c>
      <c r="S64" s="25" t="n">
        <v>0</v>
      </c>
      <c r="T64" s="25" t="n">
        <v>0</v>
      </c>
      <c r="U64" s="25" t="n">
        <v>0</v>
      </c>
      <c r="V64" s="25" t="n">
        <v>0</v>
      </c>
      <c r="W64" s="25" t="n">
        <v>0</v>
      </c>
      <c r="X64" s="25" t="n">
        <v>0</v>
      </c>
      <c r="Y64" s="25" t="n">
        <v>0</v>
      </c>
      <c r="Z64" s="25" t="n">
        <v>0</v>
      </c>
      <c r="AA64" s="25" t="n">
        <v>0</v>
      </c>
      <c r="AB64" s="25" t="n">
        <v>0</v>
      </c>
      <c r="AC64" s="25" t="n">
        <v>0</v>
      </c>
      <c r="AD64" s="25" t="n">
        <v>0</v>
      </c>
      <c r="AE64" s="25" t="n">
        <v>0</v>
      </c>
      <c r="AF64" s="25" t="n">
        <v>0</v>
      </c>
      <c r="AG64" s="25" t="n">
        <v>0</v>
      </c>
      <c r="AH64" s="25" t="n">
        <v>0</v>
      </c>
      <c r="AI64" s="25" t="n">
        <v>0</v>
      </c>
      <c r="AJ64" s="25" t="n">
        <v>0</v>
      </c>
      <c r="AK64" s="25" t="n">
        <v>0</v>
      </c>
      <c r="AL64" s="25" t="n">
        <v>0</v>
      </c>
      <c r="AM64" s="25" t="n">
        <v>0</v>
      </c>
      <c r="AN64" s="25" t="n">
        <v>0</v>
      </c>
      <c r="AO64" s="25" t="n">
        <v>0</v>
      </c>
      <c r="AP64" s="25" t="n">
        <v>0</v>
      </c>
      <c r="AQ64" s="25" t="n">
        <v>0</v>
      </c>
      <c r="AR64" s="25" t="n">
        <v>0</v>
      </c>
      <c r="AS64" s="25" t="n">
        <v>0</v>
      </c>
      <c r="AT64" s="25" t="n">
        <v>0</v>
      </c>
      <c r="AU64" s="25" t="n">
        <v>0</v>
      </c>
      <c r="AV64" s="25" t="n">
        <v>0</v>
      </c>
      <c r="AW64" s="25" t="n">
        <v>0</v>
      </c>
      <c r="AX64" s="25" t="n">
        <v>0</v>
      </c>
      <c r="AY64" s="25" t="n">
        <v>0</v>
      </c>
      <c r="AZ64" s="25" t="n">
        <v>0</v>
      </c>
      <c r="BA64" s="25" t="n">
        <v>0</v>
      </c>
      <c r="BB64" s="25" t="n">
        <v>0</v>
      </c>
      <c r="BC64" s="25" t="n">
        <v>0</v>
      </c>
      <c r="BD64" s="25" t="n">
        <v>0</v>
      </c>
      <c r="BE64" s="25" t="n">
        <v>0</v>
      </c>
      <c r="BF64" s="25" t="n">
        <v>0</v>
      </c>
      <c r="BG64" s="25" t="n">
        <v>0</v>
      </c>
      <c r="BH64" s="25" t="n">
        <v>0</v>
      </c>
      <c r="BI64" s="25" t="n">
        <v>0</v>
      </c>
      <c r="BJ64" s="25" t="n">
        <v>0</v>
      </c>
      <c r="BK64" s="25" t="n">
        <v>0</v>
      </c>
      <c r="BL64" s="25" t="n">
        <v>0</v>
      </c>
      <c r="BM64" s="25" t="n">
        <v>0</v>
      </c>
      <c r="BN64" s="25" t="n">
        <v>0</v>
      </c>
      <c r="BO64" s="25" t="n">
        <v>0</v>
      </c>
      <c r="BP64" s="25" t="n">
        <v>0</v>
      </c>
      <c r="BQ64" s="25" t="n">
        <v>0</v>
      </c>
      <c r="BR64" s="25" t="n">
        <v>0</v>
      </c>
      <c r="BS64" s="25" t="n">
        <v>0</v>
      </c>
      <c r="BT64" s="25" t="n">
        <v>0</v>
      </c>
      <c r="BU64" s="25" t="n">
        <v>0</v>
      </c>
      <c r="BV64" s="25" t="n">
        <v>0</v>
      </c>
      <c r="BW64" s="25" t="n">
        <v>0</v>
      </c>
      <c r="BX64" s="25" t="n">
        <v>0</v>
      </c>
      <c r="BY64" s="25" t="n">
        <v>0</v>
      </c>
      <c r="BZ64" s="25" t="n">
        <v>0</v>
      </c>
      <c r="CA64" s="25" t="n">
        <v>0</v>
      </c>
      <c r="CB64" s="25" t="n">
        <v>0</v>
      </c>
      <c r="CC64" s="25" t="n">
        <v>0</v>
      </c>
      <c r="CD64" s="25" t="n">
        <v>0</v>
      </c>
      <c r="CE64" s="25" t="n">
        <v>0</v>
      </c>
      <c r="CF64" s="25" t="n">
        <v>0</v>
      </c>
      <c r="CG64" s="25" t="n">
        <v>0</v>
      </c>
      <c r="CH64" s="25" t="n">
        <v>0</v>
      </c>
      <c r="CI64" s="25" t="n">
        <v>0</v>
      </c>
      <c r="CJ64" s="25" t="n">
        <v>0</v>
      </c>
      <c r="CK64" s="25" t="n">
        <v>0</v>
      </c>
      <c r="CL64" s="25" t="n">
        <v>0</v>
      </c>
      <c r="CM64" s="25" t="n">
        <v>0</v>
      </c>
      <c r="CN64" s="25" t="n">
        <v>0</v>
      </c>
      <c r="CO64" s="25" t="n">
        <v>0</v>
      </c>
      <c r="CP64" s="25" t="n">
        <v>0</v>
      </c>
      <c r="CQ64" s="25" t="n">
        <v>0</v>
      </c>
      <c r="CR64" s="25" t="n">
        <v>0</v>
      </c>
      <c r="CS64" s="25" t="n">
        <v>0</v>
      </c>
      <c r="CT64" s="25" t="n">
        <v>0</v>
      </c>
      <c r="CU64" s="25" t="n">
        <v>0</v>
      </c>
      <c r="CV64" s="25" t="n">
        <v>0</v>
      </c>
      <c r="CW64" s="25" t="n">
        <v>0</v>
      </c>
      <c r="CX64" s="25" t="n">
        <v>0</v>
      </c>
      <c r="CY64" s="25" t="n">
        <v>0</v>
      </c>
      <c r="CZ64" s="25" t="n">
        <v>0</v>
      </c>
      <c r="DA64" s="25" t="n">
        <v>0</v>
      </c>
    </row>
    <row r="65">
      <c r="A65" t="inlineStr">
        <is>
          <t>TPP-190</t>
        </is>
      </c>
      <c r="B65" s="25" t="n">
        <v>0</v>
      </c>
      <c r="C65" s="25" t="n">
        <v>0</v>
      </c>
      <c r="D65" s="25" t="n">
        <v>0</v>
      </c>
      <c r="E65" s="25" t="n">
        <v>0</v>
      </c>
      <c r="F65" s="25" t="n">
        <v>0</v>
      </c>
      <c r="G65" s="25" t="n">
        <v>0</v>
      </c>
      <c r="H65" s="25" t="n">
        <v>0</v>
      </c>
      <c r="I65" s="25" t="n">
        <v>0</v>
      </c>
      <c r="J65" s="25" t="n">
        <v>0</v>
      </c>
      <c r="K65" s="25" t="n">
        <v>0</v>
      </c>
      <c r="L65" s="25" t="n">
        <v>0</v>
      </c>
      <c r="M65" s="25" t="n">
        <v>0</v>
      </c>
      <c r="N65" s="25" t="n">
        <v>0</v>
      </c>
      <c r="O65" s="25" t="n">
        <v>0</v>
      </c>
      <c r="P65" s="25" t="n">
        <v>0</v>
      </c>
      <c r="Q65" s="25" t="n">
        <v>0</v>
      </c>
      <c r="R65" s="25" t="n">
        <v>0</v>
      </c>
      <c r="S65" s="25" t="n">
        <v>0</v>
      </c>
      <c r="T65" s="25" t="n">
        <v>0</v>
      </c>
      <c r="U65" s="25" t="n">
        <v>0</v>
      </c>
      <c r="V65" s="25" t="n">
        <v>0</v>
      </c>
      <c r="W65" s="25" t="n">
        <v>0</v>
      </c>
      <c r="X65" s="25" t="n">
        <v>0</v>
      </c>
      <c r="Y65" s="25" t="n">
        <v>0</v>
      </c>
      <c r="Z65" s="25" t="n">
        <v>0</v>
      </c>
      <c r="AA65" s="25" t="n">
        <v>0</v>
      </c>
      <c r="AB65" s="25" t="n">
        <v>0</v>
      </c>
      <c r="AC65" s="25" t="n">
        <v>0</v>
      </c>
      <c r="AD65" s="25" t="n">
        <v>0</v>
      </c>
      <c r="AE65" s="25" t="n">
        <v>0</v>
      </c>
      <c r="AF65" s="25" t="n">
        <v>0</v>
      </c>
      <c r="AG65" s="25" t="n">
        <v>0</v>
      </c>
      <c r="AH65" s="25" t="n">
        <v>0</v>
      </c>
      <c r="AI65" s="25" t="n">
        <v>0</v>
      </c>
      <c r="AJ65" s="25" t="n">
        <v>0</v>
      </c>
      <c r="AK65" s="25" t="n">
        <v>0</v>
      </c>
      <c r="AL65" s="25" t="n">
        <v>0</v>
      </c>
      <c r="AM65" s="25" t="n">
        <v>0</v>
      </c>
      <c r="AN65" s="25" t="n">
        <v>0</v>
      </c>
      <c r="AO65" s="25" t="n">
        <v>0</v>
      </c>
      <c r="AP65" s="25" t="n">
        <v>0</v>
      </c>
      <c r="AQ65" s="25" t="n">
        <v>0</v>
      </c>
      <c r="AR65" s="25" t="n">
        <v>0</v>
      </c>
      <c r="AS65" s="25" t="n">
        <v>0</v>
      </c>
      <c r="AT65" s="25" t="n">
        <v>0</v>
      </c>
      <c r="AU65" s="25" t="n">
        <v>0</v>
      </c>
      <c r="AV65" s="25" t="n">
        <v>0</v>
      </c>
      <c r="AW65" s="25" t="n">
        <v>0</v>
      </c>
      <c r="AX65" s="25" t="n">
        <v>0</v>
      </c>
      <c r="AY65" s="25" t="n">
        <v>0</v>
      </c>
      <c r="AZ65" s="25" t="n">
        <v>0</v>
      </c>
      <c r="BA65" s="25" t="n">
        <v>0</v>
      </c>
      <c r="BB65" s="25" t="n">
        <v>0</v>
      </c>
      <c r="BC65" s="25" t="n">
        <v>0</v>
      </c>
      <c r="BD65" s="25" t="n">
        <v>0</v>
      </c>
      <c r="BE65" s="25" t="n">
        <v>0</v>
      </c>
      <c r="BF65" s="25" t="n">
        <v>0</v>
      </c>
      <c r="BG65" s="25" t="n">
        <v>0</v>
      </c>
      <c r="BH65" s="25" t="n">
        <v>0</v>
      </c>
      <c r="BI65" s="25" t="n">
        <v>0</v>
      </c>
      <c r="BJ65" s="25" t="n">
        <v>0</v>
      </c>
      <c r="BK65" s="25" t="n">
        <v>0</v>
      </c>
      <c r="BL65" s="25" t="n">
        <v>0</v>
      </c>
      <c r="BM65" s="25" t="n">
        <v>0</v>
      </c>
      <c r="BN65" s="25" t="n">
        <v>0</v>
      </c>
      <c r="BO65" s="25" t="n">
        <v>0</v>
      </c>
      <c r="BP65" s="25" t="n">
        <v>0</v>
      </c>
      <c r="BQ65" s="25" t="n">
        <v>0</v>
      </c>
      <c r="BR65" s="25" t="n">
        <v>0</v>
      </c>
      <c r="BS65" s="25" t="n">
        <v>0</v>
      </c>
      <c r="BT65" s="25" t="n">
        <v>0</v>
      </c>
      <c r="BU65" s="25" t="n">
        <v>0</v>
      </c>
      <c r="BV65" s="25" t="n">
        <v>0</v>
      </c>
      <c r="BW65" s="25" t="n">
        <v>0</v>
      </c>
      <c r="BX65" s="25" t="n">
        <v>0</v>
      </c>
      <c r="BY65" s="25" t="n">
        <v>0</v>
      </c>
      <c r="BZ65" s="25" t="n">
        <v>0</v>
      </c>
      <c r="CA65" s="25" t="n">
        <v>0</v>
      </c>
      <c r="CB65" s="25" t="n">
        <v>0</v>
      </c>
      <c r="CC65" s="25" t="n">
        <v>0</v>
      </c>
      <c r="CD65" s="25" t="n">
        <v>0</v>
      </c>
      <c r="CE65" s="25" t="n">
        <v>0</v>
      </c>
      <c r="CF65" s="25" t="n">
        <v>0</v>
      </c>
      <c r="CG65" s="25" t="n">
        <v>0</v>
      </c>
      <c r="CH65" s="25" t="n">
        <v>0</v>
      </c>
      <c r="CI65" s="25" t="n">
        <v>0</v>
      </c>
      <c r="CJ65" s="25" t="n">
        <v>0</v>
      </c>
      <c r="CK65" s="25" t="n">
        <v>0</v>
      </c>
      <c r="CL65" s="25" t="n">
        <v>0</v>
      </c>
      <c r="CM65" s="25" t="n">
        <v>0</v>
      </c>
      <c r="CN65" s="25" t="n">
        <v>0</v>
      </c>
      <c r="CO65" s="25" t="n">
        <v>0</v>
      </c>
      <c r="CP65" s="25" t="n">
        <v>0</v>
      </c>
      <c r="CQ65" s="25" t="n">
        <v>0</v>
      </c>
      <c r="CR65" s="25" t="n">
        <v>0</v>
      </c>
      <c r="CS65" s="25" t="n">
        <v>0</v>
      </c>
      <c r="CT65" s="25" t="n">
        <v>0</v>
      </c>
      <c r="CU65" s="25" t="n">
        <v>0</v>
      </c>
      <c r="CV65" s="25" t="n">
        <v>0</v>
      </c>
      <c r="CW65" s="25" t="n">
        <v>0</v>
      </c>
      <c r="CX65" s="25" t="n">
        <v>0</v>
      </c>
      <c r="CY65" s="25" t="n">
        <v>0</v>
      </c>
      <c r="CZ65" s="25" t="n">
        <v>0</v>
      </c>
      <c r="DA65" s="25" t="n">
        <v>0</v>
      </c>
    </row>
    <row r="66">
      <c r="A66" t="inlineStr">
        <is>
          <t>TPP-204</t>
        </is>
      </c>
      <c r="B66" s="25" t="n">
        <v>0</v>
      </c>
      <c r="C66" s="25" t="n">
        <v>0</v>
      </c>
      <c r="D66" s="25" t="n">
        <v>0</v>
      </c>
      <c r="E66" s="25" t="n">
        <v>0</v>
      </c>
      <c r="F66" s="25" t="n">
        <v>0</v>
      </c>
      <c r="G66" s="25" t="n">
        <v>0</v>
      </c>
      <c r="H66" s="25" t="n">
        <v>0</v>
      </c>
      <c r="I66" s="25" t="n">
        <v>0</v>
      </c>
      <c r="J66" s="25" t="n">
        <v>0</v>
      </c>
      <c r="K66" s="25" t="n">
        <v>0</v>
      </c>
      <c r="L66" s="25" t="n">
        <v>0</v>
      </c>
      <c r="M66" s="25" t="n">
        <v>0</v>
      </c>
      <c r="N66" s="25" t="n">
        <v>0</v>
      </c>
      <c r="O66" s="25" t="n">
        <v>0</v>
      </c>
      <c r="P66" s="25" t="n">
        <v>0</v>
      </c>
      <c r="Q66" s="25" t="n">
        <v>0</v>
      </c>
      <c r="R66" s="25" t="n">
        <v>0</v>
      </c>
      <c r="S66" s="25" t="n">
        <v>0</v>
      </c>
      <c r="T66" s="25" t="n">
        <v>0</v>
      </c>
      <c r="U66" s="25" t="n">
        <v>0</v>
      </c>
      <c r="V66" s="25" t="n">
        <v>0</v>
      </c>
      <c r="W66" s="25" t="n">
        <v>0</v>
      </c>
      <c r="X66" s="25" t="n">
        <v>0</v>
      </c>
      <c r="Y66" s="25" t="n">
        <v>0</v>
      </c>
      <c r="Z66" s="25" t="n">
        <v>0</v>
      </c>
      <c r="AA66" s="25" t="n">
        <v>0</v>
      </c>
      <c r="AB66" s="25" t="n">
        <v>0</v>
      </c>
      <c r="AC66" s="25" t="n">
        <v>0</v>
      </c>
      <c r="AD66" s="25" t="n">
        <v>0</v>
      </c>
      <c r="AE66" s="25" t="n">
        <v>0</v>
      </c>
      <c r="AF66" s="25" t="n">
        <v>0</v>
      </c>
      <c r="AG66" s="25" t="n">
        <v>0</v>
      </c>
      <c r="AH66" s="25" t="n">
        <v>0</v>
      </c>
      <c r="AI66" s="25" t="n">
        <v>0</v>
      </c>
      <c r="AJ66" s="25" t="n">
        <v>0</v>
      </c>
      <c r="AK66" s="25" t="n">
        <v>0</v>
      </c>
      <c r="AL66" s="25" t="n">
        <v>0</v>
      </c>
      <c r="AM66" s="25" t="n">
        <v>0</v>
      </c>
      <c r="AN66" s="25" t="n">
        <v>0</v>
      </c>
      <c r="AO66" s="25" t="n">
        <v>0</v>
      </c>
      <c r="AP66" s="25" t="n">
        <v>0</v>
      </c>
      <c r="AQ66" s="25" t="n">
        <v>0</v>
      </c>
      <c r="AR66" s="25" t="n">
        <v>0</v>
      </c>
      <c r="AS66" s="25" t="n">
        <v>0</v>
      </c>
      <c r="AT66" s="25" t="n">
        <v>0</v>
      </c>
      <c r="AU66" s="25" t="n">
        <v>0</v>
      </c>
      <c r="AV66" s="25" t="n">
        <v>0</v>
      </c>
      <c r="AW66" s="25" t="n">
        <v>0</v>
      </c>
      <c r="AX66" s="25" t="n">
        <v>0</v>
      </c>
      <c r="AY66" s="25" t="n">
        <v>0</v>
      </c>
      <c r="AZ66" s="25" t="n">
        <v>0</v>
      </c>
      <c r="BA66" s="25" t="n">
        <v>0</v>
      </c>
      <c r="BB66" s="25" t="n">
        <v>0</v>
      </c>
      <c r="BC66" s="25" t="n">
        <v>0</v>
      </c>
      <c r="BD66" s="25" t="n">
        <v>0</v>
      </c>
      <c r="BE66" s="25" t="n">
        <v>0</v>
      </c>
      <c r="BF66" s="25" t="n">
        <v>0</v>
      </c>
      <c r="BG66" s="25" t="n">
        <v>0</v>
      </c>
      <c r="BH66" s="25" t="n">
        <v>0</v>
      </c>
      <c r="BI66" s="25" t="n">
        <v>0</v>
      </c>
      <c r="BJ66" s="25" t="n">
        <v>0</v>
      </c>
      <c r="BK66" s="25" t="n">
        <v>0</v>
      </c>
      <c r="BL66" s="25" t="n">
        <v>0</v>
      </c>
      <c r="BM66" s="25" t="n">
        <v>0</v>
      </c>
      <c r="BN66" s="25" t="n">
        <v>0</v>
      </c>
      <c r="BO66" s="25" t="n">
        <v>0</v>
      </c>
      <c r="BP66" s="25" t="n">
        <v>0</v>
      </c>
      <c r="BQ66" s="25" t="n">
        <v>0</v>
      </c>
      <c r="BR66" s="25" t="n">
        <v>0</v>
      </c>
      <c r="BS66" s="25" t="n">
        <v>0</v>
      </c>
      <c r="BT66" s="25" t="n">
        <v>0</v>
      </c>
      <c r="BU66" s="25" t="n">
        <v>0</v>
      </c>
      <c r="BV66" s="25" t="n">
        <v>0</v>
      </c>
      <c r="BW66" s="25" t="n">
        <v>0</v>
      </c>
      <c r="BX66" s="25" t="n">
        <v>0</v>
      </c>
      <c r="BY66" s="25" t="n">
        <v>0</v>
      </c>
      <c r="BZ66" s="25" t="n">
        <v>0</v>
      </c>
      <c r="CA66" s="25" t="n">
        <v>0</v>
      </c>
      <c r="CB66" s="25" t="n">
        <v>0</v>
      </c>
      <c r="CC66" s="25" t="n">
        <v>0</v>
      </c>
      <c r="CD66" s="25" t="n">
        <v>0</v>
      </c>
      <c r="CE66" s="25" t="n">
        <v>0</v>
      </c>
      <c r="CF66" s="25" t="n">
        <v>0</v>
      </c>
      <c r="CG66" s="25" t="n">
        <v>0</v>
      </c>
      <c r="CH66" s="25" t="n">
        <v>0</v>
      </c>
      <c r="CI66" s="25" t="n">
        <v>0</v>
      </c>
      <c r="CJ66" s="25" t="n">
        <v>0</v>
      </c>
      <c r="CK66" s="25" t="n">
        <v>0</v>
      </c>
      <c r="CL66" s="25" t="n">
        <v>0</v>
      </c>
      <c r="CM66" s="25" t="n">
        <v>0</v>
      </c>
      <c r="CN66" s="25" t="n">
        <v>0</v>
      </c>
      <c r="CO66" s="25" t="n">
        <v>0</v>
      </c>
      <c r="CP66" s="25" t="n">
        <v>0</v>
      </c>
      <c r="CQ66" s="25" t="n">
        <v>0</v>
      </c>
      <c r="CR66" s="25" t="n">
        <v>0</v>
      </c>
      <c r="CS66" s="25" t="n">
        <v>0</v>
      </c>
      <c r="CT66" s="25" t="n">
        <v>0</v>
      </c>
      <c r="CU66" s="25" t="n">
        <v>0</v>
      </c>
      <c r="CV66" s="25" t="n">
        <v>0</v>
      </c>
      <c r="CW66" s="25" t="n">
        <v>0</v>
      </c>
      <c r="CX66" s="25" t="n">
        <v>0</v>
      </c>
      <c r="CY66" s="25" t="n">
        <v>0</v>
      </c>
      <c r="CZ66" s="25" t="n">
        <v>0</v>
      </c>
      <c r="DA66" s="25" t="n">
        <v>0</v>
      </c>
    </row>
    <row r="67">
      <c r="A67" t="inlineStr">
        <is>
          <t>TPP-350</t>
        </is>
      </c>
      <c r="B67" s="25" t="n">
        <v>0</v>
      </c>
      <c r="C67" s="25" t="n">
        <v>0</v>
      </c>
      <c r="D67" s="25" t="n">
        <v>0</v>
      </c>
      <c r="E67" s="25" t="n">
        <v>0</v>
      </c>
      <c r="F67" s="25" t="n">
        <v>0</v>
      </c>
      <c r="G67" s="25" t="n">
        <v>0</v>
      </c>
      <c r="H67" s="25" t="n">
        <v>0</v>
      </c>
      <c r="I67" s="25" t="n">
        <v>0</v>
      </c>
      <c r="J67" s="25" t="n">
        <v>0</v>
      </c>
      <c r="K67" s="25" t="n">
        <v>0</v>
      </c>
      <c r="L67" s="25" t="n">
        <v>0</v>
      </c>
      <c r="M67" s="25" t="n">
        <v>0</v>
      </c>
      <c r="N67" s="25" t="n">
        <v>0</v>
      </c>
      <c r="O67" s="25" t="n">
        <v>0</v>
      </c>
      <c r="P67" s="25" t="n">
        <v>0</v>
      </c>
      <c r="Q67" s="25" t="n">
        <v>0</v>
      </c>
      <c r="R67" s="25" t="n">
        <v>0</v>
      </c>
      <c r="S67" s="25" t="n">
        <v>0</v>
      </c>
      <c r="T67" s="25" t="n">
        <v>0</v>
      </c>
      <c r="U67" s="25" t="n">
        <v>0</v>
      </c>
      <c r="V67" s="25" t="n">
        <v>0</v>
      </c>
      <c r="W67" s="25" t="n">
        <v>0</v>
      </c>
      <c r="X67" s="25" t="n">
        <v>0</v>
      </c>
      <c r="Y67" s="25" t="n">
        <v>0</v>
      </c>
      <c r="Z67" s="25" t="n">
        <v>0</v>
      </c>
      <c r="AA67" s="25" t="n">
        <v>0</v>
      </c>
      <c r="AB67" s="25" t="n">
        <v>0</v>
      </c>
      <c r="AC67" s="25" t="n">
        <v>0</v>
      </c>
      <c r="AD67" s="25" t="n">
        <v>0</v>
      </c>
      <c r="AE67" s="25" t="n">
        <v>0</v>
      </c>
      <c r="AF67" s="25" t="n">
        <v>0</v>
      </c>
      <c r="AG67" s="25" t="n">
        <v>0</v>
      </c>
      <c r="AH67" s="25" t="n">
        <v>0</v>
      </c>
      <c r="AI67" s="25" t="n">
        <v>0</v>
      </c>
      <c r="AJ67" s="25" t="n">
        <v>0</v>
      </c>
      <c r="AK67" s="25" t="n">
        <v>0</v>
      </c>
      <c r="AL67" s="25" t="n">
        <v>0</v>
      </c>
      <c r="AM67" s="25" t="n">
        <v>0</v>
      </c>
      <c r="AN67" s="25" t="n">
        <v>0</v>
      </c>
      <c r="AO67" s="25" t="n">
        <v>0</v>
      </c>
      <c r="AP67" s="25" t="n">
        <v>0</v>
      </c>
      <c r="AQ67" s="25" t="n">
        <v>0</v>
      </c>
      <c r="AR67" s="25" t="n">
        <v>0</v>
      </c>
      <c r="AS67" s="25" t="n">
        <v>0</v>
      </c>
      <c r="AT67" s="25" t="n">
        <v>0</v>
      </c>
      <c r="AU67" s="25" t="n">
        <v>0</v>
      </c>
      <c r="AV67" s="25" t="n">
        <v>0</v>
      </c>
      <c r="AW67" s="25" t="n">
        <v>0</v>
      </c>
      <c r="AX67" s="25" t="n">
        <v>0</v>
      </c>
      <c r="AY67" s="25" t="n">
        <v>0</v>
      </c>
      <c r="AZ67" s="25" t="n">
        <v>0</v>
      </c>
      <c r="BA67" s="25" t="n">
        <v>0</v>
      </c>
      <c r="BB67" s="25" t="n">
        <v>0</v>
      </c>
      <c r="BC67" s="25" t="n">
        <v>0</v>
      </c>
      <c r="BD67" s="25" t="n">
        <v>0</v>
      </c>
      <c r="BE67" s="25" t="n">
        <v>0</v>
      </c>
      <c r="BF67" s="25" t="n">
        <v>0</v>
      </c>
      <c r="BG67" s="25" t="n">
        <v>0</v>
      </c>
      <c r="BH67" s="25" t="n">
        <v>0</v>
      </c>
      <c r="BI67" s="25" t="n">
        <v>0</v>
      </c>
      <c r="BJ67" s="25" t="n">
        <v>0</v>
      </c>
      <c r="BK67" s="25" t="n">
        <v>0</v>
      </c>
      <c r="BL67" s="25" t="n">
        <v>0</v>
      </c>
      <c r="BM67" s="25" t="n">
        <v>0</v>
      </c>
      <c r="BN67" s="25" t="n">
        <v>0</v>
      </c>
      <c r="BO67" s="25" t="n">
        <v>0</v>
      </c>
      <c r="BP67" s="25" t="n">
        <v>0</v>
      </c>
      <c r="BQ67" s="25" t="n">
        <v>0</v>
      </c>
      <c r="BR67" s="25" t="n">
        <v>0</v>
      </c>
      <c r="BS67" s="25" t="n">
        <v>0</v>
      </c>
      <c r="BT67" s="25" t="n">
        <v>0</v>
      </c>
      <c r="BU67" s="25" t="n">
        <v>0</v>
      </c>
      <c r="BV67" s="25" t="n">
        <v>0</v>
      </c>
      <c r="BW67" s="25" t="n">
        <v>0</v>
      </c>
      <c r="BX67" s="25" t="n">
        <v>0</v>
      </c>
      <c r="BY67" s="25" t="n">
        <v>0</v>
      </c>
      <c r="BZ67" s="25" t="n">
        <v>0</v>
      </c>
      <c r="CA67" s="25" t="n">
        <v>0</v>
      </c>
      <c r="CB67" s="25" t="n">
        <v>0</v>
      </c>
      <c r="CC67" s="25" t="n">
        <v>0</v>
      </c>
      <c r="CD67" s="25" t="n">
        <v>0</v>
      </c>
      <c r="CE67" s="25" t="n">
        <v>0</v>
      </c>
      <c r="CF67" s="25" t="n">
        <v>0</v>
      </c>
      <c r="CG67" s="25" t="n">
        <v>0</v>
      </c>
      <c r="CH67" s="25" t="n">
        <v>0</v>
      </c>
      <c r="CI67" s="25" t="n">
        <v>0</v>
      </c>
      <c r="CJ67" s="25" t="n">
        <v>0</v>
      </c>
      <c r="CK67" s="25" t="n">
        <v>0</v>
      </c>
      <c r="CL67" s="25" t="n">
        <v>0</v>
      </c>
      <c r="CM67" s="25" t="n">
        <v>0</v>
      </c>
      <c r="CN67" s="25" t="n">
        <v>0</v>
      </c>
      <c r="CO67" s="25" t="n">
        <v>0</v>
      </c>
      <c r="CP67" s="25" t="n">
        <v>0</v>
      </c>
      <c r="CQ67" s="25" t="n">
        <v>0</v>
      </c>
      <c r="CR67" s="25" t="n">
        <v>0</v>
      </c>
      <c r="CS67" s="25" t="n">
        <v>0</v>
      </c>
      <c r="CT67" s="25" t="n">
        <v>0</v>
      </c>
      <c r="CU67" s="25" t="n">
        <v>0</v>
      </c>
      <c r="CV67" s="25" t="n">
        <v>0</v>
      </c>
      <c r="CW67" s="25" t="n">
        <v>0</v>
      </c>
      <c r="CX67" s="25" t="n">
        <v>0</v>
      </c>
      <c r="CY67" s="25" t="n">
        <v>0</v>
      </c>
      <c r="CZ67" s="25" t="n">
        <v>0</v>
      </c>
      <c r="DA67" s="25" t="n">
        <v>0</v>
      </c>
    </row>
    <row r="68">
      <c r="A68" t="inlineStr">
        <is>
          <t>TPP-356</t>
        </is>
      </c>
      <c r="B68" s="25" t="n">
        <v>0</v>
      </c>
      <c r="C68" s="25" t="n">
        <v>0</v>
      </c>
      <c r="D68" s="25" t="n">
        <v>0</v>
      </c>
      <c r="E68" s="25" t="n">
        <v>0</v>
      </c>
      <c r="F68" s="25" t="n">
        <v>0</v>
      </c>
      <c r="G68" s="25" t="n">
        <v>0</v>
      </c>
      <c r="H68" s="25" t="n">
        <v>0</v>
      </c>
      <c r="I68" s="25" t="n">
        <v>0</v>
      </c>
      <c r="J68" s="25" t="n">
        <v>0</v>
      </c>
      <c r="K68" s="25" t="n">
        <v>0</v>
      </c>
      <c r="L68" s="25" t="n">
        <v>0</v>
      </c>
      <c r="M68" s="25" t="n">
        <v>0</v>
      </c>
      <c r="N68" s="25" t="n">
        <v>0</v>
      </c>
      <c r="O68" s="25" t="n">
        <v>0</v>
      </c>
      <c r="P68" s="25" t="n">
        <v>0</v>
      </c>
      <c r="Q68" s="25" t="n">
        <v>0</v>
      </c>
      <c r="R68" s="25" t="n">
        <v>0</v>
      </c>
      <c r="S68" s="25" t="n">
        <v>0</v>
      </c>
      <c r="T68" s="25" t="n">
        <v>0</v>
      </c>
      <c r="U68" s="25" t="n">
        <v>0</v>
      </c>
      <c r="V68" s="25" t="n">
        <v>0</v>
      </c>
      <c r="W68" s="25" t="n">
        <v>0</v>
      </c>
      <c r="X68" s="25" t="n">
        <v>0</v>
      </c>
      <c r="Y68" s="25" t="n">
        <v>0</v>
      </c>
      <c r="Z68" s="25" t="n">
        <v>0</v>
      </c>
      <c r="AA68" s="25" t="n">
        <v>0</v>
      </c>
      <c r="AB68" s="25" t="n">
        <v>0</v>
      </c>
      <c r="AC68" s="25" t="n">
        <v>0</v>
      </c>
      <c r="AD68" s="25" t="n">
        <v>0</v>
      </c>
      <c r="AE68" s="25" t="n">
        <v>0</v>
      </c>
      <c r="AF68" s="25" t="n">
        <v>0</v>
      </c>
      <c r="AG68" s="25" t="n">
        <v>0</v>
      </c>
      <c r="AH68" s="25" t="n">
        <v>0</v>
      </c>
      <c r="AI68" s="25" t="n">
        <v>0</v>
      </c>
      <c r="AJ68" s="25" t="n">
        <v>0</v>
      </c>
      <c r="AK68" s="25" t="n">
        <v>0</v>
      </c>
      <c r="AL68" s="25" t="n">
        <v>0</v>
      </c>
      <c r="AM68" s="25" t="n">
        <v>0</v>
      </c>
      <c r="AN68" s="25" t="n">
        <v>0</v>
      </c>
      <c r="AO68" s="25" t="n">
        <v>0</v>
      </c>
      <c r="AP68" s="25" t="n">
        <v>0</v>
      </c>
      <c r="AQ68" s="25" t="n">
        <v>0</v>
      </c>
      <c r="AR68" s="25" t="n">
        <v>0</v>
      </c>
      <c r="AS68" s="25" t="n">
        <v>0</v>
      </c>
      <c r="AT68" s="25" t="n">
        <v>0</v>
      </c>
      <c r="AU68" s="25" t="n">
        <v>0</v>
      </c>
      <c r="AV68" s="25" t="n">
        <v>0</v>
      </c>
      <c r="AW68" s="25" t="n">
        <v>0</v>
      </c>
      <c r="AX68" s="25" t="n">
        <v>0</v>
      </c>
      <c r="AY68" s="25" t="n">
        <v>0</v>
      </c>
      <c r="AZ68" s="25" t="n">
        <v>0</v>
      </c>
      <c r="BA68" s="25" t="n">
        <v>0</v>
      </c>
      <c r="BB68" s="25" t="n">
        <v>0</v>
      </c>
      <c r="BC68" s="25" t="n">
        <v>0</v>
      </c>
      <c r="BD68" s="25" t="n">
        <v>0</v>
      </c>
      <c r="BE68" s="25" t="n">
        <v>0</v>
      </c>
      <c r="BF68" s="25" t="n">
        <v>0</v>
      </c>
      <c r="BG68" s="25" t="n">
        <v>0</v>
      </c>
      <c r="BH68" s="25" t="n">
        <v>0</v>
      </c>
      <c r="BI68" s="25" t="n">
        <v>0</v>
      </c>
      <c r="BJ68" s="25" t="n">
        <v>0</v>
      </c>
      <c r="BK68" s="25" t="n">
        <v>0</v>
      </c>
      <c r="BL68" s="25" t="n">
        <v>0</v>
      </c>
      <c r="BM68" s="25" t="n">
        <v>0</v>
      </c>
      <c r="BN68" s="25" t="n">
        <v>0</v>
      </c>
      <c r="BO68" s="25" t="n">
        <v>0</v>
      </c>
      <c r="BP68" s="25" t="n">
        <v>0</v>
      </c>
      <c r="BQ68" s="25" t="n">
        <v>0</v>
      </c>
      <c r="BR68" s="25" t="n">
        <v>0</v>
      </c>
      <c r="BS68" s="25" t="n">
        <v>0</v>
      </c>
      <c r="BT68" s="25" t="n">
        <v>0</v>
      </c>
      <c r="BU68" s="25" t="n">
        <v>0</v>
      </c>
      <c r="BV68" s="25" t="n">
        <v>0</v>
      </c>
      <c r="BW68" s="25" t="n">
        <v>0</v>
      </c>
      <c r="BX68" s="25" t="n">
        <v>0</v>
      </c>
      <c r="BY68" s="25" t="n">
        <v>0</v>
      </c>
      <c r="BZ68" s="25" t="n">
        <v>0</v>
      </c>
      <c r="CA68" s="25" t="n">
        <v>0</v>
      </c>
      <c r="CB68" s="25" t="n">
        <v>0</v>
      </c>
      <c r="CC68" s="25" t="n">
        <v>0</v>
      </c>
      <c r="CD68" s="25" t="n">
        <v>0</v>
      </c>
      <c r="CE68" s="25" t="n">
        <v>0</v>
      </c>
      <c r="CF68" s="25" t="n">
        <v>0</v>
      </c>
      <c r="CG68" s="25" t="n">
        <v>0</v>
      </c>
      <c r="CH68" s="25" t="n">
        <v>0</v>
      </c>
      <c r="CI68" s="25" t="n">
        <v>0</v>
      </c>
      <c r="CJ68" s="25" t="n">
        <v>0</v>
      </c>
      <c r="CK68" s="25" t="n">
        <v>0</v>
      </c>
      <c r="CL68" s="25" t="n">
        <v>0</v>
      </c>
      <c r="CM68" s="25" t="n">
        <v>0</v>
      </c>
      <c r="CN68" s="25" t="n">
        <v>0</v>
      </c>
      <c r="CO68" s="25" t="n">
        <v>0</v>
      </c>
      <c r="CP68" s="25" t="n">
        <v>0</v>
      </c>
      <c r="CQ68" s="25" t="n">
        <v>0</v>
      </c>
      <c r="CR68" s="25" t="n">
        <v>0</v>
      </c>
      <c r="CS68" s="25" t="n">
        <v>0</v>
      </c>
      <c r="CT68" s="25" t="n">
        <v>0</v>
      </c>
      <c r="CU68" s="25" t="n">
        <v>0</v>
      </c>
      <c r="CV68" s="25" t="n">
        <v>0</v>
      </c>
      <c r="CW68" s="25" t="n">
        <v>0</v>
      </c>
      <c r="CX68" s="25" t="n">
        <v>0</v>
      </c>
      <c r="CY68" s="25" t="n">
        <v>0</v>
      </c>
      <c r="CZ68" s="25" t="n">
        <v>0</v>
      </c>
      <c r="DA68" s="25" t="n">
        <v>0</v>
      </c>
    </row>
    <row r="69">
      <c r="A69" t="inlineStr">
        <is>
          <t>TPP-358</t>
        </is>
      </c>
      <c r="B69" s="25" t="n">
        <v>0</v>
      </c>
      <c r="C69" s="25" t="n">
        <v>0</v>
      </c>
      <c r="D69" s="25" t="n">
        <v>0</v>
      </c>
      <c r="E69" s="25" t="n">
        <v>0</v>
      </c>
      <c r="F69" s="25" t="n">
        <v>0</v>
      </c>
      <c r="G69" s="25" t="n">
        <v>0</v>
      </c>
      <c r="H69" s="25" t="n">
        <v>0</v>
      </c>
      <c r="I69" s="25" t="n">
        <v>0</v>
      </c>
      <c r="J69" s="25" t="n">
        <v>0</v>
      </c>
      <c r="K69" s="25" t="n">
        <v>0</v>
      </c>
      <c r="L69" s="25" t="n">
        <v>0</v>
      </c>
      <c r="M69" s="25" t="n">
        <v>0</v>
      </c>
      <c r="N69" s="25" t="n">
        <v>0</v>
      </c>
      <c r="O69" s="25" t="n">
        <v>0</v>
      </c>
      <c r="P69" s="25" t="n">
        <v>0</v>
      </c>
      <c r="Q69" s="25" t="n">
        <v>0</v>
      </c>
      <c r="R69" s="25" t="n">
        <v>0</v>
      </c>
      <c r="S69" s="25" t="n">
        <v>0</v>
      </c>
      <c r="T69" s="25" t="n">
        <v>0</v>
      </c>
      <c r="U69" s="25" t="n">
        <v>0</v>
      </c>
      <c r="V69" s="25" t="n">
        <v>0</v>
      </c>
      <c r="W69" s="25" t="n">
        <v>0</v>
      </c>
      <c r="X69" s="25" t="n">
        <v>0</v>
      </c>
      <c r="Y69" s="25" t="n">
        <v>0</v>
      </c>
      <c r="Z69" s="25" t="n">
        <v>0</v>
      </c>
      <c r="AA69" s="25" t="n">
        <v>0</v>
      </c>
      <c r="AB69" s="25" t="n">
        <v>0</v>
      </c>
      <c r="AC69" s="25" t="n">
        <v>0</v>
      </c>
      <c r="AD69" s="25" t="n">
        <v>0</v>
      </c>
      <c r="AE69" s="25" t="n">
        <v>0</v>
      </c>
      <c r="AF69" s="25" t="n">
        <v>0</v>
      </c>
      <c r="AG69" s="25" t="n">
        <v>0</v>
      </c>
      <c r="AH69" s="25" t="n">
        <v>0</v>
      </c>
      <c r="AI69" s="25" t="n">
        <v>0</v>
      </c>
      <c r="AJ69" s="25" t="n">
        <v>0</v>
      </c>
      <c r="AK69" s="25" t="n">
        <v>0</v>
      </c>
      <c r="AL69" s="25" t="n">
        <v>0</v>
      </c>
      <c r="AM69" s="25" t="n">
        <v>0</v>
      </c>
      <c r="AN69" s="25" t="n">
        <v>0</v>
      </c>
      <c r="AO69" s="25" t="n">
        <v>0</v>
      </c>
      <c r="AP69" s="25" t="n">
        <v>0</v>
      </c>
      <c r="AQ69" s="25" t="n">
        <v>0</v>
      </c>
      <c r="AR69" s="25" t="n">
        <v>0</v>
      </c>
      <c r="AS69" s="25" t="n">
        <v>0</v>
      </c>
      <c r="AT69" s="25" t="n">
        <v>0</v>
      </c>
      <c r="AU69" s="25" t="n">
        <v>0</v>
      </c>
      <c r="AV69" s="25" t="n">
        <v>0</v>
      </c>
      <c r="AW69" s="25" t="n">
        <v>0</v>
      </c>
      <c r="AX69" s="25" t="n">
        <v>0</v>
      </c>
      <c r="AY69" s="25" t="n">
        <v>0</v>
      </c>
      <c r="AZ69" s="25" t="n">
        <v>0</v>
      </c>
      <c r="BA69" s="25" t="n">
        <v>0</v>
      </c>
      <c r="BB69" s="25" t="n">
        <v>0</v>
      </c>
      <c r="BC69" s="25" t="n">
        <v>0</v>
      </c>
      <c r="BD69" s="25" t="n">
        <v>0</v>
      </c>
      <c r="BE69" s="25" t="n">
        <v>0</v>
      </c>
      <c r="BF69" s="25" t="n">
        <v>0</v>
      </c>
      <c r="BG69" s="25" t="n">
        <v>0</v>
      </c>
      <c r="BH69" s="25" t="n">
        <v>0</v>
      </c>
      <c r="BI69" s="25" t="n">
        <v>0</v>
      </c>
      <c r="BJ69" s="25" t="n">
        <v>0</v>
      </c>
      <c r="BK69" s="25" t="n">
        <v>0</v>
      </c>
      <c r="BL69" s="25" t="n">
        <v>0</v>
      </c>
      <c r="BM69" s="25" t="n">
        <v>0</v>
      </c>
      <c r="BN69" s="25" t="n">
        <v>0</v>
      </c>
      <c r="BO69" s="25" t="n">
        <v>0</v>
      </c>
      <c r="BP69" s="25" t="n">
        <v>0</v>
      </c>
      <c r="BQ69" s="25" t="n">
        <v>0</v>
      </c>
      <c r="BR69" s="25" t="n">
        <v>0</v>
      </c>
      <c r="BS69" s="25" t="n">
        <v>0</v>
      </c>
      <c r="BT69" s="25" t="n">
        <v>0</v>
      </c>
      <c r="BU69" s="25" t="n">
        <v>0</v>
      </c>
      <c r="BV69" s="25" t="n">
        <v>0</v>
      </c>
      <c r="BW69" s="25" t="n">
        <v>0</v>
      </c>
      <c r="BX69" s="25" t="n">
        <v>0</v>
      </c>
      <c r="BY69" s="25" t="n">
        <v>0</v>
      </c>
      <c r="BZ69" s="25" t="n">
        <v>0</v>
      </c>
      <c r="CA69" s="25" t="n">
        <v>0</v>
      </c>
      <c r="CB69" s="25" t="n">
        <v>0</v>
      </c>
      <c r="CC69" s="25" t="n">
        <v>0</v>
      </c>
      <c r="CD69" s="25" t="n">
        <v>0</v>
      </c>
      <c r="CE69" s="25" t="n">
        <v>0</v>
      </c>
      <c r="CF69" s="25" t="n">
        <v>0</v>
      </c>
      <c r="CG69" s="25" t="n">
        <v>0</v>
      </c>
      <c r="CH69" s="25" t="n">
        <v>0</v>
      </c>
      <c r="CI69" s="25" t="n">
        <v>0</v>
      </c>
      <c r="CJ69" s="25" t="n">
        <v>0</v>
      </c>
      <c r="CK69" s="25" t="n">
        <v>0</v>
      </c>
      <c r="CL69" s="25" t="n">
        <v>0</v>
      </c>
      <c r="CM69" s="25" t="n">
        <v>0</v>
      </c>
      <c r="CN69" s="25" t="n">
        <v>0</v>
      </c>
      <c r="CO69" s="25" t="n">
        <v>0</v>
      </c>
      <c r="CP69" s="25" t="n">
        <v>0</v>
      </c>
      <c r="CQ69" s="25" t="n">
        <v>0</v>
      </c>
      <c r="CR69" s="25" t="n">
        <v>0</v>
      </c>
      <c r="CS69" s="25" t="n">
        <v>0</v>
      </c>
      <c r="CT69" s="25" t="n">
        <v>0</v>
      </c>
      <c r="CU69" s="25" t="n">
        <v>0</v>
      </c>
      <c r="CV69" s="25" t="n">
        <v>0</v>
      </c>
      <c r="CW69" s="25" t="n">
        <v>0</v>
      </c>
      <c r="CX69" s="25" t="n">
        <v>0</v>
      </c>
      <c r="CY69" s="25" t="n">
        <v>0</v>
      </c>
      <c r="CZ69" s="25" t="n">
        <v>0</v>
      </c>
      <c r="DA69" s="25" t="n">
        <v>0</v>
      </c>
    </row>
    <row r="70">
      <c r="A70" t="inlineStr">
        <is>
          <t>TPP-527</t>
        </is>
      </c>
      <c r="B70" s="25" t="n">
        <v>0</v>
      </c>
      <c r="C70" s="25" t="n">
        <v>0</v>
      </c>
      <c r="D70" s="25" t="n">
        <v>0</v>
      </c>
      <c r="E70" s="25" t="n">
        <v>0</v>
      </c>
      <c r="F70" s="25" t="n">
        <v>0</v>
      </c>
      <c r="G70" s="25" t="n">
        <v>0</v>
      </c>
      <c r="H70" s="25" t="n">
        <v>0</v>
      </c>
      <c r="I70" s="25" t="n">
        <v>0</v>
      </c>
      <c r="J70" s="25" t="n">
        <v>0</v>
      </c>
      <c r="K70" s="25" t="n">
        <v>0</v>
      </c>
      <c r="L70" s="25" t="n">
        <v>0</v>
      </c>
      <c r="M70" s="25" t="n">
        <v>0</v>
      </c>
      <c r="N70" s="25" t="n">
        <v>0</v>
      </c>
      <c r="O70" s="25" t="n">
        <v>0</v>
      </c>
      <c r="P70" s="25" t="n">
        <v>0</v>
      </c>
      <c r="Q70" s="25" t="n">
        <v>0</v>
      </c>
      <c r="R70" s="25" t="n">
        <v>0</v>
      </c>
      <c r="S70" s="25" t="n">
        <v>0</v>
      </c>
      <c r="T70" s="25" t="n">
        <v>0</v>
      </c>
      <c r="U70" s="25" t="n">
        <v>0</v>
      </c>
      <c r="V70" s="25" t="n">
        <v>0</v>
      </c>
      <c r="W70" s="25" t="n">
        <v>0</v>
      </c>
      <c r="X70" s="25" t="n">
        <v>0</v>
      </c>
      <c r="Y70" s="25" t="n">
        <v>0</v>
      </c>
      <c r="Z70" s="25" t="n">
        <v>0</v>
      </c>
      <c r="AA70" s="25" t="n">
        <v>0</v>
      </c>
      <c r="AB70" s="25" t="n">
        <v>0</v>
      </c>
      <c r="AC70" s="25" t="n">
        <v>0</v>
      </c>
      <c r="AD70" s="25" t="n">
        <v>0</v>
      </c>
      <c r="AE70" s="25" t="n">
        <v>0</v>
      </c>
      <c r="AF70" s="25" t="n">
        <v>0</v>
      </c>
      <c r="AG70" s="25" t="n">
        <v>0</v>
      </c>
      <c r="AH70" s="25" t="n">
        <v>0</v>
      </c>
      <c r="AI70" s="25" t="n">
        <v>0</v>
      </c>
      <c r="AJ70" s="25" t="n">
        <v>0</v>
      </c>
      <c r="AK70" s="25" t="n">
        <v>0</v>
      </c>
      <c r="AL70" s="25" t="n">
        <v>0</v>
      </c>
      <c r="AM70" s="25" t="n">
        <v>0</v>
      </c>
      <c r="AN70" s="25" t="n">
        <v>0</v>
      </c>
      <c r="AO70" s="25" t="n">
        <v>0</v>
      </c>
      <c r="AP70" s="25" t="n">
        <v>0</v>
      </c>
      <c r="AQ70" s="25" t="n">
        <v>0</v>
      </c>
      <c r="AR70" s="25" t="n">
        <v>0</v>
      </c>
      <c r="AS70" s="25" t="n">
        <v>0</v>
      </c>
      <c r="AT70" s="25" t="n">
        <v>0</v>
      </c>
      <c r="AU70" s="25" t="n">
        <v>0</v>
      </c>
      <c r="AV70" s="25" t="n">
        <v>0</v>
      </c>
      <c r="AW70" s="25" t="n">
        <v>0</v>
      </c>
      <c r="AX70" s="25" t="n">
        <v>0</v>
      </c>
      <c r="AY70" s="25" t="n">
        <v>0</v>
      </c>
      <c r="AZ70" s="25" t="n">
        <v>0</v>
      </c>
      <c r="BA70" s="25" t="n">
        <v>0</v>
      </c>
      <c r="BB70" s="25" t="n">
        <v>0</v>
      </c>
      <c r="BC70" s="25" t="n">
        <v>0</v>
      </c>
      <c r="BD70" s="25" t="n">
        <v>0</v>
      </c>
      <c r="BE70" s="25" t="n">
        <v>0</v>
      </c>
      <c r="BF70" s="25" t="n">
        <v>0</v>
      </c>
      <c r="BG70" s="25" t="n">
        <v>0</v>
      </c>
      <c r="BH70" s="25" t="n">
        <v>0</v>
      </c>
      <c r="BI70" s="25" t="n">
        <v>0</v>
      </c>
      <c r="BJ70" s="25" t="n">
        <v>0</v>
      </c>
      <c r="BK70" s="25" t="n">
        <v>0</v>
      </c>
      <c r="BL70" s="25" t="n">
        <v>0</v>
      </c>
      <c r="BM70" s="25" t="n">
        <v>0</v>
      </c>
      <c r="BN70" s="25" t="n">
        <v>0</v>
      </c>
      <c r="BO70" s="25" t="n">
        <v>0</v>
      </c>
      <c r="BP70" s="25" t="n">
        <v>0</v>
      </c>
      <c r="BQ70" s="25" t="n">
        <v>0</v>
      </c>
      <c r="BR70" s="25" t="n">
        <v>0</v>
      </c>
      <c r="BS70" s="25" t="n">
        <v>0</v>
      </c>
      <c r="BT70" s="25" t="n">
        <v>0</v>
      </c>
      <c r="BU70" s="25" t="n">
        <v>0</v>
      </c>
      <c r="BV70" s="25" t="n">
        <v>0</v>
      </c>
      <c r="BW70" s="25" t="n">
        <v>0</v>
      </c>
      <c r="BX70" s="25" t="n">
        <v>0</v>
      </c>
      <c r="BY70" s="25" t="n">
        <v>0</v>
      </c>
      <c r="BZ70" s="25" t="n">
        <v>0</v>
      </c>
      <c r="CA70" s="25" t="n">
        <v>0</v>
      </c>
      <c r="CB70" s="25" t="n">
        <v>0</v>
      </c>
      <c r="CC70" s="25" t="n">
        <v>0</v>
      </c>
      <c r="CD70" s="25" t="n">
        <v>0</v>
      </c>
      <c r="CE70" s="25" t="n">
        <v>0</v>
      </c>
      <c r="CF70" s="25" t="n">
        <v>0</v>
      </c>
      <c r="CG70" s="25" t="n">
        <v>0</v>
      </c>
      <c r="CH70" s="25" t="n">
        <v>0</v>
      </c>
      <c r="CI70" s="25" t="n">
        <v>0</v>
      </c>
      <c r="CJ70" s="25" t="n">
        <v>0</v>
      </c>
      <c r="CK70" s="25" t="n">
        <v>0</v>
      </c>
      <c r="CL70" s="25" t="n">
        <v>0</v>
      </c>
      <c r="CM70" s="25" t="n">
        <v>0</v>
      </c>
      <c r="CN70" s="25" t="n">
        <v>0</v>
      </c>
      <c r="CO70" s="25" t="n">
        <v>0</v>
      </c>
      <c r="CP70" s="25" t="n">
        <v>0</v>
      </c>
      <c r="CQ70" s="25" t="n">
        <v>0</v>
      </c>
      <c r="CR70" s="25" t="n">
        <v>0</v>
      </c>
      <c r="CS70" s="25" t="n">
        <v>0</v>
      </c>
      <c r="CT70" s="25" t="n">
        <v>0</v>
      </c>
      <c r="CU70" s="25" t="n">
        <v>0</v>
      </c>
      <c r="CV70" s="25" t="n">
        <v>0</v>
      </c>
      <c r="CW70" s="25" t="n">
        <v>0</v>
      </c>
      <c r="CX70" s="25" t="n">
        <v>0</v>
      </c>
      <c r="CY70" s="25" t="n">
        <v>0</v>
      </c>
      <c r="CZ70" s="25" t="n">
        <v>0</v>
      </c>
      <c r="DA70" s="25" t="n">
        <v>0</v>
      </c>
    </row>
    <row r="71">
      <c r="A71" t="inlineStr">
        <is>
          <t>TPP-537</t>
        </is>
      </c>
      <c r="B71" s="25" t="n">
        <v>0</v>
      </c>
      <c r="C71" s="25" t="n">
        <v>0</v>
      </c>
      <c r="D71" s="25" t="n">
        <v>0</v>
      </c>
      <c r="E71" s="25" t="n">
        <v>0</v>
      </c>
      <c r="F71" s="25" t="n">
        <v>0</v>
      </c>
      <c r="G71" s="25" t="n">
        <v>0</v>
      </c>
      <c r="H71" s="25" t="n">
        <v>0</v>
      </c>
      <c r="I71" s="25" t="n">
        <v>0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5" t="n">
        <v>0</v>
      </c>
      <c r="S71" s="25" t="n">
        <v>0</v>
      </c>
      <c r="T71" s="25" t="n">
        <v>0</v>
      </c>
      <c r="U71" s="25" t="n">
        <v>0</v>
      </c>
      <c r="V71" s="25" t="n">
        <v>0</v>
      </c>
      <c r="W71" s="25" t="n">
        <v>0</v>
      </c>
      <c r="X71" s="25" t="n">
        <v>0</v>
      </c>
      <c r="Y71" s="25" t="n">
        <v>0</v>
      </c>
      <c r="Z71" s="25" t="n">
        <v>0</v>
      </c>
      <c r="AA71" s="25" t="n">
        <v>0</v>
      </c>
      <c r="AB71" s="25" t="n">
        <v>0</v>
      </c>
      <c r="AC71" s="25" t="n">
        <v>0</v>
      </c>
      <c r="AD71" s="25" t="n">
        <v>0</v>
      </c>
      <c r="AE71" s="25" t="n">
        <v>0</v>
      </c>
      <c r="AF71" s="25" t="n">
        <v>0</v>
      </c>
      <c r="AG71" s="25" t="n">
        <v>0</v>
      </c>
      <c r="AH71" s="25" t="n">
        <v>0</v>
      </c>
      <c r="AI71" s="25" t="n">
        <v>0</v>
      </c>
      <c r="AJ71" s="25" t="n">
        <v>0</v>
      </c>
      <c r="AK71" s="25" t="n">
        <v>0</v>
      </c>
      <c r="AL71" s="25" t="n">
        <v>0</v>
      </c>
      <c r="AM71" s="25" t="n">
        <v>0</v>
      </c>
      <c r="AN71" s="25" t="n">
        <v>0</v>
      </c>
      <c r="AO71" s="25" t="n">
        <v>0</v>
      </c>
      <c r="AP71" s="25" t="n">
        <v>0</v>
      </c>
      <c r="AQ71" s="25" t="n">
        <v>0</v>
      </c>
      <c r="AR71" s="25" t="n">
        <v>0</v>
      </c>
      <c r="AS71" s="25" t="n">
        <v>0</v>
      </c>
      <c r="AT71" s="25" t="n">
        <v>0</v>
      </c>
      <c r="AU71" s="25" t="n">
        <v>0</v>
      </c>
      <c r="AV71" s="25" t="n">
        <v>0</v>
      </c>
      <c r="AW71" s="25" t="n">
        <v>0</v>
      </c>
      <c r="AX71" s="25" t="n">
        <v>0</v>
      </c>
      <c r="AY71" s="25" t="n">
        <v>0</v>
      </c>
      <c r="AZ71" s="25" t="n">
        <v>0</v>
      </c>
      <c r="BA71" s="25" t="n">
        <v>0</v>
      </c>
      <c r="BB71" s="25" t="n">
        <v>0</v>
      </c>
      <c r="BC71" s="25" t="n">
        <v>0</v>
      </c>
      <c r="BD71" s="25" t="n">
        <v>0</v>
      </c>
      <c r="BE71" s="25" t="n">
        <v>0</v>
      </c>
      <c r="BF71" s="25" t="n">
        <v>0</v>
      </c>
      <c r="BG71" s="25" t="n">
        <v>0</v>
      </c>
      <c r="BH71" s="25" t="n">
        <v>0</v>
      </c>
      <c r="BI71" s="25" t="n">
        <v>0</v>
      </c>
      <c r="BJ71" s="25" t="n">
        <v>0</v>
      </c>
      <c r="BK71" s="25" t="n">
        <v>0</v>
      </c>
      <c r="BL71" s="25" t="n">
        <v>0</v>
      </c>
      <c r="BM71" s="25" t="n">
        <v>0</v>
      </c>
      <c r="BN71" s="25" t="n">
        <v>0</v>
      </c>
      <c r="BO71" s="25" t="n">
        <v>0</v>
      </c>
      <c r="BP71" s="25" t="n">
        <v>0</v>
      </c>
      <c r="BQ71" s="25" t="n">
        <v>0</v>
      </c>
      <c r="BR71" s="25" t="n">
        <v>0</v>
      </c>
      <c r="BS71" s="25" t="n">
        <v>0</v>
      </c>
      <c r="BT71" s="25" t="n">
        <v>0</v>
      </c>
      <c r="BU71" s="25" t="n">
        <v>0</v>
      </c>
      <c r="BV71" s="25" t="n">
        <v>0</v>
      </c>
      <c r="BW71" s="25" t="n">
        <v>0</v>
      </c>
      <c r="BX71" s="25" t="n">
        <v>0</v>
      </c>
      <c r="BY71" s="25" t="n">
        <v>0</v>
      </c>
      <c r="BZ71" s="25" t="n">
        <v>0</v>
      </c>
      <c r="CA71" s="25" t="n">
        <v>0</v>
      </c>
      <c r="CB71" s="25" t="n">
        <v>0</v>
      </c>
      <c r="CC71" s="25" t="n">
        <v>0</v>
      </c>
      <c r="CD71" s="25" t="n">
        <v>0</v>
      </c>
      <c r="CE71" s="25" t="n">
        <v>0</v>
      </c>
      <c r="CF71" s="25" t="n">
        <v>0</v>
      </c>
      <c r="CG71" s="25" t="n">
        <v>0</v>
      </c>
      <c r="CH71" s="25" t="n">
        <v>0</v>
      </c>
      <c r="CI71" s="25" t="n">
        <v>0</v>
      </c>
      <c r="CJ71" s="25" t="n">
        <v>0</v>
      </c>
      <c r="CK71" s="25" t="n">
        <v>0</v>
      </c>
      <c r="CL71" s="25" t="n">
        <v>0</v>
      </c>
      <c r="CM71" s="25" t="n">
        <v>0</v>
      </c>
      <c r="CN71" s="25" t="n">
        <v>0</v>
      </c>
      <c r="CO71" s="25" t="n">
        <v>0</v>
      </c>
      <c r="CP71" s="25" t="n">
        <v>0</v>
      </c>
      <c r="CQ71" s="25" t="n">
        <v>0</v>
      </c>
      <c r="CR71" s="25" t="n">
        <v>0</v>
      </c>
      <c r="CS71" s="25" t="n">
        <v>0</v>
      </c>
      <c r="CT71" s="25" t="n">
        <v>0</v>
      </c>
      <c r="CU71" s="25" t="n">
        <v>0</v>
      </c>
      <c r="CV71" s="25" t="n">
        <v>0</v>
      </c>
      <c r="CW71" s="25" t="n">
        <v>0</v>
      </c>
      <c r="CX71" s="25" t="n">
        <v>0</v>
      </c>
      <c r="CY71" s="25" t="n">
        <v>0</v>
      </c>
      <c r="CZ71" s="25" t="n">
        <v>0</v>
      </c>
      <c r="DA71" s="25" t="n">
        <v>0</v>
      </c>
    </row>
    <row r="72">
      <c r="A72" t="inlineStr">
        <is>
          <t>TPP-609</t>
        </is>
      </c>
      <c r="B72" s="25" t="n">
        <v>0</v>
      </c>
      <c r="C72" s="25" t="n">
        <v>0</v>
      </c>
      <c r="D72" s="25" t="n">
        <v>0</v>
      </c>
      <c r="E72" s="25" t="n">
        <v>0</v>
      </c>
      <c r="F72" s="25" t="n">
        <v>0</v>
      </c>
      <c r="G72" s="25" t="n">
        <v>0</v>
      </c>
      <c r="H72" s="25" t="n">
        <v>0</v>
      </c>
      <c r="I72" s="25" t="n">
        <v>0</v>
      </c>
      <c r="J72" s="25" t="n">
        <v>0</v>
      </c>
      <c r="K72" s="25" t="n">
        <v>0</v>
      </c>
      <c r="L72" s="25" t="n">
        <v>0</v>
      </c>
      <c r="M72" s="25" t="n">
        <v>0</v>
      </c>
      <c r="N72" s="25" t="n">
        <v>0</v>
      </c>
      <c r="O72" s="25" t="n">
        <v>0</v>
      </c>
      <c r="P72" s="25" t="n">
        <v>0</v>
      </c>
      <c r="Q72" s="25" t="n">
        <v>0</v>
      </c>
      <c r="R72" s="25" t="n">
        <v>0</v>
      </c>
      <c r="S72" s="25" t="n">
        <v>0</v>
      </c>
      <c r="T72" s="25" t="n">
        <v>0</v>
      </c>
      <c r="U72" s="25" t="n">
        <v>0</v>
      </c>
      <c r="V72" s="25" t="n">
        <v>0</v>
      </c>
      <c r="W72" s="25" t="n">
        <v>0</v>
      </c>
      <c r="X72" s="25" t="n">
        <v>0</v>
      </c>
      <c r="Y72" s="25" t="n">
        <v>0</v>
      </c>
      <c r="Z72" s="25" t="n">
        <v>0</v>
      </c>
      <c r="AA72" s="25" t="n">
        <v>0</v>
      </c>
      <c r="AB72" s="25" t="n">
        <v>0</v>
      </c>
      <c r="AC72" s="25" t="n">
        <v>0</v>
      </c>
      <c r="AD72" s="25" t="n">
        <v>0</v>
      </c>
      <c r="AE72" s="25" t="n">
        <v>0</v>
      </c>
      <c r="AF72" s="25" t="n">
        <v>0</v>
      </c>
      <c r="AG72" s="25" t="n">
        <v>0</v>
      </c>
      <c r="AH72" s="25" t="n">
        <v>0</v>
      </c>
      <c r="AI72" s="25" t="n">
        <v>0</v>
      </c>
      <c r="AJ72" s="25" t="n">
        <v>0</v>
      </c>
      <c r="AK72" s="25" t="n">
        <v>0</v>
      </c>
      <c r="AL72" s="25" t="n">
        <v>0</v>
      </c>
      <c r="AM72" s="25" t="n">
        <v>0</v>
      </c>
      <c r="AN72" s="25" t="n">
        <v>0</v>
      </c>
      <c r="AO72" s="25" t="n">
        <v>0</v>
      </c>
      <c r="AP72" s="25" t="n">
        <v>0</v>
      </c>
      <c r="AQ72" s="25" t="n">
        <v>0</v>
      </c>
      <c r="AR72" s="25" t="n">
        <v>0</v>
      </c>
      <c r="AS72" s="25" t="n">
        <v>0</v>
      </c>
      <c r="AT72" s="25" t="n">
        <v>0</v>
      </c>
      <c r="AU72" s="25" t="n">
        <v>0</v>
      </c>
      <c r="AV72" s="25" t="n">
        <v>0</v>
      </c>
      <c r="AW72" s="25" t="n">
        <v>0</v>
      </c>
      <c r="AX72" s="25" t="n">
        <v>0</v>
      </c>
      <c r="AY72" s="25" t="n">
        <v>0</v>
      </c>
      <c r="AZ72" s="25" t="n">
        <v>0</v>
      </c>
      <c r="BA72" s="25" t="n">
        <v>0</v>
      </c>
      <c r="BB72" s="25" t="n">
        <v>0</v>
      </c>
      <c r="BC72" s="25" t="n">
        <v>0</v>
      </c>
      <c r="BD72" s="25" t="n">
        <v>0</v>
      </c>
      <c r="BE72" s="25" t="n">
        <v>0</v>
      </c>
      <c r="BF72" s="25" t="n">
        <v>0</v>
      </c>
      <c r="BG72" s="25" t="n">
        <v>0</v>
      </c>
      <c r="BH72" s="25" t="n">
        <v>0</v>
      </c>
      <c r="BI72" s="25" t="n">
        <v>0</v>
      </c>
      <c r="BJ72" s="25" t="n">
        <v>0</v>
      </c>
      <c r="BK72" s="25" t="n">
        <v>0</v>
      </c>
      <c r="BL72" s="25" t="n">
        <v>0</v>
      </c>
      <c r="BM72" s="25" t="n">
        <v>0</v>
      </c>
      <c r="BN72" s="25" t="n">
        <v>0</v>
      </c>
      <c r="BO72" s="25" t="n">
        <v>0</v>
      </c>
      <c r="BP72" s="25" t="n">
        <v>0</v>
      </c>
      <c r="BQ72" s="25" t="n">
        <v>0</v>
      </c>
      <c r="BR72" s="25" t="n">
        <v>0</v>
      </c>
      <c r="BS72" s="25" t="n">
        <v>0</v>
      </c>
      <c r="BT72" s="25" t="n">
        <v>0</v>
      </c>
      <c r="BU72" s="25" t="n">
        <v>0</v>
      </c>
      <c r="BV72" s="25" t="n">
        <v>0</v>
      </c>
      <c r="BW72" s="25" t="n">
        <v>0</v>
      </c>
      <c r="BX72" s="25" t="n">
        <v>0</v>
      </c>
      <c r="BY72" s="25" t="n">
        <v>0</v>
      </c>
      <c r="BZ72" s="25" t="n">
        <v>0</v>
      </c>
      <c r="CA72" s="25" t="n">
        <v>0</v>
      </c>
      <c r="CB72" s="25" t="n">
        <v>0</v>
      </c>
      <c r="CC72" s="25" t="n">
        <v>0</v>
      </c>
      <c r="CD72" s="25" t="n">
        <v>0</v>
      </c>
      <c r="CE72" s="25" t="n">
        <v>0</v>
      </c>
      <c r="CF72" s="25" t="n">
        <v>0</v>
      </c>
      <c r="CG72" s="25" t="n">
        <v>0</v>
      </c>
      <c r="CH72" s="25" t="n">
        <v>0</v>
      </c>
      <c r="CI72" s="25" t="n">
        <v>0</v>
      </c>
      <c r="CJ72" s="25" t="n">
        <v>0</v>
      </c>
      <c r="CK72" s="25" t="n">
        <v>0</v>
      </c>
      <c r="CL72" s="25" t="n">
        <v>0</v>
      </c>
      <c r="CM72" s="25" t="n">
        <v>0</v>
      </c>
      <c r="CN72" s="25" t="n">
        <v>0</v>
      </c>
      <c r="CO72" s="25" t="n">
        <v>0</v>
      </c>
      <c r="CP72" s="25" t="n">
        <v>0</v>
      </c>
      <c r="CQ72" s="25" t="n">
        <v>0</v>
      </c>
      <c r="CR72" s="25" t="n">
        <v>0</v>
      </c>
      <c r="CS72" s="25" t="n">
        <v>0</v>
      </c>
      <c r="CT72" s="25" t="n">
        <v>0</v>
      </c>
      <c r="CU72" s="25" t="n">
        <v>0</v>
      </c>
      <c r="CV72" s="25" t="n">
        <v>0</v>
      </c>
      <c r="CW72" s="25" t="n">
        <v>0</v>
      </c>
      <c r="CX72" s="25" t="n">
        <v>0</v>
      </c>
      <c r="CY72" s="25" t="n">
        <v>0</v>
      </c>
      <c r="CZ72" s="25" t="n">
        <v>0</v>
      </c>
      <c r="DA72" s="25" t="n">
        <v>0</v>
      </c>
    </row>
    <row r="73">
      <c r="A73" t="inlineStr">
        <is>
          <t>TPP-611</t>
        </is>
      </c>
      <c r="B73" s="25" t="n">
        <v>0</v>
      </c>
      <c r="C73" s="25" t="n">
        <v>0</v>
      </c>
      <c r="D73" s="25" t="n">
        <v>0</v>
      </c>
      <c r="E73" s="25" t="n">
        <v>0</v>
      </c>
      <c r="F73" s="25" t="n">
        <v>0</v>
      </c>
      <c r="G73" s="25" t="n">
        <v>0</v>
      </c>
      <c r="H73" s="25" t="n">
        <v>0</v>
      </c>
      <c r="I73" s="25" t="n">
        <v>0</v>
      </c>
      <c r="J73" s="25" t="n">
        <v>0</v>
      </c>
      <c r="K73" s="25" t="n">
        <v>0</v>
      </c>
      <c r="L73" s="25" t="n">
        <v>0</v>
      </c>
      <c r="M73" s="25" t="n">
        <v>0</v>
      </c>
      <c r="N73" s="25" t="n">
        <v>0</v>
      </c>
      <c r="O73" s="25" t="n">
        <v>0</v>
      </c>
      <c r="P73" s="25" t="n">
        <v>0</v>
      </c>
      <c r="Q73" s="25" t="n">
        <v>0</v>
      </c>
      <c r="R73" s="25" t="n">
        <v>0</v>
      </c>
      <c r="S73" s="25" t="n">
        <v>0</v>
      </c>
      <c r="T73" s="25" t="n">
        <v>0</v>
      </c>
      <c r="U73" s="25" t="n">
        <v>0</v>
      </c>
      <c r="V73" s="25" t="n">
        <v>0</v>
      </c>
      <c r="W73" s="25" t="n">
        <v>0</v>
      </c>
      <c r="X73" s="25" t="n">
        <v>0</v>
      </c>
      <c r="Y73" s="25" t="n">
        <v>0</v>
      </c>
      <c r="Z73" s="25" t="n">
        <v>0</v>
      </c>
      <c r="AA73" s="25" t="n">
        <v>0</v>
      </c>
      <c r="AB73" s="25" t="n">
        <v>0</v>
      </c>
      <c r="AC73" s="25" t="n">
        <v>0</v>
      </c>
      <c r="AD73" s="25" t="n">
        <v>0</v>
      </c>
      <c r="AE73" s="25" t="n">
        <v>0</v>
      </c>
      <c r="AF73" s="25" t="n">
        <v>0</v>
      </c>
      <c r="AG73" s="25" t="n">
        <v>0</v>
      </c>
      <c r="AH73" s="25" t="n">
        <v>0</v>
      </c>
      <c r="AI73" s="25" t="n">
        <v>0</v>
      </c>
      <c r="AJ73" s="25" t="n">
        <v>0</v>
      </c>
      <c r="AK73" s="25" t="n">
        <v>0</v>
      </c>
      <c r="AL73" s="25" t="n">
        <v>0</v>
      </c>
      <c r="AM73" s="25" t="n">
        <v>0</v>
      </c>
      <c r="AN73" s="25" t="n">
        <v>0</v>
      </c>
      <c r="AO73" s="25" t="n">
        <v>0</v>
      </c>
      <c r="AP73" s="25" t="n">
        <v>0</v>
      </c>
      <c r="AQ73" s="25" t="n">
        <v>0</v>
      </c>
      <c r="AR73" s="25" t="n">
        <v>0</v>
      </c>
      <c r="AS73" s="25" t="n">
        <v>0</v>
      </c>
      <c r="AT73" s="25" t="n">
        <v>0</v>
      </c>
      <c r="AU73" s="25" t="n">
        <v>0</v>
      </c>
      <c r="AV73" s="25" t="n">
        <v>0</v>
      </c>
      <c r="AW73" s="25" t="n">
        <v>0</v>
      </c>
      <c r="AX73" s="25" t="n">
        <v>0</v>
      </c>
      <c r="AY73" s="25" t="n">
        <v>0</v>
      </c>
      <c r="AZ73" s="25" t="n">
        <v>0</v>
      </c>
      <c r="BA73" s="25" t="n">
        <v>0</v>
      </c>
      <c r="BB73" s="25" t="n">
        <v>0</v>
      </c>
      <c r="BC73" s="25" t="n">
        <v>0</v>
      </c>
      <c r="BD73" s="25" t="n">
        <v>0</v>
      </c>
      <c r="BE73" s="25" t="n">
        <v>0</v>
      </c>
      <c r="BF73" s="25" t="n">
        <v>0</v>
      </c>
      <c r="BG73" s="25" t="n">
        <v>0</v>
      </c>
      <c r="BH73" s="25" t="n">
        <v>0</v>
      </c>
      <c r="BI73" s="25" t="n">
        <v>0</v>
      </c>
      <c r="BJ73" s="25" t="n">
        <v>0</v>
      </c>
      <c r="BK73" s="25" t="n">
        <v>0</v>
      </c>
      <c r="BL73" s="25" t="n">
        <v>0</v>
      </c>
      <c r="BM73" s="25" t="n">
        <v>0</v>
      </c>
      <c r="BN73" s="25" t="n">
        <v>0</v>
      </c>
      <c r="BO73" s="25" t="n">
        <v>0</v>
      </c>
      <c r="BP73" s="25" t="n">
        <v>0</v>
      </c>
      <c r="BQ73" s="25" t="n">
        <v>0</v>
      </c>
      <c r="BR73" s="25" t="n">
        <v>0</v>
      </c>
      <c r="BS73" s="25" t="n">
        <v>0</v>
      </c>
      <c r="BT73" s="25" t="n">
        <v>0</v>
      </c>
      <c r="BU73" s="25" t="n">
        <v>0</v>
      </c>
      <c r="BV73" s="25" t="n">
        <v>0</v>
      </c>
      <c r="BW73" s="25" t="n">
        <v>0</v>
      </c>
      <c r="BX73" s="25" t="n">
        <v>0</v>
      </c>
      <c r="BY73" s="25" t="n">
        <v>0</v>
      </c>
      <c r="BZ73" s="25" t="n">
        <v>0</v>
      </c>
      <c r="CA73" s="25" t="n">
        <v>0</v>
      </c>
      <c r="CB73" s="25" t="n">
        <v>0</v>
      </c>
      <c r="CC73" s="25" t="n">
        <v>0</v>
      </c>
      <c r="CD73" s="25" t="n">
        <v>0</v>
      </c>
      <c r="CE73" s="25" t="n">
        <v>0</v>
      </c>
      <c r="CF73" s="25" t="n">
        <v>0</v>
      </c>
      <c r="CG73" s="25" t="n">
        <v>0</v>
      </c>
      <c r="CH73" s="25" t="n">
        <v>0</v>
      </c>
      <c r="CI73" s="25" t="n">
        <v>0</v>
      </c>
      <c r="CJ73" s="25" t="n">
        <v>0</v>
      </c>
      <c r="CK73" s="25" t="n">
        <v>0</v>
      </c>
      <c r="CL73" s="25" t="n">
        <v>0</v>
      </c>
      <c r="CM73" s="25" t="n">
        <v>0</v>
      </c>
      <c r="CN73" s="25" t="n">
        <v>0</v>
      </c>
      <c r="CO73" s="25" t="n">
        <v>0</v>
      </c>
      <c r="CP73" s="25" t="n">
        <v>0</v>
      </c>
      <c r="CQ73" s="25" t="n">
        <v>0</v>
      </c>
      <c r="CR73" s="25" t="n">
        <v>0</v>
      </c>
      <c r="CS73" s="25" t="n">
        <v>0</v>
      </c>
      <c r="CT73" s="25" t="n">
        <v>0</v>
      </c>
      <c r="CU73" s="25" t="n">
        <v>0</v>
      </c>
      <c r="CV73" s="25" t="n">
        <v>0</v>
      </c>
      <c r="CW73" s="25" t="n">
        <v>0</v>
      </c>
      <c r="CX73" s="25" t="n">
        <v>0</v>
      </c>
      <c r="CY73" s="25" t="n">
        <v>0</v>
      </c>
      <c r="CZ73" s="25" t="n">
        <v>0</v>
      </c>
      <c r="DA73" s="25" t="n">
        <v>0</v>
      </c>
    </row>
    <row r="74">
      <c r="A74" t="inlineStr">
        <is>
          <t>TPP-613</t>
        </is>
      </c>
      <c r="B74" s="25" t="n">
        <v>0</v>
      </c>
      <c r="C74" s="25" t="n">
        <v>0</v>
      </c>
      <c r="D74" s="25" t="n">
        <v>0</v>
      </c>
      <c r="E74" s="25" t="n">
        <v>0</v>
      </c>
      <c r="F74" s="25" t="n">
        <v>0</v>
      </c>
      <c r="G74" s="25" t="n">
        <v>0</v>
      </c>
      <c r="H74" s="25" t="n">
        <v>0</v>
      </c>
      <c r="I74" s="25" t="n">
        <v>0</v>
      </c>
      <c r="J74" s="25" t="n">
        <v>0</v>
      </c>
      <c r="K74" s="25" t="n">
        <v>0</v>
      </c>
      <c r="L74" s="25" t="n">
        <v>0</v>
      </c>
      <c r="M74" s="25" t="n">
        <v>0</v>
      </c>
      <c r="N74" s="25" t="n">
        <v>0</v>
      </c>
      <c r="O74" s="25" t="n">
        <v>0</v>
      </c>
      <c r="P74" s="25" t="n">
        <v>0</v>
      </c>
      <c r="Q74" s="25" t="n">
        <v>0</v>
      </c>
      <c r="R74" s="25" t="n">
        <v>0</v>
      </c>
      <c r="S74" s="25" t="n">
        <v>0</v>
      </c>
      <c r="T74" s="25" t="n">
        <v>0</v>
      </c>
      <c r="U74" s="25" t="n">
        <v>0</v>
      </c>
      <c r="V74" s="25" t="n">
        <v>0</v>
      </c>
      <c r="W74" s="25" t="n">
        <v>0</v>
      </c>
      <c r="X74" s="25" t="n">
        <v>0</v>
      </c>
      <c r="Y74" s="25" t="n">
        <v>0</v>
      </c>
      <c r="Z74" s="25" t="n">
        <v>0</v>
      </c>
      <c r="AA74" s="25" t="n">
        <v>0</v>
      </c>
      <c r="AB74" s="25" t="n">
        <v>0</v>
      </c>
      <c r="AC74" s="25" t="n">
        <v>0</v>
      </c>
      <c r="AD74" s="25" t="n">
        <v>0</v>
      </c>
      <c r="AE74" s="25" t="n">
        <v>0</v>
      </c>
      <c r="AF74" s="25" t="n">
        <v>0</v>
      </c>
      <c r="AG74" s="25" t="n">
        <v>0</v>
      </c>
      <c r="AH74" s="25" t="n">
        <v>0</v>
      </c>
      <c r="AI74" s="25" t="n">
        <v>0</v>
      </c>
      <c r="AJ74" s="25" t="n">
        <v>0</v>
      </c>
      <c r="AK74" s="25" t="n">
        <v>0</v>
      </c>
      <c r="AL74" s="25" t="n">
        <v>0</v>
      </c>
      <c r="AM74" s="25" t="n">
        <v>0</v>
      </c>
      <c r="AN74" s="25" t="n">
        <v>0</v>
      </c>
      <c r="AO74" s="25" t="n">
        <v>0</v>
      </c>
      <c r="AP74" s="25" t="n">
        <v>0</v>
      </c>
      <c r="AQ74" s="25" t="n">
        <v>0</v>
      </c>
      <c r="AR74" s="25" t="n">
        <v>0</v>
      </c>
      <c r="AS74" s="25" t="n">
        <v>0</v>
      </c>
      <c r="AT74" s="25" t="n">
        <v>0</v>
      </c>
      <c r="AU74" s="25" t="n">
        <v>0</v>
      </c>
      <c r="AV74" s="25" t="n">
        <v>0</v>
      </c>
      <c r="AW74" s="25" t="n">
        <v>0</v>
      </c>
      <c r="AX74" s="25" t="n">
        <v>0</v>
      </c>
      <c r="AY74" s="25" t="n">
        <v>0</v>
      </c>
      <c r="AZ74" s="25" t="n">
        <v>0</v>
      </c>
      <c r="BA74" s="25" t="n">
        <v>0</v>
      </c>
      <c r="BB74" s="25" t="n">
        <v>0</v>
      </c>
      <c r="BC74" s="25" t="n">
        <v>0</v>
      </c>
      <c r="BD74" s="25" t="n">
        <v>0</v>
      </c>
      <c r="BE74" s="25" t="n">
        <v>0</v>
      </c>
      <c r="BF74" s="25" t="n">
        <v>0</v>
      </c>
      <c r="BG74" s="25" t="n">
        <v>0</v>
      </c>
      <c r="BH74" s="25" t="n">
        <v>0</v>
      </c>
      <c r="BI74" s="25" t="n">
        <v>0</v>
      </c>
      <c r="BJ74" s="25" t="n">
        <v>0</v>
      </c>
      <c r="BK74" s="25" t="n">
        <v>0</v>
      </c>
      <c r="BL74" s="25" t="n">
        <v>0</v>
      </c>
      <c r="BM74" s="25" t="n">
        <v>0</v>
      </c>
      <c r="BN74" s="25" t="n">
        <v>0</v>
      </c>
      <c r="BO74" s="25" t="n">
        <v>0</v>
      </c>
      <c r="BP74" s="25" t="n">
        <v>0</v>
      </c>
      <c r="BQ74" s="25" t="n">
        <v>0</v>
      </c>
      <c r="BR74" s="25" t="n">
        <v>0</v>
      </c>
      <c r="BS74" s="25" t="n">
        <v>0</v>
      </c>
      <c r="BT74" s="25" t="n">
        <v>0</v>
      </c>
      <c r="BU74" s="25" t="n">
        <v>0</v>
      </c>
      <c r="BV74" s="25" t="n">
        <v>0</v>
      </c>
      <c r="BW74" s="25" t="n">
        <v>0</v>
      </c>
      <c r="BX74" s="25" t="n">
        <v>0</v>
      </c>
      <c r="BY74" s="25" t="n">
        <v>0</v>
      </c>
      <c r="BZ74" s="25" t="n">
        <v>0</v>
      </c>
      <c r="CA74" s="25" t="n">
        <v>0</v>
      </c>
      <c r="CB74" s="25" t="n">
        <v>0</v>
      </c>
      <c r="CC74" s="25" t="n">
        <v>0</v>
      </c>
      <c r="CD74" s="25" t="n">
        <v>0</v>
      </c>
      <c r="CE74" s="25" t="n">
        <v>0</v>
      </c>
      <c r="CF74" s="25" t="n">
        <v>0</v>
      </c>
      <c r="CG74" s="25" t="n">
        <v>0</v>
      </c>
      <c r="CH74" s="25" t="n">
        <v>0</v>
      </c>
      <c r="CI74" s="25" t="n">
        <v>0</v>
      </c>
      <c r="CJ74" s="25" t="n">
        <v>0</v>
      </c>
      <c r="CK74" s="25" t="n">
        <v>0</v>
      </c>
      <c r="CL74" s="25" t="n">
        <v>0</v>
      </c>
      <c r="CM74" s="25" t="n">
        <v>0</v>
      </c>
      <c r="CN74" s="25" t="n">
        <v>0</v>
      </c>
      <c r="CO74" s="25" t="n">
        <v>0</v>
      </c>
      <c r="CP74" s="25" t="n">
        <v>0</v>
      </c>
      <c r="CQ74" s="25" t="n">
        <v>0</v>
      </c>
      <c r="CR74" s="25" t="n">
        <v>0</v>
      </c>
      <c r="CS74" s="25" t="n">
        <v>0</v>
      </c>
      <c r="CT74" s="25" t="n">
        <v>0</v>
      </c>
      <c r="CU74" s="25" t="n">
        <v>0</v>
      </c>
      <c r="CV74" s="25" t="n">
        <v>0</v>
      </c>
      <c r="CW74" s="25" t="n">
        <v>0</v>
      </c>
      <c r="CX74" s="25" t="n">
        <v>0</v>
      </c>
      <c r="CY74" s="25" t="n">
        <v>0</v>
      </c>
      <c r="CZ74" s="25" t="n">
        <v>0</v>
      </c>
      <c r="DA74" s="25" t="n">
        <v>0</v>
      </c>
    </row>
    <row r="75">
      <c r="A75" t="inlineStr">
        <is>
          <t>TPP-635</t>
        </is>
      </c>
      <c r="B75" s="25" t="n">
        <v>0</v>
      </c>
      <c r="C75" s="25" t="n">
        <v>0</v>
      </c>
      <c r="D75" s="25" t="n">
        <v>0</v>
      </c>
      <c r="E75" s="25" t="n">
        <v>0</v>
      </c>
      <c r="F75" s="25" t="n">
        <v>0</v>
      </c>
      <c r="G75" s="25" t="n">
        <v>0</v>
      </c>
      <c r="H75" s="25" t="n">
        <v>0</v>
      </c>
      <c r="I75" s="25" t="n">
        <v>0</v>
      </c>
      <c r="J75" s="25" t="n">
        <v>0</v>
      </c>
      <c r="K75" s="25" t="n">
        <v>0</v>
      </c>
      <c r="L75" s="25" t="n">
        <v>0</v>
      </c>
      <c r="M75" s="25" t="n">
        <v>0</v>
      </c>
      <c r="N75" s="25" t="n">
        <v>0</v>
      </c>
      <c r="O75" s="25" t="n">
        <v>0</v>
      </c>
      <c r="P75" s="25" t="n">
        <v>0</v>
      </c>
      <c r="Q75" s="25" t="n">
        <v>0</v>
      </c>
      <c r="R75" s="25" t="n">
        <v>0</v>
      </c>
      <c r="S75" s="25" t="n">
        <v>0</v>
      </c>
      <c r="T75" s="25" t="n">
        <v>0</v>
      </c>
      <c r="U75" s="25" t="n">
        <v>0</v>
      </c>
      <c r="V75" s="25" t="n">
        <v>0</v>
      </c>
      <c r="W75" s="25" t="n">
        <v>0</v>
      </c>
      <c r="X75" s="25" t="n">
        <v>0</v>
      </c>
      <c r="Y75" s="25" t="n">
        <v>0</v>
      </c>
      <c r="Z75" s="25" t="n">
        <v>0</v>
      </c>
      <c r="AA75" s="25" t="n">
        <v>0</v>
      </c>
      <c r="AB75" s="25" t="n">
        <v>0</v>
      </c>
      <c r="AC75" s="25" t="n">
        <v>0</v>
      </c>
      <c r="AD75" s="25" t="n">
        <v>0</v>
      </c>
      <c r="AE75" s="25" t="n">
        <v>0</v>
      </c>
      <c r="AF75" s="25" t="n">
        <v>0</v>
      </c>
      <c r="AG75" s="25" t="n">
        <v>0</v>
      </c>
      <c r="AH75" s="25" t="n">
        <v>0</v>
      </c>
      <c r="AI75" s="25" t="n">
        <v>0</v>
      </c>
      <c r="AJ75" s="25" t="n">
        <v>0</v>
      </c>
      <c r="AK75" s="25" t="n">
        <v>0</v>
      </c>
      <c r="AL75" s="25" t="n">
        <v>0</v>
      </c>
      <c r="AM75" s="25" t="n">
        <v>0</v>
      </c>
      <c r="AN75" s="25" t="n">
        <v>0</v>
      </c>
      <c r="AO75" s="25" t="n">
        <v>0</v>
      </c>
      <c r="AP75" s="25" t="n">
        <v>0</v>
      </c>
      <c r="AQ75" s="25" t="n">
        <v>0</v>
      </c>
      <c r="AR75" s="25" t="n">
        <v>0</v>
      </c>
      <c r="AS75" s="25" t="n">
        <v>0</v>
      </c>
      <c r="AT75" s="25" t="n">
        <v>0</v>
      </c>
      <c r="AU75" s="25" t="n">
        <v>0</v>
      </c>
      <c r="AV75" s="25" t="n">
        <v>0</v>
      </c>
      <c r="AW75" s="25" t="n">
        <v>0</v>
      </c>
      <c r="AX75" s="25" t="n">
        <v>0</v>
      </c>
      <c r="AY75" s="25" t="n">
        <v>0</v>
      </c>
      <c r="AZ75" s="25" t="n">
        <v>0</v>
      </c>
      <c r="BA75" s="25" t="n">
        <v>0</v>
      </c>
      <c r="BB75" s="25" t="n">
        <v>0</v>
      </c>
      <c r="BC75" s="25" t="n">
        <v>0</v>
      </c>
      <c r="BD75" s="25" t="n">
        <v>0</v>
      </c>
      <c r="BE75" s="25" t="n">
        <v>0</v>
      </c>
      <c r="BF75" s="25" t="n">
        <v>0</v>
      </c>
      <c r="BG75" s="25" t="n">
        <v>0</v>
      </c>
      <c r="BH75" s="25" t="n">
        <v>0</v>
      </c>
      <c r="BI75" s="25" t="n">
        <v>0</v>
      </c>
      <c r="BJ75" s="25" t="n">
        <v>0</v>
      </c>
      <c r="BK75" s="25" t="n">
        <v>0</v>
      </c>
      <c r="BL75" s="25" t="n">
        <v>0</v>
      </c>
      <c r="BM75" s="25" t="n">
        <v>0</v>
      </c>
      <c r="BN75" s="25" t="n">
        <v>0</v>
      </c>
      <c r="BO75" s="25" t="n">
        <v>0</v>
      </c>
      <c r="BP75" s="25" t="n">
        <v>0</v>
      </c>
      <c r="BQ75" s="25" t="n">
        <v>0</v>
      </c>
      <c r="BR75" s="25" t="n">
        <v>0</v>
      </c>
      <c r="BS75" s="25" t="n">
        <v>0</v>
      </c>
      <c r="BT75" s="25" t="n">
        <v>0</v>
      </c>
      <c r="BU75" s="25" t="n">
        <v>0</v>
      </c>
      <c r="BV75" s="25" t="n">
        <v>0</v>
      </c>
      <c r="BW75" s="25" t="n">
        <v>0</v>
      </c>
      <c r="BX75" s="25" t="n">
        <v>0</v>
      </c>
      <c r="BY75" s="25" t="n">
        <v>0</v>
      </c>
      <c r="BZ75" s="25" t="n">
        <v>0</v>
      </c>
      <c r="CA75" s="25" t="n">
        <v>0</v>
      </c>
      <c r="CB75" s="25" t="n">
        <v>0</v>
      </c>
      <c r="CC75" s="25" t="n">
        <v>0</v>
      </c>
      <c r="CD75" s="25" t="n">
        <v>0</v>
      </c>
      <c r="CE75" s="25" t="n">
        <v>0</v>
      </c>
      <c r="CF75" s="25" t="n">
        <v>0</v>
      </c>
      <c r="CG75" s="25" t="n">
        <v>0</v>
      </c>
      <c r="CH75" s="25" t="n">
        <v>0</v>
      </c>
      <c r="CI75" s="25" t="n">
        <v>0</v>
      </c>
      <c r="CJ75" s="25" t="n">
        <v>0</v>
      </c>
      <c r="CK75" s="25" t="n">
        <v>0</v>
      </c>
      <c r="CL75" s="25" t="n">
        <v>0</v>
      </c>
      <c r="CM75" s="25" t="n">
        <v>0</v>
      </c>
      <c r="CN75" s="25" t="n">
        <v>0</v>
      </c>
      <c r="CO75" s="25" t="n">
        <v>0</v>
      </c>
      <c r="CP75" s="25" t="n">
        <v>0</v>
      </c>
      <c r="CQ75" s="25" t="n">
        <v>0</v>
      </c>
      <c r="CR75" s="25" t="n">
        <v>0</v>
      </c>
      <c r="CS75" s="25" t="n">
        <v>0</v>
      </c>
      <c r="CT75" s="25" t="n">
        <v>0</v>
      </c>
      <c r="CU75" s="25" t="n">
        <v>0</v>
      </c>
      <c r="CV75" s="25" t="n">
        <v>0</v>
      </c>
      <c r="CW75" s="25" t="n">
        <v>0</v>
      </c>
      <c r="CX75" s="25" t="n">
        <v>0</v>
      </c>
      <c r="CY75" s="25" t="n">
        <v>0</v>
      </c>
      <c r="CZ75" s="25" t="n">
        <v>0</v>
      </c>
      <c r="DA75" s="25" t="n">
        <v>0</v>
      </c>
    </row>
    <row r="76">
      <c r="A76" t="inlineStr">
        <is>
          <t>TPP-650</t>
        </is>
      </c>
      <c r="B76" s="25" t="n">
        <v>0</v>
      </c>
      <c r="C76" s="25" t="n">
        <v>0</v>
      </c>
      <c r="D76" s="25" t="n">
        <v>0</v>
      </c>
      <c r="E76" s="25" t="n">
        <v>0</v>
      </c>
      <c r="F76" s="25" t="n">
        <v>0</v>
      </c>
      <c r="G76" s="25" t="n">
        <v>0</v>
      </c>
      <c r="H76" s="25" t="n">
        <v>0</v>
      </c>
      <c r="I76" s="25" t="n">
        <v>0</v>
      </c>
      <c r="J76" s="25" t="n">
        <v>0</v>
      </c>
      <c r="K76" s="25" t="n">
        <v>0</v>
      </c>
      <c r="L76" s="25" t="n">
        <v>0</v>
      </c>
      <c r="M76" s="25" t="n">
        <v>0</v>
      </c>
      <c r="N76" s="25" t="n">
        <v>0</v>
      </c>
      <c r="O76" s="25" t="n">
        <v>0</v>
      </c>
      <c r="P76" s="25" t="n">
        <v>0</v>
      </c>
      <c r="Q76" s="25" t="n">
        <v>0</v>
      </c>
      <c r="R76" s="25" t="n">
        <v>0</v>
      </c>
      <c r="S76" s="25" t="n">
        <v>0</v>
      </c>
      <c r="T76" s="25" t="n">
        <v>0</v>
      </c>
      <c r="U76" s="25" t="n">
        <v>0</v>
      </c>
      <c r="V76" s="25" t="n">
        <v>0</v>
      </c>
      <c r="W76" s="25" t="n">
        <v>0</v>
      </c>
      <c r="X76" s="25" t="n">
        <v>0</v>
      </c>
      <c r="Y76" s="25" t="n">
        <v>2</v>
      </c>
      <c r="Z76" s="25" t="n">
        <v>0</v>
      </c>
      <c r="AA76" s="25" t="n">
        <v>4</v>
      </c>
      <c r="AB76" s="25" t="n">
        <v>4</v>
      </c>
      <c r="AC76" s="25" t="n">
        <v>4</v>
      </c>
      <c r="AD76" s="25" t="n">
        <v>2</v>
      </c>
      <c r="AE76" s="25" t="n">
        <v>4</v>
      </c>
      <c r="AF76" s="25" t="n">
        <v>0</v>
      </c>
      <c r="AG76" s="25" t="n">
        <v>4</v>
      </c>
      <c r="AH76" s="25" t="n">
        <v>0</v>
      </c>
      <c r="AI76" s="25" t="n">
        <v>0</v>
      </c>
      <c r="AJ76" s="25" t="n">
        <v>4</v>
      </c>
      <c r="AK76" s="25" t="n">
        <v>2</v>
      </c>
      <c r="AL76" s="25" t="n">
        <v>2</v>
      </c>
      <c r="AM76" s="25" t="n">
        <v>2</v>
      </c>
      <c r="AN76" s="25" t="n">
        <v>0</v>
      </c>
      <c r="AO76" s="25" t="n">
        <v>0</v>
      </c>
      <c r="AP76" s="25" t="n">
        <v>0</v>
      </c>
      <c r="AQ76" s="25" t="n">
        <v>2</v>
      </c>
      <c r="AR76" s="25" t="n">
        <v>4</v>
      </c>
      <c r="AS76" s="25" t="n">
        <v>2</v>
      </c>
      <c r="AT76" s="25" t="n">
        <v>2</v>
      </c>
      <c r="AU76" s="25" t="n">
        <v>2</v>
      </c>
      <c r="AV76" s="25" t="n">
        <v>2</v>
      </c>
      <c r="AW76" s="25" t="n">
        <v>4</v>
      </c>
      <c r="AX76" s="25" t="n">
        <v>0</v>
      </c>
      <c r="AY76" s="25" t="n">
        <v>0</v>
      </c>
      <c r="AZ76" s="25" t="n">
        <v>0</v>
      </c>
      <c r="BA76" s="25" t="n">
        <v>0</v>
      </c>
      <c r="BB76" s="25" t="n">
        <v>0</v>
      </c>
      <c r="BC76" s="25" t="n">
        <v>4</v>
      </c>
      <c r="BD76" s="25" t="n">
        <v>2</v>
      </c>
      <c r="BE76" s="25" t="n">
        <v>0</v>
      </c>
      <c r="BF76" s="25" t="n">
        <v>4</v>
      </c>
      <c r="BG76" s="25" t="n">
        <v>0</v>
      </c>
      <c r="BH76" s="25" t="n">
        <v>0</v>
      </c>
      <c r="BI76" s="25" t="n">
        <v>2</v>
      </c>
      <c r="BJ76" s="25" t="n">
        <v>0</v>
      </c>
      <c r="BK76" s="25" t="n">
        <v>0</v>
      </c>
      <c r="BL76" s="25" t="n">
        <v>2</v>
      </c>
      <c r="BM76" s="25" t="n">
        <v>0</v>
      </c>
      <c r="BN76" s="25" t="n">
        <v>0</v>
      </c>
      <c r="BO76" s="25" t="n">
        <v>0</v>
      </c>
      <c r="BP76" s="25" t="n">
        <v>0</v>
      </c>
      <c r="BQ76" s="25" t="n">
        <v>0</v>
      </c>
      <c r="BR76" s="25" t="n">
        <v>0</v>
      </c>
      <c r="BS76" s="25" t="n">
        <v>0</v>
      </c>
      <c r="BT76" s="25" t="n">
        <v>0</v>
      </c>
      <c r="BU76" s="25" t="n">
        <v>0</v>
      </c>
      <c r="BV76" s="25" t="n">
        <v>0</v>
      </c>
      <c r="BW76" s="25" t="n">
        <v>0</v>
      </c>
      <c r="BX76" s="25" t="n">
        <v>0</v>
      </c>
      <c r="BY76" s="25" t="n">
        <v>0</v>
      </c>
      <c r="BZ76" s="25" t="n">
        <v>0</v>
      </c>
      <c r="CA76" s="25" t="n">
        <v>0</v>
      </c>
      <c r="CB76" s="25" t="n">
        <v>0</v>
      </c>
      <c r="CC76" s="25" t="n">
        <v>0</v>
      </c>
      <c r="CD76" s="25" t="n">
        <v>0</v>
      </c>
      <c r="CE76" s="25" t="n">
        <v>0</v>
      </c>
      <c r="CF76" s="25" t="n">
        <v>0</v>
      </c>
      <c r="CG76" s="25" t="n">
        <v>0</v>
      </c>
      <c r="CH76" s="25" t="n">
        <v>0</v>
      </c>
      <c r="CI76" s="25" t="n">
        <v>0</v>
      </c>
      <c r="CJ76" s="25" t="n">
        <v>0</v>
      </c>
      <c r="CK76" s="25" t="n">
        <v>0</v>
      </c>
      <c r="CL76" s="25" t="n">
        <v>0</v>
      </c>
      <c r="CM76" s="25" t="n">
        <v>0</v>
      </c>
      <c r="CN76" s="25" t="n">
        <v>0</v>
      </c>
      <c r="CO76" s="25" t="n">
        <v>0</v>
      </c>
      <c r="CP76" s="25" t="n">
        <v>0</v>
      </c>
      <c r="CQ76" s="25" t="n">
        <v>0</v>
      </c>
      <c r="CR76" s="25" t="n">
        <v>0</v>
      </c>
      <c r="CS76" s="25" t="n">
        <v>0</v>
      </c>
      <c r="CT76" s="25" t="n">
        <v>0</v>
      </c>
      <c r="CU76" s="25" t="n">
        <v>0</v>
      </c>
      <c r="CV76" s="25" t="n">
        <v>0</v>
      </c>
      <c r="CW76" s="25" t="n">
        <v>0</v>
      </c>
      <c r="CX76" s="25" t="n">
        <v>0</v>
      </c>
      <c r="CY76" s="25" t="n">
        <v>0</v>
      </c>
      <c r="CZ76" s="25" t="n">
        <v>0</v>
      </c>
      <c r="DA76" s="25" t="n">
        <v>0</v>
      </c>
    </row>
    <row r="77">
      <c r="A77" t="inlineStr">
        <is>
          <t>TPP-704</t>
        </is>
      </c>
      <c r="B77" s="25" t="n">
        <v>0</v>
      </c>
      <c r="C77" s="25" t="n">
        <v>0</v>
      </c>
      <c r="D77" s="25" t="n">
        <v>0</v>
      </c>
      <c r="E77" s="25" t="n">
        <v>0</v>
      </c>
      <c r="F77" s="25" t="n">
        <v>0</v>
      </c>
      <c r="G77" s="25" t="n">
        <v>0</v>
      </c>
      <c r="H77" s="25" t="n">
        <v>0</v>
      </c>
      <c r="I77" s="25" t="n">
        <v>0</v>
      </c>
      <c r="J77" s="25" t="n">
        <v>0</v>
      </c>
      <c r="K77" s="25" t="n">
        <v>0</v>
      </c>
      <c r="L77" s="25" t="n">
        <v>0</v>
      </c>
      <c r="M77" s="25" t="n">
        <v>0</v>
      </c>
      <c r="N77" s="25" t="n">
        <v>0</v>
      </c>
      <c r="O77" s="25" t="n">
        <v>0</v>
      </c>
      <c r="P77" s="25" t="n">
        <v>0</v>
      </c>
      <c r="Q77" s="25" t="n">
        <v>0</v>
      </c>
      <c r="R77" s="25" t="n">
        <v>0</v>
      </c>
      <c r="S77" s="25" t="n">
        <v>0</v>
      </c>
      <c r="T77" s="25" t="n">
        <v>0</v>
      </c>
      <c r="U77" s="25" t="n">
        <v>0</v>
      </c>
      <c r="V77" s="25" t="n">
        <v>0</v>
      </c>
      <c r="W77" s="25" t="n">
        <v>0</v>
      </c>
      <c r="X77" s="25" t="n">
        <v>0</v>
      </c>
      <c r="Y77" s="25" t="n">
        <v>0</v>
      </c>
      <c r="Z77" s="25" t="n">
        <v>0</v>
      </c>
      <c r="AA77" s="25" t="n">
        <v>0</v>
      </c>
      <c r="AB77" s="25" t="n">
        <v>0</v>
      </c>
      <c r="AC77" s="25" t="n">
        <v>0</v>
      </c>
      <c r="AD77" s="25" t="n">
        <v>0</v>
      </c>
      <c r="AE77" s="25" t="n">
        <v>0</v>
      </c>
      <c r="AF77" s="25" t="n">
        <v>0</v>
      </c>
      <c r="AG77" s="25" t="n">
        <v>0</v>
      </c>
      <c r="AH77" s="25" t="n">
        <v>0</v>
      </c>
      <c r="AI77" s="25" t="n">
        <v>0</v>
      </c>
      <c r="AJ77" s="25" t="n">
        <v>0</v>
      </c>
      <c r="AK77" s="25" t="n">
        <v>0</v>
      </c>
      <c r="AL77" s="25" t="n">
        <v>0</v>
      </c>
      <c r="AM77" s="25" t="n">
        <v>0</v>
      </c>
      <c r="AN77" s="25" t="n">
        <v>0</v>
      </c>
      <c r="AO77" s="25" t="n">
        <v>0</v>
      </c>
      <c r="AP77" s="25" t="n">
        <v>0</v>
      </c>
      <c r="AQ77" s="25" t="n">
        <v>0</v>
      </c>
      <c r="AR77" s="25" t="n">
        <v>0</v>
      </c>
      <c r="AS77" s="25" t="n">
        <v>0</v>
      </c>
      <c r="AT77" s="25" t="n">
        <v>0</v>
      </c>
      <c r="AU77" s="25" t="n">
        <v>0</v>
      </c>
      <c r="AV77" s="25" t="n">
        <v>0</v>
      </c>
      <c r="AW77" s="25" t="n">
        <v>0</v>
      </c>
      <c r="AX77" s="25" t="n">
        <v>0</v>
      </c>
      <c r="AY77" s="25" t="n">
        <v>0</v>
      </c>
      <c r="AZ77" s="25" t="n">
        <v>0</v>
      </c>
      <c r="BA77" s="25" t="n">
        <v>0</v>
      </c>
      <c r="BB77" s="25" t="n">
        <v>0</v>
      </c>
      <c r="BC77" s="25" t="n">
        <v>0</v>
      </c>
      <c r="BD77" s="25" t="n">
        <v>0</v>
      </c>
      <c r="BE77" s="25" t="n">
        <v>0</v>
      </c>
      <c r="BF77" s="25" t="n">
        <v>0</v>
      </c>
      <c r="BG77" s="25" t="n">
        <v>0</v>
      </c>
      <c r="BH77" s="25" t="n">
        <v>0</v>
      </c>
      <c r="BI77" s="25" t="n">
        <v>0</v>
      </c>
      <c r="BJ77" s="25" t="n">
        <v>0</v>
      </c>
      <c r="BK77" s="25" t="n">
        <v>0</v>
      </c>
      <c r="BL77" s="25" t="n">
        <v>0</v>
      </c>
      <c r="BM77" s="25" t="n">
        <v>0</v>
      </c>
      <c r="BN77" s="25" t="n">
        <v>0</v>
      </c>
      <c r="BO77" s="25" t="n">
        <v>0</v>
      </c>
      <c r="BP77" s="25" t="n">
        <v>0</v>
      </c>
      <c r="BQ77" s="25" t="n">
        <v>0</v>
      </c>
      <c r="BR77" s="25" t="n">
        <v>0</v>
      </c>
      <c r="BS77" s="25" t="n">
        <v>0</v>
      </c>
      <c r="BT77" s="25" t="n">
        <v>0</v>
      </c>
      <c r="BU77" s="25" t="n">
        <v>0</v>
      </c>
      <c r="BV77" s="25" t="n">
        <v>0</v>
      </c>
      <c r="BW77" s="25" t="n">
        <v>0</v>
      </c>
      <c r="BX77" s="25" t="n">
        <v>0</v>
      </c>
      <c r="BY77" s="25" t="n">
        <v>0</v>
      </c>
      <c r="BZ77" s="25" t="n">
        <v>0</v>
      </c>
      <c r="CA77" s="25" t="n">
        <v>0</v>
      </c>
      <c r="CB77" s="25" t="n">
        <v>0</v>
      </c>
      <c r="CC77" s="25" t="n">
        <v>0</v>
      </c>
      <c r="CD77" s="25" t="n">
        <v>0</v>
      </c>
      <c r="CE77" s="25" t="n">
        <v>0</v>
      </c>
      <c r="CF77" s="25" t="n">
        <v>0</v>
      </c>
      <c r="CG77" s="25" t="n">
        <v>0</v>
      </c>
      <c r="CH77" s="25" t="n">
        <v>0</v>
      </c>
      <c r="CI77" s="25" t="n">
        <v>0</v>
      </c>
      <c r="CJ77" s="25" t="n">
        <v>0</v>
      </c>
      <c r="CK77" s="25" t="n">
        <v>0</v>
      </c>
      <c r="CL77" s="25" t="n">
        <v>0</v>
      </c>
      <c r="CM77" s="25" t="n">
        <v>0</v>
      </c>
      <c r="CN77" s="25" t="n">
        <v>0</v>
      </c>
      <c r="CO77" s="25" t="n">
        <v>0</v>
      </c>
      <c r="CP77" s="25" t="n">
        <v>0</v>
      </c>
      <c r="CQ77" s="25" t="n">
        <v>0</v>
      </c>
      <c r="CR77" s="25" t="n">
        <v>0</v>
      </c>
      <c r="CS77" s="25" t="n">
        <v>0</v>
      </c>
      <c r="CT77" s="25" t="n">
        <v>0</v>
      </c>
      <c r="CU77" s="25" t="n">
        <v>0</v>
      </c>
      <c r="CV77" s="25" t="n">
        <v>0</v>
      </c>
      <c r="CW77" s="25" t="n">
        <v>0</v>
      </c>
      <c r="CX77" s="25" t="n">
        <v>0</v>
      </c>
      <c r="CY77" s="25" t="n">
        <v>0</v>
      </c>
      <c r="CZ77" s="25" t="n">
        <v>0</v>
      </c>
      <c r="DA77" s="25" t="n">
        <v>0</v>
      </c>
    </row>
    <row r="78">
      <c r="A78" t="inlineStr">
        <is>
          <t>TPP-911</t>
        </is>
      </c>
      <c r="B78" s="25" t="n">
        <v>0</v>
      </c>
      <c r="C78" s="25" t="n">
        <v>0</v>
      </c>
      <c r="D78" s="25" t="n">
        <v>0</v>
      </c>
      <c r="E78" s="25" t="n">
        <v>0</v>
      </c>
      <c r="F78" s="25" t="n">
        <v>0</v>
      </c>
      <c r="G78" s="25" t="n">
        <v>0</v>
      </c>
      <c r="H78" s="25" t="n">
        <v>0</v>
      </c>
      <c r="I78" s="25" t="n">
        <v>0</v>
      </c>
      <c r="J78" s="25" t="n">
        <v>0</v>
      </c>
      <c r="K78" s="25" t="n">
        <v>0</v>
      </c>
      <c r="L78" s="25" t="n">
        <v>0</v>
      </c>
      <c r="M78" s="25" t="n">
        <v>0</v>
      </c>
      <c r="N78" s="25" t="n">
        <v>0</v>
      </c>
      <c r="O78" s="25" t="n">
        <v>0</v>
      </c>
      <c r="P78" s="25" t="n">
        <v>0</v>
      </c>
      <c r="Q78" s="25" t="n">
        <v>0</v>
      </c>
      <c r="R78" s="25" t="n">
        <v>0</v>
      </c>
      <c r="S78" s="25" t="n">
        <v>0</v>
      </c>
      <c r="T78" s="25" t="n">
        <v>0</v>
      </c>
      <c r="U78" s="25" t="n">
        <v>0</v>
      </c>
      <c r="V78" s="25" t="n">
        <v>0</v>
      </c>
      <c r="W78" s="25" t="n">
        <v>0</v>
      </c>
      <c r="X78" s="25" t="n">
        <v>0</v>
      </c>
      <c r="Y78" s="25" t="n">
        <v>0</v>
      </c>
      <c r="Z78" s="25" t="n">
        <v>0</v>
      </c>
      <c r="AA78" s="25" t="n">
        <v>0</v>
      </c>
      <c r="AB78" s="25" t="n">
        <v>0</v>
      </c>
      <c r="AC78" s="25" t="n">
        <v>0</v>
      </c>
      <c r="AD78" s="25" t="n">
        <v>0</v>
      </c>
      <c r="AE78" s="25" t="n">
        <v>0</v>
      </c>
      <c r="AF78" s="25" t="n">
        <v>0</v>
      </c>
      <c r="AG78" s="25" t="n">
        <v>0</v>
      </c>
      <c r="AH78" s="25" t="n">
        <v>0</v>
      </c>
      <c r="AI78" s="25" t="n">
        <v>0</v>
      </c>
      <c r="AJ78" s="25" t="n">
        <v>0</v>
      </c>
      <c r="AK78" s="25" t="n">
        <v>0</v>
      </c>
      <c r="AL78" s="25" t="n">
        <v>0</v>
      </c>
      <c r="AM78" s="25" t="n">
        <v>0</v>
      </c>
      <c r="AN78" s="25" t="n">
        <v>3</v>
      </c>
      <c r="AO78" s="25" t="n">
        <v>0</v>
      </c>
      <c r="AP78" s="25" t="n">
        <v>0</v>
      </c>
      <c r="AQ78" s="25" t="n">
        <v>0</v>
      </c>
      <c r="AR78" s="25" t="n">
        <v>0</v>
      </c>
      <c r="AS78" s="25" t="n">
        <v>0</v>
      </c>
      <c r="AT78" s="25" t="n">
        <v>0</v>
      </c>
      <c r="AU78" s="25" t="n">
        <v>0</v>
      </c>
      <c r="AV78" s="25" t="n">
        <v>0</v>
      </c>
      <c r="AW78" s="25" t="n">
        <v>0</v>
      </c>
      <c r="AX78" s="25" t="n">
        <v>0</v>
      </c>
      <c r="AY78" s="25" t="n">
        <v>0</v>
      </c>
      <c r="AZ78" s="25" t="n">
        <v>0</v>
      </c>
      <c r="BA78" s="25" t="n">
        <v>0</v>
      </c>
      <c r="BB78" s="25" t="n">
        <v>0</v>
      </c>
      <c r="BC78" s="25" t="n">
        <v>0</v>
      </c>
      <c r="BD78" s="25" t="n">
        <v>0</v>
      </c>
      <c r="BE78" s="25" t="n">
        <v>0</v>
      </c>
      <c r="BF78" s="25" t="n">
        <v>0</v>
      </c>
      <c r="BG78" s="25" t="n">
        <v>0</v>
      </c>
      <c r="BH78" s="25" t="n">
        <v>0</v>
      </c>
      <c r="BI78" s="25" t="n">
        <v>0</v>
      </c>
      <c r="BJ78" s="25" t="n">
        <v>0</v>
      </c>
      <c r="BK78" s="25" t="n">
        <v>0</v>
      </c>
      <c r="BL78" s="25" t="n">
        <v>0</v>
      </c>
      <c r="BM78" s="25" t="n">
        <v>0</v>
      </c>
      <c r="BN78" s="25" t="n">
        <v>0</v>
      </c>
      <c r="BO78" s="25" t="n">
        <v>0</v>
      </c>
      <c r="BP78" s="25" t="n">
        <v>0</v>
      </c>
      <c r="BQ78" s="25" t="n">
        <v>0</v>
      </c>
      <c r="BR78" s="25" t="n">
        <v>0</v>
      </c>
      <c r="BS78" s="25" t="n">
        <v>0</v>
      </c>
      <c r="BT78" s="25" t="n">
        <v>0</v>
      </c>
      <c r="BU78" s="25" t="n">
        <v>0</v>
      </c>
      <c r="BV78" s="25" t="n">
        <v>0</v>
      </c>
      <c r="BW78" s="25" t="n">
        <v>0</v>
      </c>
      <c r="BX78" s="25" t="n">
        <v>0</v>
      </c>
      <c r="BY78" s="25" t="n">
        <v>0</v>
      </c>
      <c r="BZ78" s="25" t="n">
        <v>0</v>
      </c>
      <c r="CA78" s="25" t="n">
        <v>0</v>
      </c>
      <c r="CB78" s="25" t="n">
        <v>0</v>
      </c>
      <c r="CC78" s="25" t="n">
        <v>0</v>
      </c>
      <c r="CD78" s="25" t="n">
        <v>0</v>
      </c>
      <c r="CE78" s="25" t="n">
        <v>0</v>
      </c>
      <c r="CF78" s="25" t="n">
        <v>0</v>
      </c>
      <c r="CG78" s="25" t="n">
        <v>0</v>
      </c>
      <c r="CH78" s="25" t="n">
        <v>0</v>
      </c>
      <c r="CI78" s="25" t="n">
        <v>0</v>
      </c>
      <c r="CJ78" s="25" t="n">
        <v>0</v>
      </c>
      <c r="CK78" s="25" t="n">
        <v>0</v>
      </c>
      <c r="CL78" s="25" t="n">
        <v>0</v>
      </c>
      <c r="CM78" s="25" t="n">
        <v>0</v>
      </c>
      <c r="CN78" s="25" t="n">
        <v>0</v>
      </c>
      <c r="CO78" s="25" t="n">
        <v>0</v>
      </c>
      <c r="CP78" s="25" t="n">
        <v>0</v>
      </c>
      <c r="CQ78" s="25" t="n">
        <v>0</v>
      </c>
      <c r="CR78" s="25" t="n">
        <v>0</v>
      </c>
      <c r="CS78" s="25" t="n">
        <v>0</v>
      </c>
      <c r="CT78" s="25" t="n">
        <v>0</v>
      </c>
      <c r="CU78" s="25" t="n">
        <v>0</v>
      </c>
      <c r="CV78" s="25" t="n">
        <v>0</v>
      </c>
      <c r="CW78" s="25" t="n">
        <v>0</v>
      </c>
      <c r="CX78" s="25" t="n">
        <v>0</v>
      </c>
      <c r="CY78" s="25" t="n">
        <v>0</v>
      </c>
      <c r="CZ78" s="25" t="n">
        <v>0</v>
      </c>
      <c r="DA78" s="25" t="n">
        <v>0</v>
      </c>
    </row>
    <row r="79">
      <c r="A79" t="inlineStr">
        <is>
          <t>TPP-912</t>
        </is>
      </c>
      <c r="B79" s="25" t="n">
        <v>0</v>
      </c>
      <c r="C79" s="25" t="n">
        <v>0</v>
      </c>
      <c r="D79" s="25" t="n">
        <v>0</v>
      </c>
      <c r="E79" s="25" t="n">
        <v>0</v>
      </c>
      <c r="F79" s="25" t="n">
        <v>0</v>
      </c>
      <c r="G79" s="25" t="n">
        <v>0</v>
      </c>
      <c r="H79" s="25" t="n">
        <v>0</v>
      </c>
      <c r="I79" s="25" t="n">
        <v>0</v>
      </c>
      <c r="J79" s="25" t="n">
        <v>0</v>
      </c>
      <c r="K79" s="25" t="n">
        <v>0</v>
      </c>
      <c r="L79" s="25" t="n">
        <v>0</v>
      </c>
      <c r="M79" s="25" t="n">
        <v>0</v>
      </c>
      <c r="N79" s="25" t="n">
        <v>0</v>
      </c>
      <c r="O79" s="25" t="n">
        <v>0</v>
      </c>
      <c r="P79" s="25" t="n">
        <v>0</v>
      </c>
      <c r="Q79" s="25" t="n">
        <v>0</v>
      </c>
      <c r="R79" s="25" t="n">
        <v>0</v>
      </c>
      <c r="S79" s="25" t="n">
        <v>0</v>
      </c>
      <c r="T79" s="25" t="n">
        <v>0</v>
      </c>
      <c r="U79" s="25" t="n">
        <v>0</v>
      </c>
      <c r="V79" s="25" t="n">
        <v>0</v>
      </c>
      <c r="W79" s="25" t="n">
        <v>0</v>
      </c>
      <c r="X79" s="25" t="n">
        <v>0</v>
      </c>
      <c r="Y79" s="25" t="n">
        <v>0</v>
      </c>
      <c r="Z79" s="25" t="n">
        <v>0</v>
      </c>
      <c r="AA79" s="25" t="n">
        <v>0</v>
      </c>
      <c r="AB79" s="25" t="n">
        <v>0</v>
      </c>
      <c r="AC79" s="25" t="n">
        <v>2</v>
      </c>
      <c r="AD79" s="25" t="n">
        <v>0</v>
      </c>
      <c r="AE79" s="25" t="n">
        <v>0</v>
      </c>
      <c r="AF79" s="25" t="n">
        <v>0</v>
      </c>
      <c r="AG79" s="25" t="n">
        <v>0</v>
      </c>
      <c r="AH79" s="25" t="n">
        <v>0</v>
      </c>
      <c r="AI79" s="25" t="n">
        <v>2</v>
      </c>
      <c r="AJ79" s="25" t="n">
        <v>0</v>
      </c>
      <c r="AK79" s="25" t="n">
        <v>0</v>
      </c>
      <c r="AL79" s="25" t="n">
        <v>0</v>
      </c>
      <c r="AM79" s="25" t="n">
        <v>0</v>
      </c>
      <c r="AN79" s="25" t="n">
        <v>0</v>
      </c>
      <c r="AO79" s="25" t="n">
        <v>0</v>
      </c>
      <c r="AP79" s="25" t="n">
        <v>0</v>
      </c>
      <c r="AQ79" s="25" t="n">
        <v>0</v>
      </c>
      <c r="AR79" s="25" t="n">
        <v>0</v>
      </c>
      <c r="AS79" s="25" t="n">
        <v>0</v>
      </c>
      <c r="AT79" s="25" t="n">
        <v>0</v>
      </c>
      <c r="AU79" s="25" t="n">
        <v>0</v>
      </c>
      <c r="AV79" s="25" t="n">
        <v>0</v>
      </c>
      <c r="AW79" s="25" t="n">
        <v>0</v>
      </c>
      <c r="AX79" s="25" t="n">
        <v>0</v>
      </c>
      <c r="AY79" s="25" t="n">
        <v>0</v>
      </c>
      <c r="AZ79" s="25" t="n">
        <v>0</v>
      </c>
      <c r="BA79" s="25" t="n">
        <v>0</v>
      </c>
      <c r="BB79" s="25" t="n">
        <v>0</v>
      </c>
      <c r="BC79" s="25" t="n">
        <v>0</v>
      </c>
      <c r="BD79" s="25" t="n">
        <v>0</v>
      </c>
      <c r="BE79" s="25" t="n">
        <v>0</v>
      </c>
      <c r="BF79" s="25" t="n">
        <v>0</v>
      </c>
      <c r="BG79" s="25" t="n">
        <v>0</v>
      </c>
      <c r="BH79" s="25" t="n">
        <v>0</v>
      </c>
      <c r="BI79" s="25" t="n">
        <v>0</v>
      </c>
      <c r="BJ79" s="25" t="n">
        <v>0</v>
      </c>
      <c r="BK79" s="25" t="n">
        <v>0</v>
      </c>
      <c r="BL79" s="25" t="n">
        <v>0</v>
      </c>
      <c r="BM79" s="25" t="n">
        <v>0</v>
      </c>
      <c r="BN79" s="25" t="n">
        <v>0</v>
      </c>
      <c r="BO79" s="25" t="n">
        <v>0</v>
      </c>
      <c r="BP79" s="25" t="n">
        <v>0</v>
      </c>
      <c r="BQ79" s="25" t="n">
        <v>0</v>
      </c>
      <c r="BR79" s="25" t="n">
        <v>0</v>
      </c>
      <c r="BS79" s="25" t="n">
        <v>0</v>
      </c>
      <c r="BT79" s="25" t="n">
        <v>0</v>
      </c>
      <c r="BU79" s="25" t="n">
        <v>0</v>
      </c>
      <c r="BV79" s="25" t="n">
        <v>0</v>
      </c>
      <c r="BW79" s="25" t="n">
        <v>0</v>
      </c>
      <c r="BX79" s="25" t="n">
        <v>0</v>
      </c>
      <c r="BY79" s="25" t="n">
        <v>0</v>
      </c>
      <c r="BZ79" s="25" t="n">
        <v>0</v>
      </c>
      <c r="CA79" s="25" t="n">
        <v>0</v>
      </c>
      <c r="CB79" s="25" t="n">
        <v>0</v>
      </c>
      <c r="CC79" s="25" t="n">
        <v>0</v>
      </c>
      <c r="CD79" s="25" t="n">
        <v>0</v>
      </c>
      <c r="CE79" s="25" t="n">
        <v>0</v>
      </c>
      <c r="CF79" s="25" t="n">
        <v>0</v>
      </c>
      <c r="CG79" s="25" t="n">
        <v>0</v>
      </c>
      <c r="CH79" s="25" t="n">
        <v>0</v>
      </c>
      <c r="CI79" s="25" t="n">
        <v>0</v>
      </c>
      <c r="CJ79" s="25" t="n">
        <v>0</v>
      </c>
      <c r="CK79" s="25" t="n">
        <v>0</v>
      </c>
      <c r="CL79" s="25" t="n">
        <v>0</v>
      </c>
      <c r="CM79" s="25" t="n">
        <v>0</v>
      </c>
      <c r="CN79" s="25" t="n">
        <v>0</v>
      </c>
      <c r="CO79" s="25" t="n">
        <v>0</v>
      </c>
      <c r="CP79" s="25" t="n">
        <v>0</v>
      </c>
      <c r="CQ79" s="25" t="n">
        <v>0</v>
      </c>
      <c r="CR79" s="25" t="n">
        <v>0</v>
      </c>
      <c r="CS79" s="25" t="n">
        <v>0</v>
      </c>
      <c r="CT79" s="25" t="n">
        <v>0</v>
      </c>
      <c r="CU79" s="25" t="n">
        <v>0</v>
      </c>
      <c r="CV79" s="25" t="n">
        <v>0</v>
      </c>
      <c r="CW79" s="25" t="n">
        <v>0</v>
      </c>
      <c r="CX79" s="25" t="n">
        <v>0</v>
      </c>
      <c r="CY79" s="25" t="n">
        <v>0</v>
      </c>
      <c r="CZ79" s="25" t="n">
        <v>0</v>
      </c>
      <c r="DA79" s="25" t="n">
        <v>0</v>
      </c>
    </row>
    <row r="80">
      <c r="A80" t="inlineStr">
        <is>
          <t>TPP-914</t>
        </is>
      </c>
      <c r="B80" s="25" t="n">
        <v>0</v>
      </c>
      <c r="C80" s="25" t="n">
        <v>0</v>
      </c>
      <c r="D80" s="25" t="n">
        <v>0</v>
      </c>
      <c r="E80" s="25" t="n">
        <v>0</v>
      </c>
      <c r="F80" s="25" t="n">
        <v>0</v>
      </c>
      <c r="G80" s="25" t="n">
        <v>0</v>
      </c>
      <c r="H80" s="25" t="n">
        <v>0</v>
      </c>
      <c r="I80" s="25" t="n">
        <v>0</v>
      </c>
      <c r="J80" s="25" t="n">
        <v>0</v>
      </c>
      <c r="K80" s="25" t="n">
        <v>0</v>
      </c>
      <c r="L80" s="25" t="n">
        <v>0</v>
      </c>
      <c r="M80" s="25" t="n">
        <v>0</v>
      </c>
      <c r="N80" s="25" t="n">
        <v>0</v>
      </c>
      <c r="O80" s="25" t="n">
        <v>0</v>
      </c>
      <c r="P80" s="25" t="n">
        <v>0</v>
      </c>
      <c r="Q80" s="25" t="n">
        <v>0</v>
      </c>
      <c r="R80" s="25" t="n">
        <v>0</v>
      </c>
      <c r="S80" s="25" t="n">
        <v>0</v>
      </c>
      <c r="T80" s="25" t="n">
        <v>0</v>
      </c>
      <c r="U80" s="25" t="n">
        <v>0</v>
      </c>
      <c r="V80" s="25" t="n">
        <v>0</v>
      </c>
      <c r="W80" s="25" t="n">
        <v>0</v>
      </c>
      <c r="X80" s="25" t="n">
        <v>0</v>
      </c>
      <c r="Y80" s="25" t="n">
        <v>0</v>
      </c>
      <c r="Z80" s="25" t="n">
        <v>0</v>
      </c>
      <c r="AA80" s="25" t="n">
        <v>0</v>
      </c>
      <c r="AB80" s="25" t="n">
        <v>0</v>
      </c>
      <c r="AC80" s="25" t="n">
        <v>0</v>
      </c>
      <c r="AD80" s="25" t="n">
        <v>0</v>
      </c>
      <c r="AE80" s="25" t="n">
        <v>0</v>
      </c>
      <c r="AF80" s="25" t="n">
        <v>0</v>
      </c>
      <c r="AG80" s="25" t="n">
        <v>0</v>
      </c>
      <c r="AH80" s="25" t="n">
        <v>0</v>
      </c>
      <c r="AI80" s="25" t="n">
        <v>0</v>
      </c>
      <c r="AJ80" s="25" t="n">
        <v>0</v>
      </c>
      <c r="AK80" s="25" t="n">
        <v>0</v>
      </c>
      <c r="AL80" s="25" t="n">
        <v>0</v>
      </c>
      <c r="AM80" s="25" t="n">
        <v>0</v>
      </c>
      <c r="AN80" s="25" t="n">
        <v>0</v>
      </c>
      <c r="AO80" s="25" t="n">
        <v>0</v>
      </c>
      <c r="AP80" s="25" t="n">
        <v>0</v>
      </c>
      <c r="AQ80" s="25" t="n">
        <v>0</v>
      </c>
      <c r="AR80" s="25" t="n">
        <v>0</v>
      </c>
      <c r="AS80" s="25" t="n">
        <v>0</v>
      </c>
      <c r="AT80" s="25" t="n">
        <v>0</v>
      </c>
      <c r="AU80" s="25" t="n">
        <v>0</v>
      </c>
      <c r="AV80" s="25" t="n">
        <v>0</v>
      </c>
      <c r="AW80" s="25" t="n">
        <v>0</v>
      </c>
      <c r="AX80" s="25" t="n">
        <v>0</v>
      </c>
      <c r="AY80" s="25" t="n">
        <v>0</v>
      </c>
      <c r="AZ80" s="25" t="n">
        <v>0</v>
      </c>
      <c r="BA80" s="25" t="n">
        <v>0</v>
      </c>
      <c r="BB80" s="25" t="n">
        <v>0</v>
      </c>
      <c r="BC80" s="25" t="n">
        <v>0</v>
      </c>
      <c r="BD80" s="25" t="n">
        <v>0</v>
      </c>
      <c r="BE80" s="25" t="n">
        <v>0</v>
      </c>
      <c r="BF80" s="25" t="n">
        <v>0</v>
      </c>
      <c r="BG80" s="25" t="n">
        <v>0</v>
      </c>
      <c r="BH80" s="25" t="n">
        <v>0</v>
      </c>
      <c r="BI80" s="25" t="n">
        <v>0</v>
      </c>
      <c r="BJ80" s="25" t="n">
        <v>0</v>
      </c>
      <c r="BK80" s="25" t="n">
        <v>0</v>
      </c>
      <c r="BL80" s="25" t="n">
        <v>0</v>
      </c>
      <c r="BM80" s="25" t="n">
        <v>0</v>
      </c>
      <c r="BN80" s="25" t="n">
        <v>0</v>
      </c>
      <c r="BO80" s="25" t="n">
        <v>0</v>
      </c>
      <c r="BP80" s="25" t="n">
        <v>0</v>
      </c>
      <c r="BQ80" s="25" t="n">
        <v>0</v>
      </c>
      <c r="BR80" s="25" t="n">
        <v>0</v>
      </c>
      <c r="BS80" s="25" t="n">
        <v>0</v>
      </c>
      <c r="BT80" s="25" t="n">
        <v>0</v>
      </c>
      <c r="BU80" s="25" t="n">
        <v>0</v>
      </c>
      <c r="BV80" s="25" t="n">
        <v>0</v>
      </c>
      <c r="BW80" s="25" t="n">
        <v>0</v>
      </c>
      <c r="BX80" s="25" t="n">
        <v>0</v>
      </c>
      <c r="BY80" s="25" t="n">
        <v>0</v>
      </c>
      <c r="BZ80" s="25" t="n">
        <v>0</v>
      </c>
      <c r="CA80" s="25" t="n">
        <v>0</v>
      </c>
      <c r="CB80" s="25" t="n">
        <v>0</v>
      </c>
      <c r="CC80" s="25" t="n">
        <v>0</v>
      </c>
      <c r="CD80" s="25" t="n">
        <v>0</v>
      </c>
      <c r="CE80" s="25" t="n">
        <v>0</v>
      </c>
      <c r="CF80" s="25" t="n">
        <v>0</v>
      </c>
      <c r="CG80" s="25" t="n">
        <v>0</v>
      </c>
      <c r="CH80" s="25" t="n">
        <v>0</v>
      </c>
      <c r="CI80" s="25" t="n">
        <v>0</v>
      </c>
      <c r="CJ80" s="25" t="n">
        <v>0</v>
      </c>
      <c r="CK80" s="25" t="n">
        <v>0</v>
      </c>
      <c r="CL80" s="25" t="n">
        <v>0</v>
      </c>
      <c r="CM80" s="25" t="n">
        <v>0</v>
      </c>
      <c r="CN80" s="25" t="n">
        <v>0</v>
      </c>
      <c r="CO80" s="25" t="n">
        <v>0</v>
      </c>
      <c r="CP80" s="25" t="n">
        <v>0</v>
      </c>
      <c r="CQ80" s="25" t="n">
        <v>0</v>
      </c>
      <c r="CR80" s="25" t="n">
        <v>0</v>
      </c>
      <c r="CS80" s="25" t="n">
        <v>0</v>
      </c>
      <c r="CT80" s="25" t="n">
        <v>0</v>
      </c>
      <c r="CU80" s="25" t="n">
        <v>0</v>
      </c>
      <c r="CV80" s="25" t="n">
        <v>0</v>
      </c>
      <c r="CW80" s="25" t="n">
        <v>0</v>
      </c>
      <c r="CX80" s="25" t="n">
        <v>0</v>
      </c>
      <c r="CY80" s="25" t="n">
        <v>0</v>
      </c>
      <c r="CZ80" s="25" t="n">
        <v>0</v>
      </c>
      <c r="DA80" s="25" t="n">
        <v>0</v>
      </c>
    </row>
    <row r="81">
      <c r="A81" t="inlineStr">
        <is>
          <t>TPP-915</t>
        </is>
      </c>
      <c r="B81" s="25" t="n">
        <v>0</v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0</v>
      </c>
      <c r="L81" s="25" t="n">
        <v>0</v>
      </c>
      <c r="M81" s="25" t="n">
        <v>0</v>
      </c>
      <c r="N81" s="25" t="n">
        <v>0</v>
      </c>
      <c r="O81" s="25" t="n">
        <v>0</v>
      </c>
      <c r="P81" s="25" t="n">
        <v>0</v>
      </c>
      <c r="Q81" s="25" t="n">
        <v>0</v>
      </c>
      <c r="R81" s="25" t="n">
        <v>0</v>
      </c>
      <c r="S81" s="25" t="n">
        <v>0</v>
      </c>
      <c r="T81" s="25" t="n">
        <v>0</v>
      </c>
      <c r="U81" s="25" t="n">
        <v>0</v>
      </c>
      <c r="V81" s="25" t="n">
        <v>0</v>
      </c>
      <c r="W81" s="25" t="n">
        <v>0</v>
      </c>
      <c r="X81" s="25" t="n">
        <v>0</v>
      </c>
      <c r="Y81" s="25" t="n">
        <v>0</v>
      </c>
      <c r="Z81" s="25" t="n">
        <v>0</v>
      </c>
      <c r="AA81" s="25" t="n">
        <v>0</v>
      </c>
      <c r="AB81" s="25" t="n">
        <v>0</v>
      </c>
      <c r="AC81" s="25" t="n">
        <v>0</v>
      </c>
      <c r="AD81" s="25" t="n">
        <v>0</v>
      </c>
      <c r="AE81" s="25" t="n">
        <v>0</v>
      </c>
      <c r="AF81" s="25" t="n">
        <v>0</v>
      </c>
      <c r="AG81" s="25" t="n">
        <v>2</v>
      </c>
      <c r="AH81" s="25" t="n">
        <v>0</v>
      </c>
      <c r="AI81" s="25" t="n">
        <v>0</v>
      </c>
      <c r="AJ81" s="25" t="n">
        <v>0</v>
      </c>
      <c r="AK81" s="25" t="n">
        <v>0</v>
      </c>
      <c r="AL81" s="25" t="n">
        <v>0</v>
      </c>
      <c r="AM81" s="25" t="n">
        <v>2</v>
      </c>
      <c r="AN81" s="25" t="n">
        <v>0</v>
      </c>
      <c r="AO81" s="25" t="n">
        <v>0</v>
      </c>
      <c r="AP81" s="25" t="n">
        <v>0</v>
      </c>
      <c r="AQ81" s="25" t="n">
        <v>0</v>
      </c>
      <c r="AR81" s="25" t="n">
        <v>3</v>
      </c>
      <c r="AS81" s="25" t="n">
        <v>0</v>
      </c>
      <c r="AT81" s="25" t="n">
        <v>0</v>
      </c>
      <c r="AU81" s="25" t="n">
        <v>0</v>
      </c>
      <c r="AV81" s="25" t="n">
        <v>0</v>
      </c>
      <c r="AW81" s="25" t="n">
        <v>0</v>
      </c>
      <c r="AX81" s="25" t="n">
        <v>0</v>
      </c>
      <c r="AY81" s="25" t="n">
        <v>0</v>
      </c>
      <c r="AZ81" s="25" t="n">
        <v>0</v>
      </c>
      <c r="BA81" s="25" t="n">
        <v>0</v>
      </c>
      <c r="BB81" s="25" t="n">
        <v>0</v>
      </c>
      <c r="BC81" s="25" t="n">
        <v>0</v>
      </c>
      <c r="BD81" s="25" t="n">
        <v>0</v>
      </c>
      <c r="BE81" s="25" t="n">
        <v>0</v>
      </c>
      <c r="BF81" s="25" t="n">
        <v>0</v>
      </c>
      <c r="BG81" s="25" t="n">
        <v>0</v>
      </c>
      <c r="BH81" s="25" t="n">
        <v>0</v>
      </c>
      <c r="BI81" s="25" t="n">
        <v>0</v>
      </c>
      <c r="BJ81" s="25" t="n">
        <v>0</v>
      </c>
      <c r="BK81" s="25" t="n">
        <v>0</v>
      </c>
      <c r="BL81" s="25" t="n">
        <v>0</v>
      </c>
      <c r="BM81" s="25" t="n">
        <v>0</v>
      </c>
      <c r="BN81" s="25" t="n">
        <v>0</v>
      </c>
      <c r="BO81" s="25" t="n">
        <v>0</v>
      </c>
      <c r="BP81" s="25" t="n">
        <v>0</v>
      </c>
      <c r="BQ81" s="25" t="n">
        <v>0</v>
      </c>
      <c r="BR81" s="25" t="n">
        <v>0</v>
      </c>
      <c r="BS81" s="25" t="n">
        <v>0</v>
      </c>
      <c r="BT81" s="25" t="n">
        <v>0</v>
      </c>
      <c r="BU81" s="25" t="n">
        <v>0</v>
      </c>
      <c r="BV81" s="25" t="n">
        <v>0</v>
      </c>
      <c r="BW81" s="25" t="n">
        <v>0</v>
      </c>
      <c r="BX81" s="25" t="n">
        <v>0</v>
      </c>
      <c r="BY81" s="25" t="n">
        <v>0</v>
      </c>
      <c r="BZ81" s="25" t="n">
        <v>0</v>
      </c>
      <c r="CA81" s="25" t="n">
        <v>0</v>
      </c>
      <c r="CB81" s="25" t="n">
        <v>0</v>
      </c>
      <c r="CC81" s="25" t="n">
        <v>0</v>
      </c>
      <c r="CD81" s="25" t="n">
        <v>0</v>
      </c>
      <c r="CE81" s="25" t="n">
        <v>0</v>
      </c>
      <c r="CF81" s="25" t="n">
        <v>0</v>
      </c>
      <c r="CG81" s="25" t="n">
        <v>0</v>
      </c>
      <c r="CH81" s="25" t="n">
        <v>0</v>
      </c>
      <c r="CI81" s="25" t="n">
        <v>0</v>
      </c>
      <c r="CJ81" s="25" t="n">
        <v>0</v>
      </c>
      <c r="CK81" s="25" t="n">
        <v>0</v>
      </c>
      <c r="CL81" s="25" t="n">
        <v>0</v>
      </c>
      <c r="CM81" s="25" t="n">
        <v>0</v>
      </c>
      <c r="CN81" s="25" t="n">
        <v>0</v>
      </c>
      <c r="CO81" s="25" t="n">
        <v>0</v>
      </c>
      <c r="CP81" s="25" t="n">
        <v>0</v>
      </c>
      <c r="CQ81" s="25" t="n">
        <v>0</v>
      </c>
      <c r="CR81" s="25" t="n">
        <v>0</v>
      </c>
      <c r="CS81" s="25" t="n">
        <v>0</v>
      </c>
      <c r="CT81" s="25" t="n">
        <v>0</v>
      </c>
      <c r="CU81" s="25" t="n">
        <v>0</v>
      </c>
      <c r="CV81" s="25" t="n">
        <v>0</v>
      </c>
      <c r="CW81" s="25" t="n">
        <v>0</v>
      </c>
      <c r="CX81" s="25" t="n">
        <v>0</v>
      </c>
      <c r="CY81" s="25" t="n">
        <v>0</v>
      </c>
      <c r="CZ81" s="25" t="n">
        <v>0</v>
      </c>
      <c r="DA81" s="25" t="n">
        <v>0</v>
      </c>
    </row>
    <row r="82">
      <c r="A82" t="inlineStr">
        <is>
          <t>TPP-916</t>
        </is>
      </c>
      <c r="B82" s="25" t="n">
        <v>0</v>
      </c>
      <c r="C82" s="25" t="n">
        <v>0</v>
      </c>
      <c r="D82" s="25" t="n">
        <v>0</v>
      </c>
      <c r="E82" s="25" t="n">
        <v>0</v>
      </c>
      <c r="F82" s="25" t="n">
        <v>0</v>
      </c>
      <c r="G82" s="25" t="n">
        <v>0</v>
      </c>
      <c r="H82" s="25" t="n">
        <v>0</v>
      </c>
      <c r="I82" s="25" t="n">
        <v>0</v>
      </c>
      <c r="J82" s="25" t="n">
        <v>0</v>
      </c>
      <c r="K82" s="25" t="n">
        <v>0</v>
      </c>
      <c r="L82" s="25" t="n">
        <v>0</v>
      </c>
      <c r="M82" s="25" t="n">
        <v>0</v>
      </c>
      <c r="N82" s="25" t="n">
        <v>0</v>
      </c>
      <c r="O82" s="25" t="n">
        <v>0</v>
      </c>
      <c r="P82" s="25" t="n">
        <v>0</v>
      </c>
      <c r="Q82" s="25" t="n">
        <v>0</v>
      </c>
      <c r="R82" s="25" t="n">
        <v>0</v>
      </c>
      <c r="S82" s="25" t="n">
        <v>0</v>
      </c>
      <c r="T82" s="25" t="n">
        <v>0</v>
      </c>
      <c r="U82" s="25" t="n">
        <v>0</v>
      </c>
      <c r="V82" s="25" t="n">
        <v>0</v>
      </c>
      <c r="W82" s="25" t="n">
        <v>0</v>
      </c>
      <c r="X82" s="25" t="n">
        <v>0</v>
      </c>
      <c r="Y82" s="25" t="n">
        <v>0</v>
      </c>
      <c r="Z82" s="25" t="n">
        <v>0</v>
      </c>
      <c r="AA82" s="25" t="n">
        <v>0</v>
      </c>
      <c r="AB82" s="25" t="n">
        <v>0</v>
      </c>
      <c r="AC82" s="25" t="n">
        <v>0</v>
      </c>
      <c r="AD82" s="25" t="n">
        <v>0</v>
      </c>
      <c r="AE82" s="25" t="n">
        <v>0</v>
      </c>
      <c r="AF82" s="25" t="n">
        <v>0</v>
      </c>
      <c r="AG82" s="25" t="n">
        <v>0</v>
      </c>
      <c r="AH82" s="25" t="n">
        <v>0</v>
      </c>
      <c r="AI82" s="25" t="n">
        <v>0</v>
      </c>
      <c r="AJ82" s="25" t="n">
        <v>0</v>
      </c>
      <c r="AK82" s="25" t="n">
        <v>0</v>
      </c>
      <c r="AL82" s="25" t="n">
        <v>0</v>
      </c>
      <c r="AM82" s="25" t="n">
        <v>0</v>
      </c>
      <c r="AN82" s="25" t="n">
        <v>0</v>
      </c>
      <c r="AO82" s="25" t="n">
        <v>0</v>
      </c>
      <c r="AP82" s="25" t="n">
        <v>0</v>
      </c>
      <c r="AQ82" s="25" t="n">
        <v>0</v>
      </c>
      <c r="AR82" s="25" t="n">
        <v>0</v>
      </c>
      <c r="AS82" s="25" t="n">
        <v>0</v>
      </c>
      <c r="AT82" s="25" t="n">
        <v>0</v>
      </c>
      <c r="AU82" s="25" t="n">
        <v>0</v>
      </c>
      <c r="AV82" s="25" t="n">
        <v>0</v>
      </c>
      <c r="AW82" s="25" t="n">
        <v>0</v>
      </c>
      <c r="AX82" s="25" t="n">
        <v>0</v>
      </c>
      <c r="AY82" s="25" t="n">
        <v>0</v>
      </c>
      <c r="AZ82" s="25" t="n">
        <v>0</v>
      </c>
      <c r="BA82" s="25" t="n">
        <v>0</v>
      </c>
      <c r="BB82" s="25" t="n">
        <v>0</v>
      </c>
      <c r="BC82" s="25" t="n">
        <v>0</v>
      </c>
      <c r="BD82" s="25" t="n">
        <v>0</v>
      </c>
      <c r="BE82" s="25" t="n">
        <v>0</v>
      </c>
      <c r="BF82" s="25" t="n">
        <v>0</v>
      </c>
      <c r="BG82" s="25" t="n">
        <v>0</v>
      </c>
      <c r="BH82" s="25" t="n">
        <v>0</v>
      </c>
      <c r="BI82" s="25" t="n">
        <v>0</v>
      </c>
      <c r="BJ82" s="25" t="n">
        <v>0</v>
      </c>
      <c r="BK82" s="25" t="n">
        <v>0</v>
      </c>
      <c r="BL82" s="25" t="n">
        <v>0</v>
      </c>
      <c r="BM82" s="25" t="n">
        <v>0</v>
      </c>
      <c r="BN82" s="25" t="n">
        <v>0</v>
      </c>
      <c r="BO82" s="25" t="n">
        <v>0</v>
      </c>
      <c r="BP82" s="25" t="n">
        <v>0</v>
      </c>
      <c r="BQ82" s="25" t="n">
        <v>0</v>
      </c>
      <c r="BR82" s="25" t="n">
        <v>0</v>
      </c>
      <c r="BS82" s="25" t="n">
        <v>0</v>
      </c>
      <c r="BT82" s="25" t="n">
        <v>0</v>
      </c>
      <c r="BU82" s="25" t="n">
        <v>0</v>
      </c>
      <c r="BV82" s="25" t="n">
        <v>0</v>
      </c>
      <c r="BW82" s="25" t="n">
        <v>0</v>
      </c>
      <c r="BX82" s="25" t="n">
        <v>0</v>
      </c>
      <c r="BY82" s="25" t="n">
        <v>0</v>
      </c>
      <c r="BZ82" s="25" t="n">
        <v>0</v>
      </c>
      <c r="CA82" s="25" t="n">
        <v>0</v>
      </c>
      <c r="CB82" s="25" t="n">
        <v>0</v>
      </c>
      <c r="CC82" s="25" t="n">
        <v>0</v>
      </c>
      <c r="CD82" s="25" t="n">
        <v>0</v>
      </c>
      <c r="CE82" s="25" t="n">
        <v>0</v>
      </c>
      <c r="CF82" s="25" t="n">
        <v>0</v>
      </c>
      <c r="CG82" s="25" t="n">
        <v>0</v>
      </c>
      <c r="CH82" s="25" t="n">
        <v>0</v>
      </c>
      <c r="CI82" s="25" t="n">
        <v>0</v>
      </c>
      <c r="CJ82" s="25" t="n">
        <v>0</v>
      </c>
      <c r="CK82" s="25" t="n">
        <v>0</v>
      </c>
      <c r="CL82" s="25" t="n">
        <v>0</v>
      </c>
      <c r="CM82" s="25" t="n">
        <v>0</v>
      </c>
      <c r="CN82" s="25" t="n">
        <v>0</v>
      </c>
      <c r="CO82" s="25" t="n">
        <v>0</v>
      </c>
      <c r="CP82" s="25" t="n">
        <v>0</v>
      </c>
      <c r="CQ82" s="25" t="n">
        <v>0</v>
      </c>
      <c r="CR82" s="25" t="n">
        <v>0</v>
      </c>
      <c r="CS82" s="25" t="n">
        <v>0</v>
      </c>
      <c r="CT82" s="25" t="n">
        <v>0</v>
      </c>
      <c r="CU82" s="25" t="n">
        <v>0</v>
      </c>
      <c r="CV82" s="25" t="n">
        <v>0</v>
      </c>
      <c r="CW82" s="25" t="n">
        <v>0</v>
      </c>
      <c r="CX82" s="25" t="n">
        <v>0</v>
      </c>
      <c r="CY82" s="25" t="n">
        <v>0</v>
      </c>
      <c r="CZ82" s="25" t="n">
        <v>0</v>
      </c>
      <c r="DA82" s="25" t="n">
        <v>0</v>
      </c>
    </row>
    <row r="83">
      <c r="A83" t="inlineStr">
        <is>
          <t>TPP-917</t>
        </is>
      </c>
      <c r="B83" s="25" t="n">
        <v>0</v>
      </c>
      <c r="C83" s="25" t="n">
        <v>0</v>
      </c>
      <c r="D83" s="25" t="n">
        <v>0</v>
      </c>
      <c r="E83" s="25" t="n">
        <v>0</v>
      </c>
      <c r="F83" s="25" t="n">
        <v>0</v>
      </c>
      <c r="G83" s="25" t="n">
        <v>0</v>
      </c>
      <c r="H83" s="25" t="n">
        <v>0</v>
      </c>
      <c r="I83" s="25" t="n">
        <v>0</v>
      </c>
      <c r="J83" s="25" t="n">
        <v>0</v>
      </c>
      <c r="K83" s="25" t="n">
        <v>0</v>
      </c>
      <c r="L83" s="25" t="n">
        <v>0</v>
      </c>
      <c r="M83" s="25" t="n">
        <v>0</v>
      </c>
      <c r="N83" s="25" t="n">
        <v>0</v>
      </c>
      <c r="O83" s="25" t="n">
        <v>0</v>
      </c>
      <c r="P83" s="25" t="n">
        <v>0</v>
      </c>
      <c r="Q83" s="25" t="n">
        <v>0</v>
      </c>
      <c r="R83" s="25" t="n">
        <v>0</v>
      </c>
      <c r="S83" s="25" t="n">
        <v>0</v>
      </c>
      <c r="T83" s="25" t="n">
        <v>0</v>
      </c>
      <c r="U83" s="25" t="n">
        <v>0</v>
      </c>
      <c r="V83" s="25" t="n">
        <v>0</v>
      </c>
      <c r="W83" s="25" t="n">
        <v>0</v>
      </c>
      <c r="X83" s="25" t="n">
        <v>0</v>
      </c>
      <c r="Y83" s="25" t="n">
        <v>0</v>
      </c>
      <c r="Z83" s="25" t="n">
        <v>0</v>
      </c>
      <c r="AA83" s="25" t="n">
        <v>0</v>
      </c>
      <c r="AB83" s="25" t="n">
        <v>0</v>
      </c>
      <c r="AC83" s="25" t="n">
        <v>0</v>
      </c>
      <c r="AD83" s="25" t="n">
        <v>0</v>
      </c>
      <c r="AE83" s="25" t="n">
        <v>4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3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I83" s="25" t="n">
        <v>0</v>
      </c>
      <c r="CJ83" s="25" t="n">
        <v>0</v>
      </c>
      <c r="CK83" s="25" t="n">
        <v>0</v>
      </c>
      <c r="CL83" s="25" t="n">
        <v>0</v>
      </c>
      <c r="CM83" s="25" t="n">
        <v>0</v>
      </c>
      <c r="CN83" s="25" t="n">
        <v>0</v>
      </c>
      <c r="CO83" s="25" t="n">
        <v>0</v>
      </c>
      <c r="CP83" s="25" t="n">
        <v>0</v>
      </c>
      <c r="CQ83" s="25" t="n">
        <v>0</v>
      </c>
      <c r="CR83" s="25" t="n">
        <v>0</v>
      </c>
      <c r="CS83" s="25" t="n">
        <v>0</v>
      </c>
      <c r="CT83" s="25" t="n">
        <v>0</v>
      </c>
      <c r="CU83" s="25" t="n">
        <v>0</v>
      </c>
      <c r="CV83" s="25" t="n">
        <v>0</v>
      </c>
      <c r="CW83" s="25" t="n">
        <v>0</v>
      </c>
      <c r="CX83" s="25" t="n">
        <v>0</v>
      </c>
      <c r="CY83" s="25" t="n">
        <v>0</v>
      </c>
      <c r="CZ83" s="25" t="n">
        <v>0</v>
      </c>
      <c r="DA83" s="25" t="n">
        <v>0</v>
      </c>
    </row>
    <row r="84">
      <c r="A84" t="inlineStr">
        <is>
          <t>TPP-919</t>
        </is>
      </c>
      <c r="B84" s="25" t="n">
        <v>0</v>
      </c>
      <c r="C84" s="25" t="n">
        <v>0</v>
      </c>
      <c r="D84" s="25" t="n">
        <v>0</v>
      </c>
      <c r="E84" s="25" t="n">
        <v>0</v>
      </c>
      <c r="F84" s="25" t="n">
        <v>0</v>
      </c>
      <c r="G84" s="25" t="n">
        <v>0</v>
      </c>
      <c r="H84" s="25" t="n">
        <v>0</v>
      </c>
      <c r="I84" s="25" t="n">
        <v>0</v>
      </c>
      <c r="J84" s="25" t="n">
        <v>0</v>
      </c>
      <c r="K84" s="25" t="n">
        <v>0</v>
      </c>
      <c r="L84" s="25" t="n">
        <v>0</v>
      </c>
      <c r="M84" s="25" t="n">
        <v>0</v>
      </c>
      <c r="N84" s="25" t="n">
        <v>0</v>
      </c>
      <c r="O84" s="25" t="n">
        <v>0</v>
      </c>
      <c r="P84" s="25" t="n">
        <v>0</v>
      </c>
      <c r="Q84" s="25" t="n">
        <v>0</v>
      </c>
      <c r="R84" s="25" t="n">
        <v>0</v>
      </c>
      <c r="S84" s="25" t="n">
        <v>0</v>
      </c>
      <c r="T84" s="25" t="n">
        <v>0</v>
      </c>
      <c r="U84" s="25" t="n">
        <v>0</v>
      </c>
      <c r="V84" s="25" t="n">
        <v>0</v>
      </c>
      <c r="W84" s="25" t="n">
        <v>0</v>
      </c>
      <c r="X84" s="25" t="n">
        <v>0</v>
      </c>
      <c r="Y84" s="25" t="n">
        <v>0</v>
      </c>
      <c r="Z84" s="25" t="n">
        <v>0</v>
      </c>
      <c r="AA84" s="25" t="n">
        <v>0</v>
      </c>
      <c r="AB84" s="25" t="n">
        <v>0</v>
      </c>
      <c r="AC84" s="25" t="n">
        <v>0</v>
      </c>
      <c r="AD84" s="25" t="n">
        <v>0</v>
      </c>
      <c r="AE84" s="25" t="n">
        <v>0</v>
      </c>
      <c r="AF84" s="25" t="n">
        <v>0</v>
      </c>
      <c r="AG84" s="25" t="n">
        <v>0</v>
      </c>
      <c r="AH84" s="25" t="n">
        <v>0</v>
      </c>
      <c r="AI84" s="25" t="n">
        <v>0</v>
      </c>
      <c r="AJ84" s="25" t="n">
        <v>0</v>
      </c>
      <c r="AK84" s="25" t="n">
        <v>0</v>
      </c>
      <c r="AL84" s="25" t="n">
        <v>0</v>
      </c>
      <c r="AM84" s="25" t="n">
        <v>0</v>
      </c>
      <c r="AN84" s="25" t="n">
        <v>0</v>
      </c>
      <c r="AO84" s="25" t="n">
        <v>0</v>
      </c>
      <c r="AP84" s="25" t="n">
        <v>0</v>
      </c>
      <c r="AQ84" s="25" t="n">
        <v>0</v>
      </c>
      <c r="AR84" s="25" t="n">
        <v>0</v>
      </c>
      <c r="AS84" s="25" t="n">
        <v>0</v>
      </c>
      <c r="AT84" s="25" t="n">
        <v>0</v>
      </c>
      <c r="AU84" s="25" t="n">
        <v>0</v>
      </c>
      <c r="AV84" s="25" t="n">
        <v>0</v>
      </c>
      <c r="AW84" s="25" t="n">
        <v>0</v>
      </c>
      <c r="AX84" s="25" t="n">
        <v>0</v>
      </c>
      <c r="AY84" s="25" t="n">
        <v>0</v>
      </c>
      <c r="AZ84" s="25" t="n">
        <v>0</v>
      </c>
      <c r="BA84" s="25" t="n">
        <v>0</v>
      </c>
      <c r="BB84" s="25" t="n">
        <v>0</v>
      </c>
      <c r="BC84" s="25" t="n">
        <v>0</v>
      </c>
      <c r="BD84" s="25" t="n">
        <v>0</v>
      </c>
      <c r="BE84" s="25" t="n">
        <v>0</v>
      </c>
      <c r="BF84" s="25" t="n">
        <v>0</v>
      </c>
      <c r="BG84" s="25" t="n">
        <v>0</v>
      </c>
      <c r="BH84" s="25" t="n">
        <v>0</v>
      </c>
      <c r="BI84" s="25" t="n">
        <v>0</v>
      </c>
      <c r="BJ84" s="25" t="n">
        <v>0</v>
      </c>
      <c r="BK84" s="25" t="n">
        <v>0</v>
      </c>
      <c r="BL84" s="25" t="n">
        <v>0</v>
      </c>
      <c r="BM84" s="25" t="n">
        <v>0</v>
      </c>
      <c r="BN84" s="25" t="n">
        <v>0</v>
      </c>
      <c r="BO84" s="25" t="n">
        <v>0</v>
      </c>
      <c r="BP84" s="25" t="n">
        <v>0</v>
      </c>
      <c r="BQ84" s="25" t="n">
        <v>0</v>
      </c>
      <c r="BR84" s="25" t="n">
        <v>0</v>
      </c>
      <c r="BS84" s="25" t="n">
        <v>0</v>
      </c>
      <c r="BT84" s="25" t="n">
        <v>0</v>
      </c>
      <c r="BU84" s="25" t="n">
        <v>0</v>
      </c>
      <c r="BV84" s="25" t="n">
        <v>0</v>
      </c>
      <c r="BW84" s="25" t="n">
        <v>0</v>
      </c>
      <c r="BX84" s="25" t="n">
        <v>0</v>
      </c>
      <c r="BY84" s="25" t="n">
        <v>0</v>
      </c>
      <c r="BZ84" s="25" t="n">
        <v>0</v>
      </c>
      <c r="CA84" s="25" t="n">
        <v>0</v>
      </c>
      <c r="CB84" s="25" t="n">
        <v>0</v>
      </c>
      <c r="CC84" s="25" t="n">
        <v>0</v>
      </c>
      <c r="CD84" s="25" t="n">
        <v>0</v>
      </c>
      <c r="CE84" s="25" t="n">
        <v>0</v>
      </c>
      <c r="CF84" s="25" t="n">
        <v>0</v>
      </c>
      <c r="CG84" s="25" t="n">
        <v>0</v>
      </c>
      <c r="CH84" s="25" t="n">
        <v>0</v>
      </c>
      <c r="CI84" s="25" t="n">
        <v>0</v>
      </c>
      <c r="CJ84" s="25" t="n">
        <v>0</v>
      </c>
      <c r="CK84" s="25" t="n">
        <v>0</v>
      </c>
      <c r="CL84" s="25" t="n">
        <v>0</v>
      </c>
      <c r="CM84" s="25" t="n">
        <v>0</v>
      </c>
      <c r="CN84" s="25" t="n">
        <v>0</v>
      </c>
      <c r="CO84" s="25" t="n">
        <v>0</v>
      </c>
      <c r="CP84" s="25" t="n">
        <v>0</v>
      </c>
      <c r="CQ84" s="25" t="n">
        <v>0</v>
      </c>
      <c r="CR84" s="25" t="n">
        <v>0</v>
      </c>
      <c r="CS84" s="25" t="n">
        <v>0</v>
      </c>
      <c r="CT84" s="25" t="n">
        <v>0</v>
      </c>
      <c r="CU84" s="25" t="n">
        <v>0</v>
      </c>
      <c r="CV84" s="25" t="n">
        <v>0</v>
      </c>
      <c r="CW84" s="25" t="n">
        <v>0</v>
      </c>
      <c r="CX84" s="25" t="n">
        <v>0</v>
      </c>
      <c r="CY84" s="25" t="n">
        <v>0</v>
      </c>
      <c r="CZ84" s="25" t="n">
        <v>0</v>
      </c>
      <c r="DA84" s="25" t="n">
        <v>0</v>
      </c>
    </row>
    <row r="85">
      <c r="A85" t="inlineStr">
        <is>
          <t>TPP-920</t>
        </is>
      </c>
      <c r="B85" s="25" t="n">
        <v>0</v>
      </c>
      <c r="C85" s="25" t="n">
        <v>0</v>
      </c>
      <c r="D85" s="25" t="n">
        <v>0</v>
      </c>
      <c r="E85" s="25" t="n">
        <v>0</v>
      </c>
      <c r="F85" s="25" t="n">
        <v>0</v>
      </c>
      <c r="G85" s="25" t="n">
        <v>0</v>
      </c>
      <c r="H85" s="25" t="n">
        <v>0</v>
      </c>
      <c r="I85" s="25" t="n">
        <v>0</v>
      </c>
      <c r="J85" s="25" t="n">
        <v>0</v>
      </c>
      <c r="K85" s="25" t="n">
        <v>0</v>
      </c>
      <c r="L85" s="25" t="n">
        <v>0</v>
      </c>
      <c r="M85" s="25" t="n">
        <v>0</v>
      </c>
      <c r="N85" s="25" t="n">
        <v>0</v>
      </c>
      <c r="O85" s="25" t="n">
        <v>0</v>
      </c>
      <c r="P85" s="25" t="n">
        <v>0</v>
      </c>
      <c r="Q85" s="25" t="n">
        <v>0</v>
      </c>
      <c r="R85" s="25" t="n">
        <v>0</v>
      </c>
      <c r="S85" s="25" t="n">
        <v>0</v>
      </c>
      <c r="T85" s="25" t="n">
        <v>0</v>
      </c>
      <c r="U85" s="25" t="n">
        <v>0</v>
      </c>
      <c r="V85" s="25" t="n">
        <v>0</v>
      </c>
      <c r="W85" s="25" t="n">
        <v>0</v>
      </c>
      <c r="X85" s="25" t="n">
        <v>0</v>
      </c>
      <c r="Y85" s="25" t="n">
        <v>0</v>
      </c>
      <c r="Z85" s="25" t="n">
        <v>0</v>
      </c>
      <c r="AA85" s="25" t="n">
        <v>0</v>
      </c>
      <c r="AB85" s="25" t="n">
        <v>0</v>
      </c>
      <c r="AC85" s="25" t="n">
        <v>0</v>
      </c>
      <c r="AD85" s="25" t="n">
        <v>0</v>
      </c>
      <c r="AE85" s="25" t="n">
        <v>0</v>
      </c>
      <c r="AF85" s="25" t="n">
        <v>0</v>
      </c>
      <c r="AG85" s="25" t="n">
        <v>0</v>
      </c>
      <c r="AH85" s="25" t="n">
        <v>0</v>
      </c>
      <c r="AI85" s="25" t="n">
        <v>3</v>
      </c>
      <c r="AJ85" s="25" t="n">
        <v>0</v>
      </c>
      <c r="AK85" s="25" t="n">
        <v>0</v>
      </c>
      <c r="AL85" s="25" t="n">
        <v>0</v>
      </c>
      <c r="AM85" s="25" t="n">
        <v>0</v>
      </c>
      <c r="AN85" s="25" t="n">
        <v>0</v>
      </c>
      <c r="AO85" s="25" t="n">
        <v>2</v>
      </c>
      <c r="AP85" s="25" t="n">
        <v>0</v>
      </c>
      <c r="AQ85" s="25" t="n">
        <v>0</v>
      </c>
      <c r="AR85" s="25" t="n">
        <v>0</v>
      </c>
      <c r="AS85" s="25" t="n">
        <v>2</v>
      </c>
      <c r="AT85" s="25" t="n">
        <v>0</v>
      </c>
      <c r="AU85" s="25" t="n">
        <v>0</v>
      </c>
      <c r="AV85" s="25" t="n">
        <v>0</v>
      </c>
      <c r="AW85" s="25" t="n">
        <v>0</v>
      </c>
      <c r="AX85" s="25" t="n">
        <v>0</v>
      </c>
      <c r="AY85" s="25" t="n">
        <v>0</v>
      </c>
      <c r="AZ85" s="25" t="n">
        <v>0</v>
      </c>
      <c r="BA85" s="25" t="n">
        <v>0</v>
      </c>
      <c r="BB85" s="25" t="n">
        <v>0</v>
      </c>
      <c r="BC85" s="25" t="n">
        <v>0</v>
      </c>
      <c r="BD85" s="25" t="n">
        <v>0</v>
      </c>
      <c r="BE85" s="25" t="n">
        <v>0</v>
      </c>
      <c r="BF85" s="25" t="n">
        <v>0</v>
      </c>
      <c r="BG85" s="25" t="n">
        <v>0</v>
      </c>
      <c r="BH85" s="25" t="n">
        <v>0</v>
      </c>
      <c r="BI85" s="25" t="n">
        <v>0</v>
      </c>
      <c r="BJ85" s="25" t="n">
        <v>0</v>
      </c>
      <c r="BK85" s="25" t="n">
        <v>0</v>
      </c>
      <c r="BL85" s="25" t="n">
        <v>0</v>
      </c>
      <c r="BM85" s="25" t="n">
        <v>0</v>
      </c>
      <c r="BN85" s="25" t="n">
        <v>0</v>
      </c>
      <c r="BO85" s="25" t="n">
        <v>0</v>
      </c>
      <c r="BP85" s="25" t="n">
        <v>0</v>
      </c>
      <c r="BQ85" s="25" t="n">
        <v>0</v>
      </c>
      <c r="BR85" s="25" t="n">
        <v>0</v>
      </c>
      <c r="BS85" s="25" t="n">
        <v>0</v>
      </c>
      <c r="BT85" s="25" t="n">
        <v>0</v>
      </c>
      <c r="BU85" s="25" t="n">
        <v>0</v>
      </c>
      <c r="BV85" s="25" t="n">
        <v>0</v>
      </c>
      <c r="BW85" s="25" t="n">
        <v>0</v>
      </c>
      <c r="BX85" s="25" t="n">
        <v>0</v>
      </c>
      <c r="BY85" s="25" t="n">
        <v>0</v>
      </c>
      <c r="BZ85" s="25" t="n">
        <v>0</v>
      </c>
      <c r="CA85" s="25" t="n">
        <v>0</v>
      </c>
      <c r="CB85" s="25" t="n">
        <v>0</v>
      </c>
      <c r="CC85" s="25" t="n">
        <v>0</v>
      </c>
      <c r="CD85" s="25" t="n">
        <v>0</v>
      </c>
      <c r="CE85" s="25" t="n">
        <v>0</v>
      </c>
      <c r="CF85" s="25" t="n">
        <v>0</v>
      </c>
      <c r="CG85" s="25" t="n">
        <v>0</v>
      </c>
      <c r="CH85" s="25" t="n">
        <v>0</v>
      </c>
      <c r="CI85" s="25" t="n">
        <v>0</v>
      </c>
      <c r="CJ85" s="25" t="n">
        <v>0</v>
      </c>
      <c r="CK85" s="25" t="n">
        <v>0</v>
      </c>
      <c r="CL85" s="25" t="n">
        <v>0</v>
      </c>
      <c r="CM85" s="25" t="n">
        <v>0</v>
      </c>
      <c r="CN85" s="25" t="n">
        <v>0</v>
      </c>
      <c r="CO85" s="25" t="n">
        <v>0</v>
      </c>
      <c r="CP85" s="25" t="n">
        <v>0</v>
      </c>
      <c r="CQ85" s="25" t="n">
        <v>0</v>
      </c>
      <c r="CR85" s="25" t="n">
        <v>0</v>
      </c>
      <c r="CS85" s="25" t="n">
        <v>0</v>
      </c>
      <c r="CT85" s="25" t="n">
        <v>0</v>
      </c>
      <c r="CU85" s="25" t="n">
        <v>0</v>
      </c>
      <c r="CV85" s="25" t="n">
        <v>0</v>
      </c>
      <c r="CW85" s="25" t="n">
        <v>0</v>
      </c>
      <c r="CX85" s="25" t="n">
        <v>0</v>
      </c>
      <c r="CY85" s="25" t="n">
        <v>0</v>
      </c>
      <c r="CZ85" s="25" t="n">
        <v>0</v>
      </c>
      <c r="DA85" s="25" t="n">
        <v>0</v>
      </c>
    </row>
    <row r="86">
      <c r="A86" t="inlineStr">
        <is>
          <t>TPP-922</t>
        </is>
      </c>
      <c r="B86" s="25" t="n">
        <v>0</v>
      </c>
      <c r="C86" s="25" t="n">
        <v>0</v>
      </c>
      <c r="D86" s="25" t="n">
        <v>0</v>
      </c>
      <c r="E86" s="25" t="n">
        <v>0</v>
      </c>
      <c r="F86" s="25" t="n">
        <v>0</v>
      </c>
      <c r="G86" s="25" t="n">
        <v>0</v>
      </c>
      <c r="H86" s="25" t="n">
        <v>0</v>
      </c>
      <c r="I86" s="25" t="n">
        <v>0</v>
      </c>
      <c r="J86" s="25" t="n">
        <v>0</v>
      </c>
      <c r="K86" s="25" t="n">
        <v>0</v>
      </c>
      <c r="L86" s="25" t="n">
        <v>0</v>
      </c>
      <c r="M86" s="25" t="n">
        <v>0</v>
      </c>
      <c r="N86" s="25" t="n">
        <v>0</v>
      </c>
      <c r="O86" s="25" t="n">
        <v>0</v>
      </c>
      <c r="P86" s="25" t="n">
        <v>0</v>
      </c>
      <c r="Q86" s="25" t="n">
        <v>0</v>
      </c>
      <c r="R86" s="25" t="n">
        <v>0</v>
      </c>
      <c r="S86" s="25" t="n">
        <v>0</v>
      </c>
      <c r="T86" s="25" t="n">
        <v>0</v>
      </c>
      <c r="U86" s="25" t="n">
        <v>0</v>
      </c>
      <c r="V86" s="25" t="n">
        <v>0</v>
      </c>
      <c r="W86" s="25" t="n">
        <v>0</v>
      </c>
      <c r="X86" s="25" t="n">
        <v>0</v>
      </c>
      <c r="Y86" s="25" t="n">
        <v>0</v>
      </c>
      <c r="Z86" s="25" t="n">
        <v>0</v>
      </c>
      <c r="AA86" s="25" t="n">
        <v>0</v>
      </c>
      <c r="AB86" s="25" t="n">
        <v>0</v>
      </c>
      <c r="AC86" s="25" t="n">
        <v>0</v>
      </c>
      <c r="AD86" s="25" t="n">
        <v>0</v>
      </c>
      <c r="AE86" s="25" t="n">
        <v>0</v>
      </c>
      <c r="AF86" s="25" t="n">
        <v>0</v>
      </c>
      <c r="AG86" s="25" t="n">
        <v>0</v>
      </c>
      <c r="AH86" s="25" t="n">
        <v>0</v>
      </c>
      <c r="AI86" s="25" t="n">
        <v>0</v>
      </c>
      <c r="AJ86" s="25" t="n">
        <v>0</v>
      </c>
      <c r="AK86" s="25" t="n">
        <v>0</v>
      </c>
      <c r="AL86" s="25" t="n">
        <v>0</v>
      </c>
      <c r="AM86" s="25" t="n">
        <v>0</v>
      </c>
      <c r="AN86" s="25" t="n">
        <v>0</v>
      </c>
      <c r="AO86" s="25" t="n">
        <v>0</v>
      </c>
      <c r="AP86" s="25" t="n">
        <v>0</v>
      </c>
      <c r="AQ86" s="25" t="n">
        <v>0</v>
      </c>
      <c r="AR86" s="25" t="n">
        <v>0</v>
      </c>
      <c r="AS86" s="25" t="n">
        <v>0</v>
      </c>
      <c r="AT86" s="25" t="n">
        <v>0</v>
      </c>
      <c r="AU86" s="25" t="n">
        <v>0</v>
      </c>
      <c r="AV86" s="25" t="n">
        <v>0</v>
      </c>
      <c r="AW86" s="25" t="n">
        <v>0</v>
      </c>
      <c r="AX86" s="25" t="n">
        <v>0</v>
      </c>
      <c r="AY86" s="25" t="n">
        <v>0</v>
      </c>
      <c r="AZ86" s="25" t="n">
        <v>0</v>
      </c>
      <c r="BA86" s="25" t="n">
        <v>0</v>
      </c>
      <c r="BB86" s="25" t="n">
        <v>0</v>
      </c>
      <c r="BC86" s="25" t="n">
        <v>0</v>
      </c>
      <c r="BD86" s="25" t="n">
        <v>0</v>
      </c>
      <c r="BE86" s="25" t="n">
        <v>0</v>
      </c>
      <c r="BF86" s="25" t="n">
        <v>0</v>
      </c>
      <c r="BG86" s="25" t="n">
        <v>0</v>
      </c>
      <c r="BH86" s="25" t="n">
        <v>0</v>
      </c>
      <c r="BI86" s="25" t="n">
        <v>0</v>
      </c>
      <c r="BJ86" s="25" t="n">
        <v>0</v>
      </c>
      <c r="BK86" s="25" t="n">
        <v>0</v>
      </c>
      <c r="BL86" s="25" t="n">
        <v>0</v>
      </c>
      <c r="BM86" s="25" t="n">
        <v>0</v>
      </c>
      <c r="BN86" s="25" t="n">
        <v>0</v>
      </c>
      <c r="BO86" s="25" t="n">
        <v>0</v>
      </c>
      <c r="BP86" s="25" t="n">
        <v>0</v>
      </c>
      <c r="BQ86" s="25" t="n">
        <v>0</v>
      </c>
      <c r="BR86" s="25" t="n">
        <v>0</v>
      </c>
      <c r="BS86" s="25" t="n">
        <v>0</v>
      </c>
      <c r="BT86" s="25" t="n">
        <v>0</v>
      </c>
      <c r="BU86" s="25" t="n">
        <v>0</v>
      </c>
      <c r="BV86" s="25" t="n">
        <v>0</v>
      </c>
      <c r="BW86" s="25" t="n">
        <v>0</v>
      </c>
      <c r="BX86" s="25" t="n">
        <v>0</v>
      </c>
      <c r="BY86" s="25" t="n">
        <v>0</v>
      </c>
      <c r="BZ86" s="25" t="n">
        <v>0</v>
      </c>
      <c r="CA86" s="25" t="n">
        <v>0</v>
      </c>
      <c r="CB86" s="25" t="n">
        <v>0</v>
      </c>
      <c r="CC86" s="25" t="n">
        <v>0</v>
      </c>
      <c r="CD86" s="25" t="n">
        <v>0</v>
      </c>
      <c r="CE86" s="25" t="n">
        <v>0</v>
      </c>
      <c r="CF86" s="25" t="n">
        <v>0</v>
      </c>
      <c r="CG86" s="25" t="n">
        <v>0</v>
      </c>
      <c r="CH86" s="25" t="n">
        <v>0</v>
      </c>
      <c r="CI86" s="25" t="n">
        <v>0</v>
      </c>
      <c r="CJ86" s="25" t="n">
        <v>0</v>
      </c>
      <c r="CK86" s="25" t="n">
        <v>0</v>
      </c>
      <c r="CL86" s="25" t="n">
        <v>0</v>
      </c>
      <c r="CM86" s="25" t="n">
        <v>0</v>
      </c>
      <c r="CN86" s="25" t="n">
        <v>0</v>
      </c>
      <c r="CO86" s="25" t="n">
        <v>0</v>
      </c>
      <c r="CP86" s="25" t="n">
        <v>0</v>
      </c>
      <c r="CQ86" s="25" t="n">
        <v>0</v>
      </c>
      <c r="CR86" s="25" t="n">
        <v>0</v>
      </c>
      <c r="CS86" s="25" t="n">
        <v>0</v>
      </c>
      <c r="CT86" s="25" t="n">
        <v>0</v>
      </c>
      <c r="CU86" s="25" t="n">
        <v>0</v>
      </c>
      <c r="CV86" s="25" t="n">
        <v>0</v>
      </c>
      <c r="CW86" s="25" t="n">
        <v>0</v>
      </c>
      <c r="CX86" s="25" t="n">
        <v>0</v>
      </c>
      <c r="CY86" s="25" t="n">
        <v>0</v>
      </c>
      <c r="CZ86" s="25" t="n">
        <v>0</v>
      </c>
      <c r="DA86" s="25" t="n">
        <v>0</v>
      </c>
    </row>
    <row r="87">
      <c r="A87" t="inlineStr">
        <is>
          <t>TPP-923</t>
        </is>
      </c>
      <c r="B87" s="25" t="n">
        <v>0</v>
      </c>
      <c r="C87" s="25" t="n">
        <v>0</v>
      </c>
      <c r="D87" s="25" t="n">
        <v>0</v>
      </c>
      <c r="E87" s="25" t="n">
        <v>0</v>
      </c>
      <c r="F87" s="25" t="n">
        <v>0</v>
      </c>
      <c r="G87" s="25" t="n">
        <v>0</v>
      </c>
      <c r="H87" s="25" t="n">
        <v>0</v>
      </c>
      <c r="I87" s="25" t="n">
        <v>0</v>
      </c>
      <c r="J87" s="25" t="n">
        <v>0</v>
      </c>
      <c r="K87" s="25" t="n">
        <v>0</v>
      </c>
      <c r="L87" s="25" t="n">
        <v>0</v>
      </c>
      <c r="M87" s="25" t="n">
        <v>0</v>
      </c>
      <c r="N87" s="25" t="n">
        <v>0</v>
      </c>
      <c r="O87" s="25" t="n">
        <v>0</v>
      </c>
      <c r="P87" s="25" t="n">
        <v>0</v>
      </c>
      <c r="Q87" s="25" t="n">
        <v>0</v>
      </c>
      <c r="R87" s="25" t="n">
        <v>0</v>
      </c>
      <c r="S87" s="25" t="n">
        <v>0</v>
      </c>
      <c r="T87" s="25" t="n">
        <v>0</v>
      </c>
      <c r="U87" s="25" t="n">
        <v>0</v>
      </c>
      <c r="V87" s="25" t="n">
        <v>0</v>
      </c>
      <c r="W87" s="25" t="n">
        <v>0</v>
      </c>
      <c r="X87" s="25" t="n">
        <v>0</v>
      </c>
      <c r="Y87" s="25" t="n">
        <v>0</v>
      </c>
      <c r="Z87" s="25" t="n">
        <v>0</v>
      </c>
      <c r="AA87" s="25" t="n">
        <v>0</v>
      </c>
      <c r="AB87" s="25" t="n">
        <v>0</v>
      </c>
      <c r="AC87" s="25" t="n">
        <v>0</v>
      </c>
      <c r="AD87" s="25" t="n">
        <v>0</v>
      </c>
      <c r="AE87" s="25" t="n">
        <v>0</v>
      </c>
      <c r="AF87" s="25" t="n">
        <v>0</v>
      </c>
      <c r="AG87" s="25" t="n">
        <v>0</v>
      </c>
      <c r="AH87" s="25" t="n">
        <v>0</v>
      </c>
      <c r="AI87" s="25" t="n">
        <v>4</v>
      </c>
      <c r="AJ87" s="25" t="n">
        <v>0</v>
      </c>
      <c r="AK87" s="25" t="n">
        <v>0</v>
      </c>
      <c r="AL87" s="25" t="n">
        <v>0</v>
      </c>
      <c r="AM87" s="25" t="n">
        <v>0</v>
      </c>
      <c r="AN87" s="25" t="n">
        <v>0</v>
      </c>
      <c r="AO87" s="25" t="n">
        <v>0</v>
      </c>
      <c r="AP87" s="25" t="n">
        <v>0</v>
      </c>
      <c r="AQ87" s="25" t="n">
        <v>0</v>
      </c>
      <c r="AR87" s="25" t="n">
        <v>2</v>
      </c>
      <c r="AS87" s="25" t="n">
        <v>0</v>
      </c>
      <c r="AT87" s="25" t="n">
        <v>0</v>
      </c>
      <c r="AU87" s="25" t="n">
        <v>0</v>
      </c>
      <c r="AV87" s="25" t="n">
        <v>0</v>
      </c>
      <c r="AW87" s="25" t="n">
        <v>0</v>
      </c>
      <c r="AX87" s="25" t="n">
        <v>0</v>
      </c>
      <c r="AY87" s="25" t="n">
        <v>0</v>
      </c>
      <c r="AZ87" s="25" t="n">
        <v>0</v>
      </c>
      <c r="BA87" s="25" t="n">
        <v>0</v>
      </c>
      <c r="BB87" s="25" t="n">
        <v>0</v>
      </c>
      <c r="BC87" s="25" t="n">
        <v>0</v>
      </c>
      <c r="BD87" s="25" t="n">
        <v>0</v>
      </c>
      <c r="BE87" s="25" t="n">
        <v>0</v>
      </c>
      <c r="BF87" s="25" t="n">
        <v>0</v>
      </c>
      <c r="BG87" s="25" t="n">
        <v>0</v>
      </c>
      <c r="BH87" s="25" t="n">
        <v>0</v>
      </c>
      <c r="BI87" s="25" t="n">
        <v>0</v>
      </c>
      <c r="BJ87" s="25" t="n">
        <v>0</v>
      </c>
      <c r="BK87" s="25" t="n">
        <v>0</v>
      </c>
      <c r="BL87" s="25" t="n">
        <v>0</v>
      </c>
      <c r="BM87" s="25" t="n">
        <v>0</v>
      </c>
      <c r="BN87" s="25" t="n">
        <v>0</v>
      </c>
      <c r="BO87" s="25" t="n">
        <v>0</v>
      </c>
      <c r="BP87" s="25" t="n">
        <v>0</v>
      </c>
      <c r="BQ87" s="25" t="n">
        <v>0</v>
      </c>
      <c r="BR87" s="25" t="n">
        <v>0</v>
      </c>
      <c r="BS87" s="25" t="n">
        <v>0</v>
      </c>
      <c r="BT87" s="25" t="n">
        <v>0</v>
      </c>
      <c r="BU87" s="25" t="n">
        <v>0</v>
      </c>
      <c r="BV87" s="25" t="n">
        <v>0</v>
      </c>
      <c r="BW87" s="25" t="n">
        <v>0</v>
      </c>
      <c r="BX87" s="25" t="n">
        <v>0</v>
      </c>
      <c r="BY87" s="25" t="n">
        <v>0</v>
      </c>
      <c r="BZ87" s="25" t="n">
        <v>0</v>
      </c>
      <c r="CA87" s="25" t="n">
        <v>0</v>
      </c>
      <c r="CB87" s="25" t="n">
        <v>0</v>
      </c>
      <c r="CC87" s="25" t="n">
        <v>0</v>
      </c>
      <c r="CD87" s="25" t="n">
        <v>0</v>
      </c>
      <c r="CE87" s="25" t="n">
        <v>0</v>
      </c>
      <c r="CF87" s="25" t="n">
        <v>0</v>
      </c>
      <c r="CG87" s="25" t="n">
        <v>0</v>
      </c>
      <c r="CH87" s="25" t="n">
        <v>0</v>
      </c>
      <c r="CI87" s="25" t="n">
        <v>0</v>
      </c>
      <c r="CJ87" s="25" t="n">
        <v>0</v>
      </c>
      <c r="CK87" s="25" t="n">
        <v>0</v>
      </c>
      <c r="CL87" s="25" t="n">
        <v>0</v>
      </c>
      <c r="CM87" s="25" t="n">
        <v>0</v>
      </c>
      <c r="CN87" s="25" t="n">
        <v>0</v>
      </c>
      <c r="CO87" s="25" t="n">
        <v>0</v>
      </c>
      <c r="CP87" s="25" t="n">
        <v>0</v>
      </c>
      <c r="CQ87" s="25" t="n">
        <v>0</v>
      </c>
      <c r="CR87" s="25" t="n">
        <v>0</v>
      </c>
      <c r="CS87" s="25" t="n">
        <v>0</v>
      </c>
      <c r="CT87" s="25" t="n">
        <v>0</v>
      </c>
      <c r="CU87" s="25" t="n">
        <v>0</v>
      </c>
      <c r="CV87" s="25" t="n">
        <v>0</v>
      </c>
      <c r="CW87" s="25" t="n">
        <v>0</v>
      </c>
      <c r="CX87" s="25" t="n">
        <v>0</v>
      </c>
      <c r="CY87" s="25" t="n">
        <v>0</v>
      </c>
      <c r="CZ87" s="25" t="n">
        <v>0</v>
      </c>
      <c r="DA87" s="25" t="n">
        <v>0</v>
      </c>
    </row>
    <row r="88">
      <c r="A88" t="inlineStr">
        <is>
          <t>TPP-970</t>
        </is>
      </c>
      <c r="B88" s="25" t="n">
        <v>0</v>
      </c>
      <c r="C88" s="25" t="n">
        <v>0</v>
      </c>
      <c r="D88" s="25" t="n">
        <v>0</v>
      </c>
      <c r="E88" s="25" t="n">
        <v>0</v>
      </c>
      <c r="F88" s="25" t="n">
        <v>0</v>
      </c>
      <c r="G88" s="25" t="n">
        <v>0</v>
      </c>
      <c r="H88" s="25" t="n">
        <v>0</v>
      </c>
      <c r="I88" s="25" t="n">
        <v>0</v>
      </c>
      <c r="J88" s="25" t="n">
        <v>0</v>
      </c>
      <c r="K88" s="25" t="n">
        <v>0</v>
      </c>
      <c r="L88" s="25" t="n">
        <v>0</v>
      </c>
      <c r="M88" s="25" t="n">
        <v>0</v>
      </c>
      <c r="N88" s="25" t="n">
        <v>0</v>
      </c>
      <c r="O88" s="25" t="n">
        <v>0</v>
      </c>
      <c r="P88" s="25" t="n">
        <v>0</v>
      </c>
      <c r="Q88" s="25" t="n">
        <v>0</v>
      </c>
      <c r="R88" s="25" t="n">
        <v>0</v>
      </c>
      <c r="S88" s="25" t="n">
        <v>0</v>
      </c>
      <c r="T88" s="25" t="n">
        <v>0</v>
      </c>
      <c r="U88" s="25" t="n">
        <v>0</v>
      </c>
      <c r="V88" s="25" t="n">
        <v>0</v>
      </c>
      <c r="W88" s="25" t="n">
        <v>0</v>
      </c>
      <c r="X88" s="25" t="n">
        <v>0</v>
      </c>
      <c r="Y88" s="25" t="n">
        <v>0</v>
      </c>
      <c r="Z88" s="25" t="n">
        <v>0</v>
      </c>
      <c r="AA88" s="25" t="n">
        <v>0</v>
      </c>
      <c r="AB88" s="25" t="n">
        <v>0</v>
      </c>
      <c r="AC88" s="25" t="n">
        <v>0</v>
      </c>
      <c r="AD88" s="25" t="n">
        <v>0</v>
      </c>
      <c r="AE88" s="25" t="n">
        <v>0</v>
      </c>
      <c r="AF88" s="25" t="n">
        <v>0</v>
      </c>
      <c r="AG88" s="25" t="n">
        <v>0</v>
      </c>
      <c r="AH88" s="25" t="n">
        <v>0</v>
      </c>
      <c r="AI88" s="25" t="n">
        <v>0</v>
      </c>
      <c r="AJ88" s="25" t="n">
        <v>0</v>
      </c>
      <c r="AK88" s="25" t="n">
        <v>0</v>
      </c>
      <c r="AL88" s="25" t="n">
        <v>0</v>
      </c>
      <c r="AM88" s="25" t="n">
        <v>0</v>
      </c>
      <c r="AN88" s="25" t="n">
        <v>0</v>
      </c>
      <c r="AO88" s="25" t="n">
        <v>0</v>
      </c>
      <c r="AP88" s="25" t="n">
        <v>0</v>
      </c>
      <c r="AQ88" s="25" t="n">
        <v>0</v>
      </c>
      <c r="AR88" s="25" t="n">
        <v>0</v>
      </c>
      <c r="AS88" s="25" t="n">
        <v>0</v>
      </c>
      <c r="AT88" s="25" t="n">
        <v>0</v>
      </c>
      <c r="AU88" s="25" t="n">
        <v>0</v>
      </c>
      <c r="AV88" s="25" t="n">
        <v>0</v>
      </c>
      <c r="AW88" s="25" t="n">
        <v>0</v>
      </c>
      <c r="AX88" s="25" t="n">
        <v>0</v>
      </c>
      <c r="AY88" s="25" t="n">
        <v>0</v>
      </c>
      <c r="AZ88" s="25" t="n">
        <v>0</v>
      </c>
      <c r="BA88" s="25" t="n">
        <v>0</v>
      </c>
      <c r="BB88" s="25" t="n">
        <v>0</v>
      </c>
      <c r="BC88" s="25" t="n">
        <v>0</v>
      </c>
      <c r="BD88" s="25" t="n">
        <v>0</v>
      </c>
      <c r="BE88" s="25" t="n">
        <v>0</v>
      </c>
      <c r="BF88" s="25" t="n">
        <v>0</v>
      </c>
      <c r="BG88" s="25" t="n">
        <v>0</v>
      </c>
      <c r="BH88" s="25" t="n">
        <v>0</v>
      </c>
      <c r="BI88" s="25" t="n">
        <v>0</v>
      </c>
      <c r="BJ88" s="25" t="n">
        <v>0</v>
      </c>
      <c r="BK88" s="25" t="n">
        <v>0</v>
      </c>
      <c r="BL88" s="25" t="n">
        <v>0</v>
      </c>
      <c r="BM88" s="25" t="n">
        <v>0</v>
      </c>
      <c r="BN88" s="25" t="n">
        <v>0</v>
      </c>
      <c r="BO88" s="25" t="n">
        <v>0</v>
      </c>
      <c r="BP88" s="25" t="n">
        <v>0</v>
      </c>
      <c r="BQ88" s="25" t="n">
        <v>0</v>
      </c>
      <c r="BR88" s="25" t="n">
        <v>0</v>
      </c>
      <c r="BS88" s="25" t="n">
        <v>0</v>
      </c>
      <c r="BT88" s="25" t="n">
        <v>0</v>
      </c>
      <c r="BU88" s="25" t="n">
        <v>0</v>
      </c>
      <c r="BV88" s="25" t="n">
        <v>0</v>
      </c>
      <c r="BW88" s="25" t="n">
        <v>0</v>
      </c>
      <c r="BX88" s="25" t="n">
        <v>0</v>
      </c>
      <c r="BY88" s="25" t="n">
        <v>0</v>
      </c>
      <c r="BZ88" s="25" t="n">
        <v>0</v>
      </c>
      <c r="CA88" s="25" t="n">
        <v>0</v>
      </c>
      <c r="CB88" s="25" t="n">
        <v>0</v>
      </c>
      <c r="CC88" s="25" t="n">
        <v>0</v>
      </c>
      <c r="CD88" s="25" t="n">
        <v>0</v>
      </c>
      <c r="CE88" s="25" t="n">
        <v>0</v>
      </c>
      <c r="CF88" s="25" t="n">
        <v>0</v>
      </c>
      <c r="CG88" s="25" t="n">
        <v>0</v>
      </c>
      <c r="CH88" s="25" t="n">
        <v>0</v>
      </c>
      <c r="CI88" s="25" t="n">
        <v>0</v>
      </c>
      <c r="CJ88" s="25" t="n">
        <v>0</v>
      </c>
      <c r="CK88" s="25" t="n">
        <v>0</v>
      </c>
      <c r="CL88" s="25" t="n">
        <v>0</v>
      </c>
      <c r="CM88" s="25" t="n">
        <v>0</v>
      </c>
      <c r="CN88" s="25" t="n">
        <v>0</v>
      </c>
      <c r="CO88" s="25" t="n">
        <v>0</v>
      </c>
      <c r="CP88" s="25" t="n">
        <v>0</v>
      </c>
      <c r="CQ88" s="25" t="n">
        <v>0</v>
      </c>
      <c r="CR88" s="25" t="n">
        <v>0</v>
      </c>
      <c r="CS88" s="25" t="n">
        <v>0</v>
      </c>
      <c r="CT88" s="25" t="n">
        <v>0</v>
      </c>
      <c r="CU88" s="25" t="n">
        <v>0</v>
      </c>
      <c r="CV88" s="25" t="n">
        <v>0</v>
      </c>
      <c r="CW88" s="25" t="n">
        <v>0</v>
      </c>
      <c r="CX88" s="25" t="n">
        <v>0</v>
      </c>
      <c r="CY88" s="25" t="n">
        <v>0</v>
      </c>
      <c r="CZ88" s="25" t="n">
        <v>0</v>
      </c>
      <c r="DA88" s="25" t="n">
        <v>0</v>
      </c>
    </row>
    <row r="89">
      <c r="A89" t="inlineStr">
        <is>
          <t>20p</t>
        </is>
      </c>
      <c r="B89" s="25" t="n">
        <v>0</v>
      </c>
      <c r="C89" s="25" t="n">
        <v>0</v>
      </c>
      <c r="D89" s="25" t="n">
        <v>0</v>
      </c>
      <c r="E89" s="25" t="n">
        <v>0</v>
      </c>
      <c r="F89" s="25" t="n">
        <v>0</v>
      </c>
      <c r="G89" s="25" t="n">
        <v>0</v>
      </c>
      <c r="H89" s="25" t="n">
        <v>0</v>
      </c>
      <c r="I89" s="25" t="n">
        <v>0</v>
      </c>
      <c r="J89" s="25" t="n">
        <v>0</v>
      </c>
      <c r="K89" s="25" t="n">
        <v>0</v>
      </c>
      <c r="L89" s="25" t="n">
        <v>0</v>
      </c>
      <c r="M89" s="25" t="n">
        <v>0</v>
      </c>
      <c r="N89" s="25" t="n">
        <v>0</v>
      </c>
      <c r="O89" s="25" t="n">
        <v>0</v>
      </c>
      <c r="P89" s="25" t="n">
        <v>0</v>
      </c>
      <c r="Q89" s="25" t="n">
        <v>0</v>
      </c>
      <c r="R89" s="25" t="n">
        <v>0</v>
      </c>
      <c r="S89" s="25" t="n">
        <v>0</v>
      </c>
      <c r="T89" s="25" t="n">
        <v>0</v>
      </c>
      <c r="U89" s="25" t="n">
        <v>0</v>
      </c>
      <c r="V89" s="25" t="n">
        <v>0</v>
      </c>
      <c r="W89" s="25" t="n">
        <v>0</v>
      </c>
      <c r="X89" s="25" t="n">
        <v>0</v>
      </c>
      <c r="Y89" s="25" t="n">
        <v>0</v>
      </c>
      <c r="Z89" s="25" t="n">
        <v>0</v>
      </c>
      <c r="AA89" s="25" t="n">
        <v>0</v>
      </c>
      <c r="AB89" s="25" t="n">
        <v>0</v>
      </c>
      <c r="AC89" s="25" t="n">
        <v>0</v>
      </c>
      <c r="AD89" s="25" t="n">
        <v>0</v>
      </c>
      <c r="AE89" s="25" t="n">
        <v>0</v>
      </c>
      <c r="AF89" s="25" t="n">
        <v>0</v>
      </c>
      <c r="AG89" s="25" t="n">
        <v>0</v>
      </c>
      <c r="AH89" s="25" t="n">
        <v>0</v>
      </c>
      <c r="AI89" s="25" t="n">
        <v>0</v>
      </c>
      <c r="AJ89" s="25" t="n">
        <v>0</v>
      </c>
      <c r="AK89" s="25" t="n">
        <v>0</v>
      </c>
      <c r="AL89" s="25" t="n">
        <v>0</v>
      </c>
      <c r="AM89" s="25" t="n">
        <v>0</v>
      </c>
      <c r="AN89" s="25" t="n">
        <v>0</v>
      </c>
      <c r="AO89" s="25" t="n">
        <v>0</v>
      </c>
      <c r="AP89" s="25" t="n">
        <v>0</v>
      </c>
      <c r="AQ89" s="25" t="n">
        <v>0</v>
      </c>
      <c r="AR89" s="25" t="n">
        <v>0</v>
      </c>
      <c r="AS89" s="25" t="n">
        <v>0</v>
      </c>
      <c r="AT89" s="25" t="n">
        <v>0</v>
      </c>
      <c r="AU89" s="25" t="n">
        <v>0</v>
      </c>
      <c r="AV89" s="25" t="n">
        <v>0</v>
      </c>
      <c r="AW89" s="25" t="n">
        <v>0</v>
      </c>
      <c r="AX89" s="25" t="n">
        <v>0</v>
      </c>
      <c r="AY89" s="25" t="n">
        <v>0</v>
      </c>
      <c r="AZ89" s="25" t="n">
        <v>0</v>
      </c>
      <c r="BA89" s="25" t="n">
        <v>0</v>
      </c>
      <c r="BB89" s="25" t="n">
        <v>0</v>
      </c>
      <c r="BC89" s="25" t="n">
        <v>0</v>
      </c>
      <c r="BD89" s="25" t="n">
        <v>0</v>
      </c>
      <c r="BE89" s="25" t="n">
        <v>0</v>
      </c>
      <c r="BF89" s="25" t="n">
        <v>0</v>
      </c>
      <c r="BG89" s="25" t="n">
        <v>0</v>
      </c>
      <c r="BH89" s="25" t="n">
        <v>0</v>
      </c>
      <c r="BI89" s="25" t="n">
        <v>0</v>
      </c>
      <c r="BJ89" s="25" t="n">
        <v>0</v>
      </c>
      <c r="BK89" s="25" t="n">
        <v>0</v>
      </c>
      <c r="BL89" s="25" t="n">
        <v>0</v>
      </c>
      <c r="BM89" s="25" t="n">
        <v>0</v>
      </c>
      <c r="BN89" s="25" t="n">
        <v>0</v>
      </c>
      <c r="BO89" s="25" t="n">
        <v>0</v>
      </c>
      <c r="BP89" s="25" t="n">
        <v>0</v>
      </c>
      <c r="BQ89" s="25" t="n">
        <v>0</v>
      </c>
      <c r="BR89" s="25" t="n">
        <v>0</v>
      </c>
      <c r="BS89" s="25" t="n">
        <v>0</v>
      </c>
      <c r="BT89" s="25" t="n">
        <v>0</v>
      </c>
      <c r="BU89" s="25" t="n">
        <v>0</v>
      </c>
      <c r="BV89" s="25" t="n">
        <v>0</v>
      </c>
      <c r="BW89" s="25" t="n">
        <v>0</v>
      </c>
      <c r="BX89" s="25" t="n">
        <v>0</v>
      </c>
      <c r="BY89" s="25" t="n">
        <v>0</v>
      </c>
      <c r="BZ89" s="25" t="n">
        <v>0</v>
      </c>
      <c r="CA89" s="25" t="n">
        <v>0</v>
      </c>
      <c r="CB89" s="25" t="n">
        <v>0</v>
      </c>
      <c r="CC89" s="25" t="n">
        <v>0</v>
      </c>
      <c r="CD89" s="25" t="n">
        <v>0</v>
      </c>
      <c r="CE89" s="25" t="n">
        <v>0</v>
      </c>
      <c r="CF89" s="25" t="n">
        <v>0</v>
      </c>
      <c r="CG89" s="25" t="n">
        <v>0</v>
      </c>
      <c r="CH89" s="25" t="n">
        <v>0</v>
      </c>
      <c r="CI89" s="25" t="n">
        <v>0</v>
      </c>
      <c r="CJ89" s="25" t="n">
        <v>0</v>
      </c>
      <c r="CK89" s="25" t="n">
        <v>0</v>
      </c>
      <c r="CL89" s="25" t="n">
        <v>0</v>
      </c>
      <c r="CM89" s="25" t="n">
        <v>0</v>
      </c>
      <c r="CN89" s="25" t="n">
        <v>0</v>
      </c>
      <c r="CO89" s="25" t="n">
        <v>0</v>
      </c>
      <c r="CP89" s="25" t="n">
        <v>0</v>
      </c>
      <c r="CQ89" s="25" t="n">
        <v>0</v>
      </c>
      <c r="CR89" s="25" t="n">
        <v>0</v>
      </c>
      <c r="CS89" s="25" t="n">
        <v>0</v>
      </c>
      <c r="CT89" s="25" t="n">
        <v>0</v>
      </c>
      <c r="CU89" s="25" t="n">
        <v>0</v>
      </c>
      <c r="CV89" s="25" t="n">
        <v>0</v>
      </c>
      <c r="CW89" s="25" t="n">
        <v>0</v>
      </c>
      <c r="CX89" s="25" t="n">
        <v>0</v>
      </c>
      <c r="CY89" s="25" t="n">
        <v>0</v>
      </c>
      <c r="CZ89" s="25" t="n">
        <v>0</v>
      </c>
      <c r="DA89" s="25" t="n">
        <v>0</v>
      </c>
    </row>
    <row r="90">
      <c r="A90" t="inlineStr">
        <is>
          <t>TPP-1459</t>
        </is>
      </c>
      <c r="B90" s="25" t="n">
        <v>0</v>
      </c>
      <c r="C90" s="25" t="n">
        <v>0</v>
      </c>
      <c r="D90" s="25" t="n">
        <v>0</v>
      </c>
      <c r="E90" s="25" t="n">
        <v>0</v>
      </c>
      <c r="F90" s="25" t="n">
        <v>0</v>
      </c>
      <c r="G90" s="25" t="n">
        <v>0</v>
      </c>
      <c r="H90" s="25" t="n">
        <v>0</v>
      </c>
      <c r="I90" s="25" t="n">
        <v>0</v>
      </c>
      <c r="J90" s="25" t="n">
        <v>0</v>
      </c>
      <c r="K90" s="25" t="n">
        <v>0</v>
      </c>
      <c r="L90" s="25" t="n">
        <v>0</v>
      </c>
      <c r="M90" s="25" t="n">
        <v>0</v>
      </c>
      <c r="N90" s="25" t="n">
        <v>0</v>
      </c>
      <c r="O90" s="25" t="n">
        <v>0</v>
      </c>
      <c r="P90" s="25" t="n">
        <v>0</v>
      </c>
      <c r="Q90" s="25" t="n">
        <v>0</v>
      </c>
      <c r="R90" s="25" t="n">
        <v>0</v>
      </c>
      <c r="S90" s="25" t="n">
        <v>0</v>
      </c>
      <c r="T90" s="25" t="n">
        <v>0</v>
      </c>
      <c r="U90" s="25" t="n">
        <v>0</v>
      </c>
      <c r="V90" s="25" t="n">
        <v>0</v>
      </c>
      <c r="W90" s="25" t="n">
        <v>0</v>
      </c>
      <c r="X90" s="25" t="n">
        <v>0</v>
      </c>
      <c r="Y90" s="25" t="n">
        <v>3</v>
      </c>
      <c r="Z90" s="25" t="n">
        <v>0</v>
      </c>
      <c r="AA90" s="25" t="n">
        <v>2</v>
      </c>
      <c r="AB90" s="25" t="n">
        <v>0</v>
      </c>
      <c r="AC90" s="25" t="n">
        <v>0</v>
      </c>
      <c r="AD90" s="25" t="n">
        <v>0</v>
      </c>
      <c r="AE90" s="25" t="n">
        <v>0</v>
      </c>
      <c r="AF90" s="25" t="n">
        <v>4</v>
      </c>
      <c r="AG90" s="25" t="n">
        <v>0</v>
      </c>
      <c r="AH90" s="25" t="n">
        <v>0</v>
      </c>
      <c r="AI90" s="25" t="n">
        <v>0</v>
      </c>
      <c r="AJ90" s="25" t="n">
        <v>2</v>
      </c>
      <c r="AK90" s="25" t="n">
        <v>0</v>
      </c>
      <c r="AL90" s="25" t="n">
        <v>2</v>
      </c>
      <c r="AM90" s="25" t="n">
        <v>0</v>
      </c>
      <c r="AN90" s="25" t="n">
        <v>0</v>
      </c>
      <c r="AO90" s="25" t="n">
        <v>1</v>
      </c>
      <c r="AP90" s="25" t="n">
        <v>0</v>
      </c>
      <c r="AQ90" s="25" t="n">
        <v>0</v>
      </c>
      <c r="AR90" s="25" t="n">
        <v>2</v>
      </c>
      <c r="AS90" s="25" t="n">
        <v>1</v>
      </c>
      <c r="AT90" s="25" t="n">
        <v>0</v>
      </c>
      <c r="AU90" s="25" t="n">
        <v>0</v>
      </c>
      <c r="AV90" s="25" t="n">
        <v>4</v>
      </c>
      <c r="AW90" s="25" t="n">
        <v>0</v>
      </c>
      <c r="AX90" s="25" t="n">
        <v>0</v>
      </c>
      <c r="AY90" s="25" t="n">
        <v>0</v>
      </c>
      <c r="AZ90" s="25" t="n">
        <v>0</v>
      </c>
      <c r="BA90" s="25" t="n">
        <v>0</v>
      </c>
      <c r="BB90" s="25" t="n">
        <v>0</v>
      </c>
      <c r="BC90" s="25" t="n">
        <v>0</v>
      </c>
      <c r="BD90" s="25" t="n">
        <v>0</v>
      </c>
      <c r="BE90" s="25" t="n">
        <v>2</v>
      </c>
      <c r="BF90" s="25" t="n">
        <v>0</v>
      </c>
      <c r="BG90" s="25" t="n">
        <v>0</v>
      </c>
      <c r="BH90" s="25" t="n">
        <v>0</v>
      </c>
      <c r="BI90" s="25" t="n">
        <v>4</v>
      </c>
      <c r="BJ90" s="25" t="n">
        <v>0</v>
      </c>
      <c r="BK90" s="25" t="n">
        <v>0</v>
      </c>
      <c r="BL90" s="25" t="n">
        <v>0</v>
      </c>
      <c r="BM90" s="25" t="n">
        <v>2</v>
      </c>
      <c r="BN90" s="25" t="n">
        <v>0</v>
      </c>
      <c r="BO90" s="25" t="n">
        <v>0</v>
      </c>
      <c r="BP90" s="25" t="n">
        <v>2</v>
      </c>
      <c r="BQ90" s="25" t="n">
        <v>4</v>
      </c>
      <c r="BR90" s="25" t="n">
        <v>4</v>
      </c>
      <c r="BS90" s="25" t="n">
        <v>0</v>
      </c>
      <c r="BT90" s="25" t="n">
        <v>2</v>
      </c>
      <c r="BU90" s="25" t="n">
        <v>4</v>
      </c>
      <c r="BV90" s="25" t="n">
        <v>0</v>
      </c>
      <c r="BW90" s="25" t="n">
        <v>0</v>
      </c>
      <c r="BX90" s="25" t="n">
        <v>0</v>
      </c>
      <c r="BY90" s="25" t="n">
        <v>0</v>
      </c>
      <c r="BZ90" s="25" t="n">
        <v>0</v>
      </c>
      <c r="CA90" s="25" t="n">
        <v>0</v>
      </c>
      <c r="CB90" s="25" t="n">
        <v>0</v>
      </c>
      <c r="CC90" s="25" t="n">
        <v>0</v>
      </c>
      <c r="CD90" s="25" t="n">
        <v>0</v>
      </c>
      <c r="CE90" s="25" t="n">
        <v>0</v>
      </c>
      <c r="CF90" s="25" t="n">
        <v>0</v>
      </c>
      <c r="CG90" s="25" t="n">
        <v>0</v>
      </c>
      <c r="CH90" s="25" t="n">
        <v>0</v>
      </c>
      <c r="CI90" s="25" t="n">
        <v>0</v>
      </c>
      <c r="CJ90" s="25" t="n">
        <v>0</v>
      </c>
      <c r="CK90" s="25" t="n">
        <v>0</v>
      </c>
      <c r="CL90" s="25" t="n">
        <v>0</v>
      </c>
      <c r="CM90" s="25" t="n">
        <v>0</v>
      </c>
      <c r="CN90" s="25" t="n">
        <v>0</v>
      </c>
      <c r="CO90" s="25" t="n">
        <v>0</v>
      </c>
      <c r="CP90" s="25" t="n">
        <v>0</v>
      </c>
      <c r="CQ90" s="25" t="n">
        <v>0</v>
      </c>
      <c r="CR90" s="25" t="n">
        <v>0</v>
      </c>
      <c r="CS90" s="25" t="n">
        <v>0</v>
      </c>
      <c r="CT90" s="25" t="n">
        <v>0</v>
      </c>
      <c r="CU90" s="25" t="n">
        <v>0</v>
      </c>
      <c r="CV90" s="25" t="n">
        <v>0</v>
      </c>
      <c r="CW90" s="25" t="n">
        <v>0</v>
      </c>
      <c r="CX90" s="25" t="n">
        <v>0</v>
      </c>
      <c r="CY90" s="25" t="n">
        <v>0</v>
      </c>
      <c r="CZ90" s="25" t="n">
        <v>0</v>
      </c>
      <c r="DA90" s="25" t="n">
        <v>0</v>
      </c>
    </row>
    <row r="91">
      <c r="A91" t="inlineStr">
        <is>
          <t>TPP-1466</t>
        </is>
      </c>
      <c r="B91" s="25" t="n">
        <v>0</v>
      </c>
      <c r="C91" s="25" t="n">
        <v>0</v>
      </c>
      <c r="D91" s="25" t="n">
        <v>0</v>
      </c>
      <c r="E91" s="25" t="n">
        <v>0</v>
      </c>
      <c r="F91" s="25" t="n">
        <v>0</v>
      </c>
      <c r="G91" s="25" t="n">
        <v>0</v>
      </c>
      <c r="H91" s="25" t="n">
        <v>0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  <c r="V91" s="25" t="n">
        <v>0</v>
      </c>
      <c r="W91" s="25" t="n">
        <v>0</v>
      </c>
      <c r="X91" s="25" t="n">
        <v>0</v>
      </c>
      <c r="Y91" s="25" t="n">
        <v>0</v>
      </c>
      <c r="Z91" s="25" t="n">
        <v>0</v>
      </c>
      <c r="AA91" s="25" t="n">
        <v>0</v>
      </c>
      <c r="AB91" s="25" t="n">
        <v>0</v>
      </c>
      <c r="AC91" s="25" t="n">
        <v>0</v>
      </c>
      <c r="AD91" s="25" t="n">
        <v>0</v>
      </c>
      <c r="AE91" s="25" t="n">
        <v>0</v>
      </c>
      <c r="AF91" s="25" t="n">
        <v>0</v>
      </c>
      <c r="AG91" s="25" t="n">
        <v>0</v>
      </c>
      <c r="AH91" s="25" t="n">
        <v>0</v>
      </c>
      <c r="AI91" s="25" t="n">
        <v>0</v>
      </c>
      <c r="AJ91" s="25" t="n">
        <v>0</v>
      </c>
      <c r="AK91" s="25" t="n">
        <v>0</v>
      </c>
      <c r="AL91" s="25" t="n">
        <v>0</v>
      </c>
      <c r="AM91" s="25" t="n">
        <v>0</v>
      </c>
      <c r="AN91" s="25" t="n">
        <v>0</v>
      </c>
      <c r="AO91" s="25" t="n">
        <v>0</v>
      </c>
      <c r="AP91" s="25" t="n">
        <v>0</v>
      </c>
      <c r="AQ91" s="25" t="n">
        <v>0</v>
      </c>
      <c r="AR91" s="25" t="n">
        <v>0</v>
      </c>
      <c r="AS91" s="25" t="n">
        <v>0</v>
      </c>
      <c r="AT91" s="25" t="n">
        <v>0</v>
      </c>
      <c r="AU91" s="25" t="n">
        <v>0</v>
      </c>
      <c r="AV91" s="25" t="n">
        <v>0</v>
      </c>
      <c r="AW91" s="25" t="n">
        <v>0</v>
      </c>
      <c r="AX91" s="25" t="n">
        <v>0</v>
      </c>
      <c r="AY91" s="25" t="n">
        <v>0</v>
      </c>
      <c r="AZ91" s="25" t="n">
        <v>0</v>
      </c>
      <c r="BA91" s="25" t="n">
        <v>0</v>
      </c>
      <c r="BB91" s="25" t="n">
        <v>0</v>
      </c>
      <c r="BC91" s="25" t="n">
        <v>0</v>
      </c>
      <c r="BD91" s="25" t="n">
        <v>0</v>
      </c>
      <c r="BE91" s="25" t="n">
        <v>0</v>
      </c>
      <c r="BF91" s="25" t="n">
        <v>0</v>
      </c>
      <c r="BG91" s="25" t="n">
        <v>0</v>
      </c>
      <c r="BH91" s="25" t="n">
        <v>0</v>
      </c>
      <c r="BI91" s="25" t="n">
        <v>0</v>
      </c>
      <c r="BJ91" s="25" t="n">
        <v>0</v>
      </c>
      <c r="BK91" s="25" t="n">
        <v>0</v>
      </c>
      <c r="BL91" s="25" t="n">
        <v>0</v>
      </c>
      <c r="BM91" s="25" t="n">
        <v>0</v>
      </c>
      <c r="BN91" s="25" t="n">
        <v>0</v>
      </c>
      <c r="BO91" s="25" t="n">
        <v>0</v>
      </c>
      <c r="BP91" s="25" t="n">
        <v>0</v>
      </c>
      <c r="BQ91" s="25" t="n">
        <v>0</v>
      </c>
      <c r="BR91" s="25" t="n">
        <v>0</v>
      </c>
      <c r="BS91" s="25" t="n">
        <v>0</v>
      </c>
      <c r="BT91" s="25" t="n">
        <v>0</v>
      </c>
      <c r="BU91" s="25" t="n">
        <v>0</v>
      </c>
      <c r="BV91" s="25" t="n">
        <v>0</v>
      </c>
      <c r="BW91" s="25" t="n">
        <v>0</v>
      </c>
      <c r="BX91" s="25" t="n">
        <v>0</v>
      </c>
      <c r="BY91" s="25" t="n">
        <v>0</v>
      </c>
      <c r="BZ91" s="25" t="n">
        <v>0</v>
      </c>
      <c r="CA91" s="25" t="n">
        <v>0</v>
      </c>
      <c r="CB91" s="25" t="n">
        <v>0</v>
      </c>
      <c r="CC91" s="25" t="n">
        <v>0</v>
      </c>
      <c r="CD91" s="25" t="n">
        <v>0</v>
      </c>
      <c r="CE91" s="25" t="n">
        <v>0</v>
      </c>
      <c r="CF91" s="25" t="n">
        <v>0</v>
      </c>
      <c r="CG91" s="25" t="n">
        <v>0</v>
      </c>
      <c r="CH91" s="25" t="n">
        <v>0</v>
      </c>
      <c r="CI91" s="25" t="n">
        <v>0</v>
      </c>
      <c r="CJ91" s="25" t="n">
        <v>0</v>
      </c>
      <c r="CK91" s="25" t="n">
        <v>0</v>
      </c>
      <c r="CL91" s="25" t="n">
        <v>0</v>
      </c>
      <c r="CM91" s="25" t="n">
        <v>0</v>
      </c>
      <c r="CN91" s="25" t="n">
        <v>0</v>
      </c>
      <c r="CO91" s="25" t="n">
        <v>0</v>
      </c>
      <c r="CP91" s="25" t="n">
        <v>0</v>
      </c>
      <c r="CQ91" s="25" t="n">
        <v>0</v>
      </c>
      <c r="CR91" s="25" t="n">
        <v>0</v>
      </c>
      <c r="CS91" s="25" t="n">
        <v>0</v>
      </c>
      <c r="CT91" s="25" t="n">
        <v>0</v>
      </c>
      <c r="CU91" s="25" t="n">
        <v>0</v>
      </c>
      <c r="CV91" s="25" t="n">
        <v>0</v>
      </c>
      <c r="CW91" s="25" t="n">
        <v>0</v>
      </c>
      <c r="CX91" s="25" t="n">
        <v>0</v>
      </c>
      <c r="CY91" s="25" t="n">
        <v>0</v>
      </c>
      <c r="CZ91" s="25" t="n">
        <v>0</v>
      </c>
      <c r="DA91" s="25" t="n">
        <v>0</v>
      </c>
    </row>
    <row r="92">
      <c r="A92" t="inlineStr">
        <is>
          <t>TPP-2245</t>
        </is>
      </c>
      <c r="B92" s="25" t="n">
        <v>0</v>
      </c>
      <c r="C92" s="25" t="n">
        <v>0</v>
      </c>
      <c r="D92" s="25" t="n">
        <v>0</v>
      </c>
      <c r="E92" s="25" t="n">
        <v>0</v>
      </c>
      <c r="F92" s="25" t="n">
        <v>0</v>
      </c>
      <c r="G92" s="25" t="n">
        <v>0</v>
      </c>
      <c r="H92" s="25" t="n">
        <v>0</v>
      </c>
      <c r="I92" s="25" t="n">
        <v>0</v>
      </c>
      <c r="J92" s="25" t="n">
        <v>0</v>
      </c>
      <c r="K92" s="25" t="n">
        <v>0</v>
      </c>
      <c r="L92" s="25" t="n">
        <v>0</v>
      </c>
      <c r="M92" s="25" t="n">
        <v>0</v>
      </c>
      <c r="N92" s="25" t="n">
        <v>0</v>
      </c>
      <c r="O92" s="25" t="n">
        <v>0</v>
      </c>
      <c r="P92" s="25" t="n">
        <v>0</v>
      </c>
      <c r="Q92" s="25" t="n">
        <v>0</v>
      </c>
      <c r="R92" s="25" t="n">
        <v>0</v>
      </c>
      <c r="S92" s="25" t="n">
        <v>0</v>
      </c>
      <c r="T92" s="25" t="n">
        <v>0</v>
      </c>
      <c r="U92" s="25" t="n">
        <v>0</v>
      </c>
      <c r="V92" s="25" t="n">
        <v>0</v>
      </c>
      <c r="W92" s="25" t="n">
        <v>0</v>
      </c>
      <c r="X92" s="25" t="n">
        <v>0</v>
      </c>
      <c r="Y92" s="25" t="n">
        <v>0</v>
      </c>
      <c r="Z92" s="25" t="n">
        <v>0</v>
      </c>
      <c r="AA92" s="25" t="n">
        <v>0</v>
      </c>
      <c r="AB92" s="25" t="n">
        <v>0</v>
      </c>
      <c r="AC92" s="25" t="n">
        <v>0</v>
      </c>
      <c r="AD92" s="25" t="n">
        <v>0</v>
      </c>
      <c r="AE92" s="25" t="n">
        <v>0</v>
      </c>
      <c r="AF92" s="25" t="n">
        <v>0</v>
      </c>
      <c r="AG92" s="25" t="n">
        <v>0</v>
      </c>
      <c r="AH92" s="25" t="n">
        <v>0</v>
      </c>
      <c r="AI92" s="25" t="n">
        <v>0</v>
      </c>
      <c r="AJ92" s="25" t="n">
        <v>0</v>
      </c>
      <c r="AK92" s="25" t="n">
        <v>0</v>
      </c>
      <c r="AL92" s="25" t="n">
        <v>0</v>
      </c>
      <c r="AM92" s="25" t="n">
        <v>0</v>
      </c>
      <c r="AN92" s="25" t="n">
        <v>0</v>
      </c>
      <c r="AO92" s="25" t="n">
        <v>0</v>
      </c>
      <c r="AP92" s="25" t="n">
        <v>0</v>
      </c>
      <c r="AQ92" s="25" t="n">
        <v>0</v>
      </c>
      <c r="AR92" s="25" t="n">
        <v>0</v>
      </c>
      <c r="AS92" s="25" t="n">
        <v>0</v>
      </c>
      <c r="AT92" s="25" t="n">
        <v>0</v>
      </c>
      <c r="AU92" s="25" t="n">
        <v>0</v>
      </c>
      <c r="AV92" s="25" t="n">
        <v>0</v>
      </c>
      <c r="AW92" s="25" t="n">
        <v>0</v>
      </c>
      <c r="AX92" s="25" t="n">
        <v>0</v>
      </c>
      <c r="AY92" s="25" t="n">
        <v>0</v>
      </c>
      <c r="AZ92" s="25" t="n">
        <v>0</v>
      </c>
      <c r="BA92" s="25" t="n">
        <v>0</v>
      </c>
      <c r="BB92" s="25" t="n">
        <v>0</v>
      </c>
      <c r="BC92" s="25" t="n">
        <v>0</v>
      </c>
      <c r="BD92" s="25" t="n">
        <v>0</v>
      </c>
      <c r="BE92" s="25" t="n">
        <v>0</v>
      </c>
      <c r="BF92" s="25" t="n">
        <v>0</v>
      </c>
      <c r="BG92" s="25" t="n">
        <v>0</v>
      </c>
      <c r="BH92" s="25" t="n">
        <v>0</v>
      </c>
      <c r="BI92" s="25" t="n">
        <v>0</v>
      </c>
      <c r="BJ92" s="25" t="n">
        <v>0</v>
      </c>
      <c r="BK92" s="25" t="n">
        <v>0</v>
      </c>
      <c r="BL92" s="25" t="n">
        <v>0</v>
      </c>
      <c r="BM92" s="25" t="n">
        <v>0</v>
      </c>
      <c r="BN92" s="25" t="n">
        <v>0</v>
      </c>
      <c r="BO92" s="25" t="n">
        <v>0</v>
      </c>
      <c r="BP92" s="25" t="n">
        <v>0</v>
      </c>
      <c r="BQ92" s="25" t="n">
        <v>0</v>
      </c>
      <c r="BR92" s="25" t="n">
        <v>0</v>
      </c>
      <c r="BS92" s="25" t="n">
        <v>0</v>
      </c>
      <c r="BT92" s="25" t="n">
        <v>0</v>
      </c>
      <c r="BU92" s="25" t="n">
        <v>0</v>
      </c>
      <c r="BV92" s="25" t="n">
        <v>0</v>
      </c>
      <c r="BW92" s="25" t="n">
        <v>0</v>
      </c>
      <c r="BX92" s="25" t="n">
        <v>0</v>
      </c>
      <c r="BY92" s="25" t="n">
        <v>0</v>
      </c>
      <c r="BZ92" s="25" t="n">
        <v>0</v>
      </c>
      <c r="CA92" s="25" t="n">
        <v>0</v>
      </c>
      <c r="CB92" s="25" t="n">
        <v>0</v>
      </c>
      <c r="CC92" s="25" t="n">
        <v>0</v>
      </c>
      <c r="CD92" s="25" t="n">
        <v>0</v>
      </c>
      <c r="CE92" s="25" t="n">
        <v>0</v>
      </c>
      <c r="CF92" s="25" t="n">
        <v>0</v>
      </c>
      <c r="CG92" s="25" t="n">
        <v>0</v>
      </c>
      <c r="CH92" s="25" t="n">
        <v>0</v>
      </c>
      <c r="CI92" s="25" t="n">
        <v>0</v>
      </c>
      <c r="CJ92" s="25" t="n">
        <v>0</v>
      </c>
      <c r="CK92" s="25" t="n">
        <v>0</v>
      </c>
      <c r="CL92" s="25" t="n">
        <v>0</v>
      </c>
      <c r="CM92" s="25" t="n">
        <v>0</v>
      </c>
      <c r="CN92" s="25" t="n">
        <v>0</v>
      </c>
      <c r="CO92" s="25" t="n">
        <v>0</v>
      </c>
      <c r="CP92" s="25" t="n">
        <v>0</v>
      </c>
      <c r="CQ92" s="25" t="n">
        <v>0</v>
      </c>
      <c r="CR92" s="25" t="n">
        <v>0</v>
      </c>
      <c r="CS92" s="25" t="n">
        <v>0</v>
      </c>
      <c r="CT92" s="25" t="n">
        <v>0</v>
      </c>
      <c r="CU92" s="25" t="n">
        <v>0</v>
      </c>
      <c r="CV92" s="25" t="n">
        <v>0</v>
      </c>
      <c r="CW92" s="25" t="n">
        <v>0</v>
      </c>
      <c r="CX92" s="25" t="n">
        <v>0</v>
      </c>
      <c r="CY92" s="25" t="n">
        <v>0</v>
      </c>
      <c r="CZ92" s="25" t="n">
        <v>0</v>
      </c>
      <c r="DA92" s="25" t="n">
        <v>0</v>
      </c>
    </row>
    <row r="93">
      <c r="A93" t="inlineStr">
        <is>
          <t>TPP-533(98%)</t>
        </is>
      </c>
      <c r="B93" s="25" t="n">
        <v>0</v>
      </c>
      <c r="C93" s="25" t="n">
        <v>0</v>
      </c>
      <c r="D93" s="25" t="n">
        <v>0</v>
      </c>
      <c r="E93" s="25" t="n">
        <v>0</v>
      </c>
      <c r="F93" s="25" t="n">
        <v>0</v>
      </c>
      <c r="G93" s="25" t="n">
        <v>0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0</v>
      </c>
      <c r="Q93" s="25" t="n">
        <v>0</v>
      </c>
      <c r="R93" s="25" t="n">
        <v>0</v>
      </c>
      <c r="S93" s="25" t="n">
        <v>0</v>
      </c>
      <c r="T93" s="25" t="n">
        <v>0</v>
      </c>
      <c r="U93" s="25" t="n">
        <v>0</v>
      </c>
      <c r="V93" s="25" t="n">
        <v>0</v>
      </c>
      <c r="W93" s="25" t="n">
        <v>0</v>
      </c>
      <c r="X93" s="25" t="n">
        <v>0</v>
      </c>
      <c r="Y93" s="25" t="n">
        <v>0</v>
      </c>
      <c r="Z93" s="25" t="n">
        <v>0</v>
      </c>
      <c r="AA93" s="25" t="n">
        <v>0</v>
      </c>
      <c r="AB93" s="25" t="n">
        <v>0</v>
      </c>
      <c r="AC93" s="25" t="n">
        <v>0</v>
      </c>
      <c r="AD93" s="25" t="n">
        <v>0</v>
      </c>
      <c r="AE93" s="25" t="n">
        <v>0</v>
      </c>
      <c r="AF93" s="25" t="n">
        <v>0</v>
      </c>
      <c r="AG93" s="25" t="n">
        <v>0</v>
      </c>
      <c r="AH93" s="25" t="n">
        <v>0</v>
      </c>
      <c r="AI93" s="25" t="n">
        <v>0</v>
      </c>
      <c r="AJ93" s="25" t="n">
        <v>0</v>
      </c>
      <c r="AK93" s="25" t="n">
        <v>0</v>
      </c>
      <c r="AL93" s="25" t="n">
        <v>0</v>
      </c>
      <c r="AM93" s="25" t="n">
        <v>0</v>
      </c>
      <c r="AN93" s="25" t="n">
        <v>0</v>
      </c>
      <c r="AO93" s="25" t="n">
        <v>0</v>
      </c>
      <c r="AP93" s="25" t="n">
        <v>0</v>
      </c>
      <c r="AQ93" s="25" t="n">
        <v>0</v>
      </c>
      <c r="AR93" s="25" t="n">
        <v>0</v>
      </c>
      <c r="AS93" s="25" t="n">
        <v>0</v>
      </c>
      <c r="AT93" s="25" t="n">
        <v>0</v>
      </c>
      <c r="AU93" s="25" t="n">
        <v>0</v>
      </c>
      <c r="AV93" s="25" t="n">
        <v>0</v>
      </c>
      <c r="AW93" s="25" t="n">
        <v>0</v>
      </c>
      <c r="AX93" s="25" t="n">
        <v>0</v>
      </c>
      <c r="AY93" s="25" t="n">
        <v>0</v>
      </c>
      <c r="AZ93" s="25" t="n">
        <v>0</v>
      </c>
      <c r="BA93" s="25" t="n">
        <v>0</v>
      </c>
      <c r="BB93" s="25" t="n">
        <v>0</v>
      </c>
      <c r="BC93" s="25" t="n">
        <v>0</v>
      </c>
      <c r="BD93" s="25" t="n">
        <v>0</v>
      </c>
      <c r="BE93" s="25" t="n">
        <v>0</v>
      </c>
      <c r="BF93" s="25" t="n">
        <v>0</v>
      </c>
      <c r="BG93" s="25" t="n">
        <v>0</v>
      </c>
      <c r="BH93" s="25" t="n">
        <v>0</v>
      </c>
      <c r="BI93" s="25" t="n">
        <v>0</v>
      </c>
      <c r="BJ93" s="25" t="n">
        <v>0</v>
      </c>
      <c r="BK93" s="25" t="n">
        <v>0</v>
      </c>
      <c r="BL93" s="25" t="n">
        <v>0</v>
      </c>
      <c r="BM93" s="25" t="n">
        <v>0</v>
      </c>
      <c r="BN93" s="25" t="n">
        <v>0</v>
      </c>
      <c r="BO93" s="25" t="n">
        <v>0</v>
      </c>
      <c r="BP93" s="25" t="n">
        <v>0</v>
      </c>
      <c r="BQ93" s="25" t="n">
        <v>0</v>
      </c>
      <c r="BR93" s="25" t="n">
        <v>0</v>
      </c>
      <c r="BS93" s="25" t="n">
        <v>0</v>
      </c>
      <c r="BT93" s="25" t="n">
        <v>0</v>
      </c>
      <c r="BU93" s="25" t="n">
        <v>0</v>
      </c>
      <c r="BV93" s="25" t="n">
        <v>0</v>
      </c>
      <c r="BW93" s="25" t="n">
        <v>0</v>
      </c>
      <c r="BX93" s="25" t="n">
        <v>0</v>
      </c>
      <c r="BY93" s="25" t="n">
        <v>0</v>
      </c>
      <c r="BZ93" s="25" t="n">
        <v>0</v>
      </c>
      <c r="CA93" s="25" t="n">
        <v>0</v>
      </c>
      <c r="CB93" s="25" t="n">
        <v>0</v>
      </c>
      <c r="CC93" s="25" t="n">
        <v>0</v>
      </c>
      <c r="CD93" s="25" t="n">
        <v>0</v>
      </c>
      <c r="CE93" s="25" t="n">
        <v>0</v>
      </c>
      <c r="CF93" s="25" t="n">
        <v>0</v>
      </c>
      <c r="CG93" s="25" t="n">
        <v>0</v>
      </c>
      <c r="CH93" s="25" t="n">
        <v>0</v>
      </c>
      <c r="CI93" s="25" t="n">
        <v>0</v>
      </c>
      <c r="CJ93" s="25" t="n">
        <v>0</v>
      </c>
      <c r="CK93" s="25" t="n">
        <v>0</v>
      </c>
      <c r="CL93" s="25" t="n">
        <v>0</v>
      </c>
      <c r="CM93" s="25" t="n">
        <v>0</v>
      </c>
      <c r="CN93" s="25" t="n">
        <v>0</v>
      </c>
      <c r="CO93" s="25" t="n">
        <v>0</v>
      </c>
      <c r="CP93" s="25" t="n">
        <v>0</v>
      </c>
      <c r="CQ93" s="25" t="n">
        <v>0</v>
      </c>
      <c r="CR93" s="25" t="n">
        <v>0</v>
      </c>
      <c r="CS93" s="25" t="n">
        <v>0</v>
      </c>
      <c r="CT93" s="25" t="n">
        <v>0</v>
      </c>
      <c r="CU93" s="25" t="n">
        <v>0</v>
      </c>
      <c r="CV93" s="25" t="n">
        <v>0</v>
      </c>
      <c r="CW93" s="25" t="n">
        <v>0</v>
      </c>
      <c r="CX93" s="25" t="n">
        <v>0</v>
      </c>
      <c r="CY93" s="25" t="n">
        <v>0</v>
      </c>
      <c r="CZ93" s="25" t="n">
        <v>0</v>
      </c>
      <c r="DA93" s="25" t="n">
        <v>0</v>
      </c>
    </row>
    <row r="94">
      <c r="A94" t="inlineStr">
        <is>
          <t>TPP-533(A)</t>
        </is>
      </c>
      <c r="B94" s="25" t="n">
        <v>0</v>
      </c>
      <c r="C94" s="25" t="n">
        <v>0</v>
      </c>
      <c r="D94" s="25" t="n">
        <v>0</v>
      </c>
      <c r="E94" s="25" t="n">
        <v>0</v>
      </c>
      <c r="F94" s="25" t="n">
        <v>0</v>
      </c>
      <c r="G94" s="25" t="n">
        <v>0</v>
      </c>
      <c r="H94" s="25" t="n">
        <v>0</v>
      </c>
      <c r="I94" s="25" t="n">
        <v>0</v>
      </c>
      <c r="J94" s="25" t="n">
        <v>0</v>
      </c>
      <c r="K94" s="25" t="n">
        <v>0</v>
      </c>
      <c r="L94" s="25" t="n">
        <v>0</v>
      </c>
      <c r="M94" s="25" t="n">
        <v>0</v>
      </c>
      <c r="N94" s="25" t="n">
        <v>0</v>
      </c>
      <c r="O94" s="25" t="n">
        <v>0</v>
      </c>
      <c r="P94" s="25" t="n">
        <v>0</v>
      </c>
      <c r="Q94" s="25" t="n">
        <v>0</v>
      </c>
      <c r="R94" s="25" t="n">
        <v>0</v>
      </c>
      <c r="S94" s="25" t="n">
        <v>0</v>
      </c>
      <c r="T94" s="25" t="n">
        <v>0</v>
      </c>
      <c r="U94" s="25" t="n">
        <v>0</v>
      </c>
      <c r="V94" s="25" t="n">
        <v>0</v>
      </c>
      <c r="W94" s="25" t="n">
        <v>0</v>
      </c>
      <c r="X94" s="25" t="n">
        <v>0</v>
      </c>
      <c r="Y94" s="25" t="n">
        <v>0</v>
      </c>
      <c r="Z94" s="25" t="n">
        <v>0</v>
      </c>
      <c r="AA94" s="25" t="n">
        <v>0</v>
      </c>
      <c r="AB94" s="25" t="n">
        <v>0</v>
      </c>
      <c r="AC94" s="25" t="n">
        <v>0</v>
      </c>
      <c r="AD94" s="25" t="n">
        <v>0</v>
      </c>
      <c r="AE94" s="25" t="n">
        <v>0</v>
      </c>
      <c r="AF94" s="25" t="n">
        <v>0</v>
      </c>
      <c r="AG94" s="25" t="n">
        <v>0</v>
      </c>
      <c r="AH94" s="25" t="n">
        <v>0</v>
      </c>
      <c r="AI94" s="25" t="n">
        <v>0</v>
      </c>
      <c r="AJ94" s="25" t="n">
        <v>0</v>
      </c>
      <c r="AK94" s="25" t="n">
        <v>0</v>
      </c>
      <c r="AL94" s="25" t="n">
        <v>0</v>
      </c>
      <c r="AM94" s="25" t="n">
        <v>0</v>
      </c>
      <c r="AN94" s="25" t="n">
        <v>0</v>
      </c>
      <c r="AO94" s="25" t="n">
        <v>0</v>
      </c>
      <c r="AP94" s="25" t="n">
        <v>0</v>
      </c>
      <c r="AQ94" s="25" t="n">
        <v>0</v>
      </c>
      <c r="AR94" s="25" t="n">
        <v>0</v>
      </c>
      <c r="AS94" s="25" t="n">
        <v>0</v>
      </c>
      <c r="AT94" s="25" t="n">
        <v>0</v>
      </c>
      <c r="AU94" s="25" t="n">
        <v>0</v>
      </c>
      <c r="AV94" s="25" t="n">
        <v>0</v>
      </c>
      <c r="AW94" s="25" t="n">
        <v>0</v>
      </c>
      <c r="AX94" s="25" t="n">
        <v>0</v>
      </c>
      <c r="AY94" s="25" t="n">
        <v>0</v>
      </c>
      <c r="AZ94" s="25" t="n">
        <v>0</v>
      </c>
      <c r="BA94" s="25" t="n">
        <v>0</v>
      </c>
      <c r="BB94" s="25" t="n">
        <v>0</v>
      </c>
      <c r="BC94" s="25" t="n">
        <v>0</v>
      </c>
      <c r="BD94" s="25" t="n">
        <v>0</v>
      </c>
      <c r="BE94" s="25" t="n">
        <v>0</v>
      </c>
      <c r="BF94" s="25" t="n">
        <v>0</v>
      </c>
      <c r="BG94" s="25" t="n">
        <v>0</v>
      </c>
      <c r="BH94" s="25" t="n">
        <v>0</v>
      </c>
      <c r="BI94" s="25" t="n">
        <v>0</v>
      </c>
      <c r="BJ94" s="25" t="n">
        <v>0</v>
      </c>
      <c r="BK94" s="25" t="n">
        <v>0</v>
      </c>
      <c r="BL94" s="25" t="n">
        <v>0</v>
      </c>
      <c r="BM94" s="25" t="n">
        <v>0</v>
      </c>
      <c r="BN94" s="25" t="n">
        <v>0</v>
      </c>
      <c r="BO94" s="25" t="n">
        <v>0</v>
      </c>
      <c r="BP94" s="25" t="n">
        <v>0</v>
      </c>
      <c r="BQ94" s="25" t="n">
        <v>0</v>
      </c>
      <c r="BR94" s="25" t="n">
        <v>0</v>
      </c>
      <c r="BS94" s="25" t="n">
        <v>0</v>
      </c>
      <c r="BT94" s="25" t="n">
        <v>0</v>
      </c>
      <c r="BU94" s="25" t="n">
        <v>0</v>
      </c>
      <c r="BV94" s="25" t="n">
        <v>0</v>
      </c>
      <c r="BW94" s="25" t="n">
        <v>0</v>
      </c>
      <c r="BX94" s="25" t="n">
        <v>0</v>
      </c>
      <c r="BY94" s="25" t="n">
        <v>0</v>
      </c>
      <c r="BZ94" s="25" t="n">
        <v>0</v>
      </c>
      <c r="CA94" s="25" t="n">
        <v>0</v>
      </c>
      <c r="CB94" s="25" t="n">
        <v>0</v>
      </c>
      <c r="CC94" s="25" t="n">
        <v>0</v>
      </c>
      <c r="CD94" s="25" t="n">
        <v>0</v>
      </c>
      <c r="CE94" s="25" t="n">
        <v>0</v>
      </c>
      <c r="CF94" s="25" t="n">
        <v>0</v>
      </c>
      <c r="CG94" s="25" t="n">
        <v>0</v>
      </c>
      <c r="CH94" s="25" t="n">
        <v>0</v>
      </c>
      <c r="CI94" s="25" t="n">
        <v>0</v>
      </c>
      <c r="CJ94" s="25" t="n">
        <v>0</v>
      </c>
      <c r="CK94" s="25" t="n">
        <v>0</v>
      </c>
      <c r="CL94" s="25" t="n">
        <v>0</v>
      </c>
      <c r="CM94" s="25" t="n">
        <v>0</v>
      </c>
      <c r="CN94" s="25" t="n">
        <v>0</v>
      </c>
      <c r="CO94" s="25" t="n">
        <v>0</v>
      </c>
      <c r="CP94" s="25" t="n">
        <v>0</v>
      </c>
      <c r="CQ94" s="25" t="n">
        <v>0</v>
      </c>
      <c r="CR94" s="25" t="n">
        <v>0</v>
      </c>
      <c r="CS94" s="25" t="n">
        <v>0</v>
      </c>
      <c r="CT94" s="25" t="n">
        <v>0</v>
      </c>
      <c r="CU94" s="25" t="n">
        <v>0</v>
      </c>
      <c r="CV94" s="25" t="n">
        <v>0</v>
      </c>
      <c r="CW94" s="25" t="n">
        <v>0</v>
      </c>
      <c r="CX94" s="25" t="n">
        <v>0</v>
      </c>
      <c r="CY94" s="25" t="n">
        <v>0</v>
      </c>
      <c r="CZ94" s="25" t="n">
        <v>0</v>
      </c>
      <c r="DA94" s="25" t="n">
        <v>0</v>
      </c>
    </row>
    <row r="95">
      <c r="A95" t="inlineStr">
        <is>
          <t>TSP-077</t>
        </is>
      </c>
      <c r="B95" s="25" t="n">
        <v>0</v>
      </c>
      <c r="C95" s="25" t="n">
        <v>0</v>
      </c>
      <c r="D95" s="25" t="n">
        <v>0</v>
      </c>
      <c r="E95" s="25" t="n">
        <v>0</v>
      </c>
      <c r="F95" s="25" t="n">
        <v>0</v>
      </c>
      <c r="G95" s="25" t="n">
        <v>0</v>
      </c>
      <c r="H95" s="25" t="n">
        <v>0</v>
      </c>
      <c r="I95" s="25" t="n">
        <v>0</v>
      </c>
      <c r="J95" s="25" t="n">
        <v>0</v>
      </c>
      <c r="K95" s="25" t="n">
        <v>0</v>
      </c>
      <c r="L95" s="25" t="n">
        <v>0</v>
      </c>
      <c r="M95" s="25" t="n">
        <v>0</v>
      </c>
      <c r="N95" s="25" t="n">
        <v>0</v>
      </c>
      <c r="O95" s="25" t="n">
        <v>0</v>
      </c>
      <c r="P95" s="25" t="n">
        <v>0</v>
      </c>
      <c r="Q95" s="25" t="n">
        <v>0</v>
      </c>
      <c r="R95" s="25" t="n">
        <v>0</v>
      </c>
      <c r="S95" s="25" t="n">
        <v>0</v>
      </c>
      <c r="T95" s="25" t="n">
        <v>0</v>
      </c>
      <c r="U95" s="25" t="n">
        <v>0</v>
      </c>
      <c r="V95" s="25" t="n">
        <v>0</v>
      </c>
      <c r="W95" s="25" t="n">
        <v>0</v>
      </c>
      <c r="X95" s="25" t="n">
        <v>0</v>
      </c>
      <c r="Y95" s="25" t="n">
        <v>0</v>
      </c>
      <c r="Z95" s="25" t="n">
        <v>0</v>
      </c>
      <c r="AA95" s="25" t="n">
        <v>0</v>
      </c>
      <c r="AB95" s="25" t="n">
        <v>0</v>
      </c>
      <c r="AC95" s="25" t="n">
        <v>0</v>
      </c>
      <c r="AD95" s="25" t="n">
        <v>0</v>
      </c>
      <c r="AE95" s="25" t="n">
        <v>0</v>
      </c>
      <c r="AF95" s="25" t="n">
        <v>0</v>
      </c>
      <c r="AG95" s="25" t="n">
        <v>0</v>
      </c>
      <c r="AH95" s="25" t="n">
        <v>0</v>
      </c>
      <c r="AI95" s="25" t="n">
        <v>0</v>
      </c>
      <c r="AJ95" s="25" t="n">
        <v>0</v>
      </c>
      <c r="AK95" s="25" t="n">
        <v>0</v>
      </c>
      <c r="AL95" s="25" t="n">
        <v>0</v>
      </c>
      <c r="AM95" s="25" t="n">
        <v>0</v>
      </c>
      <c r="AN95" s="25" t="n">
        <v>0</v>
      </c>
      <c r="AO95" s="25" t="n">
        <v>0</v>
      </c>
      <c r="AP95" s="25" t="n">
        <v>0</v>
      </c>
      <c r="AQ95" s="25" t="n">
        <v>0</v>
      </c>
      <c r="AR95" s="25" t="n">
        <v>0</v>
      </c>
      <c r="AS95" s="25" t="n">
        <v>0</v>
      </c>
      <c r="AT95" s="25" t="n">
        <v>0</v>
      </c>
      <c r="AU95" s="25" t="n">
        <v>0</v>
      </c>
      <c r="AV95" s="25" t="n">
        <v>0</v>
      </c>
      <c r="AW95" s="25" t="n">
        <v>0</v>
      </c>
      <c r="AX95" s="25" t="n">
        <v>0</v>
      </c>
      <c r="AY95" s="25" t="n">
        <v>0</v>
      </c>
      <c r="AZ95" s="25" t="n">
        <v>0</v>
      </c>
      <c r="BA95" s="25" t="n">
        <v>0</v>
      </c>
      <c r="BB95" s="25" t="n">
        <v>0</v>
      </c>
      <c r="BC95" s="25" t="n">
        <v>0</v>
      </c>
      <c r="BD95" s="25" t="n">
        <v>0</v>
      </c>
      <c r="BE95" s="25" t="n">
        <v>0</v>
      </c>
      <c r="BF95" s="25" t="n">
        <v>0</v>
      </c>
      <c r="BG95" s="25" t="n">
        <v>0</v>
      </c>
      <c r="BH95" s="25" t="n">
        <v>0</v>
      </c>
      <c r="BI95" s="25" t="n">
        <v>0</v>
      </c>
      <c r="BJ95" s="25" t="n">
        <v>0</v>
      </c>
      <c r="BK95" s="25" t="n">
        <v>0</v>
      </c>
      <c r="BL95" s="25" t="n">
        <v>0</v>
      </c>
      <c r="BM95" s="25" t="n">
        <v>0</v>
      </c>
      <c r="BN95" s="25" t="n">
        <v>0</v>
      </c>
      <c r="BO95" s="25" t="n">
        <v>0</v>
      </c>
      <c r="BP95" s="25" t="n">
        <v>0</v>
      </c>
      <c r="BQ95" s="25" t="n">
        <v>0</v>
      </c>
      <c r="BR95" s="25" t="n">
        <v>0</v>
      </c>
      <c r="BS95" s="25" t="n">
        <v>0</v>
      </c>
      <c r="BT95" s="25" t="n">
        <v>0</v>
      </c>
      <c r="BU95" s="25" t="n">
        <v>0</v>
      </c>
      <c r="BV95" s="25" t="n">
        <v>0</v>
      </c>
      <c r="BW95" s="25" t="n">
        <v>0</v>
      </c>
      <c r="BX95" s="25" t="n">
        <v>0</v>
      </c>
      <c r="BY95" s="25" t="n">
        <v>0</v>
      </c>
      <c r="BZ95" s="25" t="n">
        <v>0</v>
      </c>
      <c r="CA95" s="25" t="n">
        <v>0</v>
      </c>
      <c r="CB95" s="25" t="n">
        <v>0</v>
      </c>
      <c r="CC95" s="25" t="n">
        <v>0</v>
      </c>
      <c r="CD95" s="25" t="n">
        <v>0</v>
      </c>
      <c r="CE95" s="25" t="n">
        <v>0</v>
      </c>
      <c r="CF95" s="25" t="n">
        <v>0</v>
      </c>
      <c r="CG95" s="25" t="n">
        <v>0</v>
      </c>
      <c r="CH95" s="25" t="n">
        <v>0</v>
      </c>
      <c r="CI95" s="25" t="n">
        <v>0</v>
      </c>
      <c r="CJ95" s="25" t="n">
        <v>0</v>
      </c>
      <c r="CK95" s="25" t="n">
        <v>0</v>
      </c>
      <c r="CL95" s="25" t="n">
        <v>0</v>
      </c>
      <c r="CM95" s="25" t="n">
        <v>0</v>
      </c>
      <c r="CN95" s="25" t="n">
        <v>0</v>
      </c>
      <c r="CO95" s="25" t="n">
        <v>0</v>
      </c>
      <c r="CP95" s="25" t="n">
        <v>0</v>
      </c>
      <c r="CQ95" s="25" t="n">
        <v>0</v>
      </c>
      <c r="CR95" s="25" t="n">
        <v>0</v>
      </c>
      <c r="CS95" s="25" t="n">
        <v>0</v>
      </c>
      <c r="CT95" s="25" t="n">
        <v>0</v>
      </c>
      <c r="CU95" s="25" t="n">
        <v>0</v>
      </c>
      <c r="CV95" s="25" t="n">
        <v>0</v>
      </c>
      <c r="CW95" s="25" t="n">
        <v>0</v>
      </c>
      <c r="CX95" s="25" t="n">
        <v>0</v>
      </c>
      <c r="CY95" s="25" t="n">
        <v>0</v>
      </c>
      <c r="CZ95" s="25" t="n">
        <v>0</v>
      </c>
      <c r="DA95" s="25" t="n">
        <v>0</v>
      </c>
    </row>
    <row r="96">
      <c r="A96" t="inlineStr">
        <is>
          <t>TSP-088</t>
        </is>
      </c>
      <c r="B96" s="25" t="n">
        <v>0</v>
      </c>
      <c r="C96" s="25" t="n">
        <v>0</v>
      </c>
      <c r="D96" s="25" t="n">
        <v>0</v>
      </c>
      <c r="E96" s="25" t="n">
        <v>0</v>
      </c>
      <c r="F96" s="25" t="n">
        <v>0</v>
      </c>
      <c r="G96" s="25" t="n">
        <v>0</v>
      </c>
      <c r="H96" s="25" t="n">
        <v>0</v>
      </c>
      <c r="I96" s="25" t="n">
        <v>0</v>
      </c>
      <c r="J96" s="25" t="n">
        <v>0</v>
      </c>
      <c r="K96" s="25" t="n">
        <v>0</v>
      </c>
      <c r="L96" s="25" t="n">
        <v>0</v>
      </c>
      <c r="M96" s="25" t="n">
        <v>0</v>
      </c>
      <c r="N96" s="25" t="n">
        <v>0</v>
      </c>
      <c r="O96" s="25" t="n">
        <v>0</v>
      </c>
      <c r="P96" s="25" t="n">
        <v>0</v>
      </c>
      <c r="Q96" s="25" t="n">
        <v>0</v>
      </c>
      <c r="R96" s="25" t="n">
        <v>0</v>
      </c>
      <c r="S96" s="25" t="n">
        <v>0</v>
      </c>
      <c r="T96" s="25" t="n">
        <v>0</v>
      </c>
      <c r="U96" s="25" t="n">
        <v>0</v>
      </c>
      <c r="V96" s="25" t="n">
        <v>0</v>
      </c>
      <c r="W96" s="25" t="n">
        <v>0</v>
      </c>
      <c r="X96" s="25" t="n">
        <v>0</v>
      </c>
      <c r="Y96" s="25" t="n">
        <v>0</v>
      </c>
      <c r="Z96" s="25" t="n">
        <v>0</v>
      </c>
      <c r="AA96" s="25" t="n">
        <v>0</v>
      </c>
      <c r="AB96" s="25" t="n">
        <v>0</v>
      </c>
      <c r="AC96" s="25" t="n">
        <v>0</v>
      </c>
      <c r="AD96" s="25" t="n">
        <v>0</v>
      </c>
      <c r="AE96" s="25" t="n">
        <v>0</v>
      </c>
      <c r="AF96" s="25" t="n">
        <v>0</v>
      </c>
      <c r="AG96" s="25" t="n">
        <v>0</v>
      </c>
      <c r="AH96" s="25" t="n">
        <v>0</v>
      </c>
      <c r="AI96" s="25" t="n">
        <v>0</v>
      </c>
      <c r="AJ96" s="25" t="n">
        <v>0</v>
      </c>
      <c r="AK96" s="25" t="n">
        <v>0</v>
      </c>
      <c r="AL96" s="25" t="n">
        <v>0</v>
      </c>
      <c r="AM96" s="25" t="n">
        <v>0</v>
      </c>
      <c r="AN96" s="25" t="n">
        <v>0</v>
      </c>
      <c r="AO96" s="25" t="n">
        <v>0</v>
      </c>
      <c r="AP96" s="25" t="n">
        <v>0</v>
      </c>
      <c r="AQ96" s="25" t="n">
        <v>0</v>
      </c>
      <c r="AR96" s="25" t="n">
        <v>0</v>
      </c>
      <c r="AS96" s="25" t="n">
        <v>0</v>
      </c>
      <c r="AT96" s="25" t="n">
        <v>0</v>
      </c>
      <c r="AU96" s="25" t="n">
        <v>0</v>
      </c>
      <c r="AV96" s="25" t="n">
        <v>0</v>
      </c>
      <c r="AW96" s="25" t="n">
        <v>0</v>
      </c>
      <c r="AX96" s="25" t="n">
        <v>0</v>
      </c>
      <c r="AY96" s="25" t="n">
        <v>0</v>
      </c>
      <c r="AZ96" s="25" t="n">
        <v>0</v>
      </c>
      <c r="BA96" s="25" t="n">
        <v>0</v>
      </c>
      <c r="BB96" s="25" t="n">
        <v>0</v>
      </c>
      <c r="BC96" s="25" t="n">
        <v>0</v>
      </c>
      <c r="BD96" s="25" t="n">
        <v>0</v>
      </c>
      <c r="BE96" s="25" t="n">
        <v>0</v>
      </c>
      <c r="BF96" s="25" t="n">
        <v>0</v>
      </c>
      <c r="BG96" s="25" t="n">
        <v>0</v>
      </c>
      <c r="BH96" s="25" t="n">
        <v>0</v>
      </c>
      <c r="BI96" s="25" t="n">
        <v>0</v>
      </c>
      <c r="BJ96" s="25" t="n">
        <v>0</v>
      </c>
      <c r="BK96" s="25" t="n">
        <v>0</v>
      </c>
      <c r="BL96" s="25" t="n">
        <v>0</v>
      </c>
      <c r="BM96" s="25" t="n">
        <v>0</v>
      </c>
      <c r="BN96" s="25" t="n">
        <v>0</v>
      </c>
      <c r="BO96" s="25" t="n">
        <v>0</v>
      </c>
      <c r="BP96" s="25" t="n">
        <v>0</v>
      </c>
      <c r="BQ96" s="25" t="n">
        <v>0</v>
      </c>
      <c r="BR96" s="25" t="n">
        <v>0</v>
      </c>
      <c r="BS96" s="25" t="n">
        <v>0</v>
      </c>
      <c r="BT96" s="25" t="n">
        <v>0</v>
      </c>
      <c r="BU96" s="25" t="n">
        <v>0</v>
      </c>
      <c r="BV96" s="25" t="n">
        <v>0</v>
      </c>
      <c r="BW96" s="25" t="n">
        <v>0</v>
      </c>
      <c r="BX96" s="25" t="n">
        <v>0</v>
      </c>
      <c r="BY96" s="25" t="n">
        <v>0</v>
      </c>
      <c r="BZ96" s="25" t="n">
        <v>0</v>
      </c>
      <c r="CA96" s="25" t="n">
        <v>0</v>
      </c>
      <c r="CB96" s="25" t="n">
        <v>0</v>
      </c>
      <c r="CC96" s="25" t="n">
        <v>0</v>
      </c>
      <c r="CD96" s="25" t="n">
        <v>0</v>
      </c>
      <c r="CE96" s="25" t="n">
        <v>0</v>
      </c>
      <c r="CF96" s="25" t="n">
        <v>0</v>
      </c>
      <c r="CG96" s="25" t="n">
        <v>0</v>
      </c>
      <c r="CH96" s="25" t="n">
        <v>0</v>
      </c>
      <c r="CI96" s="25" t="n">
        <v>0</v>
      </c>
      <c r="CJ96" s="25" t="n">
        <v>0</v>
      </c>
      <c r="CK96" s="25" t="n">
        <v>0</v>
      </c>
      <c r="CL96" s="25" t="n">
        <v>0</v>
      </c>
      <c r="CM96" s="25" t="n">
        <v>0</v>
      </c>
      <c r="CN96" s="25" t="n">
        <v>0</v>
      </c>
      <c r="CO96" s="25" t="n">
        <v>0</v>
      </c>
      <c r="CP96" s="25" t="n">
        <v>0</v>
      </c>
      <c r="CQ96" s="25" t="n">
        <v>0</v>
      </c>
      <c r="CR96" s="25" t="n">
        <v>0</v>
      </c>
      <c r="CS96" s="25" t="n">
        <v>0</v>
      </c>
      <c r="CT96" s="25" t="n">
        <v>0</v>
      </c>
      <c r="CU96" s="25" t="n">
        <v>0</v>
      </c>
      <c r="CV96" s="25" t="n">
        <v>0</v>
      </c>
      <c r="CW96" s="25" t="n">
        <v>0</v>
      </c>
      <c r="CX96" s="25" t="n">
        <v>0</v>
      </c>
      <c r="CY96" s="25" t="n">
        <v>0</v>
      </c>
      <c r="CZ96" s="25" t="n">
        <v>0</v>
      </c>
      <c r="DA96" s="25" t="n">
        <v>0</v>
      </c>
    </row>
    <row r="97">
      <c r="A97" t="inlineStr">
        <is>
          <t>TSP-089</t>
        </is>
      </c>
      <c r="B97" s="25" t="n">
        <v>0</v>
      </c>
      <c r="C97" s="25" t="n">
        <v>0</v>
      </c>
      <c r="D97" s="25" t="n">
        <v>0</v>
      </c>
      <c r="E97" s="25" t="n">
        <v>0</v>
      </c>
      <c r="F97" s="25" t="n">
        <v>0</v>
      </c>
      <c r="G97" s="25" t="n">
        <v>0</v>
      </c>
      <c r="H97" s="25" t="n">
        <v>0</v>
      </c>
      <c r="I97" s="25" t="n">
        <v>0</v>
      </c>
      <c r="J97" s="25" t="n">
        <v>0</v>
      </c>
      <c r="K97" s="25" t="n">
        <v>0</v>
      </c>
      <c r="L97" s="25" t="n">
        <v>0</v>
      </c>
      <c r="M97" s="25" t="n">
        <v>0</v>
      </c>
      <c r="N97" s="25" t="n">
        <v>0</v>
      </c>
      <c r="O97" s="25" t="n">
        <v>0</v>
      </c>
      <c r="P97" s="25" t="n">
        <v>0</v>
      </c>
      <c r="Q97" s="25" t="n">
        <v>0</v>
      </c>
      <c r="R97" s="25" t="n">
        <v>0</v>
      </c>
      <c r="S97" s="25" t="n">
        <v>0</v>
      </c>
      <c r="T97" s="25" t="n">
        <v>0</v>
      </c>
      <c r="U97" s="25" t="n">
        <v>0</v>
      </c>
      <c r="V97" s="25" t="n">
        <v>0</v>
      </c>
      <c r="W97" s="25" t="n">
        <v>0</v>
      </c>
      <c r="X97" s="25" t="n">
        <v>0</v>
      </c>
      <c r="Y97" s="25" t="n">
        <v>0</v>
      </c>
      <c r="Z97" s="25" t="n">
        <v>0</v>
      </c>
      <c r="AA97" s="25" t="n">
        <v>0</v>
      </c>
      <c r="AB97" s="25" t="n">
        <v>0</v>
      </c>
      <c r="AC97" s="25" t="n">
        <v>0</v>
      </c>
      <c r="AD97" s="25" t="n">
        <v>0</v>
      </c>
      <c r="AE97" s="25" t="n">
        <v>0</v>
      </c>
      <c r="AF97" s="25" t="n">
        <v>0</v>
      </c>
      <c r="AG97" s="25" t="n">
        <v>0</v>
      </c>
      <c r="AH97" s="25" t="n">
        <v>0</v>
      </c>
      <c r="AI97" s="25" t="n">
        <v>0</v>
      </c>
      <c r="AJ97" s="25" t="n">
        <v>0</v>
      </c>
      <c r="AK97" s="25" t="n">
        <v>0</v>
      </c>
      <c r="AL97" s="25" t="n">
        <v>0</v>
      </c>
      <c r="AM97" s="25" t="n">
        <v>0</v>
      </c>
      <c r="AN97" s="25" t="n">
        <v>0</v>
      </c>
      <c r="AO97" s="25" t="n">
        <v>0</v>
      </c>
      <c r="AP97" s="25" t="n">
        <v>0</v>
      </c>
      <c r="AQ97" s="25" t="n">
        <v>0</v>
      </c>
      <c r="AR97" s="25" t="n">
        <v>0</v>
      </c>
      <c r="AS97" s="25" t="n">
        <v>0</v>
      </c>
      <c r="AT97" s="25" t="n">
        <v>0</v>
      </c>
      <c r="AU97" s="25" t="n">
        <v>0</v>
      </c>
      <c r="AV97" s="25" t="n">
        <v>0</v>
      </c>
      <c r="AW97" s="25" t="n">
        <v>0</v>
      </c>
      <c r="AX97" s="25" t="n">
        <v>0</v>
      </c>
      <c r="AY97" s="25" t="n">
        <v>0</v>
      </c>
      <c r="AZ97" s="25" t="n">
        <v>0</v>
      </c>
      <c r="BA97" s="25" t="n">
        <v>0</v>
      </c>
      <c r="BB97" s="25" t="n">
        <v>0</v>
      </c>
      <c r="BC97" s="25" t="n">
        <v>0</v>
      </c>
      <c r="BD97" s="25" t="n">
        <v>0</v>
      </c>
      <c r="BE97" s="25" t="n">
        <v>0</v>
      </c>
      <c r="BF97" s="25" t="n">
        <v>0</v>
      </c>
      <c r="BG97" s="25" t="n">
        <v>0</v>
      </c>
      <c r="BH97" s="25" t="n">
        <v>0</v>
      </c>
      <c r="BI97" s="25" t="n">
        <v>0</v>
      </c>
      <c r="BJ97" s="25" t="n">
        <v>0</v>
      </c>
      <c r="BK97" s="25" t="n">
        <v>0</v>
      </c>
      <c r="BL97" s="25" t="n">
        <v>0</v>
      </c>
      <c r="BM97" s="25" t="n">
        <v>0</v>
      </c>
      <c r="BN97" s="25" t="n">
        <v>0</v>
      </c>
      <c r="BO97" s="25" t="n">
        <v>0</v>
      </c>
      <c r="BP97" s="25" t="n">
        <v>0</v>
      </c>
      <c r="BQ97" s="25" t="n">
        <v>0</v>
      </c>
      <c r="BR97" s="25" t="n">
        <v>0</v>
      </c>
      <c r="BS97" s="25" t="n">
        <v>0</v>
      </c>
      <c r="BT97" s="25" t="n">
        <v>0</v>
      </c>
      <c r="BU97" s="25" t="n">
        <v>0</v>
      </c>
      <c r="BV97" s="25" t="n">
        <v>0</v>
      </c>
      <c r="BW97" s="25" t="n">
        <v>0</v>
      </c>
      <c r="BX97" s="25" t="n">
        <v>0</v>
      </c>
      <c r="BY97" s="25" t="n">
        <v>0</v>
      </c>
      <c r="BZ97" s="25" t="n">
        <v>0</v>
      </c>
      <c r="CA97" s="25" t="n">
        <v>0</v>
      </c>
      <c r="CB97" s="25" t="n">
        <v>0</v>
      </c>
      <c r="CC97" s="25" t="n">
        <v>0</v>
      </c>
      <c r="CD97" s="25" t="n">
        <v>0</v>
      </c>
      <c r="CE97" s="25" t="n">
        <v>0</v>
      </c>
      <c r="CF97" s="25" t="n">
        <v>0</v>
      </c>
      <c r="CG97" s="25" t="n">
        <v>0</v>
      </c>
      <c r="CH97" s="25" t="n">
        <v>0</v>
      </c>
      <c r="CI97" s="25" t="n">
        <v>0</v>
      </c>
      <c r="CJ97" s="25" t="n">
        <v>0</v>
      </c>
      <c r="CK97" s="25" t="n">
        <v>0</v>
      </c>
      <c r="CL97" s="25" t="n">
        <v>0</v>
      </c>
      <c r="CM97" s="25" t="n">
        <v>0</v>
      </c>
      <c r="CN97" s="25" t="n">
        <v>0</v>
      </c>
      <c r="CO97" s="25" t="n">
        <v>0</v>
      </c>
      <c r="CP97" s="25" t="n">
        <v>0</v>
      </c>
      <c r="CQ97" s="25" t="n">
        <v>0</v>
      </c>
      <c r="CR97" s="25" t="n">
        <v>0</v>
      </c>
      <c r="CS97" s="25" t="n">
        <v>0</v>
      </c>
      <c r="CT97" s="25" t="n">
        <v>0</v>
      </c>
      <c r="CU97" s="25" t="n">
        <v>0</v>
      </c>
      <c r="CV97" s="25" t="n">
        <v>0</v>
      </c>
      <c r="CW97" s="25" t="n">
        <v>0</v>
      </c>
      <c r="CX97" s="25" t="n">
        <v>0</v>
      </c>
      <c r="CY97" s="25" t="n">
        <v>0</v>
      </c>
      <c r="CZ97" s="25" t="n">
        <v>0</v>
      </c>
      <c r="DA97" s="25" t="n">
        <v>0</v>
      </c>
    </row>
    <row r="98">
      <c r="A98" t="inlineStr">
        <is>
          <t>TSP-1499</t>
        </is>
      </c>
      <c r="B98" s="25" t="n">
        <v>0</v>
      </c>
      <c r="C98" s="25" t="n">
        <v>0</v>
      </c>
      <c r="D98" s="25" t="n">
        <v>0</v>
      </c>
      <c r="E98" s="25" t="n">
        <v>0</v>
      </c>
      <c r="F98" s="25" t="n">
        <v>0</v>
      </c>
      <c r="G98" s="25" t="n">
        <v>0</v>
      </c>
      <c r="H98" s="25" t="n">
        <v>0</v>
      </c>
      <c r="I98" s="25" t="n">
        <v>0</v>
      </c>
      <c r="J98" s="25" t="n">
        <v>0</v>
      </c>
      <c r="K98" s="25" t="n">
        <v>0</v>
      </c>
      <c r="L98" s="25" t="n">
        <v>0</v>
      </c>
      <c r="M98" s="25" t="n">
        <v>0</v>
      </c>
      <c r="N98" s="25" t="n">
        <v>0</v>
      </c>
      <c r="O98" s="25" t="n">
        <v>0</v>
      </c>
      <c r="P98" s="25" t="n">
        <v>0</v>
      </c>
      <c r="Q98" s="25" t="n">
        <v>0</v>
      </c>
      <c r="R98" s="25" t="n">
        <v>0</v>
      </c>
      <c r="S98" s="25" t="n">
        <v>0</v>
      </c>
      <c r="T98" s="25" t="n">
        <v>0</v>
      </c>
      <c r="U98" s="25" t="n">
        <v>0</v>
      </c>
      <c r="V98" s="25" t="n">
        <v>0</v>
      </c>
      <c r="W98" s="25" t="n">
        <v>0</v>
      </c>
      <c r="X98" s="25" t="n">
        <v>0</v>
      </c>
      <c r="Y98" s="25" t="n">
        <v>0</v>
      </c>
      <c r="Z98" s="25" t="n">
        <v>0</v>
      </c>
      <c r="AA98" s="25" t="n">
        <v>0</v>
      </c>
      <c r="AB98" s="25" t="n">
        <v>5.999999999999999</v>
      </c>
      <c r="AC98" s="25" t="n">
        <v>0</v>
      </c>
      <c r="AD98" s="25" t="n">
        <v>0</v>
      </c>
      <c r="AE98" s="25" t="n">
        <v>0</v>
      </c>
      <c r="AF98" s="25" t="n">
        <v>0</v>
      </c>
      <c r="AG98" s="25" t="n">
        <v>3</v>
      </c>
      <c r="AH98" s="25" t="n">
        <v>0</v>
      </c>
      <c r="AI98" s="25" t="n">
        <v>0</v>
      </c>
      <c r="AJ98" s="25" t="n">
        <v>0</v>
      </c>
      <c r="AK98" s="25" t="n">
        <v>3</v>
      </c>
      <c r="AL98" s="25" t="n">
        <v>0</v>
      </c>
      <c r="AM98" s="25" t="n">
        <v>0</v>
      </c>
      <c r="AN98" s="25" t="n">
        <v>0</v>
      </c>
      <c r="AO98" s="25" t="n">
        <v>0</v>
      </c>
      <c r="AP98" s="25" t="n">
        <v>3</v>
      </c>
      <c r="AQ98" s="25" t="n">
        <v>0</v>
      </c>
      <c r="AR98" s="25" t="n">
        <v>0</v>
      </c>
      <c r="AS98" s="25" t="n">
        <v>0</v>
      </c>
      <c r="AT98" s="25" t="n">
        <v>3</v>
      </c>
      <c r="AU98" s="25" t="n">
        <v>0</v>
      </c>
      <c r="AV98" s="25" t="n">
        <v>0</v>
      </c>
      <c r="AW98" s="25" t="n">
        <v>0</v>
      </c>
      <c r="AX98" s="25" t="n">
        <v>3</v>
      </c>
      <c r="AY98" s="25" t="n">
        <v>0</v>
      </c>
      <c r="AZ98" s="25" t="n">
        <v>0</v>
      </c>
      <c r="BA98" s="25" t="n">
        <v>0</v>
      </c>
      <c r="BB98" s="25" t="n">
        <v>0</v>
      </c>
      <c r="BC98" s="25" t="n">
        <v>0</v>
      </c>
      <c r="BD98" s="25" t="n">
        <v>0</v>
      </c>
      <c r="BE98" s="25" t="n">
        <v>0</v>
      </c>
      <c r="BF98" s="25" t="n">
        <v>3</v>
      </c>
      <c r="BG98" s="25" t="n">
        <v>0</v>
      </c>
      <c r="BH98" s="25" t="n">
        <v>0</v>
      </c>
      <c r="BI98" s="25" t="n">
        <v>0</v>
      </c>
      <c r="BJ98" s="25" t="n">
        <v>3</v>
      </c>
      <c r="BK98" s="25" t="n">
        <v>0</v>
      </c>
      <c r="BL98" s="25" t="n">
        <v>0</v>
      </c>
      <c r="BM98" s="25" t="n">
        <v>0</v>
      </c>
      <c r="BN98" s="25" t="n">
        <v>3</v>
      </c>
      <c r="BO98" s="25" t="n">
        <v>0</v>
      </c>
      <c r="BP98" s="25" t="n">
        <v>0</v>
      </c>
      <c r="BQ98" s="25" t="n">
        <v>0</v>
      </c>
      <c r="BR98" s="25" t="n">
        <v>3</v>
      </c>
      <c r="BS98" s="25" t="n">
        <v>3</v>
      </c>
      <c r="BT98" s="25" t="n">
        <v>3</v>
      </c>
      <c r="BU98" s="25" t="n">
        <v>3</v>
      </c>
      <c r="BV98" s="25" t="n">
        <v>0</v>
      </c>
      <c r="BW98" s="25" t="n">
        <v>3</v>
      </c>
      <c r="BX98" s="25" t="n">
        <v>0</v>
      </c>
      <c r="BY98" s="25" t="n">
        <v>0</v>
      </c>
      <c r="BZ98" s="25" t="n">
        <v>0</v>
      </c>
      <c r="CA98" s="25" t="n">
        <v>0</v>
      </c>
      <c r="CB98" s="25" t="n">
        <v>0</v>
      </c>
      <c r="CC98" s="25" t="n">
        <v>0</v>
      </c>
      <c r="CD98" s="25" t="n">
        <v>0</v>
      </c>
      <c r="CE98" s="25" t="n">
        <v>0</v>
      </c>
      <c r="CF98" s="25" t="n">
        <v>0</v>
      </c>
      <c r="CG98" s="25" t="n">
        <v>0</v>
      </c>
      <c r="CH98" s="25" t="n">
        <v>0</v>
      </c>
      <c r="CI98" s="25" t="n">
        <v>0</v>
      </c>
      <c r="CJ98" s="25" t="n">
        <v>0</v>
      </c>
      <c r="CK98" s="25" t="n">
        <v>0</v>
      </c>
      <c r="CL98" s="25" t="n">
        <v>0</v>
      </c>
      <c r="CM98" s="25" t="n">
        <v>0</v>
      </c>
      <c r="CN98" s="25" t="n">
        <v>0</v>
      </c>
      <c r="CO98" s="25" t="n">
        <v>0</v>
      </c>
      <c r="CP98" s="25" t="n">
        <v>0</v>
      </c>
      <c r="CQ98" s="25" t="n">
        <v>0</v>
      </c>
      <c r="CR98" s="25" t="n">
        <v>0</v>
      </c>
      <c r="CS98" s="25" t="n">
        <v>0</v>
      </c>
      <c r="CT98" s="25" t="n">
        <v>0</v>
      </c>
      <c r="CU98" s="25" t="n">
        <v>0</v>
      </c>
      <c r="CV98" s="25" t="n">
        <v>0</v>
      </c>
      <c r="CW98" s="25" t="n">
        <v>0</v>
      </c>
      <c r="CX98" s="25" t="n">
        <v>0</v>
      </c>
      <c r="CY98" s="25" t="n">
        <v>0</v>
      </c>
      <c r="CZ98" s="25" t="n">
        <v>0</v>
      </c>
      <c r="DA98" s="25" t="n">
        <v>0</v>
      </c>
    </row>
    <row r="99">
      <c r="A99" t="inlineStr">
        <is>
          <t>TSP-1558</t>
        </is>
      </c>
      <c r="B99" s="25" t="n">
        <v>0</v>
      </c>
      <c r="C99" s="25" t="n">
        <v>0</v>
      </c>
      <c r="D99" s="25" t="n">
        <v>0</v>
      </c>
      <c r="E99" s="25" t="n">
        <v>0</v>
      </c>
      <c r="F99" s="25" t="n">
        <v>0</v>
      </c>
      <c r="G99" s="25" t="n">
        <v>0</v>
      </c>
      <c r="H99" s="25" t="n">
        <v>0</v>
      </c>
      <c r="I99" s="25" t="n">
        <v>0</v>
      </c>
      <c r="J99" s="25" t="n">
        <v>0</v>
      </c>
      <c r="K99" s="25" t="n">
        <v>0</v>
      </c>
      <c r="L99" s="25" t="n">
        <v>0</v>
      </c>
      <c r="M99" s="25" t="n">
        <v>0</v>
      </c>
      <c r="N99" s="25" t="n">
        <v>0</v>
      </c>
      <c r="O99" s="25" t="n">
        <v>0</v>
      </c>
      <c r="P99" s="25" t="n">
        <v>0</v>
      </c>
      <c r="Q99" s="25" t="n">
        <v>0</v>
      </c>
      <c r="R99" s="25" t="n">
        <v>0</v>
      </c>
      <c r="S99" s="25" t="n">
        <v>0</v>
      </c>
      <c r="T99" s="25" t="n">
        <v>0</v>
      </c>
      <c r="U99" s="25" t="n">
        <v>0</v>
      </c>
      <c r="V99" s="25" t="n">
        <v>0</v>
      </c>
      <c r="W99" s="25" t="n">
        <v>0</v>
      </c>
      <c r="X99" s="25" t="n">
        <v>0</v>
      </c>
      <c r="Y99" s="25" t="n">
        <v>0</v>
      </c>
      <c r="Z99" s="25" t="n">
        <v>0</v>
      </c>
      <c r="AA99" s="25" t="n">
        <v>0</v>
      </c>
      <c r="AB99" s="25" t="n">
        <v>4</v>
      </c>
      <c r="AC99" s="25" t="n">
        <v>0</v>
      </c>
      <c r="AD99" s="25" t="n">
        <v>0</v>
      </c>
      <c r="AE99" s="25" t="n">
        <v>0</v>
      </c>
      <c r="AF99" s="25" t="n">
        <v>0</v>
      </c>
      <c r="AG99" s="25" t="n">
        <v>2</v>
      </c>
      <c r="AH99" s="25" t="n">
        <v>0</v>
      </c>
      <c r="AI99" s="25" t="n">
        <v>0</v>
      </c>
      <c r="AJ99" s="25" t="n">
        <v>0</v>
      </c>
      <c r="AK99" s="25" t="n">
        <v>2</v>
      </c>
      <c r="AL99" s="25" t="n">
        <v>0</v>
      </c>
      <c r="AM99" s="25" t="n">
        <v>0</v>
      </c>
      <c r="AN99" s="25" t="n">
        <v>0</v>
      </c>
      <c r="AO99" s="25" t="n">
        <v>0</v>
      </c>
      <c r="AP99" s="25" t="n">
        <v>2</v>
      </c>
      <c r="AQ99" s="25" t="n">
        <v>0</v>
      </c>
      <c r="AR99" s="25" t="n">
        <v>0</v>
      </c>
      <c r="AS99" s="25" t="n">
        <v>0</v>
      </c>
      <c r="AT99" s="25" t="n">
        <v>2</v>
      </c>
      <c r="AU99" s="25" t="n">
        <v>0</v>
      </c>
      <c r="AV99" s="25" t="n">
        <v>0</v>
      </c>
      <c r="AW99" s="25" t="n">
        <v>0</v>
      </c>
      <c r="AX99" s="25" t="n">
        <v>2</v>
      </c>
      <c r="AY99" s="25" t="n">
        <v>0</v>
      </c>
      <c r="AZ99" s="25" t="n">
        <v>0</v>
      </c>
      <c r="BA99" s="25" t="n">
        <v>0</v>
      </c>
      <c r="BB99" s="25" t="n">
        <v>0</v>
      </c>
      <c r="BC99" s="25" t="n">
        <v>0</v>
      </c>
      <c r="BD99" s="25" t="n">
        <v>0</v>
      </c>
      <c r="BE99" s="25" t="n">
        <v>0</v>
      </c>
      <c r="BF99" s="25" t="n">
        <v>2</v>
      </c>
      <c r="BG99" s="25" t="n">
        <v>0</v>
      </c>
      <c r="BH99" s="25" t="n">
        <v>0</v>
      </c>
      <c r="BI99" s="25" t="n">
        <v>0</v>
      </c>
      <c r="BJ99" s="25" t="n">
        <v>2</v>
      </c>
      <c r="BK99" s="25" t="n">
        <v>0</v>
      </c>
      <c r="BL99" s="25" t="n">
        <v>0</v>
      </c>
      <c r="BM99" s="25" t="n">
        <v>0</v>
      </c>
      <c r="BN99" s="25" t="n">
        <v>2</v>
      </c>
      <c r="BO99" s="25" t="n">
        <v>0</v>
      </c>
      <c r="BP99" s="25" t="n">
        <v>0</v>
      </c>
      <c r="BQ99" s="25" t="n">
        <v>0</v>
      </c>
      <c r="BR99" s="25" t="n">
        <v>2</v>
      </c>
      <c r="BS99" s="25" t="n">
        <v>2</v>
      </c>
      <c r="BT99" s="25" t="n">
        <v>2</v>
      </c>
      <c r="BU99" s="25" t="n">
        <v>2</v>
      </c>
      <c r="BV99" s="25" t="n">
        <v>0</v>
      </c>
      <c r="BW99" s="25" t="n">
        <v>2</v>
      </c>
      <c r="BX99" s="25" t="n">
        <v>0</v>
      </c>
      <c r="BY99" s="25" t="n">
        <v>0</v>
      </c>
      <c r="BZ99" s="25" t="n">
        <v>0</v>
      </c>
      <c r="CA99" s="25" t="n">
        <v>0</v>
      </c>
      <c r="CB99" s="25" t="n">
        <v>0</v>
      </c>
      <c r="CC99" s="25" t="n">
        <v>0</v>
      </c>
      <c r="CD99" s="25" t="n">
        <v>0</v>
      </c>
      <c r="CE99" s="25" t="n">
        <v>0</v>
      </c>
      <c r="CF99" s="25" t="n">
        <v>0</v>
      </c>
      <c r="CG99" s="25" t="n">
        <v>0</v>
      </c>
      <c r="CH99" s="25" t="n">
        <v>0</v>
      </c>
      <c r="CI99" s="25" t="n">
        <v>0</v>
      </c>
      <c r="CJ99" s="25" t="n">
        <v>0</v>
      </c>
      <c r="CK99" s="25" t="n">
        <v>0</v>
      </c>
      <c r="CL99" s="25" t="n">
        <v>0</v>
      </c>
      <c r="CM99" s="25" t="n">
        <v>0</v>
      </c>
      <c r="CN99" s="25" t="n">
        <v>0</v>
      </c>
      <c r="CO99" s="25" t="n">
        <v>0</v>
      </c>
      <c r="CP99" s="25" t="n">
        <v>0</v>
      </c>
      <c r="CQ99" s="25" t="n">
        <v>0</v>
      </c>
      <c r="CR99" s="25" t="n">
        <v>0</v>
      </c>
      <c r="CS99" s="25" t="n">
        <v>0</v>
      </c>
      <c r="CT99" s="25" t="n">
        <v>0</v>
      </c>
      <c r="CU99" s="25" t="n">
        <v>0</v>
      </c>
      <c r="CV99" s="25" t="n">
        <v>0</v>
      </c>
      <c r="CW99" s="25" t="n">
        <v>0</v>
      </c>
      <c r="CX99" s="25" t="n">
        <v>0</v>
      </c>
      <c r="CY99" s="25" t="n">
        <v>0</v>
      </c>
      <c r="CZ99" s="25" t="n">
        <v>0</v>
      </c>
      <c r="DA99" s="25" t="n">
        <v>0</v>
      </c>
    </row>
    <row r="100">
      <c r="A100" t="inlineStr">
        <is>
          <t>TSP-1559</t>
        </is>
      </c>
      <c r="B100" s="25" t="n">
        <v>0</v>
      </c>
      <c r="C100" s="25" t="n">
        <v>0</v>
      </c>
      <c r="D100" s="25" t="n">
        <v>0</v>
      </c>
      <c r="E100" s="25" t="n">
        <v>0</v>
      </c>
      <c r="F100" s="25" t="n">
        <v>0</v>
      </c>
      <c r="G100" s="25" t="n">
        <v>0</v>
      </c>
      <c r="H100" s="25" t="n">
        <v>0</v>
      </c>
      <c r="I100" s="25" t="n">
        <v>0</v>
      </c>
      <c r="J100" s="25" t="n">
        <v>0</v>
      </c>
      <c r="K100" s="25" t="n">
        <v>0</v>
      </c>
      <c r="L100" s="25" t="n">
        <v>0</v>
      </c>
      <c r="M100" s="25" t="n">
        <v>0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0</v>
      </c>
      <c r="S100" s="25" t="n">
        <v>0</v>
      </c>
      <c r="T100" s="25" t="n">
        <v>0</v>
      </c>
      <c r="U100" s="25" t="n">
        <v>0</v>
      </c>
      <c r="V100" s="25" t="n">
        <v>0</v>
      </c>
      <c r="W100" s="25" t="n">
        <v>0</v>
      </c>
      <c r="X100" s="25" t="n">
        <v>0</v>
      </c>
      <c r="Y100" s="25" t="n">
        <v>0</v>
      </c>
      <c r="Z100" s="25" t="n">
        <v>0</v>
      </c>
      <c r="AA100" s="25" t="n">
        <v>0</v>
      </c>
      <c r="AB100" s="25" t="n">
        <v>0</v>
      </c>
      <c r="AC100" s="25" t="n">
        <v>0</v>
      </c>
      <c r="AD100" s="25" t="n">
        <v>0</v>
      </c>
      <c r="AE100" s="25" t="n">
        <v>0</v>
      </c>
      <c r="AF100" s="25" t="n">
        <v>0</v>
      </c>
      <c r="AG100" s="25" t="n">
        <v>0</v>
      </c>
      <c r="AH100" s="25" t="n">
        <v>0</v>
      </c>
      <c r="AI100" s="25" t="n">
        <v>0</v>
      </c>
      <c r="AJ100" s="25" t="n">
        <v>0</v>
      </c>
      <c r="AK100" s="25" t="n">
        <v>0</v>
      </c>
      <c r="AL100" s="25" t="n">
        <v>0</v>
      </c>
      <c r="AM100" s="25" t="n">
        <v>0</v>
      </c>
      <c r="AN100" s="25" t="n">
        <v>0</v>
      </c>
      <c r="AO100" s="25" t="n">
        <v>0</v>
      </c>
      <c r="AP100" s="25" t="n">
        <v>0</v>
      </c>
      <c r="AQ100" s="25" t="n">
        <v>0</v>
      </c>
      <c r="AR100" s="25" t="n">
        <v>0</v>
      </c>
      <c r="AS100" s="25" t="n">
        <v>0</v>
      </c>
      <c r="AT100" s="25" t="n">
        <v>0</v>
      </c>
      <c r="AU100" s="25" t="n">
        <v>0</v>
      </c>
      <c r="AV100" s="25" t="n">
        <v>0</v>
      </c>
      <c r="AW100" s="25" t="n">
        <v>0</v>
      </c>
      <c r="AX100" s="25" t="n">
        <v>0</v>
      </c>
      <c r="AY100" s="25" t="n">
        <v>0</v>
      </c>
      <c r="AZ100" s="25" t="n">
        <v>0</v>
      </c>
      <c r="BA100" s="25" t="n">
        <v>0</v>
      </c>
      <c r="BB100" s="25" t="n">
        <v>0</v>
      </c>
      <c r="BC100" s="25" t="n">
        <v>0</v>
      </c>
      <c r="BD100" s="25" t="n">
        <v>0</v>
      </c>
      <c r="BE100" s="25" t="n">
        <v>0</v>
      </c>
      <c r="BF100" s="25" t="n">
        <v>0</v>
      </c>
      <c r="BG100" s="25" t="n">
        <v>0</v>
      </c>
      <c r="BH100" s="25" t="n">
        <v>0</v>
      </c>
      <c r="BI100" s="25" t="n">
        <v>0</v>
      </c>
      <c r="BJ100" s="25" t="n">
        <v>0</v>
      </c>
      <c r="BK100" s="25" t="n">
        <v>0</v>
      </c>
      <c r="BL100" s="25" t="n">
        <v>0</v>
      </c>
      <c r="BM100" s="25" t="n">
        <v>0</v>
      </c>
      <c r="BN100" s="25" t="n">
        <v>0</v>
      </c>
      <c r="BO100" s="25" t="n">
        <v>0</v>
      </c>
      <c r="BP100" s="25" t="n">
        <v>0</v>
      </c>
      <c r="BQ100" s="25" t="n">
        <v>0</v>
      </c>
      <c r="BR100" s="25" t="n">
        <v>0</v>
      </c>
      <c r="BS100" s="25" t="n">
        <v>0</v>
      </c>
      <c r="BT100" s="25" t="n">
        <v>0</v>
      </c>
      <c r="BU100" s="25" t="n">
        <v>0</v>
      </c>
      <c r="BV100" s="25" t="n">
        <v>0</v>
      </c>
      <c r="BW100" s="25" t="n">
        <v>0</v>
      </c>
      <c r="BX100" s="25" t="n">
        <v>0</v>
      </c>
      <c r="BY100" s="25" t="n">
        <v>0</v>
      </c>
      <c r="BZ100" s="25" t="n">
        <v>0</v>
      </c>
      <c r="CA100" s="25" t="n">
        <v>0</v>
      </c>
      <c r="CB100" s="25" t="n">
        <v>0</v>
      </c>
      <c r="CC100" s="25" t="n">
        <v>0</v>
      </c>
      <c r="CD100" s="25" t="n">
        <v>0</v>
      </c>
      <c r="CE100" s="25" t="n">
        <v>0</v>
      </c>
      <c r="CF100" s="25" t="n">
        <v>0</v>
      </c>
      <c r="CG100" s="25" t="n">
        <v>0</v>
      </c>
      <c r="CH100" s="25" t="n">
        <v>0</v>
      </c>
      <c r="CI100" s="25" t="n">
        <v>0</v>
      </c>
      <c r="CJ100" s="25" t="n">
        <v>0</v>
      </c>
      <c r="CK100" s="25" t="n">
        <v>0</v>
      </c>
      <c r="CL100" s="25" t="n">
        <v>0</v>
      </c>
      <c r="CM100" s="25" t="n">
        <v>0</v>
      </c>
      <c r="CN100" s="25" t="n">
        <v>0</v>
      </c>
      <c r="CO100" s="25" t="n">
        <v>0</v>
      </c>
      <c r="CP100" s="25" t="n">
        <v>0</v>
      </c>
      <c r="CQ100" s="25" t="n">
        <v>0</v>
      </c>
      <c r="CR100" s="25" t="n">
        <v>0</v>
      </c>
      <c r="CS100" s="25" t="n">
        <v>0</v>
      </c>
      <c r="CT100" s="25" t="n">
        <v>0</v>
      </c>
      <c r="CU100" s="25" t="n">
        <v>0</v>
      </c>
      <c r="CV100" s="25" t="n">
        <v>0</v>
      </c>
      <c r="CW100" s="25" t="n">
        <v>0</v>
      </c>
      <c r="CX100" s="25" t="n">
        <v>0</v>
      </c>
      <c r="CY100" s="25" t="n">
        <v>0</v>
      </c>
      <c r="CZ100" s="25" t="n">
        <v>0</v>
      </c>
      <c r="DA100" s="25" t="n">
        <v>0</v>
      </c>
    </row>
    <row r="101">
      <c r="A101" t="inlineStr">
        <is>
          <t>TSP-2157</t>
        </is>
      </c>
      <c r="B101" s="25" t="n">
        <v>0</v>
      </c>
      <c r="C101" s="25" t="n">
        <v>0</v>
      </c>
      <c r="D101" s="25" t="n">
        <v>0</v>
      </c>
      <c r="E101" s="25" t="n">
        <v>0</v>
      </c>
      <c r="F101" s="25" t="n">
        <v>0</v>
      </c>
      <c r="G101" s="25" t="n">
        <v>0</v>
      </c>
      <c r="H101" s="25" t="n">
        <v>0</v>
      </c>
      <c r="I101" s="25" t="n">
        <v>0</v>
      </c>
      <c r="J101" s="25" t="n">
        <v>0</v>
      </c>
      <c r="K101" s="25" t="n">
        <v>0</v>
      </c>
      <c r="L101" s="25" t="n">
        <v>0</v>
      </c>
      <c r="M101" s="25" t="n">
        <v>0</v>
      </c>
      <c r="N101" s="25" t="n">
        <v>0</v>
      </c>
      <c r="O101" s="25" t="n">
        <v>0</v>
      </c>
      <c r="P101" s="25" t="n">
        <v>0</v>
      </c>
      <c r="Q101" s="25" t="n">
        <v>0</v>
      </c>
      <c r="R101" s="25" t="n">
        <v>0</v>
      </c>
      <c r="S101" s="25" t="n">
        <v>0</v>
      </c>
      <c r="T101" s="25" t="n">
        <v>0</v>
      </c>
      <c r="U101" s="25" t="n">
        <v>0</v>
      </c>
      <c r="V101" s="25" t="n">
        <v>0</v>
      </c>
      <c r="W101" s="25" t="n">
        <v>0</v>
      </c>
      <c r="X101" s="25" t="n">
        <v>0</v>
      </c>
      <c r="Y101" s="25" t="n">
        <v>0</v>
      </c>
      <c r="Z101" s="25" t="n">
        <v>0</v>
      </c>
      <c r="AA101" s="25" t="n">
        <v>0</v>
      </c>
      <c r="AB101" s="25" t="n">
        <v>0</v>
      </c>
      <c r="AC101" s="25" t="n">
        <v>0</v>
      </c>
      <c r="AD101" s="25" t="n">
        <v>0</v>
      </c>
      <c r="AE101" s="25" t="n">
        <v>0</v>
      </c>
      <c r="AF101" s="25" t="n">
        <v>0</v>
      </c>
      <c r="AG101" s="25" t="n">
        <v>0</v>
      </c>
      <c r="AH101" s="25" t="n">
        <v>0</v>
      </c>
      <c r="AI101" s="25" t="n">
        <v>0</v>
      </c>
      <c r="AJ101" s="25" t="n">
        <v>0</v>
      </c>
      <c r="AK101" s="25" t="n">
        <v>0</v>
      </c>
      <c r="AL101" s="25" t="n">
        <v>0</v>
      </c>
      <c r="AM101" s="25" t="n">
        <v>0</v>
      </c>
      <c r="AN101" s="25" t="n">
        <v>0</v>
      </c>
      <c r="AO101" s="25" t="n">
        <v>0</v>
      </c>
      <c r="AP101" s="25" t="n">
        <v>0</v>
      </c>
      <c r="AQ101" s="25" t="n">
        <v>0</v>
      </c>
      <c r="AR101" s="25" t="n">
        <v>0</v>
      </c>
      <c r="AS101" s="25" t="n">
        <v>0</v>
      </c>
      <c r="AT101" s="25" t="n">
        <v>0</v>
      </c>
      <c r="AU101" s="25" t="n">
        <v>0</v>
      </c>
      <c r="AV101" s="25" t="n">
        <v>0</v>
      </c>
      <c r="AW101" s="25" t="n">
        <v>0</v>
      </c>
      <c r="AX101" s="25" t="n">
        <v>0</v>
      </c>
      <c r="AY101" s="25" t="n">
        <v>0</v>
      </c>
      <c r="AZ101" s="25" t="n">
        <v>0</v>
      </c>
      <c r="BA101" s="25" t="n">
        <v>0</v>
      </c>
      <c r="BB101" s="25" t="n">
        <v>0</v>
      </c>
      <c r="BC101" s="25" t="n">
        <v>0</v>
      </c>
      <c r="BD101" s="25" t="n">
        <v>0</v>
      </c>
      <c r="BE101" s="25" t="n">
        <v>0</v>
      </c>
      <c r="BF101" s="25" t="n">
        <v>0</v>
      </c>
      <c r="BG101" s="25" t="n">
        <v>0</v>
      </c>
      <c r="BH101" s="25" t="n">
        <v>0</v>
      </c>
      <c r="BI101" s="25" t="n">
        <v>0</v>
      </c>
      <c r="BJ101" s="25" t="n">
        <v>0</v>
      </c>
      <c r="BK101" s="25" t="n">
        <v>0</v>
      </c>
      <c r="BL101" s="25" t="n">
        <v>0</v>
      </c>
      <c r="BM101" s="25" t="n">
        <v>0</v>
      </c>
      <c r="BN101" s="25" t="n">
        <v>0</v>
      </c>
      <c r="BO101" s="25" t="n">
        <v>0</v>
      </c>
      <c r="BP101" s="25" t="n">
        <v>0</v>
      </c>
      <c r="BQ101" s="25" t="n">
        <v>0</v>
      </c>
      <c r="BR101" s="25" t="n">
        <v>0</v>
      </c>
      <c r="BS101" s="25" t="n">
        <v>0</v>
      </c>
      <c r="BT101" s="25" t="n">
        <v>0</v>
      </c>
      <c r="BU101" s="25" t="n">
        <v>0</v>
      </c>
      <c r="BV101" s="25" t="n">
        <v>0</v>
      </c>
      <c r="BW101" s="25" t="n">
        <v>0</v>
      </c>
      <c r="BX101" s="25" t="n">
        <v>0</v>
      </c>
      <c r="BY101" s="25" t="n">
        <v>0</v>
      </c>
      <c r="BZ101" s="25" t="n">
        <v>0</v>
      </c>
      <c r="CA101" s="25" t="n">
        <v>0</v>
      </c>
      <c r="CB101" s="25" t="n">
        <v>0</v>
      </c>
      <c r="CC101" s="25" t="n">
        <v>0</v>
      </c>
      <c r="CD101" s="25" t="n">
        <v>0</v>
      </c>
      <c r="CE101" s="25" t="n">
        <v>0</v>
      </c>
      <c r="CF101" s="25" t="n">
        <v>0</v>
      </c>
      <c r="CG101" s="25" t="n">
        <v>0</v>
      </c>
      <c r="CH101" s="25" t="n">
        <v>0</v>
      </c>
      <c r="CI101" s="25" t="n">
        <v>0</v>
      </c>
      <c r="CJ101" s="25" t="n">
        <v>0</v>
      </c>
      <c r="CK101" s="25" t="n">
        <v>0</v>
      </c>
      <c r="CL101" s="25" t="n">
        <v>0</v>
      </c>
      <c r="CM101" s="25" t="n">
        <v>0</v>
      </c>
      <c r="CN101" s="25" t="n">
        <v>0</v>
      </c>
      <c r="CO101" s="25" t="n">
        <v>0</v>
      </c>
      <c r="CP101" s="25" t="n">
        <v>0</v>
      </c>
      <c r="CQ101" s="25" t="n">
        <v>0</v>
      </c>
      <c r="CR101" s="25" t="n">
        <v>0</v>
      </c>
      <c r="CS101" s="25" t="n">
        <v>0</v>
      </c>
      <c r="CT101" s="25" t="n">
        <v>0</v>
      </c>
      <c r="CU101" s="25" t="n">
        <v>0</v>
      </c>
      <c r="CV101" s="25" t="n">
        <v>0</v>
      </c>
      <c r="CW101" s="25" t="n">
        <v>0</v>
      </c>
      <c r="CX101" s="25" t="n">
        <v>0</v>
      </c>
      <c r="CY101" s="25" t="n">
        <v>0</v>
      </c>
      <c r="CZ101" s="25" t="n">
        <v>0</v>
      </c>
      <c r="DA101" s="25" t="n">
        <v>0</v>
      </c>
    </row>
    <row r="102">
      <c r="A102" t="inlineStr">
        <is>
          <t>TSP-2168</t>
        </is>
      </c>
      <c r="B102" s="25" t="n">
        <v>0</v>
      </c>
      <c r="C102" s="25" t="n">
        <v>0</v>
      </c>
      <c r="D102" s="25" t="n">
        <v>0</v>
      </c>
      <c r="E102" s="25" t="n">
        <v>0</v>
      </c>
      <c r="F102" s="25" t="n">
        <v>0</v>
      </c>
      <c r="G102" s="25" t="n">
        <v>0</v>
      </c>
      <c r="H102" s="25" t="n">
        <v>0</v>
      </c>
      <c r="I102" s="25" t="n">
        <v>0</v>
      </c>
      <c r="J102" s="25" t="n">
        <v>0</v>
      </c>
      <c r="K102" s="25" t="n">
        <v>0</v>
      </c>
      <c r="L102" s="25" t="n">
        <v>0</v>
      </c>
      <c r="M102" s="25" t="n">
        <v>0</v>
      </c>
      <c r="N102" s="25" t="n">
        <v>0</v>
      </c>
      <c r="O102" s="25" t="n">
        <v>0</v>
      </c>
      <c r="P102" s="25" t="n">
        <v>0</v>
      </c>
      <c r="Q102" s="25" t="n">
        <v>0</v>
      </c>
      <c r="R102" s="25" t="n">
        <v>0</v>
      </c>
      <c r="S102" s="25" t="n">
        <v>0</v>
      </c>
      <c r="T102" s="25" t="n">
        <v>0</v>
      </c>
      <c r="U102" s="25" t="n">
        <v>0</v>
      </c>
      <c r="V102" s="25" t="n">
        <v>0</v>
      </c>
      <c r="W102" s="25" t="n">
        <v>0</v>
      </c>
      <c r="X102" s="25" t="n">
        <v>0</v>
      </c>
      <c r="Y102" s="25" t="n">
        <v>0</v>
      </c>
      <c r="Z102" s="25" t="n">
        <v>0</v>
      </c>
      <c r="AA102" s="25" t="n">
        <v>0</v>
      </c>
      <c r="AB102" s="25" t="n">
        <v>0</v>
      </c>
      <c r="AC102" s="25" t="n">
        <v>0</v>
      </c>
      <c r="AD102" s="25" t="n">
        <v>0</v>
      </c>
      <c r="AE102" s="25" t="n">
        <v>0</v>
      </c>
      <c r="AF102" s="25" t="n">
        <v>0</v>
      </c>
      <c r="AG102" s="25" t="n">
        <v>0</v>
      </c>
      <c r="AH102" s="25" t="n">
        <v>0</v>
      </c>
      <c r="AI102" s="25" t="n">
        <v>0</v>
      </c>
      <c r="AJ102" s="25" t="n">
        <v>0</v>
      </c>
      <c r="AK102" s="25" t="n">
        <v>0</v>
      </c>
      <c r="AL102" s="25" t="n">
        <v>0</v>
      </c>
      <c r="AM102" s="25" t="n">
        <v>0</v>
      </c>
      <c r="AN102" s="25" t="n">
        <v>0</v>
      </c>
      <c r="AO102" s="25" t="n">
        <v>0</v>
      </c>
      <c r="AP102" s="25" t="n">
        <v>0</v>
      </c>
      <c r="AQ102" s="25" t="n">
        <v>0</v>
      </c>
      <c r="AR102" s="25" t="n">
        <v>0</v>
      </c>
      <c r="AS102" s="25" t="n">
        <v>0</v>
      </c>
      <c r="AT102" s="25" t="n">
        <v>0</v>
      </c>
      <c r="AU102" s="25" t="n">
        <v>0</v>
      </c>
      <c r="AV102" s="25" t="n">
        <v>0</v>
      </c>
      <c r="AW102" s="25" t="n">
        <v>0</v>
      </c>
      <c r="AX102" s="25" t="n">
        <v>0</v>
      </c>
      <c r="AY102" s="25" t="n">
        <v>0</v>
      </c>
      <c r="AZ102" s="25" t="n">
        <v>0</v>
      </c>
      <c r="BA102" s="25" t="n">
        <v>0</v>
      </c>
      <c r="BB102" s="25" t="n">
        <v>0</v>
      </c>
      <c r="BC102" s="25" t="n">
        <v>0</v>
      </c>
      <c r="BD102" s="25" t="n">
        <v>0</v>
      </c>
      <c r="BE102" s="25" t="n">
        <v>0</v>
      </c>
      <c r="BF102" s="25" t="n">
        <v>0</v>
      </c>
      <c r="BG102" s="25" t="n">
        <v>0</v>
      </c>
      <c r="BH102" s="25" t="n">
        <v>0</v>
      </c>
      <c r="BI102" s="25" t="n">
        <v>0</v>
      </c>
      <c r="BJ102" s="25" t="n">
        <v>0</v>
      </c>
      <c r="BK102" s="25" t="n">
        <v>0</v>
      </c>
      <c r="BL102" s="25" t="n">
        <v>0</v>
      </c>
      <c r="BM102" s="25" t="n">
        <v>0</v>
      </c>
      <c r="BN102" s="25" t="n">
        <v>0</v>
      </c>
      <c r="BO102" s="25" t="n">
        <v>0</v>
      </c>
      <c r="BP102" s="25" t="n">
        <v>0</v>
      </c>
      <c r="BQ102" s="25" t="n">
        <v>0</v>
      </c>
      <c r="BR102" s="25" t="n">
        <v>0</v>
      </c>
      <c r="BS102" s="25" t="n">
        <v>0</v>
      </c>
      <c r="BT102" s="25" t="n">
        <v>0</v>
      </c>
      <c r="BU102" s="25" t="n">
        <v>0</v>
      </c>
      <c r="BV102" s="25" t="n">
        <v>0</v>
      </c>
      <c r="BW102" s="25" t="n">
        <v>0</v>
      </c>
      <c r="BX102" s="25" t="n">
        <v>0</v>
      </c>
      <c r="BY102" s="25" t="n">
        <v>0</v>
      </c>
      <c r="BZ102" s="25" t="n">
        <v>0</v>
      </c>
      <c r="CA102" s="25" t="n">
        <v>0</v>
      </c>
      <c r="CB102" s="25" t="n">
        <v>0</v>
      </c>
      <c r="CC102" s="25" t="n">
        <v>0</v>
      </c>
      <c r="CD102" s="25" t="n">
        <v>0</v>
      </c>
      <c r="CE102" s="25" t="n">
        <v>0</v>
      </c>
      <c r="CF102" s="25" t="n">
        <v>0</v>
      </c>
      <c r="CG102" s="25" t="n">
        <v>0</v>
      </c>
      <c r="CH102" s="25" t="n">
        <v>0</v>
      </c>
      <c r="CI102" s="25" t="n">
        <v>0</v>
      </c>
      <c r="CJ102" s="25" t="n">
        <v>0</v>
      </c>
      <c r="CK102" s="25" t="n">
        <v>0</v>
      </c>
      <c r="CL102" s="25" t="n">
        <v>0</v>
      </c>
      <c r="CM102" s="25" t="n">
        <v>0</v>
      </c>
      <c r="CN102" s="25" t="n">
        <v>0</v>
      </c>
      <c r="CO102" s="25" t="n">
        <v>0</v>
      </c>
      <c r="CP102" s="25" t="n">
        <v>0</v>
      </c>
      <c r="CQ102" s="25" t="n">
        <v>0</v>
      </c>
      <c r="CR102" s="25" t="n">
        <v>0</v>
      </c>
      <c r="CS102" s="25" t="n">
        <v>0</v>
      </c>
      <c r="CT102" s="25" t="n">
        <v>0</v>
      </c>
      <c r="CU102" s="25" t="n">
        <v>0</v>
      </c>
      <c r="CV102" s="25" t="n">
        <v>0</v>
      </c>
      <c r="CW102" s="25" t="n">
        <v>0</v>
      </c>
      <c r="CX102" s="25" t="n">
        <v>0</v>
      </c>
      <c r="CY102" s="25" t="n">
        <v>0</v>
      </c>
      <c r="CZ102" s="25" t="n">
        <v>0</v>
      </c>
      <c r="DA102" s="25" t="n">
        <v>0</v>
      </c>
    </row>
    <row r="103">
      <c r="A103" t="inlineStr">
        <is>
          <t>TSP-218</t>
        </is>
      </c>
      <c r="B103" s="25" t="n">
        <v>0</v>
      </c>
      <c r="C103" s="25" t="n">
        <v>0</v>
      </c>
      <c r="D103" s="25" t="n">
        <v>0</v>
      </c>
      <c r="E103" s="25" t="n">
        <v>0</v>
      </c>
      <c r="F103" s="25" t="n">
        <v>0</v>
      </c>
      <c r="G103" s="25" t="n">
        <v>0</v>
      </c>
      <c r="H103" s="25" t="n">
        <v>0</v>
      </c>
      <c r="I103" s="25" t="n">
        <v>0</v>
      </c>
      <c r="J103" s="25" t="n">
        <v>0</v>
      </c>
      <c r="K103" s="25" t="n">
        <v>0</v>
      </c>
      <c r="L103" s="25" t="n">
        <v>0</v>
      </c>
      <c r="M103" s="25" t="n">
        <v>0</v>
      </c>
      <c r="N103" s="25" t="n">
        <v>0</v>
      </c>
      <c r="O103" s="25" t="n">
        <v>0</v>
      </c>
      <c r="P103" s="25" t="n">
        <v>0</v>
      </c>
      <c r="Q103" s="25" t="n">
        <v>0</v>
      </c>
      <c r="R103" s="25" t="n">
        <v>0</v>
      </c>
      <c r="S103" s="25" t="n">
        <v>0</v>
      </c>
      <c r="T103" s="25" t="n">
        <v>0</v>
      </c>
      <c r="U103" s="25" t="n">
        <v>0</v>
      </c>
      <c r="V103" s="25" t="n">
        <v>0</v>
      </c>
      <c r="W103" s="25" t="n">
        <v>0</v>
      </c>
      <c r="X103" s="25" t="n">
        <v>0</v>
      </c>
      <c r="Y103" s="25" t="n">
        <v>0</v>
      </c>
      <c r="Z103" s="25" t="n">
        <v>0</v>
      </c>
      <c r="AA103" s="25" t="n">
        <v>0</v>
      </c>
      <c r="AB103" s="25" t="n">
        <v>0</v>
      </c>
      <c r="AC103" s="25" t="n">
        <v>0</v>
      </c>
      <c r="AD103" s="25" t="n">
        <v>0</v>
      </c>
      <c r="AE103" s="25" t="n">
        <v>0</v>
      </c>
      <c r="AF103" s="25" t="n">
        <v>0</v>
      </c>
      <c r="AG103" s="25" t="n">
        <v>0</v>
      </c>
      <c r="AH103" s="25" t="n">
        <v>0</v>
      </c>
      <c r="AI103" s="25" t="n">
        <v>0</v>
      </c>
      <c r="AJ103" s="25" t="n">
        <v>0</v>
      </c>
      <c r="AK103" s="25" t="n">
        <v>0</v>
      </c>
      <c r="AL103" s="25" t="n">
        <v>0</v>
      </c>
      <c r="AM103" s="25" t="n">
        <v>0</v>
      </c>
      <c r="AN103" s="25" t="n">
        <v>0</v>
      </c>
      <c r="AO103" s="25" t="n">
        <v>0</v>
      </c>
      <c r="AP103" s="25" t="n">
        <v>0</v>
      </c>
      <c r="AQ103" s="25" t="n">
        <v>0</v>
      </c>
      <c r="AR103" s="25" t="n">
        <v>0</v>
      </c>
      <c r="AS103" s="25" t="n">
        <v>0</v>
      </c>
      <c r="AT103" s="25" t="n">
        <v>0</v>
      </c>
      <c r="AU103" s="25" t="n">
        <v>0</v>
      </c>
      <c r="AV103" s="25" t="n">
        <v>0</v>
      </c>
      <c r="AW103" s="25" t="n">
        <v>0</v>
      </c>
      <c r="AX103" s="25" t="n">
        <v>0</v>
      </c>
      <c r="AY103" s="25" t="n">
        <v>0</v>
      </c>
      <c r="AZ103" s="25" t="n">
        <v>0</v>
      </c>
      <c r="BA103" s="25" t="n">
        <v>0</v>
      </c>
      <c r="BB103" s="25" t="n">
        <v>0</v>
      </c>
      <c r="BC103" s="25" t="n">
        <v>0</v>
      </c>
      <c r="BD103" s="25" t="n">
        <v>0</v>
      </c>
      <c r="BE103" s="25" t="n">
        <v>0</v>
      </c>
      <c r="BF103" s="25" t="n">
        <v>0</v>
      </c>
      <c r="BG103" s="25" t="n">
        <v>0</v>
      </c>
      <c r="BH103" s="25" t="n">
        <v>0</v>
      </c>
      <c r="BI103" s="25" t="n">
        <v>0</v>
      </c>
      <c r="BJ103" s="25" t="n">
        <v>0</v>
      </c>
      <c r="BK103" s="25" t="n">
        <v>0</v>
      </c>
      <c r="BL103" s="25" t="n">
        <v>0</v>
      </c>
      <c r="BM103" s="25" t="n">
        <v>0</v>
      </c>
      <c r="BN103" s="25" t="n">
        <v>0</v>
      </c>
      <c r="BO103" s="25" t="n">
        <v>0</v>
      </c>
      <c r="BP103" s="25" t="n">
        <v>0</v>
      </c>
      <c r="BQ103" s="25" t="n">
        <v>0</v>
      </c>
      <c r="BR103" s="25" t="n">
        <v>0</v>
      </c>
      <c r="BS103" s="25" t="n">
        <v>0</v>
      </c>
      <c r="BT103" s="25" t="n">
        <v>0</v>
      </c>
      <c r="BU103" s="25" t="n">
        <v>0</v>
      </c>
      <c r="BV103" s="25" t="n">
        <v>0</v>
      </c>
      <c r="BW103" s="25" t="n">
        <v>0</v>
      </c>
      <c r="BX103" s="25" t="n">
        <v>0</v>
      </c>
      <c r="BY103" s="25" t="n">
        <v>0</v>
      </c>
      <c r="BZ103" s="25" t="n">
        <v>0</v>
      </c>
      <c r="CA103" s="25" t="n">
        <v>0</v>
      </c>
      <c r="CB103" s="25" t="n">
        <v>0</v>
      </c>
      <c r="CC103" s="25" t="n">
        <v>0</v>
      </c>
      <c r="CD103" s="25" t="n">
        <v>0</v>
      </c>
      <c r="CE103" s="25" t="n">
        <v>0</v>
      </c>
      <c r="CF103" s="25" t="n">
        <v>0</v>
      </c>
      <c r="CG103" s="25" t="n">
        <v>0</v>
      </c>
      <c r="CH103" s="25" t="n">
        <v>0</v>
      </c>
      <c r="CI103" s="25" t="n">
        <v>0</v>
      </c>
      <c r="CJ103" s="25" t="n">
        <v>0</v>
      </c>
      <c r="CK103" s="25" t="n">
        <v>0</v>
      </c>
      <c r="CL103" s="25" t="n">
        <v>0</v>
      </c>
      <c r="CM103" s="25" t="n">
        <v>0</v>
      </c>
      <c r="CN103" s="25" t="n">
        <v>0</v>
      </c>
      <c r="CO103" s="25" t="n">
        <v>0</v>
      </c>
      <c r="CP103" s="25" t="n">
        <v>0</v>
      </c>
      <c r="CQ103" s="25" t="n">
        <v>0</v>
      </c>
      <c r="CR103" s="25" t="n">
        <v>0</v>
      </c>
      <c r="CS103" s="25" t="n">
        <v>0</v>
      </c>
      <c r="CT103" s="25" t="n">
        <v>0</v>
      </c>
      <c r="CU103" s="25" t="n">
        <v>0</v>
      </c>
      <c r="CV103" s="25" t="n">
        <v>0</v>
      </c>
      <c r="CW103" s="25" t="n">
        <v>0</v>
      </c>
      <c r="CX103" s="25" t="n">
        <v>0</v>
      </c>
      <c r="CY103" s="25" t="n">
        <v>0</v>
      </c>
      <c r="CZ103" s="25" t="n">
        <v>0</v>
      </c>
      <c r="DA103" s="25" t="n">
        <v>0</v>
      </c>
    </row>
    <row r="104">
      <c r="A104" t="inlineStr">
        <is>
          <t>TSP-219</t>
        </is>
      </c>
      <c r="B104" s="25" t="n">
        <v>0</v>
      </c>
      <c r="C104" s="25" t="n">
        <v>0</v>
      </c>
      <c r="D104" s="25" t="n">
        <v>0</v>
      </c>
      <c r="E104" s="25" t="n">
        <v>0</v>
      </c>
      <c r="F104" s="25" t="n">
        <v>0</v>
      </c>
      <c r="G104" s="25" t="n">
        <v>0</v>
      </c>
      <c r="H104" s="25" t="n">
        <v>0</v>
      </c>
      <c r="I104" s="25" t="n">
        <v>0</v>
      </c>
      <c r="J104" s="25" t="n">
        <v>0</v>
      </c>
      <c r="K104" s="25" t="n">
        <v>0</v>
      </c>
      <c r="L104" s="25" t="n">
        <v>0</v>
      </c>
      <c r="M104" s="25" t="n">
        <v>0</v>
      </c>
      <c r="N104" s="25" t="n">
        <v>0</v>
      </c>
      <c r="O104" s="25" t="n">
        <v>0</v>
      </c>
      <c r="P104" s="25" t="n">
        <v>0</v>
      </c>
      <c r="Q104" s="25" t="n">
        <v>0</v>
      </c>
      <c r="R104" s="25" t="n">
        <v>0</v>
      </c>
      <c r="S104" s="25" t="n">
        <v>0</v>
      </c>
      <c r="T104" s="25" t="n">
        <v>0</v>
      </c>
      <c r="U104" s="25" t="n">
        <v>0</v>
      </c>
      <c r="V104" s="25" t="n">
        <v>0</v>
      </c>
      <c r="W104" s="25" t="n">
        <v>0</v>
      </c>
      <c r="X104" s="25" t="n">
        <v>0</v>
      </c>
      <c r="Y104" s="25" t="n">
        <v>0</v>
      </c>
      <c r="Z104" s="25" t="n">
        <v>0</v>
      </c>
      <c r="AA104" s="25" t="n">
        <v>0</v>
      </c>
      <c r="AB104" s="25" t="n">
        <v>0</v>
      </c>
      <c r="AC104" s="25" t="n">
        <v>0</v>
      </c>
      <c r="AD104" s="25" t="n">
        <v>0</v>
      </c>
      <c r="AE104" s="25" t="n">
        <v>0</v>
      </c>
      <c r="AF104" s="25" t="n">
        <v>0</v>
      </c>
      <c r="AG104" s="25" t="n">
        <v>0</v>
      </c>
      <c r="AH104" s="25" t="n">
        <v>0</v>
      </c>
      <c r="AI104" s="25" t="n">
        <v>0</v>
      </c>
      <c r="AJ104" s="25" t="n">
        <v>0</v>
      </c>
      <c r="AK104" s="25" t="n">
        <v>0</v>
      </c>
      <c r="AL104" s="25" t="n">
        <v>0</v>
      </c>
      <c r="AM104" s="25" t="n">
        <v>0</v>
      </c>
      <c r="AN104" s="25" t="n">
        <v>0</v>
      </c>
      <c r="AO104" s="25" t="n">
        <v>0</v>
      </c>
      <c r="AP104" s="25" t="n">
        <v>0</v>
      </c>
      <c r="AQ104" s="25" t="n">
        <v>0</v>
      </c>
      <c r="AR104" s="25" t="n">
        <v>0</v>
      </c>
      <c r="AS104" s="25" t="n">
        <v>0</v>
      </c>
      <c r="AT104" s="25" t="n">
        <v>0</v>
      </c>
      <c r="AU104" s="25" t="n">
        <v>0</v>
      </c>
      <c r="AV104" s="25" t="n">
        <v>0</v>
      </c>
      <c r="AW104" s="25" t="n">
        <v>0</v>
      </c>
      <c r="AX104" s="25" t="n">
        <v>0</v>
      </c>
      <c r="AY104" s="25" t="n">
        <v>0</v>
      </c>
      <c r="AZ104" s="25" t="n">
        <v>0</v>
      </c>
      <c r="BA104" s="25" t="n">
        <v>0</v>
      </c>
      <c r="BB104" s="25" t="n">
        <v>0</v>
      </c>
      <c r="BC104" s="25" t="n">
        <v>0</v>
      </c>
      <c r="BD104" s="25" t="n">
        <v>0</v>
      </c>
      <c r="BE104" s="25" t="n">
        <v>0</v>
      </c>
      <c r="BF104" s="25" t="n">
        <v>0</v>
      </c>
      <c r="BG104" s="25" t="n">
        <v>0</v>
      </c>
      <c r="BH104" s="25" t="n">
        <v>0</v>
      </c>
      <c r="BI104" s="25" t="n">
        <v>0</v>
      </c>
      <c r="BJ104" s="25" t="n">
        <v>0</v>
      </c>
      <c r="BK104" s="25" t="n">
        <v>0</v>
      </c>
      <c r="BL104" s="25" t="n">
        <v>0</v>
      </c>
      <c r="BM104" s="25" t="n">
        <v>0</v>
      </c>
      <c r="BN104" s="25" t="n">
        <v>0</v>
      </c>
      <c r="BO104" s="25" t="n">
        <v>0</v>
      </c>
      <c r="BP104" s="25" t="n">
        <v>0</v>
      </c>
      <c r="BQ104" s="25" t="n">
        <v>0</v>
      </c>
      <c r="BR104" s="25" t="n">
        <v>0</v>
      </c>
      <c r="BS104" s="25" t="n">
        <v>0</v>
      </c>
      <c r="BT104" s="25" t="n">
        <v>0</v>
      </c>
      <c r="BU104" s="25" t="n">
        <v>0</v>
      </c>
      <c r="BV104" s="25" t="n">
        <v>0</v>
      </c>
      <c r="BW104" s="25" t="n">
        <v>0</v>
      </c>
      <c r="BX104" s="25" t="n">
        <v>0</v>
      </c>
      <c r="BY104" s="25" t="n">
        <v>0</v>
      </c>
      <c r="BZ104" s="25" t="n">
        <v>0</v>
      </c>
      <c r="CA104" s="25" t="n">
        <v>0</v>
      </c>
      <c r="CB104" s="25" t="n">
        <v>0</v>
      </c>
      <c r="CC104" s="25" t="n">
        <v>0</v>
      </c>
      <c r="CD104" s="25" t="n">
        <v>0</v>
      </c>
      <c r="CE104" s="25" t="n">
        <v>0</v>
      </c>
      <c r="CF104" s="25" t="n">
        <v>0</v>
      </c>
      <c r="CG104" s="25" t="n">
        <v>0</v>
      </c>
      <c r="CH104" s="25" t="n">
        <v>0</v>
      </c>
      <c r="CI104" s="25" t="n">
        <v>0</v>
      </c>
      <c r="CJ104" s="25" t="n">
        <v>0</v>
      </c>
      <c r="CK104" s="25" t="n">
        <v>0</v>
      </c>
      <c r="CL104" s="25" t="n">
        <v>0</v>
      </c>
      <c r="CM104" s="25" t="n">
        <v>0</v>
      </c>
      <c r="CN104" s="25" t="n">
        <v>0</v>
      </c>
      <c r="CO104" s="25" t="n">
        <v>0</v>
      </c>
      <c r="CP104" s="25" t="n">
        <v>0</v>
      </c>
      <c r="CQ104" s="25" t="n">
        <v>0</v>
      </c>
      <c r="CR104" s="25" t="n">
        <v>0</v>
      </c>
      <c r="CS104" s="25" t="n">
        <v>0</v>
      </c>
      <c r="CT104" s="25" t="n">
        <v>0</v>
      </c>
      <c r="CU104" s="25" t="n">
        <v>0</v>
      </c>
      <c r="CV104" s="25" t="n">
        <v>0</v>
      </c>
      <c r="CW104" s="25" t="n">
        <v>0</v>
      </c>
      <c r="CX104" s="25" t="n">
        <v>0</v>
      </c>
      <c r="CY104" s="25" t="n">
        <v>0</v>
      </c>
      <c r="CZ104" s="25" t="n">
        <v>0</v>
      </c>
      <c r="DA104" s="25" t="n">
        <v>0</v>
      </c>
    </row>
    <row r="105">
      <c r="A105" t="inlineStr">
        <is>
          <t>TSP-390</t>
        </is>
      </c>
      <c r="B105" s="25" t="n">
        <v>0</v>
      </c>
      <c r="C105" s="25" t="n">
        <v>0</v>
      </c>
      <c r="D105" s="25" t="n">
        <v>0</v>
      </c>
      <c r="E105" s="25" t="n">
        <v>0</v>
      </c>
      <c r="F105" s="25" t="n">
        <v>0</v>
      </c>
      <c r="G105" s="25" t="n">
        <v>0</v>
      </c>
      <c r="H105" s="25" t="n">
        <v>0</v>
      </c>
      <c r="I105" s="25" t="n">
        <v>0</v>
      </c>
      <c r="J105" s="25" t="n">
        <v>0</v>
      </c>
      <c r="K105" s="25" t="n">
        <v>0</v>
      </c>
      <c r="L105" s="25" t="n">
        <v>0</v>
      </c>
      <c r="M105" s="25" t="n">
        <v>0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0</v>
      </c>
      <c r="S105" s="25" t="n">
        <v>0</v>
      </c>
      <c r="T105" s="25" t="n">
        <v>0</v>
      </c>
      <c r="U105" s="25" t="n">
        <v>0</v>
      </c>
      <c r="V105" s="25" t="n">
        <v>0</v>
      </c>
      <c r="W105" s="25" t="n">
        <v>0</v>
      </c>
      <c r="X105" s="25" t="n">
        <v>0</v>
      </c>
      <c r="Y105" s="25" t="n">
        <v>0</v>
      </c>
      <c r="Z105" s="25" t="n">
        <v>0</v>
      </c>
      <c r="AA105" s="25" t="n">
        <v>0</v>
      </c>
      <c r="AB105" s="25" t="n">
        <v>0</v>
      </c>
      <c r="AC105" s="25" t="n">
        <v>0</v>
      </c>
      <c r="AD105" s="25" t="n">
        <v>0</v>
      </c>
      <c r="AE105" s="25" t="n">
        <v>0</v>
      </c>
      <c r="AF105" s="25" t="n">
        <v>0</v>
      </c>
      <c r="AG105" s="25" t="n">
        <v>0</v>
      </c>
      <c r="AH105" s="25" t="n">
        <v>0</v>
      </c>
      <c r="AI105" s="25" t="n">
        <v>0</v>
      </c>
      <c r="AJ105" s="25" t="n">
        <v>0</v>
      </c>
      <c r="AK105" s="25" t="n">
        <v>0</v>
      </c>
      <c r="AL105" s="25" t="n">
        <v>0</v>
      </c>
      <c r="AM105" s="25" t="n">
        <v>0</v>
      </c>
      <c r="AN105" s="25" t="n">
        <v>0</v>
      </c>
      <c r="AO105" s="25" t="n">
        <v>0</v>
      </c>
      <c r="AP105" s="25" t="n">
        <v>0</v>
      </c>
      <c r="AQ105" s="25" t="n">
        <v>0</v>
      </c>
      <c r="AR105" s="25" t="n">
        <v>0</v>
      </c>
      <c r="AS105" s="25" t="n">
        <v>0</v>
      </c>
      <c r="AT105" s="25" t="n">
        <v>0</v>
      </c>
      <c r="AU105" s="25" t="n">
        <v>0</v>
      </c>
      <c r="AV105" s="25" t="n">
        <v>0</v>
      </c>
      <c r="AW105" s="25" t="n">
        <v>0</v>
      </c>
      <c r="AX105" s="25" t="n">
        <v>0</v>
      </c>
      <c r="AY105" s="25" t="n">
        <v>0</v>
      </c>
      <c r="AZ105" s="25" t="n">
        <v>0</v>
      </c>
      <c r="BA105" s="25" t="n">
        <v>0</v>
      </c>
      <c r="BB105" s="25" t="n">
        <v>0</v>
      </c>
      <c r="BC105" s="25" t="n">
        <v>0</v>
      </c>
      <c r="BD105" s="25" t="n">
        <v>0</v>
      </c>
      <c r="BE105" s="25" t="n">
        <v>0</v>
      </c>
      <c r="BF105" s="25" t="n">
        <v>0</v>
      </c>
      <c r="BG105" s="25" t="n">
        <v>0</v>
      </c>
      <c r="BH105" s="25" t="n">
        <v>0</v>
      </c>
      <c r="BI105" s="25" t="n">
        <v>0</v>
      </c>
      <c r="BJ105" s="25" t="n">
        <v>0</v>
      </c>
      <c r="BK105" s="25" t="n">
        <v>0</v>
      </c>
      <c r="BL105" s="25" t="n">
        <v>0</v>
      </c>
      <c r="BM105" s="25" t="n">
        <v>0</v>
      </c>
      <c r="BN105" s="25" t="n">
        <v>0</v>
      </c>
      <c r="BO105" s="25" t="n">
        <v>0</v>
      </c>
      <c r="BP105" s="25" t="n">
        <v>0</v>
      </c>
      <c r="BQ105" s="25" t="n">
        <v>0</v>
      </c>
      <c r="BR105" s="25" t="n">
        <v>0</v>
      </c>
      <c r="BS105" s="25" t="n">
        <v>0</v>
      </c>
      <c r="BT105" s="25" t="n">
        <v>0</v>
      </c>
      <c r="BU105" s="25" t="n">
        <v>0</v>
      </c>
      <c r="BV105" s="25" t="n">
        <v>0</v>
      </c>
      <c r="BW105" s="25" t="n">
        <v>0</v>
      </c>
      <c r="BX105" s="25" t="n">
        <v>0</v>
      </c>
      <c r="BY105" s="25" t="n">
        <v>0</v>
      </c>
      <c r="BZ105" s="25" t="n">
        <v>0</v>
      </c>
      <c r="CA105" s="25" t="n">
        <v>0</v>
      </c>
      <c r="CB105" s="25" t="n">
        <v>0</v>
      </c>
      <c r="CC105" s="25" t="n">
        <v>0</v>
      </c>
      <c r="CD105" s="25" t="n">
        <v>0</v>
      </c>
      <c r="CE105" s="25" t="n">
        <v>0</v>
      </c>
      <c r="CF105" s="25" t="n">
        <v>0</v>
      </c>
      <c r="CG105" s="25" t="n">
        <v>0</v>
      </c>
      <c r="CH105" s="25" t="n">
        <v>0</v>
      </c>
      <c r="CI105" s="25" t="n">
        <v>0</v>
      </c>
      <c r="CJ105" s="25" t="n">
        <v>0</v>
      </c>
      <c r="CK105" s="25" t="n">
        <v>0</v>
      </c>
      <c r="CL105" s="25" t="n">
        <v>0</v>
      </c>
      <c r="CM105" s="25" t="n">
        <v>0</v>
      </c>
      <c r="CN105" s="25" t="n">
        <v>0</v>
      </c>
      <c r="CO105" s="25" t="n">
        <v>0</v>
      </c>
      <c r="CP105" s="25" t="n">
        <v>0</v>
      </c>
      <c r="CQ105" s="25" t="n">
        <v>0</v>
      </c>
      <c r="CR105" s="25" t="n">
        <v>0</v>
      </c>
      <c r="CS105" s="25" t="n">
        <v>0</v>
      </c>
      <c r="CT105" s="25" t="n">
        <v>0</v>
      </c>
      <c r="CU105" s="25" t="n">
        <v>0</v>
      </c>
      <c r="CV105" s="25" t="n">
        <v>0</v>
      </c>
      <c r="CW105" s="25" t="n">
        <v>0</v>
      </c>
      <c r="CX105" s="25" t="n">
        <v>0</v>
      </c>
      <c r="CY105" s="25" t="n">
        <v>0</v>
      </c>
      <c r="CZ105" s="25" t="n">
        <v>0</v>
      </c>
      <c r="DA105" s="25" t="n">
        <v>0</v>
      </c>
    </row>
    <row r="106">
      <c r="A106" t="inlineStr">
        <is>
          <t>TSP-399</t>
        </is>
      </c>
      <c r="B106" s="25" t="n">
        <v>0</v>
      </c>
      <c r="C106" s="25" t="n">
        <v>0</v>
      </c>
      <c r="D106" s="25" t="n">
        <v>0</v>
      </c>
      <c r="E106" s="25" t="n">
        <v>0</v>
      </c>
      <c r="F106" s="25" t="n">
        <v>0</v>
      </c>
      <c r="G106" s="25" t="n">
        <v>0</v>
      </c>
      <c r="H106" s="25" t="n">
        <v>0</v>
      </c>
      <c r="I106" s="25" t="n">
        <v>0</v>
      </c>
      <c r="J106" s="25" t="n">
        <v>0</v>
      </c>
      <c r="K106" s="25" t="n">
        <v>0</v>
      </c>
      <c r="L106" s="25" t="n">
        <v>0</v>
      </c>
      <c r="M106" s="25" t="n">
        <v>0</v>
      </c>
      <c r="N106" s="25" t="n">
        <v>0</v>
      </c>
      <c r="O106" s="25" t="n">
        <v>0</v>
      </c>
      <c r="P106" s="25" t="n">
        <v>0</v>
      </c>
      <c r="Q106" s="25" t="n">
        <v>0</v>
      </c>
      <c r="R106" s="25" t="n">
        <v>0</v>
      </c>
      <c r="S106" s="25" t="n">
        <v>0</v>
      </c>
      <c r="T106" s="25" t="n">
        <v>0</v>
      </c>
      <c r="U106" s="25" t="n">
        <v>0</v>
      </c>
      <c r="V106" s="25" t="n">
        <v>0</v>
      </c>
      <c r="W106" s="25" t="n">
        <v>0</v>
      </c>
      <c r="X106" s="25" t="n">
        <v>0</v>
      </c>
      <c r="Y106" s="25" t="n">
        <v>0</v>
      </c>
      <c r="Z106" s="25" t="n">
        <v>0</v>
      </c>
      <c r="AA106" s="25" t="n">
        <v>0</v>
      </c>
      <c r="AB106" s="25" t="n">
        <v>0</v>
      </c>
      <c r="AC106" s="25" t="n">
        <v>0</v>
      </c>
      <c r="AD106" s="25" t="n">
        <v>0</v>
      </c>
      <c r="AE106" s="25" t="n">
        <v>0</v>
      </c>
      <c r="AF106" s="25" t="n">
        <v>0</v>
      </c>
      <c r="AG106" s="25" t="n">
        <v>0</v>
      </c>
      <c r="AH106" s="25" t="n">
        <v>0</v>
      </c>
      <c r="AI106" s="25" t="n">
        <v>0</v>
      </c>
      <c r="AJ106" s="25" t="n">
        <v>0</v>
      </c>
      <c r="AK106" s="25" t="n">
        <v>0</v>
      </c>
      <c r="AL106" s="25" t="n">
        <v>0</v>
      </c>
      <c r="AM106" s="25" t="n">
        <v>0</v>
      </c>
      <c r="AN106" s="25" t="n">
        <v>0</v>
      </c>
      <c r="AO106" s="25" t="n">
        <v>0</v>
      </c>
      <c r="AP106" s="25" t="n">
        <v>0</v>
      </c>
      <c r="AQ106" s="25" t="n">
        <v>0</v>
      </c>
      <c r="AR106" s="25" t="n">
        <v>0</v>
      </c>
      <c r="AS106" s="25" t="n">
        <v>0</v>
      </c>
      <c r="AT106" s="25" t="n">
        <v>0</v>
      </c>
      <c r="AU106" s="25" t="n">
        <v>0</v>
      </c>
      <c r="AV106" s="25" t="n">
        <v>0</v>
      </c>
      <c r="AW106" s="25" t="n">
        <v>0</v>
      </c>
      <c r="AX106" s="25" t="n">
        <v>0</v>
      </c>
      <c r="AY106" s="25" t="n">
        <v>0</v>
      </c>
      <c r="AZ106" s="25" t="n">
        <v>0</v>
      </c>
      <c r="BA106" s="25" t="n">
        <v>0</v>
      </c>
      <c r="BB106" s="25" t="n">
        <v>0</v>
      </c>
      <c r="BC106" s="25" t="n">
        <v>0</v>
      </c>
      <c r="BD106" s="25" t="n">
        <v>0</v>
      </c>
      <c r="BE106" s="25" t="n">
        <v>0</v>
      </c>
      <c r="BF106" s="25" t="n">
        <v>0</v>
      </c>
      <c r="BG106" s="25" t="n">
        <v>0</v>
      </c>
      <c r="BH106" s="25" t="n">
        <v>0</v>
      </c>
      <c r="BI106" s="25" t="n">
        <v>0</v>
      </c>
      <c r="BJ106" s="25" t="n">
        <v>0</v>
      </c>
      <c r="BK106" s="25" t="n">
        <v>0</v>
      </c>
      <c r="BL106" s="25" t="n">
        <v>0</v>
      </c>
      <c r="BM106" s="25" t="n">
        <v>0</v>
      </c>
      <c r="BN106" s="25" t="n">
        <v>0</v>
      </c>
      <c r="BO106" s="25" t="n">
        <v>0</v>
      </c>
      <c r="BP106" s="25" t="n">
        <v>0</v>
      </c>
      <c r="BQ106" s="25" t="n">
        <v>0</v>
      </c>
      <c r="BR106" s="25" t="n">
        <v>0</v>
      </c>
      <c r="BS106" s="25" t="n">
        <v>0</v>
      </c>
      <c r="BT106" s="25" t="n">
        <v>0</v>
      </c>
      <c r="BU106" s="25" t="n">
        <v>0</v>
      </c>
      <c r="BV106" s="25" t="n">
        <v>0</v>
      </c>
      <c r="BW106" s="25" t="n">
        <v>0</v>
      </c>
      <c r="BX106" s="25" t="n">
        <v>0</v>
      </c>
      <c r="BY106" s="25" t="n">
        <v>0</v>
      </c>
      <c r="BZ106" s="25" t="n">
        <v>0</v>
      </c>
      <c r="CA106" s="25" t="n">
        <v>0</v>
      </c>
      <c r="CB106" s="25" t="n">
        <v>0</v>
      </c>
      <c r="CC106" s="25" t="n">
        <v>0</v>
      </c>
      <c r="CD106" s="25" t="n">
        <v>0</v>
      </c>
      <c r="CE106" s="25" t="n">
        <v>0</v>
      </c>
      <c r="CF106" s="25" t="n">
        <v>0</v>
      </c>
      <c r="CG106" s="25" t="n">
        <v>0</v>
      </c>
      <c r="CH106" s="25" t="n">
        <v>0</v>
      </c>
      <c r="CI106" s="25" t="n">
        <v>0</v>
      </c>
      <c r="CJ106" s="25" t="n">
        <v>0</v>
      </c>
      <c r="CK106" s="25" t="n">
        <v>0</v>
      </c>
      <c r="CL106" s="25" t="n">
        <v>0</v>
      </c>
      <c r="CM106" s="25" t="n">
        <v>0</v>
      </c>
      <c r="CN106" s="25" t="n">
        <v>0</v>
      </c>
      <c r="CO106" s="25" t="n">
        <v>0</v>
      </c>
      <c r="CP106" s="25" t="n">
        <v>0</v>
      </c>
      <c r="CQ106" s="25" t="n">
        <v>0</v>
      </c>
      <c r="CR106" s="25" t="n">
        <v>0</v>
      </c>
      <c r="CS106" s="25" t="n">
        <v>0</v>
      </c>
      <c r="CT106" s="25" t="n">
        <v>0</v>
      </c>
      <c r="CU106" s="25" t="n">
        <v>0</v>
      </c>
      <c r="CV106" s="25" t="n">
        <v>0</v>
      </c>
      <c r="CW106" s="25" t="n">
        <v>0</v>
      </c>
      <c r="CX106" s="25" t="n">
        <v>0</v>
      </c>
      <c r="CY106" s="25" t="n">
        <v>0</v>
      </c>
      <c r="CZ106" s="25" t="n">
        <v>0</v>
      </c>
      <c r="DA106" s="25" t="n">
        <v>0</v>
      </c>
    </row>
    <row r="107">
      <c r="A107" t="inlineStr">
        <is>
          <t>TSP-699</t>
        </is>
      </c>
      <c r="B107" s="25" t="n">
        <v>0</v>
      </c>
      <c r="C107" s="25" t="n">
        <v>0</v>
      </c>
      <c r="D107" s="25" t="n">
        <v>0</v>
      </c>
      <c r="E107" s="25" t="n">
        <v>0</v>
      </c>
      <c r="F107" s="25" t="n">
        <v>0</v>
      </c>
      <c r="G107" s="25" t="n">
        <v>0</v>
      </c>
      <c r="H107" s="25" t="n">
        <v>0</v>
      </c>
      <c r="I107" s="25" t="n">
        <v>0</v>
      </c>
      <c r="J107" s="25" t="n">
        <v>0</v>
      </c>
      <c r="K107" s="25" t="n">
        <v>0</v>
      </c>
      <c r="L107" s="25" t="n">
        <v>0</v>
      </c>
      <c r="M107" s="25" t="n">
        <v>0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  <c r="V107" s="25" t="n">
        <v>0</v>
      </c>
      <c r="W107" s="25" t="n">
        <v>0</v>
      </c>
      <c r="X107" s="25" t="n">
        <v>0</v>
      </c>
      <c r="Y107" s="25" t="n">
        <v>0</v>
      </c>
      <c r="Z107" s="25" t="n">
        <v>0</v>
      </c>
      <c r="AA107" s="25" t="n">
        <v>0</v>
      </c>
      <c r="AB107" s="25" t="n">
        <v>0</v>
      </c>
      <c r="AC107" s="25" t="n">
        <v>0</v>
      </c>
      <c r="AD107" s="25" t="n">
        <v>0</v>
      </c>
      <c r="AE107" s="25" t="n">
        <v>0</v>
      </c>
      <c r="AF107" s="25" t="n">
        <v>0</v>
      </c>
      <c r="AG107" s="25" t="n">
        <v>0</v>
      </c>
      <c r="AH107" s="25" t="n">
        <v>0</v>
      </c>
      <c r="AI107" s="25" t="n">
        <v>0</v>
      </c>
      <c r="AJ107" s="25" t="n">
        <v>0</v>
      </c>
      <c r="AK107" s="25" t="n">
        <v>0</v>
      </c>
      <c r="AL107" s="25" t="n">
        <v>0</v>
      </c>
      <c r="AM107" s="25" t="n">
        <v>0</v>
      </c>
      <c r="AN107" s="25" t="n">
        <v>0</v>
      </c>
      <c r="AO107" s="25" t="n">
        <v>0</v>
      </c>
      <c r="AP107" s="25" t="n">
        <v>0</v>
      </c>
      <c r="AQ107" s="25" t="n">
        <v>0</v>
      </c>
      <c r="AR107" s="25" t="n">
        <v>0</v>
      </c>
      <c r="AS107" s="25" t="n">
        <v>0</v>
      </c>
      <c r="AT107" s="25" t="n">
        <v>0</v>
      </c>
      <c r="AU107" s="25" t="n">
        <v>0</v>
      </c>
      <c r="AV107" s="25" t="n">
        <v>0</v>
      </c>
      <c r="AW107" s="25" t="n">
        <v>0</v>
      </c>
      <c r="AX107" s="25" t="n">
        <v>0</v>
      </c>
      <c r="AY107" s="25" t="n">
        <v>0</v>
      </c>
      <c r="AZ107" s="25" t="n">
        <v>0</v>
      </c>
      <c r="BA107" s="25" t="n">
        <v>0</v>
      </c>
      <c r="BB107" s="25" t="n">
        <v>0</v>
      </c>
      <c r="BC107" s="25" t="n">
        <v>0</v>
      </c>
      <c r="BD107" s="25" t="n">
        <v>0</v>
      </c>
      <c r="BE107" s="25" t="n">
        <v>0</v>
      </c>
      <c r="BF107" s="25" t="n">
        <v>0</v>
      </c>
      <c r="BG107" s="25" t="n">
        <v>0</v>
      </c>
      <c r="BH107" s="25" t="n">
        <v>0</v>
      </c>
      <c r="BI107" s="25" t="n">
        <v>0</v>
      </c>
      <c r="BJ107" s="25" t="n">
        <v>0</v>
      </c>
      <c r="BK107" s="25" t="n">
        <v>0</v>
      </c>
      <c r="BL107" s="25" t="n">
        <v>0</v>
      </c>
      <c r="BM107" s="25" t="n">
        <v>0</v>
      </c>
      <c r="BN107" s="25" t="n">
        <v>0</v>
      </c>
      <c r="BO107" s="25" t="n">
        <v>0</v>
      </c>
      <c r="BP107" s="25" t="n">
        <v>0</v>
      </c>
      <c r="BQ107" s="25" t="n">
        <v>0</v>
      </c>
      <c r="BR107" s="25" t="n">
        <v>0</v>
      </c>
      <c r="BS107" s="25" t="n">
        <v>0</v>
      </c>
      <c r="BT107" s="25" t="n">
        <v>0</v>
      </c>
      <c r="BU107" s="25" t="n">
        <v>0</v>
      </c>
      <c r="BV107" s="25" t="n">
        <v>0</v>
      </c>
      <c r="BW107" s="25" t="n">
        <v>0</v>
      </c>
      <c r="BX107" s="25" t="n">
        <v>0</v>
      </c>
      <c r="BY107" s="25" t="n">
        <v>0</v>
      </c>
      <c r="BZ107" s="25" t="n">
        <v>0</v>
      </c>
      <c r="CA107" s="25" t="n">
        <v>0</v>
      </c>
      <c r="CB107" s="25" t="n">
        <v>0</v>
      </c>
      <c r="CC107" s="25" t="n">
        <v>0</v>
      </c>
      <c r="CD107" s="25" t="n">
        <v>0</v>
      </c>
      <c r="CE107" s="25" t="n">
        <v>0</v>
      </c>
      <c r="CF107" s="25" t="n">
        <v>0</v>
      </c>
      <c r="CG107" s="25" t="n">
        <v>0</v>
      </c>
      <c r="CH107" s="25" t="n">
        <v>0</v>
      </c>
      <c r="CI107" s="25" t="n">
        <v>0</v>
      </c>
      <c r="CJ107" s="25" t="n">
        <v>0</v>
      </c>
      <c r="CK107" s="25" t="n">
        <v>0</v>
      </c>
      <c r="CL107" s="25" t="n">
        <v>0</v>
      </c>
      <c r="CM107" s="25" t="n">
        <v>0</v>
      </c>
      <c r="CN107" s="25" t="n">
        <v>0</v>
      </c>
      <c r="CO107" s="25" t="n">
        <v>0</v>
      </c>
      <c r="CP107" s="25" t="n">
        <v>0</v>
      </c>
      <c r="CQ107" s="25" t="n">
        <v>0</v>
      </c>
      <c r="CR107" s="25" t="n">
        <v>0</v>
      </c>
      <c r="CS107" s="25" t="n">
        <v>0</v>
      </c>
      <c r="CT107" s="25" t="n">
        <v>0</v>
      </c>
      <c r="CU107" s="25" t="n">
        <v>0</v>
      </c>
      <c r="CV107" s="25" t="n">
        <v>0</v>
      </c>
      <c r="CW107" s="25" t="n">
        <v>0</v>
      </c>
      <c r="CX107" s="25" t="n">
        <v>0</v>
      </c>
      <c r="CY107" s="25" t="n">
        <v>0</v>
      </c>
      <c r="CZ107" s="25" t="n">
        <v>0</v>
      </c>
      <c r="DA107" s="25" t="n">
        <v>0</v>
      </c>
    </row>
    <row r="108">
      <c r="A108" t="inlineStr">
        <is>
          <t>VSP-567</t>
        </is>
      </c>
      <c r="B108" s="25" t="n">
        <v>0</v>
      </c>
      <c r="C108" s="25" t="n">
        <v>0</v>
      </c>
      <c r="D108" s="25" t="n">
        <v>0</v>
      </c>
      <c r="E108" s="25" t="n">
        <v>0</v>
      </c>
      <c r="F108" s="25" t="n">
        <v>0</v>
      </c>
      <c r="G108" s="25" t="n">
        <v>0</v>
      </c>
      <c r="H108" s="25" t="n">
        <v>0</v>
      </c>
      <c r="I108" s="25" t="n">
        <v>0</v>
      </c>
      <c r="J108" s="25" t="n">
        <v>0</v>
      </c>
      <c r="K108" s="25" t="n">
        <v>0</v>
      </c>
      <c r="L108" s="25" t="n">
        <v>0</v>
      </c>
      <c r="M108" s="25" t="n">
        <v>0</v>
      </c>
      <c r="N108" s="25" t="n">
        <v>0</v>
      </c>
      <c r="O108" s="25" t="n">
        <v>0</v>
      </c>
      <c r="P108" s="25" t="n">
        <v>0</v>
      </c>
      <c r="Q108" s="25" t="n">
        <v>0</v>
      </c>
      <c r="R108" s="25" t="n">
        <v>0</v>
      </c>
      <c r="S108" s="25" t="n">
        <v>0</v>
      </c>
      <c r="T108" s="25" t="n">
        <v>0</v>
      </c>
      <c r="U108" s="25" t="n">
        <v>0</v>
      </c>
      <c r="V108" s="25" t="n">
        <v>0</v>
      </c>
      <c r="W108" s="25" t="n">
        <v>0</v>
      </c>
      <c r="X108" s="25" t="n">
        <v>0</v>
      </c>
      <c r="Y108" s="25" t="n">
        <v>0</v>
      </c>
      <c r="Z108" s="25" t="n">
        <v>0</v>
      </c>
      <c r="AA108" s="25" t="n">
        <v>0</v>
      </c>
      <c r="AB108" s="25" t="n">
        <v>0</v>
      </c>
      <c r="AC108" s="25" t="n">
        <v>0</v>
      </c>
      <c r="AD108" s="25" t="n">
        <v>0</v>
      </c>
      <c r="AE108" s="25" t="n">
        <v>0</v>
      </c>
      <c r="AF108" s="25" t="n">
        <v>0</v>
      </c>
      <c r="AG108" s="25" t="n">
        <v>0</v>
      </c>
      <c r="AH108" s="25" t="n">
        <v>0</v>
      </c>
      <c r="AI108" s="25" t="n">
        <v>0</v>
      </c>
      <c r="AJ108" s="25" t="n">
        <v>0</v>
      </c>
      <c r="AK108" s="25" t="n">
        <v>0</v>
      </c>
      <c r="AL108" s="25" t="n">
        <v>0</v>
      </c>
      <c r="AM108" s="25" t="n">
        <v>0</v>
      </c>
      <c r="AN108" s="25" t="n">
        <v>0</v>
      </c>
      <c r="AO108" s="25" t="n">
        <v>0</v>
      </c>
      <c r="AP108" s="25" t="n">
        <v>0</v>
      </c>
      <c r="AQ108" s="25" t="n">
        <v>0</v>
      </c>
      <c r="AR108" s="25" t="n">
        <v>0</v>
      </c>
      <c r="AS108" s="25" t="n">
        <v>0</v>
      </c>
      <c r="AT108" s="25" t="n">
        <v>0</v>
      </c>
      <c r="AU108" s="25" t="n">
        <v>0</v>
      </c>
      <c r="AV108" s="25" t="n">
        <v>0</v>
      </c>
      <c r="AW108" s="25" t="n">
        <v>0</v>
      </c>
      <c r="AX108" s="25" t="n">
        <v>0</v>
      </c>
      <c r="AY108" s="25" t="n">
        <v>0</v>
      </c>
      <c r="AZ108" s="25" t="n">
        <v>0</v>
      </c>
      <c r="BA108" s="25" t="n">
        <v>0</v>
      </c>
      <c r="BB108" s="25" t="n">
        <v>0</v>
      </c>
      <c r="BC108" s="25" t="n">
        <v>0</v>
      </c>
      <c r="BD108" s="25" t="n">
        <v>0</v>
      </c>
      <c r="BE108" s="25" t="n">
        <v>0</v>
      </c>
      <c r="BF108" s="25" t="n">
        <v>0</v>
      </c>
      <c r="BG108" s="25" t="n">
        <v>0</v>
      </c>
      <c r="BH108" s="25" t="n">
        <v>0</v>
      </c>
      <c r="BI108" s="25" t="n">
        <v>0</v>
      </c>
      <c r="BJ108" s="25" t="n">
        <v>0</v>
      </c>
      <c r="BK108" s="25" t="n">
        <v>0</v>
      </c>
      <c r="BL108" s="25" t="n">
        <v>0</v>
      </c>
      <c r="BM108" s="25" t="n">
        <v>0</v>
      </c>
      <c r="BN108" s="25" t="n">
        <v>0</v>
      </c>
      <c r="BO108" s="25" t="n">
        <v>0</v>
      </c>
      <c r="BP108" s="25" t="n">
        <v>0</v>
      </c>
      <c r="BQ108" s="25" t="n">
        <v>0</v>
      </c>
      <c r="BR108" s="25" t="n">
        <v>0</v>
      </c>
      <c r="BS108" s="25" t="n">
        <v>0</v>
      </c>
      <c r="BT108" s="25" t="n">
        <v>0</v>
      </c>
      <c r="BU108" s="25" t="n">
        <v>0</v>
      </c>
      <c r="BV108" s="25" t="n">
        <v>0</v>
      </c>
      <c r="BW108" s="25" t="n">
        <v>0</v>
      </c>
      <c r="BX108" s="25" t="n">
        <v>0</v>
      </c>
      <c r="BY108" s="25" t="n">
        <v>0</v>
      </c>
      <c r="BZ108" s="25" t="n">
        <v>0</v>
      </c>
      <c r="CA108" s="25" t="n">
        <v>0</v>
      </c>
      <c r="CB108" s="25" t="n">
        <v>0</v>
      </c>
      <c r="CC108" s="25" t="n">
        <v>0</v>
      </c>
      <c r="CD108" s="25" t="n">
        <v>0</v>
      </c>
      <c r="CE108" s="25" t="n">
        <v>0</v>
      </c>
      <c r="CF108" s="25" t="n">
        <v>0</v>
      </c>
      <c r="CG108" s="25" t="n">
        <v>0</v>
      </c>
      <c r="CH108" s="25" t="n">
        <v>0</v>
      </c>
      <c r="CI108" s="25" t="n">
        <v>0</v>
      </c>
      <c r="CJ108" s="25" t="n">
        <v>0</v>
      </c>
      <c r="CK108" s="25" t="n">
        <v>0</v>
      </c>
      <c r="CL108" s="25" t="n">
        <v>0</v>
      </c>
      <c r="CM108" s="25" t="n">
        <v>0</v>
      </c>
      <c r="CN108" s="25" t="n">
        <v>0</v>
      </c>
      <c r="CO108" s="25" t="n">
        <v>0</v>
      </c>
      <c r="CP108" s="25" t="n">
        <v>0</v>
      </c>
      <c r="CQ108" s="25" t="n">
        <v>0</v>
      </c>
      <c r="CR108" s="25" t="n">
        <v>0</v>
      </c>
      <c r="CS108" s="25" t="n">
        <v>0</v>
      </c>
      <c r="CT108" s="25" t="n">
        <v>0</v>
      </c>
      <c r="CU108" s="25" t="n">
        <v>0</v>
      </c>
      <c r="CV108" s="25" t="n">
        <v>0</v>
      </c>
      <c r="CW108" s="25" t="n">
        <v>0</v>
      </c>
      <c r="CX108" s="25" t="n">
        <v>0</v>
      </c>
      <c r="CY108" s="25" t="n">
        <v>0</v>
      </c>
      <c r="CZ108" s="25" t="n">
        <v>0</v>
      </c>
      <c r="DA108" s="25" t="n">
        <v>0</v>
      </c>
    </row>
    <row r="109">
      <c r="A109" t="inlineStr">
        <is>
          <t>VSP-603</t>
        </is>
      </c>
      <c r="B109" s="25" t="n">
        <v>0</v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  <c r="AD109" s="25" t="n">
        <v>0</v>
      </c>
      <c r="AE109" s="25" t="n">
        <v>0</v>
      </c>
      <c r="AF109" s="25" t="n">
        <v>0</v>
      </c>
      <c r="AG109" s="25" t="n">
        <v>0</v>
      </c>
      <c r="AH109" s="25" t="n">
        <v>0</v>
      </c>
      <c r="AI109" s="25" t="n">
        <v>0</v>
      </c>
      <c r="AJ109" s="25" t="n">
        <v>0</v>
      </c>
      <c r="AK109" s="25" t="n">
        <v>0</v>
      </c>
      <c r="AL109" s="25" t="n">
        <v>0</v>
      </c>
      <c r="AM109" s="25" t="n">
        <v>0</v>
      </c>
      <c r="AN109" s="25" t="n">
        <v>0</v>
      </c>
      <c r="AO109" s="25" t="n">
        <v>0</v>
      </c>
      <c r="AP109" s="25" t="n">
        <v>0</v>
      </c>
      <c r="AQ109" s="25" t="n">
        <v>0</v>
      </c>
      <c r="AR109" s="25" t="n">
        <v>0</v>
      </c>
      <c r="AS109" s="25" t="n">
        <v>0</v>
      </c>
      <c r="AT109" s="25" t="n">
        <v>0</v>
      </c>
      <c r="AU109" s="25" t="n">
        <v>0</v>
      </c>
      <c r="AV109" s="25" t="n">
        <v>0</v>
      </c>
      <c r="AW109" s="25" t="n">
        <v>0</v>
      </c>
      <c r="AX109" s="25" t="n">
        <v>0</v>
      </c>
      <c r="AY109" s="25" t="n">
        <v>0</v>
      </c>
      <c r="AZ109" s="25" t="n">
        <v>0</v>
      </c>
      <c r="BA109" s="25" t="n">
        <v>0</v>
      </c>
      <c r="BB109" s="25" t="n">
        <v>0</v>
      </c>
      <c r="BC109" s="25" t="n">
        <v>0</v>
      </c>
      <c r="BD109" s="25" t="n">
        <v>0</v>
      </c>
      <c r="BE109" s="25" t="n">
        <v>0</v>
      </c>
      <c r="BF109" s="25" t="n">
        <v>0</v>
      </c>
      <c r="BG109" s="25" t="n">
        <v>0</v>
      </c>
      <c r="BH109" s="25" t="n">
        <v>0</v>
      </c>
      <c r="BI109" s="25" t="n">
        <v>0</v>
      </c>
      <c r="BJ109" s="25" t="n">
        <v>0</v>
      </c>
      <c r="BK109" s="25" t="n">
        <v>0</v>
      </c>
      <c r="BL109" s="25" t="n">
        <v>0</v>
      </c>
      <c r="BM109" s="25" t="n">
        <v>0</v>
      </c>
      <c r="BN109" s="25" t="n">
        <v>0</v>
      </c>
      <c r="BO109" s="25" t="n">
        <v>0</v>
      </c>
      <c r="BP109" s="25" t="n">
        <v>0</v>
      </c>
      <c r="BQ109" s="25" t="n">
        <v>0</v>
      </c>
      <c r="BR109" s="25" t="n">
        <v>0</v>
      </c>
      <c r="BS109" s="25" t="n">
        <v>0</v>
      </c>
      <c r="BT109" s="25" t="n">
        <v>0</v>
      </c>
      <c r="BU109" s="25" t="n">
        <v>0</v>
      </c>
      <c r="BV109" s="25" t="n">
        <v>0</v>
      </c>
      <c r="BW109" s="25" t="n">
        <v>0</v>
      </c>
      <c r="BX109" s="25" t="n">
        <v>0</v>
      </c>
      <c r="BY109" s="25" t="n">
        <v>0</v>
      </c>
      <c r="BZ109" s="25" t="n">
        <v>0</v>
      </c>
      <c r="CA109" s="25" t="n">
        <v>0</v>
      </c>
      <c r="CB109" s="25" t="n">
        <v>0</v>
      </c>
      <c r="CC109" s="25" t="n">
        <v>0</v>
      </c>
      <c r="CD109" s="25" t="n">
        <v>0</v>
      </c>
      <c r="CE109" s="25" t="n">
        <v>0</v>
      </c>
      <c r="CF109" s="25" t="n">
        <v>0</v>
      </c>
      <c r="CG109" s="25" t="n">
        <v>0</v>
      </c>
      <c r="CH109" s="25" t="n">
        <v>0</v>
      </c>
      <c r="CI109" s="25" t="n">
        <v>0</v>
      </c>
      <c r="CJ109" s="25" t="n">
        <v>0</v>
      </c>
      <c r="CK109" s="25" t="n">
        <v>0</v>
      </c>
      <c r="CL109" s="25" t="n">
        <v>0</v>
      </c>
      <c r="CM109" s="25" t="n">
        <v>0</v>
      </c>
      <c r="CN109" s="25" t="n">
        <v>0</v>
      </c>
      <c r="CO109" s="25" t="n">
        <v>0</v>
      </c>
      <c r="CP109" s="25" t="n">
        <v>0</v>
      </c>
      <c r="CQ109" s="25" t="n">
        <v>0</v>
      </c>
      <c r="CR109" s="25" t="n">
        <v>0</v>
      </c>
      <c r="CS109" s="25" t="n">
        <v>0</v>
      </c>
      <c r="CT109" s="25" t="n">
        <v>0</v>
      </c>
      <c r="CU109" s="25" t="n">
        <v>0</v>
      </c>
      <c r="CV109" s="25" t="n">
        <v>0</v>
      </c>
      <c r="CW109" s="25" t="n">
        <v>0</v>
      </c>
      <c r="CX109" s="25" t="n">
        <v>0</v>
      </c>
      <c r="CY109" s="25" t="n">
        <v>0</v>
      </c>
      <c r="CZ109" s="25" t="n">
        <v>0</v>
      </c>
      <c r="DA109" s="25" t="n">
        <v>0</v>
      </c>
    </row>
    <row r="110">
      <c r="A110" t="inlineStr">
        <is>
          <t>VSP-604</t>
        </is>
      </c>
      <c r="B110" s="25" t="n">
        <v>0</v>
      </c>
      <c r="C110" s="25" t="n">
        <v>0</v>
      </c>
      <c r="D110" s="25" t="n">
        <v>0</v>
      </c>
      <c r="E110" s="25" t="n">
        <v>0</v>
      </c>
      <c r="F110" s="25" t="n">
        <v>0</v>
      </c>
      <c r="G110" s="25" t="n">
        <v>0</v>
      </c>
      <c r="H110" s="25" t="n">
        <v>0</v>
      </c>
      <c r="I110" s="25" t="n">
        <v>0</v>
      </c>
      <c r="J110" s="25" t="n">
        <v>0</v>
      </c>
      <c r="K110" s="25" t="n">
        <v>0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  <c r="V110" s="25" t="n">
        <v>0</v>
      </c>
      <c r="W110" s="25" t="n">
        <v>0</v>
      </c>
      <c r="X110" s="25" t="n">
        <v>0</v>
      </c>
      <c r="Y110" s="25" t="n">
        <v>0</v>
      </c>
      <c r="Z110" s="25" t="n">
        <v>0</v>
      </c>
      <c r="AA110" s="25" t="n">
        <v>0</v>
      </c>
      <c r="AB110" s="25" t="n">
        <v>0</v>
      </c>
      <c r="AC110" s="25" t="n">
        <v>0</v>
      </c>
      <c r="AD110" s="25" t="n">
        <v>0</v>
      </c>
      <c r="AE110" s="25" t="n">
        <v>0</v>
      </c>
      <c r="AF110" s="25" t="n">
        <v>0</v>
      </c>
      <c r="AG110" s="25" t="n">
        <v>0</v>
      </c>
      <c r="AH110" s="25" t="n">
        <v>0</v>
      </c>
      <c r="AI110" s="25" t="n">
        <v>0</v>
      </c>
      <c r="AJ110" s="25" t="n">
        <v>0</v>
      </c>
      <c r="AK110" s="25" t="n">
        <v>0</v>
      </c>
      <c r="AL110" s="25" t="n">
        <v>0</v>
      </c>
      <c r="AM110" s="25" t="n">
        <v>0</v>
      </c>
      <c r="AN110" s="25" t="n">
        <v>0</v>
      </c>
      <c r="AO110" s="25" t="n">
        <v>0</v>
      </c>
      <c r="AP110" s="25" t="n">
        <v>0</v>
      </c>
      <c r="AQ110" s="25" t="n">
        <v>0</v>
      </c>
      <c r="AR110" s="25" t="n">
        <v>0</v>
      </c>
      <c r="AS110" s="25" t="n">
        <v>0</v>
      </c>
      <c r="AT110" s="25" t="n">
        <v>0</v>
      </c>
      <c r="AU110" s="25" t="n">
        <v>0</v>
      </c>
      <c r="AV110" s="25" t="n">
        <v>0</v>
      </c>
      <c r="AW110" s="25" t="n">
        <v>0</v>
      </c>
      <c r="AX110" s="25" t="n">
        <v>0</v>
      </c>
      <c r="AY110" s="25" t="n">
        <v>0</v>
      </c>
      <c r="AZ110" s="25" t="n">
        <v>0</v>
      </c>
      <c r="BA110" s="25" t="n">
        <v>0</v>
      </c>
      <c r="BB110" s="25" t="n">
        <v>0</v>
      </c>
      <c r="BC110" s="25" t="n">
        <v>0</v>
      </c>
      <c r="BD110" s="25" t="n">
        <v>0</v>
      </c>
      <c r="BE110" s="25" t="n">
        <v>0</v>
      </c>
      <c r="BF110" s="25" t="n">
        <v>0</v>
      </c>
      <c r="BG110" s="25" t="n">
        <v>0</v>
      </c>
      <c r="BH110" s="25" t="n">
        <v>0</v>
      </c>
      <c r="BI110" s="25" t="n">
        <v>0</v>
      </c>
      <c r="BJ110" s="25" t="n">
        <v>0</v>
      </c>
      <c r="BK110" s="25" t="n">
        <v>0</v>
      </c>
      <c r="BL110" s="25" t="n">
        <v>0</v>
      </c>
      <c r="BM110" s="25" t="n">
        <v>0</v>
      </c>
      <c r="BN110" s="25" t="n">
        <v>0</v>
      </c>
      <c r="BO110" s="25" t="n">
        <v>0</v>
      </c>
      <c r="BP110" s="25" t="n">
        <v>0</v>
      </c>
      <c r="BQ110" s="25" t="n">
        <v>0</v>
      </c>
      <c r="BR110" s="25" t="n">
        <v>0</v>
      </c>
      <c r="BS110" s="25" t="n">
        <v>0</v>
      </c>
      <c r="BT110" s="25" t="n">
        <v>0</v>
      </c>
      <c r="BU110" s="25" t="n">
        <v>0</v>
      </c>
      <c r="BV110" s="25" t="n">
        <v>0</v>
      </c>
      <c r="BW110" s="25" t="n">
        <v>0</v>
      </c>
      <c r="BX110" s="25" t="n">
        <v>0</v>
      </c>
      <c r="BY110" s="25" t="n">
        <v>0</v>
      </c>
      <c r="BZ110" s="25" t="n">
        <v>0</v>
      </c>
      <c r="CA110" s="25" t="n">
        <v>0</v>
      </c>
      <c r="CB110" s="25" t="n">
        <v>0</v>
      </c>
      <c r="CC110" s="25" t="n">
        <v>0</v>
      </c>
      <c r="CD110" s="25" t="n">
        <v>0</v>
      </c>
      <c r="CE110" s="25" t="n">
        <v>0</v>
      </c>
      <c r="CF110" s="25" t="n">
        <v>0</v>
      </c>
      <c r="CG110" s="25" t="n">
        <v>0</v>
      </c>
      <c r="CH110" s="25" t="n">
        <v>0</v>
      </c>
      <c r="CI110" s="25" t="n">
        <v>0</v>
      </c>
      <c r="CJ110" s="25" t="n">
        <v>0</v>
      </c>
      <c r="CK110" s="25" t="n">
        <v>0</v>
      </c>
      <c r="CL110" s="25" t="n">
        <v>0</v>
      </c>
      <c r="CM110" s="25" t="n">
        <v>0</v>
      </c>
      <c r="CN110" s="25" t="n">
        <v>0</v>
      </c>
      <c r="CO110" s="25" t="n">
        <v>0</v>
      </c>
      <c r="CP110" s="25" t="n">
        <v>0</v>
      </c>
      <c r="CQ110" s="25" t="n">
        <v>0</v>
      </c>
      <c r="CR110" s="25" t="n">
        <v>0</v>
      </c>
      <c r="CS110" s="25" t="n">
        <v>0</v>
      </c>
      <c r="CT110" s="25" t="n">
        <v>0</v>
      </c>
      <c r="CU110" s="25" t="n">
        <v>0</v>
      </c>
      <c r="CV110" s="25" t="n">
        <v>0</v>
      </c>
      <c r="CW110" s="25" t="n">
        <v>0</v>
      </c>
      <c r="CX110" s="25" t="n">
        <v>0</v>
      </c>
      <c r="CY110" s="25" t="n">
        <v>0</v>
      </c>
      <c r="CZ110" s="25" t="n">
        <v>0</v>
      </c>
      <c r="DA110" s="25" t="n">
        <v>0</v>
      </c>
    </row>
    <row r="111">
      <c r="A111" t="inlineStr">
        <is>
          <t>VSP-605</t>
        </is>
      </c>
      <c r="B111" s="25" t="n">
        <v>0</v>
      </c>
      <c r="C111" s="25" t="n">
        <v>0</v>
      </c>
      <c r="D111" s="25" t="n">
        <v>0</v>
      </c>
      <c r="E111" s="25" t="n">
        <v>0</v>
      </c>
      <c r="F111" s="25" t="n">
        <v>0</v>
      </c>
      <c r="G111" s="25" t="n">
        <v>0</v>
      </c>
      <c r="H111" s="25" t="n">
        <v>0</v>
      </c>
      <c r="I111" s="25" t="n">
        <v>0</v>
      </c>
      <c r="J111" s="25" t="n">
        <v>0</v>
      </c>
      <c r="K111" s="25" t="n">
        <v>0</v>
      </c>
      <c r="L111" s="25" t="n">
        <v>0</v>
      </c>
      <c r="M111" s="25" t="n">
        <v>0</v>
      </c>
      <c r="N111" s="25" t="n">
        <v>0</v>
      </c>
      <c r="O111" s="25" t="n">
        <v>0</v>
      </c>
      <c r="P111" s="25" t="n">
        <v>0</v>
      </c>
      <c r="Q111" s="25" t="n">
        <v>0</v>
      </c>
      <c r="R111" s="25" t="n">
        <v>0</v>
      </c>
      <c r="S111" s="25" t="n">
        <v>0</v>
      </c>
      <c r="T111" s="25" t="n">
        <v>0</v>
      </c>
      <c r="U111" s="25" t="n">
        <v>0</v>
      </c>
      <c r="V111" s="25" t="n">
        <v>0</v>
      </c>
      <c r="W111" s="25" t="n">
        <v>0</v>
      </c>
      <c r="X111" s="25" t="n">
        <v>0</v>
      </c>
      <c r="Y111" s="25" t="n">
        <v>0</v>
      </c>
      <c r="Z111" s="25" t="n">
        <v>0</v>
      </c>
      <c r="AA111" s="25" t="n">
        <v>0</v>
      </c>
      <c r="AB111" s="25" t="n">
        <v>0</v>
      </c>
      <c r="AC111" s="25" t="n">
        <v>0</v>
      </c>
      <c r="AD111" s="25" t="n">
        <v>0</v>
      </c>
      <c r="AE111" s="25" t="n">
        <v>0</v>
      </c>
      <c r="AF111" s="25" t="n">
        <v>0</v>
      </c>
      <c r="AG111" s="25" t="n">
        <v>0</v>
      </c>
      <c r="AH111" s="25" t="n">
        <v>0</v>
      </c>
      <c r="AI111" s="25" t="n">
        <v>0</v>
      </c>
      <c r="AJ111" s="25" t="n">
        <v>0</v>
      </c>
      <c r="AK111" s="25" t="n">
        <v>0</v>
      </c>
      <c r="AL111" s="25" t="n">
        <v>0</v>
      </c>
      <c r="AM111" s="25" t="n">
        <v>0</v>
      </c>
      <c r="AN111" s="25" t="n">
        <v>0</v>
      </c>
      <c r="AO111" s="25" t="n">
        <v>0</v>
      </c>
      <c r="AP111" s="25" t="n">
        <v>0</v>
      </c>
      <c r="AQ111" s="25" t="n">
        <v>0</v>
      </c>
      <c r="AR111" s="25" t="n">
        <v>0</v>
      </c>
      <c r="AS111" s="25" t="n">
        <v>0</v>
      </c>
      <c r="AT111" s="25" t="n">
        <v>0</v>
      </c>
      <c r="AU111" s="25" t="n">
        <v>0</v>
      </c>
      <c r="AV111" s="25" t="n">
        <v>0</v>
      </c>
      <c r="AW111" s="25" t="n">
        <v>0</v>
      </c>
      <c r="AX111" s="25" t="n">
        <v>0</v>
      </c>
      <c r="AY111" s="25" t="n">
        <v>0</v>
      </c>
      <c r="AZ111" s="25" t="n">
        <v>0</v>
      </c>
      <c r="BA111" s="25" t="n">
        <v>0</v>
      </c>
      <c r="BB111" s="25" t="n">
        <v>0</v>
      </c>
      <c r="BC111" s="25" t="n">
        <v>0</v>
      </c>
      <c r="BD111" s="25" t="n">
        <v>0</v>
      </c>
      <c r="BE111" s="25" t="n">
        <v>0</v>
      </c>
      <c r="BF111" s="25" t="n">
        <v>0</v>
      </c>
      <c r="BG111" s="25" t="n">
        <v>0</v>
      </c>
      <c r="BH111" s="25" t="n">
        <v>0</v>
      </c>
      <c r="BI111" s="25" t="n">
        <v>0</v>
      </c>
      <c r="BJ111" s="25" t="n">
        <v>0</v>
      </c>
      <c r="BK111" s="25" t="n">
        <v>0</v>
      </c>
      <c r="BL111" s="25" t="n">
        <v>0</v>
      </c>
      <c r="BM111" s="25" t="n">
        <v>0</v>
      </c>
      <c r="BN111" s="25" t="n">
        <v>0</v>
      </c>
      <c r="BO111" s="25" t="n">
        <v>0</v>
      </c>
      <c r="BP111" s="25" t="n">
        <v>0</v>
      </c>
      <c r="BQ111" s="25" t="n">
        <v>0</v>
      </c>
      <c r="BR111" s="25" t="n">
        <v>0</v>
      </c>
      <c r="BS111" s="25" t="n">
        <v>0</v>
      </c>
      <c r="BT111" s="25" t="n">
        <v>0</v>
      </c>
      <c r="BU111" s="25" t="n">
        <v>0</v>
      </c>
      <c r="BV111" s="25" t="n">
        <v>0</v>
      </c>
      <c r="BW111" s="25" t="n">
        <v>0</v>
      </c>
      <c r="BX111" s="25" t="n">
        <v>0</v>
      </c>
      <c r="BY111" s="25" t="n">
        <v>0</v>
      </c>
      <c r="BZ111" s="25" t="n">
        <v>0</v>
      </c>
      <c r="CA111" s="25" t="n">
        <v>0</v>
      </c>
      <c r="CB111" s="25" t="n">
        <v>0</v>
      </c>
      <c r="CC111" s="25" t="n">
        <v>0</v>
      </c>
      <c r="CD111" s="25" t="n">
        <v>0</v>
      </c>
      <c r="CE111" s="25" t="n">
        <v>0</v>
      </c>
      <c r="CF111" s="25" t="n">
        <v>0</v>
      </c>
      <c r="CG111" s="25" t="n">
        <v>0</v>
      </c>
      <c r="CH111" s="25" t="n">
        <v>0</v>
      </c>
      <c r="CI111" s="25" t="n">
        <v>0</v>
      </c>
      <c r="CJ111" s="25" t="n">
        <v>0</v>
      </c>
      <c r="CK111" s="25" t="n">
        <v>0</v>
      </c>
      <c r="CL111" s="25" t="n">
        <v>0</v>
      </c>
      <c r="CM111" s="25" t="n">
        <v>0</v>
      </c>
      <c r="CN111" s="25" t="n">
        <v>0</v>
      </c>
      <c r="CO111" s="25" t="n">
        <v>0</v>
      </c>
      <c r="CP111" s="25" t="n">
        <v>0</v>
      </c>
      <c r="CQ111" s="25" t="n">
        <v>0</v>
      </c>
      <c r="CR111" s="25" t="n">
        <v>0</v>
      </c>
      <c r="CS111" s="25" t="n">
        <v>0</v>
      </c>
      <c r="CT111" s="25" t="n">
        <v>0</v>
      </c>
      <c r="CU111" s="25" t="n">
        <v>0</v>
      </c>
      <c r="CV111" s="25" t="n">
        <v>0</v>
      </c>
      <c r="CW111" s="25" t="n">
        <v>0</v>
      </c>
      <c r="CX111" s="25" t="n">
        <v>0</v>
      </c>
      <c r="CY111" s="25" t="n">
        <v>0</v>
      </c>
      <c r="CZ111" s="25" t="n">
        <v>0</v>
      </c>
      <c r="DA111" s="25" t="n">
        <v>0</v>
      </c>
    </row>
    <row r="112">
      <c r="A112" t="inlineStr">
        <is>
          <t>VSP-606</t>
        </is>
      </c>
      <c r="B112" s="25" t="n">
        <v>0</v>
      </c>
      <c r="C112" s="25" t="n">
        <v>0</v>
      </c>
      <c r="D112" s="25" t="n">
        <v>0</v>
      </c>
      <c r="E112" s="25" t="n">
        <v>0</v>
      </c>
      <c r="F112" s="25" t="n">
        <v>0</v>
      </c>
      <c r="G112" s="25" t="n">
        <v>0</v>
      </c>
      <c r="H112" s="25" t="n">
        <v>0</v>
      </c>
      <c r="I112" s="25" t="n">
        <v>0</v>
      </c>
      <c r="J112" s="25" t="n">
        <v>0</v>
      </c>
      <c r="K112" s="25" t="n">
        <v>0</v>
      </c>
      <c r="L112" s="25" t="n">
        <v>0</v>
      </c>
      <c r="M112" s="25" t="n">
        <v>0</v>
      </c>
      <c r="N112" s="25" t="n">
        <v>0</v>
      </c>
      <c r="O112" s="25" t="n">
        <v>0</v>
      </c>
      <c r="P112" s="25" t="n">
        <v>0</v>
      </c>
      <c r="Q112" s="25" t="n">
        <v>0</v>
      </c>
      <c r="R112" s="25" t="n">
        <v>0</v>
      </c>
      <c r="S112" s="25" t="n">
        <v>0</v>
      </c>
      <c r="T112" s="25" t="n">
        <v>0</v>
      </c>
      <c r="U112" s="25" t="n">
        <v>0</v>
      </c>
      <c r="V112" s="25" t="n">
        <v>0</v>
      </c>
      <c r="W112" s="25" t="n">
        <v>0</v>
      </c>
      <c r="X112" s="25" t="n">
        <v>0</v>
      </c>
      <c r="Y112" s="25" t="n">
        <v>0</v>
      </c>
      <c r="Z112" s="25" t="n">
        <v>0</v>
      </c>
      <c r="AA112" s="25" t="n">
        <v>0</v>
      </c>
      <c r="AB112" s="25" t="n">
        <v>0</v>
      </c>
      <c r="AC112" s="25" t="n">
        <v>0</v>
      </c>
      <c r="AD112" s="25" t="n">
        <v>0</v>
      </c>
      <c r="AE112" s="25" t="n">
        <v>0</v>
      </c>
      <c r="AF112" s="25" t="n">
        <v>0</v>
      </c>
      <c r="AG112" s="25" t="n">
        <v>0</v>
      </c>
      <c r="AH112" s="25" t="n">
        <v>0</v>
      </c>
      <c r="AI112" s="25" t="n">
        <v>0</v>
      </c>
      <c r="AJ112" s="25" t="n">
        <v>0</v>
      </c>
      <c r="AK112" s="25" t="n">
        <v>0</v>
      </c>
      <c r="AL112" s="25" t="n">
        <v>0</v>
      </c>
      <c r="AM112" s="25" t="n">
        <v>0</v>
      </c>
      <c r="AN112" s="25" t="n">
        <v>0</v>
      </c>
      <c r="AO112" s="25" t="n">
        <v>0</v>
      </c>
      <c r="AP112" s="25" t="n">
        <v>0</v>
      </c>
      <c r="AQ112" s="25" t="n">
        <v>0</v>
      </c>
      <c r="AR112" s="25" t="n">
        <v>0</v>
      </c>
      <c r="AS112" s="25" t="n">
        <v>0</v>
      </c>
      <c r="AT112" s="25" t="n">
        <v>0</v>
      </c>
      <c r="AU112" s="25" t="n">
        <v>0</v>
      </c>
      <c r="AV112" s="25" t="n">
        <v>0</v>
      </c>
      <c r="AW112" s="25" t="n">
        <v>0</v>
      </c>
      <c r="AX112" s="25" t="n">
        <v>0</v>
      </c>
      <c r="AY112" s="25" t="n">
        <v>0</v>
      </c>
      <c r="AZ112" s="25" t="n">
        <v>0</v>
      </c>
      <c r="BA112" s="25" t="n">
        <v>0</v>
      </c>
      <c r="BB112" s="25" t="n">
        <v>0</v>
      </c>
      <c r="BC112" s="25" t="n">
        <v>0</v>
      </c>
      <c r="BD112" s="25" t="n">
        <v>0</v>
      </c>
      <c r="BE112" s="25" t="n">
        <v>0</v>
      </c>
      <c r="BF112" s="25" t="n">
        <v>0</v>
      </c>
      <c r="BG112" s="25" t="n">
        <v>0</v>
      </c>
      <c r="BH112" s="25" t="n">
        <v>0</v>
      </c>
      <c r="BI112" s="25" t="n">
        <v>0</v>
      </c>
      <c r="BJ112" s="25" t="n">
        <v>0</v>
      </c>
      <c r="BK112" s="25" t="n">
        <v>0</v>
      </c>
      <c r="BL112" s="25" t="n">
        <v>0</v>
      </c>
      <c r="BM112" s="25" t="n">
        <v>0</v>
      </c>
      <c r="BN112" s="25" t="n">
        <v>0</v>
      </c>
      <c r="BO112" s="25" t="n">
        <v>0</v>
      </c>
      <c r="BP112" s="25" t="n">
        <v>0</v>
      </c>
      <c r="BQ112" s="25" t="n">
        <v>0</v>
      </c>
      <c r="BR112" s="25" t="n">
        <v>0</v>
      </c>
      <c r="BS112" s="25" t="n">
        <v>0</v>
      </c>
      <c r="BT112" s="25" t="n">
        <v>0</v>
      </c>
      <c r="BU112" s="25" t="n">
        <v>0</v>
      </c>
      <c r="BV112" s="25" t="n">
        <v>0</v>
      </c>
      <c r="BW112" s="25" t="n">
        <v>0</v>
      </c>
      <c r="BX112" s="25" t="n">
        <v>0</v>
      </c>
      <c r="BY112" s="25" t="n">
        <v>0</v>
      </c>
      <c r="BZ112" s="25" t="n">
        <v>0</v>
      </c>
      <c r="CA112" s="25" t="n">
        <v>0</v>
      </c>
      <c r="CB112" s="25" t="n">
        <v>0</v>
      </c>
      <c r="CC112" s="25" t="n">
        <v>0</v>
      </c>
      <c r="CD112" s="25" t="n">
        <v>0</v>
      </c>
      <c r="CE112" s="25" t="n">
        <v>0</v>
      </c>
      <c r="CF112" s="25" t="n">
        <v>0</v>
      </c>
      <c r="CG112" s="25" t="n">
        <v>0</v>
      </c>
      <c r="CH112" s="25" t="n">
        <v>0</v>
      </c>
      <c r="CI112" s="25" t="n">
        <v>0</v>
      </c>
      <c r="CJ112" s="25" t="n">
        <v>0</v>
      </c>
      <c r="CK112" s="25" t="n">
        <v>0</v>
      </c>
      <c r="CL112" s="25" t="n">
        <v>0</v>
      </c>
      <c r="CM112" s="25" t="n">
        <v>0</v>
      </c>
      <c r="CN112" s="25" t="n">
        <v>0</v>
      </c>
      <c r="CO112" s="25" t="n">
        <v>0</v>
      </c>
      <c r="CP112" s="25" t="n">
        <v>0</v>
      </c>
      <c r="CQ112" s="25" t="n">
        <v>0</v>
      </c>
      <c r="CR112" s="25" t="n">
        <v>0</v>
      </c>
      <c r="CS112" s="25" t="n">
        <v>0</v>
      </c>
      <c r="CT112" s="25" t="n">
        <v>0</v>
      </c>
      <c r="CU112" s="25" t="n">
        <v>0</v>
      </c>
      <c r="CV112" s="25" t="n">
        <v>0</v>
      </c>
      <c r="CW112" s="25" t="n">
        <v>0</v>
      </c>
      <c r="CX112" s="25" t="n">
        <v>0</v>
      </c>
      <c r="CY112" s="25" t="n">
        <v>0</v>
      </c>
      <c r="CZ112" s="25" t="n">
        <v>0</v>
      </c>
      <c r="DA112" s="25" t="n">
        <v>0</v>
      </c>
    </row>
    <row r="113">
      <c r="A113" t="inlineStr">
        <is>
          <t>VSP-607</t>
        </is>
      </c>
      <c r="B113" s="25" t="n">
        <v>0</v>
      </c>
      <c r="C113" s="25" t="n">
        <v>0</v>
      </c>
      <c r="D113" s="25" t="n">
        <v>0</v>
      </c>
      <c r="E113" s="25" t="n">
        <v>0</v>
      </c>
      <c r="F113" s="25" t="n">
        <v>0</v>
      </c>
      <c r="G113" s="25" t="n">
        <v>0</v>
      </c>
      <c r="H113" s="25" t="n">
        <v>0</v>
      </c>
      <c r="I113" s="25" t="n">
        <v>0</v>
      </c>
      <c r="J113" s="25" t="n">
        <v>0</v>
      </c>
      <c r="K113" s="25" t="n">
        <v>0</v>
      </c>
      <c r="L113" s="25" t="n">
        <v>0</v>
      </c>
      <c r="M113" s="25" t="n">
        <v>0</v>
      </c>
      <c r="N113" s="25" t="n">
        <v>0</v>
      </c>
      <c r="O113" s="25" t="n">
        <v>0</v>
      </c>
      <c r="P113" s="25" t="n">
        <v>0</v>
      </c>
      <c r="Q113" s="25" t="n">
        <v>0</v>
      </c>
      <c r="R113" s="25" t="n">
        <v>0</v>
      </c>
      <c r="S113" s="25" t="n">
        <v>0</v>
      </c>
      <c r="T113" s="25" t="n">
        <v>0</v>
      </c>
      <c r="U113" s="25" t="n">
        <v>0</v>
      </c>
      <c r="V113" s="25" t="n">
        <v>0</v>
      </c>
      <c r="W113" s="25" t="n">
        <v>0</v>
      </c>
      <c r="X113" s="25" t="n">
        <v>0</v>
      </c>
      <c r="Y113" s="25" t="n">
        <v>0</v>
      </c>
      <c r="Z113" s="25" t="n">
        <v>0</v>
      </c>
      <c r="AA113" s="25" t="n">
        <v>0</v>
      </c>
      <c r="AB113" s="25" t="n">
        <v>0</v>
      </c>
      <c r="AC113" s="25" t="n">
        <v>0</v>
      </c>
      <c r="AD113" s="25" t="n">
        <v>0</v>
      </c>
      <c r="AE113" s="25" t="n">
        <v>0</v>
      </c>
      <c r="AF113" s="25" t="n">
        <v>0</v>
      </c>
      <c r="AG113" s="25" t="n">
        <v>0</v>
      </c>
      <c r="AH113" s="25" t="n">
        <v>0</v>
      </c>
      <c r="AI113" s="25" t="n">
        <v>0</v>
      </c>
      <c r="AJ113" s="25" t="n">
        <v>0</v>
      </c>
      <c r="AK113" s="25" t="n">
        <v>0</v>
      </c>
      <c r="AL113" s="25" t="n">
        <v>0</v>
      </c>
      <c r="AM113" s="25" t="n">
        <v>0</v>
      </c>
      <c r="AN113" s="25" t="n">
        <v>0</v>
      </c>
      <c r="AO113" s="25" t="n">
        <v>0</v>
      </c>
      <c r="AP113" s="25" t="n">
        <v>0</v>
      </c>
      <c r="AQ113" s="25" t="n">
        <v>0</v>
      </c>
      <c r="AR113" s="25" t="n">
        <v>0</v>
      </c>
      <c r="AS113" s="25" t="n">
        <v>0</v>
      </c>
      <c r="AT113" s="25" t="n">
        <v>0</v>
      </c>
      <c r="AU113" s="25" t="n">
        <v>0</v>
      </c>
      <c r="AV113" s="25" t="n">
        <v>0</v>
      </c>
      <c r="AW113" s="25" t="n">
        <v>0</v>
      </c>
      <c r="AX113" s="25" t="n">
        <v>0</v>
      </c>
      <c r="AY113" s="25" t="n">
        <v>0</v>
      </c>
      <c r="AZ113" s="25" t="n">
        <v>0</v>
      </c>
      <c r="BA113" s="25" t="n">
        <v>0</v>
      </c>
      <c r="BB113" s="25" t="n">
        <v>0</v>
      </c>
      <c r="BC113" s="25" t="n">
        <v>0</v>
      </c>
      <c r="BD113" s="25" t="n">
        <v>0</v>
      </c>
      <c r="BE113" s="25" t="n">
        <v>0</v>
      </c>
      <c r="BF113" s="25" t="n">
        <v>0</v>
      </c>
      <c r="BG113" s="25" t="n">
        <v>0</v>
      </c>
      <c r="BH113" s="25" t="n">
        <v>0</v>
      </c>
      <c r="BI113" s="25" t="n">
        <v>0</v>
      </c>
      <c r="BJ113" s="25" t="n">
        <v>0</v>
      </c>
      <c r="BK113" s="25" t="n">
        <v>0</v>
      </c>
      <c r="BL113" s="25" t="n">
        <v>0</v>
      </c>
      <c r="BM113" s="25" t="n">
        <v>0</v>
      </c>
      <c r="BN113" s="25" t="n">
        <v>0</v>
      </c>
      <c r="BO113" s="25" t="n">
        <v>0</v>
      </c>
      <c r="BP113" s="25" t="n">
        <v>0</v>
      </c>
      <c r="BQ113" s="25" t="n">
        <v>0</v>
      </c>
      <c r="BR113" s="25" t="n">
        <v>0</v>
      </c>
      <c r="BS113" s="25" t="n">
        <v>0</v>
      </c>
      <c r="BT113" s="25" t="n">
        <v>0</v>
      </c>
      <c r="BU113" s="25" t="n">
        <v>0</v>
      </c>
      <c r="BV113" s="25" t="n">
        <v>0</v>
      </c>
      <c r="BW113" s="25" t="n">
        <v>0</v>
      </c>
      <c r="BX113" s="25" t="n">
        <v>0</v>
      </c>
      <c r="BY113" s="25" t="n">
        <v>0</v>
      </c>
      <c r="BZ113" s="25" t="n">
        <v>0</v>
      </c>
      <c r="CA113" s="25" t="n">
        <v>0</v>
      </c>
      <c r="CB113" s="25" t="n">
        <v>0</v>
      </c>
      <c r="CC113" s="25" t="n">
        <v>0</v>
      </c>
      <c r="CD113" s="25" t="n">
        <v>0</v>
      </c>
      <c r="CE113" s="25" t="n">
        <v>0</v>
      </c>
      <c r="CF113" s="25" t="n">
        <v>0</v>
      </c>
      <c r="CG113" s="25" t="n">
        <v>0</v>
      </c>
      <c r="CH113" s="25" t="n">
        <v>0</v>
      </c>
      <c r="CI113" s="25" t="n">
        <v>0</v>
      </c>
      <c r="CJ113" s="25" t="n">
        <v>0</v>
      </c>
      <c r="CK113" s="25" t="n">
        <v>0</v>
      </c>
      <c r="CL113" s="25" t="n">
        <v>0</v>
      </c>
      <c r="CM113" s="25" t="n">
        <v>0</v>
      </c>
      <c r="CN113" s="25" t="n">
        <v>0</v>
      </c>
      <c r="CO113" s="25" t="n">
        <v>0</v>
      </c>
      <c r="CP113" s="25" t="n">
        <v>0</v>
      </c>
      <c r="CQ113" s="25" t="n">
        <v>0</v>
      </c>
      <c r="CR113" s="25" t="n">
        <v>0</v>
      </c>
      <c r="CS113" s="25" t="n">
        <v>0</v>
      </c>
      <c r="CT113" s="25" t="n">
        <v>0</v>
      </c>
      <c r="CU113" s="25" t="n">
        <v>0</v>
      </c>
      <c r="CV113" s="25" t="n">
        <v>0</v>
      </c>
      <c r="CW113" s="25" t="n">
        <v>0</v>
      </c>
      <c r="CX113" s="25" t="n">
        <v>0</v>
      </c>
      <c r="CY113" s="25" t="n">
        <v>0</v>
      </c>
      <c r="CZ113" s="25" t="n">
        <v>0</v>
      </c>
      <c r="DA113" s="25" t="n">
        <v>0</v>
      </c>
    </row>
    <row r="114">
      <c r="A114" t="inlineStr">
        <is>
          <t>VSP-738</t>
        </is>
      </c>
      <c r="B114" s="25" t="n">
        <v>0</v>
      </c>
      <c r="C114" s="25" t="n">
        <v>0</v>
      </c>
      <c r="D114" s="25" t="n">
        <v>0</v>
      </c>
      <c r="E114" s="25" t="n">
        <v>0</v>
      </c>
      <c r="F114" s="25" t="n">
        <v>0</v>
      </c>
      <c r="G114" s="25" t="n">
        <v>0</v>
      </c>
      <c r="H114" s="25" t="n">
        <v>0</v>
      </c>
      <c r="I114" s="25" t="n">
        <v>0</v>
      </c>
      <c r="J114" s="25" t="n">
        <v>0</v>
      </c>
      <c r="K114" s="25" t="n">
        <v>0</v>
      </c>
      <c r="L114" s="25" t="n">
        <v>0</v>
      </c>
      <c r="M114" s="25" t="n">
        <v>0</v>
      </c>
      <c r="N114" s="25" t="n">
        <v>0</v>
      </c>
      <c r="O114" s="25" t="n">
        <v>0</v>
      </c>
      <c r="P114" s="25" t="n">
        <v>0</v>
      </c>
      <c r="Q114" s="25" t="n">
        <v>0</v>
      </c>
      <c r="R114" s="25" t="n">
        <v>0</v>
      </c>
      <c r="S114" s="25" t="n">
        <v>0</v>
      </c>
      <c r="T114" s="25" t="n">
        <v>0</v>
      </c>
      <c r="U114" s="25" t="n">
        <v>0</v>
      </c>
      <c r="V114" s="25" t="n">
        <v>0</v>
      </c>
      <c r="W114" s="25" t="n">
        <v>0</v>
      </c>
      <c r="X114" s="25" t="n">
        <v>0</v>
      </c>
      <c r="Y114" s="25" t="n">
        <v>0</v>
      </c>
      <c r="Z114" s="25" t="n">
        <v>0</v>
      </c>
      <c r="AA114" s="25" t="n">
        <v>0</v>
      </c>
      <c r="AB114" s="25" t="n">
        <v>0</v>
      </c>
      <c r="AC114" s="25" t="n">
        <v>0</v>
      </c>
      <c r="AD114" s="25" t="n">
        <v>0</v>
      </c>
      <c r="AE114" s="25" t="n">
        <v>0</v>
      </c>
      <c r="AF114" s="25" t="n">
        <v>0</v>
      </c>
      <c r="AG114" s="25" t="n">
        <v>0</v>
      </c>
      <c r="AH114" s="25" t="n">
        <v>0</v>
      </c>
      <c r="AI114" s="25" t="n">
        <v>0</v>
      </c>
      <c r="AJ114" s="25" t="n">
        <v>0</v>
      </c>
      <c r="AK114" s="25" t="n">
        <v>0</v>
      </c>
      <c r="AL114" s="25" t="n">
        <v>0</v>
      </c>
      <c r="AM114" s="25" t="n">
        <v>0</v>
      </c>
      <c r="AN114" s="25" t="n">
        <v>0</v>
      </c>
      <c r="AO114" s="25" t="n">
        <v>0</v>
      </c>
      <c r="AP114" s="25" t="n">
        <v>0</v>
      </c>
      <c r="AQ114" s="25" t="n">
        <v>0</v>
      </c>
      <c r="AR114" s="25" t="n">
        <v>0</v>
      </c>
      <c r="AS114" s="25" t="n">
        <v>0</v>
      </c>
      <c r="AT114" s="25" t="n">
        <v>0</v>
      </c>
      <c r="AU114" s="25" t="n">
        <v>0</v>
      </c>
      <c r="AV114" s="25" t="n">
        <v>0</v>
      </c>
      <c r="AW114" s="25" t="n">
        <v>0</v>
      </c>
      <c r="AX114" s="25" t="n">
        <v>0</v>
      </c>
      <c r="AY114" s="25" t="n">
        <v>0</v>
      </c>
      <c r="AZ114" s="25" t="n">
        <v>0</v>
      </c>
      <c r="BA114" s="25" t="n">
        <v>0</v>
      </c>
      <c r="BB114" s="25" t="n">
        <v>0</v>
      </c>
      <c r="BC114" s="25" t="n">
        <v>0</v>
      </c>
      <c r="BD114" s="25" t="n">
        <v>0</v>
      </c>
      <c r="BE114" s="25" t="n">
        <v>0</v>
      </c>
      <c r="BF114" s="25" t="n">
        <v>0</v>
      </c>
      <c r="BG114" s="25" t="n">
        <v>0</v>
      </c>
      <c r="BH114" s="25" t="n">
        <v>0</v>
      </c>
      <c r="BI114" s="25" t="n">
        <v>0</v>
      </c>
      <c r="BJ114" s="25" t="n">
        <v>0</v>
      </c>
      <c r="BK114" s="25" t="n">
        <v>0</v>
      </c>
      <c r="BL114" s="25" t="n">
        <v>0</v>
      </c>
      <c r="BM114" s="25" t="n">
        <v>0</v>
      </c>
      <c r="BN114" s="25" t="n">
        <v>0</v>
      </c>
      <c r="BO114" s="25" t="n">
        <v>0</v>
      </c>
      <c r="BP114" s="25" t="n">
        <v>0</v>
      </c>
      <c r="BQ114" s="25" t="n">
        <v>0</v>
      </c>
      <c r="BR114" s="25" t="n">
        <v>0</v>
      </c>
      <c r="BS114" s="25" t="n">
        <v>0</v>
      </c>
      <c r="BT114" s="25" t="n">
        <v>0</v>
      </c>
      <c r="BU114" s="25" t="n">
        <v>0</v>
      </c>
      <c r="BV114" s="25" t="n">
        <v>0</v>
      </c>
      <c r="BW114" s="25" t="n">
        <v>0</v>
      </c>
      <c r="BX114" s="25" t="n">
        <v>0</v>
      </c>
      <c r="BY114" s="25" t="n">
        <v>0</v>
      </c>
      <c r="BZ114" s="25" t="n">
        <v>0</v>
      </c>
      <c r="CA114" s="25" t="n">
        <v>0</v>
      </c>
      <c r="CB114" s="25" t="n">
        <v>0</v>
      </c>
      <c r="CC114" s="25" t="n">
        <v>0</v>
      </c>
      <c r="CD114" s="25" t="n">
        <v>0</v>
      </c>
      <c r="CE114" s="25" t="n">
        <v>0</v>
      </c>
      <c r="CF114" s="25" t="n">
        <v>0</v>
      </c>
      <c r="CG114" s="25" t="n">
        <v>0</v>
      </c>
      <c r="CH114" s="25" t="n">
        <v>0</v>
      </c>
      <c r="CI114" s="25" t="n">
        <v>0</v>
      </c>
      <c r="CJ114" s="25" t="n">
        <v>0</v>
      </c>
      <c r="CK114" s="25" t="n">
        <v>0</v>
      </c>
      <c r="CL114" s="25" t="n">
        <v>0</v>
      </c>
      <c r="CM114" s="25" t="n">
        <v>0</v>
      </c>
      <c r="CN114" s="25" t="n">
        <v>0</v>
      </c>
      <c r="CO114" s="25" t="n">
        <v>0</v>
      </c>
      <c r="CP114" s="25" t="n">
        <v>0</v>
      </c>
      <c r="CQ114" s="25" t="n">
        <v>0</v>
      </c>
      <c r="CR114" s="25" t="n">
        <v>0</v>
      </c>
      <c r="CS114" s="25" t="n">
        <v>0</v>
      </c>
      <c r="CT114" s="25" t="n">
        <v>0</v>
      </c>
      <c r="CU114" s="25" t="n">
        <v>0</v>
      </c>
      <c r="CV114" s="25" t="n">
        <v>0</v>
      </c>
      <c r="CW114" s="25" t="n">
        <v>0</v>
      </c>
      <c r="CX114" s="25" t="n">
        <v>0</v>
      </c>
      <c r="CY114" s="25" t="n">
        <v>0</v>
      </c>
      <c r="CZ114" s="25" t="n">
        <v>0</v>
      </c>
      <c r="DA114" s="25" t="n">
        <v>0</v>
      </c>
    </row>
    <row r="115">
      <c r="A115" t="inlineStr">
        <is>
          <t>VSP-739</t>
        </is>
      </c>
      <c r="B115" s="25" t="n">
        <v>0</v>
      </c>
      <c r="C115" s="25" t="n">
        <v>0</v>
      </c>
      <c r="D115" s="25" t="n">
        <v>0</v>
      </c>
      <c r="E115" s="25" t="n">
        <v>0</v>
      </c>
      <c r="F115" s="25" t="n">
        <v>0</v>
      </c>
      <c r="G115" s="25" t="n">
        <v>0</v>
      </c>
      <c r="H115" s="25" t="n">
        <v>0</v>
      </c>
      <c r="I115" s="25" t="n">
        <v>0</v>
      </c>
      <c r="J115" s="25" t="n">
        <v>0</v>
      </c>
      <c r="K115" s="25" t="n">
        <v>0</v>
      </c>
      <c r="L115" s="25" t="n">
        <v>0</v>
      </c>
      <c r="M115" s="25" t="n">
        <v>0</v>
      </c>
      <c r="N115" s="25" t="n">
        <v>0</v>
      </c>
      <c r="O115" s="25" t="n">
        <v>0</v>
      </c>
      <c r="P115" s="25" t="n">
        <v>0</v>
      </c>
      <c r="Q115" s="25" t="n">
        <v>0</v>
      </c>
      <c r="R115" s="25" t="n">
        <v>0</v>
      </c>
      <c r="S115" s="25" t="n">
        <v>0</v>
      </c>
      <c r="T115" s="25" t="n">
        <v>0</v>
      </c>
      <c r="U115" s="25" t="n">
        <v>0</v>
      </c>
      <c r="V115" s="25" t="n">
        <v>0</v>
      </c>
      <c r="W115" s="25" t="n">
        <v>0</v>
      </c>
      <c r="X115" s="25" t="n">
        <v>0</v>
      </c>
      <c r="Y115" s="25" t="n">
        <v>0</v>
      </c>
      <c r="Z115" s="25" t="n">
        <v>0</v>
      </c>
      <c r="AA115" s="25" t="n">
        <v>0</v>
      </c>
      <c r="AB115" s="25" t="n">
        <v>0</v>
      </c>
      <c r="AC115" s="25" t="n">
        <v>0</v>
      </c>
      <c r="AD115" s="25" t="n">
        <v>0</v>
      </c>
      <c r="AE115" s="25" t="n">
        <v>0</v>
      </c>
      <c r="AF115" s="25" t="n">
        <v>0</v>
      </c>
      <c r="AG115" s="25" t="n">
        <v>0</v>
      </c>
      <c r="AH115" s="25" t="n">
        <v>0</v>
      </c>
      <c r="AI115" s="25" t="n">
        <v>0</v>
      </c>
      <c r="AJ115" s="25" t="n">
        <v>0</v>
      </c>
      <c r="AK115" s="25" t="n">
        <v>0</v>
      </c>
      <c r="AL115" s="25" t="n">
        <v>0</v>
      </c>
      <c r="AM115" s="25" t="n">
        <v>0</v>
      </c>
      <c r="AN115" s="25" t="n">
        <v>0</v>
      </c>
      <c r="AO115" s="25" t="n">
        <v>0</v>
      </c>
      <c r="AP115" s="25" t="n">
        <v>0</v>
      </c>
      <c r="AQ115" s="25" t="n">
        <v>0</v>
      </c>
      <c r="AR115" s="25" t="n">
        <v>0</v>
      </c>
      <c r="AS115" s="25" t="n">
        <v>0</v>
      </c>
      <c r="AT115" s="25" t="n">
        <v>0</v>
      </c>
      <c r="AU115" s="25" t="n">
        <v>0</v>
      </c>
      <c r="AV115" s="25" t="n">
        <v>0</v>
      </c>
      <c r="AW115" s="25" t="n">
        <v>0</v>
      </c>
      <c r="AX115" s="25" t="n">
        <v>0</v>
      </c>
      <c r="AY115" s="25" t="n">
        <v>0</v>
      </c>
      <c r="AZ115" s="25" t="n">
        <v>0</v>
      </c>
      <c r="BA115" s="25" t="n">
        <v>0</v>
      </c>
      <c r="BB115" s="25" t="n">
        <v>0</v>
      </c>
      <c r="BC115" s="25" t="n">
        <v>0</v>
      </c>
      <c r="BD115" s="25" t="n">
        <v>0</v>
      </c>
      <c r="BE115" s="25" t="n">
        <v>0</v>
      </c>
      <c r="BF115" s="25" t="n">
        <v>0</v>
      </c>
      <c r="BG115" s="25" t="n">
        <v>0</v>
      </c>
      <c r="BH115" s="25" t="n">
        <v>0</v>
      </c>
      <c r="BI115" s="25" t="n">
        <v>0</v>
      </c>
      <c r="BJ115" s="25" t="n">
        <v>0</v>
      </c>
      <c r="BK115" s="25" t="n">
        <v>0</v>
      </c>
      <c r="BL115" s="25" t="n">
        <v>0</v>
      </c>
      <c r="BM115" s="25" t="n">
        <v>0</v>
      </c>
      <c r="BN115" s="25" t="n">
        <v>0</v>
      </c>
      <c r="BO115" s="25" t="n">
        <v>0</v>
      </c>
      <c r="BP115" s="25" t="n">
        <v>0</v>
      </c>
      <c r="BQ115" s="25" t="n">
        <v>0</v>
      </c>
      <c r="BR115" s="25" t="n">
        <v>0</v>
      </c>
      <c r="BS115" s="25" t="n">
        <v>0</v>
      </c>
      <c r="BT115" s="25" t="n">
        <v>0</v>
      </c>
      <c r="BU115" s="25" t="n">
        <v>0</v>
      </c>
      <c r="BV115" s="25" t="n">
        <v>0</v>
      </c>
      <c r="BW115" s="25" t="n">
        <v>0</v>
      </c>
      <c r="BX115" s="25" t="n">
        <v>0</v>
      </c>
      <c r="BY115" s="25" t="n">
        <v>0</v>
      </c>
      <c r="BZ115" s="25" t="n">
        <v>0</v>
      </c>
      <c r="CA115" s="25" t="n">
        <v>0</v>
      </c>
      <c r="CB115" s="25" t="n">
        <v>0</v>
      </c>
      <c r="CC115" s="25" t="n">
        <v>0</v>
      </c>
      <c r="CD115" s="25" t="n">
        <v>0</v>
      </c>
      <c r="CE115" s="25" t="n">
        <v>0</v>
      </c>
      <c r="CF115" s="25" t="n">
        <v>0</v>
      </c>
      <c r="CG115" s="25" t="n">
        <v>0</v>
      </c>
      <c r="CH115" s="25" t="n">
        <v>0</v>
      </c>
      <c r="CI115" s="25" t="n">
        <v>0</v>
      </c>
      <c r="CJ115" s="25" t="n">
        <v>0</v>
      </c>
      <c r="CK115" s="25" t="n">
        <v>0</v>
      </c>
      <c r="CL115" s="25" t="n">
        <v>0</v>
      </c>
      <c r="CM115" s="25" t="n">
        <v>0</v>
      </c>
      <c r="CN115" s="25" t="n">
        <v>0</v>
      </c>
      <c r="CO115" s="25" t="n">
        <v>0</v>
      </c>
      <c r="CP115" s="25" t="n">
        <v>0</v>
      </c>
      <c r="CQ115" s="25" t="n">
        <v>0</v>
      </c>
      <c r="CR115" s="25" t="n">
        <v>0</v>
      </c>
      <c r="CS115" s="25" t="n">
        <v>0</v>
      </c>
      <c r="CT115" s="25" t="n">
        <v>0</v>
      </c>
      <c r="CU115" s="25" t="n">
        <v>0</v>
      </c>
      <c r="CV115" s="25" t="n">
        <v>0</v>
      </c>
      <c r="CW115" s="25" t="n">
        <v>0</v>
      </c>
      <c r="CX115" s="25" t="n">
        <v>0</v>
      </c>
      <c r="CY115" s="25" t="n">
        <v>0</v>
      </c>
      <c r="CZ115" s="25" t="n">
        <v>0</v>
      </c>
      <c r="DA115" s="25" t="n">
        <v>0</v>
      </c>
    </row>
    <row r="116">
      <c r="A116" t="inlineStr">
        <is>
          <t>VSP-740</t>
        </is>
      </c>
      <c r="B116" s="25" t="n">
        <v>0</v>
      </c>
      <c r="C116" s="25" t="n">
        <v>0</v>
      </c>
      <c r="D116" s="25" t="n">
        <v>0</v>
      </c>
      <c r="E116" s="25" t="n">
        <v>0</v>
      </c>
      <c r="F116" s="25" t="n">
        <v>0</v>
      </c>
      <c r="G116" s="25" t="n">
        <v>0</v>
      </c>
      <c r="H116" s="25" t="n">
        <v>0</v>
      </c>
      <c r="I116" s="25" t="n">
        <v>0</v>
      </c>
      <c r="J116" s="25" t="n">
        <v>0</v>
      </c>
      <c r="K116" s="25" t="n">
        <v>0</v>
      </c>
      <c r="L116" s="25" t="n">
        <v>0</v>
      </c>
      <c r="M116" s="25" t="n">
        <v>0</v>
      </c>
      <c r="N116" s="25" t="n">
        <v>0</v>
      </c>
      <c r="O116" s="25" t="n">
        <v>0</v>
      </c>
      <c r="P116" s="25" t="n">
        <v>0</v>
      </c>
      <c r="Q116" s="25" t="n">
        <v>0</v>
      </c>
      <c r="R116" s="25" t="n">
        <v>0</v>
      </c>
      <c r="S116" s="25" t="n">
        <v>0</v>
      </c>
      <c r="T116" s="25" t="n">
        <v>0</v>
      </c>
      <c r="U116" s="25" t="n">
        <v>0</v>
      </c>
      <c r="V116" s="25" t="n">
        <v>0</v>
      </c>
      <c r="W116" s="25" t="n">
        <v>0</v>
      </c>
      <c r="X116" s="25" t="n">
        <v>0</v>
      </c>
      <c r="Y116" s="25" t="n">
        <v>0</v>
      </c>
      <c r="Z116" s="25" t="n">
        <v>0</v>
      </c>
      <c r="AA116" s="25" t="n">
        <v>0</v>
      </c>
      <c r="AB116" s="25" t="n">
        <v>0</v>
      </c>
      <c r="AC116" s="25" t="n">
        <v>0</v>
      </c>
      <c r="AD116" s="25" t="n">
        <v>0</v>
      </c>
      <c r="AE116" s="25" t="n">
        <v>0</v>
      </c>
      <c r="AF116" s="25" t="n">
        <v>0</v>
      </c>
      <c r="AG116" s="25" t="n">
        <v>0</v>
      </c>
      <c r="AH116" s="25" t="n">
        <v>0</v>
      </c>
      <c r="AI116" s="25" t="n">
        <v>0</v>
      </c>
      <c r="AJ116" s="25" t="n">
        <v>0</v>
      </c>
      <c r="AK116" s="25" t="n">
        <v>0</v>
      </c>
      <c r="AL116" s="25" t="n">
        <v>0</v>
      </c>
      <c r="AM116" s="25" t="n">
        <v>0</v>
      </c>
      <c r="AN116" s="25" t="n">
        <v>0</v>
      </c>
      <c r="AO116" s="25" t="n">
        <v>0</v>
      </c>
      <c r="AP116" s="25" t="n">
        <v>0</v>
      </c>
      <c r="AQ116" s="25" t="n">
        <v>0</v>
      </c>
      <c r="AR116" s="25" t="n">
        <v>0</v>
      </c>
      <c r="AS116" s="25" t="n">
        <v>0</v>
      </c>
      <c r="AT116" s="25" t="n">
        <v>0</v>
      </c>
      <c r="AU116" s="25" t="n">
        <v>0</v>
      </c>
      <c r="AV116" s="25" t="n">
        <v>0</v>
      </c>
      <c r="AW116" s="25" t="n">
        <v>0</v>
      </c>
      <c r="AX116" s="25" t="n">
        <v>0</v>
      </c>
      <c r="AY116" s="25" t="n">
        <v>0</v>
      </c>
      <c r="AZ116" s="25" t="n">
        <v>0</v>
      </c>
      <c r="BA116" s="25" t="n">
        <v>0</v>
      </c>
      <c r="BB116" s="25" t="n">
        <v>0</v>
      </c>
      <c r="BC116" s="25" t="n">
        <v>0</v>
      </c>
      <c r="BD116" s="25" t="n">
        <v>0</v>
      </c>
      <c r="BE116" s="25" t="n">
        <v>0</v>
      </c>
      <c r="BF116" s="25" t="n">
        <v>0</v>
      </c>
      <c r="BG116" s="25" t="n">
        <v>0</v>
      </c>
      <c r="BH116" s="25" t="n">
        <v>0</v>
      </c>
      <c r="BI116" s="25" t="n">
        <v>0</v>
      </c>
      <c r="BJ116" s="25" t="n">
        <v>0</v>
      </c>
      <c r="BK116" s="25" t="n">
        <v>0</v>
      </c>
      <c r="BL116" s="25" t="n">
        <v>0</v>
      </c>
      <c r="BM116" s="25" t="n">
        <v>0</v>
      </c>
      <c r="BN116" s="25" t="n">
        <v>0</v>
      </c>
      <c r="BO116" s="25" t="n">
        <v>0</v>
      </c>
      <c r="BP116" s="25" t="n">
        <v>0</v>
      </c>
      <c r="BQ116" s="25" t="n">
        <v>0</v>
      </c>
      <c r="BR116" s="25" t="n">
        <v>0</v>
      </c>
      <c r="BS116" s="25" t="n">
        <v>0</v>
      </c>
      <c r="BT116" s="25" t="n">
        <v>0</v>
      </c>
      <c r="BU116" s="25" t="n">
        <v>0</v>
      </c>
      <c r="BV116" s="25" t="n">
        <v>0</v>
      </c>
      <c r="BW116" s="25" t="n">
        <v>0</v>
      </c>
      <c r="BX116" s="25" t="n">
        <v>0</v>
      </c>
      <c r="BY116" s="25" t="n">
        <v>0</v>
      </c>
      <c r="BZ116" s="25" t="n">
        <v>0</v>
      </c>
      <c r="CA116" s="25" t="n">
        <v>0</v>
      </c>
      <c r="CB116" s="25" t="n">
        <v>0</v>
      </c>
      <c r="CC116" s="25" t="n">
        <v>0</v>
      </c>
      <c r="CD116" s="25" t="n">
        <v>0</v>
      </c>
      <c r="CE116" s="25" t="n">
        <v>0</v>
      </c>
      <c r="CF116" s="25" t="n">
        <v>0</v>
      </c>
      <c r="CG116" s="25" t="n">
        <v>0</v>
      </c>
      <c r="CH116" s="25" t="n">
        <v>0</v>
      </c>
      <c r="CI116" s="25" t="n">
        <v>0</v>
      </c>
      <c r="CJ116" s="25" t="n">
        <v>0</v>
      </c>
      <c r="CK116" s="25" t="n">
        <v>0</v>
      </c>
      <c r="CL116" s="25" t="n">
        <v>0</v>
      </c>
      <c r="CM116" s="25" t="n">
        <v>0</v>
      </c>
      <c r="CN116" s="25" t="n">
        <v>0</v>
      </c>
      <c r="CO116" s="25" t="n">
        <v>0</v>
      </c>
      <c r="CP116" s="25" t="n">
        <v>0</v>
      </c>
      <c r="CQ116" s="25" t="n">
        <v>0</v>
      </c>
      <c r="CR116" s="25" t="n">
        <v>0</v>
      </c>
      <c r="CS116" s="25" t="n">
        <v>0</v>
      </c>
      <c r="CT116" s="25" t="n">
        <v>0</v>
      </c>
      <c r="CU116" s="25" t="n">
        <v>0</v>
      </c>
      <c r="CV116" s="25" t="n">
        <v>0</v>
      </c>
      <c r="CW116" s="25" t="n">
        <v>0</v>
      </c>
      <c r="CX116" s="25" t="n">
        <v>0</v>
      </c>
      <c r="CY116" s="25" t="n">
        <v>0</v>
      </c>
      <c r="CZ116" s="25" t="n">
        <v>0</v>
      </c>
      <c r="DA116" s="25" t="n">
        <v>0</v>
      </c>
    </row>
    <row r="117">
      <c r="A117" t="inlineStr">
        <is>
          <t>VSP-746</t>
        </is>
      </c>
      <c r="B117" s="25" t="n">
        <v>0</v>
      </c>
      <c r="C117" s="25" t="n">
        <v>0</v>
      </c>
      <c r="D117" s="25" t="n">
        <v>0</v>
      </c>
      <c r="E117" s="25" t="n">
        <v>0</v>
      </c>
      <c r="F117" s="25" t="n">
        <v>0</v>
      </c>
      <c r="G117" s="25" t="n">
        <v>0</v>
      </c>
      <c r="H117" s="25" t="n">
        <v>0</v>
      </c>
      <c r="I117" s="25" t="n">
        <v>0</v>
      </c>
      <c r="J117" s="25" t="n">
        <v>0</v>
      </c>
      <c r="K117" s="25" t="n">
        <v>0</v>
      </c>
      <c r="L117" s="25" t="n">
        <v>0</v>
      </c>
      <c r="M117" s="25" t="n">
        <v>0</v>
      </c>
      <c r="N117" s="25" t="n">
        <v>0</v>
      </c>
      <c r="O117" s="25" t="n">
        <v>0</v>
      </c>
      <c r="P117" s="25" t="n">
        <v>0</v>
      </c>
      <c r="Q117" s="25" t="n">
        <v>0</v>
      </c>
      <c r="R117" s="25" t="n">
        <v>0</v>
      </c>
      <c r="S117" s="25" t="n">
        <v>0</v>
      </c>
      <c r="T117" s="25" t="n">
        <v>0</v>
      </c>
      <c r="U117" s="25" t="n">
        <v>0</v>
      </c>
      <c r="V117" s="25" t="n">
        <v>0</v>
      </c>
      <c r="W117" s="25" t="n">
        <v>0</v>
      </c>
      <c r="X117" s="25" t="n">
        <v>0</v>
      </c>
      <c r="Y117" s="25" t="n">
        <v>0</v>
      </c>
      <c r="Z117" s="25" t="n">
        <v>0</v>
      </c>
      <c r="AA117" s="25" t="n">
        <v>0</v>
      </c>
      <c r="AB117" s="25" t="n">
        <v>0</v>
      </c>
      <c r="AC117" s="25" t="n">
        <v>0</v>
      </c>
      <c r="AD117" s="25" t="n">
        <v>0</v>
      </c>
      <c r="AE117" s="25" t="n">
        <v>0</v>
      </c>
      <c r="AF117" s="25" t="n">
        <v>0</v>
      </c>
      <c r="AG117" s="25" t="n">
        <v>0</v>
      </c>
      <c r="AH117" s="25" t="n">
        <v>0</v>
      </c>
      <c r="AI117" s="25" t="n">
        <v>0</v>
      </c>
      <c r="AJ117" s="25" t="n">
        <v>0</v>
      </c>
      <c r="AK117" s="25" t="n">
        <v>0</v>
      </c>
      <c r="AL117" s="25" t="n">
        <v>0</v>
      </c>
      <c r="AM117" s="25" t="n">
        <v>0</v>
      </c>
      <c r="AN117" s="25" t="n">
        <v>0</v>
      </c>
      <c r="AO117" s="25" t="n">
        <v>0</v>
      </c>
      <c r="AP117" s="25" t="n">
        <v>0</v>
      </c>
      <c r="AQ117" s="25" t="n">
        <v>0</v>
      </c>
      <c r="AR117" s="25" t="n">
        <v>0</v>
      </c>
      <c r="AS117" s="25" t="n">
        <v>0</v>
      </c>
      <c r="AT117" s="25" t="n">
        <v>0</v>
      </c>
      <c r="AU117" s="25" t="n">
        <v>0</v>
      </c>
      <c r="AV117" s="25" t="n">
        <v>0</v>
      </c>
      <c r="AW117" s="25" t="n">
        <v>0</v>
      </c>
      <c r="AX117" s="25" t="n">
        <v>0</v>
      </c>
      <c r="AY117" s="25" t="n">
        <v>0</v>
      </c>
      <c r="AZ117" s="25" t="n">
        <v>0</v>
      </c>
      <c r="BA117" s="25" t="n">
        <v>0</v>
      </c>
      <c r="BB117" s="25" t="n">
        <v>0</v>
      </c>
      <c r="BC117" s="25" t="n">
        <v>0</v>
      </c>
      <c r="BD117" s="25" t="n">
        <v>0</v>
      </c>
      <c r="BE117" s="25" t="n">
        <v>0</v>
      </c>
      <c r="BF117" s="25" t="n">
        <v>0</v>
      </c>
      <c r="BG117" s="25" t="n">
        <v>0</v>
      </c>
      <c r="BH117" s="25" t="n">
        <v>0</v>
      </c>
      <c r="BI117" s="25" t="n">
        <v>0</v>
      </c>
      <c r="BJ117" s="25" t="n">
        <v>0</v>
      </c>
      <c r="BK117" s="25" t="n">
        <v>0</v>
      </c>
      <c r="BL117" s="25" t="n">
        <v>0</v>
      </c>
      <c r="BM117" s="25" t="n">
        <v>0</v>
      </c>
      <c r="BN117" s="25" t="n">
        <v>0</v>
      </c>
      <c r="BO117" s="25" t="n">
        <v>0</v>
      </c>
      <c r="BP117" s="25" t="n">
        <v>0</v>
      </c>
      <c r="BQ117" s="25" t="n">
        <v>0</v>
      </c>
      <c r="BR117" s="25" t="n">
        <v>0</v>
      </c>
      <c r="BS117" s="25" t="n">
        <v>0</v>
      </c>
      <c r="BT117" s="25" t="n">
        <v>0</v>
      </c>
      <c r="BU117" s="25" t="n">
        <v>0</v>
      </c>
      <c r="BV117" s="25" t="n">
        <v>0</v>
      </c>
      <c r="BW117" s="25" t="n">
        <v>0</v>
      </c>
      <c r="BX117" s="25" t="n">
        <v>0</v>
      </c>
      <c r="BY117" s="25" t="n">
        <v>0</v>
      </c>
      <c r="BZ117" s="25" t="n">
        <v>0</v>
      </c>
      <c r="CA117" s="25" t="n">
        <v>0</v>
      </c>
      <c r="CB117" s="25" t="n">
        <v>0</v>
      </c>
      <c r="CC117" s="25" t="n">
        <v>0</v>
      </c>
      <c r="CD117" s="25" t="n">
        <v>0</v>
      </c>
      <c r="CE117" s="25" t="n">
        <v>0</v>
      </c>
      <c r="CF117" s="25" t="n">
        <v>0</v>
      </c>
      <c r="CG117" s="25" t="n">
        <v>0</v>
      </c>
      <c r="CH117" s="25" t="n">
        <v>0</v>
      </c>
      <c r="CI117" s="25" t="n">
        <v>0</v>
      </c>
      <c r="CJ117" s="25" t="n">
        <v>0</v>
      </c>
      <c r="CK117" s="25" t="n">
        <v>0</v>
      </c>
      <c r="CL117" s="25" t="n">
        <v>0</v>
      </c>
      <c r="CM117" s="25" t="n">
        <v>0</v>
      </c>
      <c r="CN117" s="25" t="n">
        <v>0</v>
      </c>
      <c r="CO117" s="25" t="n">
        <v>0</v>
      </c>
      <c r="CP117" s="25" t="n">
        <v>0</v>
      </c>
      <c r="CQ117" s="25" t="n">
        <v>0</v>
      </c>
      <c r="CR117" s="25" t="n">
        <v>0</v>
      </c>
      <c r="CS117" s="25" t="n">
        <v>0</v>
      </c>
      <c r="CT117" s="25" t="n">
        <v>0</v>
      </c>
      <c r="CU117" s="25" t="n">
        <v>0</v>
      </c>
      <c r="CV117" s="25" t="n">
        <v>0</v>
      </c>
      <c r="CW117" s="25" t="n">
        <v>0</v>
      </c>
      <c r="CX117" s="25" t="n">
        <v>0</v>
      </c>
      <c r="CY117" s="25" t="n">
        <v>0</v>
      </c>
      <c r="CZ117" s="25" t="n">
        <v>0</v>
      </c>
      <c r="DA117" s="25" t="n">
        <v>0</v>
      </c>
    </row>
    <row r="118">
      <c r="A118" t="inlineStr">
        <is>
          <t>VSP-869</t>
        </is>
      </c>
      <c r="B118" s="25" t="n">
        <v>0</v>
      </c>
      <c r="C118" s="25" t="n">
        <v>0</v>
      </c>
      <c r="D118" s="25" t="n">
        <v>0</v>
      </c>
      <c r="E118" s="25" t="n">
        <v>0</v>
      </c>
      <c r="F118" s="25" t="n">
        <v>0</v>
      </c>
      <c r="G118" s="25" t="n">
        <v>0</v>
      </c>
      <c r="H118" s="25" t="n">
        <v>0</v>
      </c>
      <c r="I118" s="25" t="n">
        <v>0</v>
      </c>
      <c r="J118" s="25" t="n">
        <v>0</v>
      </c>
      <c r="K118" s="25" t="n">
        <v>0</v>
      </c>
      <c r="L118" s="25" t="n">
        <v>0</v>
      </c>
      <c r="M118" s="25" t="n">
        <v>0</v>
      </c>
      <c r="N118" s="25" t="n">
        <v>0</v>
      </c>
      <c r="O118" s="25" t="n">
        <v>0</v>
      </c>
      <c r="P118" s="25" t="n">
        <v>0</v>
      </c>
      <c r="Q118" s="25" t="n">
        <v>0</v>
      </c>
      <c r="R118" s="25" t="n">
        <v>0</v>
      </c>
      <c r="S118" s="25" t="n">
        <v>0</v>
      </c>
      <c r="T118" s="25" t="n">
        <v>0</v>
      </c>
      <c r="U118" s="25" t="n">
        <v>0</v>
      </c>
      <c r="V118" s="25" t="n">
        <v>0</v>
      </c>
      <c r="W118" s="25" t="n">
        <v>0</v>
      </c>
      <c r="X118" s="25" t="n">
        <v>0</v>
      </c>
      <c r="Y118" s="25" t="n">
        <v>0</v>
      </c>
      <c r="Z118" s="25" t="n">
        <v>0</v>
      </c>
      <c r="AA118" s="25" t="n">
        <v>0</v>
      </c>
      <c r="AB118" s="25" t="n">
        <v>0</v>
      </c>
      <c r="AC118" s="25" t="n">
        <v>0</v>
      </c>
      <c r="AD118" s="25" t="n">
        <v>0</v>
      </c>
      <c r="AE118" s="25" t="n">
        <v>0</v>
      </c>
      <c r="AF118" s="25" t="n">
        <v>0</v>
      </c>
      <c r="AG118" s="25" t="n">
        <v>0</v>
      </c>
      <c r="AH118" s="25" t="n">
        <v>0</v>
      </c>
      <c r="AI118" s="25" t="n">
        <v>0</v>
      </c>
      <c r="AJ118" s="25" t="n">
        <v>0</v>
      </c>
      <c r="AK118" s="25" t="n">
        <v>0</v>
      </c>
      <c r="AL118" s="25" t="n">
        <v>0</v>
      </c>
      <c r="AM118" s="25" t="n">
        <v>0</v>
      </c>
      <c r="AN118" s="25" t="n">
        <v>0</v>
      </c>
      <c r="AO118" s="25" t="n">
        <v>0</v>
      </c>
      <c r="AP118" s="25" t="n">
        <v>0</v>
      </c>
      <c r="AQ118" s="25" t="n">
        <v>0</v>
      </c>
      <c r="AR118" s="25" t="n">
        <v>0</v>
      </c>
      <c r="AS118" s="25" t="n">
        <v>0</v>
      </c>
      <c r="AT118" s="25" t="n">
        <v>0</v>
      </c>
      <c r="AU118" s="25" t="n">
        <v>0</v>
      </c>
      <c r="AV118" s="25" t="n">
        <v>0</v>
      </c>
      <c r="AW118" s="25" t="n">
        <v>0</v>
      </c>
      <c r="AX118" s="25" t="n">
        <v>0</v>
      </c>
      <c r="AY118" s="25" t="n">
        <v>0</v>
      </c>
      <c r="AZ118" s="25" t="n">
        <v>0</v>
      </c>
      <c r="BA118" s="25" t="n">
        <v>0</v>
      </c>
      <c r="BB118" s="25" t="n">
        <v>0</v>
      </c>
      <c r="BC118" s="25" t="n">
        <v>0</v>
      </c>
      <c r="BD118" s="25" t="n">
        <v>0</v>
      </c>
      <c r="BE118" s="25" t="n">
        <v>0</v>
      </c>
      <c r="BF118" s="25" t="n">
        <v>0</v>
      </c>
      <c r="BG118" s="25" t="n">
        <v>0</v>
      </c>
      <c r="BH118" s="25" t="n">
        <v>0</v>
      </c>
      <c r="BI118" s="25" t="n">
        <v>0</v>
      </c>
      <c r="BJ118" s="25" t="n">
        <v>0</v>
      </c>
      <c r="BK118" s="25" t="n">
        <v>0</v>
      </c>
      <c r="BL118" s="25" t="n">
        <v>0</v>
      </c>
      <c r="BM118" s="25" t="n">
        <v>0</v>
      </c>
      <c r="BN118" s="25" t="n">
        <v>0</v>
      </c>
      <c r="BO118" s="25" t="n">
        <v>0</v>
      </c>
      <c r="BP118" s="25" t="n">
        <v>0</v>
      </c>
      <c r="BQ118" s="25" t="n">
        <v>0</v>
      </c>
      <c r="BR118" s="25" t="n">
        <v>0</v>
      </c>
      <c r="BS118" s="25" t="n">
        <v>0</v>
      </c>
      <c r="BT118" s="25" t="n">
        <v>0</v>
      </c>
      <c r="BU118" s="25" t="n">
        <v>0</v>
      </c>
      <c r="BV118" s="25" t="n">
        <v>0</v>
      </c>
      <c r="BW118" s="25" t="n">
        <v>0</v>
      </c>
      <c r="BX118" s="25" t="n">
        <v>0</v>
      </c>
      <c r="BY118" s="25" t="n">
        <v>0</v>
      </c>
      <c r="BZ118" s="25" t="n">
        <v>0</v>
      </c>
      <c r="CA118" s="25" t="n">
        <v>0</v>
      </c>
      <c r="CB118" s="25" t="n">
        <v>0</v>
      </c>
      <c r="CC118" s="25" t="n">
        <v>0</v>
      </c>
      <c r="CD118" s="25" t="n">
        <v>0</v>
      </c>
      <c r="CE118" s="25" t="n">
        <v>0</v>
      </c>
      <c r="CF118" s="25" t="n">
        <v>0</v>
      </c>
      <c r="CG118" s="25" t="n">
        <v>0</v>
      </c>
      <c r="CH118" s="25" t="n">
        <v>0</v>
      </c>
      <c r="CI118" s="25" t="n">
        <v>0</v>
      </c>
      <c r="CJ118" s="25" t="n">
        <v>0</v>
      </c>
      <c r="CK118" s="25" t="n">
        <v>0</v>
      </c>
      <c r="CL118" s="25" t="n">
        <v>0</v>
      </c>
      <c r="CM118" s="25" t="n">
        <v>0</v>
      </c>
      <c r="CN118" s="25" t="n">
        <v>0</v>
      </c>
      <c r="CO118" s="25" t="n">
        <v>0</v>
      </c>
      <c r="CP118" s="25" t="n">
        <v>0</v>
      </c>
      <c r="CQ118" s="25" t="n">
        <v>0</v>
      </c>
      <c r="CR118" s="25" t="n">
        <v>0</v>
      </c>
      <c r="CS118" s="25" t="n">
        <v>0</v>
      </c>
      <c r="CT118" s="25" t="n">
        <v>0</v>
      </c>
      <c r="CU118" s="25" t="n">
        <v>0</v>
      </c>
      <c r="CV118" s="25" t="n">
        <v>0</v>
      </c>
      <c r="CW118" s="25" t="n">
        <v>0</v>
      </c>
      <c r="CX118" s="25" t="n">
        <v>0</v>
      </c>
      <c r="CY118" s="25" t="n">
        <v>0</v>
      </c>
      <c r="CZ118" s="25" t="n">
        <v>0</v>
      </c>
      <c r="DA118" s="25" t="n">
        <v>0</v>
      </c>
    </row>
    <row r="119">
      <c r="A119" t="inlineStr">
        <is>
          <t>VSP-870</t>
        </is>
      </c>
      <c r="B119" s="25" t="n">
        <v>0</v>
      </c>
      <c r="C119" s="25" t="n">
        <v>0</v>
      </c>
      <c r="D119" s="25" t="n">
        <v>0</v>
      </c>
      <c r="E119" s="25" t="n">
        <v>0</v>
      </c>
      <c r="F119" s="25" t="n">
        <v>0</v>
      </c>
      <c r="G119" s="25" t="n">
        <v>0</v>
      </c>
      <c r="H119" s="25" t="n">
        <v>0</v>
      </c>
      <c r="I119" s="25" t="n">
        <v>0</v>
      </c>
      <c r="J119" s="25" t="n">
        <v>0</v>
      </c>
      <c r="K119" s="25" t="n">
        <v>0</v>
      </c>
      <c r="L119" s="25" t="n">
        <v>0</v>
      </c>
      <c r="M119" s="25" t="n">
        <v>0</v>
      </c>
      <c r="N119" s="25" t="n">
        <v>0</v>
      </c>
      <c r="O119" s="25" t="n">
        <v>0</v>
      </c>
      <c r="P119" s="25" t="n">
        <v>0</v>
      </c>
      <c r="Q119" s="25" t="n">
        <v>0</v>
      </c>
      <c r="R119" s="25" t="n">
        <v>0</v>
      </c>
      <c r="S119" s="25" t="n">
        <v>0</v>
      </c>
      <c r="T119" s="25" t="n">
        <v>0</v>
      </c>
      <c r="U119" s="25" t="n">
        <v>0</v>
      </c>
      <c r="V119" s="25" t="n">
        <v>0</v>
      </c>
      <c r="W119" s="25" t="n">
        <v>0</v>
      </c>
      <c r="X119" s="25" t="n">
        <v>0</v>
      </c>
      <c r="Y119" s="25" t="n">
        <v>0</v>
      </c>
      <c r="Z119" s="25" t="n">
        <v>0</v>
      </c>
      <c r="AA119" s="25" t="n">
        <v>0</v>
      </c>
      <c r="AB119" s="25" t="n">
        <v>0</v>
      </c>
      <c r="AC119" s="25" t="n">
        <v>0</v>
      </c>
      <c r="AD119" s="25" t="n">
        <v>0</v>
      </c>
      <c r="AE119" s="25" t="n">
        <v>0</v>
      </c>
      <c r="AF119" s="25" t="n">
        <v>0</v>
      </c>
      <c r="AG119" s="25" t="n">
        <v>0</v>
      </c>
      <c r="AH119" s="25" t="n">
        <v>0</v>
      </c>
      <c r="AI119" s="25" t="n">
        <v>0</v>
      </c>
      <c r="AJ119" s="25" t="n">
        <v>0</v>
      </c>
      <c r="AK119" s="25" t="n">
        <v>0</v>
      </c>
      <c r="AL119" s="25" t="n">
        <v>0</v>
      </c>
      <c r="AM119" s="25" t="n">
        <v>0</v>
      </c>
      <c r="AN119" s="25" t="n">
        <v>0</v>
      </c>
      <c r="AO119" s="25" t="n">
        <v>0</v>
      </c>
      <c r="AP119" s="25" t="n">
        <v>0</v>
      </c>
      <c r="AQ119" s="25" t="n">
        <v>0</v>
      </c>
      <c r="AR119" s="25" t="n">
        <v>0</v>
      </c>
      <c r="AS119" s="25" t="n">
        <v>0</v>
      </c>
      <c r="AT119" s="25" t="n">
        <v>0</v>
      </c>
      <c r="AU119" s="25" t="n">
        <v>0</v>
      </c>
      <c r="AV119" s="25" t="n">
        <v>0</v>
      </c>
      <c r="AW119" s="25" t="n">
        <v>0</v>
      </c>
      <c r="AX119" s="25" t="n">
        <v>0</v>
      </c>
      <c r="AY119" s="25" t="n">
        <v>0</v>
      </c>
      <c r="AZ119" s="25" t="n">
        <v>0</v>
      </c>
      <c r="BA119" s="25" t="n">
        <v>0</v>
      </c>
      <c r="BB119" s="25" t="n">
        <v>0</v>
      </c>
      <c r="BC119" s="25" t="n">
        <v>0</v>
      </c>
      <c r="BD119" s="25" t="n">
        <v>0</v>
      </c>
      <c r="BE119" s="25" t="n">
        <v>0</v>
      </c>
      <c r="BF119" s="25" t="n">
        <v>0</v>
      </c>
      <c r="BG119" s="25" t="n">
        <v>0</v>
      </c>
      <c r="BH119" s="25" t="n">
        <v>0</v>
      </c>
      <c r="BI119" s="25" t="n">
        <v>0</v>
      </c>
      <c r="BJ119" s="25" t="n">
        <v>0</v>
      </c>
      <c r="BK119" s="25" t="n">
        <v>0</v>
      </c>
      <c r="BL119" s="25" t="n">
        <v>0</v>
      </c>
      <c r="BM119" s="25" t="n">
        <v>0</v>
      </c>
      <c r="BN119" s="25" t="n">
        <v>0</v>
      </c>
      <c r="BO119" s="25" t="n">
        <v>0</v>
      </c>
      <c r="BP119" s="25" t="n">
        <v>0</v>
      </c>
      <c r="BQ119" s="25" t="n">
        <v>0</v>
      </c>
      <c r="BR119" s="25" t="n">
        <v>0</v>
      </c>
      <c r="BS119" s="25" t="n">
        <v>0</v>
      </c>
      <c r="BT119" s="25" t="n">
        <v>0</v>
      </c>
      <c r="BU119" s="25" t="n">
        <v>0</v>
      </c>
      <c r="BV119" s="25" t="n">
        <v>0</v>
      </c>
      <c r="BW119" s="25" t="n">
        <v>0</v>
      </c>
      <c r="BX119" s="25" t="n">
        <v>0</v>
      </c>
      <c r="BY119" s="25" t="n">
        <v>0</v>
      </c>
      <c r="BZ119" s="25" t="n">
        <v>0</v>
      </c>
      <c r="CA119" s="25" t="n">
        <v>0</v>
      </c>
      <c r="CB119" s="25" t="n">
        <v>0</v>
      </c>
      <c r="CC119" s="25" t="n">
        <v>0</v>
      </c>
      <c r="CD119" s="25" t="n">
        <v>0</v>
      </c>
      <c r="CE119" s="25" t="n">
        <v>0</v>
      </c>
      <c r="CF119" s="25" t="n">
        <v>0</v>
      </c>
      <c r="CG119" s="25" t="n">
        <v>0</v>
      </c>
      <c r="CH119" s="25" t="n">
        <v>0</v>
      </c>
      <c r="CI119" s="25" t="n">
        <v>0</v>
      </c>
      <c r="CJ119" s="25" t="n">
        <v>0</v>
      </c>
      <c r="CK119" s="25" t="n">
        <v>0</v>
      </c>
      <c r="CL119" s="25" t="n">
        <v>0</v>
      </c>
      <c r="CM119" s="25" t="n">
        <v>0</v>
      </c>
      <c r="CN119" s="25" t="n">
        <v>0</v>
      </c>
      <c r="CO119" s="25" t="n">
        <v>0</v>
      </c>
      <c r="CP119" s="25" t="n">
        <v>0</v>
      </c>
      <c r="CQ119" s="25" t="n">
        <v>0</v>
      </c>
      <c r="CR119" s="25" t="n">
        <v>0</v>
      </c>
      <c r="CS119" s="25" t="n">
        <v>0</v>
      </c>
      <c r="CT119" s="25" t="n">
        <v>0</v>
      </c>
      <c r="CU119" s="25" t="n">
        <v>0</v>
      </c>
      <c r="CV119" s="25" t="n">
        <v>0</v>
      </c>
      <c r="CW119" s="25" t="n">
        <v>0</v>
      </c>
      <c r="CX119" s="25" t="n">
        <v>0</v>
      </c>
      <c r="CY119" s="25" t="n">
        <v>0</v>
      </c>
      <c r="CZ119" s="25" t="n">
        <v>0</v>
      </c>
      <c r="DA119" s="25" t="n">
        <v>0</v>
      </c>
    </row>
    <row r="120">
      <c r="A120" t="inlineStr">
        <is>
          <t>VSZ-745</t>
        </is>
      </c>
      <c r="B120" s="25" t="n">
        <v>0</v>
      </c>
      <c r="C120" s="25" t="n">
        <v>0</v>
      </c>
      <c r="D120" s="25" t="n">
        <v>0</v>
      </c>
      <c r="E120" s="25" t="n">
        <v>0</v>
      </c>
      <c r="F120" s="25" t="n">
        <v>0</v>
      </c>
      <c r="G120" s="25" t="n">
        <v>0</v>
      </c>
      <c r="H120" s="25" t="n">
        <v>0</v>
      </c>
      <c r="I120" s="25" t="n">
        <v>0</v>
      </c>
      <c r="J120" s="25" t="n">
        <v>0</v>
      </c>
      <c r="K120" s="25" t="n">
        <v>0</v>
      </c>
      <c r="L120" s="25" t="n">
        <v>0</v>
      </c>
      <c r="M120" s="25" t="n">
        <v>0</v>
      </c>
      <c r="N120" s="25" t="n">
        <v>0</v>
      </c>
      <c r="O120" s="25" t="n">
        <v>0</v>
      </c>
      <c r="P120" s="25" t="n">
        <v>0</v>
      </c>
      <c r="Q120" s="25" t="n">
        <v>0</v>
      </c>
      <c r="R120" s="25" t="n">
        <v>0</v>
      </c>
      <c r="S120" s="25" t="n">
        <v>0</v>
      </c>
      <c r="T120" s="25" t="n">
        <v>0</v>
      </c>
      <c r="U120" s="25" t="n">
        <v>0</v>
      </c>
      <c r="V120" s="25" t="n">
        <v>0</v>
      </c>
      <c r="W120" s="25" t="n">
        <v>0</v>
      </c>
      <c r="X120" s="25" t="n">
        <v>0</v>
      </c>
      <c r="Y120" s="25" t="n">
        <v>0</v>
      </c>
      <c r="Z120" s="25" t="n">
        <v>0</v>
      </c>
      <c r="AA120" s="25" t="n">
        <v>0</v>
      </c>
      <c r="AB120" s="25" t="n">
        <v>0</v>
      </c>
      <c r="AC120" s="25" t="n">
        <v>0</v>
      </c>
      <c r="AD120" s="25" t="n">
        <v>0</v>
      </c>
      <c r="AE120" s="25" t="n">
        <v>0</v>
      </c>
      <c r="AF120" s="25" t="n">
        <v>0</v>
      </c>
      <c r="AG120" s="25" t="n">
        <v>0</v>
      </c>
      <c r="AH120" s="25" t="n">
        <v>0</v>
      </c>
      <c r="AI120" s="25" t="n">
        <v>0</v>
      </c>
      <c r="AJ120" s="25" t="n">
        <v>0</v>
      </c>
      <c r="AK120" s="25" t="n">
        <v>0</v>
      </c>
      <c r="AL120" s="25" t="n">
        <v>0</v>
      </c>
      <c r="AM120" s="25" t="n">
        <v>0</v>
      </c>
      <c r="AN120" s="25" t="n">
        <v>0</v>
      </c>
      <c r="AO120" s="25" t="n">
        <v>0</v>
      </c>
      <c r="AP120" s="25" t="n">
        <v>0</v>
      </c>
      <c r="AQ120" s="25" t="n">
        <v>0</v>
      </c>
      <c r="AR120" s="25" t="n">
        <v>0</v>
      </c>
      <c r="AS120" s="25" t="n">
        <v>0</v>
      </c>
      <c r="AT120" s="25" t="n">
        <v>0</v>
      </c>
      <c r="AU120" s="25" t="n">
        <v>0</v>
      </c>
      <c r="AV120" s="25" t="n">
        <v>0</v>
      </c>
      <c r="AW120" s="25" t="n">
        <v>0</v>
      </c>
      <c r="AX120" s="25" t="n">
        <v>0</v>
      </c>
      <c r="AY120" s="25" t="n">
        <v>0</v>
      </c>
      <c r="AZ120" s="25" t="n">
        <v>0</v>
      </c>
      <c r="BA120" s="25" t="n">
        <v>0</v>
      </c>
      <c r="BB120" s="25" t="n">
        <v>0</v>
      </c>
      <c r="BC120" s="25" t="n">
        <v>0</v>
      </c>
      <c r="BD120" s="25" t="n">
        <v>0</v>
      </c>
      <c r="BE120" s="25" t="n">
        <v>0</v>
      </c>
      <c r="BF120" s="25" t="n">
        <v>0</v>
      </c>
      <c r="BG120" s="25" t="n">
        <v>0</v>
      </c>
      <c r="BH120" s="25" t="n">
        <v>0</v>
      </c>
      <c r="BI120" s="25" t="n">
        <v>0</v>
      </c>
      <c r="BJ120" s="25" t="n">
        <v>0</v>
      </c>
      <c r="BK120" s="25" t="n">
        <v>0</v>
      </c>
      <c r="BL120" s="25" t="n">
        <v>0</v>
      </c>
      <c r="BM120" s="25" t="n">
        <v>0</v>
      </c>
      <c r="BN120" s="25" t="n">
        <v>0</v>
      </c>
      <c r="BO120" s="25" t="n">
        <v>0</v>
      </c>
      <c r="BP120" s="25" t="n">
        <v>0</v>
      </c>
      <c r="BQ120" s="25" t="n">
        <v>0</v>
      </c>
      <c r="BR120" s="25" t="n">
        <v>0</v>
      </c>
      <c r="BS120" s="25" t="n">
        <v>0</v>
      </c>
      <c r="BT120" s="25" t="n">
        <v>0</v>
      </c>
      <c r="BU120" s="25" t="n">
        <v>0</v>
      </c>
      <c r="BV120" s="25" t="n">
        <v>0</v>
      </c>
      <c r="BW120" s="25" t="n">
        <v>0</v>
      </c>
      <c r="BX120" s="25" t="n">
        <v>0</v>
      </c>
      <c r="BY120" s="25" t="n">
        <v>0</v>
      </c>
      <c r="BZ120" s="25" t="n">
        <v>0</v>
      </c>
      <c r="CA120" s="25" t="n">
        <v>0</v>
      </c>
      <c r="CB120" s="25" t="n">
        <v>0</v>
      </c>
      <c r="CC120" s="25" t="n">
        <v>0</v>
      </c>
      <c r="CD120" s="25" t="n">
        <v>0</v>
      </c>
      <c r="CE120" s="25" t="n">
        <v>0</v>
      </c>
      <c r="CF120" s="25" t="n">
        <v>0</v>
      </c>
      <c r="CG120" s="25" t="n">
        <v>0</v>
      </c>
      <c r="CH120" s="25" t="n">
        <v>0</v>
      </c>
      <c r="CI120" s="25" t="n">
        <v>0</v>
      </c>
      <c r="CJ120" s="25" t="n">
        <v>0</v>
      </c>
      <c r="CK120" s="25" t="n">
        <v>0</v>
      </c>
      <c r="CL120" s="25" t="n">
        <v>0</v>
      </c>
      <c r="CM120" s="25" t="n">
        <v>0</v>
      </c>
      <c r="CN120" s="25" t="n">
        <v>0</v>
      </c>
      <c r="CO120" s="25" t="n">
        <v>0</v>
      </c>
      <c r="CP120" s="25" t="n">
        <v>0</v>
      </c>
      <c r="CQ120" s="25" t="n">
        <v>0</v>
      </c>
      <c r="CR120" s="25" t="n">
        <v>0</v>
      </c>
      <c r="CS120" s="25" t="n">
        <v>0</v>
      </c>
      <c r="CT120" s="25" t="n">
        <v>0</v>
      </c>
      <c r="CU120" s="25" t="n">
        <v>0</v>
      </c>
      <c r="CV120" s="25" t="n">
        <v>0</v>
      </c>
      <c r="CW120" s="25" t="n">
        <v>0</v>
      </c>
      <c r="CX120" s="25" t="n">
        <v>0</v>
      </c>
      <c r="CY120" s="25" t="n">
        <v>0</v>
      </c>
      <c r="CZ120" s="25" t="n">
        <v>0</v>
      </c>
      <c r="DA120" s="25" t="n">
        <v>0</v>
      </c>
    </row>
    <row r="121">
      <c r="A121" t="inlineStr">
        <is>
          <t>0Q110</t>
        </is>
      </c>
      <c r="B121" s="25" t="n">
        <v>0</v>
      </c>
      <c r="C121" s="25" t="n">
        <v>0</v>
      </c>
      <c r="D121" s="25" t="n">
        <v>0</v>
      </c>
      <c r="E121" s="25" t="n">
        <v>0</v>
      </c>
      <c r="F121" s="25" t="n">
        <v>0</v>
      </c>
      <c r="G121" s="25" t="n">
        <v>0</v>
      </c>
      <c r="H121" s="25" t="n">
        <v>0</v>
      </c>
      <c r="I121" s="25" t="n">
        <v>0</v>
      </c>
      <c r="J121" s="25" t="n">
        <v>0</v>
      </c>
      <c r="K121" s="25" t="n">
        <v>0</v>
      </c>
      <c r="L121" s="25" t="n">
        <v>0</v>
      </c>
      <c r="M121" s="25" t="n">
        <v>0</v>
      </c>
      <c r="N121" s="25" t="n">
        <v>0</v>
      </c>
      <c r="O121" s="25" t="n">
        <v>0</v>
      </c>
      <c r="P121" s="25" t="n">
        <v>0</v>
      </c>
      <c r="Q121" s="25" t="n">
        <v>0</v>
      </c>
      <c r="R121" s="25" t="n">
        <v>0</v>
      </c>
      <c r="S121" s="25" t="n">
        <v>0</v>
      </c>
      <c r="T121" s="25" t="n">
        <v>0</v>
      </c>
      <c r="U121" s="25" t="n">
        <v>0</v>
      </c>
      <c r="V121" s="25" t="n">
        <v>0</v>
      </c>
      <c r="W121" s="25" t="n">
        <v>0</v>
      </c>
      <c r="X121" s="25" t="n">
        <v>0</v>
      </c>
      <c r="Y121" s="25" t="n">
        <v>0</v>
      </c>
      <c r="Z121" s="25" t="n">
        <v>0</v>
      </c>
      <c r="AA121" s="25" t="n">
        <v>0</v>
      </c>
      <c r="AB121" s="25" t="n">
        <v>0</v>
      </c>
      <c r="AC121" s="25" t="n">
        <v>0</v>
      </c>
      <c r="AD121" s="25" t="n">
        <v>0</v>
      </c>
      <c r="AE121" s="25" t="n">
        <v>0</v>
      </c>
      <c r="AF121" s="25" t="n">
        <v>0</v>
      </c>
      <c r="AG121" s="25" t="n">
        <v>0</v>
      </c>
      <c r="AH121" s="25" t="n">
        <v>0</v>
      </c>
      <c r="AI121" s="25" t="n">
        <v>0</v>
      </c>
      <c r="AJ121" s="25" t="n">
        <v>0</v>
      </c>
      <c r="AK121" s="25" t="n">
        <v>0</v>
      </c>
      <c r="AL121" s="25" t="n">
        <v>0</v>
      </c>
      <c r="AM121" s="25" t="n">
        <v>0</v>
      </c>
      <c r="AN121" s="25" t="n">
        <v>0</v>
      </c>
      <c r="AO121" s="25" t="n">
        <v>0</v>
      </c>
      <c r="AP121" s="25" t="n">
        <v>0</v>
      </c>
      <c r="AQ121" s="25" t="n">
        <v>0</v>
      </c>
      <c r="AR121" s="25" t="n">
        <v>0</v>
      </c>
      <c r="AS121" s="25" t="n">
        <v>0</v>
      </c>
      <c r="AT121" s="25" t="n">
        <v>0</v>
      </c>
      <c r="AU121" s="25" t="n">
        <v>0</v>
      </c>
      <c r="AV121" s="25" t="n">
        <v>0</v>
      </c>
      <c r="AW121" s="25" t="n">
        <v>0</v>
      </c>
      <c r="AX121" s="25" t="n">
        <v>0</v>
      </c>
      <c r="AY121" s="25" t="n">
        <v>0</v>
      </c>
      <c r="AZ121" s="25" t="n">
        <v>0</v>
      </c>
      <c r="BA121" s="25" t="n">
        <v>0</v>
      </c>
      <c r="BB121" s="25" t="n">
        <v>0</v>
      </c>
      <c r="BC121" s="25" t="n">
        <v>0</v>
      </c>
      <c r="BD121" s="25" t="n">
        <v>0</v>
      </c>
      <c r="BE121" s="25" t="n">
        <v>0</v>
      </c>
      <c r="BF121" s="25" t="n">
        <v>0</v>
      </c>
      <c r="BG121" s="25" t="n">
        <v>0</v>
      </c>
      <c r="BH121" s="25" t="n">
        <v>0</v>
      </c>
      <c r="BI121" s="25" t="n">
        <v>0</v>
      </c>
      <c r="BJ121" s="25" t="n">
        <v>0</v>
      </c>
      <c r="BK121" s="25" t="n">
        <v>0</v>
      </c>
      <c r="BL121" s="25" t="n">
        <v>0</v>
      </c>
      <c r="BM121" s="25" t="n">
        <v>0</v>
      </c>
      <c r="BN121" s="25" t="n">
        <v>0</v>
      </c>
      <c r="BO121" s="25" t="n">
        <v>0</v>
      </c>
      <c r="BP121" s="25" t="n">
        <v>0</v>
      </c>
      <c r="BQ121" s="25" t="n">
        <v>0</v>
      </c>
      <c r="BR121" s="25" t="n">
        <v>0</v>
      </c>
      <c r="BS121" s="25" t="n">
        <v>0</v>
      </c>
      <c r="BT121" s="25" t="n">
        <v>0</v>
      </c>
      <c r="BU121" s="25" t="n">
        <v>0</v>
      </c>
      <c r="BV121" s="25" t="n">
        <v>0</v>
      </c>
      <c r="BW121" s="25" t="n">
        <v>0</v>
      </c>
      <c r="BX121" s="25" t="n">
        <v>0</v>
      </c>
      <c r="BY121" s="25" t="n">
        <v>0</v>
      </c>
      <c r="BZ121" s="25" t="n">
        <v>0</v>
      </c>
      <c r="CA121" s="25" t="n">
        <v>0</v>
      </c>
      <c r="CB121" s="25" t="n">
        <v>0</v>
      </c>
      <c r="CC121" s="25" t="n">
        <v>0</v>
      </c>
      <c r="CD121" s="25" t="n">
        <v>0</v>
      </c>
      <c r="CE121" s="25" t="n">
        <v>0</v>
      </c>
      <c r="CF121" s="25" t="n">
        <v>0</v>
      </c>
      <c r="CG121" s="25" t="n">
        <v>0</v>
      </c>
      <c r="CH121" s="25" t="n">
        <v>0</v>
      </c>
      <c r="CI121" s="25" t="n">
        <v>0</v>
      </c>
      <c r="CJ121" s="25" t="n">
        <v>0</v>
      </c>
      <c r="CK121" s="25" t="n">
        <v>0</v>
      </c>
      <c r="CL121" s="25" t="n">
        <v>0</v>
      </c>
      <c r="CM121" s="25" t="n">
        <v>0</v>
      </c>
      <c r="CN121" s="25" t="n">
        <v>0</v>
      </c>
      <c r="CO121" s="25" t="n">
        <v>0</v>
      </c>
      <c r="CP121" s="25" t="n">
        <v>0</v>
      </c>
      <c r="CQ121" s="25" t="n">
        <v>0</v>
      </c>
      <c r="CR121" s="25" t="n">
        <v>0</v>
      </c>
      <c r="CS121" s="25" t="n">
        <v>0</v>
      </c>
      <c r="CT121" s="25" t="n">
        <v>0</v>
      </c>
      <c r="CU121" s="25" t="n">
        <v>0</v>
      </c>
      <c r="CV121" s="25" t="n">
        <v>0</v>
      </c>
      <c r="CW121" s="25" t="n">
        <v>0</v>
      </c>
      <c r="CX121" s="25" t="n">
        <v>0</v>
      </c>
      <c r="CY121" s="25" t="n">
        <v>0</v>
      </c>
      <c r="CZ121" s="25" t="n">
        <v>0</v>
      </c>
      <c r="DA121" s="25" t="n">
        <v>0</v>
      </c>
    </row>
    <row r="122">
      <c r="A122" t="inlineStr">
        <is>
          <t>0TA30</t>
        </is>
      </c>
      <c r="B122" s="25" t="n">
        <v>0</v>
      </c>
      <c r="C122" s="25" t="n">
        <v>0</v>
      </c>
      <c r="D122" s="25" t="n">
        <v>0</v>
      </c>
      <c r="E122" s="25" t="n">
        <v>0</v>
      </c>
      <c r="F122" s="25" t="n">
        <v>0</v>
      </c>
      <c r="G122" s="25" t="n">
        <v>0</v>
      </c>
      <c r="H122" s="25" t="n">
        <v>0</v>
      </c>
      <c r="I122" s="25" t="n">
        <v>0</v>
      </c>
      <c r="J122" s="25" t="n">
        <v>0</v>
      </c>
      <c r="K122" s="25" t="n">
        <v>0</v>
      </c>
      <c r="L122" s="25" t="n">
        <v>0</v>
      </c>
      <c r="M122" s="25" t="n">
        <v>0</v>
      </c>
      <c r="N122" s="25" t="n">
        <v>0</v>
      </c>
      <c r="O122" s="25" t="n">
        <v>0</v>
      </c>
      <c r="P122" s="25" t="n">
        <v>0</v>
      </c>
      <c r="Q122" s="25" t="n">
        <v>0</v>
      </c>
      <c r="R122" s="25" t="n">
        <v>0</v>
      </c>
      <c r="S122" s="25" t="n">
        <v>0</v>
      </c>
      <c r="T122" s="25" t="n">
        <v>0</v>
      </c>
      <c r="U122" s="25" t="n">
        <v>0</v>
      </c>
      <c r="V122" s="25" t="n">
        <v>0</v>
      </c>
      <c r="W122" s="25" t="n">
        <v>0</v>
      </c>
      <c r="X122" s="25" t="n">
        <v>0</v>
      </c>
      <c r="Y122" s="25" t="n">
        <v>0</v>
      </c>
      <c r="Z122" s="25" t="n">
        <v>0</v>
      </c>
      <c r="AA122" s="25" t="n">
        <v>0</v>
      </c>
      <c r="AB122" s="25" t="n">
        <v>2352</v>
      </c>
      <c r="AC122" s="25" t="n">
        <v>0</v>
      </c>
      <c r="AD122" s="25" t="n">
        <v>0</v>
      </c>
      <c r="AE122" s="25" t="n">
        <v>0</v>
      </c>
      <c r="AF122" s="25" t="n">
        <v>0</v>
      </c>
      <c r="AG122" s="25" t="n">
        <v>1176</v>
      </c>
      <c r="AH122" s="25" t="n">
        <v>0</v>
      </c>
      <c r="AI122" s="25" t="n">
        <v>0</v>
      </c>
      <c r="AJ122" s="25" t="n">
        <v>0</v>
      </c>
      <c r="AK122" s="25" t="n">
        <v>1176</v>
      </c>
      <c r="AL122" s="25" t="n">
        <v>0</v>
      </c>
      <c r="AM122" s="25" t="n">
        <v>0</v>
      </c>
      <c r="AN122" s="25" t="n">
        <v>0</v>
      </c>
      <c r="AO122" s="25" t="n">
        <v>0</v>
      </c>
      <c r="AP122" s="25" t="n">
        <v>1176</v>
      </c>
      <c r="AQ122" s="25" t="n">
        <v>0</v>
      </c>
      <c r="AR122" s="25" t="n">
        <v>0</v>
      </c>
      <c r="AS122" s="25" t="n">
        <v>0</v>
      </c>
      <c r="AT122" s="25" t="n">
        <v>1176</v>
      </c>
      <c r="AU122" s="25" t="n">
        <v>0</v>
      </c>
      <c r="AV122" s="25" t="n">
        <v>0</v>
      </c>
      <c r="AW122" s="25" t="n">
        <v>0</v>
      </c>
      <c r="AX122" s="25" t="n">
        <v>1176</v>
      </c>
      <c r="AY122" s="25" t="n">
        <v>0</v>
      </c>
      <c r="AZ122" s="25" t="n">
        <v>0</v>
      </c>
      <c r="BA122" s="25" t="n">
        <v>0</v>
      </c>
      <c r="BB122" s="25" t="n">
        <v>0</v>
      </c>
      <c r="BC122" s="25" t="n">
        <v>0</v>
      </c>
      <c r="BD122" s="25" t="n">
        <v>0</v>
      </c>
      <c r="BE122" s="25" t="n">
        <v>0</v>
      </c>
      <c r="BF122" s="25" t="n">
        <v>1176</v>
      </c>
      <c r="BG122" s="25" t="n">
        <v>0</v>
      </c>
      <c r="BH122" s="25" t="n">
        <v>0</v>
      </c>
      <c r="BI122" s="25" t="n">
        <v>0</v>
      </c>
      <c r="BJ122" s="25" t="n">
        <v>1176</v>
      </c>
      <c r="BK122" s="25" t="n">
        <v>0</v>
      </c>
      <c r="BL122" s="25" t="n">
        <v>0</v>
      </c>
      <c r="BM122" s="25" t="n">
        <v>0</v>
      </c>
      <c r="BN122" s="25" t="n">
        <v>1176</v>
      </c>
      <c r="BO122" s="25" t="n">
        <v>0</v>
      </c>
      <c r="BP122" s="25" t="n">
        <v>0</v>
      </c>
      <c r="BQ122" s="25" t="n">
        <v>0</v>
      </c>
      <c r="BR122" s="25" t="n">
        <v>1176</v>
      </c>
      <c r="BS122" s="25" t="n">
        <v>1176</v>
      </c>
      <c r="BT122" s="25" t="n">
        <v>1176</v>
      </c>
      <c r="BU122" s="25" t="n">
        <v>1176</v>
      </c>
      <c r="BV122" s="25" t="n">
        <v>0</v>
      </c>
      <c r="BW122" s="25" t="n">
        <v>1176</v>
      </c>
      <c r="BX122" s="25" t="n">
        <v>0</v>
      </c>
      <c r="BY122" s="25" t="n">
        <v>0</v>
      </c>
      <c r="BZ122" s="25" t="n">
        <v>0</v>
      </c>
      <c r="CA122" s="25" t="n">
        <v>0</v>
      </c>
      <c r="CB122" s="25" t="n">
        <v>0</v>
      </c>
      <c r="CC122" s="25" t="n">
        <v>0</v>
      </c>
      <c r="CD122" s="25" t="n">
        <v>0</v>
      </c>
      <c r="CE122" s="25" t="n">
        <v>0</v>
      </c>
      <c r="CF122" s="25" t="n">
        <v>0</v>
      </c>
      <c r="CG122" s="25" t="n">
        <v>0</v>
      </c>
      <c r="CH122" s="25" t="n">
        <v>0</v>
      </c>
      <c r="CI122" s="25" t="n">
        <v>0</v>
      </c>
      <c r="CJ122" s="25" t="n">
        <v>0</v>
      </c>
      <c r="CK122" s="25" t="n">
        <v>0</v>
      </c>
      <c r="CL122" s="25" t="n">
        <v>0</v>
      </c>
      <c r="CM122" s="25" t="n">
        <v>0</v>
      </c>
      <c r="CN122" s="25" t="n">
        <v>0</v>
      </c>
      <c r="CO122" s="25" t="n">
        <v>0</v>
      </c>
      <c r="CP122" s="25" t="n">
        <v>0</v>
      </c>
      <c r="CQ122" s="25" t="n">
        <v>0</v>
      </c>
      <c r="CR122" s="25" t="n">
        <v>0</v>
      </c>
      <c r="CS122" s="25" t="n">
        <v>0</v>
      </c>
      <c r="CT122" s="25" t="n">
        <v>0</v>
      </c>
      <c r="CU122" s="25" t="n">
        <v>0</v>
      </c>
      <c r="CV122" s="25" t="n">
        <v>0</v>
      </c>
      <c r="CW122" s="25" t="n">
        <v>0</v>
      </c>
      <c r="CX122" s="25" t="n">
        <v>0</v>
      </c>
      <c r="CY122" s="25" t="n">
        <v>0</v>
      </c>
      <c r="CZ122" s="25" t="n">
        <v>0</v>
      </c>
      <c r="DA122" s="25" t="n">
        <v>0</v>
      </c>
    </row>
    <row r="123">
      <c r="A123" t="inlineStr">
        <is>
          <t>Ester Film</t>
        </is>
      </c>
      <c r="B123" s="25" t="n">
        <v>0</v>
      </c>
      <c r="C123" s="25" t="n">
        <v>0</v>
      </c>
      <c r="D123" s="25" t="n">
        <v>0</v>
      </c>
      <c r="E123" s="25" t="n">
        <v>0</v>
      </c>
      <c r="F123" s="25" t="n">
        <v>0</v>
      </c>
      <c r="G123" s="25" t="n">
        <v>0</v>
      </c>
      <c r="H123" s="25" t="n">
        <v>0</v>
      </c>
      <c r="I123" s="25" t="n">
        <v>0</v>
      </c>
      <c r="J123" s="25" t="n">
        <v>0</v>
      </c>
      <c r="K123" s="25" t="n">
        <v>0</v>
      </c>
      <c r="L123" s="25" t="n">
        <v>0</v>
      </c>
      <c r="M123" s="25" t="n">
        <v>0</v>
      </c>
      <c r="N123" s="25" t="n">
        <v>0</v>
      </c>
      <c r="O123" s="25" t="n">
        <v>0</v>
      </c>
      <c r="P123" s="25" t="n">
        <v>0</v>
      </c>
      <c r="Q123" s="25" t="n">
        <v>0</v>
      </c>
      <c r="R123" s="25" t="n">
        <v>0</v>
      </c>
      <c r="S123" s="25" t="n">
        <v>0</v>
      </c>
      <c r="T123" s="25" t="n">
        <v>0</v>
      </c>
      <c r="U123" s="25" t="n">
        <v>0</v>
      </c>
      <c r="V123" s="25" t="n">
        <v>0</v>
      </c>
      <c r="W123" s="25" t="n">
        <v>0</v>
      </c>
      <c r="X123" s="25" t="n">
        <v>5</v>
      </c>
      <c r="Y123" s="25" t="n">
        <v>5</v>
      </c>
      <c r="Z123" s="25" t="n">
        <v>5</v>
      </c>
      <c r="AA123" s="25" t="n">
        <v>5</v>
      </c>
      <c r="AB123" s="25" t="n">
        <v>5</v>
      </c>
      <c r="AC123" s="25" t="n">
        <v>5</v>
      </c>
      <c r="AD123" s="25" t="n">
        <v>5</v>
      </c>
      <c r="AE123" s="25" t="n">
        <v>5</v>
      </c>
      <c r="AF123" s="25" t="n">
        <v>5</v>
      </c>
      <c r="AG123" s="25" t="n">
        <v>5</v>
      </c>
      <c r="AH123" s="25" t="n">
        <v>5</v>
      </c>
      <c r="AI123" s="25" t="n">
        <v>5</v>
      </c>
      <c r="AJ123" s="25" t="n">
        <v>5</v>
      </c>
      <c r="AK123" s="25" t="n">
        <v>5</v>
      </c>
      <c r="AL123" s="25" t="n">
        <v>5</v>
      </c>
      <c r="AM123" s="25" t="n">
        <v>5</v>
      </c>
      <c r="AN123" s="25" t="n">
        <v>5</v>
      </c>
      <c r="AO123" s="25" t="n">
        <v>5</v>
      </c>
      <c r="AP123" s="25" t="n">
        <v>5</v>
      </c>
      <c r="AQ123" s="25" t="n">
        <v>5</v>
      </c>
      <c r="AR123" s="25" t="n">
        <v>5</v>
      </c>
      <c r="AS123" s="25" t="n">
        <v>5</v>
      </c>
      <c r="AT123" s="25" t="n">
        <v>5</v>
      </c>
      <c r="AU123" s="25" t="n">
        <v>5</v>
      </c>
      <c r="AV123" s="25" t="n">
        <v>5</v>
      </c>
      <c r="AW123" s="25" t="n">
        <v>5</v>
      </c>
      <c r="AX123" s="25" t="n">
        <v>5</v>
      </c>
      <c r="AY123" s="25" t="n">
        <v>5</v>
      </c>
      <c r="AZ123" s="25" t="n">
        <v>5</v>
      </c>
      <c r="BA123" s="25" t="n">
        <v>5</v>
      </c>
      <c r="BB123" s="25" t="n">
        <v>5</v>
      </c>
      <c r="BC123" s="25" t="n">
        <v>5</v>
      </c>
      <c r="BD123" s="25" t="n">
        <v>5</v>
      </c>
      <c r="BE123" s="25" t="n">
        <v>5</v>
      </c>
      <c r="BF123" s="25" t="n">
        <v>5</v>
      </c>
      <c r="BG123" s="25" t="n">
        <v>5</v>
      </c>
      <c r="BH123" s="25" t="n">
        <v>5</v>
      </c>
      <c r="BI123" s="25" t="n">
        <v>5</v>
      </c>
      <c r="BJ123" s="25" t="n">
        <v>5</v>
      </c>
      <c r="BK123" s="25" t="n">
        <v>5</v>
      </c>
      <c r="BL123" s="25" t="n">
        <v>5</v>
      </c>
      <c r="BM123" s="25" t="n">
        <v>5</v>
      </c>
      <c r="BN123" s="25" t="n">
        <v>5</v>
      </c>
      <c r="BO123" s="25" t="n">
        <v>5</v>
      </c>
      <c r="BP123" s="25" t="n">
        <v>5</v>
      </c>
      <c r="BQ123" s="25" t="n">
        <v>5</v>
      </c>
      <c r="BR123" s="25" t="n">
        <v>5</v>
      </c>
      <c r="BS123" s="25" t="n">
        <v>5</v>
      </c>
      <c r="BT123" s="25" t="n">
        <v>5</v>
      </c>
      <c r="BU123" s="25" t="n">
        <v>5</v>
      </c>
      <c r="BV123" s="25" t="n">
        <v>5</v>
      </c>
      <c r="BW123" s="25" t="n">
        <v>5</v>
      </c>
      <c r="BX123" s="25" t="n">
        <v>0</v>
      </c>
      <c r="BY123" s="25" t="n">
        <v>0</v>
      </c>
      <c r="BZ123" s="25" t="n">
        <v>0</v>
      </c>
      <c r="CA123" s="25" t="n">
        <v>0</v>
      </c>
      <c r="CB123" s="25" t="n">
        <v>0</v>
      </c>
      <c r="CC123" s="25" t="n">
        <v>0</v>
      </c>
      <c r="CD123" s="25" t="n">
        <v>0</v>
      </c>
      <c r="CE123" s="25" t="n">
        <v>0</v>
      </c>
      <c r="CF123" s="25" t="n">
        <v>0</v>
      </c>
      <c r="CG123" s="25" t="n">
        <v>0</v>
      </c>
      <c r="CH123" s="25" t="n">
        <v>0</v>
      </c>
      <c r="CI123" s="25" t="n">
        <v>0</v>
      </c>
      <c r="CJ123" s="25" t="n">
        <v>0</v>
      </c>
      <c r="CK123" s="25" t="n">
        <v>0</v>
      </c>
      <c r="CL123" s="25" t="n">
        <v>0</v>
      </c>
      <c r="CM123" s="25" t="n">
        <v>0</v>
      </c>
      <c r="CN123" s="25" t="n">
        <v>0</v>
      </c>
      <c r="CO123" s="25" t="n">
        <v>0</v>
      </c>
      <c r="CP123" s="25" t="n">
        <v>0</v>
      </c>
      <c r="CQ123" s="25" t="n">
        <v>0</v>
      </c>
      <c r="CR123" s="25" t="n">
        <v>0</v>
      </c>
      <c r="CS123" s="25" t="n">
        <v>0</v>
      </c>
      <c r="CT123" s="25" t="n">
        <v>0</v>
      </c>
      <c r="CU123" s="25" t="n">
        <v>0</v>
      </c>
      <c r="CV123" s="25" t="n">
        <v>0</v>
      </c>
      <c r="CW123" s="25" t="n">
        <v>0</v>
      </c>
      <c r="CX123" s="25" t="n">
        <v>0</v>
      </c>
      <c r="CY123" s="25" t="n">
        <v>0</v>
      </c>
      <c r="CZ123" s="25" t="n">
        <v>0</v>
      </c>
      <c r="DA123" s="25" t="n">
        <v>0</v>
      </c>
    </row>
    <row r="124">
      <c r="A124" t="inlineStr">
        <is>
          <t>F2090</t>
        </is>
      </c>
      <c r="B124" s="25" t="n">
        <v>0</v>
      </c>
      <c r="C124" s="25" t="n">
        <v>0</v>
      </c>
      <c r="D124" s="25" t="n">
        <v>0</v>
      </c>
      <c r="E124" s="25" t="n">
        <v>0</v>
      </c>
      <c r="F124" s="25" t="n">
        <v>0</v>
      </c>
      <c r="G124" s="25" t="n">
        <v>0</v>
      </c>
      <c r="H124" s="25" t="n">
        <v>0</v>
      </c>
      <c r="I124" s="25" t="n">
        <v>0</v>
      </c>
      <c r="J124" s="25" t="n">
        <v>0</v>
      </c>
      <c r="K124" s="25" t="n">
        <v>0</v>
      </c>
      <c r="L124" s="25" t="n">
        <v>0</v>
      </c>
      <c r="M124" s="25" t="n">
        <v>0</v>
      </c>
      <c r="N124" s="25" t="n">
        <v>0</v>
      </c>
      <c r="O124" s="25" t="n">
        <v>0</v>
      </c>
      <c r="P124" s="25" t="n">
        <v>0</v>
      </c>
      <c r="Q124" s="25" t="n">
        <v>0</v>
      </c>
      <c r="R124" s="25" t="n">
        <v>0</v>
      </c>
      <c r="S124" s="25" t="n">
        <v>0</v>
      </c>
      <c r="T124" s="25" t="n">
        <v>0</v>
      </c>
      <c r="U124" s="25" t="n">
        <v>0</v>
      </c>
      <c r="V124" s="25" t="n">
        <v>0</v>
      </c>
      <c r="W124" s="25" t="n">
        <v>0</v>
      </c>
      <c r="X124" s="25" t="n">
        <v>0</v>
      </c>
      <c r="Y124" s="25" t="n">
        <v>15840</v>
      </c>
      <c r="Z124" s="25" t="n">
        <v>0</v>
      </c>
      <c r="AA124" s="25" t="n">
        <v>7920</v>
      </c>
      <c r="AB124" s="25" t="n">
        <v>5940</v>
      </c>
      <c r="AC124" s="25" t="n">
        <v>7920</v>
      </c>
      <c r="AD124" s="25" t="n">
        <v>5940</v>
      </c>
      <c r="AE124" s="25" t="n">
        <v>7920</v>
      </c>
      <c r="AF124" s="25" t="n">
        <v>5940</v>
      </c>
      <c r="AG124" s="25" t="n">
        <v>5940</v>
      </c>
      <c r="AH124" s="25" t="n">
        <v>0</v>
      </c>
      <c r="AI124" s="25" t="n">
        <v>5940</v>
      </c>
      <c r="AJ124" s="25" t="n">
        <v>0</v>
      </c>
      <c r="AK124" s="25" t="n">
        <v>7920</v>
      </c>
      <c r="AL124" s="25" t="n">
        <v>0</v>
      </c>
      <c r="AM124" s="25" t="n">
        <v>7920</v>
      </c>
      <c r="AN124" s="25" t="n">
        <v>0</v>
      </c>
      <c r="AO124" s="25" t="n">
        <v>0</v>
      </c>
      <c r="AP124" s="25" t="n">
        <v>7920</v>
      </c>
      <c r="AQ124" s="25" t="n">
        <v>0</v>
      </c>
      <c r="AR124" s="25" t="n">
        <v>7920</v>
      </c>
      <c r="AS124" s="25" t="n">
        <v>0</v>
      </c>
      <c r="AT124" s="25" t="n">
        <v>7920</v>
      </c>
      <c r="AU124" s="25" t="n">
        <v>7920</v>
      </c>
      <c r="AV124" s="25" t="n">
        <v>7920</v>
      </c>
      <c r="AW124" s="25" t="n">
        <v>7920</v>
      </c>
      <c r="AX124" s="25" t="n">
        <v>7920</v>
      </c>
      <c r="AY124" s="25" t="n">
        <v>0</v>
      </c>
      <c r="AZ124" s="25" t="n">
        <v>0</v>
      </c>
      <c r="BA124" s="25" t="n">
        <v>0</v>
      </c>
      <c r="BB124" s="25" t="n">
        <v>0</v>
      </c>
      <c r="BC124" s="25" t="n">
        <v>0</v>
      </c>
      <c r="BD124" s="25" t="n">
        <v>7920</v>
      </c>
      <c r="BE124" s="25" t="n">
        <v>0</v>
      </c>
      <c r="BF124" s="25" t="n">
        <v>7920</v>
      </c>
      <c r="BG124" s="25" t="n">
        <v>0</v>
      </c>
      <c r="BH124" s="25" t="n">
        <v>7920</v>
      </c>
      <c r="BI124" s="25" t="n">
        <v>0</v>
      </c>
      <c r="BJ124" s="25" t="n">
        <v>0</v>
      </c>
      <c r="BK124" s="25" t="n">
        <v>7920</v>
      </c>
      <c r="BL124" s="25" t="n">
        <v>0</v>
      </c>
      <c r="BM124" s="25" t="n">
        <v>0</v>
      </c>
      <c r="BN124" s="25" t="n">
        <v>3960</v>
      </c>
      <c r="BO124" s="25" t="n">
        <v>0</v>
      </c>
      <c r="BP124" s="25" t="n">
        <v>0</v>
      </c>
      <c r="BQ124" s="25" t="n">
        <v>1980</v>
      </c>
      <c r="BR124" s="25" t="n">
        <v>0</v>
      </c>
      <c r="BS124" s="25" t="n">
        <v>0</v>
      </c>
      <c r="BT124" s="25" t="n">
        <v>0</v>
      </c>
      <c r="BU124" s="25" t="n">
        <v>0</v>
      </c>
      <c r="BV124" s="25" t="n">
        <v>0</v>
      </c>
      <c r="BW124" s="25" t="n">
        <v>0</v>
      </c>
      <c r="BX124" s="25" t="n">
        <v>0</v>
      </c>
      <c r="BY124" s="25" t="n">
        <v>0</v>
      </c>
      <c r="BZ124" s="25" t="n">
        <v>0</v>
      </c>
      <c r="CA124" s="25" t="n">
        <v>0</v>
      </c>
      <c r="CB124" s="25" t="n">
        <v>0</v>
      </c>
      <c r="CC124" s="25" t="n">
        <v>0</v>
      </c>
      <c r="CD124" s="25" t="n">
        <v>0</v>
      </c>
      <c r="CE124" s="25" t="n">
        <v>0</v>
      </c>
      <c r="CF124" s="25" t="n">
        <v>0</v>
      </c>
      <c r="CG124" s="25" t="n">
        <v>0</v>
      </c>
      <c r="CH124" s="25" t="n">
        <v>0</v>
      </c>
      <c r="CI124" s="25" t="n">
        <v>0</v>
      </c>
      <c r="CJ124" s="25" t="n">
        <v>0</v>
      </c>
      <c r="CK124" s="25" t="n">
        <v>0</v>
      </c>
      <c r="CL124" s="25" t="n">
        <v>0</v>
      </c>
      <c r="CM124" s="25" t="n">
        <v>0</v>
      </c>
      <c r="CN124" s="25" t="n">
        <v>0</v>
      </c>
      <c r="CO124" s="25" t="n">
        <v>0</v>
      </c>
      <c r="CP124" s="25" t="n">
        <v>0</v>
      </c>
      <c r="CQ124" s="25" t="n">
        <v>0</v>
      </c>
      <c r="CR124" s="25" t="n">
        <v>0</v>
      </c>
      <c r="CS124" s="25" t="n">
        <v>0</v>
      </c>
      <c r="CT124" s="25" t="n">
        <v>0</v>
      </c>
      <c r="CU124" s="25" t="n">
        <v>0</v>
      </c>
      <c r="CV124" s="25" t="n">
        <v>0</v>
      </c>
      <c r="CW124" s="25" t="n">
        <v>0</v>
      </c>
      <c r="CX124" s="25" t="n">
        <v>0</v>
      </c>
      <c r="CY124" s="25" t="n">
        <v>0</v>
      </c>
      <c r="CZ124" s="25" t="n">
        <v>0</v>
      </c>
      <c r="DA124" s="25" t="n">
        <v>0</v>
      </c>
    </row>
    <row r="125">
      <c r="A125" t="inlineStr">
        <is>
          <t>F2290</t>
        </is>
      </c>
      <c r="B125" s="25" t="n">
        <v>0</v>
      </c>
      <c r="C125" s="25" t="n">
        <v>0</v>
      </c>
      <c r="D125" s="25" t="n">
        <v>0</v>
      </c>
      <c r="E125" s="25" t="n">
        <v>0</v>
      </c>
      <c r="F125" s="25" t="n">
        <v>0</v>
      </c>
      <c r="G125" s="25" t="n">
        <v>0</v>
      </c>
      <c r="H125" s="25" t="n">
        <v>0</v>
      </c>
      <c r="I125" s="25" t="n">
        <v>0</v>
      </c>
      <c r="J125" s="25" t="n">
        <v>0</v>
      </c>
      <c r="K125" s="25" t="n">
        <v>0</v>
      </c>
      <c r="L125" s="25" t="n">
        <v>0</v>
      </c>
      <c r="M125" s="25" t="n">
        <v>0</v>
      </c>
      <c r="N125" s="25" t="n">
        <v>0</v>
      </c>
      <c r="O125" s="25" t="n">
        <v>0</v>
      </c>
      <c r="P125" s="25" t="n">
        <v>0</v>
      </c>
      <c r="Q125" s="25" t="n">
        <v>0</v>
      </c>
      <c r="R125" s="25" t="n">
        <v>0</v>
      </c>
      <c r="S125" s="25" t="n">
        <v>0</v>
      </c>
      <c r="T125" s="25" t="n">
        <v>0</v>
      </c>
      <c r="U125" s="25" t="n">
        <v>0</v>
      </c>
      <c r="V125" s="25" t="n">
        <v>0</v>
      </c>
      <c r="W125" s="25" t="n">
        <v>0</v>
      </c>
      <c r="X125" s="25" t="n">
        <v>0</v>
      </c>
      <c r="Y125" s="25" t="n">
        <v>0</v>
      </c>
      <c r="Z125" s="25" t="n">
        <v>0</v>
      </c>
      <c r="AA125" s="25" t="n">
        <v>0</v>
      </c>
      <c r="AB125" s="25" t="n">
        <v>0</v>
      </c>
      <c r="AC125" s="25" t="n">
        <v>0</v>
      </c>
      <c r="AD125" s="25" t="n">
        <v>0</v>
      </c>
      <c r="AE125" s="25" t="n">
        <v>0</v>
      </c>
      <c r="AF125" s="25" t="n">
        <v>1920</v>
      </c>
      <c r="AG125" s="25" t="n">
        <v>0</v>
      </c>
      <c r="AH125" s="25" t="n">
        <v>0</v>
      </c>
      <c r="AI125" s="25" t="n">
        <v>0</v>
      </c>
      <c r="AJ125" s="25" t="n">
        <v>0</v>
      </c>
      <c r="AK125" s="25" t="n">
        <v>0</v>
      </c>
      <c r="AL125" s="25" t="n">
        <v>0</v>
      </c>
      <c r="AM125" s="25" t="n">
        <v>1980</v>
      </c>
      <c r="AN125" s="25" t="n">
        <v>0</v>
      </c>
      <c r="AO125" s="25" t="n">
        <v>0</v>
      </c>
      <c r="AP125" s="25" t="n">
        <v>1980</v>
      </c>
      <c r="AQ125" s="25" t="n">
        <v>0</v>
      </c>
      <c r="AR125" s="25" t="n">
        <v>0</v>
      </c>
      <c r="AS125" s="25" t="n">
        <v>3960</v>
      </c>
      <c r="AT125" s="25" t="n">
        <v>0</v>
      </c>
      <c r="AU125" s="25" t="n">
        <v>0</v>
      </c>
      <c r="AV125" s="25" t="n">
        <v>0</v>
      </c>
      <c r="AW125" s="25" t="n">
        <v>0</v>
      </c>
      <c r="AX125" s="25" t="n">
        <v>3960</v>
      </c>
      <c r="AY125" s="25" t="n">
        <v>0</v>
      </c>
      <c r="AZ125" s="25" t="n">
        <v>0</v>
      </c>
      <c r="BA125" s="25" t="n">
        <v>0</v>
      </c>
      <c r="BB125" s="25" t="n">
        <v>0</v>
      </c>
      <c r="BC125" s="25" t="n">
        <v>0</v>
      </c>
      <c r="BD125" s="25" t="n">
        <v>0</v>
      </c>
      <c r="BE125" s="25" t="n">
        <v>0</v>
      </c>
      <c r="BF125" s="25" t="n">
        <v>0</v>
      </c>
      <c r="BG125" s="25" t="n">
        <v>1980</v>
      </c>
      <c r="BH125" s="25" t="n">
        <v>0</v>
      </c>
      <c r="BI125" s="25" t="n">
        <v>0</v>
      </c>
      <c r="BJ125" s="25" t="n">
        <v>0</v>
      </c>
      <c r="BK125" s="25" t="n">
        <v>1188</v>
      </c>
      <c r="BL125" s="25" t="n">
        <v>0</v>
      </c>
      <c r="BM125" s="25" t="n">
        <v>0</v>
      </c>
      <c r="BN125" s="25" t="n">
        <v>0</v>
      </c>
      <c r="BO125" s="25" t="n">
        <v>0</v>
      </c>
      <c r="BP125" s="25" t="n">
        <v>0</v>
      </c>
      <c r="BQ125" s="25" t="n">
        <v>0</v>
      </c>
      <c r="BR125" s="25" t="n">
        <v>0</v>
      </c>
      <c r="BS125" s="25" t="n">
        <v>0</v>
      </c>
      <c r="BT125" s="25" t="n">
        <v>0</v>
      </c>
      <c r="BU125" s="25" t="n">
        <v>0</v>
      </c>
      <c r="BV125" s="25" t="n">
        <v>0</v>
      </c>
      <c r="BW125" s="25" t="n">
        <v>0</v>
      </c>
      <c r="BX125" s="25" t="n">
        <v>0</v>
      </c>
      <c r="BY125" s="25" t="n">
        <v>0</v>
      </c>
      <c r="BZ125" s="25" t="n">
        <v>0</v>
      </c>
      <c r="CA125" s="25" t="n">
        <v>0</v>
      </c>
      <c r="CB125" s="25" t="n">
        <v>0</v>
      </c>
      <c r="CC125" s="25" t="n">
        <v>0</v>
      </c>
      <c r="CD125" s="25" t="n">
        <v>0</v>
      </c>
      <c r="CE125" s="25" t="n">
        <v>0</v>
      </c>
      <c r="CF125" s="25" t="n">
        <v>0</v>
      </c>
      <c r="CG125" s="25" t="n">
        <v>0</v>
      </c>
      <c r="CH125" s="25" t="n">
        <v>0</v>
      </c>
      <c r="CI125" s="25" t="n">
        <v>0</v>
      </c>
      <c r="CJ125" s="25" t="n">
        <v>0</v>
      </c>
      <c r="CK125" s="25" t="n">
        <v>0</v>
      </c>
      <c r="CL125" s="25" t="n">
        <v>0</v>
      </c>
      <c r="CM125" s="25" t="n">
        <v>0</v>
      </c>
      <c r="CN125" s="25" t="n">
        <v>0</v>
      </c>
      <c r="CO125" s="25" t="n">
        <v>0</v>
      </c>
      <c r="CP125" s="25" t="n">
        <v>0</v>
      </c>
      <c r="CQ125" s="25" t="n">
        <v>0</v>
      </c>
      <c r="CR125" s="25" t="n">
        <v>0</v>
      </c>
      <c r="CS125" s="25" t="n">
        <v>0</v>
      </c>
      <c r="CT125" s="25" t="n">
        <v>0</v>
      </c>
      <c r="CU125" s="25" t="n">
        <v>0</v>
      </c>
      <c r="CV125" s="25" t="n">
        <v>0</v>
      </c>
      <c r="CW125" s="25" t="n">
        <v>0</v>
      </c>
      <c r="CX125" s="25" t="n">
        <v>0</v>
      </c>
      <c r="CY125" s="25" t="n">
        <v>0</v>
      </c>
      <c r="CZ125" s="25" t="n">
        <v>0</v>
      </c>
      <c r="DA125" s="25" t="n">
        <v>0</v>
      </c>
    </row>
    <row r="126">
      <c r="A126" t="inlineStr">
        <is>
          <t>K0050</t>
        </is>
      </c>
      <c r="B126" s="25" t="n">
        <v>0</v>
      </c>
      <c r="C126" s="25" t="n">
        <v>0</v>
      </c>
      <c r="D126" s="25" t="n">
        <v>0</v>
      </c>
      <c r="E126" s="25" t="n">
        <v>0</v>
      </c>
      <c r="F126" s="25" t="n">
        <v>0</v>
      </c>
      <c r="G126" s="25" t="n">
        <v>0</v>
      </c>
      <c r="H126" s="25" t="n">
        <v>0</v>
      </c>
      <c r="I126" s="25" t="n">
        <v>0</v>
      </c>
      <c r="J126" s="25" t="n">
        <v>0</v>
      </c>
      <c r="K126" s="25" t="n">
        <v>0</v>
      </c>
      <c r="L126" s="25" t="n">
        <v>0</v>
      </c>
      <c r="M126" s="25" t="n">
        <v>0</v>
      </c>
      <c r="N126" s="25" t="n">
        <v>0</v>
      </c>
      <c r="O126" s="25" t="n">
        <v>0</v>
      </c>
      <c r="P126" s="25" t="n">
        <v>0</v>
      </c>
      <c r="Q126" s="25" t="n">
        <v>0</v>
      </c>
      <c r="R126" s="25" t="n">
        <v>0</v>
      </c>
      <c r="S126" s="25" t="n">
        <v>0</v>
      </c>
      <c r="T126" s="25" t="n">
        <v>0</v>
      </c>
      <c r="U126" s="25" t="n">
        <v>0</v>
      </c>
      <c r="V126" s="25" t="n">
        <v>0</v>
      </c>
      <c r="W126" s="25" t="n">
        <v>0</v>
      </c>
      <c r="X126" s="25" t="n">
        <v>9680</v>
      </c>
      <c r="Y126" s="25" t="n">
        <v>9680</v>
      </c>
      <c r="Z126" s="25" t="n">
        <v>0</v>
      </c>
      <c r="AA126" s="25" t="n">
        <v>11616</v>
      </c>
      <c r="AB126" s="25" t="n">
        <v>7744</v>
      </c>
      <c r="AC126" s="25" t="n">
        <v>9680</v>
      </c>
      <c r="AD126" s="25" t="n">
        <v>9680</v>
      </c>
      <c r="AE126" s="25" t="n">
        <v>4840</v>
      </c>
      <c r="AF126" s="25" t="n">
        <v>4840</v>
      </c>
      <c r="AG126" s="25" t="n">
        <v>9680</v>
      </c>
      <c r="AH126" s="25" t="n">
        <v>9680</v>
      </c>
      <c r="AI126" s="25" t="n">
        <v>9680</v>
      </c>
      <c r="AJ126" s="25" t="n">
        <v>9680</v>
      </c>
      <c r="AK126" s="25" t="n">
        <v>9680</v>
      </c>
      <c r="AL126" s="25" t="n">
        <v>9680</v>
      </c>
      <c r="AM126" s="25" t="n">
        <v>9680</v>
      </c>
      <c r="AN126" s="25" t="n">
        <v>4840</v>
      </c>
      <c r="AO126" s="25" t="n">
        <v>4840</v>
      </c>
      <c r="AP126" s="25" t="n">
        <v>9680</v>
      </c>
      <c r="AQ126" s="25" t="n">
        <v>9680</v>
      </c>
      <c r="AR126" s="25" t="n">
        <v>9680</v>
      </c>
      <c r="AS126" s="25" t="n">
        <v>9680</v>
      </c>
      <c r="AT126" s="25" t="n">
        <v>14520</v>
      </c>
      <c r="AU126" s="25" t="n">
        <v>14520</v>
      </c>
      <c r="AV126" s="25" t="n">
        <v>14520</v>
      </c>
      <c r="AW126" s="25" t="n">
        <v>14520</v>
      </c>
      <c r="AX126" s="25" t="n">
        <v>9680</v>
      </c>
      <c r="AY126" s="25" t="n">
        <v>9680</v>
      </c>
      <c r="AZ126" s="25" t="n">
        <v>4840</v>
      </c>
      <c r="BA126" s="25" t="n">
        <v>0</v>
      </c>
      <c r="BB126" s="25" t="n">
        <v>0</v>
      </c>
      <c r="BC126" s="25" t="n">
        <v>9680</v>
      </c>
      <c r="BD126" s="25" t="n">
        <v>9680</v>
      </c>
      <c r="BE126" s="25" t="n">
        <v>9680</v>
      </c>
      <c r="BF126" s="25" t="n">
        <v>9680</v>
      </c>
      <c r="BG126" s="25" t="n">
        <v>9680</v>
      </c>
      <c r="BH126" s="25" t="n">
        <v>9680</v>
      </c>
      <c r="BI126" s="25" t="n">
        <v>9680</v>
      </c>
      <c r="BJ126" s="25" t="n">
        <v>9680</v>
      </c>
      <c r="BK126" s="25" t="n">
        <v>9680</v>
      </c>
      <c r="BL126" s="25" t="n">
        <v>0</v>
      </c>
      <c r="BM126" s="25" t="n">
        <v>9680</v>
      </c>
      <c r="BN126" s="25" t="n">
        <v>0</v>
      </c>
      <c r="BO126" s="25" t="n">
        <v>4840</v>
      </c>
      <c r="BP126" s="25" t="n">
        <v>4840</v>
      </c>
      <c r="BQ126" s="25" t="n">
        <v>4840</v>
      </c>
      <c r="BR126" s="25" t="n">
        <v>4840</v>
      </c>
      <c r="BS126" s="25" t="n">
        <v>0</v>
      </c>
      <c r="BT126" s="25" t="n">
        <v>4840</v>
      </c>
      <c r="BU126" s="25" t="n">
        <v>4840</v>
      </c>
      <c r="BV126" s="25" t="n">
        <v>4840</v>
      </c>
      <c r="BW126" s="25" t="n">
        <v>4840</v>
      </c>
      <c r="BX126" s="25" t="n">
        <v>0</v>
      </c>
      <c r="BY126" s="25" t="n">
        <v>0</v>
      </c>
      <c r="BZ126" s="25" t="n">
        <v>0</v>
      </c>
      <c r="CA126" s="25" t="n">
        <v>0</v>
      </c>
      <c r="CB126" s="25" t="n">
        <v>0</v>
      </c>
      <c r="CC126" s="25" t="n">
        <v>0</v>
      </c>
      <c r="CD126" s="25" t="n">
        <v>0</v>
      </c>
      <c r="CE126" s="25" t="n">
        <v>0</v>
      </c>
      <c r="CF126" s="25" t="n">
        <v>0</v>
      </c>
      <c r="CG126" s="25" t="n">
        <v>0</v>
      </c>
      <c r="CH126" s="25" t="n">
        <v>0</v>
      </c>
      <c r="CI126" s="25" t="n">
        <v>0</v>
      </c>
      <c r="CJ126" s="25" t="n">
        <v>0</v>
      </c>
      <c r="CK126" s="25" t="n">
        <v>0</v>
      </c>
      <c r="CL126" s="25" t="n">
        <v>0</v>
      </c>
      <c r="CM126" s="25" t="n">
        <v>0</v>
      </c>
      <c r="CN126" s="25" t="n">
        <v>0</v>
      </c>
      <c r="CO126" s="25" t="n">
        <v>0</v>
      </c>
      <c r="CP126" s="25" t="n">
        <v>0</v>
      </c>
      <c r="CQ126" s="25" t="n">
        <v>0</v>
      </c>
      <c r="CR126" s="25" t="n">
        <v>0</v>
      </c>
      <c r="CS126" s="25" t="n">
        <v>0</v>
      </c>
      <c r="CT126" s="25" t="n">
        <v>0</v>
      </c>
      <c r="CU126" s="25" t="n">
        <v>0</v>
      </c>
      <c r="CV126" s="25" t="n">
        <v>0</v>
      </c>
      <c r="CW126" s="25" t="n">
        <v>0</v>
      </c>
      <c r="CX126" s="25" t="n">
        <v>0</v>
      </c>
      <c r="CY126" s="25" t="n">
        <v>0</v>
      </c>
      <c r="CZ126" s="25" t="n">
        <v>0</v>
      </c>
      <c r="DA126" s="25" t="n">
        <v>0</v>
      </c>
    </row>
    <row r="127">
      <c r="A127" t="inlineStr">
        <is>
          <t>PP Film</t>
        </is>
      </c>
      <c r="B127" s="25" t="n">
        <v>0</v>
      </c>
      <c r="C127" s="25" t="n">
        <v>0</v>
      </c>
      <c r="D127" s="25" t="n">
        <v>0</v>
      </c>
      <c r="E127" s="25" t="n">
        <v>0</v>
      </c>
      <c r="F127" s="25" t="n">
        <v>0</v>
      </c>
      <c r="G127" s="25" t="n">
        <v>0</v>
      </c>
      <c r="H127" s="25" t="n">
        <v>0</v>
      </c>
      <c r="I127" s="25" t="n">
        <v>0</v>
      </c>
      <c r="J127" s="25" t="n">
        <v>0</v>
      </c>
      <c r="K127" s="25" t="n">
        <v>0</v>
      </c>
      <c r="L127" s="25" t="n">
        <v>0</v>
      </c>
      <c r="M127" s="25" t="n">
        <v>0</v>
      </c>
      <c r="N127" s="25" t="n">
        <v>0</v>
      </c>
      <c r="O127" s="25" t="n">
        <v>0</v>
      </c>
      <c r="P127" s="25" t="n">
        <v>0</v>
      </c>
      <c r="Q127" s="25" t="n">
        <v>0</v>
      </c>
      <c r="R127" s="25" t="n">
        <v>0</v>
      </c>
      <c r="S127" s="25" t="n">
        <v>0</v>
      </c>
      <c r="T127" s="25" t="n">
        <v>0</v>
      </c>
      <c r="U127" s="25" t="n">
        <v>0</v>
      </c>
      <c r="V127" s="25" t="n">
        <v>0</v>
      </c>
      <c r="W127" s="25" t="n">
        <v>0</v>
      </c>
      <c r="X127" s="25" t="n">
        <v>21</v>
      </c>
      <c r="Y127" s="25" t="n">
        <v>18</v>
      </c>
      <c r="Z127" s="25" t="n">
        <v>0</v>
      </c>
      <c r="AA127" s="25" t="n">
        <v>4</v>
      </c>
      <c r="AB127" s="25" t="n">
        <v>15</v>
      </c>
      <c r="AC127" s="25" t="n">
        <v>9</v>
      </c>
      <c r="AD127" s="25" t="n">
        <v>12</v>
      </c>
      <c r="AE127" s="25" t="n">
        <v>16</v>
      </c>
      <c r="AF127" s="25" t="n">
        <v>16</v>
      </c>
      <c r="AG127" s="25" t="n">
        <v>20</v>
      </c>
      <c r="AH127" s="25" t="n">
        <v>17</v>
      </c>
      <c r="AI127" s="25" t="n">
        <v>6</v>
      </c>
      <c r="AJ127" s="25" t="n">
        <v>12</v>
      </c>
      <c r="AK127" s="25" t="n">
        <v>7</v>
      </c>
      <c r="AL127" s="25" t="n">
        <v>13</v>
      </c>
      <c r="AM127" s="25" t="n">
        <v>19</v>
      </c>
      <c r="AN127" s="25" t="n">
        <v>16</v>
      </c>
      <c r="AO127" s="25" t="n">
        <v>16</v>
      </c>
      <c r="AP127" s="25" t="n">
        <v>18</v>
      </c>
      <c r="AQ127" s="25" t="n">
        <v>19</v>
      </c>
      <c r="AR127" s="25" t="n">
        <v>18</v>
      </c>
      <c r="AS127" s="25" t="n">
        <v>23</v>
      </c>
      <c r="AT127" s="25" t="n">
        <v>26</v>
      </c>
      <c r="AU127" s="25" t="n">
        <v>26</v>
      </c>
      <c r="AV127" s="25" t="n">
        <v>26</v>
      </c>
      <c r="AW127" s="25" t="n">
        <v>19</v>
      </c>
      <c r="AX127" s="25" t="n">
        <v>23</v>
      </c>
      <c r="AY127" s="25" t="n">
        <v>10</v>
      </c>
      <c r="AZ127" s="25" t="n">
        <v>10</v>
      </c>
      <c r="BA127" s="25" t="n">
        <v>0</v>
      </c>
      <c r="BB127" s="25" t="n">
        <v>0</v>
      </c>
      <c r="BC127" s="25" t="n">
        <v>13</v>
      </c>
      <c r="BD127" s="25" t="n">
        <v>16</v>
      </c>
      <c r="BE127" s="25" t="n">
        <v>24</v>
      </c>
      <c r="BF127" s="25" t="n">
        <v>16</v>
      </c>
      <c r="BG127" s="25" t="n">
        <v>19</v>
      </c>
      <c r="BH127" s="25" t="n">
        <v>15</v>
      </c>
      <c r="BI127" s="25" t="n">
        <v>10</v>
      </c>
      <c r="BJ127" s="25" t="n">
        <v>16</v>
      </c>
      <c r="BK127" s="25" t="n">
        <v>16</v>
      </c>
      <c r="BL127" s="25" t="n">
        <v>6</v>
      </c>
      <c r="BM127" s="25" t="n">
        <v>9</v>
      </c>
      <c r="BN127" s="25" t="n">
        <v>13</v>
      </c>
      <c r="BO127" s="25" t="n">
        <v>3</v>
      </c>
      <c r="BP127" s="25" t="n">
        <v>6</v>
      </c>
      <c r="BQ127" s="25" t="n">
        <v>9</v>
      </c>
      <c r="BR127" s="25" t="n">
        <v>11</v>
      </c>
      <c r="BS127" s="25" t="n">
        <v>0</v>
      </c>
      <c r="BT127" s="25" t="n">
        <v>5</v>
      </c>
      <c r="BU127" s="25" t="n">
        <v>0</v>
      </c>
      <c r="BV127" s="25" t="n">
        <v>0</v>
      </c>
      <c r="BW127" s="25" t="n">
        <v>0</v>
      </c>
      <c r="BX127" s="25" t="n">
        <v>0</v>
      </c>
      <c r="BY127" s="25" t="n">
        <v>0</v>
      </c>
      <c r="BZ127" s="25" t="n">
        <v>0</v>
      </c>
      <c r="CA127" s="25" t="n">
        <v>0</v>
      </c>
      <c r="CB127" s="25" t="n">
        <v>0</v>
      </c>
      <c r="CC127" s="25" t="n">
        <v>0</v>
      </c>
      <c r="CD127" s="25" t="n">
        <v>0</v>
      </c>
      <c r="CE127" s="25" t="n">
        <v>0</v>
      </c>
      <c r="CF127" s="25" t="n">
        <v>0</v>
      </c>
      <c r="CG127" s="25" t="n">
        <v>0</v>
      </c>
      <c r="CH127" s="25" t="n">
        <v>0</v>
      </c>
      <c r="CI127" s="25" t="n">
        <v>0</v>
      </c>
      <c r="CJ127" s="25" t="n">
        <v>0</v>
      </c>
      <c r="CK127" s="25" t="n">
        <v>0</v>
      </c>
      <c r="CL127" s="25" t="n">
        <v>0</v>
      </c>
      <c r="CM127" s="25" t="n">
        <v>0</v>
      </c>
      <c r="CN127" s="25" t="n">
        <v>0</v>
      </c>
      <c r="CO127" s="25" t="n">
        <v>0</v>
      </c>
      <c r="CP127" s="25" t="n">
        <v>0</v>
      </c>
      <c r="CQ127" s="25" t="n">
        <v>0</v>
      </c>
      <c r="CR127" s="25" t="n">
        <v>0</v>
      </c>
      <c r="CS127" s="25" t="n">
        <v>0</v>
      </c>
      <c r="CT127" s="25" t="n">
        <v>0</v>
      </c>
      <c r="CU127" s="25" t="n">
        <v>0</v>
      </c>
      <c r="CV127" s="25" t="n">
        <v>0</v>
      </c>
      <c r="CW127" s="25" t="n">
        <v>0</v>
      </c>
      <c r="CX127" s="25" t="n">
        <v>0</v>
      </c>
      <c r="CY127" s="25" t="n">
        <v>0</v>
      </c>
      <c r="CZ127" s="25" t="n">
        <v>0</v>
      </c>
      <c r="DA127" s="25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9" t="inlineStr">
        <is>
          <t>AnchorYear</t>
        </is>
      </c>
      <c r="B1" s="25" t="n">
        <v>2026</v>
      </c>
    </row>
    <row r="3">
      <c r="A3" s="5" t="inlineStr">
        <is>
          <t>WeekIndex</t>
        </is>
      </c>
      <c r="B3" s="5" t="inlineStr">
        <is>
          <t>WeekStart</t>
        </is>
      </c>
      <c r="C3" s="5" t="inlineStr">
        <is>
          <t>Year</t>
        </is>
      </c>
      <c r="D3" s="5" t="inlineStr">
        <is>
          <t>WeekOfYear</t>
        </is>
      </c>
      <c r="E3" s="5" t="inlineStr">
        <is>
          <t>Label</t>
        </is>
      </c>
      <c r="F3" s="5" t="inlineStr">
        <is>
          <t>WeekEnd</t>
        </is>
      </c>
      <c r="G3" s="5" t="inlineStr">
        <is>
          <t>MonthYearLabel</t>
        </is>
      </c>
    </row>
    <row r="4">
      <c r="A4" t="n">
        <v>1</v>
      </c>
      <c r="B4" s="22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2">
        <f>B4+6</f>
        <v/>
      </c>
      <c r="G4">
        <f>TEXT(B4,"mmm-yy")</f>
        <v/>
      </c>
    </row>
    <row r="5">
      <c r="A5" t="n">
        <v>2</v>
      </c>
      <c r="B5" s="22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2">
        <f>B5+6</f>
        <v/>
      </c>
      <c r="G5">
        <f>TEXT(B5,"mmm-yy")</f>
        <v/>
      </c>
    </row>
    <row r="6">
      <c r="A6" t="n">
        <v>3</v>
      </c>
      <c r="B6" s="22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2">
        <f>B6+6</f>
        <v/>
      </c>
      <c r="G6">
        <f>TEXT(B6,"mmm-yy")</f>
        <v/>
      </c>
    </row>
    <row r="7">
      <c r="A7" t="n">
        <v>4</v>
      </c>
      <c r="B7" s="22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2">
        <f>B7+6</f>
        <v/>
      </c>
      <c r="G7">
        <f>TEXT(B7,"mmm-yy")</f>
        <v/>
      </c>
    </row>
    <row r="8">
      <c r="A8" t="n">
        <v>5</v>
      </c>
      <c r="B8" s="22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2">
        <f>B8+6</f>
        <v/>
      </c>
      <c r="G8">
        <f>TEXT(B8,"mmm-yy")</f>
        <v/>
      </c>
    </row>
    <row r="9">
      <c r="A9" t="n">
        <v>6</v>
      </c>
      <c r="B9" s="22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2">
        <f>B9+6</f>
        <v/>
      </c>
      <c r="G9">
        <f>TEXT(B9,"mmm-yy")</f>
        <v/>
      </c>
    </row>
    <row r="10">
      <c r="A10" t="n">
        <v>7</v>
      </c>
      <c r="B10" s="22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2">
        <f>B10+6</f>
        <v/>
      </c>
      <c r="G10">
        <f>TEXT(B10,"mmm-yy")</f>
        <v/>
      </c>
    </row>
    <row r="11">
      <c r="A11" t="n">
        <v>8</v>
      </c>
      <c r="B11" s="22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2">
        <f>B11+6</f>
        <v/>
      </c>
      <c r="G11">
        <f>TEXT(B11,"mmm-yy")</f>
        <v/>
      </c>
    </row>
    <row r="12">
      <c r="A12" t="n">
        <v>9</v>
      </c>
      <c r="B12" s="22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2">
        <f>B12+6</f>
        <v/>
      </c>
      <c r="G12">
        <f>TEXT(B12,"mmm-yy")</f>
        <v/>
      </c>
    </row>
    <row r="13">
      <c r="A13" t="n">
        <v>10</v>
      </c>
      <c r="B13" s="22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2">
        <f>B13+6</f>
        <v/>
      </c>
      <c r="G13">
        <f>TEXT(B13,"mmm-yy")</f>
        <v/>
      </c>
    </row>
    <row r="14">
      <c r="A14" t="n">
        <v>11</v>
      </c>
      <c r="B14" s="22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2">
        <f>B14+6</f>
        <v/>
      </c>
      <c r="G14">
        <f>TEXT(B14,"mmm-yy")</f>
        <v/>
      </c>
    </row>
    <row r="15">
      <c r="A15" t="n">
        <v>12</v>
      </c>
      <c r="B15" s="22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2">
        <f>B15+6</f>
        <v/>
      </c>
      <c r="G15">
        <f>TEXT(B15,"mmm-yy")</f>
        <v/>
      </c>
    </row>
    <row r="16">
      <c r="A16" t="n">
        <v>13</v>
      </c>
      <c r="B16" s="22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2">
        <f>B16+6</f>
        <v/>
      </c>
      <c r="G16">
        <f>TEXT(B16,"mmm-yy")</f>
        <v/>
      </c>
    </row>
    <row r="17">
      <c r="A17" t="n">
        <v>14</v>
      </c>
      <c r="B17" s="22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2">
        <f>B17+6</f>
        <v/>
      </c>
      <c r="G17">
        <f>TEXT(B17,"mmm-yy")</f>
        <v/>
      </c>
    </row>
    <row r="18">
      <c r="A18" t="n">
        <v>15</v>
      </c>
      <c r="B18" s="22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2">
        <f>B18+6</f>
        <v/>
      </c>
      <c r="G18">
        <f>TEXT(B18,"mmm-yy")</f>
        <v/>
      </c>
    </row>
    <row r="19">
      <c r="A19" t="n">
        <v>16</v>
      </c>
      <c r="B19" s="22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2">
        <f>B19+6</f>
        <v/>
      </c>
      <c r="G19">
        <f>TEXT(B19,"mmm-yy")</f>
        <v/>
      </c>
    </row>
    <row r="20">
      <c r="A20" t="n">
        <v>17</v>
      </c>
      <c r="B20" s="22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2">
        <f>B20+6</f>
        <v/>
      </c>
      <c r="G20">
        <f>TEXT(B20,"mmm-yy")</f>
        <v/>
      </c>
    </row>
    <row r="21">
      <c r="A21" t="n">
        <v>18</v>
      </c>
      <c r="B21" s="22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2">
        <f>B21+6</f>
        <v/>
      </c>
      <c r="G21">
        <f>TEXT(B21,"mmm-yy")</f>
        <v/>
      </c>
    </row>
    <row r="22">
      <c r="A22" t="n">
        <v>19</v>
      </c>
      <c r="B22" s="22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2">
        <f>B22+6</f>
        <v/>
      </c>
      <c r="G22">
        <f>TEXT(B22,"mmm-yy")</f>
        <v/>
      </c>
    </row>
    <row r="23">
      <c r="A23" t="n">
        <v>20</v>
      </c>
      <c r="B23" s="22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2">
        <f>B23+6</f>
        <v/>
      </c>
      <c r="G23">
        <f>TEXT(B23,"mmm-yy")</f>
        <v/>
      </c>
    </row>
    <row r="24">
      <c r="A24" t="n">
        <v>21</v>
      </c>
      <c r="B24" s="22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2">
        <f>B24+6</f>
        <v/>
      </c>
      <c r="G24">
        <f>TEXT(B24,"mmm-yy")</f>
        <v/>
      </c>
    </row>
    <row r="25">
      <c r="A25" t="n">
        <v>22</v>
      </c>
      <c r="B25" s="22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2">
        <f>B25+6</f>
        <v/>
      </c>
      <c r="G25">
        <f>TEXT(B25,"mmm-yy")</f>
        <v/>
      </c>
    </row>
    <row r="26">
      <c r="A26" t="n">
        <v>23</v>
      </c>
      <c r="B26" s="22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2">
        <f>B26+6</f>
        <v/>
      </c>
      <c r="G26">
        <f>TEXT(B26,"mmm-yy")</f>
        <v/>
      </c>
    </row>
    <row r="27">
      <c r="A27" t="n">
        <v>24</v>
      </c>
      <c r="B27" s="22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2">
        <f>B27+6</f>
        <v/>
      </c>
      <c r="G27">
        <f>TEXT(B27,"mmm-yy")</f>
        <v/>
      </c>
    </row>
    <row r="28">
      <c r="A28" t="n">
        <v>25</v>
      </c>
      <c r="B28" s="22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2">
        <f>B28+6</f>
        <v/>
      </c>
      <c r="G28">
        <f>TEXT(B28,"mmm-yy")</f>
        <v/>
      </c>
    </row>
    <row r="29">
      <c r="A29" t="n">
        <v>26</v>
      </c>
      <c r="B29" s="22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2">
        <f>B29+6</f>
        <v/>
      </c>
      <c r="G29">
        <f>TEXT(B29,"mmm-yy")</f>
        <v/>
      </c>
    </row>
    <row r="30">
      <c r="A30" t="n">
        <v>27</v>
      </c>
      <c r="B30" s="22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2">
        <f>B30+6</f>
        <v/>
      </c>
      <c r="G30">
        <f>TEXT(B30,"mmm-yy")</f>
        <v/>
      </c>
    </row>
    <row r="31">
      <c r="A31" t="n">
        <v>28</v>
      </c>
      <c r="B31" s="22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2">
        <f>B31+6</f>
        <v/>
      </c>
      <c r="G31">
        <f>TEXT(B31,"mmm-yy")</f>
        <v/>
      </c>
    </row>
    <row r="32">
      <c r="A32" t="n">
        <v>29</v>
      </c>
      <c r="B32" s="22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2">
        <f>B32+6</f>
        <v/>
      </c>
      <c r="G32">
        <f>TEXT(B32,"mmm-yy")</f>
        <v/>
      </c>
    </row>
    <row r="33">
      <c r="A33" t="n">
        <v>30</v>
      </c>
      <c r="B33" s="22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2">
        <f>B33+6</f>
        <v/>
      </c>
      <c r="G33">
        <f>TEXT(B33,"mmm-yy")</f>
        <v/>
      </c>
    </row>
    <row r="34">
      <c r="A34" t="n">
        <v>31</v>
      </c>
      <c r="B34" s="22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2">
        <f>B34+6</f>
        <v/>
      </c>
      <c r="G34">
        <f>TEXT(B34,"mmm-yy")</f>
        <v/>
      </c>
    </row>
    <row r="35">
      <c r="A35" t="n">
        <v>32</v>
      </c>
      <c r="B35" s="22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2">
        <f>B35+6</f>
        <v/>
      </c>
      <c r="G35">
        <f>TEXT(B35,"mmm-yy")</f>
        <v/>
      </c>
    </row>
    <row r="36">
      <c r="A36" t="n">
        <v>33</v>
      </c>
      <c r="B36" s="22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2">
        <f>B36+6</f>
        <v/>
      </c>
      <c r="G36">
        <f>TEXT(B36,"mmm-yy")</f>
        <v/>
      </c>
    </row>
    <row r="37">
      <c r="A37" t="n">
        <v>34</v>
      </c>
      <c r="B37" s="22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2">
        <f>B37+6</f>
        <v/>
      </c>
      <c r="G37">
        <f>TEXT(B37,"mmm-yy")</f>
        <v/>
      </c>
    </row>
    <row r="38">
      <c r="A38" t="n">
        <v>35</v>
      </c>
      <c r="B38" s="22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2">
        <f>B38+6</f>
        <v/>
      </c>
      <c r="G38">
        <f>TEXT(B38,"mmm-yy")</f>
        <v/>
      </c>
    </row>
    <row r="39">
      <c r="A39" t="n">
        <v>36</v>
      </c>
      <c r="B39" s="22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2">
        <f>B39+6</f>
        <v/>
      </c>
      <c r="G39">
        <f>TEXT(B39,"mmm-yy")</f>
        <v/>
      </c>
    </row>
    <row r="40">
      <c r="A40" t="n">
        <v>37</v>
      </c>
      <c r="B40" s="22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2">
        <f>B40+6</f>
        <v/>
      </c>
      <c r="G40">
        <f>TEXT(B40,"mmm-yy")</f>
        <v/>
      </c>
    </row>
    <row r="41">
      <c r="A41" t="n">
        <v>38</v>
      </c>
      <c r="B41" s="22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2">
        <f>B41+6</f>
        <v/>
      </c>
      <c r="G41">
        <f>TEXT(B41,"mmm-yy")</f>
        <v/>
      </c>
    </row>
    <row r="42">
      <c r="A42" t="n">
        <v>39</v>
      </c>
      <c r="B42" s="22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2">
        <f>B42+6</f>
        <v/>
      </c>
      <c r="G42">
        <f>TEXT(B42,"mmm-yy")</f>
        <v/>
      </c>
    </row>
    <row r="43">
      <c r="A43" t="n">
        <v>40</v>
      </c>
      <c r="B43" s="22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2">
        <f>B43+6</f>
        <v/>
      </c>
      <c r="G43">
        <f>TEXT(B43,"mmm-yy")</f>
        <v/>
      </c>
    </row>
    <row r="44">
      <c r="A44" t="n">
        <v>41</v>
      </c>
      <c r="B44" s="22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2">
        <f>B44+6</f>
        <v/>
      </c>
      <c r="G44">
        <f>TEXT(B44,"mmm-yy")</f>
        <v/>
      </c>
    </row>
    <row r="45">
      <c r="A45" t="n">
        <v>42</v>
      </c>
      <c r="B45" s="22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2">
        <f>B45+6</f>
        <v/>
      </c>
      <c r="G45">
        <f>TEXT(B45,"mmm-yy")</f>
        <v/>
      </c>
    </row>
    <row r="46">
      <c r="A46" t="n">
        <v>43</v>
      </c>
      <c r="B46" s="22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2">
        <f>B46+6</f>
        <v/>
      </c>
      <c r="G46">
        <f>TEXT(B46,"mmm-yy")</f>
        <v/>
      </c>
    </row>
    <row r="47">
      <c r="A47" t="n">
        <v>44</v>
      </c>
      <c r="B47" s="22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2">
        <f>B47+6</f>
        <v/>
      </c>
      <c r="G47">
        <f>TEXT(B47,"mmm-yy")</f>
        <v/>
      </c>
    </row>
    <row r="48">
      <c r="A48" t="n">
        <v>45</v>
      </c>
      <c r="B48" s="22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2">
        <f>B48+6</f>
        <v/>
      </c>
      <c r="G48">
        <f>TEXT(B48,"mmm-yy")</f>
        <v/>
      </c>
    </row>
    <row r="49">
      <c r="A49" t="n">
        <v>46</v>
      </c>
      <c r="B49" s="22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2">
        <f>B49+6</f>
        <v/>
      </c>
      <c r="G49">
        <f>TEXT(B49,"mmm-yy")</f>
        <v/>
      </c>
    </row>
    <row r="50">
      <c r="A50" t="n">
        <v>47</v>
      </c>
      <c r="B50" s="22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2">
        <f>B50+6</f>
        <v/>
      </c>
      <c r="G50">
        <f>TEXT(B50,"mmm-yy")</f>
        <v/>
      </c>
    </row>
    <row r="51">
      <c r="A51" t="n">
        <v>48</v>
      </c>
      <c r="B51" s="22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2">
        <f>B51+6</f>
        <v/>
      </c>
      <c r="G51">
        <f>TEXT(B51,"mmm-yy")</f>
        <v/>
      </c>
    </row>
    <row r="52">
      <c r="A52" t="n">
        <v>49</v>
      </c>
      <c r="B52" s="22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2">
        <f>B52+6</f>
        <v/>
      </c>
      <c r="G52">
        <f>TEXT(B52,"mmm-yy")</f>
        <v/>
      </c>
    </row>
    <row r="53">
      <c r="A53" t="n">
        <v>50</v>
      </c>
      <c r="B53" s="22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2">
        <f>B53+6</f>
        <v/>
      </c>
      <c r="G53">
        <f>TEXT(B53,"mmm-yy")</f>
        <v/>
      </c>
    </row>
    <row r="54">
      <c r="A54" t="n">
        <v>51</v>
      </c>
      <c r="B54" s="22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2">
        <f>B54+6</f>
        <v/>
      </c>
      <c r="G54">
        <f>TEXT(B54,"mmm-yy")</f>
        <v/>
      </c>
    </row>
    <row r="55">
      <c r="A55" t="n">
        <v>52</v>
      </c>
      <c r="B55" s="22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2">
        <f>B55+6</f>
        <v/>
      </c>
      <c r="G55">
        <f>TEXT(B55,"mmm-yy")</f>
        <v/>
      </c>
    </row>
    <row r="56">
      <c r="A56" t="n">
        <v>53</v>
      </c>
      <c r="B56" s="22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2">
        <f>B56+6</f>
        <v/>
      </c>
      <c r="G56">
        <f>TEXT(B56,"mmm-yy")</f>
        <v/>
      </c>
    </row>
    <row r="57">
      <c r="A57" t="n">
        <v>54</v>
      </c>
      <c r="B57" s="22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2">
        <f>B57+6</f>
        <v/>
      </c>
      <c r="G57">
        <f>TEXT(B57,"mmm-yy")</f>
        <v/>
      </c>
    </row>
    <row r="58">
      <c r="A58" t="n">
        <v>55</v>
      </c>
      <c r="B58" s="22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2">
        <f>B58+6</f>
        <v/>
      </c>
      <c r="G58">
        <f>TEXT(B58,"mmm-yy")</f>
        <v/>
      </c>
    </row>
    <row r="59">
      <c r="A59" t="n">
        <v>56</v>
      </c>
      <c r="B59" s="22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2">
        <f>B59+6</f>
        <v/>
      </c>
      <c r="G59">
        <f>TEXT(B59,"mmm-yy")</f>
        <v/>
      </c>
    </row>
    <row r="60">
      <c r="A60" t="n">
        <v>57</v>
      </c>
      <c r="B60" s="22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2">
        <f>B60+6</f>
        <v/>
      </c>
      <c r="G60">
        <f>TEXT(B60,"mmm-yy")</f>
        <v/>
      </c>
    </row>
    <row r="61">
      <c r="A61" t="n">
        <v>58</v>
      </c>
      <c r="B61" s="22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2">
        <f>B61+6</f>
        <v/>
      </c>
      <c r="G61">
        <f>TEXT(B61,"mmm-yy")</f>
        <v/>
      </c>
    </row>
    <row r="62">
      <c r="A62" t="n">
        <v>59</v>
      </c>
      <c r="B62" s="22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2">
        <f>B62+6</f>
        <v/>
      </c>
      <c r="G62">
        <f>TEXT(B62,"mmm-yy")</f>
        <v/>
      </c>
    </row>
    <row r="63">
      <c r="A63" t="n">
        <v>60</v>
      </c>
      <c r="B63" s="22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2">
        <f>B63+6</f>
        <v/>
      </c>
      <c r="G63">
        <f>TEXT(B63,"mmm-yy")</f>
        <v/>
      </c>
    </row>
    <row r="64">
      <c r="A64" t="n">
        <v>61</v>
      </c>
      <c r="B64" s="22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2">
        <f>B64+6</f>
        <v/>
      </c>
      <c r="G64">
        <f>TEXT(B64,"mmm-yy")</f>
        <v/>
      </c>
    </row>
    <row r="65">
      <c r="A65" t="n">
        <v>62</v>
      </c>
      <c r="B65" s="22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2">
        <f>B65+6</f>
        <v/>
      </c>
      <c r="G65">
        <f>TEXT(B65,"mmm-yy")</f>
        <v/>
      </c>
    </row>
    <row r="66">
      <c r="A66" t="n">
        <v>63</v>
      </c>
      <c r="B66" s="22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2">
        <f>B66+6</f>
        <v/>
      </c>
      <c r="G66">
        <f>TEXT(B66,"mmm-yy")</f>
        <v/>
      </c>
    </row>
    <row r="67">
      <c r="A67" t="n">
        <v>64</v>
      </c>
      <c r="B67" s="22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2">
        <f>B67+6</f>
        <v/>
      </c>
      <c r="G67">
        <f>TEXT(B67,"mmm-yy")</f>
        <v/>
      </c>
    </row>
    <row r="68">
      <c r="A68" t="n">
        <v>65</v>
      </c>
      <c r="B68" s="22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2">
        <f>B68+6</f>
        <v/>
      </c>
      <c r="G68">
        <f>TEXT(B68,"mmm-yy")</f>
        <v/>
      </c>
    </row>
    <row r="69">
      <c r="A69" t="n">
        <v>66</v>
      </c>
      <c r="B69" s="22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2">
        <f>B69+6</f>
        <v/>
      </c>
      <c r="G69">
        <f>TEXT(B69,"mmm-yy")</f>
        <v/>
      </c>
    </row>
    <row r="70">
      <c r="A70" t="n">
        <v>67</v>
      </c>
      <c r="B70" s="22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2">
        <f>B70+6</f>
        <v/>
      </c>
      <c r="G70">
        <f>TEXT(B70,"mmm-yy")</f>
        <v/>
      </c>
    </row>
    <row r="71">
      <c r="A71" t="n">
        <v>68</v>
      </c>
      <c r="B71" s="22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2">
        <f>B71+6</f>
        <v/>
      </c>
      <c r="G71">
        <f>TEXT(B71,"mmm-yy")</f>
        <v/>
      </c>
    </row>
    <row r="72">
      <c r="A72" t="n">
        <v>69</v>
      </c>
      <c r="B72" s="22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2">
        <f>B72+6</f>
        <v/>
      </c>
      <c r="G72">
        <f>TEXT(B72,"mmm-yy")</f>
        <v/>
      </c>
    </row>
    <row r="73">
      <c r="A73" t="n">
        <v>70</v>
      </c>
      <c r="B73" s="22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2">
        <f>B73+6</f>
        <v/>
      </c>
      <c r="G73">
        <f>TEXT(B73,"mmm-yy")</f>
        <v/>
      </c>
    </row>
    <row r="74">
      <c r="A74" t="n">
        <v>71</v>
      </c>
      <c r="B74" s="22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2">
        <f>B74+6</f>
        <v/>
      </c>
      <c r="G74">
        <f>TEXT(B74,"mmm-yy")</f>
        <v/>
      </c>
    </row>
    <row r="75">
      <c r="A75" t="n">
        <v>72</v>
      </c>
      <c r="B75" s="22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2">
        <f>B75+6</f>
        <v/>
      </c>
      <c r="G75">
        <f>TEXT(B75,"mmm-yy")</f>
        <v/>
      </c>
    </row>
    <row r="76">
      <c r="A76" t="n">
        <v>73</v>
      </c>
      <c r="B76" s="22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2">
        <f>B76+6</f>
        <v/>
      </c>
      <c r="G76">
        <f>TEXT(B76,"mmm-yy")</f>
        <v/>
      </c>
    </row>
    <row r="77">
      <c r="A77" t="n">
        <v>74</v>
      </c>
      <c r="B77" s="22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2">
        <f>B77+6</f>
        <v/>
      </c>
      <c r="G77">
        <f>TEXT(B77,"mmm-yy")</f>
        <v/>
      </c>
    </row>
    <row r="78">
      <c r="A78" t="n">
        <v>75</v>
      </c>
      <c r="B78" s="22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2">
        <f>B78+6</f>
        <v/>
      </c>
      <c r="G78">
        <f>TEXT(B78,"mmm-yy")</f>
        <v/>
      </c>
    </row>
    <row r="79">
      <c r="A79" t="n">
        <v>76</v>
      </c>
      <c r="B79" s="22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2">
        <f>B79+6</f>
        <v/>
      </c>
      <c r="G79">
        <f>TEXT(B79,"mmm-yy")</f>
        <v/>
      </c>
    </row>
    <row r="80">
      <c r="A80" t="n">
        <v>77</v>
      </c>
      <c r="B80" s="22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2">
        <f>B80+6</f>
        <v/>
      </c>
      <c r="G80">
        <f>TEXT(B80,"mmm-yy")</f>
        <v/>
      </c>
    </row>
    <row r="81">
      <c r="A81" t="n">
        <v>78</v>
      </c>
      <c r="B81" s="22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2">
        <f>B81+6</f>
        <v/>
      </c>
      <c r="G81">
        <f>TEXT(B81,"mmm-yy")</f>
        <v/>
      </c>
    </row>
    <row r="82">
      <c r="A82" t="n">
        <v>79</v>
      </c>
      <c r="B82" s="22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2">
        <f>B82+6</f>
        <v/>
      </c>
      <c r="G82">
        <f>TEXT(B82,"mmm-yy")</f>
        <v/>
      </c>
    </row>
    <row r="83">
      <c r="A83" t="n">
        <v>80</v>
      </c>
      <c r="B83" s="22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2">
        <f>B83+6</f>
        <v/>
      </c>
      <c r="G83">
        <f>TEXT(B83,"mmm-yy")</f>
        <v/>
      </c>
    </row>
    <row r="84">
      <c r="A84" t="n">
        <v>81</v>
      </c>
      <c r="B84" s="22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2">
        <f>B84+6</f>
        <v/>
      </c>
      <c r="G84">
        <f>TEXT(B84,"mmm-yy")</f>
        <v/>
      </c>
    </row>
    <row r="85">
      <c r="A85" t="n">
        <v>82</v>
      </c>
      <c r="B85" s="22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2">
        <f>B85+6</f>
        <v/>
      </c>
      <c r="G85">
        <f>TEXT(B85,"mmm-yy")</f>
        <v/>
      </c>
    </row>
    <row r="86">
      <c r="A86" t="n">
        <v>83</v>
      </c>
      <c r="B86" s="22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2">
        <f>B86+6</f>
        <v/>
      </c>
      <c r="G86">
        <f>TEXT(B86,"mmm-yy")</f>
        <v/>
      </c>
    </row>
    <row r="87">
      <c r="A87" t="n">
        <v>84</v>
      </c>
      <c r="B87" s="22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2">
        <f>B87+6</f>
        <v/>
      </c>
      <c r="G87">
        <f>TEXT(B87,"mmm-yy")</f>
        <v/>
      </c>
    </row>
    <row r="88">
      <c r="A88" t="n">
        <v>85</v>
      </c>
      <c r="B88" s="22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2">
        <f>B88+6</f>
        <v/>
      </c>
      <c r="G88">
        <f>TEXT(B88,"mmm-yy")</f>
        <v/>
      </c>
    </row>
    <row r="89">
      <c r="A89" t="n">
        <v>86</v>
      </c>
      <c r="B89" s="22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2">
        <f>B89+6</f>
        <v/>
      </c>
      <c r="G89">
        <f>TEXT(B89,"mmm-yy")</f>
        <v/>
      </c>
    </row>
    <row r="90">
      <c r="A90" t="n">
        <v>87</v>
      </c>
      <c r="B90" s="22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2">
        <f>B90+6</f>
        <v/>
      </c>
      <c r="G90">
        <f>TEXT(B90,"mmm-yy")</f>
        <v/>
      </c>
    </row>
    <row r="91">
      <c r="A91" t="n">
        <v>88</v>
      </c>
      <c r="B91" s="22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2">
        <f>B91+6</f>
        <v/>
      </c>
      <c r="G91">
        <f>TEXT(B91,"mmm-yy")</f>
        <v/>
      </c>
    </row>
    <row r="92">
      <c r="A92" t="n">
        <v>89</v>
      </c>
      <c r="B92" s="22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2">
        <f>B92+6</f>
        <v/>
      </c>
      <c r="G92">
        <f>TEXT(B92,"mmm-yy")</f>
        <v/>
      </c>
    </row>
    <row r="93">
      <c r="A93" t="n">
        <v>90</v>
      </c>
      <c r="B93" s="22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2">
        <f>B93+6</f>
        <v/>
      </c>
      <c r="G93">
        <f>TEXT(B93,"mmm-yy")</f>
        <v/>
      </c>
    </row>
    <row r="94">
      <c r="A94" t="n">
        <v>91</v>
      </c>
      <c r="B94" s="22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2">
        <f>B94+6</f>
        <v/>
      </c>
      <c r="G94">
        <f>TEXT(B94,"mmm-yy")</f>
        <v/>
      </c>
    </row>
    <row r="95">
      <c r="A95" t="n">
        <v>92</v>
      </c>
      <c r="B95" s="22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2">
        <f>B95+6</f>
        <v/>
      </c>
      <c r="G95">
        <f>TEXT(B95,"mmm-yy")</f>
        <v/>
      </c>
    </row>
    <row r="96">
      <c r="A96" t="n">
        <v>93</v>
      </c>
      <c r="B96" s="22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2">
        <f>B96+6</f>
        <v/>
      </c>
      <c r="G96">
        <f>TEXT(B96,"mmm-yy")</f>
        <v/>
      </c>
    </row>
    <row r="97">
      <c r="A97" t="n">
        <v>94</v>
      </c>
      <c r="B97" s="22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2">
        <f>B97+6</f>
        <v/>
      </c>
      <c r="G97">
        <f>TEXT(B97,"mmm-yy")</f>
        <v/>
      </c>
    </row>
    <row r="98">
      <c r="A98" t="n">
        <v>95</v>
      </c>
      <c r="B98" s="22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2">
        <f>B98+6</f>
        <v/>
      </c>
      <c r="G98">
        <f>TEXT(B98,"mmm-yy")</f>
        <v/>
      </c>
    </row>
    <row r="99">
      <c r="A99" t="n">
        <v>96</v>
      </c>
      <c r="B99" s="22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2">
        <f>B99+6</f>
        <v/>
      </c>
      <c r="G99">
        <f>TEXT(B99,"mmm-yy")</f>
        <v/>
      </c>
    </row>
    <row r="100">
      <c r="A100" t="n">
        <v>97</v>
      </c>
      <c r="B100" s="22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2">
        <f>B100+6</f>
        <v/>
      </c>
      <c r="G100">
        <f>TEXT(B100,"mmm-yy")</f>
        <v/>
      </c>
    </row>
    <row r="101">
      <c r="A101" t="n">
        <v>98</v>
      </c>
      <c r="B101" s="22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2">
        <f>B101+6</f>
        <v/>
      </c>
      <c r="G101">
        <f>TEXT(B101,"mmm-yy")</f>
        <v/>
      </c>
    </row>
    <row r="102">
      <c r="A102" t="n">
        <v>99</v>
      </c>
      <c r="B102" s="22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2">
        <f>B102+6</f>
        <v/>
      </c>
      <c r="G102">
        <f>TEXT(B102,"mmm-yy")</f>
        <v/>
      </c>
    </row>
    <row r="103">
      <c r="A103" t="n">
        <v>100</v>
      </c>
      <c r="B103" s="22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2">
        <f>B103+6</f>
        <v/>
      </c>
      <c r="G103">
        <f>TEXT(B103,"mmm-yy")</f>
        <v/>
      </c>
    </row>
    <row r="104">
      <c r="A104" t="n">
        <v>101</v>
      </c>
      <c r="B104" s="22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2">
        <f>B104+6</f>
        <v/>
      </c>
      <c r="G104">
        <f>TEXT(B104,"mmm-yy")</f>
        <v/>
      </c>
    </row>
    <row r="105">
      <c r="A105" t="n">
        <v>102</v>
      </c>
      <c r="B105" s="22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2">
        <f>B105+6</f>
        <v/>
      </c>
      <c r="G105">
        <f>TEXT(B105,"mmm-yy")</f>
        <v/>
      </c>
    </row>
    <row r="106">
      <c r="A106" t="n">
        <v>103</v>
      </c>
      <c r="B106" s="22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2">
        <f>B106+6</f>
        <v/>
      </c>
      <c r="G106">
        <f>TEXT(B106,"mmm-yy")</f>
        <v/>
      </c>
    </row>
    <row r="107">
      <c r="A107" t="n">
        <v>104</v>
      </c>
      <c r="B107" s="22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2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5" t="inlineStr">
        <is>
          <t>Intermediate</t>
        </is>
      </c>
      <c r="B1" s="5" t="inlineStr">
        <is>
          <t>Type</t>
        </is>
      </c>
      <c r="C1" s="5" t="inlineStr">
        <is>
          <t>PGM</t>
        </is>
      </c>
      <c r="D1" s="5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TVS-267</t>
        </is>
      </c>
      <c r="B54" t="inlineStr">
        <is>
          <t>Slurry</t>
        </is>
      </c>
      <c r="C54" t="inlineStr">
        <is>
          <t>Pd</t>
        </is>
      </c>
      <c r="D54" t="n">
        <v>301.9999999999999</v>
      </c>
    </row>
    <row r="55">
      <c r="A55" t="inlineStr">
        <is>
          <t>TVS-500</t>
        </is>
      </c>
      <c r="B55" t="inlineStr">
        <is>
          <t>Slurry</t>
        </is>
      </c>
      <c r="C55" t="inlineStr">
        <is>
          <t>Pd</t>
        </is>
      </c>
      <c r="D55" t="n">
        <v>303</v>
      </c>
    </row>
    <row r="56">
      <c r="A56" t="inlineStr">
        <is>
          <t>TVS-833</t>
        </is>
      </c>
      <c r="B56" t="inlineStr">
        <is>
          <t>Slurry</t>
        </is>
      </c>
      <c r="C56" t="inlineStr">
        <is>
          <t>Pd</t>
        </is>
      </c>
      <c r="D56" t="n">
        <v>300</v>
      </c>
    </row>
    <row r="57">
      <c r="A57" t="inlineStr">
        <is>
          <t>VSP-600</t>
        </is>
      </c>
      <c r="B57" t="inlineStr">
        <is>
          <t>Slurry</t>
        </is>
      </c>
      <c r="C57" t="inlineStr">
        <is>
          <t>Pd-VW</t>
        </is>
      </c>
      <c r="D57" t="n">
        <v>112</v>
      </c>
    </row>
    <row r="58">
      <c r="A58" t="inlineStr">
        <is>
          <t>VSP-601</t>
        </is>
      </c>
      <c r="B58" t="inlineStr">
        <is>
          <t>Slurry</t>
        </is>
      </c>
      <c r="C58" t="inlineStr">
        <is>
          <t>Pd-VW</t>
        </is>
      </c>
      <c r="D58" t="n">
        <v>104.895</v>
      </c>
    </row>
    <row r="59">
      <c r="A59" t="inlineStr">
        <is>
          <t>VSP-602</t>
        </is>
      </c>
      <c r="B59" t="inlineStr">
        <is>
          <t>Slurry</t>
        </is>
      </c>
      <c r="C59" t="inlineStr">
        <is>
          <t>Rh-VW</t>
        </is>
      </c>
      <c r="D59" t="n">
        <v>105.6</v>
      </c>
    </row>
    <row r="60">
      <c r="A60" t="inlineStr">
        <is>
          <t>VSP-820</t>
        </is>
      </c>
      <c r="B60" t="inlineStr">
        <is>
          <t>Slurry</t>
        </is>
      </c>
      <c r="C60" t="inlineStr">
        <is>
          <t>Pd-VW</t>
        </is>
      </c>
      <c r="D60" t="n">
        <v>134.97</v>
      </c>
    </row>
    <row r="61">
      <c r="A61" t="inlineStr">
        <is>
          <t>VSP-822</t>
        </is>
      </c>
      <c r="B61" t="inlineStr">
        <is>
          <t>Slurry</t>
        </is>
      </c>
      <c r="C61" t="inlineStr">
        <is>
          <t>Rh-VW</t>
        </is>
      </c>
      <c r="D61" t="n">
        <v>113.85</v>
      </c>
    </row>
    <row r="62">
      <c r="A62" t="inlineStr">
        <is>
          <t>VSP-910</t>
        </is>
      </c>
      <c r="B62" t="inlineStr">
        <is>
          <t>Slurry</t>
        </is>
      </c>
      <c r="C62" t="inlineStr">
        <is>
          <t>Rh-VW</t>
        </is>
      </c>
      <c r="D62" t="n">
        <v>91.8</v>
      </c>
    </row>
    <row r="63">
      <c r="A63" t="inlineStr">
        <is>
          <t>VSP-989</t>
        </is>
      </c>
      <c r="B63" t="inlineStr">
        <is>
          <t>Slurry</t>
        </is>
      </c>
      <c r="C63" t="inlineStr">
        <is>
          <t>Pd-VW</t>
        </is>
      </c>
      <c r="D63" t="n">
        <v>94.5</v>
      </c>
    </row>
    <row r="64">
      <c r="A64" t="inlineStr">
        <is>
          <t>VSP-990</t>
        </is>
      </c>
      <c r="B64" t="inlineStr">
        <is>
          <t>Slurry</t>
        </is>
      </c>
      <c r="C64" t="inlineStr">
        <is>
          <t>Rh-VW</t>
        </is>
      </c>
      <c r="D64" t="n">
        <v>81</v>
      </c>
    </row>
    <row r="65">
      <c r="A65" t="inlineStr">
        <is>
          <t>TPP-190</t>
        </is>
      </c>
      <c r="B65" t="inlineStr">
        <is>
          <t>Powder</t>
        </is>
      </c>
      <c r="C65" t="inlineStr">
        <is>
          <t>Pd</t>
        </is>
      </c>
      <c r="D65" t="n">
        <v>72.05</v>
      </c>
    </row>
    <row r="66">
      <c r="A66" t="inlineStr">
        <is>
          <t>TPP-204</t>
        </is>
      </c>
      <c r="B66" t="inlineStr">
        <is>
          <t>Powder</t>
        </is>
      </c>
      <c r="C66" t="inlineStr">
        <is>
          <t>Pd</t>
        </is>
      </c>
      <c r="D66" t="n">
        <v>44.05</v>
      </c>
    </row>
    <row r="67">
      <c r="A67" t="inlineStr">
        <is>
          <t>TPP-350</t>
        </is>
      </c>
      <c r="B67" t="inlineStr">
        <is>
          <t>Powder</t>
        </is>
      </c>
      <c r="C67" t="inlineStr">
        <is>
          <t>Pd</t>
        </is>
      </c>
      <c r="D67" t="n">
        <v>102.71</v>
      </c>
    </row>
    <row r="68">
      <c r="A68" t="inlineStr">
        <is>
          <t>TPP-356</t>
        </is>
      </c>
      <c r="B68" t="inlineStr">
        <is>
          <t>Powder</t>
        </is>
      </c>
      <c r="C68" t="inlineStr">
        <is>
          <t>Pd</t>
        </is>
      </c>
      <c r="D68" t="n">
        <v>89.3</v>
      </c>
    </row>
    <row r="69">
      <c r="A69" t="inlineStr">
        <is>
          <t>TPP-358</t>
        </is>
      </c>
      <c r="B69" t="inlineStr">
        <is>
          <t>Powder</t>
        </is>
      </c>
      <c r="C69" t="inlineStr">
        <is>
          <t>Rh</t>
        </is>
      </c>
      <c r="D69" t="n">
        <v>64.40000000000001</v>
      </c>
    </row>
    <row r="70">
      <c r="A70" t="inlineStr">
        <is>
          <t>TPP-527</t>
        </is>
      </c>
      <c r="B70" t="inlineStr">
        <is>
          <t>Powder</t>
        </is>
      </c>
      <c r="C70" t="inlineStr">
        <is>
          <t>Pd</t>
        </is>
      </c>
      <c r="D70" t="n">
        <v>114.45</v>
      </c>
    </row>
    <row r="71">
      <c r="A71" t="inlineStr">
        <is>
          <t>TPP-537</t>
        </is>
      </c>
      <c r="B71" t="inlineStr">
        <is>
          <t>Powder</t>
        </is>
      </c>
      <c r="C71" t="inlineStr">
        <is>
          <t>Pd</t>
        </is>
      </c>
      <c r="D71" t="n">
        <v>35.58</v>
      </c>
    </row>
    <row r="72">
      <c r="A72" t="inlineStr">
        <is>
          <t>TPP-609</t>
        </is>
      </c>
      <c r="B72" t="inlineStr">
        <is>
          <t>Powder</t>
        </is>
      </c>
      <c r="C72" t="inlineStr">
        <is>
          <t>Pd</t>
        </is>
      </c>
      <c r="D72" t="n">
        <v>42.52</v>
      </c>
    </row>
    <row r="73">
      <c r="A73" t="inlineStr">
        <is>
          <t>TPP-611</t>
        </is>
      </c>
      <c r="B73" t="inlineStr">
        <is>
          <t>Powder</t>
        </is>
      </c>
      <c r="C73" t="inlineStr">
        <is>
          <t>Rh</t>
        </is>
      </c>
      <c r="D73" t="n">
        <v>17.88</v>
      </c>
    </row>
    <row r="74">
      <c r="A74" t="inlineStr">
        <is>
          <t>TPP-613</t>
        </is>
      </c>
      <c r="B74" t="inlineStr">
        <is>
          <t>Powder</t>
        </is>
      </c>
      <c r="C74" t="inlineStr">
        <is>
          <t>Rh</t>
        </is>
      </c>
      <c r="D74" t="n">
        <v>17.82</v>
      </c>
    </row>
    <row r="75">
      <c r="A75" t="inlineStr">
        <is>
          <t>TPP-635</t>
        </is>
      </c>
      <c r="B75" t="inlineStr">
        <is>
          <t>Powder</t>
        </is>
      </c>
      <c r="C75" t="inlineStr">
        <is>
          <t>Rh</t>
        </is>
      </c>
      <c r="D75" t="n">
        <v>44.26</v>
      </c>
    </row>
    <row r="76">
      <c r="A76" t="inlineStr">
        <is>
          <t>TPP-650</t>
        </is>
      </c>
      <c r="B76" t="inlineStr">
        <is>
          <t>Powder</t>
        </is>
      </c>
      <c r="C76" t="inlineStr">
        <is>
          <t>Pd</t>
        </is>
      </c>
      <c r="D76" t="n">
        <v>58.21</v>
      </c>
    </row>
    <row r="77">
      <c r="A77" t="inlineStr">
        <is>
          <t>TPP-704</t>
        </is>
      </c>
      <c r="B77" t="inlineStr">
        <is>
          <t>Powder</t>
        </is>
      </c>
      <c r="C77" t="inlineStr">
        <is>
          <t>Pd</t>
        </is>
      </c>
      <c r="D77" t="n">
        <v>123.03</v>
      </c>
    </row>
    <row r="78">
      <c r="A78" t="inlineStr">
        <is>
          <t>TPP-911</t>
        </is>
      </c>
      <c r="B78" t="inlineStr">
        <is>
          <t>Powder</t>
        </is>
      </c>
      <c r="C78" t="inlineStr">
        <is>
          <t>Pd</t>
        </is>
      </c>
      <c r="D78" t="n">
        <v>52.15</v>
      </c>
    </row>
    <row r="79">
      <c r="A79" t="inlineStr">
        <is>
          <t>TPP-912</t>
        </is>
      </c>
      <c r="B79" t="inlineStr">
        <is>
          <t>Powder</t>
        </is>
      </c>
      <c r="C79" t="inlineStr">
        <is>
          <t>Pd</t>
        </is>
      </c>
      <c r="D79" t="n">
        <v>51.73</v>
      </c>
    </row>
    <row r="80">
      <c r="A80" t="inlineStr">
        <is>
          <t>TPP-914</t>
        </is>
      </c>
      <c r="B80" t="inlineStr">
        <is>
          <t>Powder</t>
        </is>
      </c>
      <c r="C80" t="inlineStr">
        <is>
          <t>Rh</t>
        </is>
      </c>
      <c r="D80" t="n">
        <v>25.69</v>
      </c>
    </row>
    <row r="81">
      <c r="A81" t="inlineStr">
        <is>
          <t>TPP-915</t>
        </is>
      </c>
      <c r="B81" t="inlineStr">
        <is>
          <t>Powder</t>
        </is>
      </c>
      <c r="C81" t="inlineStr">
        <is>
          <t>Rh</t>
        </is>
      </c>
      <c r="D81" t="n">
        <v>25.35</v>
      </c>
    </row>
    <row r="82">
      <c r="A82" t="inlineStr">
        <is>
          <t>TPP-916</t>
        </is>
      </c>
      <c r="B82" t="inlineStr">
        <is>
          <t>Powder</t>
        </is>
      </c>
      <c r="C82" t="inlineStr">
        <is>
          <t>Rh</t>
        </is>
      </c>
      <c r="D82" t="n">
        <v>25.91</v>
      </c>
    </row>
    <row r="83">
      <c r="A83" t="inlineStr">
        <is>
          <t>TPP-917</t>
        </is>
      </c>
      <c r="B83" t="inlineStr">
        <is>
          <t>Powder</t>
        </is>
      </c>
      <c r="C83" t="inlineStr">
        <is>
          <t>Rh</t>
        </is>
      </c>
      <c r="D83" t="n">
        <v>25.89</v>
      </c>
    </row>
    <row r="84">
      <c r="A84" t="inlineStr">
        <is>
          <t>TPP-919</t>
        </is>
      </c>
      <c r="B84" t="inlineStr">
        <is>
          <t>Powder</t>
        </is>
      </c>
      <c r="C84" t="inlineStr">
        <is>
          <t>Rh</t>
        </is>
      </c>
      <c r="D84" t="n">
        <v>17.44</v>
      </c>
    </row>
    <row r="85">
      <c r="A85" t="inlineStr">
        <is>
          <t>TPP-920</t>
        </is>
      </c>
      <c r="B85" t="inlineStr">
        <is>
          <t>Powder</t>
        </is>
      </c>
      <c r="C85" t="inlineStr">
        <is>
          <t>Rh</t>
        </is>
      </c>
      <c r="D85" t="n">
        <v>18.05</v>
      </c>
    </row>
    <row r="86">
      <c r="A86" t="inlineStr">
        <is>
          <t>TPP-922</t>
        </is>
      </c>
      <c r="B86" t="inlineStr">
        <is>
          <t>Powder</t>
        </is>
      </c>
      <c r="C86" t="inlineStr">
        <is>
          <t>Rh</t>
        </is>
      </c>
      <c r="D86" t="n">
        <v>17.69</v>
      </c>
    </row>
    <row r="87">
      <c r="A87" t="inlineStr">
        <is>
          <t>TPP-923</t>
        </is>
      </c>
      <c r="B87" t="inlineStr">
        <is>
          <t>Powder</t>
        </is>
      </c>
      <c r="C87" t="inlineStr">
        <is>
          <t>Rh</t>
        </is>
      </c>
      <c r="D87" t="n">
        <v>17.67</v>
      </c>
    </row>
    <row r="88">
      <c r="A88" t="inlineStr">
        <is>
          <t>TPP-970</t>
        </is>
      </c>
      <c r="B88" t="inlineStr">
        <is>
          <t>Powder</t>
        </is>
      </c>
      <c r="C88" t="inlineStr">
        <is>
          <t>Pd</t>
        </is>
      </c>
      <c r="D88" t="n">
        <v>38.27</v>
      </c>
    </row>
    <row r="89">
      <c r="A89" t="inlineStr">
        <is>
          <t>20p</t>
        </is>
      </c>
      <c r="B89" t="inlineStr">
        <is>
          <t>Unknown</t>
        </is>
      </c>
      <c r="C89" t="inlineStr"/>
      <c r="D89" t="n">
        <v>1</v>
      </c>
    </row>
    <row r="90">
      <c r="A90" t="inlineStr">
        <is>
          <t>TPP-1459</t>
        </is>
      </c>
      <c r="B90" t="inlineStr">
        <is>
          <t>Powder</t>
        </is>
      </c>
      <c r="C90" t="inlineStr"/>
      <c r="D90" t="n">
        <v>1</v>
      </c>
    </row>
    <row r="91">
      <c r="A91" t="inlineStr">
        <is>
          <t>TPP-1466</t>
        </is>
      </c>
      <c r="B91" t="inlineStr">
        <is>
          <t>Powder</t>
        </is>
      </c>
      <c r="C91" t="inlineStr"/>
      <c r="D91" t="n">
        <v>1</v>
      </c>
    </row>
    <row r="92">
      <c r="A92" t="inlineStr">
        <is>
          <t>TPP-2245</t>
        </is>
      </c>
      <c r="B92" t="inlineStr">
        <is>
          <t>Powder</t>
        </is>
      </c>
      <c r="C92" t="inlineStr"/>
      <c r="D92" t="n">
        <v>1</v>
      </c>
    </row>
    <row r="93">
      <c r="A93" t="inlineStr">
        <is>
          <t>TPP-533(98%)</t>
        </is>
      </c>
      <c r="B93" t="inlineStr">
        <is>
          <t>Powder</t>
        </is>
      </c>
      <c r="C93" t="inlineStr"/>
      <c r="D93" t="n">
        <v>1</v>
      </c>
    </row>
    <row r="94">
      <c r="A94" t="inlineStr">
        <is>
          <t>TPP-533(A)</t>
        </is>
      </c>
      <c r="B94" t="inlineStr">
        <is>
          <t>Powder</t>
        </is>
      </c>
      <c r="C94" t="inlineStr"/>
      <c r="D94" t="n">
        <v>1</v>
      </c>
    </row>
    <row r="95">
      <c r="A95" t="inlineStr">
        <is>
          <t>TSP-077</t>
        </is>
      </c>
      <c r="B95" t="inlineStr">
        <is>
          <t>Slurry</t>
        </is>
      </c>
      <c r="C95" t="inlineStr"/>
      <c r="D95" t="n">
        <v>1</v>
      </c>
    </row>
    <row r="96">
      <c r="A96" t="inlineStr">
        <is>
          <t>TSP-088</t>
        </is>
      </c>
      <c r="B96" t="inlineStr">
        <is>
          <t>Slurry</t>
        </is>
      </c>
      <c r="C96" t="inlineStr"/>
      <c r="D96" t="n">
        <v>1</v>
      </c>
    </row>
    <row r="97">
      <c r="A97" t="inlineStr">
        <is>
          <t>TSP-089</t>
        </is>
      </c>
      <c r="B97" t="inlineStr">
        <is>
          <t>Slurry</t>
        </is>
      </c>
      <c r="C97" t="inlineStr"/>
      <c r="D97" t="n">
        <v>1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TSP-2157</t>
        </is>
      </c>
      <c r="B101" t="inlineStr">
        <is>
          <t>Slurry</t>
        </is>
      </c>
      <c r="C101" t="inlineStr"/>
      <c r="D101" t="n">
        <v>1</v>
      </c>
    </row>
    <row r="102">
      <c r="A102" t="inlineStr">
        <is>
          <t>TSP-2168</t>
        </is>
      </c>
      <c r="B102" t="inlineStr">
        <is>
          <t>Slurry</t>
        </is>
      </c>
      <c r="C102" t="inlineStr"/>
      <c r="D102" t="n">
        <v>1</v>
      </c>
    </row>
    <row r="103">
      <c r="A103" t="inlineStr">
        <is>
          <t>TSP-218</t>
        </is>
      </c>
      <c r="B103" t="inlineStr">
        <is>
          <t>Slurry</t>
        </is>
      </c>
      <c r="C103" t="inlineStr"/>
      <c r="D103" t="n">
        <v>1</v>
      </c>
    </row>
    <row r="104">
      <c r="A104" t="inlineStr">
        <is>
          <t>TSP-219</t>
        </is>
      </c>
      <c r="B104" t="inlineStr">
        <is>
          <t>Slurry</t>
        </is>
      </c>
      <c r="C104" t="inlineStr"/>
      <c r="D104" t="n">
        <v>1</v>
      </c>
    </row>
    <row r="105">
      <c r="A105" t="inlineStr">
        <is>
          <t>TSP-390</t>
        </is>
      </c>
      <c r="B105" t="inlineStr">
        <is>
          <t>Slurry</t>
        </is>
      </c>
      <c r="C105" t="inlineStr"/>
      <c r="D105" t="n">
        <v>1</v>
      </c>
    </row>
    <row r="106">
      <c r="A106" t="inlineStr">
        <is>
          <t>TSP-399</t>
        </is>
      </c>
      <c r="B106" t="inlineStr">
        <is>
          <t>Slurry</t>
        </is>
      </c>
      <c r="C106" t="inlineStr"/>
      <c r="D106" t="n">
        <v>1</v>
      </c>
    </row>
    <row r="107">
      <c r="A107" t="inlineStr">
        <is>
          <t>TSP-699</t>
        </is>
      </c>
      <c r="B107" t="inlineStr">
        <is>
          <t>Slurry</t>
        </is>
      </c>
      <c r="C107" t="inlineStr"/>
      <c r="D107" t="n">
        <v>1</v>
      </c>
    </row>
    <row r="108">
      <c r="A108" t="inlineStr">
        <is>
          <t>VSP-567</t>
        </is>
      </c>
      <c r="B108" t="inlineStr">
        <is>
          <t>Unknown</t>
        </is>
      </c>
      <c r="C108" t="inlineStr"/>
      <c r="D108" t="n">
        <v>1</v>
      </c>
    </row>
    <row r="109">
      <c r="A109" t="inlineStr">
        <is>
          <t>VSP-603</t>
        </is>
      </c>
      <c r="B109" t="inlineStr">
        <is>
          <t>Unknown</t>
        </is>
      </c>
      <c r="C109" t="inlineStr"/>
      <c r="D109" t="n">
        <v>1</v>
      </c>
    </row>
    <row r="110">
      <c r="A110" t="inlineStr">
        <is>
          <t>VSP-604</t>
        </is>
      </c>
      <c r="B110" t="inlineStr">
        <is>
          <t>Unknown</t>
        </is>
      </c>
      <c r="C110" t="inlineStr"/>
      <c r="D110" t="n">
        <v>1</v>
      </c>
    </row>
    <row r="111">
      <c r="A111" t="inlineStr">
        <is>
          <t>VSP-605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VSP-606</t>
        </is>
      </c>
      <c r="B112" t="inlineStr">
        <is>
          <t>Unknown</t>
        </is>
      </c>
      <c r="C112" t="inlineStr"/>
      <c r="D112" t="n">
        <v>1</v>
      </c>
    </row>
    <row r="113">
      <c r="A113" t="inlineStr">
        <is>
          <t>VSP-607</t>
        </is>
      </c>
      <c r="B113" t="inlineStr">
        <is>
          <t>Unknown</t>
        </is>
      </c>
      <c r="C113" t="inlineStr"/>
      <c r="D113" t="n">
        <v>1</v>
      </c>
    </row>
    <row r="114">
      <c r="A114" t="inlineStr">
        <is>
          <t>VSP-738</t>
        </is>
      </c>
      <c r="B114" t="inlineStr">
        <is>
          <t>Unknown</t>
        </is>
      </c>
      <c r="C114" t="inlineStr"/>
      <c r="D114" t="n">
        <v>1</v>
      </c>
    </row>
    <row r="115">
      <c r="A115" t="inlineStr">
        <is>
          <t>VSP-739</t>
        </is>
      </c>
      <c r="B115" t="inlineStr">
        <is>
          <t>Unknown</t>
        </is>
      </c>
      <c r="C115" t="inlineStr"/>
      <c r="D115" t="n">
        <v>1</v>
      </c>
    </row>
    <row r="116">
      <c r="A116" t="inlineStr">
        <is>
          <t>VSP-740</t>
        </is>
      </c>
      <c r="B116" t="inlineStr">
        <is>
          <t>Unknown</t>
        </is>
      </c>
      <c r="C116" t="inlineStr"/>
      <c r="D116" t="n">
        <v>1</v>
      </c>
    </row>
    <row r="117">
      <c r="A117" t="inlineStr">
        <is>
          <t>VSP-746</t>
        </is>
      </c>
      <c r="B117" t="inlineStr">
        <is>
          <t>Unknown</t>
        </is>
      </c>
      <c r="C117" t="inlineStr"/>
      <c r="D117" t="n">
        <v>1</v>
      </c>
    </row>
    <row r="118">
      <c r="A118" t="inlineStr">
        <is>
          <t>VSP-869</t>
        </is>
      </c>
      <c r="B118" t="inlineStr">
        <is>
          <t>Unknown</t>
        </is>
      </c>
      <c r="C118" t="inlineStr"/>
      <c r="D118" t="n">
        <v>1</v>
      </c>
    </row>
    <row r="119">
      <c r="A119" t="inlineStr">
        <is>
          <t>VSP-870</t>
        </is>
      </c>
      <c r="B119" t="inlineStr">
        <is>
          <t>Unknown</t>
        </is>
      </c>
      <c r="C119" t="inlineStr"/>
      <c r="D119" t="n">
        <v>1</v>
      </c>
    </row>
    <row r="120">
      <c r="A120" t="inlineStr">
        <is>
          <t>VSZ-745</t>
        </is>
      </c>
      <c r="B120" t="inlineStr">
        <is>
          <t>Unknown</t>
        </is>
      </c>
      <c r="C120" t="inlineStr"/>
      <c r="D120" t="n">
        <v>1</v>
      </c>
    </row>
    <row r="121">
      <c r="A121" t="inlineStr">
        <is>
          <t>0Q110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0TA30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Ester Film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F2090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F2290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K0050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PP Film</t>
        </is>
      </c>
      <c r="B127" t="inlineStr">
        <is>
          <t>Cat</t>
        </is>
      </c>
      <c r="C127" t="inlineStr"/>
      <c r="D127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5" t="inlineStr">
        <is>
          <t>Intermediate</t>
        </is>
      </c>
      <c r="B1" s="5" t="inlineStr">
        <is>
          <t>Product_Code</t>
        </is>
      </c>
    </row>
    <row r="2">
      <c r="A2" t="inlineStr">
        <is>
          <t>TPP-190</t>
        </is>
      </c>
      <c r="B2" t="inlineStr">
        <is>
          <t>0W780</t>
        </is>
      </c>
    </row>
    <row r="3">
      <c r="A3" t="inlineStr">
        <is>
          <t>TPP-204</t>
        </is>
      </c>
      <c r="B3" t="inlineStr">
        <is>
          <t>0W780</t>
        </is>
      </c>
    </row>
    <row r="4">
      <c r="A4" t="inlineStr">
        <is>
          <t>TPP-350</t>
        </is>
      </c>
      <c r="B4" t="inlineStr">
        <is>
          <t>0T490</t>
        </is>
      </c>
    </row>
    <row r="5">
      <c r="A5" t="inlineStr">
        <is>
          <t>TPP-350</t>
        </is>
      </c>
      <c r="B5" t="inlineStr">
        <is>
          <t>0T500</t>
        </is>
      </c>
    </row>
    <row r="6">
      <c r="A6" t="inlineStr">
        <is>
          <t>TPP-356</t>
        </is>
      </c>
      <c r="B6" t="inlineStr">
        <is>
          <t>0T420</t>
        </is>
      </c>
    </row>
    <row r="7">
      <c r="A7" t="inlineStr">
        <is>
          <t>TPP-356</t>
        </is>
      </c>
      <c r="B7" t="inlineStr">
        <is>
          <t>0T470</t>
        </is>
      </c>
    </row>
    <row r="8">
      <c r="A8" t="inlineStr">
        <is>
          <t>TPP-356</t>
        </is>
      </c>
      <c r="B8" t="inlineStr">
        <is>
          <t>0T480</t>
        </is>
      </c>
    </row>
    <row r="9">
      <c r="A9" t="inlineStr">
        <is>
          <t>TPP-356</t>
        </is>
      </c>
      <c r="B9" t="inlineStr">
        <is>
          <t>0T490</t>
        </is>
      </c>
    </row>
    <row r="10">
      <c r="A10" t="inlineStr">
        <is>
          <t>TPP-356</t>
        </is>
      </c>
      <c r="B10" t="inlineStr">
        <is>
          <t>0T500</t>
        </is>
      </c>
    </row>
    <row r="11">
      <c r="A11" t="inlineStr">
        <is>
          <t>TPP-358</t>
        </is>
      </c>
      <c r="B11" t="inlineStr">
        <is>
          <t>0T420</t>
        </is>
      </c>
    </row>
    <row r="12">
      <c r="A12" t="inlineStr">
        <is>
          <t>TPP-358</t>
        </is>
      </c>
      <c r="B12" t="inlineStr">
        <is>
          <t>0T470</t>
        </is>
      </c>
    </row>
    <row r="13">
      <c r="A13" t="inlineStr">
        <is>
          <t>TPP-358</t>
        </is>
      </c>
      <c r="B13" t="inlineStr">
        <is>
          <t>0T490</t>
        </is>
      </c>
    </row>
    <row r="14">
      <c r="A14" t="inlineStr">
        <is>
          <t>TPP-358</t>
        </is>
      </c>
      <c r="B14" t="inlineStr">
        <is>
          <t>0T500</t>
        </is>
      </c>
    </row>
    <row r="15">
      <c r="A15" t="inlineStr">
        <is>
          <t>TPP-527</t>
        </is>
      </c>
      <c r="B15" t="inlineStr">
        <is>
          <t>0T480</t>
        </is>
      </c>
    </row>
    <row r="16">
      <c r="A16" t="inlineStr">
        <is>
          <t>TPP-537</t>
        </is>
      </c>
      <c r="B16" t="inlineStr">
        <is>
          <t>0T480</t>
        </is>
      </c>
    </row>
    <row r="17">
      <c r="A17" t="inlineStr">
        <is>
          <t>TPP-609</t>
        </is>
      </c>
      <c r="B17" t="inlineStr">
        <is>
          <t>F0220</t>
        </is>
      </c>
    </row>
    <row r="18">
      <c r="A18" t="inlineStr">
        <is>
          <t>TPP-609</t>
        </is>
      </c>
      <c r="B18" t="inlineStr">
        <is>
          <t>F2100</t>
        </is>
      </c>
    </row>
    <row r="19">
      <c r="A19" t="inlineStr">
        <is>
          <t>TPP-611</t>
        </is>
      </c>
      <c r="B19" t="inlineStr">
        <is>
          <t>F2100</t>
        </is>
      </c>
    </row>
    <row r="20">
      <c r="A20" t="inlineStr">
        <is>
          <t>TPP-613</t>
        </is>
      </c>
      <c r="B20" t="inlineStr">
        <is>
          <t>F0220</t>
        </is>
      </c>
    </row>
    <row r="21">
      <c r="A21" t="inlineStr">
        <is>
          <t>TPP-635</t>
        </is>
      </c>
      <c r="B21" t="inlineStr">
        <is>
          <t>0T730</t>
        </is>
      </c>
    </row>
    <row r="22">
      <c r="A22" t="inlineStr">
        <is>
          <t>TPP-650</t>
        </is>
      </c>
      <c r="B22" t="inlineStr">
        <is>
          <t>0Q110</t>
        </is>
      </c>
    </row>
    <row r="23">
      <c r="A23" t="inlineStr">
        <is>
          <t>TPP-650</t>
        </is>
      </c>
      <c r="B23" t="inlineStr">
        <is>
          <t>0Y460</t>
        </is>
      </c>
    </row>
    <row r="24">
      <c r="A24" t="inlineStr">
        <is>
          <t>TPP-650</t>
        </is>
      </c>
      <c r="B24" t="inlineStr">
        <is>
          <t>F2090</t>
        </is>
      </c>
    </row>
    <row r="25">
      <c r="A25" t="inlineStr">
        <is>
          <t>TPP-704</t>
        </is>
      </c>
      <c r="B25" t="inlineStr">
        <is>
          <t>0T420</t>
        </is>
      </c>
    </row>
    <row r="26">
      <c r="A26" t="inlineStr">
        <is>
          <t>TPP-704</t>
        </is>
      </c>
      <c r="B26" t="inlineStr">
        <is>
          <t>0T470</t>
        </is>
      </c>
    </row>
    <row r="27">
      <c r="A27" t="inlineStr">
        <is>
          <t>TPP-911</t>
        </is>
      </c>
      <c r="B27" t="inlineStr">
        <is>
          <t>K0030</t>
        </is>
      </c>
    </row>
    <row r="28">
      <c r="A28" t="inlineStr">
        <is>
          <t>TPP-911</t>
        </is>
      </c>
      <c r="B28" t="inlineStr">
        <is>
          <t>0T690</t>
        </is>
      </c>
    </row>
    <row r="29">
      <c r="A29" t="inlineStr">
        <is>
          <t>TPP-911</t>
        </is>
      </c>
      <c r="B29" t="inlineStr">
        <is>
          <t>0T720</t>
        </is>
      </c>
    </row>
    <row r="30">
      <c r="A30" t="inlineStr">
        <is>
          <t>TPP-911</t>
        </is>
      </c>
      <c r="B30" t="inlineStr">
        <is>
          <t>0T740</t>
        </is>
      </c>
    </row>
    <row r="31">
      <c r="A31" t="inlineStr">
        <is>
          <t>TPP-911</t>
        </is>
      </c>
      <c r="B31" t="inlineStr">
        <is>
          <t>F2180</t>
        </is>
      </c>
    </row>
    <row r="32">
      <c r="A32" t="inlineStr">
        <is>
          <t>TPP-911</t>
        </is>
      </c>
      <c r="B32" t="inlineStr">
        <is>
          <t>F2210</t>
        </is>
      </c>
    </row>
    <row r="33">
      <c r="A33" t="inlineStr">
        <is>
          <t>TPP-912</t>
        </is>
      </c>
      <c r="B33" t="inlineStr">
        <is>
          <t>0T750</t>
        </is>
      </c>
    </row>
    <row r="34">
      <c r="A34" t="inlineStr">
        <is>
          <t>TPP-914</t>
        </is>
      </c>
      <c r="B34" t="inlineStr">
        <is>
          <t>F2180</t>
        </is>
      </c>
    </row>
    <row r="35">
      <c r="A35" t="inlineStr">
        <is>
          <t>TPP-914</t>
        </is>
      </c>
      <c r="B35" t="inlineStr">
        <is>
          <t>F2210</t>
        </is>
      </c>
    </row>
    <row r="36">
      <c r="A36" t="inlineStr">
        <is>
          <t>TPP-915</t>
        </is>
      </c>
      <c r="B36" t="inlineStr">
        <is>
          <t>K0030</t>
        </is>
      </c>
    </row>
    <row r="37">
      <c r="A37" t="inlineStr">
        <is>
          <t>TPP-915</t>
        </is>
      </c>
      <c r="B37" t="inlineStr">
        <is>
          <t>0T690</t>
        </is>
      </c>
    </row>
    <row r="38">
      <c r="A38" t="inlineStr">
        <is>
          <t>TPP-915</t>
        </is>
      </c>
      <c r="B38" t="inlineStr">
        <is>
          <t>0T720</t>
        </is>
      </c>
    </row>
    <row r="39">
      <c r="A39" t="inlineStr">
        <is>
          <t>TPP-916</t>
        </is>
      </c>
      <c r="B39" t="inlineStr">
        <is>
          <t>0T740</t>
        </is>
      </c>
    </row>
    <row r="40">
      <c r="A40" t="inlineStr">
        <is>
          <t>TPP-917</t>
        </is>
      </c>
      <c r="B40" t="inlineStr">
        <is>
          <t>0T750</t>
        </is>
      </c>
    </row>
    <row r="41">
      <c r="A41" t="inlineStr">
        <is>
          <t>TPP-919</t>
        </is>
      </c>
      <c r="B41" t="inlineStr">
        <is>
          <t>F2180</t>
        </is>
      </c>
    </row>
    <row r="42">
      <c r="A42" t="inlineStr">
        <is>
          <t>TPP-919</t>
        </is>
      </c>
      <c r="B42" t="inlineStr">
        <is>
          <t>F2210</t>
        </is>
      </c>
    </row>
    <row r="43">
      <c r="A43" t="inlineStr">
        <is>
          <t>TPP-920</t>
        </is>
      </c>
      <c r="B43" t="inlineStr">
        <is>
          <t>K0030</t>
        </is>
      </c>
    </row>
    <row r="44">
      <c r="A44" t="inlineStr">
        <is>
          <t>TPP-920</t>
        </is>
      </c>
      <c r="B44" t="inlineStr">
        <is>
          <t>0T690</t>
        </is>
      </c>
    </row>
    <row r="45">
      <c r="A45" t="inlineStr">
        <is>
          <t>TPP-920</t>
        </is>
      </c>
      <c r="B45" t="inlineStr">
        <is>
          <t>0T720</t>
        </is>
      </c>
    </row>
    <row r="46">
      <c r="A46" t="inlineStr">
        <is>
          <t>TPP-922</t>
        </is>
      </c>
      <c r="B46" t="inlineStr">
        <is>
          <t>0T740</t>
        </is>
      </c>
    </row>
    <row r="47">
      <c r="A47" t="inlineStr">
        <is>
          <t>TPP-923</t>
        </is>
      </c>
      <c r="B47" t="inlineStr">
        <is>
          <t>0T750</t>
        </is>
      </c>
    </row>
    <row r="48">
      <c r="A48" t="inlineStr">
        <is>
          <t>TPP-970</t>
        </is>
      </c>
      <c r="B48" t="inlineStr">
        <is>
          <t>K0050</t>
        </is>
      </c>
    </row>
    <row r="49">
      <c r="A49" t="inlineStr">
        <is>
          <t>TPP-970</t>
        </is>
      </c>
      <c r="B49" t="inlineStr">
        <is>
          <t>0Q120</t>
        </is>
      </c>
    </row>
    <row r="50">
      <c r="A50" t="inlineStr">
        <is>
          <t>TSP-049</t>
        </is>
      </c>
      <c r="B50" t="inlineStr">
        <is>
          <t>0T180</t>
        </is>
      </c>
    </row>
    <row r="51">
      <c r="A51" t="inlineStr">
        <is>
          <t>TSP-049</t>
        </is>
      </c>
      <c r="B51" t="inlineStr">
        <is>
          <t>0T410</t>
        </is>
      </c>
    </row>
    <row r="52">
      <c r="A52" t="inlineStr">
        <is>
          <t>TSP-049</t>
        </is>
      </c>
      <c r="B52" t="inlineStr">
        <is>
          <t>0W750</t>
        </is>
      </c>
    </row>
    <row r="53">
      <c r="A53" t="inlineStr">
        <is>
          <t>TSP-050</t>
        </is>
      </c>
      <c r="B53" t="inlineStr">
        <is>
          <t>0T180</t>
        </is>
      </c>
    </row>
    <row r="54">
      <c r="A54" t="inlineStr">
        <is>
          <t>TSP-050</t>
        </is>
      </c>
      <c r="B54" t="inlineStr">
        <is>
          <t>0T410</t>
        </is>
      </c>
    </row>
    <row r="55">
      <c r="A55" t="inlineStr">
        <is>
          <t>TSP-050</t>
        </is>
      </c>
      <c r="B55" t="inlineStr">
        <is>
          <t>0W750</t>
        </is>
      </c>
    </row>
    <row r="56">
      <c r="A56" t="inlineStr">
        <is>
          <t>TSP-067</t>
        </is>
      </c>
      <c r="B56" t="inlineStr">
        <is>
          <t>0T160</t>
        </is>
      </c>
    </row>
    <row r="57">
      <c r="A57" t="inlineStr">
        <is>
          <t>TSP-069</t>
        </is>
      </c>
      <c r="B57" t="inlineStr">
        <is>
          <t>0W770</t>
        </is>
      </c>
    </row>
    <row r="58">
      <c r="A58" t="inlineStr">
        <is>
          <t>TSP-077</t>
        </is>
      </c>
      <c r="B58" t="inlineStr">
        <is>
          <t>0T190</t>
        </is>
      </c>
    </row>
    <row r="59">
      <c r="A59" t="inlineStr">
        <is>
          <t>TSP-078</t>
        </is>
      </c>
      <c r="B59" t="inlineStr">
        <is>
          <t>0T160</t>
        </is>
      </c>
    </row>
    <row r="60">
      <c r="A60" t="inlineStr">
        <is>
          <t>TSP-080</t>
        </is>
      </c>
      <c r="B60" t="inlineStr">
        <is>
          <t>0W770</t>
        </is>
      </c>
    </row>
    <row r="61">
      <c r="A61" t="inlineStr">
        <is>
          <t>TSP-089</t>
        </is>
      </c>
      <c r="B61" t="inlineStr">
        <is>
          <t>0T190</t>
        </is>
      </c>
    </row>
    <row r="62">
      <c r="A62" t="inlineStr">
        <is>
          <t>TSP-104</t>
        </is>
      </c>
      <c r="B62" t="inlineStr">
        <is>
          <t>0T150</t>
        </is>
      </c>
    </row>
    <row r="63">
      <c r="A63" t="inlineStr">
        <is>
          <t>TSP-105</t>
        </is>
      </c>
      <c r="B63" t="inlineStr">
        <is>
          <t>0T150</t>
        </is>
      </c>
    </row>
    <row r="64">
      <c r="A64" t="inlineStr">
        <is>
          <t>TSP-199</t>
        </is>
      </c>
      <c r="B64" t="inlineStr">
        <is>
          <t>0W780</t>
        </is>
      </c>
    </row>
    <row r="65">
      <c r="A65" t="inlineStr">
        <is>
          <t>TSP-205</t>
        </is>
      </c>
      <c r="B65" t="inlineStr">
        <is>
          <t>0W780</t>
        </is>
      </c>
    </row>
    <row r="66">
      <c r="A66" t="inlineStr">
        <is>
          <t>TSP-206</t>
        </is>
      </c>
      <c r="B66" t="inlineStr">
        <is>
          <t>0W780</t>
        </is>
      </c>
    </row>
    <row r="67">
      <c r="A67" t="inlineStr">
        <is>
          <t>TSP-224</t>
        </is>
      </c>
      <c r="B67" t="inlineStr">
        <is>
          <t>0M060</t>
        </is>
      </c>
    </row>
    <row r="68">
      <c r="A68" t="inlineStr">
        <is>
          <t>TSP-224</t>
        </is>
      </c>
      <c r="B68" t="inlineStr">
        <is>
          <t>0P340</t>
        </is>
      </c>
    </row>
    <row r="69">
      <c r="A69" t="inlineStr">
        <is>
          <t>TSP-224</t>
        </is>
      </c>
      <c r="B69" t="inlineStr">
        <is>
          <t>0V250</t>
        </is>
      </c>
    </row>
    <row r="70">
      <c r="A70" t="inlineStr">
        <is>
          <t>TSP-225</t>
        </is>
      </c>
      <c r="B70" t="inlineStr">
        <is>
          <t>0M060</t>
        </is>
      </c>
    </row>
    <row r="71">
      <c r="A71" t="inlineStr">
        <is>
          <t>TSP-225</t>
        </is>
      </c>
      <c r="B71" t="inlineStr">
        <is>
          <t>0P340</t>
        </is>
      </c>
    </row>
    <row r="72">
      <c r="A72" t="inlineStr">
        <is>
          <t>TSP-225</t>
        </is>
      </c>
      <c r="B72" t="inlineStr">
        <is>
          <t>0V250</t>
        </is>
      </c>
    </row>
    <row r="73">
      <c r="A73" t="inlineStr">
        <is>
          <t>TSP-360</t>
        </is>
      </c>
      <c r="B73" t="inlineStr">
        <is>
          <t>0T490</t>
        </is>
      </c>
    </row>
    <row r="74">
      <c r="A74" t="inlineStr">
        <is>
          <t>TSP-360</t>
        </is>
      </c>
      <c r="B74" t="inlineStr">
        <is>
          <t>0T500</t>
        </is>
      </c>
    </row>
    <row r="75">
      <c r="A75" t="inlineStr">
        <is>
          <t>TSP-367</t>
        </is>
      </c>
      <c r="B75" t="inlineStr">
        <is>
          <t>0T420</t>
        </is>
      </c>
    </row>
    <row r="76">
      <c r="A76" t="inlineStr">
        <is>
          <t>TSP-367</t>
        </is>
      </c>
      <c r="B76" t="inlineStr">
        <is>
          <t>0T470</t>
        </is>
      </c>
    </row>
    <row r="77">
      <c r="A77" t="inlineStr">
        <is>
          <t>TSP-367</t>
        </is>
      </c>
      <c r="B77" t="inlineStr">
        <is>
          <t>0T480</t>
        </is>
      </c>
    </row>
    <row r="78">
      <c r="A78" t="inlineStr">
        <is>
          <t>TSP-367</t>
        </is>
      </c>
      <c r="B78" t="inlineStr">
        <is>
          <t>0T490</t>
        </is>
      </c>
    </row>
    <row r="79">
      <c r="A79" t="inlineStr">
        <is>
          <t>TSP-367</t>
        </is>
      </c>
      <c r="B79" t="inlineStr">
        <is>
          <t>0T500</t>
        </is>
      </c>
    </row>
    <row r="80">
      <c r="A80" t="inlineStr">
        <is>
          <t>TSP-369</t>
        </is>
      </c>
      <c r="B80" t="inlineStr">
        <is>
          <t>0T420</t>
        </is>
      </c>
    </row>
    <row r="81">
      <c r="A81" t="inlineStr">
        <is>
          <t>TSP-369</t>
        </is>
      </c>
      <c r="B81" t="inlineStr">
        <is>
          <t>0T470</t>
        </is>
      </c>
    </row>
    <row r="82">
      <c r="A82" t="inlineStr">
        <is>
          <t>TSP-369</t>
        </is>
      </c>
      <c r="B82" t="inlineStr">
        <is>
          <t>0T490</t>
        </is>
      </c>
    </row>
    <row r="83">
      <c r="A83" t="inlineStr">
        <is>
          <t>TSP-369</t>
        </is>
      </c>
      <c r="B83" t="inlineStr">
        <is>
          <t>0T500</t>
        </is>
      </c>
    </row>
    <row r="84">
      <c r="A84" t="inlineStr">
        <is>
          <t>TSP-399</t>
        </is>
      </c>
      <c r="B84" t="inlineStr">
        <is>
          <t>0P390</t>
        </is>
      </c>
    </row>
    <row r="85">
      <c r="A85" t="inlineStr">
        <is>
          <t>TSP-402</t>
        </is>
      </c>
      <c r="B85" t="inlineStr">
        <is>
          <t>0T520</t>
        </is>
      </c>
    </row>
    <row r="86">
      <c r="A86" t="inlineStr">
        <is>
          <t>TSP-403</t>
        </is>
      </c>
      <c r="B86" t="inlineStr">
        <is>
          <t>0T510</t>
        </is>
      </c>
    </row>
    <row r="87">
      <c r="A87" t="inlineStr">
        <is>
          <t>TSP-404</t>
        </is>
      </c>
      <c r="B87" t="inlineStr">
        <is>
          <t>0T430</t>
        </is>
      </c>
    </row>
    <row r="88">
      <c r="A88" t="inlineStr">
        <is>
          <t>TSP-405</t>
        </is>
      </c>
      <c r="B88" t="inlineStr">
        <is>
          <t>0P390</t>
        </is>
      </c>
    </row>
    <row r="89">
      <c r="A89" t="inlineStr">
        <is>
          <t>TSP-405</t>
        </is>
      </c>
      <c r="B89" t="inlineStr">
        <is>
          <t>0Y230</t>
        </is>
      </c>
    </row>
    <row r="90">
      <c r="A90" t="inlineStr">
        <is>
          <t>TSP-544</t>
        </is>
      </c>
      <c r="B90" t="inlineStr">
        <is>
          <t>0T480</t>
        </is>
      </c>
    </row>
    <row r="91">
      <c r="A91" t="inlineStr">
        <is>
          <t>TSP-558</t>
        </is>
      </c>
      <c r="B91" t="inlineStr">
        <is>
          <t>0T480</t>
        </is>
      </c>
    </row>
    <row r="92">
      <c r="A92" t="inlineStr">
        <is>
          <t>TSP-618</t>
        </is>
      </c>
      <c r="B92" t="inlineStr">
        <is>
          <t>F0220</t>
        </is>
      </c>
    </row>
    <row r="93">
      <c r="A93" t="inlineStr">
        <is>
          <t>TSP-618</t>
        </is>
      </c>
      <c r="B93" t="inlineStr">
        <is>
          <t>F2100</t>
        </is>
      </c>
    </row>
    <row r="94">
      <c r="A94" t="inlineStr">
        <is>
          <t>TSP-620</t>
        </is>
      </c>
      <c r="B94" t="inlineStr">
        <is>
          <t>F2100</t>
        </is>
      </c>
    </row>
    <row r="95">
      <c r="A95" t="inlineStr">
        <is>
          <t>TSP-623</t>
        </is>
      </c>
      <c r="B95" t="inlineStr">
        <is>
          <t>F0220</t>
        </is>
      </c>
    </row>
    <row r="96">
      <c r="A96" t="inlineStr">
        <is>
          <t>TSP-655</t>
        </is>
      </c>
      <c r="B96" t="inlineStr">
        <is>
          <t>0Q110</t>
        </is>
      </c>
    </row>
    <row r="97">
      <c r="A97" t="inlineStr">
        <is>
          <t>TSP-655</t>
        </is>
      </c>
      <c r="B97" t="inlineStr">
        <is>
          <t>0Y460</t>
        </is>
      </c>
    </row>
    <row r="98">
      <c r="A98" t="inlineStr">
        <is>
          <t>TSP-655</t>
        </is>
      </c>
      <c r="B98" t="inlineStr">
        <is>
          <t>F2090</t>
        </is>
      </c>
    </row>
    <row r="99">
      <c r="A99" t="inlineStr">
        <is>
          <t>TSP-656</t>
        </is>
      </c>
      <c r="B99" t="inlineStr">
        <is>
          <t>0Q110</t>
        </is>
      </c>
    </row>
    <row r="100">
      <c r="A100" t="inlineStr">
        <is>
          <t>TSP-656</t>
        </is>
      </c>
      <c r="B100" t="inlineStr">
        <is>
          <t>0Y460</t>
        </is>
      </c>
    </row>
    <row r="101">
      <c r="A101" t="inlineStr">
        <is>
          <t>TSP-656</t>
        </is>
      </c>
      <c r="B101" t="inlineStr">
        <is>
          <t>F2090</t>
        </is>
      </c>
    </row>
    <row r="102">
      <c r="A102" t="inlineStr">
        <is>
          <t>TSP-668</t>
        </is>
      </c>
      <c r="B102" t="inlineStr">
        <is>
          <t>0T510</t>
        </is>
      </c>
    </row>
    <row r="103">
      <c r="A103" t="inlineStr">
        <is>
          <t>TSP-668</t>
        </is>
      </c>
      <c r="B103" t="inlineStr">
        <is>
          <t>0T520</t>
        </is>
      </c>
    </row>
    <row r="104">
      <c r="A104" t="inlineStr">
        <is>
          <t>TSP-669</t>
        </is>
      </c>
      <c r="B104" t="inlineStr">
        <is>
          <t>0T430</t>
        </is>
      </c>
    </row>
    <row r="105">
      <c r="A105" t="inlineStr">
        <is>
          <t>TSP-670</t>
        </is>
      </c>
      <c r="B105" t="inlineStr">
        <is>
          <t>0Y230</t>
        </is>
      </c>
    </row>
    <row r="106">
      <c r="A106" t="inlineStr">
        <is>
          <t>TSP-710</t>
        </is>
      </c>
      <c r="B106" t="inlineStr">
        <is>
          <t>0T420</t>
        </is>
      </c>
    </row>
    <row r="107">
      <c r="A107" t="inlineStr">
        <is>
          <t>TSP-710</t>
        </is>
      </c>
      <c r="B107" t="inlineStr">
        <is>
          <t>0T470</t>
        </is>
      </c>
    </row>
    <row r="108">
      <c r="A108" t="inlineStr">
        <is>
          <t>TSP-828</t>
        </is>
      </c>
      <c r="B108" t="inlineStr">
        <is>
          <t>0T730</t>
        </is>
      </c>
    </row>
    <row r="109">
      <c r="A109" t="inlineStr">
        <is>
          <t>TSP-903</t>
        </is>
      </c>
      <c r="B109" t="inlineStr">
        <is>
          <t>0T730</t>
        </is>
      </c>
    </row>
    <row r="110">
      <c r="A110" t="inlineStr">
        <is>
          <t>TSP-924</t>
        </is>
      </c>
      <c r="B110" t="inlineStr">
        <is>
          <t>0T720</t>
        </is>
      </c>
    </row>
    <row r="111">
      <c r="A111" t="inlineStr">
        <is>
          <t>TSP-924</t>
        </is>
      </c>
      <c r="B111" t="inlineStr">
        <is>
          <t>0T740</t>
        </is>
      </c>
    </row>
    <row r="112">
      <c r="A112" t="inlineStr">
        <is>
          <t>TSP-924</t>
        </is>
      </c>
      <c r="B112" t="inlineStr">
        <is>
          <t>F2180</t>
        </is>
      </c>
    </row>
    <row r="113">
      <c r="A113" t="inlineStr">
        <is>
          <t>TSP-924</t>
        </is>
      </c>
      <c r="B113" t="inlineStr">
        <is>
          <t>F2210</t>
        </is>
      </c>
    </row>
    <row r="114">
      <c r="A114" t="inlineStr">
        <is>
          <t>TSP-924</t>
        </is>
      </c>
      <c r="B114" t="inlineStr">
        <is>
          <t>K0030</t>
        </is>
      </c>
    </row>
    <row r="115">
      <c r="A115" t="inlineStr">
        <is>
          <t>TSP-925</t>
        </is>
      </c>
      <c r="B115" t="inlineStr">
        <is>
          <t>0T750</t>
        </is>
      </c>
    </row>
    <row r="116">
      <c r="A116" t="inlineStr">
        <is>
          <t>TSP-927</t>
        </is>
      </c>
      <c r="B116" t="inlineStr">
        <is>
          <t>F2180</t>
        </is>
      </c>
    </row>
    <row r="117">
      <c r="A117" t="inlineStr">
        <is>
          <t>TSP-927</t>
        </is>
      </c>
      <c r="B117" t="inlineStr">
        <is>
          <t>F2210</t>
        </is>
      </c>
    </row>
    <row r="118">
      <c r="A118" t="inlineStr">
        <is>
          <t>TSP-928</t>
        </is>
      </c>
      <c r="B118" t="inlineStr">
        <is>
          <t>K0030</t>
        </is>
      </c>
    </row>
    <row r="119">
      <c r="A119" t="inlineStr">
        <is>
          <t>TSP-928</t>
        </is>
      </c>
      <c r="B119" t="inlineStr">
        <is>
          <t>0T720</t>
        </is>
      </c>
    </row>
    <row r="120">
      <c r="A120" t="inlineStr">
        <is>
          <t>TSP-928</t>
        </is>
      </c>
      <c r="B120" t="inlineStr">
        <is>
          <t>OT690</t>
        </is>
      </c>
    </row>
    <row r="121">
      <c r="A121" t="inlineStr">
        <is>
          <t>TSP-929</t>
        </is>
      </c>
      <c r="B121" t="inlineStr">
        <is>
          <t>0T740</t>
        </is>
      </c>
    </row>
    <row r="122">
      <c r="A122" t="inlineStr">
        <is>
          <t>TSP-930</t>
        </is>
      </c>
      <c r="B122" t="inlineStr">
        <is>
          <t>0T750</t>
        </is>
      </c>
    </row>
    <row r="123">
      <c r="A123" t="inlineStr">
        <is>
          <t>TSP-934</t>
        </is>
      </c>
      <c r="B123" t="inlineStr">
        <is>
          <t>F2180</t>
        </is>
      </c>
    </row>
    <row r="124">
      <c r="A124" t="inlineStr">
        <is>
          <t>TSP-934</t>
        </is>
      </c>
      <c r="B124" t="inlineStr">
        <is>
          <t>F2210</t>
        </is>
      </c>
    </row>
    <row r="125">
      <c r="A125" t="inlineStr">
        <is>
          <t>TSP-934</t>
        </is>
      </c>
      <c r="B125" t="inlineStr">
        <is>
          <t>OT690</t>
        </is>
      </c>
    </row>
    <row r="126">
      <c r="A126" t="inlineStr">
        <is>
          <t>TSP-935</t>
        </is>
      </c>
      <c r="B126" t="inlineStr">
        <is>
          <t>0T720</t>
        </is>
      </c>
    </row>
    <row r="127">
      <c r="A127" t="inlineStr">
        <is>
          <t>TSP-935</t>
        </is>
      </c>
      <c r="B127" t="inlineStr">
        <is>
          <t>K0030</t>
        </is>
      </c>
    </row>
    <row r="128">
      <c r="A128" t="inlineStr">
        <is>
          <t>TSP-936</t>
        </is>
      </c>
      <c r="B128" t="inlineStr">
        <is>
          <t>0T740</t>
        </is>
      </c>
    </row>
    <row r="129">
      <c r="A129" t="inlineStr">
        <is>
          <t>TSP-937</t>
        </is>
      </c>
      <c r="B129" t="inlineStr">
        <is>
          <t>0T750</t>
        </is>
      </c>
    </row>
    <row r="130">
      <c r="A130" t="inlineStr">
        <is>
          <t>TSP-959</t>
        </is>
      </c>
      <c r="B130" t="inlineStr">
        <is>
          <t>0Q120</t>
        </is>
      </c>
    </row>
    <row r="131">
      <c r="A131" t="inlineStr">
        <is>
          <t>TSP-959</t>
        </is>
      </c>
      <c r="B131" t="inlineStr">
        <is>
          <t>K0050</t>
        </is>
      </c>
    </row>
    <row r="132">
      <c r="A132" t="inlineStr">
        <is>
          <t>TSP-966</t>
        </is>
      </c>
      <c r="B132" t="inlineStr">
        <is>
          <t>0Q120</t>
        </is>
      </c>
    </row>
    <row r="133">
      <c r="A133" t="inlineStr">
        <is>
          <t>TSP-966</t>
        </is>
      </c>
      <c r="B133" t="inlineStr">
        <is>
          <t>K0050</t>
        </is>
      </c>
    </row>
    <row r="134">
      <c r="A134" t="inlineStr">
        <is>
          <t>TSP-1388</t>
        </is>
      </c>
      <c r="B134" t="inlineStr">
        <is>
          <t>0T860</t>
        </is>
      </c>
    </row>
    <row r="135">
      <c r="A135" t="inlineStr">
        <is>
          <t>TSP-1388</t>
        </is>
      </c>
      <c r="B135" t="inlineStr">
        <is>
          <t>F2350</t>
        </is>
      </c>
    </row>
    <row r="136">
      <c r="A136" t="inlineStr">
        <is>
          <t>TSP-1388</t>
        </is>
      </c>
      <c r="B136" t="inlineStr">
        <is>
          <t>F3060</t>
        </is>
      </c>
    </row>
    <row r="137">
      <c r="A137" t="inlineStr">
        <is>
          <t>TSP-1444</t>
        </is>
      </c>
      <c r="B137" t="inlineStr">
        <is>
          <t>F2350</t>
        </is>
      </c>
    </row>
    <row r="138">
      <c r="A138" t="inlineStr">
        <is>
          <t>TSP-1444</t>
        </is>
      </c>
      <c r="B138" t="inlineStr">
        <is>
          <t>F3060</t>
        </is>
      </c>
    </row>
    <row r="139">
      <c r="A139" t="inlineStr">
        <is>
          <t>TSP-1448</t>
        </is>
      </c>
      <c r="B139" t="inlineStr">
        <is>
          <t>F2350</t>
        </is>
      </c>
    </row>
    <row r="140">
      <c r="A140" t="inlineStr">
        <is>
          <t>TSP-1448</t>
        </is>
      </c>
      <c r="B140" t="inlineStr">
        <is>
          <t>F3060</t>
        </is>
      </c>
    </row>
    <row r="141">
      <c r="A141" t="inlineStr">
        <is>
          <t>TSP-1445</t>
        </is>
      </c>
      <c r="B141" t="inlineStr">
        <is>
          <t>0T860</t>
        </is>
      </c>
    </row>
    <row r="142">
      <c r="A142" t="inlineStr">
        <is>
          <t>TSP-1446</t>
        </is>
      </c>
      <c r="B142" t="inlineStr">
        <is>
          <t>0T880</t>
        </is>
      </c>
    </row>
    <row r="143">
      <c r="A143" t="inlineStr">
        <is>
          <t>TSP-1449</t>
        </is>
      </c>
      <c r="B143" t="inlineStr">
        <is>
          <t>0T880</t>
        </is>
      </c>
    </row>
    <row r="144">
      <c r="A144" t="inlineStr">
        <is>
          <t>TSP-1449</t>
        </is>
      </c>
      <c r="B144" t="inlineStr">
        <is>
          <t>0T860</t>
        </is>
      </c>
    </row>
    <row r="145">
      <c r="A145" t="inlineStr">
        <is>
          <t>TVS-267</t>
        </is>
      </c>
      <c r="B145" t="inlineStr">
        <is>
          <t>0T750</t>
        </is>
      </c>
    </row>
    <row r="146">
      <c r="A146" t="inlineStr">
        <is>
          <t>TVS-500</t>
        </is>
      </c>
      <c r="B146" t="inlineStr">
        <is>
          <t>0T740</t>
        </is>
      </c>
    </row>
    <row r="147">
      <c r="A147" t="inlineStr">
        <is>
          <t>TVS-833</t>
        </is>
      </c>
      <c r="B147" t="inlineStr">
        <is>
          <t>0T720</t>
        </is>
      </c>
    </row>
    <row r="148">
      <c r="A148" t="inlineStr">
        <is>
          <t>VSP-567</t>
        </is>
      </c>
      <c r="B148" t="inlineStr">
        <is>
          <t>V03</t>
        </is>
      </c>
    </row>
    <row r="149">
      <c r="A149" t="inlineStr">
        <is>
          <t>VSP-600</t>
        </is>
      </c>
      <c r="B149" t="inlineStr">
        <is>
          <t>V02</t>
        </is>
      </c>
    </row>
    <row r="150">
      <c r="A150" t="inlineStr">
        <is>
          <t>VSP-601</t>
        </is>
      </c>
      <c r="B150" t="inlineStr">
        <is>
          <t>V02</t>
        </is>
      </c>
    </row>
    <row r="151">
      <c r="A151" t="inlineStr">
        <is>
          <t>VSP-602</t>
        </is>
      </c>
      <c r="B151" t="inlineStr">
        <is>
          <t>V02</t>
        </is>
      </c>
    </row>
    <row r="152">
      <c r="A152" t="inlineStr">
        <is>
          <t>VSP-603</t>
        </is>
      </c>
      <c r="B152" t="inlineStr">
        <is>
          <t>V04</t>
        </is>
      </c>
    </row>
    <row r="153">
      <c r="A153" t="inlineStr">
        <is>
          <t>VSP-604</t>
        </is>
      </c>
      <c r="B153" t="inlineStr">
        <is>
          <t>V04</t>
        </is>
      </c>
    </row>
    <row r="154">
      <c r="A154" t="inlineStr">
        <is>
          <t>VSP-605</t>
        </is>
      </c>
      <c r="B154" t="inlineStr">
        <is>
          <t>V04</t>
        </is>
      </c>
    </row>
    <row r="155">
      <c r="A155" t="inlineStr">
        <is>
          <t>VSP-606</t>
        </is>
      </c>
      <c r="B155" t="inlineStr">
        <is>
          <t>V05</t>
        </is>
      </c>
    </row>
    <row r="156">
      <c r="A156" t="inlineStr">
        <is>
          <t>VSP-607</t>
        </is>
      </c>
      <c r="B156" t="inlineStr">
        <is>
          <t>V05</t>
        </is>
      </c>
    </row>
    <row r="157">
      <c r="A157" t="inlineStr">
        <is>
          <t>VSP-738</t>
        </is>
      </c>
      <c r="B157" t="inlineStr">
        <is>
          <t>V11</t>
        </is>
      </c>
    </row>
    <row r="158">
      <c r="A158" t="inlineStr">
        <is>
          <t>VSP-739</t>
        </is>
      </c>
      <c r="B158" t="inlineStr">
        <is>
          <t>V11</t>
        </is>
      </c>
    </row>
    <row r="159">
      <c r="A159" t="inlineStr">
        <is>
          <t>VSP-740</t>
        </is>
      </c>
      <c r="B159" t="inlineStr">
        <is>
          <t>V11</t>
        </is>
      </c>
    </row>
    <row r="160">
      <c r="A160" t="inlineStr">
        <is>
          <t>VSP-746</t>
        </is>
      </c>
      <c r="B160" t="inlineStr">
        <is>
          <t>V07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VSP-869</t>
        </is>
      </c>
      <c r="B164" t="inlineStr">
        <is>
          <t>V13</t>
        </is>
      </c>
    </row>
    <row r="165">
      <c r="A165" t="inlineStr">
        <is>
          <t>VSP-870</t>
        </is>
      </c>
      <c r="B165" t="inlineStr">
        <is>
          <t>V13</t>
        </is>
      </c>
    </row>
    <row r="166">
      <c r="A166" t="inlineStr">
        <is>
          <t>VSP-910</t>
        </is>
      </c>
      <c r="B166" t="inlineStr">
        <is>
          <t>V17</t>
        </is>
      </c>
    </row>
    <row r="167">
      <c r="A167" t="inlineStr">
        <is>
          <t>VSP-989</t>
        </is>
      </c>
      <c r="B167" t="inlineStr">
        <is>
          <t>V18</t>
        </is>
      </c>
    </row>
    <row r="168">
      <c r="A168" t="inlineStr">
        <is>
          <t>VSP-990</t>
        </is>
      </c>
      <c r="B168" t="inlineStr">
        <is>
          <t>V18</t>
        </is>
      </c>
    </row>
    <row r="169">
      <c r="A169" t="inlineStr">
        <is>
          <t>VSZ-745</t>
        </is>
      </c>
      <c r="B169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Part Name</t>
        </is>
      </c>
      <c r="B1" s="5" t="inlineStr">
        <is>
          <t>2026-W01</t>
        </is>
      </c>
      <c r="C1" s="5" t="inlineStr">
        <is>
          <t>2026-W02</t>
        </is>
      </c>
      <c r="D1" s="5" t="inlineStr">
        <is>
          <t>2026-W03</t>
        </is>
      </c>
      <c r="E1" s="5" t="inlineStr">
        <is>
          <t>2026-W04</t>
        </is>
      </c>
      <c r="F1" s="5" t="inlineStr">
        <is>
          <t>2026-W05</t>
        </is>
      </c>
      <c r="G1" s="5" t="inlineStr">
        <is>
          <t>2026-W06</t>
        </is>
      </c>
      <c r="H1" s="5" t="inlineStr">
        <is>
          <t>2026-W07</t>
        </is>
      </c>
      <c r="I1" s="5" t="inlineStr">
        <is>
          <t>2026-W08</t>
        </is>
      </c>
      <c r="J1" s="5" t="inlineStr">
        <is>
          <t>2026-W09</t>
        </is>
      </c>
      <c r="K1" s="5" t="inlineStr">
        <is>
          <t>2026-W10</t>
        </is>
      </c>
      <c r="L1" s="5" t="inlineStr">
        <is>
          <t>2026-W11</t>
        </is>
      </c>
      <c r="M1" s="5" t="inlineStr">
        <is>
          <t>2026-W12</t>
        </is>
      </c>
      <c r="N1" s="5" t="inlineStr">
        <is>
          <t>2026-W13</t>
        </is>
      </c>
      <c r="O1" s="5" t="inlineStr">
        <is>
          <t>2026-W14</t>
        </is>
      </c>
      <c r="P1" s="5" t="inlineStr">
        <is>
          <t>2026-W15</t>
        </is>
      </c>
      <c r="Q1" s="5" t="inlineStr">
        <is>
          <t>2026-W16</t>
        </is>
      </c>
      <c r="R1" s="5" t="inlineStr">
        <is>
          <t>2026-W17</t>
        </is>
      </c>
      <c r="S1" s="5" t="inlineStr">
        <is>
          <t>2026-W18</t>
        </is>
      </c>
      <c r="T1" s="5" t="inlineStr">
        <is>
          <t>2026-W19</t>
        </is>
      </c>
      <c r="U1" s="5" t="inlineStr">
        <is>
          <t>2026-W20</t>
        </is>
      </c>
      <c r="V1" s="5" t="inlineStr">
        <is>
          <t>2026-W21</t>
        </is>
      </c>
      <c r="W1" s="5" t="inlineStr">
        <is>
          <t>2026-W22</t>
        </is>
      </c>
      <c r="X1" s="5" t="inlineStr">
        <is>
          <t>2026-W23</t>
        </is>
      </c>
      <c r="Y1" s="5" t="inlineStr">
        <is>
          <t>2026-W24</t>
        </is>
      </c>
      <c r="Z1" s="5" t="inlineStr">
        <is>
          <t>2026-W25</t>
        </is>
      </c>
      <c r="AA1" s="5" t="inlineStr">
        <is>
          <t>2026-W26</t>
        </is>
      </c>
      <c r="AB1" s="5" t="inlineStr">
        <is>
          <t>2026-W27</t>
        </is>
      </c>
      <c r="AC1" s="5" t="inlineStr">
        <is>
          <t>2026-W28</t>
        </is>
      </c>
      <c r="AD1" s="5" t="inlineStr">
        <is>
          <t>2026-W29</t>
        </is>
      </c>
      <c r="AE1" s="5" t="inlineStr">
        <is>
          <t>2026-W30</t>
        </is>
      </c>
      <c r="AF1" s="5" t="inlineStr">
        <is>
          <t>2026-W31</t>
        </is>
      </c>
      <c r="AG1" s="5" t="inlineStr">
        <is>
          <t>2026-W32</t>
        </is>
      </c>
      <c r="AH1" s="5" t="inlineStr">
        <is>
          <t>2026-W33</t>
        </is>
      </c>
      <c r="AI1" s="5" t="inlineStr">
        <is>
          <t>2026-W34</t>
        </is>
      </c>
      <c r="AJ1" s="5" t="inlineStr">
        <is>
          <t>2026-W35</t>
        </is>
      </c>
      <c r="AK1" s="5" t="inlineStr">
        <is>
          <t>2026-W36</t>
        </is>
      </c>
      <c r="AL1" s="5" t="inlineStr">
        <is>
          <t>2026-W37</t>
        </is>
      </c>
      <c r="AM1" s="5" t="inlineStr">
        <is>
          <t>2026-W38</t>
        </is>
      </c>
      <c r="AN1" s="5" t="inlineStr">
        <is>
          <t>2026-W39</t>
        </is>
      </c>
      <c r="AO1" s="5" t="inlineStr">
        <is>
          <t>2026-W40</t>
        </is>
      </c>
      <c r="AP1" s="5" t="inlineStr">
        <is>
          <t>2026-W41</t>
        </is>
      </c>
      <c r="AQ1" s="5" t="inlineStr">
        <is>
          <t>2026-W42</t>
        </is>
      </c>
      <c r="AR1" s="5" t="inlineStr">
        <is>
          <t>2026-W43</t>
        </is>
      </c>
      <c r="AS1" s="5" t="inlineStr">
        <is>
          <t>2026-W44</t>
        </is>
      </c>
      <c r="AT1" s="5" t="inlineStr">
        <is>
          <t>2026-W45</t>
        </is>
      </c>
      <c r="AU1" s="5" t="inlineStr">
        <is>
          <t>2026-W46</t>
        </is>
      </c>
      <c r="AV1" s="5" t="inlineStr">
        <is>
          <t>2026-W47</t>
        </is>
      </c>
      <c r="AW1" s="5" t="inlineStr">
        <is>
          <t>2026-W48</t>
        </is>
      </c>
      <c r="AX1" s="5" t="inlineStr">
        <is>
          <t>2026-W49</t>
        </is>
      </c>
      <c r="AY1" s="5" t="inlineStr">
        <is>
          <t>2026-W50</t>
        </is>
      </c>
      <c r="AZ1" s="5" t="inlineStr">
        <is>
          <t>2026-W51</t>
        </is>
      </c>
      <c r="BA1" s="5" t="inlineStr">
        <is>
          <t>2026-W52</t>
        </is>
      </c>
      <c r="BB1" s="5" t="inlineStr">
        <is>
          <t>2027-W01</t>
        </is>
      </c>
      <c r="BC1" s="5" t="inlineStr">
        <is>
          <t>2027-W02</t>
        </is>
      </c>
      <c r="BD1" s="5" t="inlineStr">
        <is>
          <t>2027-W03</t>
        </is>
      </c>
      <c r="BE1" s="5" t="inlineStr">
        <is>
          <t>2027-W04</t>
        </is>
      </c>
      <c r="BF1" s="5" t="inlineStr">
        <is>
          <t>2027-W05</t>
        </is>
      </c>
      <c r="BG1" s="5" t="inlineStr">
        <is>
          <t>2027-W06</t>
        </is>
      </c>
      <c r="BH1" s="5" t="inlineStr">
        <is>
          <t>2027-W07</t>
        </is>
      </c>
      <c r="BI1" s="5" t="inlineStr">
        <is>
          <t>2027-W08</t>
        </is>
      </c>
      <c r="BJ1" s="5" t="inlineStr">
        <is>
          <t>2027-W09</t>
        </is>
      </c>
      <c r="BK1" s="5" t="inlineStr">
        <is>
          <t>2027-W10</t>
        </is>
      </c>
      <c r="BL1" s="5" t="inlineStr">
        <is>
          <t>2027-W11</t>
        </is>
      </c>
      <c r="BM1" s="5" t="inlineStr">
        <is>
          <t>2027-W12</t>
        </is>
      </c>
      <c r="BN1" s="5" t="inlineStr">
        <is>
          <t>2027-W13</t>
        </is>
      </c>
      <c r="BO1" s="5" t="inlineStr">
        <is>
          <t>2027-W14</t>
        </is>
      </c>
      <c r="BP1" s="5" t="inlineStr">
        <is>
          <t>2027-W15</t>
        </is>
      </c>
      <c r="BQ1" s="5" t="inlineStr">
        <is>
          <t>2027-W16</t>
        </is>
      </c>
      <c r="BR1" s="5" t="inlineStr">
        <is>
          <t>2027-W17</t>
        </is>
      </c>
      <c r="BS1" s="5" t="inlineStr">
        <is>
          <t>2027-W18</t>
        </is>
      </c>
      <c r="BT1" s="5" t="inlineStr">
        <is>
          <t>2027-W19</t>
        </is>
      </c>
      <c r="BU1" s="5" t="inlineStr">
        <is>
          <t>2027-W20</t>
        </is>
      </c>
      <c r="BV1" s="5" t="inlineStr">
        <is>
          <t>2027-W21</t>
        </is>
      </c>
      <c r="BW1" s="5" t="inlineStr">
        <is>
          <t>2027-W22</t>
        </is>
      </c>
      <c r="BX1" s="5" t="inlineStr">
        <is>
          <t>2027-W23</t>
        </is>
      </c>
      <c r="BY1" s="5" t="inlineStr">
        <is>
          <t>2027-W24</t>
        </is>
      </c>
      <c r="BZ1" s="5" t="inlineStr">
        <is>
          <t>2027-W25</t>
        </is>
      </c>
      <c r="CA1" s="5" t="inlineStr">
        <is>
          <t>2027-W26</t>
        </is>
      </c>
      <c r="CB1" s="5" t="inlineStr">
        <is>
          <t>2027-W27</t>
        </is>
      </c>
      <c r="CC1" s="5" t="inlineStr">
        <is>
          <t>2027-W28</t>
        </is>
      </c>
      <c r="CD1" s="5" t="inlineStr">
        <is>
          <t>2027-W29</t>
        </is>
      </c>
      <c r="CE1" s="5" t="inlineStr">
        <is>
          <t>2027-W30</t>
        </is>
      </c>
      <c r="CF1" s="5" t="inlineStr">
        <is>
          <t>2027-W31</t>
        </is>
      </c>
      <c r="CG1" s="5" t="inlineStr">
        <is>
          <t>2027-W32</t>
        </is>
      </c>
      <c r="CH1" s="5" t="inlineStr">
        <is>
          <t>2027-W33</t>
        </is>
      </c>
      <c r="CI1" s="5" t="inlineStr">
        <is>
          <t>2027-W34</t>
        </is>
      </c>
      <c r="CJ1" s="5" t="inlineStr">
        <is>
          <t>2027-W35</t>
        </is>
      </c>
      <c r="CK1" s="5" t="inlineStr">
        <is>
          <t>2027-W36</t>
        </is>
      </c>
      <c r="CL1" s="5" t="inlineStr">
        <is>
          <t>2027-W37</t>
        </is>
      </c>
      <c r="CM1" s="5" t="inlineStr">
        <is>
          <t>2027-W38</t>
        </is>
      </c>
      <c r="CN1" s="5" t="inlineStr">
        <is>
          <t>2027-W39</t>
        </is>
      </c>
      <c r="CO1" s="5" t="inlineStr">
        <is>
          <t>2027-W40</t>
        </is>
      </c>
      <c r="CP1" s="5" t="inlineStr">
        <is>
          <t>2027-W41</t>
        </is>
      </c>
      <c r="CQ1" s="5" t="inlineStr">
        <is>
          <t>2027-W42</t>
        </is>
      </c>
      <c r="CR1" s="5" t="inlineStr">
        <is>
          <t>2027-W43</t>
        </is>
      </c>
      <c r="CS1" s="5" t="inlineStr">
        <is>
          <t>2027-W44</t>
        </is>
      </c>
      <c r="CT1" s="5" t="inlineStr">
        <is>
          <t>2027-W45</t>
        </is>
      </c>
      <c r="CU1" s="5" t="inlineStr">
        <is>
          <t>2027-W46</t>
        </is>
      </c>
      <c r="CV1" s="5" t="inlineStr">
        <is>
          <t>2027-W47</t>
        </is>
      </c>
      <c r="CW1" s="5" t="inlineStr">
        <is>
          <t>2027-W48</t>
        </is>
      </c>
      <c r="CX1" s="5" t="inlineStr">
        <is>
          <t>2027-W49</t>
        </is>
      </c>
      <c r="CY1" s="5" t="inlineStr">
        <is>
          <t>2027-W50</t>
        </is>
      </c>
      <c r="CZ1" s="5" t="inlineStr">
        <is>
          <t>2027-W51</t>
        </is>
      </c>
      <c r="DA1" s="5" t="inlineStr">
        <is>
          <t>2027-W52</t>
        </is>
      </c>
    </row>
    <row r="2">
      <c r="A2" t="inlineStr">
        <is>
          <t>CHEM-1250</t>
        </is>
      </c>
      <c r="B2">
        <f>SUMPRODUCT((M_BOM[Part Name]=$A2)*M_BOM[RM_Qty_Per_Batch]*IFERROR(INDEX(PP_Grid[#Data],M_BOM[PPGridRow],2),0))</f>
        <v/>
      </c>
      <c r="C2">
        <f>SUMPRODUCT((M_BOM[Part Name]=$A2)*M_BOM[RM_Qty_Per_Batch]*IFERROR(INDEX(PP_Grid[#Data],M_BOM[PPGridRow],3),0))</f>
        <v/>
      </c>
      <c r="D2">
        <f>SUMPRODUCT((M_BOM[Part Name]=$A2)*M_BOM[RM_Qty_Per_Batch]*IFERROR(INDEX(PP_Grid[#Data],M_BOM[PPGridRow],4),0))</f>
        <v/>
      </c>
      <c r="E2">
        <f>SUMPRODUCT((M_BOM[Part Name]=$A2)*M_BOM[RM_Qty_Per_Batch]*IFERROR(INDEX(PP_Grid[#Data],M_BOM[PPGridRow],5),0))</f>
        <v/>
      </c>
      <c r="F2">
        <f>SUMPRODUCT((M_BOM[Part Name]=$A2)*M_BOM[RM_Qty_Per_Batch]*IFERROR(INDEX(PP_Grid[#Data],M_BOM[PPGridRow],6),0))</f>
        <v/>
      </c>
      <c r="G2">
        <f>SUMPRODUCT((M_BOM[Part Name]=$A2)*M_BOM[RM_Qty_Per_Batch]*IFERROR(INDEX(PP_Grid[#Data],M_BOM[PPGridRow],7),0))</f>
        <v/>
      </c>
      <c r="H2">
        <f>SUMPRODUCT((M_BOM[Part Name]=$A2)*M_BOM[RM_Qty_Per_Batch]*IFERROR(INDEX(PP_Grid[#Data],M_BOM[PPGridRow],8),0))</f>
        <v/>
      </c>
      <c r="I2">
        <f>SUMPRODUCT((M_BOM[Part Name]=$A2)*M_BOM[RM_Qty_Per_Batch]*IFERROR(INDEX(PP_Grid[#Data],M_BOM[PPGridRow],9),0))</f>
        <v/>
      </c>
      <c r="J2">
        <f>SUMPRODUCT((M_BOM[Part Name]=$A2)*M_BOM[RM_Qty_Per_Batch]*IFERROR(INDEX(PP_Grid[#Data],M_BOM[PPGridRow],10),0))</f>
        <v/>
      </c>
      <c r="K2">
        <f>SUMPRODUCT((M_BOM[Part Name]=$A2)*M_BOM[RM_Qty_Per_Batch]*IFERROR(INDEX(PP_Grid[#Data],M_BOM[PPGridRow],11),0))</f>
        <v/>
      </c>
      <c r="L2">
        <f>SUMPRODUCT((M_BOM[Part Name]=$A2)*M_BOM[RM_Qty_Per_Batch]*IFERROR(INDEX(PP_Grid[#Data],M_BOM[PPGridRow],12),0))</f>
        <v/>
      </c>
      <c r="M2">
        <f>SUMPRODUCT((M_BOM[Part Name]=$A2)*M_BOM[RM_Qty_Per_Batch]*IFERROR(INDEX(PP_Grid[#Data],M_BOM[PPGridRow],13),0))</f>
        <v/>
      </c>
      <c r="N2">
        <f>SUMPRODUCT((M_BOM[Part Name]=$A2)*M_BOM[RM_Qty_Per_Batch]*IFERROR(INDEX(PP_Grid[#Data],M_BOM[PPGridRow],14),0))</f>
        <v/>
      </c>
      <c r="O2">
        <f>SUMPRODUCT((M_BOM[Part Name]=$A2)*M_BOM[RM_Qty_Per_Batch]*IFERROR(INDEX(PP_Grid[#Data],M_BOM[PPGridRow],15),0))</f>
        <v/>
      </c>
      <c r="P2">
        <f>SUMPRODUCT((M_BOM[Part Name]=$A2)*M_BOM[RM_Qty_Per_Batch]*IFERROR(INDEX(PP_Grid[#Data],M_BOM[PPGridRow],16),0))</f>
        <v/>
      </c>
      <c r="Q2">
        <f>SUMPRODUCT((M_BOM[Part Name]=$A2)*M_BOM[RM_Qty_Per_Batch]*IFERROR(INDEX(PP_Grid[#Data],M_BOM[PPGridRow],17),0))</f>
        <v/>
      </c>
      <c r="R2">
        <f>SUMPRODUCT((M_BOM[Part Name]=$A2)*M_BOM[RM_Qty_Per_Batch]*IFERROR(INDEX(PP_Grid[#Data],M_BOM[PPGridRow],18),0))</f>
        <v/>
      </c>
      <c r="S2">
        <f>SUMPRODUCT((M_BOM[Part Name]=$A2)*M_BOM[RM_Qty_Per_Batch]*IFERROR(INDEX(PP_Grid[#Data],M_BOM[PPGridRow],19),0))</f>
        <v/>
      </c>
      <c r="T2">
        <f>SUMPRODUCT((M_BOM[Part Name]=$A2)*M_BOM[RM_Qty_Per_Batch]*IFERROR(INDEX(PP_Grid[#Data],M_BOM[PPGridRow],20),0))</f>
        <v/>
      </c>
      <c r="U2">
        <f>SUMPRODUCT((M_BOM[Part Name]=$A2)*M_BOM[RM_Qty_Per_Batch]*IFERROR(INDEX(PP_Grid[#Data],M_BOM[PPGridRow],21),0))</f>
        <v/>
      </c>
      <c r="V2">
        <f>SUMPRODUCT((M_BOM[Part Name]=$A2)*M_BOM[RM_Qty_Per_Batch]*IFERROR(INDEX(PP_Grid[#Data],M_BOM[PPGridRow],22),0))</f>
        <v/>
      </c>
      <c r="W2">
        <f>SUMPRODUCT((M_BOM[Part Name]=$A2)*M_BOM[RM_Qty_Per_Batch]*IFERROR(INDEX(PP_Grid[#Data],M_BOM[PPGridRow],23),0))</f>
        <v/>
      </c>
      <c r="X2">
        <f>SUMPRODUCT((M_BOM[Part Name]=$A2)*M_BOM[RM_Qty_Per_Batch]*IFERROR(INDEX(PP_Grid[#Data],M_BOM[PPGridRow],24),0))</f>
        <v/>
      </c>
      <c r="Y2">
        <f>SUMPRODUCT((M_BOM[Part Name]=$A2)*M_BOM[RM_Qty_Per_Batch]*IFERROR(INDEX(PP_Grid[#Data],M_BOM[PPGridRow],25),0))</f>
        <v/>
      </c>
      <c r="Z2">
        <f>SUMPRODUCT((M_BOM[Part Name]=$A2)*M_BOM[RM_Qty_Per_Batch]*IFERROR(INDEX(PP_Grid[#Data],M_BOM[PPGridRow],26),0))</f>
        <v/>
      </c>
      <c r="AA2">
        <f>SUMPRODUCT((M_BOM[Part Name]=$A2)*M_BOM[RM_Qty_Per_Batch]*IFERROR(INDEX(PP_Grid[#Data],M_BOM[PPGridRow],27),0))</f>
        <v/>
      </c>
      <c r="AB2">
        <f>SUMPRODUCT((M_BOM[Part Name]=$A2)*M_BOM[RM_Qty_Per_Batch]*IFERROR(INDEX(PP_Grid[#Data],M_BOM[PPGridRow],28),0))</f>
        <v/>
      </c>
      <c r="AC2">
        <f>SUMPRODUCT((M_BOM[Part Name]=$A2)*M_BOM[RM_Qty_Per_Batch]*IFERROR(INDEX(PP_Grid[#Data],M_BOM[PPGridRow],29),0))</f>
        <v/>
      </c>
      <c r="AD2">
        <f>SUMPRODUCT((M_BOM[Part Name]=$A2)*M_BOM[RM_Qty_Per_Batch]*IFERROR(INDEX(PP_Grid[#Data],M_BOM[PPGridRow],30),0))</f>
        <v/>
      </c>
      <c r="AE2">
        <f>SUMPRODUCT((M_BOM[Part Name]=$A2)*M_BOM[RM_Qty_Per_Batch]*IFERROR(INDEX(PP_Grid[#Data],M_BOM[PPGridRow],31),0))</f>
        <v/>
      </c>
      <c r="AF2">
        <f>SUMPRODUCT((M_BOM[Part Name]=$A2)*M_BOM[RM_Qty_Per_Batch]*IFERROR(INDEX(PP_Grid[#Data],M_BOM[PPGridRow],32),0))</f>
        <v/>
      </c>
      <c r="AG2">
        <f>SUMPRODUCT((M_BOM[Part Name]=$A2)*M_BOM[RM_Qty_Per_Batch]*IFERROR(INDEX(PP_Grid[#Data],M_BOM[PPGridRow],33),0))</f>
        <v/>
      </c>
      <c r="AH2">
        <f>SUMPRODUCT((M_BOM[Part Name]=$A2)*M_BOM[RM_Qty_Per_Batch]*IFERROR(INDEX(PP_Grid[#Data],M_BOM[PPGridRow],34),0))</f>
        <v/>
      </c>
      <c r="AI2">
        <f>SUMPRODUCT((M_BOM[Part Name]=$A2)*M_BOM[RM_Qty_Per_Batch]*IFERROR(INDEX(PP_Grid[#Data],M_BOM[PPGridRow],35),0))</f>
        <v/>
      </c>
      <c r="AJ2">
        <f>SUMPRODUCT((M_BOM[Part Name]=$A2)*M_BOM[RM_Qty_Per_Batch]*IFERROR(INDEX(PP_Grid[#Data],M_BOM[PPGridRow],36),0))</f>
        <v/>
      </c>
      <c r="AK2">
        <f>SUMPRODUCT((M_BOM[Part Name]=$A2)*M_BOM[RM_Qty_Per_Batch]*IFERROR(INDEX(PP_Grid[#Data],M_BOM[PPGridRow],37),0))</f>
        <v/>
      </c>
      <c r="AL2">
        <f>SUMPRODUCT((M_BOM[Part Name]=$A2)*M_BOM[RM_Qty_Per_Batch]*IFERROR(INDEX(PP_Grid[#Data],M_BOM[PPGridRow],38),0))</f>
        <v/>
      </c>
      <c r="AM2">
        <f>SUMPRODUCT((M_BOM[Part Name]=$A2)*M_BOM[RM_Qty_Per_Batch]*IFERROR(INDEX(PP_Grid[#Data],M_BOM[PPGridRow],39),0))</f>
        <v/>
      </c>
      <c r="AN2">
        <f>SUMPRODUCT((M_BOM[Part Name]=$A2)*M_BOM[RM_Qty_Per_Batch]*IFERROR(INDEX(PP_Grid[#Data],M_BOM[PPGridRow],40),0))</f>
        <v/>
      </c>
      <c r="AO2">
        <f>SUMPRODUCT((M_BOM[Part Name]=$A2)*M_BOM[RM_Qty_Per_Batch]*IFERROR(INDEX(PP_Grid[#Data],M_BOM[PPGridRow],41),0))</f>
        <v/>
      </c>
      <c r="AP2">
        <f>SUMPRODUCT((M_BOM[Part Name]=$A2)*M_BOM[RM_Qty_Per_Batch]*IFERROR(INDEX(PP_Grid[#Data],M_BOM[PPGridRow],42),0))</f>
        <v/>
      </c>
      <c r="AQ2">
        <f>SUMPRODUCT((M_BOM[Part Name]=$A2)*M_BOM[RM_Qty_Per_Batch]*IFERROR(INDEX(PP_Grid[#Data],M_BOM[PPGridRow],43),0))</f>
        <v/>
      </c>
      <c r="AR2">
        <f>SUMPRODUCT((M_BOM[Part Name]=$A2)*M_BOM[RM_Qty_Per_Batch]*IFERROR(INDEX(PP_Grid[#Data],M_BOM[PPGridRow],44),0))</f>
        <v/>
      </c>
      <c r="AS2">
        <f>SUMPRODUCT((M_BOM[Part Name]=$A2)*M_BOM[RM_Qty_Per_Batch]*IFERROR(INDEX(PP_Grid[#Data],M_BOM[PPGridRow],45),0))</f>
        <v/>
      </c>
      <c r="AT2">
        <f>SUMPRODUCT((M_BOM[Part Name]=$A2)*M_BOM[RM_Qty_Per_Batch]*IFERROR(INDEX(PP_Grid[#Data],M_BOM[PPGridRow],46),0))</f>
        <v/>
      </c>
      <c r="AU2">
        <f>SUMPRODUCT((M_BOM[Part Name]=$A2)*M_BOM[RM_Qty_Per_Batch]*IFERROR(INDEX(PP_Grid[#Data],M_BOM[PPGridRow],47),0))</f>
        <v/>
      </c>
      <c r="AV2">
        <f>SUMPRODUCT((M_BOM[Part Name]=$A2)*M_BOM[RM_Qty_Per_Batch]*IFERROR(INDEX(PP_Grid[#Data],M_BOM[PPGridRow],48),0))</f>
        <v/>
      </c>
      <c r="AW2">
        <f>SUMPRODUCT((M_BOM[Part Name]=$A2)*M_BOM[RM_Qty_Per_Batch]*IFERROR(INDEX(PP_Grid[#Data],M_BOM[PPGridRow],49),0))</f>
        <v/>
      </c>
      <c r="AX2">
        <f>SUMPRODUCT((M_BOM[Part Name]=$A2)*M_BOM[RM_Qty_Per_Batch]*IFERROR(INDEX(PP_Grid[#Data],M_BOM[PPGridRow],50),0))</f>
        <v/>
      </c>
      <c r="AY2">
        <f>SUMPRODUCT((M_BOM[Part Name]=$A2)*M_BOM[RM_Qty_Per_Batch]*IFERROR(INDEX(PP_Grid[#Data],M_BOM[PPGridRow],51),0))</f>
        <v/>
      </c>
      <c r="AZ2">
        <f>SUMPRODUCT((M_BOM[Part Name]=$A2)*M_BOM[RM_Qty_Per_Batch]*IFERROR(INDEX(PP_Grid[#Data],M_BOM[PPGridRow],52),0))</f>
        <v/>
      </c>
      <c r="BA2">
        <f>SUMPRODUCT((M_BOM[Part Name]=$A2)*M_BOM[RM_Qty_Per_Batch]*IFERROR(INDEX(PP_Grid[#Data],M_BOM[PPGridRow],53),0))</f>
        <v/>
      </c>
      <c r="BB2">
        <f>SUMPRODUCT((M_BOM[Part Name]=$A2)*M_BOM[RM_Qty_Per_Batch]*IFERROR(INDEX(PP_Grid[#Data],M_BOM[PPGridRow],54),0))</f>
        <v/>
      </c>
      <c r="BC2">
        <f>SUMPRODUCT((M_BOM[Part Name]=$A2)*M_BOM[RM_Qty_Per_Batch]*IFERROR(INDEX(PP_Grid[#Data],M_BOM[PPGridRow],55),0))</f>
        <v/>
      </c>
      <c r="BD2">
        <f>SUMPRODUCT((M_BOM[Part Name]=$A2)*M_BOM[RM_Qty_Per_Batch]*IFERROR(INDEX(PP_Grid[#Data],M_BOM[PPGridRow],56),0))</f>
        <v/>
      </c>
      <c r="BE2">
        <f>SUMPRODUCT((M_BOM[Part Name]=$A2)*M_BOM[RM_Qty_Per_Batch]*IFERROR(INDEX(PP_Grid[#Data],M_BOM[PPGridRow],57),0))</f>
        <v/>
      </c>
      <c r="BF2">
        <f>SUMPRODUCT((M_BOM[Part Name]=$A2)*M_BOM[RM_Qty_Per_Batch]*IFERROR(INDEX(PP_Grid[#Data],M_BOM[PPGridRow],58),0))</f>
        <v/>
      </c>
      <c r="BG2">
        <f>SUMPRODUCT((M_BOM[Part Name]=$A2)*M_BOM[RM_Qty_Per_Batch]*IFERROR(INDEX(PP_Grid[#Data],M_BOM[PPGridRow],59),0))</f>
        <v/>
      </c>
      <c r="BH2">
        <f>SUMPRODUCT((M_BOM[Part Name]=$A2)*M_BOM[RM_Qty_Per_Batch]*IFERROR(INDEX(PP_Grid[#Data],M_BOM[PPGridRow],60),0))</f>
        <v/>
      </c>
      <c r="BI2">
        <f>SUMPRODUCT((M_BOM[Part Name]=$A2)*M_BOM[RM_Qty_Per_Batch]*IFERROR(INDEX(PP_Grid[#Data],M_BOM[PPGridRow],61),0))</f>
        <v/>
      </c>
      <c r="BJ2">
        <f>SUMPRODUCT((M_BOM[Part Name]=$A2)*M_BOM[RM_Qty_Per_Batch]*IFERROR(INDEX(PP_Grid[#Data],M_BOM[PPGridRow],62),0))</f>
        <v/>
      </c>
      <c r="BK2">
        <f>SUMPRODUCT((M_BOM[Part Name]=$A2)*M_BOM[RM_Qty_Per_Batch]*IFERROR(INDEX(PP_Grid[#Data],M_BOM[PPGridRow],63),0))</f>
        <v/>
      </c>
      <c r="BL2">
        <f>SUMPRODUCT((M_BOM[Part Name]=$A2)*M_BOM[RM_Qty_Per_Batch]*IFERROR(INDEX(PP_Grid[#Data],M_BOM[PPGridRow],64),0))</f>
        <v/>
      </c>
      <c r="BM2">
        <f>SUMPRODUCT((M_BOM[Part Name]=$A2)*M_BOM[RM_Qty_Per_Batch]*IFERROR(INDEX(PP_Grid[#Data],M_BOM[PPGridRow],65),0))</f>
        <v/>
      </c>
      <c r="BN2">
        <f>SUMPRODUCT((M_BOM[Part Name]=$A2)*M_BOM[RM_Qty_Per_Batch]*IFERROR(INDEX(PP_Grid[#Data],M_BOM[PPGridRow],66),0))</f>
        <v/>
      </c>
      <c r="BO2">
        <f>SUMPRODUCT((M_BOM[Part Name]=$A2)*M_BOM[RM_Qty_Per_Batch]*IFERROR(INDEX(PP_Grid[#Data],M_BOM[PPGridRow],67),0))</f>
        <v/>
      </c>
      <c r="BP2">
        <f>SUMPRODUCT((M_BOM[Part Name]=$A2)*M_BOM[RM_Qty_Per_Batch]*IFERROR(INDEX(PP_Grid[#Data],M_BOM[PPGridRow],68),0))</f>
        <v/>
      </c>
      <c r="BQ2">
        <f>SUMPRODUCT((M_BOM[Part Name]=$A2)*M_BOM[RM_Qty_Per_Batch]*IFERROR(INDEX(PP_Grid[#Data],M_BOM[PPGridRow],69),0))</f>
        <v/>
      </c>
      <c r="BR2">
        <f>SUMPRODUCT((M_BOM[Part Name]=$A2)*M_BOM[RM_Qty_Per_Batch]*IFERROR(INDEX(PP_Grid[#Data],M_BOM[PPGridRow],70),0))</f>
        <v/>
      </c>
      <c r="BS2">
        <f>SUMPRODUCT((M_BOM[Part Name]=$A2)*M_BOM[RM_Qty_Per_Batch]*IFERROR(INDEX(PP_Grid[#Data],M_BOM[PPGridRow],71),0))</f>
        <v/>
      </c>
      <c r="BT2">
        <f>SUMPRODUCT((M_BOM[Part Name]=$A2)*M_BOM[RM_Qty_Per_Batch]*IFERROR(INDEX(PP_Grid[#Data],M_BOM[PPGridRow],72),0))</f>
        <v/>
      </c>
      <c r="BU2">
        <f>SUMPRODUCT((M_BOM[Part Name]=$A2)*M_BOM[RM_Qty_Per_Batch]*IFERROR(INDEX(PP_Grid[#Data],M_BOM[PPGridRow],73),0))</f>
        <v/>
      </c>
      <c r="BV2">
        <f>SUMPRODUCT((M_BOM[Part Name]=$A2)*M_BOM[RM_Qty_Per_Batch]*IFERROR(INDEX(PP_Grid[#Data],M_BOM[PPGridRow],74),0))</f>
        <v/>
      </c>
      <c r="BW2">
        <f>SUMPRODUCT((M_BOM[Part Name]=$A2)*M_BOM[RM_Qty_Per_Batch]*IFERROR(INDEX(PP_Grid[#Data],M_BOM[PPGridRow],75),0))</f>
        <v/>
      </c>
      <c r="BX2">
        <f>SUMPRODUCT((M_BOM[Part Name]=$A2)*M_BOM[RM_Qty_Per_Batch]*IFERROR(INDEX(PP_Grid[#Data],M_BOM[PPGridRow],76),0))</f>
        <v/>
      </c>
      <c r="BY2">
        <f>SUMPRODUCT((M_BOM[Part Name]=$A2)*M_BOM[RM_Qty_Per_Batch]*IFERROR(INDEX(PP_Grid[#Data],M_BOM[PPGridRow],77),0))</f>
        <v/>
      </c>
      <c r="BZ2">
        <f>SUMPRODUCT((M_BOM[Part Name]=$A2)*M_BOM[RM_Qty_Per_Batch]*IFERROR(INDEX(PP_Grid[#Data],M_BOM[PPGridRow],78),0))</f>
        <v/>
      </c>
      <c r="CA2">
        <f>SUMPRODUCT((M_BOM[Part Name]=$A2)*M_BOM[RM_Qty_Per_Batch]*IFERROR(INDEX(PP_Grid[#Data],M_BOM[PPGridRow],79),0))</f>
        <v/>
      </c>
      <c r="CB2">
        <f>SUMPRODUCT((M_BOM[Part Name]=$A2)*M_BOM[RM_Qty_Per_Batch]*IFERROR(INDEX(PP_Grid[#Data],M_BOM[PPGridRow],80),0))</f>
        <v/>
      </c>
      <c r="CC2">
        <f>SUMPRODUCT((M_BOM[Part Name]=$A2)*M_BOM[RM_Qty_Per_Batch]*IFERROR(INDEX(PP_Grid[#Data],M_BOM[PPGridRow],81),0))</f>
        <v/>
      </c>
      <c r="CD2">
        <f>SUMPRODUCT((M_BOM[Part Name]=$A2)*M_BOM[RM_Qty_Per_Batch]*IFERROR(INDEX(PP_Grid[#Data],M_BOM[PPGridRow],82),0))</f>
        <v/>
      </c>
      <c r="CE2">
        <f>SUMPRODUCT((M_BOM[Part Name]=$A2)*M_BOM[RM_Qty_Per_Batch]*IFERROR(INDEX(PP_Grid[#Data],M_BOM[PPGridRow],83),0))</f>
        <v/>
      </c>
      <c r="CF2">
        <f>SUMPRODUCT((M_BOM[Part Name]=$A2)*M_BOM[RM_Qty_Per_Batch]*IFERROR(INDEX(PP_Grid[#Data],M_BOM[PPGridRow],84),0))</f>
        <v/>
      </c>
      <c r="CG2">
        <f>SUMPRODUCT((M_BOM[Part Name]=$A2)*M_BOM[RM_Qty_Per_Batch]*IFERROR(INDEX(PP_Grid[#Data],M_BOM[PPGridRow],85),0))</f>
        <v/>
      </c>
      <c r="CH2">
        <f>SUMPRODUCT((M_BOM[Part Name]=$A2)*M_BOM[RM_Qty_Per_Batch]*IFERROR(INDEX(PP_Grid[#Data],M_BOM[PPGridRow],86),0))</f>
        <v/>
      </c>
      <c r="CI2">
        <f>SUMPRODUCT((M_BOM[Part Name]=$A2)*M_BOM[RM_Qty_Per_Batch]*IFERROR(INDEX(PP_Grid[#Data],M_BOM[PPGridRow],87),0))</f>
        <v/>
      </c>
      <c r="CJ2">
        <f>SUMPRODUCT((M_BOM[Part Name]=$A2)*M_BOM[RM_Qty_Per_Batch]*IFERROR(INDEX(PP_Grid[#Data],M_BOM[PPGridRow],88),0))</f>
        <v/>
      </c>
      <c r="CK2">
        <f>SUMPRODUCT((M_BOM[Part Name]=$A2)*M_BOM[RM_Qty_Per_Batch]*IFERROR(INDEX(PP_Grid[#Data],M_BOM[PPGridRow],89),0))</f>
        <v/>
      </c>
      <c r="CL2">
        <f>SUMPRODUCT((M_BOM[Part Name]=$A2)*M_BOM[RM_Qty_Per_Batch]*IFERROR(INDEX(PP_Grid[#Data],M_BOM[PPGridRow],90),0))</f>
        <v/>
      </c>
      <c r="CM2">
        <f>SUMPRODUCT((M_BOM[Part Name]=$A2)*M_BOM[RM_Qty_Per_Batch]*IFERROR(INDEX(PP_Grid[#Data],M_BOM[PPGridRow],91),0))</f>
        <v/>
      </c>
      <c r="CN2">
        <f>SUMPRODUCT((M_BOM[Part Name]=$A2)*M_BOM[RM_Qty_Per_Batch]*IFERROR(INDEX(PP_Grid[#Data],M_BOM[PPGridRow],92),0))</f>
        <v/>
      </c>
      <c r="CO2">
        <f>SUMPRODUCT((M_BOM[Part Name]=$A2)*M_BOM[RM_Qty_Per_Batch]*IFERROR(INDEX(PP_Grid[#Data],M_BOM[PPGridRow],93),0))</f>
        <v/>
      </c>
      <c r="CP2">
        <f>SUMPRODUCT((M_BOM[Part Name]=$A2)*M_BOM[RM_Qty_Per_Batch]*IFERROR(INDEX(PP_Grid[#Data],M_BOM[PPGridRow],94),0))</f>
        <v/>
      </c>
      <c r="CQ2">
        <f>SUMPRODUCT((M_BOM[Part Name]=$A2)*M_BOM[RM_Qty_Per_Batch]*IFERROR(INDEX(PP_Grid[#Data],M_BOM[PPGridRow],95),0))</f>
        <v/>
      </c>
      <c r="CR2">
        <f>SUMPRODUCT((M_BOM[Part Name]=$A2)*M_BOM[RM_Qty_Per_Batch]*IFERROR(INDEX(PP_Grid[#Data],M_BOM[PPGridRow],96),0))</f>
        <v/>
      </c>
      <c r="CS2">
        <f>SUMPRODUCT((M_BOM[Part Name]=$A2)*M_BOM[RM_Qty_Per_Batch]*IFERROR(INDEX(PP_Grid[#Data],M_BOM[PPGridRow],97),0))</f>
        <v/>
      </c>
      <c r="CT2">
        <f>SUMPRODUCT((M_BOM[Part Name]=$A2)*M_BOM[RM_Qty_Per_Batch]*IFERROR(INDEX(PP_Grid[#Data],M_BOM[PPGridRow],98),0))</f>
        <v/>
      </c>
      <c r="CU2">
        <f>SUMPRODUCT((M_BOM[Part Name]=$A2)*M_BOM[RM_Qty_Per_Batch]*IFERROR(INDEX(PP_Grid[#Data],M_BOM[PPGridRow],99),0))</f>
        <v/>
      </c>
      <c r="CV2">
        <f>SUMPRODUCT((M_BOM[Part Name]=$A2)*M_BOM[RM_Qty_Per_Batch]*IFERROR(INDEX(PP_Grid[#Data],M_BOM[PPGridRow],100),0))</f>
        <v/>
      </c>
      <c r="CW2">
        <f>SUMPRODUCT((M_BOM[Part Name]=$A2)*M_BOM[RM_Qty_Per_Batch]*IFERROR(INDEX(PP_Grid[#Data],M_BOM[PPGridRow],101),0))</f>
        <v/>
      </c>
      <c r="CX2">
        <f>SUMPRODUCT((M_BOM[Part Name]=$A2)*M_BOM[RM_Qty_Per_Batch]*IFERROR(INDEX(PP_Grid[#Data],M_BOM[PPGridRow],102),0))</f>
        <v/>
      </c>
      <c r="CY2">
        <f>SUMPRODUCT((M_BOM[Part Name]=$A2)*M_BOM[RM_Qty_Per_Batch]*IFERROR(INDEX(PP_Grid[#Data],M_BOM[PPGridRow],103),0))</f>
        <v/>
      </c>
      <c r="CZ2">
        <f>SUMPRODUCT((M_BOM[Part Name]=$A2)*M_BOM[RM_Qty_Per_Batch]*IFERROR(INDEX(PP_Grid[#Data],M_BOM[PPGridRow],104),0))</f>
        <v/>
      </c>
      <c r="DA2">
        <f>SUMPRODUCT((M_BOM[Part Name]=$A2)*M_BOM[RM_Qty_Per_Batch]*IFERROR(INDEX(PP_Grid[#Data],M_BOM[PPGridRow],105),0))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SUMPRODUCT((M_BOM[Part Name]=$A3)*M_BOM[RM_Qty_Per_Batch]*IFERROR(INDEX(PP_Grid[#Data],M_BOM[PPGridRow],2),0))</f>
        <v/>
      </c>
      <c r="C3">
        <f>SUMPRODUCT((M_BOM[Part Name]=$A3)*M_BOM[RM_Qty_Per_Batch]*IFERROR(INDEX(PP_Grid[#Data],M_BOM[PPGridRow],3),0))</f>
        <v/>
      </c>
      <c r="D3">
        <f>SUMPRODUCT((M_BOM[Part Name]=$A3)*M_BOM[RM_Qty_Per_Batch]*IFERROR(INDEX(PP_Grid[#Data],M_BOM[PPGridRow],4),0))</f>
        <v/>
      </c>
      <c r="E3">
        <f>SUMPRODUCT((M_BOM[Part Name]=$A3)*M_BOM[RM_Qty_Per_Batch]*IFERROR(INDEX(PP_Grid[#Data],M_BOM[PPGridRow],5),0))</f>
        <v/>
      </c>
      <c r="F3">
        <f>SUMPRODUCT((M_BOM[Part Name]=$A3)*M_BOM[RM_Qty_Per_Batch]*IFERROR(INDEX(PP_Grid[#Data],M_BOM[PPGridRow],6),0))</f>
        <v/>
      </c>
      <c r="G3">
        <f>SUMPRODUCT((M_BOM[Part Name]=$A3)*M_BOM[RM_Qty_Per_Batch]*IFERROR(INDEX(PP_Grid[#Data],M_BOM[PPGridRow],7),0))</f>
        <v/>
      </c>
      <c r="H3">
        <f>SUMPRODUCT((M_BOM[Part Name]=$A3)*M_BOM[RM_Qty_Per_Batch]*IFERROR(INDEX(PP_Grid[#Data],M_BOM[PPGridRow],8),0))</f>
        <v/>
      </c>
      <c r="I3">
        <f>SUMPRODUCT((M_BOM[Part Name]=$A3)*M_BOM[RM_Qty_Per_Batch]*IFERROR(INDEX(PP_Grid[#Data],M_BOM[PPGridRow],9),0))</f>
        <v/>
      </c>
      <c r="J3">
        <f>SUMPRODUCT((M_BOM[Part Name]=$A3)*M_BOM[RM_Qty_Per_Batch]*IFERROR(INDEX(PP_Grid[#Data],M_BOM[PPGridRow],10),0))</f>
        <v/>
      </c>
      <c r="K3">
        <f>SUMPRODUCT((M_BOM[Part Name]=$A3)*M_BOM[RM_Qty_Per_Batch]*IFERROR(INDEX(PP_Grid[#Data],M_BOM[PPGridRow],11),0))</f>
        <v/>
      </c>
      <c r="L3">
        <f>SUMPRODUCT((M_BOM[Part Name]=$A3)*M_BOM[RM_Qty_Per_Batch]*IFERROR(INDEX(PP_Grid[#Data],M_BOM[PPGridRow],12),0))</f>
        <v/>
      </c>
      <c r="M3">
        <f>SUMPRODUCT((M_BOM[Part Name]=$A3)*M_BOM[RM_Qty_Per_Batch]*IFERROR(INDEX(PP_Grid[#Data],M_BOM[PPGridRow],13),0))</f>
        <v/>
      </c>
      <c r="N3">
        <f>SUMPRODUCT((M_BOM[Part Name]=$A3)*M_BOM[RM_Qty_Per_Batch]*IFERROR(INDEX(PP_Grid[#Data],M_BOM[PPGridRow],14),0))</f>
        <v/>
      </c>
      <c r="O3">
        <f>SUMPRODUCT((M_BOM[Part Name]=$A3)*M_BOM[RM_Qty_Per_Batch]*IFERROR(INDEX(PP_Grid[#Data],M_BOM[PPGridRow],15),0))</f>
        <v/>
      </c>
      <c r="P3">
        <f>SUMPRODUCT((M_BOM[Part Name]=$A3)*M_BOM[RM_Qty_Per_Batch]*IFERROR(INDEX(PP_Grid[#Data],M_BOM[PPGridRow],16),0))</f>
        <v/>
      </c>
      <c r="Q3">
        <f>SUMPRODUCT((M_BOM[Part Name]=$A3)*M_BOM[RM_Qty_Per_Batch]*IFERROR(INDEX(PP_Grid[#Data],M_BOM[PPGridRow],17),0))</f>
        <v/>
      </c>
      <c r="R3">
        <f>SUMPRODUCT((M_BOM[Part Name]=$A3)*M_BOM[RM_Qty_Per_Batch]*IFERROR(INDEX(PP_Grid[#Data],M_BOM[PPGridRow],18),0))</f>
        <v/>
      </c>
      <c r="S3">
        <f>SUMPRODUCT((M_BOM[Part Name]=$A3)*M_BOM[RM_Qty_Per_Batch]*IFERROR(INDEX(PP_Grid[#Data],M_BOM[PPGridRow],19),0))</f>
        <v/>
      </c>
      <c r="T3">
        <f>SUMPRODUCT((M_BOM[Part Name]=$A3)*M_BOM[RM_Qty_Per_Batch]*IFERROR(INDEX(PP_Grid[#Data],M_BOM[PPGridRow],20),0))</f>
        <v/>
      </c>
      <c r="U3">
        <f>SUMPRODUCT((M_BOM[Part Name]=$A3)*M_BOM[RM_Qty_Per_Batch]*IFERROR(INDEX(PP_Grid[#Data],M_BOM[PPGridRow],21),0))</f>
        <v/>
      </c>
      <c r="V3">
        <f>SUMPRODUCT((M_BOM[Part Name]=$A3)*M_BOM[RM_Qty_Per_Batch]*IFERROR(INDEX(PP_Grid[#Data],M_BOM[PPGridRow],22),0))</f>
        <v/>
      </c>
      <c r="W3">
        <f>SUMPRODUCT((M_BOM[Part Name]=$A3)*M_BOM[RM_Qty_Per_Batch]*IFERROR(INDEX(PP_Grid[#Data],M_BOM[PPGridRow],23),0))</f>
        <v/>
      </c>
      <c r="X3">
        <f>SUMPRODUCT((M_BOM[Part Name]=$A3)*M_BOM[RM_Qty_Per_Batch]*IFERROR(INDEX(PP_Grid[#Data],M_BOM[PPGridRow],24),0))</f>
        <v/>
      </c>
      <c r="Y3">
        <f>SUMPRODUCT((M_BOM[Part Name]=$A3)*M_BOM[RM_Qty_Per_Batch]*IFERROR(INDEX(PP_Grid[#Data],M_BOM[PPGridRow],25),0))</f>
        <v/>
      </c>
      <c r="Z3">
        <f>SUMPRODUCT((M_BOM[Part Name]=$A3)*M_BOM[RM_Qty_Per_Batch]*IFERROR(INDEX(PP_Grid[#Data],M_BOM[PPGridRow],26),0))</f>
        <v/>
      </c>
      <c r="AA3">
        <f>SUMPRODUCT((M_BOM[Part Name]=$A3)*M_BOM[RM_Qty_Per_Batch]*IFERROR(INDEX(PP_Grid[#Data],M_BOM[PPGridRow],27),0))</f>
        <v/>
      </c>
      <c r="AB3">
        <f>SUMPRODUCT((M_BOM[Part Name]=$A3)*M_BOM[RM_Qty_Per_Batch]*IFERROR(INDEX(PP_Grid[#Data],M_BOM[PPGridRow],28),0))</f>
        <v/>
      </c>
      <c r="AC3">
        <f>SUMPRODUCT((M_BOM[Part Name]=$A3)*M_BOM[RM_Qty_Per_Batch]*IFERROR(INDEX(PP_Grid[#Data],M_BOM[PPGridRow],29),0))</f>
        <v/>
      </c>
      <c r="AD3">
        <f>SUMPRODUCT((M_BOM[Part Name]=$A3)*M_BOM[RM_Qty_Per_Batch]*IFERROR(INDEX(PP_Grid[#Data],M_BOM[PPGridRow],30),0))</f>
        <v/>
      </c>
      <c r="AE3">
        <f>SUMPRODUCT((M_BOM[Part Name]=$A3)*M_BOM[RM_Qty_Per_Batch]*IFERROR(INDEX(PP_Grid[#Data],M_BOM[PPGridRow],31),0))</f>
        <v/>
      </c>
      <c r="AF3">
        <f>SUMPRODUCT((M_BOM[Part Name]=$A3)*M_BOM[RM_Qty_Per_Batch]*IFERROR(INDEX(PP_Grid[#Data],M_BOM[PPGridRow],32),0))</f>
        <v/>
      </c>
      <c r="AG3">
        <f>SUMPRODUCT((M_BOM[Part Name]=$A3)*M_BOM[RM_Qty_Per_Batch]*IFERROR(INDEX(PP_Grid[#Data],M_BOM[PPGridRow],33),0))</f>
        <v/>
      </c>
      <c r="AH3">
        <f>SUMPRODUCT((M_BOM[Part Name]=$A3)*M_BOM[RM_Qty_Per_Batch]*IFERROR(INDEX(PP_Grid[#Data],M_BOM[PPGridRow],34),0))</f>
        <v/>
      </c>
      <c r="AI3">
        <f>SUMPRODUCT((M_BOM[Part Name]=$A3)*M_BOM[RM_Qty_Per_Batch]*IFERROR(INDEX(PP_Grid[#Data],M_BOM[PPGridRow],35),0))</f>
        <v/>
      </c>
      <c r="AJ3">
        <f>SUMPRODUCT((M_BOM[Part Name]=$A3)*M_BOM[RM_Qty_Per_Batch]*IFERROR(INDEX(PP_Grid[#Data],M_BOM[PPGridRow],36),0))</f>
        <v/>
      </c>
      <c r="AK3">
        <f>SUMPRODUCT((M_BOM[Part Name]=$A3)*M_BOM[RM_Qty_Per_Batch]*IFERROR(INDEX(PP_Grid[#Data],M_BOM[PPGridRow],37),0))</f>
        <v/>
      </c>
      <c r="AL3">
        <f>SUMPRODUCT((M_BOM[Part Name]=$A3)*M_BOM[RM_Qty_Per_Batch]*IFERROR(INDEX(PP_Grid[#Data],M_BOM[PPGridRow],38),0))</f>
        <v/>
      </c>
      <c r="AM3">
        <f>SUMPRODUCT((M_BOM[Part Name]=$A3)*M_BOM[RM_Qty_Per_Batch]*IFERROR(INDEX(PP_Grid[#Data],M_BOM[PPGridRow],39),0))</f>
        <v/>
      </c>
      <c r="AN3">
        <f>SUMPRODUCT((M_BOM[Part Name]=$A3)*M_BOM[RM_Qty_Per_Batch]*IFERROR(INDEX(PP_Grid[#Data],M_BOM[PPGridRow],40),0))</f>
        <v/>
      </c>
      <c r="AO3">
        <f>SUMPRODUCT((M_BOM[Part Name]=$A3)*M_BOM[RM_Qty_Per_Batch]*IFERROR(INDEX(PP_Grid[#Data],M_BOM[PPGridRow],41),0))</f>
        <v/>
      </c>
      <c r="AP3">
        <f>SUMPRODUCT((M_BOM[Part Name]=$A3)*M_BOM[RM_Qty_Per_Batch]*IFERROR(INDEX(PP_Grid[#Data],M_BOM[PPGridRow],42),0))</f>
        <v/>
      </c>
      <c r="AQ3">
        <f>SUMPRODUCT((M_BOM[Part Name]=$A3)*M_BOM[RM_Qty_Per_Batch]*IFERROR(INDEX(PP_Grid[#Data],M_BOM[PPGridRow],43),0))</f>
        <v/>
      </c>
      <c r="AR3">
        <f>SUMPRODUCT((M_BOM[Part Name]=$A3)*M_BOM[RM_Qty_Per_Batch]*IFERROR(INDEX(PP_Grid[#Data],M_BOM[PPGridRow],44),0))</f>
        <v/>
      </c>
      <c r="AS3">
        <f>SUMPRODUCT((M_BOM[Part Name]=$A3)*M_BOM[RM_Qty_Per_Batch]*IFERROR(INDEX(PP_Grid[#Data],M_BOM[PPGridRow],45),0))</f>
        <v/>
      </c>
      <c r="AT3">
        <f>SUMPRODUCT((M_BOM[Part Name]=$A3)*M_BOM[RM_Qty_Per_Batch]*IFERROR(INDEX(PP_Grid[#Data],M_BOM[PPGridRow],46),0))</f>
        <v/>
      </c>
      <c r="AU3">
        <f>SUMPRODUCT((M_BOM[Part Name]=$A3)*M_BOM[RM_Qty_Per_Batch]*IFERROR(INDEX(PP_Grid[#Data],M_BOM[PPGridRow],47),0))</f>
        <v/>
      </c>
      <c r="AV3">
        <f>SUMPRODUCT((M_BOM[Part Name]=$A3)*M_BOM[RM_Qty_Per_Batch]*IFERROR(INDEX(PP_Grid[#Data],M_BOM[PPGridRow],48),0))</f>
        <v/>
      </c>
      <c r="AW3">
        <f>SUMPRODUCT((M_BOM[Part Name]=$A3)*M_BOM[RM_Qty_Per_Batch]*IFERROR(INDEX(PP_Grid[#Data],M_BOM[PPGridRow],49),0))</f>
        <v/>
      </c>
      <c r="AX3">
        <f>SUMPRODUCT((M_BOM[Part Name]=$A3)*M_BOM[RM_Qty_Per_Batch]*IFERROR(INDEX(PP_Grid[#Data],M_BOM[PPGridRow],50),0))</f>
        <v/>
      </c>
      <c r="AY3">
        <f>SUMPRODUCT((M_BOM[Part Name]=$A3)*M_BOM[RM_Qty_Per_Batch]*IFERROR(INDEX(PP_Grid[#Data],M_BOM[PPGridRow],51),0))</f>
        <v/>
      </c>
      <c r="AZ3">
        <f>SUMPRODUCT((M_BOM[Part Name]=$A3)*M_BOM[RM_Qty_Per_Batch]*IFERROR(INDEX(PP_Grid[#Data],M_BOM[PPGridRow],52),0))</f>
        <v/>
      </c>
      <c r="BA3">
        <f>SUMPRODUCT((M_BOM[Part Name]=$A3)*M_BOM[RM_Qty_Per_Batch]*IFERROR(INDEX(PP_Grid[#Data],M_BOM[PPGridRow],53),0))</f>
        <v/>
      </c>
      <c r="BB3">
        <f>SUMPRODUCT((M_BOM[Part Name]=$A3)*M_BOM[RM_Qty_Per_Batch]*IFERROR(INDEX(PP_Grid[#Data],M_BOM[PPGridRow],54),0))</f>
        <v/>
      </c>
      <c r="BC3">
        <f>SUMPRODUCT((M_BOM[Part Name]=$A3)*M_BOM[RM_Qty_Per_Batch]*IFERROR(INDEX(PP_Grid[#Data],M_BOM[PPGridRow],55),0))</f>
        <v/>
      </c>
      <c r="BD3">
        <f>SUMPRODUCT((M_BOM[Part Name]=$A3)*M_BOM[RM_Qty_Per_Batch]*IFERROR(INDEX(PP_Grid[#Data],M_BOM[PPGridRow],56),0))</f>
        <v/>
      </c>
      <c r="BE3">
        <f>SUMPRODUCT((M_BOM[Part Name]=$A3)*M_BOM[RM_Qty_Per_Batch]*IFERROR(INDEX(PP_Grid[#Data],M_BOM[PPGridRow],57),0))</f>
        <v/>
      </c>
      <c r="BF3">
        <f>SUMPRODUCT((M_BOM[Part Name]=$A3)*M_BOM[RM_Qty_Per_Batch]*IFERROR(INDEX(PP_Grid[#Data],M_BOM[PPGridRow],58),0))</f>
        <v/>
      </c>
      <c r="BG3">
        <f>SUMPRODUCT((M_BOM[Part Name]=$A3)*M_BOM[RM_Qty_Per_Batch]*IFERROR(INDEX(PP_Grid[#Data],M_BOM[PPGridRow],59),0))</f>
        <v/>
      </c>
      <c r="BH3">
        <f>SUMPRODUCT((M_BOM[Part Name]=$A3)*M_BOM[RM_Qty_Per_Batch]*IFERROR(INDEX(PP_Grid[#Data],M_BOM[PPGridRow],60),0))</f>
        <v/>
      </c>
      <c r="BI3">
        <f>SUMPRODUCT((M_BOM[Part Name]=$A3)*M_BOM[RM_Qty_Per_Batch]*IFERROR(INDEX(PP_Grid[#Data],M_BOM[PPGridRow],61),0))</f>
        <v/>
      </c>
      <c r="BJ3">
        <f>SUMPRODUCT((M_BOM[Part Name]=$A3)*M_BOM[RM_Qty_Per_Batch]*IFERROR(INDEX(PP_Grid[#Data],M_BOM[PPGridRow],62),0))</f>
        <v/>
      </c>
      <c r="BK3">
        <f>SUMPRODUCT((M_BOM[Part Name]=$A3)*M_BOM[RM_Qty_Per_Batch]*IFERROR(INDEX(PP_Grid[#Data],M_BOM[PPGridRow],63),0))</f>
        <v/>
      </c>
      <c r="BL3">
        <f>SUMPRODUCT((M_BOM[Part Name]=$A3)*M_BOM[RM_Qty_Per_Batch]*IFERROR(INDEX(PP_Grid[#Data],M_BOM[PPGridRow],64),0))</f>
        <v/>
      </c>
      <c r="BM3">
        <f>SUMPRODUCT((M_BOM[Part Name]=$A3)*M_BOM[RM_Qty_Per_Batch]*IFERROR(INDEX(PP_Grid[#Data],M_BOM[PPGridRow],65),0))</f>
        <v/>
      </c>
      <c r="BN3">
        <f>SUMPRODUCT((M_BOM[Part Name]=$A3)*M_BOM[RM_Qty_Per_Batch]*IFERROR(INDEX(PP_Grid[#Data],M_BOM[PPGridRow],66),0))</f>
        <v/>
      </c>
      <c r="BO3">
        <f>SUMPRODUCT((M_BOM[Part Name]=$A3)*M_BOM[RM_Qty_Per_Batch]*IFERROR(INDEX(PP_Grid[#Data],M_BOM[PPGridRow],67),0))</f>
        <v/>
      </c>
      <c r="BP3">
        <f>SUMPRODUCT((M_BOM[Part Name]=$A3)*M_BOM[RM_Qty_Per_Batch]*IFERROR(INDEX(PP_Grid[#Data],M_BOM[PPGridRow],68),0))</f>
        <v/>
      </c>
      <c r="BQ3">
        <f>SUMPRODUCT((M_BOM[Part Name]=$A3)*M_BOM[RM_Qty_Per_Batch]*IFERROR(INDEX(PP_Grid[#Data],M_BOM[PPGridRow],69),0))</f>
        <v/>
      </c>
      <c r="BR3">
        <f>SUMPRODUCT((M_BOM[Part Name]=$A3)*M_BOM[RM_Qty_Per_Batch]*IFERROR(INDEX(PP_Grid[#Data],M_BOM[PPGridRow],70),0))</f>
        <v/>
      </c>
      <c r="BS3">
        <f>SUMPRODUCT((M_BOM[Part Name]=$A3)*M_BOM[RM_Qty_Per_Batch]*IFERROR(INDEX(PP_Grid[#Data],M_BOM[PPGridRow],71),0))</f>
        <v/>
      </c>
      <c r="BT3">
        <f>SUMPRODUCT((M_BOM[Part Name]=$A3)*M_BOM[RM_Qty_Per_Batch]*IFERROR(INDEX(PP_Grid[#Data],M_BOM[PPGridRow],72),0))</f>
        <v/>
      </c>
      <c r="BU3">
        <f>SUMPRODUCT((M_BOM[Part Name]=$A3)*M_BOM[RM_Qty_Per_Batch]*IFERROR(INDEX(PP_Grid[#Data],M_BOM[PPGridRow],73),0))</f>
        <v/>
      </c>
      <c r="BV3">
        <f>SUMPRODUCT((M_BOM[Part Name]=$A3)*M_BOM[RM_Qty_Per_Batch]*IFERROR(INDEX(PP_Grid[#Data],M_BOM[PPGridRow],74),0))</f>
        <v/>
      </c>
      <c r="BW3">
        <f>SUMPRODUCT((M_BOM[Part Name]=$A3)*M_BOM[RM_Qty_Per_Batch]*IFERROR(INDEX(PP_Grid[#Data],M_BOM[PPGridRow],75),0))</f>
        <v/>
      </c>
      <c r="BX3">
        <f>SUMPRODUCT((M_BOM[Part Name]=$A3)*M_BOM[RM_Qty_Per_Batch]*IFERROR(INDEX(PP_Grid[#Data],M_BOM[PPGridRow],76),0))</f>
        <v/>
      </c>
      <c r="BY3">
        <f>SUMPRODUCT((M_BOM[Part Name]=$A3)*M_BOM[RM_Qty_Per_Batch]*IFERROR(INDEX(PP_Grid[#Data],M_BOM[PPGridRow],77),0))</f>
        <v/>
      </c>
      <c r="BZ3">
        <f>SUMPRODUCT((M_BOM[Part Name]=$A3)*M_BOM[RM_Qty_Per_Batch]*IFERROR(INDEX(PP_Grid[#Data],M_BOM[PPGridRow],78),0))</f>
        <v/>
      </c>
      <c r="CA3">
        <f>SUMPRODUCT((M_BOM[Part Name]=$A3)*M_BOM[RM_Qty_Per_Batch]*IFERROR(INDEX(PP_Grid[#Data],M_BOM[PPGridRow],79),0))</f>
        <v/>
      </c>
      <c r="CB3">
        <f>SUMPRODUCT((M_BOM[Part Name]=$A3)*M_BOM[RM_Qty_Per_Batch]*IFERROR(INDEX(PP_Grid[#Data],M_BOM[PPGridRow],80),0))</f>
        <v/>
      </c>
      <c r="CC3">
        <f>SUMPRODUCT((M_BOM[Part Name]=$A3)*M_BOM[RM_Qty_Per_Batch]*IFERROR(INDEX(PP_Grid[#Data],M_BOM[PPGridRow],81),0))</f>
        <v/>
      </c>
      <c r="CD3">
        <f>SUMPRODUCT((M_BOM[Part Name]=$A3)*M_BOM[RM_Qty_Per_Batch]*IFERROR(INDEX(PP_Grid[#Data],M_BOM[PPGridRow],82),0))</f>
        <v/>
      </c>
      <c r="CE3">
        <f>SUMPRODUCT((M_BOM[Part Name]=$A3)*M_BOM[RM_Qty_Per_Batch]*IFERROR(INDEX(PP_Grid[#Data],M_BOM[PPGridRow],83),0))</f>
        <v/>
      </c>
      <c r="CF3">
        <f>SUMPRODUCT((M_BOM[Part Name]=$A3)*M_BOM[RM_Qty_Per_Batch]*IFERROR(INDEX(PP_Grid[#Data],M_BOM[PPGridRow],84),0))</f>
        <v/>
      </c>
      <c r="CG3">
        <f>SUMPRODUCT((M_BOM[Part Name]=$A3)*M_BOM[RM_Qty_Per_Batch]*IFERROR(INDEX(PP_Grid[#Data],M_BOM[PPGridRow],85),0))</f>
        <v/>
      </c>
      <c r="CH3">
        <f>SUMPRODUCT((M_BOM[Part Name]=$A3)*M_BOM[RM_Qty_Per_Batch]*IFERROR(INDEX(PP_Grid[#Data],M_BOM[PPGridRow],86),0))</f>
        <v/>
      </c>
      <c r="CI3">
        <f>SUMPRODUCT((M_BOM[Part Name]=$A3)*M_BOM[RM_Qty_Per_Batch]*IFERROR(INDEX(PP_Grid[#Data],M_BOM[PPGridRow],87),0))</f>
        <v/>
      </c>
      <c r="CJ3">
        <f>SUMPRODUCT((M_BOM[Part Name]=$A3)*M_BOM[RM_Qty_Per_Batch]*IFERROR(INDEX(PP_Grid[#Data],M_BOM[PPGridRow],88),0))</f>
        <v/>
      </c>
      <c r="CK3">
        <f>SUMPRODUCT((M_BOM[Part Name]=$A3)*M_BOM[RM_Qty_Per_Batch]*IFERROR(INDEX(PP_Grid[#Data],M_BOM[PPGridRow],89),0))</f>
        <v/>
      </c>
      <c r="CL3">
        <f>SUMPRODUCT((M_BOM[Part Name]=$A3)*M_BOM[RM_Qty_Per_Batch]*IFERROR(INDEX(PP_Grid[#Data],M_BOM[PPGridRow],90),0))</f>
        <v/>
      </c>
      <c r="CM3">
        <f>SUMPRODUCT((M_BOM[Part Name]=$A3)*M_BOM[RM_Qty_Per_Batch]*IFERROR(INDEX(PP_Grid[#Data],M_BOM[PPGridRow],91),0))</f>
        <v/>
      </c>
      <c r="CN3">
        <f>SUMPRODUCT((M_BOM[Part Name]=$A3)*M_BOM[RM_Qty_Per_Batch]*IFERROR(INDEX(PP_Grid[#Data],M_BOM[PPGridRow],92),0))</f>
        <v/>
      </c>
      <c r="CO3">
        <f>SUMPRODUCT((M_BOM[Part Name]=$A3)*M_BOM[RM_Qty_Per_Batch]*IFERROR(INDEX(PP_Grid[#Data],M_BOM[PPGridRow],93),0))</f>
        <v/>
      </c>
      <c r="CP3">
        <f>SUMPRODUCT((M_BOM[Part Name]=$A3)*M_BOM[RM_Qty_Per_Batch]*IFERROR(INDEX(PP_Grid[#Data],M_BOM[PPGridRow],94),0))</f>
        <v/>
      </c>
      <c r="CQ3">
        <f>SUMPRODUCT((M_BOM[Part Name]=$A3)*M_BOM[RM_Qty_Per_Batch]*IFERROR(INDEX(PP_Grid[#Data],M_BOM[PPGridRow],95),0))</f>
        <v/>
      </c>
      <c r="CR3">
        <f>SUMPRODUCT((M_BOM[Part Name]=$A3)*M_BOM[RM_Qty_Per_Batch]*IFERROR(INDEX(PP_Grid[#Data],M_BOM[PPGridRow],96),0))</f>
        <v/>
      </c>
      <c r="CS3">
        <f>SUMPRODUCT((M_BOM[Part Name]=$A3)*M_BOM[RM_Qty_Per_Batch]*IFERROR(INDEX(PP_Grid[#Data],M_BOM[PPGridRow],97),0))</f>
        <v/>
      </c>
      <c r="CT3">
        <f>SUMPRODUCT((M_BOM[Part Name]=$A3)*M_BOM[RM_Qty_Per_Batch]*IFERROR(INDEX(PP_Grid[#Data],M_BOM[PPGridRow],98),0))</f>
        <v/>
      </c>
      <c r="CU3">
        <f>SUMPRODUCT((M_BOM[Part Name]=$A3)*M_BOM[RM_Qty_Per_Batch]*IFERROR(INDEX(PP_Grid[#Data],M_BOM[PPGridRow],99),0))</f>
        <v/>
      </c>
      <c r="CV3">
        <f>SUMPRODUCT((M_BOM[Part Name]=$A3)*M_BOM[RM_Qty_Per_Batch]*IFERROR(INDEX(PP_Grid[#Data],M_BOM[PPGridRow],100),0))</f>
        <v/>
      </c>
      <c r="CW3">
        <f>SUMPRODUCT((M_BOM[Part Name]=$A3)*M_BOM[RM_Qty_Per_Batch]*IFERROR(INDEX(PP_Grid[#Data],M_BOM[PPGridRow],101),0))</f>
        <v/>
      </c>
      <c r="CX3">
        <f>SUMPRODUCT((M_BOM[Part Name]=$A3)*M_BOM[RM_Qty_Per_Batch]*IFERROR(INDEX(PP_Grid[#Data],M_BOM[PPGridRow],102),0))</f>
        <v/>
      </c>
      <c r="CY3">
        <f>SUMPRODUCT((M_BOM[Part Name]=$A3)*M_BOM[RM_Qty_Per_Batch]*IFERROR(INDEX(PP_Grid[#Data],M_BOM[PPGridRow],103),0))</f>
        <v/>
      </c>
      <c r="CZ3">
        <f>SUMPRODUCT((M_BOM[Part Name]=$A3)*M_BOM[RM_Qty_Per_Batch]*IFERROR(INDEX(PP_Grid[#Data],M_BOM[PPGridRow],104),0))</f>
        <v/>
      </c>
      <c r="DA3">
        <f>SUMPRODUCT((M_BOM[Part Name]=$A3)*M_BOM[RM_Qty_Per_Batch]*IFERROR(INDEX(PP_Grid[#Data],M_BOM[PPGridRow],105),0))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SUMPRODUCT((M_BOM[Part Name]=$A4)*M_BOM[RM_Qty_Per_Batch]*IFERROR(INDEX(PP_Grid[#Data],M_BOM[PPGridRow],2),0))</f>
        <v/>
      </c>
      <c r="C4">
        <f>SUMPRODUCT((M_BOM[Part Name]=$A4)*M_BOM[RM_Qty_Per_Batch]*IFERROR(INDEX(PP_Grid[#Data],M_BOM[PPGridRow],3),0))</f>
        <v/>
      </c>
      <c r="D4">
        <f>SUMPRODUCT((M_BOM[Part Name]=$A4)*M_BOM[RM_Qty_Per_Batch]*IFERROR(INDEX(PP_Grid[#Data],M_BOM[PPGridRow],4),0))</f>
        <v/>
      </c>
      <c r="E4">
        <f>SUMPRODUCT((M_BOM[Part Name]=$A4)*M_BOM[RM_Qty_Per_Batch]*IFERROR(INDEX(PP_Grid[#Data],M_BOM[PPGridRow],5),0))</f>
        <v/>
      </c>
      <c r="F4">
        <f>SUMPRODUCT((M_BOM[Part Name]=$A4)*M_BOM[RM_Qty_Per_Batch]*IFERROR(INDEX(PP_Grid[#Data],M_BOM[PPGridRow],6),0))</f>
        <v/>
      </c>
      <c r="G4">
        <f>SUMPRODUCT((M_BOM[Part Name]=$A4)*M_BOM[RM_Qty_Per_Batch]*IFERROR(INDEX(PP_Grid[#Data],M_BOM[PPGridRow],7),0))</f>
        <v/>
      </c>
      <c r="H4">
        <f>SUMPRODUCT((M_BOM[Part Name]=$A4)*M_BOM[RM_Qty_Per_Batch]*IFERROR(INDEX(PP_Grid[#Data],M_BOM[PPGridRow],8),0))</f>
        <v/>
      </c>
      <c r="I4">
        <f>SUMPRODUCT((M_BOM[Part Name]=$A4)*M_BOM[RM_Qty_Per_Batch]*IFERROR(INDEX(PP_Grid[#Data],M_BOM[PPGridRow],9),0))</f>
        <v/>
      </c>
      <c r="J4">
        <f>SUMPRODUCT((M_BOM[Part Name]=$A4)*M_BOM[RM_Qty_Per_Batch]*IFERROR(INDEX(PP_Grid[#Data],M_BOM[PPGridRow],10),0))</f>
        <v/>
      </c>
      <c r="K4">
        <f>SUMPRODUCT((M_BOM[Part Name]=$A4)*M_BOM[RM_Qty_Per_Batch]*IFERROR(INDEX(PP_Grid[#Data],M_BOM[PPGridRow],11),0))</f>
        <v/>
      </c>
      <c r="L4">
        <f>SUMPRODUCT((M_BOM[Part Name]=$A4)*M_BOM[RM_Qty_Per_Batch]*IFERROR(INDEX(PP_Grid[#Data],M_BOM[PPGridRow],12),0))</f>
        <v/>
      </c>
      <c r="M4">
        <f>SUMPRODUCT((M_BOM[Part Name]=$A4)*M_BOM[RM_Qty_Per_Batch]*IFERROR(INDEX(PP_Grid[#Data],M_BOM[PPGridRow],13),0))</f>
        <v/>
      </c>
      <c r="N4">
        <f>SUMPRODUCT((M_BOM[Part Name]=$A4)*M_BOM[RM_Qty_Per_Batch]*IFERROR(INDEX(PP_Grid[#Data],M_BOM[PPGridRow],14),0))</f>
        <v/>
      </c>
      <c r="O4">
        <f>SUMPRODUCT((M_BOM[Part Name]=$A4)*M_BOM[RM_Qty_Per_Batch]*IFERROR(INDEX(PP_Grid[#Data],M_BOM[PPGridRow],15),0))</f>
        <v/>
      </c>
      <c r="P4">
        <f>SUMPRODUCT((M_BOM[Part Name]=$A4)*M_BOM[RM_Qty_Per_Batch]*IFERROR(INDEX(PP_Grid[#Data],M_BOM[PPGridRow],16),0))</f>
        <v/>
      </c>
      <c r="Q4">
        <f>SUMPRODUCT((M_BOM[Part Name]=$A4)*M_BOM[RM_Qty_Per_Batch]*IFERROR(INDEX(PP_Grid[#Data],M_BOM[PPGridRow],17),0))</f>
        <v/>
      </c>
      <c r="R4">
        <f>SUMPRODUCT((M_BOM[Part Name]=$A4)*M_BOM[RM_Qty_Per_Batch]*IFERROR(INDEX(PP_Grid[#Data],M_BOM[PPGridRow],18),0))</f>
        <v/>
      </c>
      <c r="S4">
        <f>SUMPRODUCT((M_BOM[Part Name]=$A4)*M_BOM[RM_Qty_Per_Batch]*IFERROR(INDEX(PP_Grid[#Data],M_BOM[PPGridRow],19),0))</f>
        <v/>
      </c>
      <c r="T4">
        <f>SUMPRODUCT((M_BOM[Part Name]=$A4)*M_BOM[RM_Qty_Per_Batch]*IFERROR(INDEX(PP_Grid[#Data],M_BOM[PPGridRow],20),0))</f>
        <v/>
      </c>
      <c r="U4">
        <f>SUMPRODUCT((M_BOM[Part Name]=$A4)*M_BOM[RM_Qty_Per_Batch]*IFERROR(INDEX(PP_Grid[#Data],M_BOM[PPGridRow],21),0))</f>
        <v/>
      </c>
      <c r="V4">
        <f>SUMPRODUCT((M_BOM[Part Name]=$A4)*M_BOM[RM_Qty_Per_Batch]*IFERROR(INDEX(PP_Grid[#Data],M_BOM[PPGridRow],22),0))</f>
        <v/>
      </c>
      <c r="W4">
        <f>SUMPRODUCT((M_BOM[Part Name]=$A4)*M_BOM[RM_Qty_Per_Batch]*IFERROR(INDEX(PP_Grid[#Data],M_BOM[PPGridRow],23),0))</f>
        <v/>
      </c>
      <c r="X4">
        <f>SUMPRODUCT((M_BOM[Part Name]=$A4)*M_BOM[RM_Qty_Per_Batch]*IFERROR(INDEX(PP_Grid[#Data],M_BOM[PPGridRow],24),0))</f>
        <v/>
      </c>
      <c r="Y4">
        <f>SUMPRODUCT((M_BOM[Part Name]=$A4)*M_BOM[RM_Qty_Per_Batch]*IFERROR(INDEX(PP_Grid[#Data],M_BOM[PPGridRow],25),0))</f>
        <v/>
      </c>
      <c r="Z4">
        <f>SUMPRODUCT((M_BOM[Part Name]=$A4)*M_BOM[RM_Qty_Per_Batch]*IFERROR(INDEX(PP_Grid[#Data],M_BOM[PPGridRow],26),0))</f>
        <v/>
      </c>
      <c r="AA4">
        <f>SUMPRODUCT((M_BOM[Part Name]=$A4)*M_BOM[RM_Qty_Per_Batch]*IFERROR(INDEX(PP_Grid[#Data],M_BOM[PPGridRow],27),0))</f>
        <v/>
      </c>
      <c r="AB4">
        <f>SUMPRODUCT((M_BOM[Part Name]=$A4)*M_BOM[RM_Qty_Per_Batch]*IFERROR(INDEX(PP_Grid[#Data],M_BOM[PPGridRow],28),0))</f>
        <v/>
      </c>
      <c r="AC4">
        <f>SUMPRODUCT((M_BOM[Part Name]=$A4)*M_BOM[RM_Qty_Per_Batch]*IFERROR(INDEX(PP_Grid[#Data],M_BOM[PPGridRow],29),0))</f>
        <v/>
      </c>
      <c r="AD4">
        <f>SUMPRODUCT((M_BOM[Part Name]=$A4)*M_BOM[RM_Qty_Per_Batch]*IFERROR(INDEX(PP_Grid[#Data],M_BOM[PPGridRow],30),0))</f>
        <v/>
      </c>
      <c r="AE4">
        <f>SUMPRODUCT((M_BOM[Part Name]=$A4)*M_BOM[RM_Qty_Per_Batch]*IFERROR(INDEX(PP_Grid[#Data],M_BOM[PPGridRow],31),0))</f>
        <v/>
      </c>
      <c r="AF4">
        <f>SUMPRODUCT((M_BOM[Part Name]=$A4)*M_BOM[RM_Qty_Per_Batch]*IFERROR(INDEX(PP_Grid[#Data],M_BOM[PPGridRow],32),0))</f>
        <v/>
      </c>
      <c r="AG4">
        <f>SUMPRODUCT((M_BOM[Part Name]=$A4)*M_BOM[RM_Qty_Per_Batch]*IFERROR(INDEX(PP_Grid[#Data],M_BOM[PPGridRow],33),0))</f>
        <v/>
      </c>
      <c r="AH4">
        <f>SUMPRODUCT((M_BOM[Part Name]=$A4)*M_BOM[RM_Qty_Per_Batch]*IFERROR(INDEX(PP_Grid[#Data],M_BOM[PPGridRow],34),0))</f>
        <v/>
      </c>
      <c r="AI4">
        <f>SUMPRODUCT((M_BOM[Part Name]=$A4)*M_BOM[RM_Qty_Per_Batch]*IFERROR(INDEX(PP_Grid[#Data],M_BOM[PPGridRow],35),0))</f>
        <v/>
      </c>
      <c r="AJ4">
        <f>SUMPRODUCT((M_BOM[Part Name]=$A4)*M_BOM[RM_Qty_Per_Batch]*IFERROR(INDEX(PP_Grid[#Data],M_BOM[PPGridRow],36),0))</f>
        <v/>
      </c>
      <c r="AK4">
        <f>SUMPRODUCT((M_BOM[Part Name]=$A4)*M_BOM[RM_Qty_Per_Batch]*IFERROR(INDEX(PP_Grid[#Data],M_BOM[PPGridRow],37),0))</f>
        <v/>
      </c>
      <c r="AL4">
        <f>SUMPRODUCT((M_BOM[Part Name]=$A4)*M_BOM[RM_Qty_Per_Batch]*IFERROR(INDEX(PP_Grid[#Data],M_BOM[PPGridRow],38),0))</f>
        <v/>
      </c>
      <c r="AM4">
        <f>SUMPRODUCT((M_BOM[Part Name]=$A4)*M_BOM[RM_Qty_Per_Batch]*IFERROR(INDEX(PP_Grid[#Data],M_BOM[PPGridRow],39),0))</f>
        <v/>
      </c>
      <c r="AN4">
        <f>SUMPRODUCT((M_BOM[Part Name]=$A4)*M_BOM[RM_Qty_Per_Batch]*IFERROR(INDEX(PP_Grid[#Data],M_BOM[PPGridRow],40),0))</f>
        <v/>
      </c>
      <c r="AO4">
        <f>SUMPRODUCT((M_BOM[Part Name]=$A4)*M_BOM[RM_Qty_Per_Batch]*IFERROR(INDEX(PP_Grid[#Data],M_BOM[PPGridRow],41),0))</f>
        <v/>
      </c>
      <c r="AP4">
        <f>SUMPRODUCT((M_BOM[Part Name]=$A4)*M_BOM[RM_Qty_Per_Batch]*IFERROR(INDEX(PP_Grid[#Data],M_BOM[PPGridRow],42),0))</f>
        <v/>
      </c>
      <c r="AQ4">
        <f>SUMPRODUCT((M_BOM[Part Name]=$A4)*M_BOM[RM_Qty_Per_Batch]*IFERROR(INDEX(PP_Grid[#Data],M_BOM[PPGridRow],43),0))</f>
        <v/>
      </c>
      <c r="AR4">
        <f>SUMPRODUCT((M_BOM[Part Name]=$A4)*M_BOM[RM_Qty_Per_Batch]*IFERROR(INDEX(PP_Grid[#Data],M_BOM[PPGridRow],44),0))</f>
        <v/>
      </c>
      <c r="AS4">
        <f>SUMPRODUCT((M_BOM[Part Name]=$A4)*M_BOM[RM_Qty_Per_Batch]*IFERROR(INDEX(PP_Grid[#Data],M_BOM[PPGridRow],45),0))</f>
        <v/>
      </c>
      <c r="AT4">
        <f>SUMPRODUCT((M_BOM[Part Name]=$A4)*M_BOM[RM_Qty_Per_Batch]*IFERROR(INDEX(PP_Grid[#Data],M_BOM[PPGridRow],46),0))</f>
        <v/>
      </c>
      <c r="AU4">
        <f>SUMPRODUCT((M_BOM[Part Name]=$A4)*M_BOM[RM_Qty_Per_Batch]*IFERROR(INDEX(PP_Grid[#Data],M_BOM[PPGridRow],47),0))</f>
        <v/>
      </c>
      <c r="AV4">
        <f>SUMPRODUCT((M_BOM[Part Name]=$A4)*M_BOM[RM_Qty_Per_Batch]*IFERROR(INDEX(PP_Grid[#Data],M_BOM[PPGridRow],48),0))</f>
        <v/>
      </c>
      <c r="AW4">
        <f>SUMPRODUCT((M_BOM[Part Name]=$A4)*M_BOM[RM_Qty_Per_Batch]*IFERROR(INDEX(PP_Grid[#Data],M_BOM[PPGridRow],49),0))</f>
        <v/>
      </c>
      <c r="AX4">
        <f>SUMPRODUCT((M_BOM[Part Name]=$A4)*M_BOM[RM_Qty_Per_Batch]*IFERROR(INDEX(PP_Grid[#Data],M_BOM[PPGridRow],50),0))</f>
        <v/>
      </c>
      <c r="AY4">
        <f>SUMPRODUCT((M_BOM[Part Name]=$A4)*M_BOM[RM_Qty_Per_Batch]*IFERROR(INDEX(PP_Grid[#Data],M_BOM[PPGridRow],51),0))</f>
        <v/>
      </c>
      <c r="AZ4">
        <f>SUMPRODUCT((M_BOM[Part Name]=$A4)*M_BOM[RM_Qty_Per_Batch]*IFERROR(INDEX(PP_Grid[#Data],M_BOM[PPGridRow],52),0))</f>
        <v/>
      </c>
      <c r="BA4">
        <f>SUMPRODUCT((M_BOM[Part Name]=$A4)*M_BOM[RM_Qty_Per_Batch]*IFERROR(INDEX(PP_Grid[#Data],M_BOM[PPGridRow],53),0))</f>
        <v/>
      </c>
      <c r="BB4">
        <f>SUMPRODUCT((M_BOM[Part Name]=$A4)*M_BOM[RM_Qty_Per_Batch]*IFERROR(INDEX(PP_Grid[#Data],M_BOM[PPGridRow],54),0))</f>
        <v/>
      </c>
      <c r="BC4">
        <f>SUMPRODUCT((M_BOM[Part Name]=$A4)*M_BOM[RM_Qty_Per_Batch]*IFERROR(INDEX(PP_Grid[#Data],M_BOM[PPGridRow],55),0))</f>
        <v/>
      </c>
      <c r="BD4">
        <f>SUMPRODUCT((M_BOM[Part Name]=$A4)*M_BOM[RM_Qty_Per_Batch]*IFERROR(INDEX(PP_Grid[#Data],M_BOM[PPGridRow],56),0))</f>
        <v/>
      </c>
      <c r="BE4">
        <f>SUMPRODUCT((M_BOM[Part Name]=$A4)*M_BOM[RM_Qty_Per_Batch]*IFERROR(INDEX(PP_Grid[#Data],M_BOM[PPGridRow],57),0))</f>
        <v/>
      </c>
      <c r="BF4">
        <f>SUMPRODUCT((M_BOM[Part Name]=$A4)*M_BOM[RM_Qty_Per_Batch]*IFERROR(INDEX(PP_Grid[#Data],M_BOM[PPGridRow],58),0))</f>
        <v/>
      </c>
      <c r="BG4">
        <f>SUMPRODUCT((M_BOM[Part Name]=$A4)*M_BOM[RM_Qty_Per_Batch]*IFERROR(INDEX(PP_Grid[#Data],M_BOM[PPGridRow],59),0))</f>
        <v/>
      </c>
      <c r="BH4">
        <f>SUMPRODUCT((M_BOM[Part Name]=$A4)*M_BOM[RM_Qty_Per_Batch]*IFERROR(INDEX(PP_Grid[#Data],M_BOM[PPGridRow],60),0))</f>
        <v/>
      </c>
      <c r="BI4">
        <f>SUMPRODUCT((M_BOM[Part Name]=$A4)*M_BOM[RM_Qty_Per_Batch]*IFERROR(INDEX(PP_Grid[#Data],M_BOM[PPGridRow],61),0))</f>
        <v/>
      </c>
      <c r="BJ4">
        <f>SUMPRODUCT((M_BOM[Part Name]=$A4)*M_BOM[RM_Qty_Per_Batch]*IFERROR(INDEX(PP_Grid[#Data],M_BOM[PPGridRow],62),0))</f>
        <v/>
      </c>
      <c r="BK4">
        <f>SUMPRODUCT((M_BOM[Part Name]=$A4)*M_BOM[RM_Qty_Per_Batch]*IFERROR(INDEX(PP_Grid[#Data],M_BOM[PPGridRow],63),0))</f>
        <v/>
      </c>
      <c r="BL4">
        <f>SUMPRODUCT((M_BOM[Part Name]=$A4)*M_BOM[RM_Qty_Per_Batch]*IFERROR(INDEX(PP_Grid[#Data],M_BOM[PPGridRow],64),0))</f>
        <v/>
      </c>
      <c r="BM4">
        <f>SUMPRODUCT((M_BOM[Part Name]=$A4)*M_BOM[RM_Qty_Per_Batch]*IFERROR(INDEX(PP_Grid[#Data],M_BOM[PPGridRow],65),0))</f>
        <v/>
      </c>
      <c r="BN4">
        <f>SUMPRODUCT((M_BOM[Part Name]=$A4)*M_BOM[RM_Qty_Per_Batch]*IFERROR(INDEX(PP_Grid[#Data],M_BOM[PPGridRow],66),0))</f>
        <v/>
      </c>
      <c r="BO4">
        <f>SUMPRODUCT((M_BOM[Part Name]=$A4)*M_BOM[RM_Qty_Per_Batch]*IFERROR(INDEX(PP_Grid[#Data],M_BOM[PPGridRow],67),0))</f>
        <v/>
      </c>
      <c r="BP4">
        <f>SUMPRODUCT((M_BOM[Part Name]=$A4)*M_BOM[RM_Qty_Per_Batch]*IFERROR(INDEX(PP_Grid[#Data],M_BOM[PPGridRow],68),0))</f>
        <v/>
      </c>
      <c r="BQ4">
        <f>SUMPRODUCT((M_BOM[Part Name]=$A4)*M_BOM[RM_Qty_Per_Batch]*IFERROR(INDEX(PP_Grid[#Data],M_BOM[PPGridRow],69),0))</f>
        <v/>
      </c>
      <c r="BR4">
        <f>SUMPRODUCT((M_BOM[Part Name]=$A4)*M_BOM[RM_Qty_Per_Batch]*IFERROR(INDEX(PP_Grid[#Data],M_BOM[PPGridRow],70),0))</f>
        <v/>
      </c>
      <c r="BS4">
        <f>SUMPRODUCT((M_BOM[Part Name]=$A4)*M_BOM[RM_Qty_Per_Batch]*IFERROR(INDEX(PP_Grid[#Data],M_BOM[PPGridRow],71),0))</f>
        <v/>
      </c>
      <c r="BT4">
        <f>SUMPRODUCT((M_BOM[Part Name]=$A4)*M_BOM[RM_Qty_Per_Batch]*IFERROR(INDEX(PP_Grid[#Data],M_BOM[PPGridRow],72),0))</f>
        <v/>
      </c>
      <c r="BU4">
        <f>SUMPRODUCT((M_BOM[Part Name]=$A4)*M_BOM[RM_Qty_Per_Batch]*IFERROR(INDEX(PP_Grid[#Data],M_BOM[PPGridRow],73),0))</f>
        <v/>
      </c>
      <c r="BV4">
        <f>SUMPRODUCT((M_BOM[Part Name]=$A4)*M_BOM[RM_Qty_Per_Batch]*IFERROR(INDEX(PP_Grid[#Data],M_BOM[PPGridRow],74),0))</f>
        <v/>
      </c>
      <c r="BW4">
        <f>SUMPRODUCT((M_BOM[Part Name]=$A4)*M_BOM[RM_Qty_Per_Batch]*IFERROR(INDEX(PP_Grid[#Data],M_BOM[PPGridRow],75),0))</f>
        <v/>
      </c>
      <c r="BX4">
        <f>SUMPRODUCT((M_BOM[Part Name]=$A4)*M_BOM[RM_Qty_Per_Batch]*IFERROR(INDEX(PP_Grid[#Data],M_BOM[PPGridRow],76),0))</f>
        <v/>
      </c>
      <c r="BY4">
        <f>SUMPRODUCT((M_BOM[Part Name]=$A4)*M_BOM[RM_Qty_Per_Batch]*IFERROR(INDEX(PP_Grid[#Data],M_BOM[PPGridRow],77),0))</f>
        <v/>
      </c>
      <c r="BZ4">
        <f>SUMPRODUCT((M_BOM[Part Name]=$A4)*M_BOM[RM_Qty_Per_Batch]*IFERROR(INDEX(PP_Grid[#Data],M_BOM[PPGridRow],78),0))</f>
        <v/>
      </c>
      <c r="CA4">
        <f>SUMPRODUCT((M_BOM[Part Name]=$A4)*M_BOM[RM_Qty_Per_Batch]*IFERROR(INDEX(PP_Grid[#Data],M_BOM[PPGridRow],79),0))</f>
        <v/>
      </c>
      <c r="CB4">
        <f>SUMPRODUCT((M_BOM[Part Name]=$A4)*M_BOM[RM_Qty_Per_Batch]*IFERROR(INDEX(PP_Grid[#Data],M_BOM[PPGridRow],80),0))</f>
        <v/>
      </c>
      <c r="CC4">
        <f>SUMPRODUCT((M_BOM[Part Name]=$A4)*M_BOM[RM_Qty_Per_Batch]*IFERROR(INDEX(PP_Grid[#Data],M_BOM[PPGridRow],81),0))</f>
        <v/>
      </c>
      <c r="CD4">
        <f>SUMPRODUCT((M_BOM[Part Name]=$A4)*M_BOM[RM_Qty_Per_Batch]*IFERROR(INDEX(PP_Grid[#Data],M_BOM[PPGridRow],82),0))</f>
        <v/>
      </c>
      <c r="CE4">
        <f>SUMPRODUCT((M_BOM[Part Name]=$A4)*M_BOM[RM_Qty_Per_Batch]*IFERROR(INDEX(PP_Grid[#Data],M_BOM[PPGridRow],83),0))</f>
        <v/>
      </c>
      <c r="CF4">
        <f>SUMPRODUCT((M_BOM[Part Name]=$A4)*M_BOM[RM_Qty_Per_Batch]*IFERROR(INDEX(PP_Grid[#Data],M_BOM[PPGridRow],84),0))</f>
        <v/>
      </c>
      <c r="CG4">
        <f>SUMPRODUCT((M_BOM[Part Name]=$A4)*M_BOM[RM_Qty_Per_Batch]*IFERROR(INDEX(PP_Grid[#Data],M_BOM[PPGridRow],85),0))</f>
        <v/>
      </c>
      <c r="CH4">
        <f>SUMPRODUCT((M_BOM[Part Name]=$A4)*M_BOM[RM_Qty_Per_Batch]*IFERROR(INDEX(PP_Grid[#Data],M_BOM[PPGridRow],86),0))</f>
        <v/>
      </c>
      <c r="CI4">
        <f>SUMPRODUCT((M_BOM[Part Name]=$A4)*M_BOM[RM_Qty_Per_Batch]*IFERROR(INDEX(PP_Grid[#Data],M_BOM[PPGridRow],87),0))</f>
        <v/>
      </c>
      <c r="CJ4">
        <f>SUMPRODUCT((M_BOM[Part Name]=$A4)*M_BOM[RM_Qty_Per_Batch]*IFERROR(INDEX(PP_Grid[#Data],M_BOM[PPGridRow],88),0))</f>
        <v/>
      </c>
      <c r="CK4">
        <f>SUMPRODUCT((M_BOM[Part Name]=$A4)*M_BOM[RM_Qty_Per_Batch]*IFERROR(INDEX(PP_Grid[#Data],M_BOM[PPGridRow],89),0))</f>
        <v/>
      </c>
      <c r="CL4">
        <f>SUMPRODUCT((M_BOM[Part Name]=$A4)*M_BOM[RM_Qty_Per_Batch]*IFERROR(INDEX(PP_Grid[#Data],M_BOM[PPGridRow],90),0))</f>
        <v/>
      </c>
      <c r="CM4">
        <f>SUMPRODUCT((M_BOM[Part Name]=$A4)*M_BOM[RM_Qty_Per_Batch]*IFERROR(INDEX(PP_Grid[#Data],M_BOM[PPGridRow],91),0))</f>
        <v/>
      </c>
      <c r="CN4">
        <f>SUMPRODUCT((M_BOM[Part Name]=$A4)*M_BOM[RM_Qty_Per_Batch]*IFERROR(INDEX(PP_Grid[#Data],M_BOM[PPGridRow],92),0))</f>
        <v/>
      </c>
      <c r="CO4">
        <f>SUMPRODUCT((M_BOM[Part Name]=$A4)*M_BOM[RM_Qty_Per_Batch]*IFERROR(INDEX(PP_Grid[#Data],M_BOM[PPGridRow],93),0))</f>
        <v/>
      </c>
      <c r="CP4">
        <f>SUMPRODUCT((M_BOM[Part Name]=$A4)*M_BOM[RM_Qty_Per_Batch]*IFERROR(INDEX(PP_Grid[#Data],M_BOM[PPGridRow],94),0))</f>
        <v/>
      </c>
      <c r="CQ4">
        <f>SUMPRODUCT((M_BOM[Part Name]=$A4)*M_BOM[RM_Qty_Per_Batch]*IFERROR(INDEX(PP_Grid[#Data],M_BOM[PPGridRow],95),0))</f>
        <v/>
      </c>
      <c r="CR4">
        <f>SUMPRODUCT((M_BOM[Part Name]=$A4)*M_BOM[RM_Qty_Per_Batch]*IFERROR(INDEX(PP_Grid[#Data],M_BOM[PPGridRow],96),0))</f>
        <v/>
      </c>
      <c r="CS4">
        <f>SUMPRODUCT((M_BOM[Part Name]=$A4)*M_BOM[RM_Qty_Per_Batch]*IFERROR(INDEX(PP_Grid[#Data],M_BOM[PPGridRow],97),0))</f>
        <v/>
      </c>
      <c r="CT4">
        <f>SUMPRODUCT((M_BOM[Part Name]=$A4)*M_BOM[RM_Qty_Per_Batch]*IFERROR(INDEX(PP_Grid[#Data],M_BOM[PPGridRow],98),0))</f>
        <v/>
      </c>
      <c r="CU4">
        <f>SUMPRODUCT((M_BOM[Part Name]=$A4)*M_BOM[RM_Qty_Per_Batch]*IFERROR(INDEX(PP_Grid[#Data],M_BOM[PPGridRow],99),0))</f>
        <v/>
      </c>
      <c r="CV4">
        <f>SUMPRODUCT((M_BOM[Part Name]=$A4)*M_BOM[RM_Qty_Per_Batch]*IFERROR(INDEX(PP_Grid[#Data],M_BOM[PPGridRow],100),0))</f>
        <v/>
      </c>
      <c r="CW4">
        <f>SUMPRODUCT((M_BOM[Part Name]=$A4)*M_BOM[RM_Qty_Per_Batch]*IFERROR(INDEX(PP_Grid[#Data],M_BOM[PPGridRow],101),0))</f>
        <v/>
      </c>
      <c r="CX4">
        <f>SUMPRODUCT((M_BOM[Part Name]=$A4)*M_BOM[RM_Qty_Per_Batch]*IFERROR(INDEX(PP_Grid[#Data],M_BOM[PPGridRow],102),0))</f>
        <v/>
      </c>
      <c r="CY4">
        <f>SUMPRODUCT((M_BOM[Part Name]=$A4)*M_BOM[RM_Qty_Per_Batch]*IFERROR(INDEX(PP_Grid[#Data],M_BOM[PPGridRow],103),0))</f>
        <v/>
      </c>
      <c r="CZ4">
        <f>SUMPRODUCT((M_BOM[Part Name]=$A4)*M_BOM[RM_Qty_Per_Batch]*IFERROR(INDEX(PP_Grid[#Data],M_BOM[PPGridRow],104),0))</f>
        <v/>
      </c>
      <c r="DA4">
        <f>SUMPRODUCT((M_BOM[Part Name]=$A4)*M_BOM[RM_Qty_Per_Batch]*IFERROR(INDEX(PP_Grid[#Data],M_BOM[PPGridRow],105),0))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SUMPRODUCT((M_BOM[Part Name]=$A5)*M_BOM[RM_Qty_Per_Batch]*IFERROR(INDEX(PP_Grid[#Data],M_BOM[PPGridRow],2),0))</f>
        <v/>
      </c>
      <c r="C5">
        <f>SUMPRODUCT((M_BOM[Part Name]=$A5)*M_BOM[RM_Qty_Per_Batch]*IFERROR(INDEX(PP_Grid[#Data],M_BOM[PPGridRow],3),0))</f>
        <v/>
      </c>
      <c r="D5">
        <f>SUMPRODUCT((M_BOM[Part Name]=$A5)*M_BOM[RM_Qty_Per_Batch]*IFERROR(INDEX(PP_Grid[#Data],M_BOM[PPGridRow],4),0))</f>
        <v/>
      </c>
      <c r="E5">
        <f>SUMPRODUCT((M_BOM[Part Name]=$A5)*M_BOM[RM_Qty_Per_Batch]*IFERROR(INDEX(PP_Grid[#Data],M_BOM[PPGridRow],5),0))</f>
        <v/>
      </c>
      <c r="F5">
        <f>SUMPRODUCT((M_BOM[Part Name]=$A5)*M_BOM[RM_Qty_Per_Batch]*IFERROR(INDEX(PP_Grid[#Data],M_BOM[PPGridRow],6),0))</f>
        <v/>
      </c>
      <c r="G5">
        <f>SUMPRODUCT((M_BOM[Part Name]=$A5)*M_BOM[RM_Qty_Per_Batch]*IFERROR(INDEX(PP_Grid[#Data],M_BOM[PPGridRow],7),0))</f>
        <v/>
      </c>
      <c r="H5">
        <f>SUMPRODUCT((M_BOM[Part Name]=$A5)*M_BOM[RM_Qty_Per_Batch]*IFERROR(INDEX(PP_Grid[#Data],M_BOM[PPGridRow],8),0))</f>
        <v/>
      </c>
      <c r="I5">
        <f>SUMPRODUCT((M_BOM[Part Name]=$A5)*M_BOM[RM_Qty_Per_Batch]*IFERROR(INDEX(PP_Grid[#Data],M_BOM[PPGridRow],9),0))</f>
        <v/>
      </c>
      <c r="J5">
        <f>SUMPRODUCT((M_BOM[Part Name]=$A5)*M_BOM[RM_Qty_Per_Batch]*IFERROR(INDEX(PP_Grid[#Data],M_BOM[PPGridRow],10),0))</f>
        <v/>
      </c>
      <c r="K5">
        <f>SUMPRODUCT((M_BOM[Part Name]=$A5)*M_BOM[RM_Qty_Per_Batch]*IFERROR(INDEX(PP_Grid[#Data],M_BOM[PPGridRow],11),0))</f>
        <v/>
      </c>
      <c r="L5">
        <f>SUMPRODUCT((M_BOM[Part Name]=$A5)*M_BOM[RM_Qty_Per_Batch]*IFERROR(INDEX(PP_Grid[#Data],M_BOM[PPGridRow],12),0))</f>
        <v/>
      </c>
      <c r="M5">
        <f>SUMPRODUCT((M_BOM[Part Name]=$A5)*M_BOM[RM_Qty_Per_Batch]*IFERROR(INDEX(PP_Grid[#Data],M_BOM[PPGridRow],13),0))</f>
        <v/>
      </c>
      <c r="N5">
        <f>SUMPRODUCT((M_BOM[Part Name]=$A5)*M_BOM[RM_Qty_Per_Batch]*IFERROR(INDEX(PP_Grid[#Data],M_BOM[PPGridRow],14),0))</f>
        <v/>
      </c>
      <c r="O5">
        <f>SUMPRODUCT((M_BOM[Part Name]=$A5)*M_BOM[RM_Qty_Per_Batch]*IFERROR(INDEX(PP_Grid[#Data],M_BOM[PPGridRow],15),0))</f>
        <v/>
      </c>
      <c r="P5">
        <f>SUMPRODUCT((M_BOM[Part Name]=$A5)*M_BOM[RM_Qty_Per_Batch]*IFERROR(INDEX(PP_Grid[#Data],M_BOM[PPGridRow],16),0))</f>
        <v/>
      </c>
      <c r="Q5">
        <f>SUMPRODUCT((M_BOM[Part Name]=$A5)*M_BOM[RM_Qty_Per_Batch]*IFERROR(INDEX(PP_Grid[#Data],M_BOM[PPGridRow],17),0))</f>
        <v/>
      </c>
      <c r="R5">
        <f>SUMPRODUCT((M_BOM[Part Name]=$A5)*M_BOM[RM_Qty_Per_Batch]*IFERROR(INDEX(PP_Grid[#Data],M_BOM[PPGridRow],18),0))</f>
        <v/>
      </c>
      <c r="S5">
        <f>SUMPRODUCT((M_BOM[Part Name]=$A5)*M_BOM[RM_Qty_Per_Batch]*IFERROR(INDEX(PP_Grid[#Data],M_BOM[PPGridRow],19),0))</f>
        <v/>
      </c>
      <c r="T5">
        <f>SUMPRODUCT((M_BOM[Part Name]=$A5)*M_BOM[RM_Qty_Per_Batch]*IFERROR(INDEX(PP_Grid[#Data],M_BOM[PPGridRow],20),0))</f>
        <v/>
      </c>
      <c r="U5">
        <f>SUMPRODUCT((M_BOM[Part Name]=$A5)*M_BOM[RM_Qty_Per_Batch]*IFERROR(INDEX(PP_Grid[#Data],M_BOM[PPGridRow],21),0))</f>
        <v/>
      </c>
      <c r="V5">
        <f>SUMPRODUCT((M_BOM[Part Name]=$A5)*M_BOM[RM_Qty_Per_Batch]*IFERROR(INDEX(PP_Grid[#Data],M_BOM[PPGridRow],22),0))</f>
        <v/>
      </c>
      <c r="W5">
        <f>SUMPRODUCT((M_BOM[Part Name]=$A5)*M_BOM[RM_Qty_Per_Batch]*IFERROR(INDEX(PP_Grid[#Data],M_BOM[PPGridRow],23),0))</f>
        <v/>
      </c>
      <c r="X5">
        <f>SUMPRODUCT((M_BOM[Part Name]=$A5)*M_BOM[RM_Qty_Per_Batch]*IFERROR(INDEX(PP_Grid[#Data],M_BOM[PPGridRow],24),0))</f>
        <v/>
      </c>
      <c r="Y5">
        <f>SUMPRODUCT((M_BOM[Part Name]=$A5)*M_BOM[RM_Qty_Per_Batch]*IFERROR(INDEX(PP_Grid[#Data],M_BOM[PPGridRow],25),0))</f>
        <v/>
      </c>
      <c r="Z5">
        <f>SUMPRODUCT((M_BOM[Part Name]=$A5)*M_BOM[RM_Qty_Per_Batch]*IFERROR(INDEX(PP_Grid[#Data],M_BOM[PPGridRow],26),0))</f>
        <v/>
      </c>
      <c r="AA5">
        <f>SUMPRODUCT((M_BOM[Part Name]=$A5)*M_BOM[RM_Qty_Per_Batch]*IFERROR(INDEX(PP_Grid[#Data],M_BOM[PPGridRow],27),0))</f>
        <v/>
      </c>
      <c r="AB5">
        <f>SUMPRODUCT((M_BOM[Part Name]=$A5)*M_BOM[RM_Qty_Per_Batch]*IFERROR(INDEX(PP_Grid[#Data],M_BOM[PPGridRow],28),0))</f>
        <v/>
      </c>
      <c r="AC5">
        <f>SUMPRODUCT((M_BOM[Part Name]=$A5)*M_BOM[RM_Qty_Per_Batch]*IFERROR(INDEX(PP_Grid[#Data],M_BOM[PPGridRow],29),0))</f>
        <v/>
      </c>
      <c r="AD5">
        <f>SUMPRODUCT((M_BOM[Part Name]=$A5)*M_BOM[RM_Qty_Per_Batch]*IFERROR(INDEX(PP_Grid[#Data],M_BOM[PPGridRow],30),0))</f>
        <v/>
      </c>
      <c r="AE5">
        <f>SUMPRODUCT((M_BOM[Part Name]=$A5)*M_BOM[RM_Qty_Per_Batch]*IFERROR(INDEX(PP_Grid[#Data],M_BOM[PPGridRow],31),0))</f>
        <v/>
      </c>
      <c r="AF5">
        <f>SUMPRODUCT((M_BOM[Part Name]=$A5)*M_BOM[RM_Qty_Per_Batch]*IFERROR(INDEX(PP_Grid[#Data],M_BOM[PPGridRow],32),0))</f>
        <v/>
      </c>
      <c r="AG5">
        <f>SUMPRODUCT((M_BOM[Part Name]=$A5)*M_BOM[RM_Qty_Per_Batch]*IFERROR(INDEX(PP_Grid[#Data],M_BOM[PPGridRow],33),0))</f>
        <v/>
      </c>
      <c r="AH5">
        <f>SUMPRODUCT((M_BOM[Part Name]=$A5)*M_BOM[RM_Qty_Per_Batch]*IFERROR(INDEX(PP_Grid[#Data],M_BOM[PPGridRow],34),0))</f>
        <v/>
      </c>
      <c r="AI5">
        <f>SUMPRODUCT((M_BOM[Part Name]=$A5)*M_BOM[RM_Qty_Per_Batch]*IFERROR(INDEX(PP_Grid[#Data],M_BOM[PPGridRow],35),0))</f>
        <v/>
      </c>
      <c r="AJ5">
        <f>SUMPRODUCT((M_BOM[Part Name]=$A5)*M_BOM[RM_Qty_Per_Batch]*IFERROR(INDEX(PP_Grid[#Data],M_BOM[PPGridRow],36),0))</f>
        <v/>
      </c>
      <c r="AK5">
        <f>SUMPRODUCT((M_BOM[Part Name]=$A5)*M_BOM[RM_Qty_Per_Batch]*IFERROR(INDEX(PP_Grid[#Data],M_BOM[PPGridRow],37),0))</f>
        <v/>
      </c>
      <c r="AL5">
        <f>SUMPRODUCT((M_BOM[Part Name]=$A5)*M_BOM[RM_Qty_Per_Batch]*IFERROR(INDEX(PP_Grid[#Data],M_BOM[PPGridRow],38),0))</f>
        <v/>
      </c>
      <c r="AM5">
        <f>SUMPRODUCT((M_BOM[Part Name]=$A5)*M_BOM[RM_Qty_Per_Batch]*IFERROR(INDEX(PP_Grid[#Data],M_BOM[PPGridRow],39),0))</f>
        <v/>
      </c>
      <c r="AN5">
        <f>SUMPRODUCT((M_BOM[Part Name]=$A5)*M_BOM[RM_Qty_Per_Batch]*IFERROR(INDEX(PP_Grid[#Data],M_BOM[PPGridRow],40),0))</f>
        <v/>
      </c>
      <c r="AO5">
        <f>SUMPRODUCT((M_BOM[Part Name]=$A5)*M_BOM[RM_Qty_Per_Batch]*IFERROR(INDEX(PP_Grid[#Data],M_BOM[PPGridRow],41),0))</f>
        <v/>
      </c>
      <c r="AP5">
        <f>SUMPRODUCT((M_BOM[Part Name]=$A5)*M_BOM[RM_Qty_Per_Batch]*IFERROR(INDEX(PP_Grid[#Data],M_BOM[PPGridRow],42),0))</f>
        <v/>
      </c>
      <c r="AQ5">
        <f>SUMPRODUCT((M_BOM[Part Name]=$A5)*M_BOM[RM_Qty_Per_Batch]*IFERROR(INDEX(PP_Grid[#Data],M_BOM[PPGridRow],43),0))</f>
        <v/>
      </c>
      <c r="AR5">
        <f>SUMPRODUCT((M_BOM[Part Name]=$A5)*M_BOM[RM_Qty_Per_Batch]*IFERROR(INDEX(PP_Grid[#Data],M_BOM[PPGridRow],44),0))</f>
        <v/>
      </c>
      <c r="AS5">
        <f>SUMPRODUCT((M_BOM[Part Name]=$A5)*M_BOM[RM_Qty_Per_Batch]*IFERROR(INDEX(PP_Grid[#Data],M_BOM[PPGridRow],45),0))</f>
        <v/>
      </c>
      <c r="AT5">
        <f>SUMPRODUCT((M_BOM[Part Name]=$A5)*M_BOM[RM_Qty_Per_Batch]*IFERROR(INDEX(PP_Grid[#Data],M_BOM[PPGridRow],46),0))</f>
        <v/>
      </c>
      <c r="AU5">
        <f>SUMPRODUCT((M_BOM[Part Name]=$A5)*M_BOM[RM_Qty_Per_Batch]*IFERROR(INDEX(PP_Grid[#Data],M_BOM[PPGridRow],47),0))</f>
        <v/>
      </c>
      <c r="AV5">
        <f>SUMPRODUCT((M_BOM[Part Name]=$A5)*M_BOM[RM_Qty_Per_Batch]*IFERROR(INDEX(PP_Grid[#Data],M_BOM[PPGridRow],48),0))</f>
        <v/>
      </c>
      <c r="AW5">
        <f>SUMPRODUCT((M_BOM[Part Name]=$A5)*M_BOM[RM_Qty_Per_Batch]*IFERROR(INDEX(PP_Grid[#Data],M_BOM[PPGridRow],49),0))</f>
        <v/>
      </c>
      <c r="AX5">
        <f>SUMPRODUCT((M_BOM[Part Name]=$A5)*M_BOM[RM_Qty_Per_Batch]*IFERROR(INDEX(PP_Grid[#Data],M_BOM[PPGridRow],50),0))</f>
        <v/>
      </c>
      <c r="AY5">
        <f>SUMPRODUCT((M_BOM[Part Name]=$A5)*M_BOM[RM_Qty_Per_Batch]*IFERROR(INDEX(PP_Grid[#Data],M_BOM[PPGridRow],51),0))</f>
        <v/>
      </c>
      <c r="AZ5">
        <f>SUMPRODUCT((M_BOM[Part Name]=$A5)*M_BOM[RM_Qty_Per_Batch]*IFERROR(INDEX(PP_Grid[#Data],M_BOM[PPGridRow],52),0))</f>
        <v/>
      </c>
      <c r="BA5">
        <f>SUMPRODUCT((M_BOM[Part Name]=$A5)*M_BOM[RM_Qty_Per_Batch]*IFERROR(INDEX(PP_Grid[#Data],M_BOM[PPGridRow],53),0))</f>
        <v/>
      </c>
      <c r="BB5">
        <f>SUMPRODUCT((M_BOM[Part Name]=$A5)*M_BOM[RM_Qty_Per_Batch]*IFERROR(INDEX(PP_Grid[#Data],M_BOM[PPGridRow],54),0))</f>
        <v/>
      </c>
      <c r="BC5">
        <f>SUMPRODUCT((M_BOM[Part Name]=$A5)*M_BOM[RM_Qty_Per_Batch]*IFERROR(INDEX(PP_Grid[#Data],M_BOM[PPGridRow],55),0))</f>
        <v/>
      </c>
      <c r="BD5">
        <f>SUMPRODUCT((M_BOM[Part Name]=$A5)*M_BOM[RM_Qty_Per_Batch]*IFERROR(INDEX(PP_Grid[#Data],M_BOM[PPGridRow],56),0))</f>
        <v/>
      </c>
      <c r="BE5">
        <f>SUMPRODUCT((M_BOM[Part Name]=$A5)*M_BOM[RM_Qty_Per_Batch]*IFERROR(INDEX(PP_Grid[#Data],M_BOM[PPGridRow],57),0))</f>
        <v/>
      </c>
      <c r="BF5">
        <f>SUMPRODUCT((M_BOM[Part Name]=$A5)*M_BOM[RM_Qty_Per_Batch]*IFERROR(INDEX(PP_Grid[#Data],M_BOM[PPGridRow],58),0))</f>
        <v/>
      </c>
      <c r="BG5">
        <f>SUMPRODUCT((M_BOM[Part Name]=$A5)*M_BOM[RM_Qty_Per_Batch]*IFERROR(INDEX(PP_Grid[#Data],M_BOM[PPGridRow],59),0))</f>
        <v/>
      </c>
      <c r="BH5">
        <f>SUMPRODUCT((M_BOM[Part Name]=$A5)*M_BOM[RM_Qty_Per_Batch]*IFERROR(INDEX(PP_Grid[#Data],M_BOM[PPGridRow],60),0))</f>
        <v/>
      </c>
      <c r="BI5">
        <f>SUMPRODUCT((M_BOM[Part Name]=$A5)*M_BOM[RM_Qty_Per_Batch]*IFERROR(INDEX(PP_Grid[#Data],M_BOM[PPGridRow],61),0))</f>
        <v/>
      </c>
      <c r="BJ5">
        <f>SUMPRODUCT((M_BOM[Part Name]=$A5)*M_BOM[RM_Qty_Per_Batch]*IFERROR(INDEX(PP_Grid[#Data],M_BOM[PPGridRow],62),0))</f>
        <v/>
      </c>
      <c r="BK5">
        <f>SUMPRODUCT((M_BOM[Part Name]=$A5)*M_BOM[RM_Qty_Per_Batch]*IFERROR(INDEX(PP_Grid[#Data],M_BOM[PPGridRow],63),0))</f>
        <v/>
      </c>
      <c r="BL5">
        <f>SUMPRODUCT((M_BOM[Part Name]=$A5)*M_BOM[RM_Qty_Per_Batch]*IFERROR(INDEX(PP_Grid[#Data],M_BOM[PPGridRow],64),0))</f>
        <v/>
      </c>
      <c r="BM5">
        <f>SUMPRODUCT((M_BOM[Part Name]=$A5)*M_BOM[RM_Qty_Per_Batch]*IFERROR(INDEX(PP_Grid[#Data],M_BOM[PPGridRow],65),0))</f>
        <v/>
      </c>
      <c r="BN5">
        <f>SUMPRODUCT((M_BOM[Part Name]=$A5)*M_BOM[RM_Qty_Per_Batch]*IFERROR(INDEX(PP_Grid[#Data],M_BOM[PPGridRow],66),0))</f>
        <v/>
      </c>
      <c r="BO5">
        <f>SUMPRODUCT((M_BOM[Part Name]=$A5)*M_BOM[RM_Qty_Per_Batch]*IFERROR(INDEX(PP_Grid[#Data],M_BOM[PPGridRow],67),0))</f>
        <v/>
      </c>
      <c r="BP5">
        <f>SUMPRODUCT((M_BOM[Part Name]=$A5)*M_BOM[RM_Qty_Per_Batch]*IFERROR(INDEX(PP_Grid[#Data],M_BOM[PPGridRow],68),0))</f>
        <v/>
      </c>
      <c r="BQ5">
        <f>SUMPRODUCT((M_BOM[Part Name]=$A5)*M_BOM[RM_Qty_Per_Batch]*IFERROR(INDEX(PP_Grid[#Data],M_BOM[PPGridRow],69),0))</f>
        <v/>
      </c>
      <c r="BR5">
        <f>SUMPRODUCT((M_BOM[Part Name]=$A5)*M_BOM[RM_Qty_Per_Batch]*IFERROR(INDEX(PP_Grid[#Data],M_BOM[PPGridRow],70),0))</f>
        <v/>
      </c>
      <c r="BS5">
        <f>SUMPRODUCT((M_BOM[Part Name]=$A5)*M_BOM[RM_Qty_Per_Batch]*IFERROR(INDEX(PP_Grid[#Data],M_BOM[PPGridRow],71),0))</f>
        <v/>
      </c>
      <c r="BT5">
        <f>SUMPRODUCT((M_BOM[Part Name]=$A5)*M_BOM[RM_Qty_Per_Batch]*IFERROR(INDEX(PP_Grid[#Data],M_BOM[PPGridRow],72),0))</f>
        <v/>
      </c>
      <c r="BU5">
        <f>SUMPRODUCT((M_BOM[Part Name]=$A5)*M_BOM[RM_Qty_Per_Batch]*IFERROR(INDEX(PP_Grid[#Data],M_BOM[PPGridRow],73),0))</f>
        <v/>
      </c>
      <c r="BV5">
        <f>SUMPRODUCT((M_BOM[Part Name]=$A5)*M_BOM[RM_Qty_Per_Batch]*IFERROR(INDEX(PP_Grid[#Data],M_BOM[PPGridRow],74),0))</f>
        <v/>
      </c>
      <c r="BW5">
        <f>SUMPRODUCT((M_BOM[Part Name]=$A5)*M_BOM[RM_Qty_Per_Batch]*IFERROR(INDEX(PP_Grid[#Data],M_BOM[PPGridRow],75),0))</f>
        <v/>
      </c>
      <c r="BX5">
        <f>SUMPRODUCT((M_BOM[Part Name]=$A5)*M_BOM[RM_Qty_Per_Batch]*IFERROR(INDEX(PP_Grid[#Data],M_BOM[PPGridRow],76),0))</f>
        <v/>
      </c>
      <c r="BY5">
        <f>SUMPRODUCT((M_BOM[Part Name]=$A5)*M_BOM[RM_Qty_Per_Batch]*IFERROR(INDEX(PP_Grid[#Data],M_BOM[PPGridRow],77),0))</f>
        <v/>
      </c>
      <c r="BZ5">
        <f>SUMPRODUCT((M_BOM[Part Name]=$A5)*M_BOM[RM_Qty_Per_Batch]*IFERROR(INDEX(PP_Grid[#Data],M_BOM[PPGridRow],78),0))</f>
        <v/>
      </c>
      <c r="CA5">
        <f>SUMPRODUCT((M_BOM[Part Name]=$A5)*M_BOM[RM_Qty_Per_Batch]*IFERROR(INDEX(PP_Grid[#Data],M_BOM[PPGridRow],79),0))</f>
        <v/>
      </c>
      <c r="CB5">
        <f>SUMPRODUCT((M_BOM[Part Name]=$A5)*M_BOM[RM_Qty_Per_Batch]*IFERROR(INDEX(PP_Grid[#Data],M_BOM[PPGridRow],80),0))</f>
        <v/>
      </c>
      <c r="CC5">
        <f>SUMPRODUCT((M_BOM[Part Name]=$A5)*M_BOM[RM_Qty_Per_Batch]*IFERROR(INDEX(PP_Grid[#Data],M_BOM[PPGridRow],81),0))</f>
        <v/>
      </c>
      <c r="CD5">
        <f>SUMPRODUCT((M_BOM[Part Name]=$A5)*M_BOM[RM_Qty_Per_Batch]*IFERROR(INDEX(PP_Grid[#Data],M_BOM[PPGridRow],82),0))</f>
        <v/>
      </c>
      <c r="CE5">
        <f>SUMPRODUCT((M_BOM[Part Name]=$A5)*M_BOM[RM_Qty_Per_Batch]*IFERROR(INDEX(PP_Grid[#Data],M_BOM[PPGridRow],83),0))</f>
        <v/>
      </c>
      <c r="CF5">
        <f>SUMPRODUCT((M_BOM[Part Name]=$A5)*M_BOM[RM_Qty_Per_Batch]*IFERROR(INDEX(PP_Grid[#Data],M_BOM[PPGridRow],84),0))</f>
        <v/>
      </c>
      <c r="CG5">
        <f>SUMPRODUCT((M_BOM[Part Name]=$A5)*M_BOM[RM_Qty_Per_Batch]*IFERROR(INDEX(PP_Grid[#Data],M_BOM[PPGridRow],85),0))</f>
        <v/>
      </c>
      <c r="CH5">
        <f>SUMPRODUCT((M_BOM[Part Name]=$A5)*M_BOM[RM_Qty_Per_Batch]*IFERROR(INDEX(PP_Grid[#Data],M_BOM[PPGridRow],86),0))</f>
        <v/>
      </c>
      <c r="CI5">
        <f>SUMPRODUCT((M_BOM[Part Name]=$A5)*M_BOM[RM_Qty_Per_Batch]*IFERROR(INDEX(PP_Grid[#Data],M_BOM[PPGridRow],87),0))</f>
        <v/>
      </c>
      <c r="CJ5">
        <f>SUMPRODUCT((M_BOM[Part Name]=$A5)*M_BOM[RM_Qty_Per_Batch]*IFERROR(INDEX(PP_Grid[#Data],M_BOM[PPGridRow],88),0))</f>
        <v/>
      </c>
      <c r="CK5">
        <f>SUMPRODUCT((M_BOM[Part Name]=$A5)*M_BOM[RM_Qty_Per_Batch]*IFERROR(INDEX(PP_Grid[#Data],M_BOM[PPGridRow],89),0))</f>
        <v/>
      </c>
      <c r="CL5">
        <f>SUMPRODUCT((M_BOM[Part Name]=$A5)*M_BOM[RM_Qty_Per_Batch]*IFERROR(INDEX(PP_Grid[#Data],M_BOM[PPGridRow],90),0))</f>
        <v/>
      </c>
      <c r="CM5">
        <f>SUMPRODUCT((M_BOM[Part Name]=$A5)*M_BOM[RM_Qty_Per_Batch]*IFERROR(INDEX(PP_Grid[#Data],M_BOM[PPGridRow],91),0))</f>
        <v/>
      </c>
      <c r="CN5">
        <f>SUMPRODUCT((M_BOM[Part Name]=$A5)*M_BOM[RM_Qty_Per_Batch]*IFERROR(INDEX(PP_Grid[#Data],M_BOM[PPGridRow],92),0))</f>
        <v/>
      </c>
      <c r="CO5">
        <f>SUMPRODUCT((M_BOM[Part Name]=$A5)*M_BOM[RM_Qty_Per_Batch]*IFERROR(INDEX(PP_Grid[#Data],M_BOM[PPGridRow],93),0))</f>
        <v/>
      </c>
      <c r="CP5">
        <f>SUMPRODUCT((M_BOM[Part Name]=$A5)*M_BOM[RM_Qty_Per_Batch]*IFERROR(INDEX(PP_Grid[#Data],M_BOM[PPGridRow],94),0))</f>
        <v/>
      </c>
      <c r="CQ5">
        <f>SUMPRODUCT((M_BOM[Part Name]=$A5)*M_BOM[RM_Qty_Per_Batch]*IFERROR(INDEX(PP_Grid[#Data],M_BOM[PPGridRow],95),0))</f>
        <v/>
      </c>
      <c r="CR5">
        <f>SUMPRODUCT((M_BOM[Part Name]=$A5)*M_BOM[RM_Qty_Per_Batch]*IFERROR(INDEX(PP_Grid[#Data],M_BOM[PPGridRow],96),0))</f>
        <v/>
      </c>
      <c r="CS5">
        <f>SUMPRODUCT((M_BOM[Part Name]=$A5)*M_BOM[RM_Qty_Per_Batch]*IFERROR(INDEX(PP_Grid[#Data],M_BOM[PPGridRow],97),0))</f>
        <v/>
      </c>
      <c r="CT5">
        <f>SUMPRODUCT((M_BOM[Part Name]=$A5)*M_BOM[RM_Qty_Per_Batch]*IFERROR(INDEX(PP_Grid[#Data],M_BOM[PPGridRow],98),0))</f>
        <v/>
      </c>
      <c r="CU5">
        <f>SUMPRODUCT((M_BOM[Part Name]=$A5)*M_BOM[RM_Qty_Per_Batch]*IFERROR(INDEX(PP_Grid[#Data],M_BOM[PPGridRow],99),0))</f>
        <v/>
      </c>
      <c r="CV5">
        <f>SUMPRODUCT((M_BOM[Part Name]=$A5)*M_BOM[RM_Qty_Per_Batch]*IFERROR(INDEX(PP_Grid[#Data],M_BOM[PPGridRow],100),0))</f>
        <v/>
      </c>
      <c r="CW5">
        <f>SUMPRODUCT((M_BOM[Part Name]=$A5)*M_BOM[RM_Qty_Per_Batch]*IFERROR(INDEX(PP_Grid[#Data],M_BOM[PPGridRow],101),0))</f>
        <v/>
      </c>
      <c r="CX5">
        <f>SUMPRODUCT((M_BOM[Part Name]=$A5)*M_BOM[RM_Qty_Per_Batch]*IFERROR(INDEX(PP_Grid[#Data],M_BOM[PPGridRow],102),0))</f>
        <v/>
      </c>
      <c r="CY5">
        <f>SUMPRODUCT((M_BOM[Part Name]=$A5)*M_BOM[RM_Qty_Per_Batch]*IFERROR(INDEX(PP_Grid[#Data],M_BOM[PPGridRow],103),0))</f>
        <v/>
      </c>
      <c r="CZ5">
        <f>SUMPRODUCT((M_BOM[Part Name]=$A5)*M_BOM[RM_Qty_Per_Batch]*IFERROR(INDEX(PP_Grid[#Data],M_BOM[PPGridRow],104),0))</f>
        <v/>
      </c>
      <c r="DA5">
        <f>SUMPRODUCT((M_BOM[Part Name]=$A5)*M_BOM[RM_Qty_Per_Batch]*IFERROR(INDEX(PP_Grid[#Data],M_BOM[PPGridRow],105),0))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SUMPRODUCT((M_BOM[Part Name]=$A6)*M_BOM[RM_Qty_Per_Batch]*IFERROR(INDEX(PP_Grid[#Data],M_BOM[PPGridRow],2),0))</f>
        <v/>
      </c>
      <c r="C6">
        <f>SUMPRODUCT((M_BOM[Part Name]=$A6)*M_BOM[RM_Qty_Per_Batch]*IFERROR(INDEX(PP_Grid[#Data],M_BOM[PPGridRow],3),0))</f>
        <v/>
      </c>
      <c r="D6">
        <f>SUMPRODUCT((M_BOM[Part Name]=$A6)*M_BOM[RM_Qty_Per_Batch]*IFERROR(INDEX(PP_Grid[#Data],M_BOM[PPGridRow],4),0))</f>
        <v/>
      </c>
      <c r="E6">
        <f>SUMPRODUCT((M_BOM[Part Name]=$A6)*M_BOM[RM_Qty_Per_Batch]*IFERROR(INDEX(PP_Grid[#Data],M_BOM[PPGridRow],5),0))</f>
        <v/>
      </c>
      <c r="F6">
        <f>SUMPRODUCT((M_BOM[Part Name]=$A6)*M_BOM[RM_Qty_Per_Batch]*IFERROR(INDEX(PP_Grid[#Data],M_BOM[PPGridRow],6),0))</f>
        <v/>
      </c>
      <c r="G6">
        <f>SUMPRODUCT((M_BOM[Part Name]=$A6)*M_BOM[RM_Qty_Per_Batch]*IFERROR(INDEX(PP_Grid[#Data],M_BOM[PPGridRow],7),0))</f>
        <v/>
      </c>
      <c r="H6">
        <f>SUMPRODUCT((M_BOM[Part Name]=$A6)*M_BOM[RM_Qty_Per_Batch]*IFERROR(INDEX(PP_Grid[#Data],M_BOM[PPGridRow],8),0))</f>
        <v/>
      </c>
      <c r="I6">
        <f>SUMPRODUCT((M_BOM[Part Name]=$A6)*M_BOM[RM_Qty_Per_Batch]*IFERROR(INDEX(PP_Grid[#Data],M_BOM[PPGridRow],9),0))</f>
        <v/>
      </c>
      <c r="J6">
        <f>SUMPRODUCT((M_BOM[Part Name]=$A6)*M_BOM[RM_Qty_Per_Batch]*IFERROR(INDEX(PP_Grid[#Data],M_BOM[PPGridRow],10),0))</f>
        <v/>
      </c>
      <c r="K6">
        <f>SUMPRODUCT((M_BOM[Part Name]=$A6)*M_BOM[RM_Qty_Per_Batch]*IFERROR(INDEX(PP_Grid[#Data],M_BOM[PPGridRow],11),0))</f>
        <v/>
      </c>
      <c r="L6">
        <f>SUMPRODUCT((M_BOM[Part Name]=$A6)*M_BOM[RM_Qty_Per_Batch]*IFERROR(INDEX(PP_Grid[#Data],M_BOM[PPGridRow],12),0))</f>
        <v/>
      </c>
      <c r="M6">
        <f>SUMPRODUCT((M_BOM[Part Name]=$A6)*M_BOM[RM_Qty_Per_Batch]*IFERROR(INDEX(PP_Grid[#Data],M_BOM[PPGridRow],13),0))</f>
        <v/>
      </c>
      <c r="N6">
        <f>SUMPRODUCT((M_BOM[Part Name]=$A6)*M_BOM[RM_Qty_Per_Batch]*IFERROR(INDEX(PP_Grid[#Data],M_BOM[PPGridRow],14),0))</f>
        <v/>
      </c>
      <c r="O6">
        <f>SUMPRODUCT((M_BOM[Part Name]=$A6)*M_BOM[RM_Qty_Per_Batch]*IFERROR(INDEX(PP_Grid[#Data],M_BOM[PPGridRow],15),0))</f>
        <v/>
      </c>
      <c r="P6">
        <f>SUMPRODUCT((M_BOM[Part Name]=$A6)*M_BOM[RM_Qty_Per_Batch]*IFERROR(INDEX(PP_Grid[#Data],M_BOM[PPGridRow],16),0))</f>
        <v/>
      </c>
      <c r="Q6">
        <f>SUMPRODUCT((M_BOM[Part Name]=$A6)*M_BOM[RM_Qty_Per_Batch]*IFERROR(INDEX(PP_Grid[#Data],M_BOM[PPGridRow],17),0))</f>
        <v/>
      </c>
      <c r="R6">
        <f>SUMPRODUCT((M_BOM[Part Name]=$A6)*M_BOM[RM_Qty_Per_Batch]*IFERROR(INDEX(PP_Grid[#Data],M_BOM[PPGridRow],18),0))</f>
        <v/>
      </c>
      <c r="S6">
        <f>SUMPRODUCT((M_BOM[Part Name]=$A6)*M_BOM[RM_Qty_Per_Batch]*IFERROR(INDEX(PP_Grid[#Data],M_BOM[PPGridRow],19),0))</f>
        <v/>
      </c>
      <c r="T6">
        <f>SUMPRODUCT((M_BOM[Part Name]=$A6)*M_BOM[RM_Qty_Per_Batch]*IFERROR(INDEX(PP_Grid[#Data],M_BOM[PPGridRow],20),0))</f>
        <v/>
      </c>
      <c r="U6">
        <f>SUMPRODUCT((M_BOM[Part Name]=$A6)*M_BOM[RM_Qty_Per_Batch]*IFERROR(INDEX(PP_Grid[#Data],M_BOM[PPGridRow],21),0))</f>
        <v/>
      </c>
      <c r="V6">
        <f>SUMPRODUCT((M_BOM[Part Name]=$A6)*M_BOM[RM_Qty_Per_Batch]*IFERROR(INDEX(PP_Grid[#Data],M_BOM[PPGridRow],22),0))</f>
        <v/>
      </c>
      <c r="W6">
        <f>SUMPRODUCT((M_BOM[Part Name]=$A6)*M_BOM[RM_Qty_Per_Batch]*IFERROR(INDEX(PP_Grid[#Data],M_BOM[PPGridRow],23),0))</f>
        <v/>
      </c>
      <c r="X6">
        <f>SUMPRODUCT((M_BOM[Part Name]=$A6)*M_BOM[RM_Qty_Per_Batch]*IFERROR(INDEX(PP_Grid[#Data],M_BOM[PPGridRow],24),0))</f>
        <v/>
      </c>
      <c r="Y6">
        <f>SUMPRODUCT((M_BOM[Part Name]=$A6)*M_BOM[RM_Qty_Per_Batch]*IFERROR(INDEX(PP_Grid[#Data],M_BOM[PPGridRow],25),0))</f>
        <v/>
      </c>
      <c r="Z6">
        <f>SUMPRODUCT((M_BOM[Part Name]=$A6)*M_BOM[RM_Qty_Per_Batch]*IFERROR(INDEX(PP_Grid[#Data],M_BOM[PPGridRow],26),0))</f>
        <v/>
      </c>
      <c r="AA6">
        <f>SUMPRODUCT((M_BOM[Part Name]=$A6)*M_BOM[RM_Qty_Per_Batch]*IFERROR(INDEX(PP_Grid[#Data],M_BOM[PPGridRow],27),0))</f>
        <v/>
      </c>
      <c r="AB6">
        <f>SUMPRODUCT((M_BOM[Part Name]=$A6)*M_BOM[RM_Qty_Per_Batch]*IFERROR(INDEX(PP_Grid[#Data],M_BOM[PPGridRow],28),0))</f>
        <v/>
      </c>
      <c r="AC6">
        <f>SUMPRODUCT((M_BOM[Part Name]=$A6)*M_BOM[RM_Qty_Per_Batch]*IFERROR(INDEX(PP_Grid[#Data],M_BOM[PPGridRow],29),0))</f>
        <v/>
      </c>
      <c r="AD6">
        <f>SUMPRODUCT((M_BOM[Part Name]=$A6)*M_BOM[RM_Qty_Per_Batch]*IFERROR(INDEX(PP_Grid[#Data],M_BOM[PPGridRow],30),0))</f>
        <v/>
      </c>
      <c r="AE6">
        <f>SUMPRODUCT((M_BOM[Part Name]=$A6)*M_BOM[RM_Qty_Per_Batch]*IFERROR(INDEX(PP_Grid[#Data],M_BOM[PPGridRow],31),0))</f>
        <v/>
      </c>
      <c r="AF6">
        <f>SUMPRODUCT((M_BOM[Part Name]=$A6)*M_BOM[RM_Qty_Per_Batch]*IFERROR(INDEX(PP_Grid[#Data],M_BOM[PPGridRow],32),0))</f>
        <v/>
      </c>
      <c r="AG6">
        <f>SUMPRODUCT((M_BOM[Part Name]=$A6)*M_BOM[RM_Qty_Per_Batch]*IFERROR(INDEX(PP_Grid[#Data],M_BOM[PPGridRow],33),0))</f>
        <v/>
      </c>
      <c r="AH6">
        <f>SUMPRODUCT((M_BOM[Part Name]=$A6)*M_BOM[RM_Qty_Per_Batch]*IFERROR(INDEX(PP_Grid[#Data],M_BOM[PPGridRow],34),0))</f>
        <v/>
      </c>
      <c r="AI6">
        <f>SUMPRODUCT((M_BOM[Part Name]=$A6)*M_BOM[RM_Qty_Per_Batch]*IFERROR(INDEX(PP_Grid[#Data],M_BOM[PPGridRow],35),0))</f>
        <v/>
      </c>
      <c r="AJ6">
        <f>SUMPRODUCT((M_BOM[Part Name]=$A6)*M_BOM[RM_Qty_Per_Batch]*IFERROR(INDEX(PP_Grid[#Data],M_BOM[PPGridRow],36),0))</f>
        <v/>
      </c>
      <c r="AK6">
        <f>SUMPRODUCT((M_BOM[Part Name]=$A6)*M_BOM[RM_Qty_Per_Batch]*IFERROR(INDEX(PP_Grid[#Data],M_BOM[PPGridRow],37),0))</f>
        <v/>
      </c>
      <c r="AL6">
        <f>SUMPRODUCT((M_BOM[Part Name]=$A6)*M_BOM[RM_Qty_Per_Batch]*IFERROR(INDEX(PP_Grid[#Data],M_BOM[PPGridRow],38),0))</f>
        <v/>
      </c>
      <c r="AM6">
        <f>SUMPRODUCT((M_BOM[Part Name]=$A6)*M_BOM[RM_Qty_Per_Batch]*IFERROR(INDEX(PP_Grid[#Data],M_BOM[PPGridRow],39),0))</f>
        <v/>
      </c>
      <c r="AN6">
        <f>SUMPRODUCT((M_BOM[Part Name]=$A6)*M_BOM[RM_Qty_Per_Batch]*IFERROR(INDEX(PP_Grid[#Data],M_BOM[PPGridRow],40),0))</f>
        <v/>
      </c>
      <c r="AO6">
        <f>SUMPRODUCT((M_BOM[Part Name]=$A6)*M_BOM[RM_Qty_Per_Batch]*IFERROR(INDEX(PP_Grid[#Data],M_BOM[PPGridRow],41),0))</f>
        <v/>
      </c>
      <c r="AP6">
        <f>SUMPRODUCT((M_BOM[Part Name]=$A6)*M_BOM[RM_Qty_Per_Batch]*IFERROR(INDEX(PP_Grid[#Data],M_BOM[PPGridRow],42),0))</f>
        <v/>
      </c>
      <c r="AQ6">
        <f>SUMPRODUCT((M_BOM[Part Name]=$A6)*M_BOM[RM_Qty_Per_Batch]*IFERROR(INDEX(PP_Grid[#Data],M_BOM[PPGridRow],43),0))</f>
        <v/>
      </c>
      <c r="AR6">
        <f>SUMPRODUCT((M_BOM[Part Name]=$A6)*M_BOM[RM_Qty_Per_Batch]*IFERROR(INDEX(PP_Grid[#Data],M_BOM[PPGridRow],44),0))</f>
        <v/>
      </c>
      <c r="AS6">
        <f>SUMPRODUCT((M_BOM[Part Name]=$A6)*M_BOM[RM_Qty_Per_Batch]*IFERROR(INDEX(PP_Grid[#Data],M_BOM[PPGridRow],45),0))</f>
        <v/>
      </c>
      <c r="AT6">
        <f>SUMPRODUCT((M_BOM[Part Name]=$A6)*M_BOM[RM_Qty_Per_Batch]*IFERROR(INDEX(PP_Grid[#Data],M_BOM[PPGridRow],46),0))</f>
        <v/>
      </c>
      <c r="AU6">
        <f>SUMPRODUCT((M_BOM[Part Name]=$A6)*M_BOM[RM_Qty_Per_Batch]*IFERROR(INDEX(PP_Grid[#Data],M_BOM[PPGridRow],47),0))</f>
        <v/>
      </c>
      <c r="AV6">
        <f>SUMPRODUCT((M_BOM[Part Name]=$A6)*M_BOM[RM_Qty_Per_Batch]*IFERROR(INDEX(PP_Grid[#Data],M_BOM[PPGridRow],48),0))</f>
        <v/>
      </c>
      <c r="AW6">
        <f>SUMPRODUCT((M_BOM[Part Name]=$A6)*M_BOM[RM_Qty_Per_Batch]*IFERROR(INDEX(PP_Grid[#Data],M_BOM[PPGridRow],49),0))</f>
        <v/>
      </c>
      <c r="AX6">
        <f>SUMPRODUCT((M_BOM[Part Name]=$A6)*M_BOM[RM_Qty_Per_Batch]*IFERROR(INDEX(PP_Grid[#Data],M_BOM[PPGridRow],50),0))</f>
        <v/>
      </c>
      <c r="AY6">
        <f>SUMPRODUCT((M_BOM[Part Name]=$A6)*M_BOM[RM_Qty_Per_Batch]*IFERROR(INDEX(PP_Grid[#Data],M_BOM[PPGridRow],51),0))</f>
        <v/>
      </c>
      <c r="AZ6">
        <f>SUMPRODUCT((M_BOM[Part Name]=$A6)*M_BOM[RM_Qty_Per_Batch]*IFERROR(INDEX(PP_Grid[#Data],M_BOM[PPGridRow],52),0))</f>
        <v/>
      </c>
      <c r="BA6">
        <f>SUMPRODUCT((M_BOM[Part Name]=$A6)*M_BOM[RM_Qty_Per_Batch]*IFERROR(INDEX(PP_Grid[#Data],M_BOM[PPGridRow],53),0))</f>
        <v/>
      </c>
      <c r="BB6">
        <f>SUMPRODUCT((M_BOM[Part Name]=$A6)*M_BOM[RM_Qty_Per_Batch]*IFERROR(INDEX(PP_Grid[#Data],M_BOM[PPGridRow],54),0))</f>
        <v/>
      </c>
      <c r="BC6">
        <f>SUMPRODUCT((M_BOM[Part Name]=$A6)*M_BOM[RM_Qty_Per_Batch]*IFERROR(INDEX(PP_Grid[#Data],M_BOM[PPGridRow],55),0))</f>
        <v/>
      </c>
      <c r="BD6">
        <f>SUMPRODUCT((M_BOM[Part Name]=$A6)*M_BOM[RM_Qty_Per_Batch]*IFERROR(INDEX(PP_Grid[#Data],M_BOM[PPGridRow],56),0))</f>
        <v/>
      </c>
      <c r="BE6">
        <f>SUMPRODUCT((M_BOM[Part Name]=$A6)*M_BOM[RM_Qty_Per_Batch]*IFERROR(INDEX(PP_Grid[#Data],M_BOM[PPGridRow],57),0))</f>
        <v/>
      </c>
      <c r="BF6">
        <f>SUMPRODUCT((M_BOM[Part Name]=$A6)*M_BOM[RM_Qty_Per_Batch]*IFERROR(INDEX(PP_Grid[#Data],M_BOM[PPGridRow],58),0))</f>
        <v/>
      </c>
      <c r="BG6">
        <f>SUMPRODUCT((M_BOM[Part Name]=$A6)*M_BOM[RM_Qty_Per_Batch]*IFERROR(INDEX(PP_Grid[#Data],M_BOM[PPGridRow],59),0))</f>
        <v/>
      </c>
      <c r="BH6">
        <f>SUMPRODUCT((M_BOM[Part Name]=$A6)*M_BOM[RM_Qty_Per_Batch]*IFERROR(INDEX(PP_Grid[#Data],M_BOM[PPGridRow],60),0))</f>
        <v/>
      </c>
      <c r="BI6">
        <f>SUMPRODUCT((M_BOM[Part Name]=$A6)*M_BOM[RM_Qty_Per_Batch]*IFERROR(INDEX(PP_Grid[#Data],M_BOM[PPGridRow],61),0))</f>
        <v/>
      </c>
      <c r="BJ6">
        <f>SUMPRODUCT((M_BOM[Part Name]=$A6)*M_BOM[RM_Qty_Per_Batch]*IFERROR(INDEX(PP_Grid[#Data],M_BOM[PPGridRow],62),0))</f>
        <v/>
      </c>
      <c r="BK6">
        <f>SUMPRODUCT((M_BOM[Part Name]=$A6)*M_BOM[RM_Qty_Per_Batch]*IFERROR(INDEX(PP_Grid[#Data],M_BOM[PPGridRow],63),0))</f>
        <v/>
      </c>
      <c r="BL6">
        <f>SUMPRODUCT((M_BOM[Part Name]=$A6)*M_BOM[RM_Qty_Per_Batch]*IFERROR(INDEX(PP_Grid[#Data],M_BOM[PPGridRow],64),0))</f>
        <v/>
      </c>
      <c r="BM6">
        <f>SUMPRODUCT((M_BOM[Part Name]=$A6)*M_BOM[RM_Qty_Per_Batch]*IFERROR(INDEX(PP_Grid[#Data],M_BOM[PPGridRow],65),0))</f>
        <v/>
      </c>
      <c r="BN6">
        <f>SUMPRODUCT((M_BOM[Part Name]=$A6)*M_BOM[RM_Qty_Per_Batch]*IFERROR(INDEX(PP_Grid[#Data],M_BOM[PPGridRow],66),0))</f>
        <v/>
      </c>
      <c r="BO6">
        <f>SUMPRODUCT((M_BOM[Part Name]=$A6)*M_BOM[RM_Qty_Per_Batch]*IFERROR(INDEX(PP_Grid[#Data],M_BOM[PPGridRow],67),0))</f>
        <v/>
      </c>
      <c r="BP6">
        <f>SUMPRODUCT((M_BOM[Part Name]=$A6)*M_BOM[RM_Qty_Per_Batch]*IFERROR(INDEX(PP_Grid[#Data],M_BOM[PPGridRow],68),0))</f>
        <v/>
      </c>
      <c r="BQ6">
        <f>SUMPRODUCT((M_BOM[Part Name]=$A6)*M_BOM[RM_Qty_Per_Batch]*IFERROR(INDEX(PP_Grid[#Data],M_BOM[PPGridRow],69),0))</f>
        <v/>
      </c>
      <c r="BR6">
        <f>SUMPRODUCT((M_BOM[Part Name]=$A6)*M_BOM[RM_Qty_Per_Batch]*IFERROR(INDEX(PP_Grid[#Data],M_BOM[PPGridRow],70),0))</f>
        <v/>
      </c>
      <c r="BS6">
        <f>SUMPRODUCT((M_BOM[Part Name]=$A6)*M_BOM[RM_Qty_Per_Batch]*IFERROR(INDEX(PP_Grid[#Data],M_BOM[PPGridRow],71),0))</f>
        <v/>
      </c>
      <c r="BT6">
        <f>SUMPRODUCT((M_BOM[Part Name]=$A6)*M_BOM[RM_Qty_Per_Batch]*IFERROR(INDEX(PP_Grid[#Data],M_BOM[PPGridRow],72),0))</f>
        <v/>
      </c>
      <c r="BU6">
        <f>SUMPRODUCT((M_BOM[Part Name]=$A6)*M_BOM[RM_Qty_Per_Batch]*IFERROR(INDEX(PP_Grid[#Data],M_BOM[PPGridRow],73),0))</f>
        <v/>
      </c>
      <c r="BV6">
        <f>SUMPRODUCT((M_BOM[Part Name]=$A6)*M_BOM[RM_Qty_Per_Batch]*IFERROR(INDEX(PP_Grid[#Data],M_BOM[PPGridRow],74),0))</f>
        <v/>
      </c>
      <c r="BW6">
        <f>SUMPRODUCT((M_BOM[Part Name]=$A6)*M_BOM[RM_Qty_Per_Batch]*IFERROR(INDEX(PP_Grid[#Data],M_BOM[PPGridRow],75),0))</f>
        <v/>
      </c>
      <c r="BX6">
        <f>SUMPRODUCT((M_BOM[Part Name]=$A6)*M_BOM[RM_Qty_Per_Batch]*IFERROR(INDEX(PP_Grid[#Data],M_BOM[PPGridRow],76),0))</f>
        <v/>
      </c>
      <c r="BY6">
        <f>SUMPRODUCT((M_BOM[Part Name]=$A6)*M_BOM[RM_Qty_Per_Batch]*IFERROR(INDEX(PP_Grid[#Data],M_BOM[PPGridRow],77),0))</f>
        <v/>
      </c>
      <c r="BZ6">
        <f>SUMPRODUCT((M_BOM[Part Name]=$A6)*M_BOM[RM_Qty_Per_Batch]*IFERROR(INDEX(PP_Grid[#Data],M_BOM[PPGridRow],78),0))</f>
        <v/>
      </c>
      <c r="CA6">
        <f>SUMPRODUCT((M_BOM[Part Name]=$A6)*M_BOM[RM_Qty_Per_Batch]*IFERROR(INDEX(PP_Grid[#Data],M_BOM[PPGridRow],79),0))</f>
        <v/>
      </c>
      <c r="CB6">
        <f>SUMPRODUCT((M_BOM[Part Name]=$A6)*M_BOM[RM_Qty_Per_Batch]*IFERROR(INDEX(PP_Grid[#Data],M_BOM[PPGridRow],80),0))</f>
        <v/>
      </c>
      <c r="CC6">
        <f>SUMPRODUCT((M_BOM[Part Name]=$A6)*M_BOM[RM_Qty_Per_Batch]*IFERROR(INDEX(PP_Grid[#Data],M_BOM[PPGridRow],81),0))</f>
        <v/>
      </c>
      <c r="CD6">
        <f>SUMPRODUCT((M_BOM[Part Name]=$A6)*M_BOM[RM_Qty_Per_Batch]*IFERROR(INDEX(PP_Grid[#Data],M_BOM[PPGridRow],82),0))</f>
        <v/>
      </c>
      <c r="CE6">
        <f>SUMPRODUCT((M_BOM[Part Name]=$A6)*M_BOM[RM_Qty_Per_Batch]*IFERROR(INDEX(PP_Grid[#Data],M_BOM[PPGridRow],83),0))</f>
        <v/>
      </c>
      <c r="CF6">
        <f>SUMPRODUCT((M_BOM[Part Name]=$A6)*M_BOM[RM_Qty_Per_Batch]*IFERROR(INDEX(PP_Grid[#Data],M_BOM[PPGridRow],84),0))</f>
        <v/>
      </c>
      <c r="CG6">
        <f>SUMPRODUCT((M_BOM[Part Name]=$A6)*M_BOM[RM_Qty_Per_Batch]*IFERROR(INDEX(PP_Grid[#Data],M_BOM[PPGridRow],85),0))</f>
        <v/>
      </c>
      <c r="CH6">
        <f>SUMPRODUCT((M_BOM[Part Name]=$A6)*M_BOM[RM_Qty_Per_Batch]*IFERROR(INDEX(PP_Grid[#Data],M_BOM[PPGridRow],86),0))</f>
        <v/>
      </c>
      <c r="CI6">
        <f>SUMPRODUCT((M_BOM[Part Name]=$A6)*M_BOM[RM_Qty_Per_Batch]*IFERROR(INDEX(PP_Grid[#Data],M_BOM[PPGridRow],87),0))</f>
        <v/>
      </c>
      <c r="CJ6">
        <f>SUMPRODUCT((M_BOM[Part Name]=$A6)*M_BOM[RM_Qty_Per_Batch]*IFERROR(INDEX(PP_Grid[#Data],M_BOM[PPGridRow],88),0))</f>
        <v/>
      </c>
      <c r="CK6">
        <f>SUMPRODUCT((M_BOM[Part Name]=$A6)*M_BOM[RM_Qty_Per_Batch]*IFERROR(INDEX(PP_Grid[#Data],M_BOM[PPGridRow],89),0))</f>
        <v/>
      </c>
      <c r="CL6">
        <f>SUMPRODUCT((M_BOM[Part Name]=$A6)*M_BOM[RM_Qty_Per_Batch]*IFERROR(INDEX(PP_Grid[#Data],M_BOM[PPGridRow],90),0))</f>
        <v/>
      </c>
      <c r="CM6">
        <f>SUMPRODUCT((M_BOM[Part Name]=$A6)*M_BOM[RM_Qty_Per_Batch]*IFERROR(INDEX(PP_Grid[#Data],M_BOM[PPGridRow],91),0))</f>
        <v/>
      </c>
      <c r="CN6">
        <f>SUMPRODUCT((M_BOM[Part Name]=$A6)*M_BOM[RM_Qty_Per_Batch]*IFERROR(INDEX(PP_Grid[#Data],M_BOM[PPGridRow],92),0))</f>
        <v/>
      </c>
      <c r="CO6">
        <f>SUMPRODUCT((M_BOM[Part Name]=$A6)*M_BOM[RM_Qty_Per_Batch]*IFERROR(INDEX(PP_Grid[#Data],M_BOM[PPGridRow],93),0))</f>
        <v/>
      </c>
      <c r="CP6">
        <f>SUMPRODUCT((M_BOM[Part Name]=$A6)*M_BOM[RM_Qty_Per_Batch]*IFERROR(INDEX(PP_Grid[#Data],M_BOM[PPGridRow],94),0))</f>
        <v/>
      </c>
      <c r="CQ6">
        <f>SUMPRODUCT((M_BOM[Part Name]=$A6)*M_BOM[RM_Qty_Per_Batch]*IFERROR(INDEX(PP_Grid[#Data],M_BOM[PPGridRow],95),0))</f>
        <v/>
      </c>
      <c r="CR6">
        <f>SUMPRODUCT((M_BOM[Part Name]=$A6)*M_BOM[RM_Qty_Per_Batch]*IFERROR(INDEX(PP_Grid[#Data],M_BOM[PPGridRow],96),0))</f>
        <v/>
      </c>
      <c r="CS6">
        <f>SUMPRODUCT((M_BOM[Part Name]=$A6)*M_BOM[RM_Qty_Per_Batch]*IFERROR(INDEX(PP_Grid[#Data],M_BOM[PPGridRow],97),0))</f>
        <v/>
      </c>
      <c r="CT6">
        <f>SUMPRODUCT((M_BOM[Part Name]=$A6)*M_BOM[RM_Qty_Per_Batch]*IFERROR(INDEX(PP_Grid[#Data],M_BOM[PPGridRow],98),0))</f>
        <v/>
      </c>
      <c r="CU6">
        <f>SUMPRODUCT((M_BOM[Part Name]=$A6)*M_BOM[RM_Qty_Per_Batch]*IFERROR(INDEX(PP_Grid[#Data],M_BOM[PPGridRow],99),0))</f>
        <v/>
      </c>
      <c r="CV6">
        <f>SUMPRODUCT((M_BOM[Part Name]=$A6)*M_BOM[RM_Qty_Per_Batch]*IFERROR(INDEX(PP_Grid[#Data],M_BOM[PPGridRow],100),0))</f>
        <v/>
      </c>
      <c r="CW6">
        <f>SUMPRODUCT((M_BOM[Part Name]=$A6)*M_BOM[RM_Qty_Per_Batch]*IFERROR(INDEX(PP_Grid[#Data],M_BOM[PPGridRow],101),0))</f>
        <v/>
      </c>
      <c r="CX6">
        <f>SUMPRODUCT((M_BOM[Part Name]=$A6)*M_BOM[RM_Qty_Per_Batch]*IFERROR(INDEX(PP_Grid[#Data],M_BOM[PPGridRow],102),0))</f>
        <v/>
      </c>
      <c r="CY6">
        <f>SUMPRODUCT((M_BOM[Part Name]=$A6)*M_BOM[RM_Qty_Per_Batch]*IFERROR(INDEX(PP_Grid[#Data],M_BOM[PPGridRow],103),0))</f>
        <v/>
      </c>
      <c r="CZ6">
        <f>SUMPRODUCT((M_BOM[Part Name]=$A6)*M_BOM[RM_Qty_Per_Batch]*IFERROR(INDEX(PP_Grid[#Data],M_BOM[PPGridRow],104),0))</f>
        <v/>
      </c>
      <c r="DA6">
        <f>SUMPRODUCT((M_BOM[Part Name]=$A6)*M_BOM[RM_Qty_Per_Batch]*IFERROR(INDEX(PP_Grid[#Data],M_BOM[PPGridRow],105),0))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SUMPRODUCT((M_BOM[Part Name]=$A7)*M_BOM[RM_Qty_Per_Batch]*IFERROR(INDEX(PP_Grid[#Data],M_BOM[PPGridRow],2),0))</f>
        <v/>
      </c>
      <c r="C7">
        <f>SUMPRODUCT((M_BOM[Part Name]=$A7)*M_BOM[RM_Qty_Per_Batch]*IFERROR(INDEX(PP_Grid[#Data],M_BOM[PPGridRow],3),0))</f>
        <v/>
      </c>
      <c r="D7">
        <f>SUMPRODUCT((M_BOM[Part Name]=$A7)*M_BOM[RM_Qty_Per_Batch]*IFERROR(INDEX(PP_Grid[#Data],M_BOM[PPGridRow],4),0))</f>
        <v/>
      </c>
      <c r="E7">
        <f>SUMPRODUCT((M_BOM[Part Name]=$A7)*M_BOM[RM_Qty_Per_Batch]*IFERROR(INDEX(PP_Grid[#Data],M_BOM[PPGridRow],5),0))</f>
        <v/>
      </c>
      <c r="F7">
        <f>SUMPRODUCT((M_BOM[Part Name]=$A7)*M_BOM[RM_Qty_Per_Batch]*IFERROR(INDEX(PP_Grid[#Data],M_BOM[PPGridRow],6),0))</f>
        <v/>
      </c>
      <c r="G7">
        <f>SUMPRODUCT((M_BOM[Part Name]=$A7)*M_BOM[RM_Qty_Per_Batch]*IFERROR(INDEX(PP_Grid[#Data],M_BOM[PPGridRow],7),0))</f>
        <v/>
      </c>
      <c r="H7">
        <f>SUMPRODUCT((M_BOM[Part Name]=$A7)*M_BOM[RM_Qty_Per_Batch]*IFERROR(INDEX(PP_Grid[#Data],M_BOM[PPGridRow],8),0))</f>
        <v/>
      </c>
      <c r="I7">
        <f>SUMPRODUCT((M_BOM[Part Name]=$A7)*M_BOM[RM_Qty_Per_Batch]*IFERROR(INDEX(PP_Grid[#Data],M_BOM[PPGridRow],9),0))</f>
        <v/>
      </c>
      <c r="J7">
        <f>SUMPRODUCT((M_BOM[Part Name]=$A7)*M_BOM[RM_Qty_Per_Batch]*IFERROR(INDEX(PP_Grid[#Data],M_BOM[PPGridRow],10),0))</f>
        <v/>
      </c>
      <c r="K7">
        <f>SUMPRODUCT((M_BOM[Part Name]=$A7)*M_BOM[RM_Qty_Per_Batch]*IFERROR(INDEX(PP_Grid[#Data],M_BOM[PPGridRow],11),0))</f>
        <v/>
      </c>
      <c r="L7">
        <f>SUMPRODUCT((M_BOM[Part Name]=$A7)*M_BOM[RM_Qty_Per_Batch]*IFERROR(INDEX(PP_Grid[#Data],M_BOM[PPGridRow],12),0))</f>
        <v/>
      </c>
      <c r="M7">
        <f>SUMPRODUCT((M_BOM[Part Name]=$A7)*M_BOM[RM_Qty_Per_Batch]*IFERROR(INDEX(PP_Grid[#Data],M_BOM[PPGridRow],13),0))</f>
        <v/>
      </c>
      <c r="N7">
        <f>SUMPRODUCT((M_BOM[Part Name]=$A7)*M_BOM[RM_Qty_Per_Batch]*IFERROR(INDEX(PP_Grid[#Data],M_BOM[PPGridRow],14),0))</f>
        <v/>
      </c>
      <c r="O7">
        <f>SUMPRODUCT((M_BOM[Part Name]=$A7)*M_BOM[RM_Qty_Per_Batch]*IFERROR(INDEX(PP_Grid[#Data],M_BOM[PPGridRow],15),0))</f>
        <v/>
      </c>
      <c r="P7">
        <f>SUMPRODUCT((M_BOM[Part Name]=$A7)*M_BOM[RM_Qty_Per_Batch]*IFERROR(INDEX(PP_Grid[#Data],M_BOM[PPGridRow],16),0))</f>
        <v/>
      </c>
      <c r="Q7">
        <f>SUMPRODUCT((M_BOM[Part Name]=$A7)*M_BOM[RM_Qty_Per_Batch]*IFERROR(INDEX(PP_Grid[#Data],M_BOM[PPGridRow],17),0))</f>
        <v/>
      </c>
      <c r="R7">
        <f>SUMPRODUCT((M_BOM[Part Name]=$A7)*M_BOM[RM_Qty_Per_Batch]*IFERROR(INDEX(PP_Grid[#Data],M_BOM[PPGridRow],18),0))</f>
        <v/>
      </c>
      <c r="S7">
        <f>SUMPRODUCT((M_BOM[Part Name]=$A7)*M_BOM[RM_Qty_Per_Batch]*IFERROR(INDEX(PP_Grid[#Data],M_BOM[PPGridRow],19),0))</f>
        <v/>
      </c>
      <c r="T7">
        <f>SUMPRODUCT((M_BOM[Part Name]=$A7)*M_BOM[RM_Qty_Per_Batch]*IFERROR(INDEX(PP_Grid[#Data],M_BOM[PPGridRow],20),0))</f>
        <v/>
      </c>
      <c r="U7">
        <f>SUMPRODUCT((M_BOM[Part Name]=$A7)*M_BOM[RM_Qty_Per_Batch]*IFERROR(INDEX(PP_Grid[#Data],M_BOM[PPGridRow],21),0))</f>
        <v/>
      </c>
      <c r="V7">
        <f>SUMPRODUCT((M_BOM[Part Name]=$A7)*M_BOM[RM_Qty_Per_Batch]*IFERROR(INDEX(PP_Grid[#Data],M_BOM[PPGridRow],22),0))</f>
        <v/>
      </c>
      <c r="W7">
        <f>SUMPRODUCT((M_BOM[Part Name]=$A7)*M_BOM[RM_Qty_Per_Batch]*IFERROR(INDEX(PP_Grid[#Data],M_BOM[PPGridRow],23),0))</f>
        <v/>
      </c>
      <c r="X7">
        <f>SUMPRODUCT((M_BOM[Part Name]=$A7)*M_BOM[RM_Qty_Per_Batch]*IFERROR(INDEX(PP_Grid[#Data],M_BOM[PPGridRow],24),0))</f>
        <v/>
      </c>
      <c r="Y7">
        <f>SUMPRODUCT((M_BOM[Part Name]=$A7)*M_BOM[RM_Qty_Per_Batch]*IFERROR(INDEX(PP_Grid[#Data],M_BOM[PPGridRow],25),0))</f>
        <v/>
      </c>
      <c r="Z7">
        <f>SUMPRODUCT((M_BOM[Part Name]=$A7)*M_BOM[RM_Qty_Per_Batch]*IFERROR(INDEX(PP_Grid[#Data],M_BOM[PPGridRow],26),0))</f>
        <v/>
      </c>
      <c r="AA7">
        <f>SUMPRODUCT((M_BOM[Part Name]=$A7)*M_BOM[RM_Qty_Per_Batch]*IFERROR(INDEX(PP_Grid[#Data],M_BOM[PPGridRow],27),0))</f>
        <v/>
      </c>
      <c r="AB7">
        <f>SUMPRODUCT((M_BOM[Part Name]=$A7)*M_BOM[RM_Qty_Per_Batch]*IFERROR(INDEX(PP_Grid[#Data],M_BOM[PPGridRow],28),0))</f>
        <v/>
      </c>
      <c r="AC7">
        <f>SUMPRODUCT((M_BOM[Part Name]=$A7)*M_BOM[RM_Qty_Per_Batch]*IFERROR(INDEX(PP_Grid[#Data],M_BOM[PPGridRow],29),0))</f>
        <v/>
      </c>
      <c r="AD7">
        <f>SUMPRODUCT((M_BOM[Part Name]=$A7)*M_BOM[RM_Qty_Per_Batch]*IFERROR(INDEX(PP_Grid[#Data],M_BOM[PPGridRow],30),0))</f>
        <v/>
      </c>
      <c r="AE7">
        <f>SUMPRODUCT((M_BOM[Part Name]=$A7)*M_BOM[RM_Qty_Per_Batch]*IFERROR(INDEX(PP_Grid[#Data],M_BOM[PPGridRow],31),0))</f>
        <v/>
      </c>
      <c r="AF7">
        <f>SUMPRODUCT((M_BOM[Part Name]=$A7)*M_BOM[RM_Qty_Per_Batch]*IFERROR(INDEX(PP_Grid[#Data],M_BOM[PPGridRow],32),0))</f>
        <v/>
      </c>
      <c r="AG7">
        <f>SUMPRODUCT((M_BOM[Part Name]=$A7)*M_BOM[RM_Qty_Per_Batch]*IFERROR(INDEX(PP_Grid[#Data],M_BOM[PPGridRow],33),0))</f>
        <v/>
      </c>
      <c r="AH7">
        <f>SUMPRODUCT((M_BOM[Part Name]=$A7)*M_BOM[RM_Qty_Per_Batch]*IFERROR(INDEX(PP_Grid[#Data],M_BOM[PPGridRow],34),0))</f>
        <v/>
      </c>
      <c r="AI7">
        <f>SUMPRODUCT((M_BOM[Part Name]=$A7)*M_BOM[RM_Qty_Per_Batch]*IFERROR(INDEX(PP_Grid[#Data],M_BOM[PPGridRow],35),0))</f>
        <v/>
      </c>
      <c r="AJ7">
        <f>SUMPRODUCT((M_BOM[Part Name]=$A7)*M_BOM[RM_Qty_Per_Batch]*IFERROR(INDEX(PP_Grid[#Data],M_BOM[PPGridRow],36),0))</f>
        <v/>
      </c>
      <c r="AK7">
        <f>SUMPRODUCT((M_BOM[Part Name]=$A7)*M_BOM[RM_Qty_Per_Batch]*IFERROR(INDEX(PP_Grid[#Data],M_BOM[PPGridRow],37),0))</f>
        <v/>
      </c>
      <c r="AL7">
        <f>SUMPRODUCT((M_BOM[Part Name]=$A7)*M_BOM[RM_Qty_Per_Batch]*IFERROR(INDEX(PP_Grid[#Data],M_BOM[PPGridRow],38),0))</f>
        <v/>
      </c>
      <c r="AM7">
        <f>SUMPRODUCT((M_BOM[Part Name]=$A7)*M_BOM[RM_Qty_Per_Batch]*IFERROR(INDEX(PP_Grid[#Data],M_BOM[PPGridRow],39),0))</f>
        <v/>
      </c>
      <c r="AN7">
        <f>SUMPRODUCT((M_BOM[Part Name]=$A7)*M_BOM[RM_Qty_Per_Batch]*IFERROR(INDEX(PP_Grid[#Data],M_BOM[PPGridRow],40),0))</f>
        <v/>
      </c>
      <c r="AO7">
        <f>SUMPRODUCT((M_BOM[Part Name]=$A7)*M_BOM[RM_Qty_Per_Batch]*IFERROR(INDEX(PP_Grid[#Data],M_BOM[PPGridRow],41),0))</f>
        <v/>
      </c>
      <c r="AP7">
        <f>SUMPRODUCT((M_BOM[Part Name]=$A7)*M_BOM[RM_Qty_Per_Batch]*IFERROR(INDEX(PP_Grid[#Data],M_BOM[PPGridRow],42),0))</f>
        <v/>
      </c>
      <c r="AQ7">
        <f>SUMPRODUCT((M_BOM[Part Name]=$A7)*M_BOM[RM_Qty_Per_Batch]*IFERROR(INDEX(PP_Grid[#Data],M_BOM[PPGridRow],43),0))</f>
        <v/>
      </c>
      <c r="AR7">
        <f>SUMPRODUCT((M_BOM[Part Name]=$A7)*M_BOM[RM_Qty_Per_Batch]*IFERROR(INDEX(PP_Grid[#Data],M_BOM[PPGridRow],44),0))</f>
        <v/>
      </c>
      <c r="AS7">
        <f>SUMPRODUCT((M_BOM[Part Name]=$A7)*M_BOM[RM_Qty_Per_Batch]*IFERROR(INDEX(PP_Grid[#Data],M_BOM[PPGridRow],45),0))</f>
        <v/>
      </c>
      <c r="AT7">
        <f>SUMPRODUCT((M_BOM[Part Name]=$A7)*M_BOM[RM_Qty_Per_Batch]*IFERROR(INDEX(PP_Grid[#Data],M_BOM[PPGridRow],46),0))</f>
        <v/>
      </c>
      <c r="AU7">
        <f>SUMPRODUCT((M_BOM[Part Name]=$A7)*M_BOM[RM_Qty_Per_Batch]*IFERROR(INDEX(PP_Grid[#Data],M_BOM[PPGridRow],47),0))</f>
        <v/>
      </c>
      <c r="AV7">
        <f>SUMPRODUCT((M_BOM[Part Name]=$A7)*M_BOM[RM_Qty_Per_Batch]*IFERROR(INDEX(PP_Grid[#Data],M_BOM[PPGridRow],48),0))</f>
        <v/>
      </c>
      <c r="AW7">
        <f>SUMPRODUCT((M_BOM[Part Name]=$A7)*M_BOM[RM_Qty_Per_Batch]*IFERROR(INDEX(PP_Grid[#Data],M_BOM[PPGridRow],49),0))</f>
        <v/>
      </c>
      <c r="AX7">
        <f>SUMPRODUCT((M_BOM[Part Name]=$A7)*M_BOM[RM_Qty_Per_Batch]*IFERROR(INDEX(PP_Grid[#Data],M_BOM[PPGridRow],50),0))</f>
        <v/>
      </c>
      <c r="AY7">
        <f>SUMPRODUCT((M_BOM[Part Name]=$A7)*M_BOM[RM_Qty_Per_Batch]*IFERROR(INDEX(PP_Grid[#Data],M_BOM[PPGridRow],51),0))</f>
        <v/>
      </c>
      <c r="AZ7">
        <f>SUMPRODUCT((M_BOM[Part Name]=$A7)*M_BOM[RM_Qty_Per_Batch]*IFERROR(INDEX(PP_Grid[#Data],M_BOM[PPGridRow],52),0))</f>
        <v/>
      </c>
      <c r="BA7">
        <f>SUMPRODUCT((M_BOM[Part Name]=$A7)*M_BOM[RM_Qty_Per_Batch]*IFERROR(INDEX(PP_Grid[#Data],M_BOM[PPGridRow],53),0))</f>
        <v/>
      </c>
      <c r="BB7">
        <f>SUMPRODUCT((M_BOM[Part Name]=$A7)*M_BOM[RM_Qty_Per_Batch]*IFERROR(INDEX(PP_Grid[#Data],M_BOM[PPGridRow],54),0))</f>
        <v/>
      </c>
      <c r="BC7">
        <f>SUMPRODUCT((M_BOM[Part Name]=$A7)*M_BOM[RM_Qty_Per_Batch]*IFERROR(INDEX(PP_Grid[#Data],M_BOM[PPGridRow],55),0))</f>
        <v/>
      </c>
      <c r="BD7">
        <f>SUMPRODUCT((M_BOM[Part Name]=$A7)*M_BOM[RM_Qty_Per_Batch]*IFERROR(INDEX(PP_Grid[#Data],M_BOM[PPGridRow],56),0))</f>
        <v/>
      </c>
      <c r="BE7">
        <f>SUMPRODUCT((M_BOM[Part Name]=$A7)*M_BOM[RM_Qty_Per_Batch]*IFERROR(INDEX(PP_Grid[#Data],M_BOM[PPGridRow],57),0))</f>
        <v/>
      </c>
      <c r="BF7">
        <f>SUMPRODUCT((M_BOM[Part Name]=$A7)*M_BOM[RM_Qty_Per_Batch]*IFERROR(INDEX(PP_Grid[#Data],M_BOM[PPGridRow],58),0))</f>
        <v/>
      </c>
      <c r="BG7">
        <f>SUMPRODUCT((M_BOM[Part Name]=$A7)*M_BOM[RM_Qty_Per_Batch]*IFERROR(INDEX(PP_Grid[#Data],M_BOM[PPGridRow],59),0))</f>
        <v/>
      </c>
      <c r="BH7">
        <f>SUMPRODUCT((M_BOM[Part Name]=$A7)*M_BOM[RM_Qty_Per_Batch]*IFERROR(INDEX(PP_Grid[#Data],M_BOM[PPGridRow],60),0))</f>
        <v/>
      </c>
      <c r="BI7">
        <f>SUMPRODUCT((M_BOM[Part Name]=$A7)*M_BOM[RM_Qty_Per_Batch]*IFERROR(INDEX(PP_Grid[#Data],M_BOM[PPGridRow],61),0))</f>
        <v/>
      </c>
      <c r="BJ7">
        <f>SUMPRODUCT((M_BOM[Part Name]=$A7)*M_BOM[RM_Qty_Per_Batch]*IFERROR(INDEX(PP_Grid[#Data],M_BOM[PPGridRow],62),0))</f>
        <v/>
      </c>
      <c r="BK7">
        <f>SUMPRODUCT((M_BOM[Part Name]=$A7)*M_BOM[RM_Qty_Per_Batch]*IFERROR(INDEX(PP_Grid[#Data],M_BOM[PPGridRow],63),0))</f>
        <v/>
      </c>
      <c r="BL7">
        <f>SUMPRODUCT((M_BOM[Part Name]=$A7)*M_BOM[RM_Qty_Per_Batch]*IFERROR(INDEX(PP_Grid[#Data],M_BOM[PPGridRow],64),0))</f>
        <v/>
      </c>
      <c r="BM7">
        <f>SUMPRODUCT((M_BOM[Part Name]=$A7)*M_BOM[RM_Qty_Per_Batch]*IFERROR(INDEX(PP_Grid[#Data],M_BOM[PPGridRow],65),0))</f>
        <v/>
      </c>
      <c r="BN7">
        <f>SUMPRODUCT((M_BOM[Part Name]=$A7)*M_BOM[RM_Qty_Per_Batch]*IFERROR(INDEX(PP_Grid[#Data],M_BOM[PPGridRow],66),0))</f>
        <v/>
      </c>
      <c r="BO7">
        <f>SUMPRODUCT((M_BOM[Part Name]=$A7)*M_BOM[RM_Qty_Per_Batch]*IFERROR(INDEX(PP_Grid[#Data],M_BOM[PPGridRow],67),0))</f>
        <v/>
      </c>
      <c r="BP7">
        <f>SUMPRODUCT((M_BOM[Part Name]=$A7)*M_BOM[RM_Qty_Per_Batch]*IFERROR(INDEX(PP_Grid[#Data],M_BOM[PPGridRow],68),0))</f>
        <v/>
      </c>
      <c r="BQ7">
        <f>SUMPRODUCT((M_BOM[Part Name]=$A7)*M_BOM[RM_Qty_Per_Batch]*IFERROR(INDEX(PP_Grid[#Data],M_BOM[PPGridRow],69),0))</f>
        <v/>
      </c>
      <c r="BR7">
        <f>SUMPRODUCT((M_BOM[Part Name]=$A7)*M_BOM[RM_Qty_Per_Batch]*IFERROR(INDEX(PP_Grid[#Data],M_BOM[PPGridRow],70),0))</f>
        <v/>
      </c>
      <c r="BS7">
        <f>SUMPRODUCT((M_BOM[Part Name]=$A7)*M_BOM[RM_Qty_Per_Batch]*IFERROR(INDEX(PP_Grid[#Data],M_BOM[PPGridRow],71),0))</f>
        <v/>
      </c>
      <c r="BT7">
        <f>SUMPRODUCT((M_BOM[Part Name]=$A7)*M_BOM[RM_Qty_Per_Batch]*IFERROR(INDEX(PP_Grid[#Data],M_BOM[PPGridRow],72),0))</f>
        <v/>
      </c>
      <c r="BU7">
        <f>SUMPRODUCT((M_BOM[Part Name]=$A7)*M_BOM[RM_Qty_Per_Batch]*IFERROR(INDEX(PP_Grid[#Data],M_BOM[PPGridRow],73),0))</f>
        <v/>
      </c>
      <c r="BV7">
        <f>SUMPRODUCT((M_BOM[Part Name]=$A7)*M_BOM[RM_Qty_Per_Batch]*IFERROR(INDEX(PP_Grid[#Data],M_BOM[PPGridRow],74),0))</f>
        <v/>
      </c>
      <c r="BW7">
        <f>SUMPRODUCT((M_BOM[Part Name]=$A7)*M_BOM[RM_Qty_Per_Batch]*IFERROR(INDEX(PP_Grid[#Data],M_BOM[PPGridRow],75),0))</f>
        <v/>
      </c>
      <c r="BX7">
        <f>SUMPRODUCT((M_BOM[Part Name]=$A7)*M_BOM[RM_Qty_Per_Batch]*IFERROR(INDEX(PP_Grid[#Data],M_BOM[PPGridRow],76),0))</f>
        <v/>
      </c>
      <c r="BY7">
        <f>SUMPRODUCT((M_BOM[Part Name]=$A7)*M_BOM[RM_Qty_Per_Batch]*IFERROR(INDEX(PP_Grid[#Data],M_BOM[PPGridRow],77),0))</f>
        <v/>
      </c>
      <c r="BZ7">
        <f>SUMPRODUCT((M_BOM[Part Name]=$A7)*M_BOM[RM_Qty_Per_Batch]*IFERROR(INDEX(PP_Grid[#Data],M_BOM[PPGridRow],78),0))</f>
        <v/>
      </c>
      <c r="CA7">
        <f>SUMPRODUCT((M_BOM[Part Name]=$A7)*M_BOM[RM_Qty_Per_Batch]*IFERROR(INDEX(PP_Grid[#Data],M_BOM[PPGridRow],79),0))</f>
        <v/>
      </c>
      <c r="CB7">
        <f>SUMPRODUCT((M_BOM[Part Name]=$A7)*M_BOM[RM_Qty_Per_Batch]*IFERROR(INDEX(PP_Grid[#Data],M_BOM[PPGridRow],80),0))</f>
        <v/>
      </c>
      <c r="CC7">
        <f>SUMPRODUCT((M_BOM[Part Name]=$A7)*M_BOM[RM_Qty_Per_Batch]*IFERROR(INDEX(PP_Grid[#Data],M_BOM[PPGridRow],81),0))</f>
        <v/>
      </c>
      <c r="CD7">
        <f>SUMPRODUCT((M_BOM[Part Name]=$A7)*M_BOM[RM_Qty_Per_Batch]*IFERROR(INDEX(PP_Grid[#Data],M_BOM[PPGridRow],82),0))</f>
        <v/>
      </c>
      <c r="CE7">
        <f>SUMPRODUCT((M_BOM[Part Name]=$A7)*M_BOM[RM_Qty_Per_Batch]*IFERROR(INDEX(PP_Grid[#Data],M_BOM[PPGridRow],83),0))</f>
        <v/>
      </c>
      <c r="CF7">
        <f>SUMPRODUCT((M_BOM[Part Name]=$A7)*M_BOM[RM_Qty_Per_Batch]*IFERROR(INDEX(PP_Grid[#Data],M_BOM[PPGridRow],84),0))</f>
        <v/>
      </c>
      <c r="CG7">
        <f>SUMPRODUCT((M_BOM[Part Name]=$A7)*M_BOM[RM_Qty_Per_Batch]*IFERROR(INDEX(PP_Grid[#Data],M_BOM[PPGridRow],85),0))</f>
        <v/>
      </c>
      <c r="CH7">
        <f>SUMPRODUCT((M_BOM[Part Name]=$A7)*M_BOM[RM_Qty_Per_Batch]*IFERROR(INDEX(PP_Grid[#Data],M_BOM[PPGridRow],86),0))</f>
        <v/>
      </c>
      <c r="CI7">
        <f>SUMPRODUCT((M_BOM[Part Name]=$A7)*M_BOM[RM_Qty_Per_Batch]*IFERROR(INDEX(PP_Grid[#Data],M_BOM[PPGridRow],87),0))</f>
        <v/>
      </c>
      <c r="CJ7">
        <f>SUMPRODUCT((M_BOM[Part Name]=$A7)*M_BOM[RM_Qty_Per_Batch]*IFERROR(INDEX(PP_Grid[#Data],M_BOM[PPGridRow],88),0))</f>
        <v/>
      </c>
      <c r="CK7">
        <f>SUMPRODUCT((M_BOM[Part Name]=$A7)*M_BOM[RM_Qty_Per_Batch]*IFERROR(INDEX(PP_Grid[#Data],M_BOM[PPGridRow],89),0))</f>
        <v/>
      </c>
      <c r="CL7">
        <f>SUMPRODUCT((M_BOM[Part Name]=$A7)*M_BOM[RM_Qty_Per_Batch]*IFERROR(INDEX(PP_Grid[#Data],M_BOM[PPGridRow],90),0))</f>
        <v/>
      </c>
      <c r="CM7">
        <f>SUMPRODUCT((M_BOM[Part Name]=$A7)*M_BOM[RM_Qty_Per_Batch]*IFERROR(INDEX(PP_Grid[#Data],M_BOM[PPGridRow],91),0))</f>
        <v/>
      </c>
      <c r="CN7">
        <f>SUMPRODUCT((M_BOM[Part Name]=$A7)*M_BOM[RM_Qty_Per_Batch]*IFERROR(INDEX(PP_Grid[#Data],M_BOM[PPGridRow],92),0))</f>
        <v/>
      </c>
      <c r="CO7">
        <f>SUMPRODUCT((M_BOM[Part Name]=$A7)*M_BOM[RM_Qty_Per_Batch]*IFERROR(INDEX(PP_Grid[#Data],M_BOM[PPGridRow],93),0))</f>
        <v/>
      </c>
      <c r="CP7">
        <f>SUMPRODUCT((M_BOM[Part Name]=$A7)*M_BOM[RM_Qty_Per_Batch]*IFERROR(INDEX(PP_Grid[#Data],M_BOM[PPGridRow],94),0))</f>
        <v/>
      </c>
      <c r="CQ7">
        <f>SUMPRODUCT((M_BOM[Part Name]=$A7)*M_BOM[RM_Qty_Per_Batch]*IFERROR(INDEX(PP_Grid[#Data],M_BOM[PPGridRow],95),0))</f>
        <v/>
      </c>
      <c r="CR7">
        <f>SUMPRODUCT((M_BOM[Part Name]=$A7)*M_BOM[RM_Qty_Per_Batch]*IFERROR(INDEX(PP_Grid[#Data],M_BOM[PPGridRow],96),0))</f>
        <v/>
      </c>
      <c r="CS7">
        <f>SUMPRODUCT((M_BOM[Part Name]=$A7)*M_BOM[RM_Qty_Per_Batch]*IFERROR(INDEX(PP_Grid[#Data],M_BOM[PPGridRow],97),0))</f>
        <v/>
      </c>
      <c r="CT7">
        <f>SUMPRODUCT((M_BOM[Part Name]=$A7)*M_BOM[RM_Qty_Per_Batch]*IFERROR(INDEX(PP_Grid[#Data],M_BOM[PPGridRow],98),0))</f>
        <v/>
      </c>
      <c r="CU7">
        <f>SUMPRODUCT((M_BOM[Part Name]=$A7)*M_BOM[RM_Qty_Per_Batch]*IFERROR(INDEX(PP_Grid[#Data],M_BOM[PPGridRow],99),0))</f>
        <v/>
      </c>
      <c r="CV7">
        <f>SUMPRODUCT((M_BOM[Part Name]=$A7)*M_BOM[RM_Qty_Per_Batch]*IFERROR(INDEX(PP_Grid[#Data],M_BOM[PPGridRow],100),0))</f>
        <v/>
      </c>
      <c r="CW7">
        <f>SUMPRODUCT((M_BOM[Part Name]=$A7)*M_BOM[RM_Qty_Per_Batch]*IFERROR(INDEX(PP_Grid[#Data],M_BOM[PPGridRow],101),0))</f>
        <v/>
      </c>
      <c r="CX7">
        <f>SUMPRODUCT((M_BOM[Part Name]=$A7)*M_BOM[RM_Qty_Per_Batch]*IFERROR(INDEX(PP_Grid[#Data],M_BOM[PPGridRow],102),0))</f>
        <v/>
      </c>
      <c r="CY7">
        <f>SUMPRODUCT((M_BOM[Part Name]=$A7)*M_BOM[RM_Qty_Per_Batch]*IFERROR(INDEX(PP_Grid[#Data],M_BOM[PPGridRow],103),0))</f>
        <v/>
      </c>
      <c r="CZ7">
        <f>SUMPRODUCT((M_BOM[Part Name]=$A7)*M_BOM[RM_Qty_Per_Batch]*IFERROR(INDEX(PP_Grid[#Data],M_BOM[PPGridRow],104),0))</f>
        <v/>
      </c>
      <c r="DA7">
        <f>SUMPRODUCT((M_BOM[Part Name]=$A7)*M_BOM[RM_Qty_Per_Batch]*IFERROR(INDEX(PP_Grid[#Data],M_BOM[PPGridRow],105),0))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SUMPRODUCT((M_BOM[Part Name]=$A8)*M_BOM[RM_Qty_Per_Batch]*IFERROR(INDEX(PP_Grid[#Data],M_BOM[PPGridRow],2),0))</f>
        <v/>
      </c>
      <c r="C8">
        <f>SUMPRODUCT((M_BOM[Part Name]=$A8)*M_BOM[RM_Qty_Per_Batch]*IFERROR(INDEX(PP_Grid[#Data],M_BOM[PPGridRow],3),0))</f>
        <v/>
      </c>
      <c r="D8">
        <f>SUMPRODUCT((M_BOM[Part Name]=$A8)*M_BOM[RM_Qty_Per_Batch]*IFERROR(INDEX(PP_Grid[#Data],M_BOM[PPGridRow],4),0))</f>
        <v/>
      </c>
      <c r="E8">
        <f>SUMPRODUCT((M_BOM[Part Name]=$A8)*M_BOM[RM_Qty_Per_Batch]*IFERROR(INDEX(PP_Grid[#Data],M_BOM[PPGridRow],5),0))</f>
        <v/>
      </c>
      <c r="F8">
        <f>SUMPRODUCT((M_BOM[Part Name]=$A8)*M_BOM[RM_Qty_Per_Batch]*IFERROR(INDEX(PP_Grid[#Data],M_BOM[PPGridRow],6),0))</f>
        <v/>
      </c>
      <c r="G8">
        <f>SUMPRODUCT((M_BOM[Part Name]=$A8)*M_BOM[RM_Qty_Per_Batch]*IFERROR(INDEX(PP_Grid[#Data],M_BOM[PPGridRow],7),0))</f>
        <v/>
      </c>
      <c r="H8">
        <f>SUMPRODUCT((M_BOM[Part Name]=$A8)*M_BOM[RM_Qty_Per_Batch]*IFERROR(INDEX(PP_Grid[#Data],M_BOM[PPGridRow],8),0))</f>
        <v/>
      </c>
      <c r="I8">
        <f>SUMPRODUCT((M_BOM[Part Name]=$A8)*M_BOM[RM_Qty_Per_Batch]*IFERROR(INDEX(PP_Grid[#Data],M_BOM[PPGridRow],9),0))</f>
        <v/>
      </c>
      <c r="J8">
        <f>SUMPRODUCT((M_BOM[Part Name]=$A8)*M_BOM[RM_Qty_Per_Batch]*IFERROR(INDEX(PP_Grid[#Data],M_BOM[PPGridRow],10),0))</f>
        <v/>
      </c>
      <c r="K8">
        <f>SUMPRODUCT((M_BOM[Part Name]=$A8)*M_BOM[RM_Qty_Per_Batch]*IFERROR(INDEX(PP_Grid[#Data],M_BOM[PPGridRow],11),0))</f>
        <v/>
      </c>
      <c r="L8">
        <f>SUMPRODUCT((M_BOM[Part Name]=$A8)*M_BOM[RM_Qty_Per_Batch]*IFERROR(INDEX(PP_Grid[#Data],M_BOM[PPGridRow],12),0))</f>
        <v/>
      </c>
      <c r="M8">
        <f>SUMPRODUCT((M_BOM[Part Name]=$A8)*M_BOM[RM_Qty_Per_Batch]*IFERROR(INDEX(PP_Grid[#Data],M_BOM[PPGridRow],13),0))</f>
        <v/>
      </c>
      <c r="N8">
        <f>SUMPRODUCT((M_BOM[Part Name]=$A8)*M_BOM[RM_Qty_Per_Batch]*IFERROR(INDEX(PP_Grid[#Data],M_BOM[PPGridRow],14),0))</f>
        <v/>
      </c>
      <c r="O8">
        <f>SUMPRODUCT((M_BOM[Part Name]=$A8)*M_BOM[RM_Qty_Per_Batch]*IFERROR(INDEX(PP_Grid[#Data],M_BOM[PPGridRow],15),0))</f>
        <v/>
      </c>
      <c r="P8">
        <f>SUMPRODUCT((M_BOM[Part Name]=$A8)*M_BOM[RM_Qty_Per_Batch]*IFERROR(INDEX(PP_Grid[#Data],M_BOM[PPGridRow],16),0))</f>
        <v/>
      </c>
      <c r="Q8">
        <f>SUMPRODUCT((M_BOM[Part Name]=$A8)*M_BOM[RM_Qty_Per_Batch]*IFERROR(INDEX(PP_Grid[#Data],M_BOM[PPGridRow],17),0))</f>
        <v/>
      </c>
      <c r="R8">
        <f>SUMPRODUCT((M_BOM[Part Name]=$A8)*M_BOM[RM_Qty_Per_Batch]*IFERROR(INDEX(PP_Grid[#Data],M_BOM[PPGridRow],18),0))</f>
        <v/>
      </c>
      <c r="S8">
        <f>SUMPRODUCT((M_BOM[Part Name]=$A8)*M_BOM[RM_Qty_Per_Batch]*IFERROR(INDEX(PP_Grid[#Data],M_BOM[PPGridRow],19),0))</f>
        <v/>
      </c>
      <c r="T8">
        <f>SUMPRODUCT((M_BOM[Part Name]=$A8)*M_BOM[RM_Qty_Per_Batch]*IFERROR(INDEX(PP_Grid[#Data],M_BOM[PPGridRow],20),0))</f>
        <v/>
      </c>
      <c r="U8">
        <f>SUMPRODUCT((M_BOM[Part Name]=$A8)*M_BOM[RM_Qty_Per_Batch]*IFERROR(INDEX(PP_Grid[#Data],M_BOM[PPGridRow],21),0))</f>
        <v/>
      </c>
      <c r="V8">
        <f>SUMPRODUCT((M_BOM[Part Name]=$A8)*M_BOM[RM_Qty_Per_Batch]*IFERROR(INDEX(PP_Grid[#Data],M_BOM[PPGridRow],22),0))</f>
        <v/>
      </c>
      <c r="W8">
        <f>SUMPRODUCT((M_BOM[Part Name]=$A8)*M_BOM[RM_Qty_Per_Batch]*IFERROR(INDEX(PP_Grid[#Data],M_BOM[PPGridRow],23),0))</f>
        <v/>
      </c>
      <c r="X8">
        <f>SUMPRODUCT((M_BOM[Part Name]=$A8)*M_BOM[RM_Qty_Per_Batch]*IFERROR(INDEX(PP_Grid[#Data],M_BOM[PPGridRow],24),0))</f>
        <v/>
      </c>
      <c r="Y8">
        <f>SUMPRODUCT((M_BOM[Part Name]=$A8)*M_BOM[RM_Qty_Per_Batch]*IFERROR(INDEX(PP_Grid[#Data],M_BOM[PPGridRow],25),0))</f>
        <v/>
      </c>
      <c r="Z8">
        <f>SUMPRODUCT((M_BOM[Part Name]=$A8)*M_BOM[RM_Qty_Per_Batch]*IFERROR(INDEX(PP_Grid[#Data],M_BOM[PPGridRow],26),0))</f>
        <v/>
      </c>
      <c r="AA8">
        <f>SUMPRODUCT((M_BOM[Part Name]=$A8)*M_BOM[RM_Qty_Per_Batch]*IFERROR(INDEX(PP_Grid[#Data],M_BOM[PPGridRow],27),0))</f>
        <v/>
      </c>
      <c r="AB8">
        <f>SUMPRODUCT((M_BOM[Part Name]=$A8)*M_BOM[RM_Qty_Per_Batch]*IFERROR(INDEX(PP_Grid[#Data],M_BOM[PPGridRow],28),0))</f>
        <v/>
      </c>
      <c r="AC8">
        <f>SUMPRODUCT((M_BOM[Part Name]=$A8)*M_BOM[RM_Qty_Per_Batch]*IFERROR(INDEX(PP_Grid[#Data],M_BOM[PPGridRow],29),0))</f>
        <v/>
      </c>
      <c r="AD8">
        <f>SUMPRODUCT((M_BOM[Part Name]=$A8)*M_BOM[RM_Qty_Per_Batch]*IFERROR(INDEX(PP_Grid[#Data],M_BOM[PPGridRow],30),0))</f>
        <v/>
      </c>
      <c r="AE8">
        <f>SUMPRODUCT((M_BOM[Part Name]=$A8)*M_BOM[RM_Qty_Per_Batch]*IFERROR(INDEX(PP_Grid[#Data],M_BOM[PPGridRow],31),0))</f>
        <v/>
      </c>
      <c r="AF8">
        <f>SUMPRODUCT((M_BOM[Part Name]=$A8)*M_BOM[RM_Qty_Per_Batch]*IFERROR(INDEX(PP_Grid[#Data],M_BOM[PPGridRow],32),0))</f>
        <v/>
      </c>
      <c r="AG8">
        <f>SUMPRODUCT((M_BOM[Part Name]=$A8)*M_BOM[RM_Qty_Per_Batch]*IFERROR(INDEX(PP_Grid[#Data],M_BOM[PPGridRow],33),0))</f>
        <v/>
      </c>
      <c r="AH8">
        <f>SUMPRODUCT((M_BOM[Part Name]=$A8)*M_BOM[RM_Qty_Per_Batch]*IFERROR(INDEX(PP_Grid[#Data],M_BOM[PPGridRow],34),0))</f>
        <v/>
      </c>
      <c r="AI8">
        <f>SUMPRODUCT((M_BOM[Part Name]=$A8)*M_BOM[RM_Qty_Per_Batch]*IFERROR(INDEX(PP_Grid[#Data],M_BOM[PPGridRow],35),0))</f>
        <v/>
      </c>
      <c r="AJ8">
        <f>SUMPRODUCT((M_BOM[Part Name]=$A8)*M_BOM[RM_Qty_Per_Batch]*IFERROR(INDEX(PP_Grid[#Data],M_BOM[PPGridRow],36),0))</f>
        <v/>
      </c>
      <c r="AK8">
        <f>SUMPRODUCT((M_BOM[Part Name]=$A8)*M_BOM[RM_Qty_Per_Batch]*IFERROR(INDEX(PP_Grid[#Data],M_BOM[PPGridRow],37),0))</f>
        <v/>
      </c>
      <c r="AL8">
        <f>SUMPRODUCT((M_BOM[Part Name]=$A8)*M_BOM[RM_Qty_Per_Batch]*IFERROR(INDEX(PP_Grid[#Data],M_BOM[PPGridRow],38),0))</f>
        <v/>
      </c>
      <c r="AM8">
        <f>SUMPRODUCT((M_BOM[Part Name]=$A8)*M_BOM[RM_Qty_Per_Batch]*IFERROR(INDEX(PP_Grid[#Data],M_BOM[PPGridRow],39),0))</f>
        <v/>
      </c>
      <c r="AN8">
        <f>SUMPRODUCT((M_BOM[Part Name]=$A8)*M_BOM[RM_Qty_Per_Batch]*IFERROR(INDEX(PP_Grid[#Data],M_BOM[PPGridRow],40),0))</f>
        <v/>
      </c>
      <c r="AO8">
        <f>SUMPRODUCT((M_BOM[Part Name]=$A8)*M_BOM[RM_Qty_Per_Batch]*IFERROR(INDEX(PP_Grid[#Data],M_BOM[PPGridRow],41),0))</f>
        <v/>
      </c>
      <c r="AP8">
        <f>SUMPRODUCT((M_BOM[Part Name]=$A8)*M_BOM[RM_Qty_Per_Batch]*IFERROR(INDEX(PP_Grid[#Data],M_BOM[PPGridRow],42),0))</f>
        <v/>
      </c>
      <c r="AQ8">
        <f>SUMPRODUCT((M_BOM[Part Name]=$A8)*M_BOM[RM_Qty_Per_Batch]*IFERROR(INDEX(PP_Grid[#Data],M_BOM[PPGridRow],43),0))</f>
        <v/>
      </c>
      <c r="AR8">
        <f>SUMPRODUCT((M_BOM[Part Name]=$A8)*M_BOM[RM_Qty_Per_Batch]*IFERROR(INDEX(PP_Grid[#Data],M_BOM[PPGridRow],44),0))</f>
        <v/>
      </c>
      <c r="AS8">
        <f>SUMPRODUCT((M_BOM[Part Name]=$A8)*M_BOM[RM_Qty_Per_Batch]*IFERROR(INDEX(PP_Grid[#Data],M_BOM[PPGridRow],45),0))</f>
        <v/>
      </c>
      <c r="AT8">
        <f>SUMPRODUCT((M_BOM[Part Name]=$A8)*M_BOM[RM_Qty_Per_Batch]*IFERROR(INDEX(PP_Grid[#Data],M_BOM[PPGridRow],46),0))</f>
        <v/>
      </c>
      <c r="AU8">
        <f>SUMPRODUCT((M_BOM[Part Name]=$A8)*M_BOM[RM_Qty_Per_Batch]*IFERROR(INDEX(PP_Grid[#Data],M_BOM[PPGridRow],47),0))</f>
        <v/>
      </c>
      <c r="AV8">
        <f>SUMPRODUCT((M_BOM[Part Name]=$A8)*M_BOM[RM_Qty_Per_Batch]*IFERROR(INDEX(PP_Grid[#Data],M_BOM[PPGridRow],48),0))</f>
        <v/>
      </c>
      <c r="AW8">
        <f>SUMPRODUCT((M_BOM[Part Name]=$A8)*M_BOM[RM_Qty_Per_Batch]*IFERROR(INDEX(PP_Grid[#Data],M_BOM[PPGridRow],49),0))</f>
        <v/>
      </c>
      <c r="AX8">
        <f>SUMPRODUCT((M_BOM[Part Name]=$A8)*M_BOM[RM_Qty_Per_Batch]*IFERROR(INDEX(PP_Grid[#Data],M_BOM[PPGridRow],50),0))</f>
        <v/>
      </c>
      <c r="AY8">
        <f>SUMPRODUCT((M_BOM[Part Name]=$A8)*M_BOM[RM_Qty_Per_Batch]*IFERROR(INDEX(PP_Grid[#Data],M_BOM[PPGridRow],51),0))</f>
        <v/>
      </c>
      <c r="AZ8">
        <f>SUMPRODUCT((M_BOM[Part Name]=$A8)*M_BOM[RM_Qty_Per_Batch]*IFERROR(INDEX(PP_Grid[#Data],M_BOM[PPGridRow],52),0))</f>
        <v/>
      </c>
      <c r="BA8">
        <f>SUMPRODUCT((M_BOM[Part Name]=$A8)*M_BOM[RM_Qty_Per_Batch]*IFERROR(INDEX(PP_Grid[#Data],M_BOM[PPGridRow],53),0))</f>
        <v/>
      </c>
      <c r="BB8">
        <f>SUMPRODUCT((M_BOM[Part Name]=$A8)*M_BOM[RM_Qty_Per_Batch]*IFERROR(INDEX(PP_Grid[#Data],M_BOM[PPGridRow],54),0))</f>
        <v/>
      </c>
      <c r="BC8">
        <f>SUMPRODUCT((M_BOM[Part Name]=$A8)*M_BOM[RM_Qty_Per_Batch]*IFERROR(INDEX(PP_Grid[#Data],M_BOM[PPGridRow],55),0))</f>
        <v/>
      </c>
      <c r="BD8">
        <f>SUMPRODUCT((M_BOM[Part Name]=$A8)*M_BOM[RM_Qty_Per_Batch]*IFERROR(INDEX(PP_Grid[#Data],M_BOM[PPGridRow],56),0))</f>
        <v/>
      </c>
      <c r="BE8">
        <f>SUMPRODUCT((M_BOM[Part Name]=$A8)*M_BOM[RM_Qty_Per_Batch]*IFERROR(INDEX(PP_Grid[#Data],M_BOM[PPGridRow],57),0))</f>
        <v/>
      </c>
      <c r="BF8">
        <f>SUMPRODUCT((M_BOM[Part Name]=$A8)*M_BOM[RM_Qty_Per_Batch]*IFERROR(INDEX(PP_Grid[#Data],M_BOM[PPGridRow],58),0))</f>
        <v/>
      </c>
      <c r="BG8">
        <f>SUMPRODUCT((M_BOM[Part Name]=$A8)*M_BOM[RM_Qty_Per_Batch]*IFERROR(INDEX(PP_Grid[#Data],M_BOM[PPGridRow],59),0))</f>
        <v/>
      </c>
      <c r="BH8">
        <f>SUMPRODUCT((M_BOM[Part Name]=$A8)*M_BOM[RM_Qty_Per_Batch]*IFERROR(INDEX(PP_Grid[#Data],M_BOM[PPGridRow],60),0))</f>
        <v/>
      </c>
      <c r="BI8">
        <f>SUMPRODUCT((M_BOM[Part Name]=$A8)*M_BOM[RM_Qty_Per_Batch]*IFERROR(INDEX(PP_Grid[#Data],M_BOM[PPGridRow],61),0))</f>
        <v/>
      </c>
      <c r="BJ8">
        <f>SUMPRODUCT((M_BOM[Part Name]=$A8)*M_BOM[RM_Qty_Per_Batch]*IFERROR(INDEX(PP_Grid[#Data],M_BOM[PPGridRow],62),0))</f>
        <v/>
      </c>
      <c r="BK8">
        <f>SUMPRODUCT((M_BOM[Part Name]=$A8)*M_BOM[RM_Qty_Per_Batch]*IFERROR(INDEX(PP_Grid[#Data],M_BOM[PPGridRow],63),0))</f>
        <v/>
      </c>
      <c r="BL8">
        <f>SUMPRODUCT((M_BOM[Part Name]=$A8)*M_BOM[RM_Qty_Per_Batch]*IFERROR(INDEX(PP_Grid[#Data],M_BOM[PPGridRow],64),0))</f>
        <v/>
      </c>
      <c r="BM8">
        <f>SUMPRODUCT((M_BOM[Part Name]=$A8)*M_BOM[RM_Qty_Per_Batch]*IFERROR(INDEX(PP_Grid[#Data],M_BOM[PPGridRow],65),0))</f>
        <v/>
      </c>
      <c r="BN8">
        <f>SUMPRODUCT((M_BOM[Part Name]=$A8)*M_BOM[RM_Qty_Per_Batch]*IFERROR(INDEX(PP_Grid[#Data],M_BOM[PPGridRow],66),0))</f>
        <v/>
      </c>
      <c r="BO8">
        <f>SUMPRODUCT((M_BOM[Part Name]=$A8)*M_BOM[RM_Qty_Per_Batch]*IFERROR(INDEX(PP_Grid[#Data],M_BOM[PPGridRow],67),0))</f>
        <v/>
      </c>
      <c r="BP8">
        <f>SUMPRODUCT((M_BOM[Part Name]=$A8)*M_BOM[RM_Qty_Per_Batch]*IFERROR(INDEX(PP_Grid[#Data],M_BOM[PPGridRow],68),0))</f>
        <v/>
      </c>
      <c r="BQ8">
        <f>SUMPRODUCT((M_BOM[Part Name]=$A8)*M_BOM[RM_Qty_Per_Batch]*IFERROR(INDEX(PP_Grid[#Data],M_BOM[PPGridRow],69),0))</f>
        <v/>
      </c>
      <c r="BR8">
        <f>SUMPRODUCT((M_BOM[Part Name]=$A8)*M_BOM[RM_Qty_Per_Batch]*IFERROR(INDEX(PP_Grid[#Data],M_BOM[PPGridRow],70),0))</f>
        <v/>
      </c>
      <c r="BS8">
        <f>SUMPRODUCT((M_BOM[Part Name]=$A8)*M_BOM[RM_Qty_Per_Batch]*IFERROR(INDEX(PP_Grid[#Data],M_BOM[PPGridRow],71),0))</f>
        <v/>
      </c>
      <c r="BT8">
        <f>SUMPRODUCT((M_BOM[Part Name]=$A8)*M_BOM[RM_Qty_Per_Batch]*IFERROR(INDEX(PP_Grid[#Data],M_BOM[PPGridRow],72),0))</f>
        <v/>
      </c>
      <c r="BU8">
        <f>SUMPRODUCT((M_BOM[Part Name]=$A8)*M_BOM[RM_Qty_Per_Batch]*IFERROR(INDEX(PP_Grid[#Data],M_BOM[PPGridRow],73),0))</f>
        <v/>
      </c>
      <c r="BV8">
        <f>SUMPRODUCT((M_BOM[Part Name]=$A8)*M_BOM[RM_Qty_Per_Batch]*IFERROR(INDEX(PP_Grid[#Data],M_BOM[PPGridRow],74),0))</f>
        <v/>
      </c>
      <c r="BW8">
        <f>SUMPRODUCT((M_BOM[Part Name]=$A8)*M_BOM[RM_Qty_Per_Batch]*IFERROR(INDEX(PP_Grid[#Data],M_BOM[PPGridRow],75),0))</f>
        <v/>
      </c>
      <c r="BX8">
        <f>SUMPRODUCT((M_BOM[Part Name]=$A8)*M_BOM[RM_Qty_Per_Batch]*IFERROR(INDEX(PP_Grid[#Data],M_BOM[PPGridRow],76),0))</f>
        <v/>
      </c>
      <c r="BY8">
        <f>SUMPRODUCT((M_BOM[Part Name]=$A8)*M_BOM[RM_Qty_Per_Batch]*IFERROR(INDEX(PP_Grid[#Data],M_BOM[PPGridRow],77),0))</f>
        <v/>
      </c>
      <c r="BZ8">
        <f>SUMPRODUCT((M_BOM[Part Name]=$A8)*M_BOM[RM_Qty_Per_Batch]*IFERROR(INDEX(PP_Grid[#Data],M_BOM[PPGridRow],78),0))</f>
        <v/>
      </c>
      <c r="CA8">
        <f>SUMPRODUCT((M_BOM[Part Name]=$A8)*M_BOM[RM_Qty_Per_Batch]*IFERROR(INDEX(PP_Grid[#Data],M_BOM[PPGridRow],79),0))</f>
        <v/>
      </c>
      <c r="CB8">
        <f>SUMPRODUCT((M_BOM[Part Name]=$A8)*M_BOM[RM_Qty_Per_Batch]*IFERROR(INDEX(PP_Grid[#Data],M_BOM[PPGridRow],80),0))</f>
        <v/>
      </c>
      <c r="CC8">
        <f>SUMPRODUCT((M_BOM[Part Name]=$A8)*M_BOM[RM_Qty_Per_Batch]*IFERROR(INDEX(PP_Grid[#Data],M_BOM[PPGridRow],81),0))</f>
        <v/>
      </c>
      <c r="CD8">
        <f>SUMPRODUCT((M_BOM[Part Name]=$A8)*M_BOM[RM_Qty_Per_Batch]*IFERROR(INDEX(PP_Grid[#Data],M_BOM[PPGridRow],82),0))</f>
        <v/>
      </c>
      <c r="CE8">
        <f>SUMPRODUCT((M_BOM[Part Name]=$A8)*M_BOM[RM_Qty_Per_Batch]*IFERROR(INDEX(PP_Grid[#Data],M_BOM[PPGridRow],83),0))</f>
        <v/>
      </c>
      <c r="CF8">
        <f>SUMPRODUCT((M_BOM[Part Name]=$A8)*M_BOM[RM_Qty_Per_Batch]*IFERROR(INDEX(PP_Grid[#Data],M_BOM[PPGridRow],84),0))</f>
        <v/>
      </c>
      <c r="CG8">
        <f>SUMPRODUCT((M_BOM[Part Name]=$A8)*M_BOM[RM_Qty_Per_Batch]*IFERROR(INDEX(PP_Grid[#Data],M_BOM[PPGridRow],85),0))</f>
        <v/>
      </c>
      <c r="CH8">
        <f>SUMPRODUCT((M_BOM[Part Name]=$A8)*M_BOM[RM_Qty_Per_Batch]*IFERROR(INDEX(PP_Grid[#Data],M_BOM[PPGridRow],86),0))</f>
        <v/>
      </c>
      <c r="CI8">
        <f>SUMPRODUCT((M_BOM[Part Name]=$A8)*M_BOM[RM_Qty_Per_Batch]*IFERROR(INDEX(PP_Grid[#Data],M_BOM[PPGridRow],87),0))</f>
        <v/>
      </c>
      <c r="CJ8">
        <f>SUMPRODUCT((M_BOM[Part Name]=$A8)*M_BOM[RM_Qty_Per_Batch]*IFERROR(INDEX(PP_Grid[#Data],M_BOM[PPGridRow],88),0))</f>
        <v/>
      </c>
      <c r="CK8">
        <f>SUMPRODUCT((M_BOM[Part Name]=$A8)*M_BOM[RM_Qty_Per_Batch]*IFERROR(INDEX(PP_Grid[#Data],M_BOM[PPGridRow],89),0))</f>
        <v/>
      </c>
      <c r="CL8">
        <f>SUMPRODUCT((M_BOM[Part Name]=$A8)*M_BOM[RM_Qty_Per_Batch]*IFERROR(INDEX(PP_Grid[#Data],M_BOM[PPGridRow],90),0))</f>
        <v/>
      </c>
      <c r="CM8">
        <f>SUMPRODUCT((M_BOM[Part Name]=$A8)*M_BOM[RM_Qty_Per_Batch]*IFERROR(INDEX(PP_Grid[#Data],M_BOM[PPGridRow],91),0))</f>
        <v/>
      </c>
      <c r="CN8">
        <f>SUMPRODUCT((M_BOM[Part Name]=$A8)*M_BOM[RM_Qty_Per_Batch]*IFERROR(INDEX(PP_Grid[#Data],M_BOM[PPGridRow],92),0))</f>
        <v/>
      </c>
      <c r="CO8">
        <f>SUMPRODUCT((M_BOM[Part Name]=$A8)*M_BOM[RM_Qty_Per_Batch]*IFERROR(INDEX(PP_Grid[#Data],M_BOM[PPGridRow],93),0))</f>
        <v/>
      </c>
      <c r="CP8">
        <f>SUMPRODUCT((M_BOM[Part Name]=$A8)*M_BOM[RM_Qty_Per_Batch]*IFERROR(INDEX(PP_Grid[#Data],M_BOM[PPGridRow],94),0))</f>
        <v/>
      </c>
      <c r="CQ8">
        <f>SUMPRODUCT((M_BOM[Part Name]=$A8)*M_BOM[RM_Qty_Per_Batch]*IFERROR(INDEX(PP_Grid[#Data],M_BOM[PPGridRow],95),0))</f>
        <v/>
      </c>
      <c r="CR8">
        <f>SUMPRODUCT((M_BOM[Part Name]=$A8)*M_BOM[RM_Qty_Per_Batch]*IFERROR(INDEX(PP_Grid[#Data],M_BOM[PPGridRow],96),0))</f>
        <v/>
      </c>
      <c r="CS8">
        <f>SUMPRODUCT((M_BOM[Part Name]=$A8)*M_BOM[RM_Qty_Per_Batch]*IFERROR(INDEX(PP_Grid[#Data],M_BOM[PPGridRow],97),0))</f>
        <v/>
      </c>
      <c r="CT8">
        <f>SUMPRODUCT((M_BOM[Part Name]=$A8)*M_BOM[RM_Qty_Per_Batch]*IFERROR(INDEX(PP_Grid[#Data],M_BOM[PPGridRow],98),0))</f>
        <v/>
      </c>
      <c r="CU8">
        <f>SUMPRODUCT((M_BOM[Part Name]=$A8)*M_BOM[RM_Qty_Per_Batch]*IFERROR(INDEX(PP_Grid[#Data],M_BOM[PPGridRow],99),0))</f>
        <v/>
      </c>
      <c r="CV8">
        <f>SUMPRODUCT((M_BOM[Part Name]=$A8)*M_BOM[RM_Qty_Per_Batch]*IFERROR(INDEX(PP_Grid[#Data],M_BOM[PPGridRow],100),0))</f>
        <v/>
      </c>
      <c r="CW8">
        <f>SUMPRODUCT((M_BOM[Part Name]=$A8)*M_BOM[RM_Qty_Per_Batch]*IFERROR(INDEX(PP_Grid[#Data],M_BOM[PPGridRow],101),0))</f>
        <v/>
      </c>
      <c r="CX8">
        <f>SUMPRODUCT((M_BOM[Part Name]=$A8)*M_BOM[RM_Qty_Per_Batch]*IFERROR(INDEX(PP_Grid[#Data],M_BOM[PPGridRow],102),0))</f>
        <v/>
      </c>
      <c r="CY8">
        <f>SUMPRODUCT((M_BOM[Part Name]=$A8)*M_BOM[RM_Qty_Per_Batch]*IFERROR(INDEX(PP_Grid[#Data],M_BOM[PPGridRow],103),0))</f>
        <v/>
      </c>
      <c r="CZ8">
        <f>SUMPRODUCT((M_BOM[Part Name]=$A8)*M_BOM[RM_Qty_Per_Batch]*IFERROR(INDEX(PP_Grid[#Data],M_BOM[PPGridRow],104),0))</f>
        <v/>
      </c>
      <c r="DA8">
        <f>SUMPRODUCT((M_BOM[Part Name]=$A8)*M_BOM[RM_Qty_Per_Batch]*IFERROR(INDEX(PP_Grid[#Data],M_BOM[PPGridRow],105),0))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SUMPRODUCT((M_BOM[Part Name]=$A9)*M_BOM[RM_Qty_Per_Batch]*IFERROR(INDEX(PP_Grid[#Data],M_BOM[PPGridRow],2),0))</f>
        <v/>
      </c>
      <c r="C9">
        <f>SUMPRODUCT((M_BOM[Part Name]=$A9)*M_BOM[RM_Qty_Per_Batch]*IFERROR(INDEX(PP_Grid[#Data],M_BOM[PPGridRow],3),0))</f>
        <v/>
      </c>
      <c r="D9">
        <f>SUMPRODUCT((M_BOM[Part Name]=$A9)*M_BOM[RM_Qty_Per_Batch]*IFERROR(INDEX(PP_Grid[#Data],M_BOM[PPGridRow],4),0))</f>
        <v/>
      </c>
      <c r="E9">
        <f>SUMPRODUCT((M_BOM[Part Name]=$A9)*M_BOM[RM_Qty_Per_Batch]*IFERROR(INDEX(PP_Grid[#Data],M_BOM[PPGridRow],5),0))</f>
        <v/>
      </c>
      <c r="F9">
        <f>SUMPRODUCT((M_BOM[Part Name]=$A9)*M_BOM[RM_Qty_Per_Batch]*IFERROR(INDEX(PP_Grid[#Data],M_BOM[PPGridRow],6),0))</f>
        <v/>
      </c>
      <c r="G9">
        <f>SUMPRODUCT((M_BOM[Part Name]=$A9)*M_BOM[RM_Qty_Per_Batch]*IFERROR(INDEX(PP_Grid[#Data],M_BOM[PPGridRow],7),0))</f>
        <v/>
      </c>
      <c r="H9">
        <f>SUMPRODUCT((M_BOM[Part Name]=$A9)*M_BOM[RM_Qty_Per_Batch]*IFERROR(INDEX(PP_Grid[#Data],M_BOM[PPGridRow],8),0))</f>
        <v/>
      </c>
      <c r="I9">
        <f>SUMPRODUCT((M_BOM[Part Name]=$A9)*M_BOM[RM_Qty_Per_Batch]*IFERROR(INDEX(PP_Grid[#Data],M_BOM[PPGridRow],9),0))</f>
        <v/>
      </c>
      <c r="J9">
        <f>SUMPRODUCT((M_BOM[Part Name]=$A9)*M_BOM[RM_Qty_Per_Batch]*IFERROR(INDEX(PP_Grid[#Data],M_BOM[PPGridRow],10),0))</f>
        <v/>
      </c>
      <c r="K9">
        <f>SUMPRODUCT((M_BOM[Part Name]=$A9)*M_BOM[RM_Qty_Per_Batch]*IFERROR(INDEX(PP_Grid[#Data],M_BOM[PPGridRow],11),0))</f>
        <v/>
      </c>
      <c r="L9">
        <f>SUMPRODUCT((M_BOM[Part Name]=$A9)*M_BOM[RM_Qty_Per_Batch]*IFERROR(INDEX(PP_Grid[#Data],M_BOM[PPGridRow],12),0))</f>
        <v/>
      </c>
      <c r="M9">
        <f>SUMPRODUCT((M_BOM[Part Name]=$A9)*M_BOM[RM_Qty_Per_Batch]*IFERROR(INDEX(PP_Grid[#Data],M_BOM[PPGridRow],13),0))</f>
        <v/>
      </c>
      <c r="N9">
        <f>SUMPRODUCT((M_BOM[Part Name]=$A9)*M_BOM[RM_Qty_Per_Batch]*IFERROR(INDEX(PP_Grid[#Data],M_BOM[PPGridRow],14),0))</f>
        <v/>
      </c>
      <c r="O9">
        <f>SUMPRODUCT((M_BOM[Part Name]=$A9)*M_BOM[RM_Qty_Per_Batch]*IFERROR(INDEX(PP_Grid[#Data],M_BOM[PPGridRow],15),0))</f>
        <v/>
      </c>
      <c r="P9">
        <f>SUMPRODUCT((M_BOM[Part Name]=$A9)*M_BOM[RM_Qty_Per_Batch]*IFERROR(INDEX(PP_Grid[#Data],M_BOM[PPGridRow],16),0))</f>
        <v/>
      </c>
      <c r="Q9">
        <f>SUMPRODUCT((M_BOM[Part Name]=$A9)*M_BOM[RM_Qty_Per_Batch]*IFERROR(INDEX(PP_Grid[#Data],M_BOM[PPGridRow],17),0))</f>
        <v/>
      </c>
      <c r="R9">
        <f>SUMPRODUCT((M_BOM[Part Name]=$A9)*M_BOM[RM_Qty_Per_Batch]*IFERROR(INDEX(PP_Grid[#Data],M_BOM[PPGridRow],18),0))</f>
        <v/>
      </c>
      <c r="S9">
        <f>SUMPRODUCT((M_BOM[Part Name]=$A9)*M_BOM[RM_Qty_Per_Batch]*IFERROR(INDEX(PP_Grid[#Data],M_BOM[PPGridRow],19),0))</f>
        <v/>
      </c>
      <c r="T9">
        <f>SUMPRODUCT((M_BOM[Part Name]=$A9)*M_BOM[RM_Qty_Per_Batch]*IFERROR(INDEX(PP_Grid[#Data],M_BOM[PPGridRow],20),0))</f>
        <v/>
      </c>
      <c r="U9">
        <f>SUMPRODUCT((M_BOM[Part Name]=$A9)*M_BOM[RM_Qty_Per_Batch]*IFERROR(INDEX(PP_Grid[#Data],M_BOM[PPGridRow],21),0))</f>
        <v/>
      </c>
      <c r="V9">
        <f>SUMPRODUCT((M_BOM[Part Name]=$A9)*M_BOM[RM_Qty_Per_Batch]*IFERROR(INDEX(PP_Grid[#Data],M_BOM[PPGridRow],22),0))</f>
        <v/>
      </c>
      <c r="W9">
        <f>SUMPRODUCT((M_BOM[Part Name]=$A9)*M_BOM[RM_Qty_Per_Batch]*IFERROR(INDEX(PP_Grid[#Data],M_BOM[PPGridRow],23),0))</f>
        <v/>
      </c>
      <c r="X9">
        <f>SUMPRODUCT((M_BOM[Part Name]=$A9)*M_BOM[RM_Qty_Per_Batch]*IFERROR(INDEX(PP_Grid[#Data],M_BOM[PPGridRow],24),0))</f>
        <v/>
      </c>
      <c r="Y9">
        <f>SUMPRODUCT((M_BOM[Part Name]=$A9)*M_BOM[RM_Qty_Per_Batch]*IFERROR(INDEX(PP_Grid[#Data],M_BOM[PPGridRow],25),0))</f>
        <v/>
      </c>
      <c r="Z9">
        <f>SUMPRODUCT((M_BOM[Part Name]=$A9)*M_BOM[RM_Qty_Per_Batch]*IFERROR(INDEX(PP_Grid[#Data],M_BOM[PPGridRow],26),0))</f>
        <v/>
      </c>
      <c r="AA9">
        <f>SUMPRODUCT((M_BOM[Part Name]=$A9)*M_BOM[RM_Qty_Per_Batch]*IFERROR(INDEX(PP_Grid[#Data],M_BOM[PPGridRow],27),0))</f>
        <v/>
      </c>
      <c r="AB9">
        <f>SUMPRODUCT((M_BOM[Part Name]=$A9)*M_BOM[RM_Qty_Per_Batch]*IFERROR(INDEX(PP_Grid[#Data],M_BOM[PPGridRow],28),0))</f>
        <v/>
      </c>
      <c r="AC9">
        <f>SUMPRODUCT((M_BOM[Part Name]=$A9)*M_BOM[RM_Qty_Per_Batch]*IFERROR(INDEX(PP_Grid[#Data],M_BOM[PPGridRow],29),0))</f>
        <v/>
      </c>
      <c r="AD9">
        <f>SUMPRODUCT((M_BOM[Part Name]=$A9)*M_BOM[RM_Qty_Per_Batch]*IFERROR(INDEX(PP_Grid[#Data],M_BOM[PPGridRow],30),0))</f>
        <v/>
      </c>
      <c r="AE9">
        <f>SUMPRODUCT((M_BOM[Part Name]=$A9)*M_BOM[RM_Qty_Per_Batch]*IFERROR(INDEX(PP_Grid[#Data],M_BOM[PPGridRow],31),0))</f>
        <v/>
      </c>
      <c r="AF9">
        <f>SUMPRODUCT((M_BOM[Part Name]=$A9)*M_BOM[RM_Qty_Per_Batch]*IFERROR(INDEX(PP_Grid[#Data],M_BOM[PPGridRow],32),0))</f>
        <v/>
      </c>
      <c r="AG9">
        <f>SUMPRODUCT((M_BOM[Part Name]=$A9)*M_BOM[RM_Qty_Per_Batch]*IFERROR(INDEX(PP_Grid[#Data],M_BOM[PPGridRow],33),0))</f>
        <v/>
      </c>
      <c r="AH9">
        <f>SUMPRODUCT((M_BOM[Part Name]=$A9)*M_BOM[RM_Qty_Per_Batch]*IFERROR(INDEX(PP_Grid[#Data],M_BOM[PPGridRow],34),0))</f>
        <v/>
      </c>
      <c r="AI9">
        <f>SUMPRODUCT((M_BOM[Part Name]=$A9)*M_BOM[RM_Qty_Per_Batch]*IFERROR(INDEX(PP_Grid[#Data],M_BOM[PPGridRow],35),0))</f>
        <v/>
      </c>
      <c r="AJ9">
        <f>SUMPRODUCT((M_BOM[Part Name]=$A9)*M_BOM[RM_Qty_Per_Batch]*IFERROR(INDEX(PP_Grid[#Data],M_BOM[PPGridRow],36),0))</f>
        <v/>
      </c>
      <c r="AK9">
        <f>SUMPRODUCT((M_BOM[Part Name]=$A9)*M_BOM[RM_Qty_Per_Batch]*IFERROR(INDEX(PP_Grid[#Data],M_BOM[PPGridRow],37),0))</f>
        <v/>
      </c>
      <c r="AL9">
        <f>SUMPRODUCT((M_BOM[Part Name]=$A9)*M_BOM[RM_Qty_Per_Batch]*IFERROR(INDEX(PP_Grid[#Data],M_BOM[PPGridRow],38),0))</f>
        <v/>
      </c>
      <c r="AM9">
        <f>SUMPRODUCT((M_BOM[Part Name]=$A9)*M_BOM[RM_Qty_Per_Batch]*IFERROR(INDEX(PP_Grid[#Data],M_BOM[PPGridRow],39),0))</f>
        <v/>
      </c>
      <c r="AN9">
        <f>SUMPRODUCT((M_BOM[Part Name]=$A9)*M_BOM[RM_Qty_Per_Batch]*IFERROR(INDEX(PP_Grid[#Data],M_BOM[PPGridRow],40),0))</f>
        <v/>
      </c>
      <c r="AO9">
        <f>SUMPRODUCT((M_BOM[Part Name]=$A9)*M_BOM[RM_Qty_Per_Batch]*IFERROR(INDEX(PP_Grid[#Data],M_BOM[PPGridRow],41),0))</f>
        <v/>
      </c>
      <c r="AP9">
        <f>SUMPRODUCT((M_BOM[Part Name]=$A9)*M_BOM[RM_Qty_Per_Batch]*IFERROR(INDEX(PP_Grid[#Data],M_BOM[PPGridRow],42),0))</f>
        <v/>
      </c>
      <c r="AQ9">
        <f>SUMPRODUCT((M_BOM[Part Name]=$A9)*M_BOM[RM_Qty_Per_Batch]*IFERROR(INDEX(PP_Grid[#Data],M_BOM[PPGridRow],43),0))</f>
        <v/>
      </c>
      <c r="AR9">
        <f>SUMPRODUCT((M_BOM[Part Name]=$A9)*M_BOM[RM_Qty_Per_Batch]*IFERROR(INDEX(PP_Grid[#Data],M_BOM[PPGridRow],44),0))</f>
        <v/>
      </c>
      <c r="AS9">
        <f>SUMPRODUCT((M_BOM[Part Name]=$A9)*M_BOM[RM_Qty_Per_Batch]*IFERROR(INDEX(PP_Grid[#Data],M_BOM[PPGridRow],45),0))</f>
        <v/>
      </c>
      <c r="AT9">
        <f>SUMPRODUCT((M_BOM[Part Name]=$A9)*M_BOM[RM_Qty_Per_Batch]*IFERROR(INDEX(PP_Grid[#Data],M_BOM[PPGridRow],46),0))</f>
        <v/>
      </c>
      <c r="AU9">
        <f>SUMPRODUCT((M_BOM[Part Name]=$A9)*M_BOM[RM_Qty_Per_Batch]*IFERROR(INDEX(PP_Grid[#Data],M_BOM[PPGridRow],47),0))</f>
        <v/>
      </c>
      <c r="AV9">
        <f>SUMPRODUCT((M_BOM[Part Name]=$A9)*M_BOM[RM_Qty_Per_Batch]*IFERROR(INDEX(PP_Grid[#Data],M_BOM[PPGridRow],48),0))</f>
        <v/>
      </c>
      <c r="AW9">
        <f>SUMPRODUCT((M_BOM[Part Name]=$A9)*M_BOM[RM_Qty_Per_Batch]*IFERROR(INDEX(PP_Grid[#Data],M_BOM[PPGridRow],49),0))</f>
        <v/>
      </c>
      <c r="AX9">
        <f>SUMPRODUCT((M_BOM[Part Name]=$A9)*M_BOM[RM_Qty_Per_Batch]*IFERROR(INDEX(PP_Grid[#Data],M_BOM[PPGridRow],50),0))</f>
        <v/>
      </c>
      <c r="AY9">
        <f>SUMPRODUCT((M_BOM[Part Name]=$A9)*M_BOM[RM_Qty_Per_Batch]*IFERROR(INDEX(PP_Grid[#Data],M_BOM[PPGridRow],51),0))</f>
        <v/>
      </c>
      <c r="AZ9">
        <f>SUMPRODUCT((M_BOM[Part Name]=$A9)*M_BOM[RM_Qty_Per_Batch]*IFERROR(INDEX(PP_Grid[#Data],M_BOM[PPGridRow],52),0))</f>
        <v/>
      </c>
      <c r="BA9">
        <f>SUMPRODUCT((M_BOM[Part Name]=$A9)*M_BOM[RM_Qty_Per_Batch]*IFERROR(INDEX(PP_Grid[#Data],M_BOM[PPGridRow],53),0))</f>
        <v/>
      </c>
      <c r="BB9">
        <f>SUMPRODUCT((M_BOM[Part Name]=$A9)*M_BOM[RM_Qty_Per_Batch]*IFERROR(INDEX(PP_Grid[#Data],M_BOM[PPGridRow],54),0))</f>
        <v/>
      </c>
      <c r="BC9">
        <f>SUMPRODUCT((M_BOM[Part Name]=$A9)*M_BOM[RM_Qty_Per_Batch]*IFERROR(INDEX(PP_Grid[#Data],M_BOM[PPGridRow],55),0))</f>
        <v/>
      </c>
      <c r="BD9">
        <f>SUMPRODUCT((M_BOM[Part Name]=$A9)*M_BOM[RM_Qty_Per_Batch]*IFERROR(INDEX(PP_Grid[#Data],M_BOM[PPGridRow],56),0))</f>
        <v/>
      </c>
      <c r="BE9">
        <f>SUMPRODUCT((M_BOM[Part Name]=$A9)*M_BOM[RM_Qty_Per_Batch]*IFERROR(INDEX(PP_Grid[#Data],M_BOM[PPGridRow],57),0))</f>
        <v/>
      </c>
      <c r="BF9">
        <f>SUMPRODUCT((M_BOM[Part Name]=$A9)*M_BOM[RM_Qty_Per_Batch]*IFERROR(INDEX(PP_Grid[#Data],M_BOM[PPGridRow],58),0))</f>
        <v/>
      </c>
      <c r="BG9">
        <f>SUMPRODUCT((M_BOM[Part Name]=$A9)*M_BOM[RM_Qty_Per_Batch]*IFERROR(INDEX(PP_Grid[#Data],M_BOM[PPGridRow],59),0))</f>
        <v/>
      </c>
      <c r="BH9">
        <f>SUMPRODUCT((M_BOM[Part Name]=$A9)*M_BOM[RM_Qty_Per_Batch]*IFERROR(INDEX(PP_Grid[#Data],M_BOM[PPGridRow],60),0))</f>
        <v/>
      </c>
      <c r="BI9">
        <f>SUMPRODUCT((M_BOM[Part Name]=$A9)*M_BOM[RM_Qty_Per_Batch]*IFERROR(INDEX(PP_Grid[#Data],M_BOM[PPGridRow],61),0))</f>
        <v/>
      </c>
      <c r="BJ9">
        <f>SUMPRODUCT((M_BOM[Part Name]=$A9)*M_BOM[RM_Qty_Per_Batch]*IFERROR(INDEX(PP_Grid[#Data],M_BOM[PPGridRow],62),0))</f>
        <v/>
      </c>
      <c r="BK9">
        <f>SUMPRODUCT((M_BOM[Part Name]=$A9)*M_BOM[RM_Qty_Per_Batch]*IFERROR(INDEX(PP_Grid[#Data],M_BOM[PPGridRow],63),0))</f>
        <v/>
      </c>
      <c r="BL9">
        <f>SUMPRODUCT((M_BOM[Part Name]=$A9)*M_BOM[RM_Qty_Per_Batch]*IFERROR(INDEX(PP_Grid[#Data],M_BOM[PPGridRow],64),0))</f>
        <v/>
      </c>
      <c r="BM9">
        <f>SUMPRODUCT((M_BOM[Part Name]=$A9)*M_BOM[RM_Qty_Per_Batch]*IFERROR(INDEX(PP_Grid[#Data],M_BOM[PPGridRow],65),0))</f>
        <v/>
      </c>
      <c r="BN9">
        <f>SUMPRODUCT((M_BOM[Part Name]=$A9)*M_BOM[RM_Qty_Per_Batch]*IFERROR(INDEX(PP_Grid[#Data],M_BOM[PPGridRow],66),0))</f>
        <v/>
      </c>
      <c r="BO9">
        <f>SUMPRODUCT((M_BOM[Part Name]=$A9)*M_BOM[RM_Qty_Per_Batch]*IFERROR(INDEX(PP_Grid[#Data],M_BOM[PPGridRow],67),0))</f>
        <v/>
      </c>
      <c r="BP9">
        <f>SUMPRODUCT((M_BOM[Part Name]=$A9)*M_BOM[RM_Qty_Per_Batch]*IFERROR(INDEX(PP_Grid[#Data],M_BOM[PPGridRow],68),0))</f>
        <v/>
      </c>
      <c r="BQ9">
        <f>SUMPRODUCT((M_BOM[Part Name]=$A9)*M_BOM[RM_Qty_Per_Batch]*IFERROR(INDEX(PP_Grid[#Data],M_BOM[PPGridRow],69),0))</f>
        <v/>
      </c>
      <c r="BR9">
        <f>SUMPRODUCT((M_BOM[Part Name]=$A9)*M_BOM[RM_Qty_Per_Batch]*IFERROR(INDEX(PP_Grid[#Data],M_BOM[PPGridRow],70),0))</f>
        <v/>
      </c>
      <c r="BS9">
        <f>SUMPRODUCT((M_BOM[Part Name]=$A9)*M_BOM[RM_Qty_Per_Batch]*IFERROR(INDEX(PP_Grid[#Data],M_BOM[PPGridRow],71),0))</f>
        <v/>
      </c>
      <c r="BT9">
        <f>SUMPRODUCT((M_BOM[Part Name]=$A9)*M_BOM[RM_Qty_Per_Batch]*IFERROR(INDEX(PP_Grid[#Data],M_BOM[PPGridRow],72),0))</f>
        <v/>
      </c>
      <c r="BU9">
        <f>SUMPRODUCT((M_BOM[Part Name]=$A9)*M_BOM[RM_Qty_Per_Batch]*IFERROR(INDEX(PP_Grid[#Data],M_BOM[PPGridRow],73),0))</f>
        <v/>
      </c>
      <c r="BV9">
        <f>SUMPRODUCT((M_BOM[Part Name]=$A9)*M_BOM[RM_Qty_Per_Batch]*IFERROR(INDEX(PP_Grid[#Data],M_BOM[PPGridRow],74),0))</f>
        <v/>
      </c>
      <c r="BW9">
        <f>SUMPRODUCT((M_BOM[Part Name]=$A9)*M_BOM[RM_Qty_Per_Batch]*IFERROR(INDEX(PP_Grid[#Data],M_BOM[PPGridRow],75),0))</f>
        <v/>
      </c>
      <c r="BX9">
        <f>SUMPRODUCT((M_BOM[Part Name]=$A9)*M_BOM[RM_Qty_Per_Batch]*IFERROR(INDEX(PP_Grid[#Data],M_BOM[PPGridRow],76),0))</f>
        <v/>
      </c>
      <c r="BY9">
        <f>SUMPRODUCT((M_BOM[Part Name]=$A9)*M_BOM[RM_Qty_Per_Batch]*IFERROR(INDEX(PP_Grid[#Data],M_BOM[PPGridRow],77),0))</f>
        <v/>
      </c>
      <c r="BZ9">
        <f>SUMPRODUCT((M_BOM[Part Name]=$A9)*M_BOM[RM_Qty_Per_Batch]*IFERROR(INDEX(PP_Grid[#Data],M_BOM[PPGridRow],78),0))</f>
        <v/>
      </c>
      <c r="CA9">
        <f>SUMPRODUCT((M_BOM[Part Name]=$A9)*M_BOM[RM_Qty_Per_Batch]*IFERROR(INDEX(PP_Grid[#Data],M_BOM[PPGridRow],79),0))</f>
        <v/>
      </c>
      <c r="CB9">
        <f>SUMPRODUCT((M_BOM[Part Name]=$A9)*M_BOM[RM_Qty_Per_Batch]*IFERROR(INDEX(PP_Grid[#Data],M_BOM[PPGridRow],80),0))</f>
        <v/>
      </c>
      <c r="CC9">
        <f>SUMPRODUCT((M_BOM[Part Name]=$A9)*M_BOM[RM_Qty_Per_Batch]*IFERROR(INDEX(PP_Grid[#Data],M_BOM[PPGridRow],81),0))</f>
        <v/>
      </c>
      <c r="CD9">
        <f>SUMPRODUCT((M_BOM[Part Name]=$A9)*M_BOM[RM_Qty_Per_Batch]*IFERROR(INDEX(PP_Grid[#Data],M_BOM[PPGridRow],82),0))</f>
        <v/>
      </c>
      <c r="CE9">
        <f>SUMPRODUCT((M_BOM[Part Name]=$A9)*M_BOM[RM_Qty_Per_Batch]*IFERROR(INDEX(PP_Grid[#Data],M_BOM[PPGridRow],83),0))</f>
        <v/>
      </c>
      <c r="CF9">
        <f>SUMPRODUCT((M_BOM[Part Name]=$A9)*M_BOM[RM_Qty_Per_Batch]*IFERROR(INDEX(PP_Grid[#Data],M_BOM[PPGridRow],84),0))</f>
        <v/>
      </c>
      <c r="CG9">
        <f>SUMPRODUCT((M_BOM[Part Name]=$A9)*M_BOM[RM_Qty_Per_Batch]*IFERROR(INDEX(PP_Grid[#Data],M_BOM[PPGridRow],85),0))</f>
        <v/>
      </c>
      <c r="CH9">
        <f>SUMPRODUCT((M_BOM[Part Name]=$A9)*M_BOM[RM_Qty_Per_Batch]*IFERROR(INDEX(PP_Grid[#Data],M_BOM[PPGridRow],86),0))</f>
        <v/>
      </c>
      <c r="CI9">
        <f>SUMPRODUCT((M_BOM[Part Name]=$A9)*M_BOM[RM_Qty_Per_Batch]*IFERROR(INDEX(PP_Grid[#Data],M_BOM[PPGridRow],87),0))</f>
        <v/>
      </c>
      <c r="CJ9">
        <f>SUMPRODUCT((M_BOM[Part Name]=$A9)*M_BOM[RM_Qty_Per_Batch]*IFERROR(INDEX(PP_Grid[#Data],M_BOM[PPGridRow],88),0))</f>
        <v/>
      </c>
      <c r="CK9">
        <f>SUMPRODUCT((M_BOM[Part Name]=$A9)*M_BOM[RM_Qty_Per_Batch]*IFERROR(INDEX(PP_Grid[#Data],M_BOM[PPGridRow],89),0))</f>
        <v/>
      </c>
      <c r="CL9">
        <f>SUMPRODUCT((M_BOM[Part Name]=$A9)*M_BOM[RM_Qty_Per_Batch]*IFERROR(INDEX(PP_Grid[#Data],M_BOM[PPGridRow],90),0))</f>
        <v/>
      </c>
      <c r="CM9">
        <f>SUMPRODUCT((M_BOM[Part Name]=$A9)*M_BOM[RM_Qty_Per_Batch]*IFERROR(INDEX(PP_Grid[#Data],M_BOM[PPGridRow],91),0))</f>
        <v/>
      </c>
      <c r="CN9">
        <f>SUMPRODUCT((M_BOM[Part Name]=$A9)*M_BOM[RM_Qty_Per_Batch]*IFERROR(INDEX(PP_Grid[#Data],M_BOM[PPGridRow],92),0))</f>
        <v/>
      </c>
      <c r="CO9">
        <f>SUMPRODUCT((M_BOM[Part Name]=$A9)*M_BOM[RM_Qty_Per_Batch]*IFERROR(INDEX(PP_Grid[#Data],M_BOM[PPGridRow],93),0))</f>
        <v/>
      </c>
      <c r="CP9">
        <f>SUMPRODUCT((M_BOM[Part Name]=$A9)*M_BOM[RM_Qty_Per_Batch]*IFERROR(INDEX(PP_Grid[#Data],M_BOM[PPGridRow],94),0))</f>
        <v/>
      </c>
      <c r="CQ9">
        <f>SUMPRODUCT((M_BOM[Part Name]=$A9)*M_BOM[RM_Qty_Per_Batch]*IFERROR(INDEX(PP_Grid[#Data],M_BOM[PPGridRow],95),0))</f>
        <v/>
      </c>
      <c r="CR9">
        <f>SUMPRODUCT((M_BOM[Part Name]=$A9)*M_BOM[RM_Qty_Per_Batch]*IFERROR(INDEX(PP_Grid[#Data],M_BOM[PPGridRow],96),0))</f>
        <v/>
      </c>
      <c r="CS9">
        <f>SUMPRODUCT((M_BOM[Part Name]=$A9)*M_BOM[RM_Qty_Per_Batch]*IFERROR(INDEX(PP_Grid[#Data],M_BOM[PPGridRow],97),0))</f>
        <v/>
      </c>
      <c r="CT9">
        <f>SUMPRODUCT((M_BOM[Part Name]=$A9)*M_BOM[RM_Qty_Per_Batch]*IFERROR(INDEX(PP_Grid[#Data],M_BOM[PPGridRow],98),0))</f>
        <v/>
      </c>
      <c r="CU9">
        <f>SUMPRODUCT((M_BOM[Part Name]=$A9)*M_BOM[RM_Qty_Per_Batch]*IFERROR(INDEX(PP_Grid[#Data],M_BOM[PPGridRow],99),0))</f>
        <v/>
      </c>
      <c r="CV9">
        <f>SUMPRODUCT((M_BOM[Part Name]=$A9)*M_BOM[RM_Qty_Per_Batch]*IFERROR(INDEX(PP_Grid[#Data],M_BOM[PPGridRow],100),0))</f>
        <v/>
      </c>
      <c r="CW9">
        <f>SUMPRODUCT((M_BOM[Part Name]=$A9)*M_BOM[RM_Qty_Per_Batch]*IFERROR(INDEX(PP_Grid[#Data],M_BOM[PPGridRow],101),0))</f>
        <v/>
      </c>
      <c r="CX9">
        <f>SUMPRODUCT((M_BOM[Part Name]=$A9)*M_BOM[RM_Qty_Per_Batch]*IFERROR(INDEX(PP_Grid[#Data],M_BOM[PPGridRow],102),0))</f>
        <v/>
      </c>
      <c r="CY9">
        <f>SUMPRODUCT((M_BOM[Part Name]=$A9)*M_BOM[RM_Qty_Per_Batch]*IFERROR(INDEX(PP_Grid[#Data],M_BOM[PPGridRow],103),0))</f>
        <v/>
      </c>
      <c r="CZ9">
        <f>SUMPRODUCT((M_BOM[Part Name]=$A9)*M_BOM[RM_Qty_Per_Batch]*IFERROR(INDEX(PP_Grid[#Data],M_BOM[PPGridRow],104),0))</f>
        <v/>
      </c>
      <c r="DA9">
        <f>SUMPRODUCT((M_BOM[Part Name]=$A9)*M_BOM[RM_Qty_Per_Batch]*IFERROR(INDEX(PP_Grid[#Data],M_BOM[PPGridRow],105),0))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SUMPRODUCT((M_BOM[Part Name]=$A10)*M_BOM[RM_Qty_Per_Batch]*IFERROR(INDEX(PP_Grid[#Data],M_BOM[PPGridRow],2),0))</f>
        <v/>
      </c>
      <c r="C10">
        <f>SUMPRODUCT((M_BOM[Part Name]=$A10)*M_BOM[RM_Qty_Per_Batch]*IFERROR(INDEX(PP_Grid[#Data],M_BOM[PPGridRow],3),0))</f>
        <v/>
      </c>
      <c r="D10">
        <f>SUMPRODUCT((M_BOM[Part Name]=$A10)*M_BOM[RM_Qty_Per_Batch]*IFERROR(INDEX(PP_Grid[#Data],M_BOM[PPGridRow],4),0))</f>
        <v/>
      </c>
      <c r="E10">
        <f>SUMPRODUCT((M_BOM[Part Name]=$A10)*M_BOM[RM_Qty_Per_Batch]*IFERROR(INDEX(PP_Grid[#Data],M_BOM[PPGridRow],5),0))</f>
        <v/>
      </c>
      <c r="F10">
        <f>SUMPRODUCT((M_BOM[Part Name]=$A10)*M_BOM[RM_Qty_Per_Batch]*IFERROR(INDEX(PP_Grid[#Data],M_BOM[PPGridRow],6),0))</f>
        <v/>
      </c>
      <c r="G10">
        <f>SUMPRODUCT((M_BOM[Part Name]=$A10)*M_BOM[RM_Qty_Per_Batch]*IFERROR(INDEX(PP_Grid[#Data],M_BOM[PPGridRow],7),0))</f>
        <v/>
      </c>
      <c r="H10">
        <f>SUMPRODUCT((M_BOM[Part Name]=$A10)*M_BOM[RM_Qty_Per_Batch]*IFERROR(INDEX(PP_Grid[#Data],M_BOM[PPGridRow],8),0))</f>
        <v/>
      </c>
      <c r="I10">
        <f>SUMPRODUCT((M_BOM[Part Name]=$A10)*M_BOM[RM_Qty_Per_Batch]*IFERROR(INDEX(PP_Grid[#Data],M_BOM[PPGridRow],9),0))</f>
        <v/>
      </c>
      <c r="J10">
        <f>SUMPRODUCT((M_BOM[Part Name]=$A10)*M_BOM[RM_Qty_Per_Batch]*IFERROR(INDEX(PP_Grid[#Data],M_BOM[PPGridRow],10),0))</f>
        <v/>
      </c>
      <c r="K10">
        <f>SUMPRODUCT((M_BOM[Part Name]=$A10)*M_BOM[RM_Qty_Per_Batch]*IFERROR(INDEX(PP_Grid[#Data],M_BOM[PPGridRow],11),0))</f>
        <v/>
      </c>
      <c r="L10">
        <f>SUMPRODUCT((M_BOM[Part Name]=$A10)*M_BOM[RM_Qty_Per_Batch]*IFERROR(INDEX(PP_Grid[#Data],M_BOM[PPGridRow],12),0))</f>
        <v/>
      </c>
      <c r="M10">
        <f>SUMPRODUCT((M_BOM[Part Name]=$A10)*M_BOM[RM_Qty_Per_Batch]*IFERROR(INDEX(PP_Grid[#Data],M_BOM[PPGridRow],13),0))</f>
        <v/>
      </c>
      <c r="N10">
        <f>SUMPRODUCT((M_BOM[Part Name]=$A10)*M_BOM[RM_Qty_Per_Batch]*IFERROR(INDEX(PP_Grid[#Data],M_BOM[PPGridRow],14),0))</f>
        <v/>
      </c>
      <c r="O10">
        <f>SUMPRODUCT((M_BOM[Part Name]=$A10)*M_BOM[RM_Qty_Per_Batch]*IFERROR(INDEX(PP_Grid[#Data],M_BOM[PPGridRow],15),0))</f>
        <v/>
      </c>
      <c r="P10">
        <f>SUMPRODUCT((M_BOM[Part Name]=$A10)*M_BOM[RM_Qty_Per_Batch]*IFERROR(INDEX(PP_Grid[#Data],M_BOM[PPGridRow],16),0))</f>
        <v/>
      </c>
      <c r="Q10">
        <f>SUMPRODUCT((M_BOM[Part Name]=$A10)*M_BOM[RM_Qty_Per_Batch]*IFERROR(INDEX(PP_Grid[#Data],M_BOM[PPGridRow],17),0))</f>
        <v/>
      </c>
      <c r="R10">
        <f>SUMPRODUCT((M_BOM[Part Name]=$A10)*M_BOM[RM_Qty_Per_Batch]*IFERROR(INDEX(PP_Grid[#Data],M_BOM[PPGridRow],18),0))</f>
        <v/>
      </c>
      <c r="S10">
        <f>SUMPRODUCT((M_BOM[Part Name]=$A10)*M_BOM[RM_Qty_Per_Batch]*IFERROR(INDEX(PP_Grid[#Data],M_BOM[PPGridRow],19),0))</f>
        <v/>
      </c>
      <c r="T10">
        <f>SUMPRODUCT((M_BOM[Part Name]=$A10)*M_BOM[RM_Qty_Per_Batch]*IFERROR(INDEX(PP_Grid[#Data],M_BOM[PPGridRow],20),0))</f>
        <v/>
      </c>
      <c r="U10">
        <f>SUMPRODUCT((M_BOM[Part Name]=$A10)*M_BOM[RM_Qty_Per_Batch]*IFERROR(INDEX(PP_Grid[#Data],M_BOM[PPGridRow],21),0))</f>
        <v/>
      </c>
      <c r="V10">
        <f>SUMPRODUCT((M_BOM[Part Name]=$A10)*M_BOM[RM_Qty_Per_Batch]*IFERROR(INDEX(PP_Grid[#Data],M_BOM[PPGridRow],22),0))</f>
        <v/>
      </c>
      <c r="W10">
        <f>SUMPRODUCT((M_BOM[Part Name]=$A10)*M_BOM[RM_Qty_Per_Batch]*IFERROR(INDEX(PP_Grid[#Data],M_BOM[PPGridRow],23),0))</f>
        <v/>
      </c>
      <c r="X10">
        <f>SUMPRODUCT((M_BOM[Part Name]=$A10)*M_BOM[RM_Qty_Per_Batch]*IFERROR(INDEX(PP_Grid[#Data],M_BOM[PPGridRow],24),0))</f>
        <v/>
      </c>
      <c r="Y10">
        <f>SUMPRODUCT((M_BOM[Part Name]=$A10)*M_BOM[RM_Qty_Per_Batch]*IFERROR(INDEX(PP_Grid[#Data],M_BOM[PPGridRow],25),0))</f>
        <v/>
      </c>
      <c r="Z10">
        <f>SUMPRODUCT((M_BOM[Part Name]=$A10)*M_BOM[RM_Qty_Per_Batch]*IFERROR(INDEX(PP_Grid[#Data],M_BOM[PPGridRow],26),0))</f>
        <v/>
      </c>
      <c r="AA10">
        <f>SUMPRODUCT((M_BOM[Part Name]=$A10)*M_BOM[RM_Qty_Per_Batch]*IFERROR(INDEX(PP_Grid[#Data],M_BOM[PPGridRow],27),0))</f>
        <v/>
      </c>
      <c r="AB10">
        <f>SUMPRODUCT((M_BOM[Part Name]=$A10)*M_BOM[RM_Qty_Per_Batch]*IFERROR(INDEX(PP_Grid[#Data],M_BOM[PPGridRow],28),0))</f>
        <v/>
      </c>
      <c r="AC10">
        <f>SUMPRODUCT((M_BOM[Part Name]=$A10)*M_BOM[RM_Qty_Per_Batch]*IFERROR(INDEX(PP_Grid[#Data],M_BOM[PPGridRow],29),0))</f>
        <v/>
      </c>
      <c r="AD10">
        <f>SUMPRODUCT((M_BOM[Part Name]=$A10)*M_BOM[RM_Qty_Per_Batch]*IFERROR(INDEX(PP_Grid[#Data],M_BOM[PPGridRow],30),0))</f>
        <v/>
      </c>
      <c r="AE10">
        <f>SUMPRODUCT((M_BOM[Part Name]=$A10)*M_BOM[RM_Qty_Per_Batch]*IFERROR(INDEX(PP_Grid[#Data],M_BOM[PPGridRow],31),0))</f>
        <v/>
      </c>
      <c r="AF10">
        <f>SUMPRODUCT((M_BOM[Part Name]=$A10)*M_BOM[RM_Qty_Per_Batch]*IFERROR(INDEX(PP_Grid[#Data],M_BOM[PPGridRow],32),0))</f>
        <v/>
      </c>
      <c r="AG10">
        <f>SUMPRODUCT((M_BOM[Part Name]=$A10)*M_BOM[RM_Qty_Per_Batch]*IFERROR(INDEX(PP_Grid[#Data],M_BOM[PPGridRow],33),0))</f>
        <v/>
      </c>
      <c r="AH10">
        <f>SUMPRODUCT((M_BOM[Part Name]=$A10)*M_BOM[RM_Qty_Per_Batch]*IFERROR(INDEX(PP_Grid[#Data],M_BOM[PPGridRow],34),0))</f>
        <v/>
      </c>
      <c r="AI10">
        <f>SUMPRODUCT((M_BOM[Part Name]=$A10)*M_BOM[RM_Qty_Per_Batch]*IFERROR(INDEX(PP_Grid[#Data],M_BOM[PPGridRow],35),0))</f>
        <v/>
      </c>
      <c r="AJ10">
        <f>SUMPRODUCT((M_BOM[Part Name]=$A10)*M_BOM[RM_Qty_Per_Batch]*IFERROR(INDEX(PP_Grid[#Data],M_BOM[PPGridRow],36),0))</f>
        <v/>
      </c>
      <c r="AK10">
        <f>SUMPRODUCT((M_BOM[Part Name]=$A10)*M_BOM[RM_Qty_Per_Batch]*IFERROR(INDEX(PP_Grid[#Data],M_BOM[PPGridRow],37),0))</f>
        <v/>
      </c>
      <c r="AL10">
        <f>SUMPRODUCT((M_BOM[Part Name]=$A10)*M_BOM[RM_Qty_Per_Batch]*IFERROR(INDEX(PP_Grid[#Data],M_BOM[PPGridRow],38),0))</f>
        <v/>
      </c>
      <c r="AM10">
        <f>SUMPRODUCT((M_BOM[Part Name]=$A10)*M_BOM[RM_Qty_Per_Batch]*IFERROR(INDEX(PP_Grid[#Data],M_BOM[PPGridRow],39),0))</f>
        <v/>
      </c>
      <c r="AN10">
        <f>SUMPRODUCT((M_BOM[Part Name]=$A10)*M_BOM[RM_Qty_Per_Batch]*IFERROR(INDEX(PP_Grid[#Data],M_BOM[PPGridRow],40),0))</f>
        <v/>
      </c>
      <c r="AO10">
        <f>SUMPRODUCT((M_BOM[Part Name]=$A10)*M_BOM[RM_Qty_Per_Batch]*IFERROR(INDEX(PP_Grid[#Data],M_BOM[PPGridRow],41),0))</f>
        <v/>
      </c>
      <c r="AP10">
        <f>SUMPRODUCT((M_BOM[Part Name]=$A10)*M_BOM[RM_Qty_Per_Batch]*IFERROR(INDEX(PP_Grid[#Data],M_BOM[PPGridRow],42),0))</f>
        <v/>
      </c>
      <c r="AQ10">
        <f>SUMPRODUCT((M_BOM[Part Name]=$A10)*M_BOM[RM_Qty_Per_Batch]*IFERROR(INDEX(PP_Grid[#Data],M_BOM[PPGridRow],43),0))</f>
        <v/>
      </c>
      <c r="AR10">
        <f>SUMPRODUCT((M_BOM[Part Name]=$A10)*M_BOM[RM_Qty_Per_Batch]*IFERROR(INDEX(PP_Grid[#Data],M_BOM[PPGridRow],44),0))</f>
        <v/>
      </c>
      <c r="AS10">
        <f>SUMPRODUCT((M_BOM[Part Name]=$A10)*M_BOM[RM_Qty_Per_Batch]*IFERROR(INDEX(PP_Grid[#Data],M_BOM[PPGridRow],45),0))</f>
        <v/>
      </c>
      <c r="AT10">
        <f>SUMPRODUCT((M_BOM[Part Name]=$A10)*M_BOM[RM_Qty_Per_Batch]*IFERROR(INDEX(PP_Grid[#Data],M_BOM[PPGridRow],46),0))</f>
        <v/>
      </c>
      <c r="AU10">
        <f>SUMPRODUCT((M_BOM[Part Name]=$A10)*M_BOM[RM_Qty_Per_Batch]*IFERROR(INDEX(PP_Grid[#Data],M_BOM[PPGridRow],47),0))</f>
        <v/>
      </c>
      <c r="AV10">
        <f>SUMPRODUCT((M_BOM[Part Name]=$A10)*M_BOM[RM_Qty_Per_Batch]*IFERROR(INDEX(PP_Grid[#Data],M_BOM[PPGridRow],48),0))</f>
        <v/>
      </c>
      <c r="AW10">
        <f>SUMPRODUCT((M_BOM[Part Name]=$A10)*M_BOM[RM_Qty_Per_Batch]*IFERROR(INDEX(PP_Grid[#Data],M_BOM[PPGridRow],49),0))</f>
        <v/>
      </c>
      <c r="AX10">
        <f>SUMPRODUCT((M_BOM[Part Name]=$A10)*M_BOM[RM_Qty_Per_Batch]*IFERROR(INDEX(PP_Grid[#Data],M_BOM[PPGridRow],50),0))</f>
        <v/>
      </c>
      <c r="AY10">
        <f>SUMPRODUCT((M_BOM[Part Name]=$A10)*M_BOM[RM_Qty_Per_Batch]*IFERROR(INDEX(PP_Grid[#Data],M_BOM[PPGridRow],51),0))</f>
        <v/>
      </c>
      <c r="AZ10">
        <f>SUMPRODUCT((M_BOM[Part Name]=$A10)*M_BOM[RM_Qty_Per_Batch]*IFERROR(INDEX(PP_Grid[#Data],M_BOM[PPGridRow],52),0))</f>
        <v/>
      </c>
      <c r="BA10">
        <f>SUMPRODUCT((M_BOM[Part Name]=$A10)*M_BOM[RM_Qty_Per_Batch]*IFERROR(INDEX(PP_Grid[#Data],M_BOM[PPGridRow],53),0))</f>
        <v/>
      </c>
      <c r="BB10">
        <f>SUMPRODUCT((M_BOM[Part Name]=$A10)*M_BOM[RM_Qty_Per_Batch]*IFERROR(INDEX(PP_Grid[#Data],M_BOM[PPGridRow],54),0))</f>
        <v/>
      </c>
      <c r="BC10">
        <f>SUMPRODUCT((M_BOM[Part Name]=$A10)*M_BOM[RM_Qty_Per_Batch]*IFERROR(INDEX(PP_Grid[#Data],M_BOM[PPGridRow],55),0))</f>
        <v/>
      </c>
      <c r="BD10">
        <f>SUMPRODUCT((M_BOM[Part Name]=$A10)*M_BOM[RM_Qty_Per_Batch]*IFERROR(INDEX(PP_Grid[#Data],M_BOM[PPGridRow],56),0))</f>
        <v/>
      </c>
      <c r="BE10">
        <f>SUMPRODUCT((M_BOM[Part Name]=$A10)*M_BOM[RM_Qty_Per_Batch]*IFERROR(INDEX(PP_Grid[#Data],M_BOM[PPGridRow],57),0))</f>
        <v/>
      </c>
      <c r="BF10">
        <f>SUMPRODUCT((M_BOM[Part Name]=$A10)*M_BOM[RM_Qty_Per_Batch]*IFERROR(INDEX(PP_Grid[#Data],M_BOM[PPGridRow],58),0))</f>
        <v/>
      </c>
      <c r="BG10">
        <f>SUMPRODUCT((M_BOM[Part Name]=$A10)*M_BOM[RM_Qty_Per_Batch]*IFERROR(INDEX(PP_Grid[#Data],M_BOM[PPGridRow],59),0))</f>
        <v/>
      </c>
      <c r="BH10">
        <f>SUMPRODUCT((M_BOM[Part Name]=$A10)*M_BOM[RM_Qty_Per_Batch]*IFERROR(INDEX(PP_Grid[#Data],M_BOM[PPGridRow],60),0))</f>
        <v/>
      </c>
      <c r="BI10">
        <f>SUMPRODUCT((M_BOM[Part Name]=$A10)*M_BOM[RM_Qty_Per_Batch]*IFERROR(INDEX(PP_Grid[#Data],M_BOM[PPGridRow],61),0))</f>
        <v/>
      </c>
      <c r="BJ10">
        <f>SUMPRODUCT((M_BOM[Part Name]=$A10)*M_BOM[RM_Qty_Per_Batch]*IFERROR(INDEX(PP_Grid[#Data],M_BOM[PPGridRow],62),0))</f>
        <v/>
      </c>
      <c r="BK10">
        <f>SUMPRODUCT((M_BOM[Part Name]=$A10)*M_BOM[RM_Qty_Per_Batch]*IFERROR(INDEX(PP_Grid[#Data],M_BOM[PPGridRow],63),0))</f>
        <v/>
      </c>
      <c r="BL10">
        <f>SUMPRODUCT((M_BOM[Part Name]=$A10)*M_BOM[RM_Qty_Per_Batch]*IFERROR(INDEX(PP_Grid[#Data],M_BOM[PPGridRow],64),0))</f>
        <v/>
      </c>
      <c r="BM10">
        <f>SUMPRODUCT((M_BOM[Part Name]=$A10)*M_BOM[RM_Qty_Per_Batch]*IFERROR(INDEX(PP_Grid[#Data],M_BOM[PPGridRow],65),0))</f>
        <v/>
      </c>
      <c r="BN10">
        <f>SUMPRODUCT((M_BOM[Part Name]=$A10)*M_BOM[RM_Qty_Per_Batch]*IFERROR(INDEX(PP_Grid[#Data],M_BOM[PPGridRow],66),0))</f>
        <v/>
      </c>
      <c r="BO10">
        <f>SUMPRODUCT((M_BOM[Part Name]=$A10)*M_BOM[RM_Qty_Per_Batch]*IFERROR(INDEX(PP_Grid[#Data],M_BOM[PPGridRow],67),0))</f>
        <v/>
      </c>
      <c r="BP10">
        <f>SUMPRODUCT((M_BOM[Part Name]=$A10)*M_BOM[RM_Qty_Per_Batch]*IFERROR(INDEX(PP_Grid[#Data],M_BOM[PPGridRow],68),0))</f>
        <v/>
      </c>
      <c r="BQ10">
        <f>SUMPRODUCT((M_BOM[Part Name]=$A10)*M_BOM[RM_Qty_Per_Batch]*IFERROR(INDEX(PP_Grid[#Data],M_BOM[PPGridRow],69),0))</f>
        <v/>
      </c>
      <c r="BR10">
        <f>SUMPRODUCT((M_BOM[Part Name]=$A10)*M_BOM[RM_Qty_Per_Batch]*IFERROR(INDEX(PP_Grid[#Data],M_BOM[PPGridRow],70),0))</f>
        <v/>
      </c>
      <c r="BS10">
        <f>SUMPRODUCT((M_BOM[Part Name]=$A10)*M_BOM[RM_Qty_Per_Batch]*IFERROR(INDEX(PP_Grid[#Data],M_BOM[PPGridRow],71),0))</f>
        <v/>
      </c>
      <c r="BT10">
        <f>SUMPRODUCT((M_BOM[Part Name]=$A10)*M_BOM[RM_Qty_Per_Batch]*IFERROR(INDEX(PP_Grid[#Data],M_BOM[PPGridRow],72),0))</f>
        <v/>
      </c>
      <c r="BU10">
        <f>SUMPRODUCT((M_BOM[Part Name]=$A10)*M_BOM[RM_Qty_Per_Batch]*IFERROR(INDEX(PP_Grid[#Data],M_BOM[PPGridRow],73),0))</f>
        <v/>
      </c>
      <c r="BV10">
        <f>SUMPRODUCT((M_BOM[Part Name]=$A10)*M_BOM[RM_Qty_Per_Batch]*IFERROR(INDEX(PP_Grid[#Data],M_BOM[PPGridRow],74),0))</f>
        <v/>
      </c>
      <c r="BW10">
        <f>SUMPRODUCT((M_BOM[Part Name]=$A10)*M_BOM[RM_Qty_Per_Batch]*IFERROR(INDEX(PP_Grid[#Data],M_BOM[PPGridRow],75),0))</f>
        <v/>
      </c>
      <c r="BX10">
        <f>SUMPRODUCT((M_BOM[Part Name]=$A10)*M_BOM[RM_Qty_Per_Batch]*IFERROR(INDEX(PP_Grid[#Data],M_BOM[PPGridRow],76),0))</f>
        <v/>
      </c>
      <c r="BY10">
        <f>SUMPRODUCT((M_BOM[Part Name]=$A10)*M_BOM[RM_Qty_Per_Batch]*IFERROR(INDEX(PP_Grid[#Data],M_BOM[PPGridRow],77),0))</f>
        <v/>
      </c>
      <c r="BZ10">
        <f>SUMPRODUCT((M_BOM[Part Name]=$A10)*M_BOM[RM_Qty_Per_Batch]*IFERROR(INDEX(PP_Grid[#Data],M_BOM[PPGridRow],78),0))</f>
        <v/>
      </c>
      <c r="CA10">
        <f>SUMPRODUCT((M_BOM[Part Name]=$A10)*M_BOM[RM_Qty_Per_Batch]*IFERROR(INDEX(PP_Grid[#Data],M_BOM[PPGridRow],79),0))</f>
        <v/>
      </c>
      <c r="CB10">
        <f>SUMPRODUCT((M_BOM[Part Name]=$A10)*M_BOM[RM_Qty_Per_Batch]*IFERROR(INDEX(PP_Grid[#Data],M_BOM[PPGridRow],80),0))</f>
        <v/>
      </c>
      <c r="CC10">
        <f>SUMPRODUCT((M_BOM[Part Name]=$A10)*M_BOM[RM_Qty_Per_Batch]*IFERROR(INDEX(PP_Grid[#Data],M_BOM[PPGridRow],81),0))</f>
        <v/>
      </c>
      <c r="CD10">
        <f>SUMPRODUCT((M_BOM[Part Name]=$A10)*M_BOM[RM_Qty_Per_Batch]*IFERROR(INDEX(PP_Grid[#Data],M_BOM[PPGridRow],82),0))</f>
        <v/>
      </c>
      <c r="CE10">
        <f>SUMPRODUCT((M_BOM[Part Name]=$A10)*M_BOM[RM_Qty_Per_Batch]*IFERROR(INDEX(PP_Grid[#Data],M_BOM[PPGridRow],83),0))</f>
        <v/>
      </c>
      <c r="CF10">
        <f>SUMPRODUCT((M_BOM[Part Name]=$A10)*M_BOM[RM_Qty_Per_Batch]*IFERROR(INDEX(PP_Grid[#Data],M_BOM[PPGridRow],84),0))</f>
        <v/>
      </c>
      <c r="CG10">
        <f>SUMPRODUCT((M_BOM[Part Name]=$A10)*M_BOM[RM_Qty_Per_Batch]*IFERROR(INDEX(PP_Grid[#Data],M_BOM[PPGridRow],85),0))</f>
        <v/>
      </c>
      <c r="CH10">
        <f>SUMPRODUCT((M_BOM[Part Name]=$A10)*M_BOM[RM_Qty_Per_Batch]*IFERROR(INDEX(PP_Grid[#Data],M_BOM[PPGridRow],86),0))</f>
        <v/>
      </c>
      <c r="CI10">
        <f>SUMPRODUCT((M_BOM[Part Name]=$A10)*M_BOM[RM_Qty_Per_Batch]*IFERROR(INDEX(PP_Grid[#Data],M_BOM[PPGridRow],87),0))</f>
        <v/>
      </c>
      <c r="CJ10">
        <f>SUMPRODUCT((M_BOM[Part Name]=$A10)*M_BOM[RM_Qty_Per_Batch]*IFERROR(INDEX(PP_Grid[#Data],M_BOM[PPGridRow],88),0))</f>
        <v/>
      </c>
      <c r="CK10">
        <f>SUMPRODUCT((M_BOM[Part Name]=$A10)*M_BOM[RM_Qty_Per_Batch]*IFERROR(INDEX(PP_Grid[#Data],M_BOM[PPGridRow],89),0))</f>
        <v/>
      </c>
      <c r="CL10">
        <f>SUMPRODUCT((M_BOM[Part Name]=$A10)*M_BOM[RM_Qty_Per_Batch]*IFERROR(INDEX(PP_Grid[#Data],M_BOM[PPGridRow],90),0))</f>
        <v/>
      </c>
      <c r="CM10">
        <f>SUMPRODUCT((M_BOM[Part Name]=$A10)*M_BOM[RM_Qty_Per_Batch]*IFERROR(INDEX(PP_Grid[#Data],M_BOM[PPGridRow],91),0))</f>
        <v/>
      </c>
      <c r="CN10">
        <f>SUMPRODUCT((M_BOM[Part Name]=$A10)*M_BOM[RM_Qty_Per_Batch]*IFERROR(INDEX(PP_Grid[#Data],M_BOM[PPGridRow],92),0))</f>
        <v/>
      </c>
      <c r="CO10">
        <f>SUMPRODUCT((M_BOM[Part Name]=$A10)*M_BOM[RM_Qty_Per_Batch]*IFERROR(INDEX(PP_Grid[#Data],M_BOM[PPGridRow],93),0))</f>
        <v/>
      </c>
      <c r="CP10">
        <f>SUMPRODUCT((M_BOM[Part Name]=$A10)*M_BOM[RM_Qty_Per_Batch]*IFERROR(INDEX(PP_Grid[#Data],M_BOM[PPGridRow],94),0))</f>
        <v/>
      </c>
      <c r="CQ10">
        <f>SUMPRODUCT((M_BOM[Part Name]=$A10)*M_BOM[RM_Qty_Per_Batch]*IFERROR(INDEX(PP_Grid[#Data],M_BOM[PPGridRow],95),0))</f>
        <v/>
      </c>
      <c r="CR10">
        <f>SUMPRODUCT((M_BOM[Part Name]=$A10)*M_BOM[RM_Qty_Per_Batch]*IFERROR(INDEX(PP_Grid[#Data],M_BOM[PPGridRow],96),0))</f>
        <v/>
      </c>
      <c r="CS10">
        <f>SUMPRODUCT((M_BOM[Part Name]=$A10)*M_BOM[RM_Qty_Per_Batch]*IFERROR(INDEX(PP_Grid[#Data],M_BOM[PPGridRow],97),0))</f>
        <v/>
      </c>
      <c r="CT10">
        <f>SUMPRODUCT((M_BOM[Part Name]=$A10)*M_BOM[RM_Qty_Per_Batch]*IFERROR(INDEX(PP_Grid[#Data],M_BOM[PPGridRow],98),0))</f>
        <v/>
      </c>
      <c r="CU10">
        <f>SUMPRODUCT((M_BOM[Part Name]=$A10)*M_BOM[RM_Qty_Per_Batch]*IFERROR(INDEX(PP_Grid[#Data],M_BOM[PPGridRow],99),0))</f>
        <v/>
      </c>
      <c r="CV10">
        <f>SUMPRODUCT((M_BOM[Part Name]=$A10)*M_BOM[RM_Qty_Per_Batch]*IFERROR(INDEX(PP_Grid[#Data],M_BOM[PPGridRow],100),0))</f>
        <v/>
      </c>
      <c r="CW10">
        <f>SUMPRODUCT((M_BOM[Part Name]=$A10)*M_BOM[RM_Qty_Per_Batch]*IFERROR(INDEX(PP_Grid[#Data],M_BOM[PPGridRow],101),0))</f>
        <v/>
      </c>
      <c r="CX10">
        <f>SUMPRODUCT((M_BOM[Part Name]=$A10)*M_BOM[RM_Qty_Per_Batch]*IFERROR(INDEX(PP_Grid[#Data],M_BOM[PPGridRow],102),0))</f>
        <v/>
      </c>
      <c r="CY10">
        <f>SUMPRODUCT((M_BOM[Part Name]=$A10)*M_BOM[RM_Qty_Per_Batch]*IFERROR(INDEX(PP_Grid[#Data],M_BOM[PPGridRow],103),0))</f>
        <v/>
      </c>
      <c r="CZ10">
        <f>SUMPRODUCT((M_BOM[Part Name]=$A10)*M_BOM[RM_Qty_Per_Batch]*IFERROR(INDEX(PP_Grid[#Data],M_BOM[PPGridRow],104),0))</f>
        <v/>
      </c>
      <c r="DA10">
        <f>SUMPRODUCT((M_BOM[Part Name]=$A10)*M_BOM[RM_Qty_Per_Batch]*IFERROR(INDEX(PP_Grid[#Data],M_BOM[PPGridRow],105),0))</f>
        <v/>
      </c>
    </row>
    <row r="11">
      <c r="A11" t="inlineStr">
        <is>
          <t>4HL</t>
        </is>
      </c>
      <c r="B11">
        <f>SUMPRODUCT((M_BOM[Part Name]=$A11)*M_BOM[RM_Qty_Per_Batch]*IFERROR(INDEX(PP_Grid[#Data],M_BOM[PPGridRow],2),0))</f>
        <v/>
      </c>
      <c r="C11">
        <f>SUMPRODUCT((M_BOM[Part Name]=$A11)*M_BOM[RM_Qty_Per_Batch]*IFERROR(INDEX(PP_Grid[#Data],M_BOM[PPGridRow],3),0))</f>
        <v/>
      </c>
      <c r="D11">
        <f>SUMPRODUCT((M_BOM[Part Name]=$A11)*M_BOM[RM_Qty_Per_Batch]*IFERROR(INDEX(PP_Grid[#Data],M_BOM[PPGridRow],4),0))</f>
        <v/>
      </c>
      <c r="E11">
        <f>SUMPRODUCT((M_BOM[Part Name]=$A11)*M_BOM[RM_Qty_Per_Batch]*IFERROR(INDEX(PP_Grid[#Data],M_BOM[PPGridRow],5),0))</f>
        <v/>
      </c>
      <c r="F11">
        <f>SUMPRODUCT((M_BOM[Part Name]=$A11)*M_BOM[RM_Qty_Per_Batch]*IFERROR(INDEX(PP_Grid[#Data],M_BOM[PPGridRow],6),0))</f>
        <v/>
      </c>
      <c r="G11">
        <f>SUMPRODUCT((M_BOM[Part Name]=$A11)*M_BOM[RM_Qty_Per_Batch]*IFERROR(INDEX(PP_Grid[#Data],M_BOM[PPGridRow],7),0))</f>
        <v/>
      </c>
      <c r="H11">
        <f>SUMPRODUCT((M_BOM[Part Name]=$A11)*M_BOM[RM_Qty_Per_Batch]*IFERROR(INDEX(PP_Grid[#Data],M_BOM[PPGridRow],8),0))</f>
        <v/>
      </c>
      <c r="I11">
        <f>SUMPRODUCT((M_BOM[Part Name]=$A11)*M_BOM[RM_Qty_Per_Batch]*IFERROR(INDEX(PP_Grid[#Data],M_BOM[PPGridRow],9),0))</f>
        <v/>
      </c>
      <c r="J11">
        <f>SUMPRODUCT((M_BOM[Part Name]=$A11)*M_BOM[RM_Qty_Per_Batch]*IFERROR(INDEX(PP_Grid[#Data],M_BOM[PPGridRow],10),0))</f>
        <v/>
      </c>
      <c r="K11">
        <f>SUMPRODUCT((M_BOM[Part Name]=$A11)*M_BOM[RM_Qty_Per_Batch]*IFERROR(INDEX(PP_Grid[#Data],M_BOM[PPGridRow],11),0))</f>
        <v/>
      </c>
      <c r="L11">
        <f>SUMPRODUCT((M_BOM[Part Name]=$A11)*M_BOM[RM_Qty_Per_Batch]*IFERROR(INDEX(PP_Grid[#Data],M_BOM[PPGridRow],12),0))</f>
        <v/>
      </c>
      <c r="M11">
        <f>SUMPRODUCT((M_BOM[Part Name]=$A11)*M_BOM[RM_Qty_Per_Batch]*IFERROR(INDEX(PP_Grid[#Data],M_BOM[PPGridRow],13),0))</f>
        <v/>
      </c>
      <c r="N11">
        <f>SUMPRODUCT((M_BOM[Part Name]=$A11)*M_BOM[RM_Qty_Per_Batch]*IFERROR(INDEX(PP_Grid[#Data],M_BOM[PPGridRow],14),0))</f>
        <v/>
      </c>
      <c r="O11">
        <f>SUMPRODUCT((M_BOM[Part Name]=$A11)*M_BOM[RM_Qty_Per_Batch]*IFERROR(INDEX(PP_Grid[#Data],M_BOM[PPGridRow],15),0))</f>
        <v/>
      </c>
      <c r="P11">
        <f>SUMPRODUCT((M_BOM[Part Name]=$A11)*M_BOM[RM_Qty_Per_Batch]*IFERROR(INDEX(PP_Grid[#Data],M_BOM[PPGridRow],16),0))</f>
        <v/>
      </c>
      <c r="Q11">
        <f>SUMPRODUCT((M_BOM[Part Name]=$A11)*M_BOM[RM_Qty_Per_Batch]*IFERROR(INDEX(PP_Grid[#Data],M_BOM[PPGridRow],17),0))</f>
        <v/>
      </c>
      <c r="R11">
        <f>SUMPRODUCT((M_BOM[Part Name]=$A11)*M_BOM[RM_Qty_Per_Batch]*IFERROR(INDEX(PP_Grid[#Data],M_BOM[PPGridRow],18),0))</f>
        <v/>
      </c>
      <c r="S11">
        <f>SUMPRODUCT((M_BOM[Part Name]=$A11)*M_BOM[RM_Qty_Per_Batch]*IFERROR(INDEX(PP_Grid[#Data],M_BOM[PPGridRow],19),0))</f>
        <v/>
      </c>
      <c r="T11">
        <f>SUMPRODUCT((M_BOM[Part Name]=$A11)*M_BOM[RM_Qty_Per_Batch]*IFERROR(INDEX(PP_Grid[#Data],M_BOM[PPGridRow],20),0))</f>
        <v/>
      </c>
      <c r="U11">
        <f>SUMPRODUCT((M_BOM[Part Name]=$A11)*M_BOM[RM_Qty_Per_Batch]*IFERROR(INDEX(PP_Grid[#Data],M_BOM[PPGridRow],21),0))</f>
        <v/>
      </c>
      <c r="V11">
        <f>SUMPRODUCT((M_BOM[Part Name]=$A11)*M_BOM[RM_Qty_Per_Batch]*IFERROR(INDEX(PP_Grid[#Data],M_BOM[PPGridRow],22),0))</f>
        <v/>
      </c>
      <c r="W11">
        <f>SUMPRODUCT((M_BOM[Part Name]=$A11)*M_BOM[RM_Qty_Per_Batch]*IFERROR(INDEX(PP_Grid[#Data],M_BOM[PPGridRow],23),0))</f>
        <v/>
      </c>
      <c r="X11">
        <f>SUMPRODUCT((M_BOM[Part Name]=$A11)*M_BOM[RM_Qty_Per_Batch]*IFERROR(INDEX(PP_Grid[#Data],M_BOM[PPGridRow],24),0))</f>
        <v/>
      </c>
      <c r="Y11">
        <f>SUMPRODUCT((M_BOM[Part Name]=$A11)*M_BOM[RM_Qty_Per_Batch]*IFERROR(INDEX(PP_Grid[#Data],M_BOM[PPGridRow],25),0))</f>
        <v/>
      </c>
      <c r="Z11">
        <f>SUMPRODUCT((M_BOM[Part Name]=$A11)*M_BOM[RM_Qty_Per_Batch]*IFERROR(INDEX(PP_Grid[#Data],M_BOM[PPGridRow],26),0))</f>
        <v/>
      </c>
      <c r="AA11">
        <f>SUMPRODUCT((M_BOM[Part Name]=$A11)*M_BOM[RM_Qty_Per_Batch]*IFERROR(INDEX(PP_Grid[#Data],M_BOM[PPGridRow],27),0))</f>
        <v/>
      </c>
      <c r="AB11">
        <f>SUMPRODUCT((M_BOM[Part Name]=$A11)*M_BOM[RM_Qty_Per_Batch]*IFERROR(INDEX(PP_Grid[#Data],M_BOM[PPGridRow],28),0))</f>
        <v/>
      </c>
      <c r="AC11">
        <f>SUMPRODUCT((M_BOM[Part Name]=$A11)*M_BOM[RM_Qty_Per_Batch]*IFERROR(INDEX(PP_Grid[#Data],M_BOM[PPGridRow],29),0))</f>
        <v/>
      </c>
      <c r="AD11">
        <f>SUMPRODUCT((M_BOM[Part Name]=$A11)*M_BOM[RM_Qty_Per_Batch]*IFERROR(INDEX(PP_Grid[#Data],M_BOM[PPGridRow],30),0))</f>
        <v/>
      </c>
      <c r="AE11">
        <f>SUMPRODUCT((M_BOM[Part Name]=$A11)*M_BOM[RM_Qty_Per_Batch]*IFERROR(INDEX(PP_Grid[#Data],M_BOM[PPGridRow],31),0))</f>
        <v/>
      </c>
      <c r="AF11">
        <f>SUMPRODUCT((M_BOM[Part Name]=$A11)*M_BOM[RM_Qty_Per_Batch]*IFERROR(INDEX(PP_Grid[#Data],M_BOM[PPGridRow],32),0))</f>
        <v/>
      </c>
      <c r="AG11">
        <f>SUMPRODUCT((M_BOM[Part Name]=$A11)*M_BOM[RM_Qty_Per_Batch]*IFERROR(INDEX(PP_Grid[#Data],M_BOM[PPGridRow],33),0))</f>
        <v/>
      </c>
      <c r="AH11">
        <f>SUMPRODUCT((M_BOM[Part Name]=$A11)*M_BOM[RM_Qty_Per_Batch]*IFERROR(INDEX(PP_Grid[#Data],M_BOM[PPGridRow],34),0))</f>
        <v/>
      </c>
      <c r="AI11">
        <f>SUMPRODUCT((M_BOM[Part Name]=$A11)*M_BOM[RM_Qty_Per_Batch]*IFERROR(INDEX(PP_Grid[#Data],M_BOM[PPGridRow],35),0))</f>
        <v/>
      </c>
      <c r="AJ11">
        <f>SUMPRODUCT((M_BOM[Part Name]=$A11)*M_BOM[RM_Qty_Per_Batch]*IFERROR(INDEX(PP_Grid[#Data],M_BOM[PPGridRow],36),0))</f>
        <v/>
      </c>
      <c r="AK11">
        <f>SUMPRODUCT((M_BOM[Part Name]=$A11)*M_BOM[RM_Qty_Per_Batch]*IFERROR(INDEX(PP_Grid[#Data],M_BOM[PPGridRow],37),0))</f>
        <v/>
      </c>
      <c r="AL11">
        <f>SUMPRODUCT((M_BOM[Part Name]=$A11)*M_BOM[RM_Qty_Per_Batch]*IFERROR(INDEX(PP_Grid[#Data],M_BOM[PPGridRow],38),0))</f>
        <v/>
      </c>
      <c r="AM11">
        <f>SUMPRODUCT((M_BOM[Part Name]=$A11)*M_BOM[RM_Qty_Per_Batch]*IFERROR(INDEX(PP_Grid[#Data],M_BOM[PPGridRow],39),0))</f>
        <v/>
      </c>
      <c r="AN11">
        <f>SUMPRODUCT((M_BOM[Part Name]=$A11)*M_BOM[RM_Qty_Per_Batch]*IFERROR(INDEX(PP_Grid[#Data],M_BOM[PPGridRow],40),0))</f>
        <v/>
      </c>
      <c r="AO11">
        <f>SUMPRODUCT((M_BOM[Part Name]=$A11)*M_BOM[RM_Qty_Per_Batch]*IFERROR(INDEX(PP_Grid[#Data],M_BOM[PPGridRow],41),0))</f>
        <v/>
      </c>
      <c r="AP11">
        <f>SUMPRODUCT((M_BOM[Part Name]=$A11)*M_BOM[RM_Qty_Per_Batch]*IFERROR(INDEX(PP_Grid[#Data],M_BOM[PPGridRow],42),0))</f>
        <v/>
      </c>
      <c r="AQ11">
        <f>SUMPRODUCT((M_BOM[Part Name]=$A11)*M_BOM[RM_Qty_Per_Batch]*IFERROR(INDEX(PP_Grid[#Data],M_BOM[PPGridRow],43),0))</f>
        <v/>
      </c>
      <c r="AR11">
        <f>SUMPRODUCT((M_BOM[Part Name]=$A11)*M_BOM[RM_Qty_Per_Batch]*IFERROR(INDEX(PP_Grid[#Data],M_BOM[PPGridRow],44),0))</f>
        <v/>
      </c>
      <c r="AS11">
        <f>SUMPRODUCT((M_BOM[Part Name]=$A11)*M_BOM[RM_Qty_Per_Batch]*IFERROR(INDEX(PP_Grid[#Data],M_BOM[PPGridRow],45),0))</f>
        <v/>
      </c>
      <c r="AT11">
        <f>SUMPRODUCT((M_BOM[Part Name]=$A11)*M_BOM[RM_Qty_Per_Batch]*IFERROR(INDEX(PP_Grid[#Data],M_BOM[PPGridRow],46),0))</f>
        <v/>
      </c>
      <c r="AU11">
        <f>SUMPRODUCT((M_BOM[Part Name]=$A11)*M_BOM[RM_Qty_Per_Batch]*IFERROR(INDEX(PP_Grid[#Data],M_BOM[PPGridRow],47),0))</f>
        <v/>
      </c>
      <c r="AV11">
        <f>SUMPRODUCT((M_BOM[Part Name]=$A11)*M_BOM[RM_Qty_Per_Batch]*IFERROR(INDEX(PP_Grid[#Data],M_BOM[PPGridRow],48),0))</f>
        <v/>
      </c>
      <c r="AW11">
        <f>SUMPRODUCT((M_BOM[Part Name]=$A11)*M_BOM[RM_Qty_Per_Batch]*IFERROR(INDEX(PP_Grid[#Data],M_BOM[PPGridRow],49),0))</f>
        <v/>
      </c>
      <c r="AX11">
        <f>SUMPRODUCT((M_BOM[Part Name]=$A11)*M_BOM[RM_Qty_Per_Batch]*IFERROR(INDEX(PP_Grid[#Data],M_BOM[PPGridRow],50),0))</f>
        <v/>
      </c>
      <c r="AY11">
        <f>SUMPRODUCT((M_BOM[Part Name]=$A11)*M_BOM[RM_Qty_Per_Batch]*IFERROR(INDEX(PP_Grid[#Data],M_BOM[PPGridRow],51),0))</f>
        <v/>
      </c>
      <c r="AZ11">
        <f>SUMPRODUCT((M_BOM[Part Name]=$A11)*M_BOM[RM_Qty_Per_Batch]*IFERROR(INDEX(PP_Grid[#Data],M_BOM[PPGridRow],52),0))</f>
        <v/>
      </c>
      <c r="BA11">
        <f>SUMPRODUCT((M_BOM[Part Name]=$A11)*M_BOM[RM_Qty_Per_Batch]*IFERROR(INDEX(PP_Grid[#Data],M_BOM[PPGridRow],53),0))</f>
        <v/>
      </c>
      <c r="BB11">
        <f>SUMPRODUCT((M_BOM[Part Name]=$A11)*M_BOM[RM_Qty_Per_Batch]*IFERROR(INDEX(PP_Grid[#Data],M_BOM[PPGridRow],54),0))</f>
        <v/>
      </c>
      <c r="BC11">
        <f>SUMPRODUCT((M_BOM[Part Name]=$A11)*M_BOM[RM_Qty_Per_Batch]*IFERROR(INDEX(PP_Grid[#Data],M_BOM[PPGridRow],55),0))</f>
        <v/>
      </c>
      <c r="BD11">
        <f>SUMPRODUCT((M_BOM[Part Name]=$A11)*M_BOM[RM_Qty_Per_Batch]*IFERROR(INDEX(PP_Grid[#Data],M_BOM[PPGridRow],56),0))</f>
        <v/>
      </c>
      <c r="BE11">
        <f>SUMPRODUCT((M_BOM[Part Name]=$A11)*M_BOM[RM_Qty_Per_Batch]*IFERROR(INDEX(PP_Grid[#Data],M_BOM[PPGridRow],57),0))</f>
        <v/>
      </c>
      <c r="BF11">
        <f>SUMPRODUCT((M_BOM[Part Name]=$A11)*M_BOM[RM_Qty_Per_Batch]*IFERROR(INDEX(PP_Grid[#Data],M_BOM[PPGridRow],58),0))</f>
        <v/>
      </c>
      <c r="BG11">
        <f>SUMPRODUCT((M_BOM[Part Name]=$A11)*M_BOM[RM_Qty_Per_Batch]*IFERROR(INDEX(PP_Grid[#Data],M_BOM[PPGridRow],59),0))</f>
        <v/>
      </c>
      <c r="BH11">
        <f>SUMPRODUCT((M_BOM[Part Name]=$A11)*M_BOM[RM_Qty_Per_Batch]*IFERROR(INDEX(PP_Grid[#Data],M_BOM[PPGridRow],60),0))</f>
        <v/>
      </c>
      <c r="BI11">
        <f>SUMPRODUCT((M_BOM[Part Name]=$A11)*M_BOM[RM_Qty_Per_Batch]*IFERROR(INDEX(PP_Grid[#Data],M_BOM[PPGridRow],61),0))</f>
        <v/>
      </c>
      <c r="BJ11">
        <f>SUMPRODUCT((M_BOM[Part Name]=$A11)*M_BOM[RM_Qty_Per_Batch]*IFERROR(INDEX(PP_Grid[#Data],M_BOM[PPGridRow],62),0))</f>
        <v/>
      </c>
      <c r="BK11">
        <f>SUMPRODUCT((M_BOM[Part Name]=$A11)*M_BOM[RM_Qty_Per_Batch]*IFERROR(INDEX(PP_Grid[#Data],M_BOM[PPGridRow],63),0))</f>
        <v/>
      </c>
      <c r="BL11">
        <f>SUMPRODUCT((M_BOM[Part Name]=$A11)*M_BOM[RM_Qty_Per_Batch]*IFERROR(INDEX(PP_Grid[#Data],M_BOM[PPGridRow],64),0))</f>
        <v/>
      </c>
      <c r="BM11">
        <f>SUMPRODUCT((M_BOM[Part Name]=$A11)*M_BOM[RM_Qty_Per_Batch]*IFERROR(INDEX(PP_Grid[#Data],M_BOM[PPGridRow],65),0))</f>
        <v/>
      </c>
      <c r="BN11">
        <f>SUMPRODUCT((M_BOM[Part Name]=$A11)*M_BOM[RM_Qty_Per_Batch]*IFERROR(INDEX(PP_Grid[#Data],M_BOM[PPGridRow],66),0))</f>
        <v/>
      </c>
      <c r="BO11">
        <f>SUMPRODUCT((M_BOM[Part Name]=$A11)*M_BOM[RM_Qty_Per_Batch]*IFERROR(INDEX(PP_Grid[#Data],M_BOM[PPGridRow],67),0))</f>
        <v/>
      </c>
      <c r="BP11">
        <f>SUMPRODUCT((M_BOM[Part Name]=$A11)*M_BOM[RM_Qty_Per_Batch]*IFERROR(INDEX(PP_Grid[#Data],M_BOM[PPGridRow],68),0))</f>
        <v/>
      </c>
      <c r="BQ11">
        <f>SUMPRODUCT((M_BOM[Part Name]=$A11)*M_BOM[RM_Qty_Per_Batch]*IFERROR(INDEX(PP_Grid[#Data],M_BOM[PPGridRow],69),0))</f>
        <v/>
      </c>
      <c r="BR11">
        <f>SUMPRODUCT((M_BOM[Part Name]=$A11)*M_BOM[RM_Qty_Per_Batch]*IFERROR(INDEX(PP_Grid[#Data],M_BOM[PPGridRow],70),0))</f>
        <v/>
      </c>
      <c r="BS11">
        <f>SUMPRODUCT((M_BOM[Part Name]=$A11)*M_BOM[RM_Qty_Per_Batch]*IFERROR(INDEX(PP_Grid[#Data],M_BOM[PPGridRow],71),0))</f>
        <v/>
      </c>
      <c r="BT11">
        <f>SUMPRODUCT((M_BOM[Part Name]=$A11)*M_BOM[RM_Qty_Per_Batch]*IFERROR(INDEX(PP_Grid[#Data],M_BOM[PPGridRow],72),0))</f>
        <v/>
      </c>
      <c r="BU11">
        <f>SUMPRODUCT((M_BOM[Part Name]=$A11)*M_BOM[RM_Qty_Per_Batch]*IFERROR(INDEX(PP_Grid[#Data],M_BOM[PPGridRow],73),0))</f>
        <v/>
      </c>
      <c r="BV11">
        <f>SUMPRODUCT((M_BOM[Part Name]=$A11)*M_BOM[RM_Qty_Per_Batch]*IFERROR(INDEX(PP_Grid[#Data],M_BOM[PPGridRow],74),0))</f>
        <v/>
      </c>
      <c r="BW11">
        <f>SUMPRODUCT((M_BOM[Part Name]=$A11)*M_BOM[RM_Qty_Per_Batch]*IFERROR(INDEX(PP_Grid[#Data],M_BOM[PPGridRow],75),0))</f>
        <v/>
      </c>
      <c r="BX11">
        <f>SUMPRODUCT((M_BOM[Part Name]=$A11)*M_BOM[RM_Qty_Per_Batch]*IFERROR(INDEX(PP_Grid[#Data],M_BOM[PPGridRow],76),0))</f>
        <v/>
      </c>
      <c r="BY11">
        <f>SUMPRODUCT((M_BOM[Part Name]=$A11)*M_BOM[RM_Qty_Per_Batch]*IFERROR(INDEX(PP_Grid[#Data],M_BOM[PPGridRow],77),0))</f>
        <v/>
      </c>
      <c r="BZ11">
        <f>SUMPRODUCT((M_BOM[Part Name]=$A11)*M_BOM[RM_Qty_Per_Batch]*IFERROR(INDEX(PP_Grid[#Data],M_BOM[PPGridRow],78),0))</f>
        <v/>
      </c>
      <c r="CA11">
        <f>SUMPRODUCT((M_BOM[Part Name]=$A11)*M_BOM[RM_Qty_Per_Batch]*IFERROR(INDEX(PP_Grid[#Data],M_BOM[PPGridRow],79),0))</f>
        <v/>
      </c>
      <c r="CB11">
        <f>SUMPRODUCT((M_BOM[Part Name]=$A11)*M_BOM[RM_Qty_Per_Batch]*IFERROR(INDEX(PP_Grid[#Data],M_BOM[PPGridRow],80),0))</f>
        <v/>
      </c>
      <c r="CC11">
        <f>SUMPRODUCT((M_BOM[Part Name]=$A11)*M_BOM[RM_Qty_Per_Batch]*IFERROR(INDEX(PP_Grid[#Data],M_BOM[PPGridRow],81),0))</f>
        <v/>
      </c>
      <c r="CD11">
        <f>SUMPRODUCT((M_BOM[Part Name]=$A11)*M_BOM[RM_Qty_Per_Batch]*IFERROR(INDEX(PP_Grid[#Data],M_BOM[PPGridRow],82),0))</f>
        <v/>
      </c>
      <c r="CE11">
        <f>SUMPRODUCT((M_BOM[Part Name]=$A11)*M_BOM[RM_Qty_Per_Batch]*IFERROR(INDEX(PP_Grid[#Data],M_BOM[PPGridRow],83),0))</f>
        <v/>
      </c>
      <c r="CF11">
        <f>SUMPRODUCT((M_BOM[Part Name]=$A11)*M_BOM[RM_Qty_Per_Batch]*IFERROR(INDEX(PP_Grid[#Data],M_BOM[PPGridRow],84),0))</f>
        <v/>
      </c>
      <c r="CG11">
        <f>SUMPRODUCT((M_BOM[Part Name]=$A11)*M_BOM[RM_Qty_Per_Batch]*IFERROR(INDEX(PP_Grid[#Data],M_BOM[PPGridRow],85),0))</f>
        <v/>
      </c>
      <c r="CH11">
        <f>SUMPRODUCT((M_BOM[Part Name]=$A11)*M_BOM[RM_Qty_Per_Batch]*IFERROR(INDEX(PP_Grid[#Data],M_BOM[PPGridRow],86),0))</f>
        <v/>
      </c>
      <c r="CI11">
        <f>SUMPRODUCT((M_BOM[Part Name]=$A11)*M_BOM[RM_Qty_Per_Batch]*IFERROR(INDEX(PP_Grid[#Data],M_BOM[PPGridRow],87),0))</f>
        <v/>
      </c>
      <c r="CJ11">
        <f>SUMPRODUCT((M_BOM[Part Name]=$A11)*M_BOM[RM_Qty_Per_Batch]*IFERROR(INDEX(PP_Grid[#Data],M_BOM[PPGridRow],88),0))</f>
        <v/>
      </c>
      <c r="CK11">
        <f>SUMPRODUCT((M_BOM[Part Name]=$A11)*M_BOM[RM_Qty_Per_Batch]*IFERROR(INDEX(PP_Grid[#Data],M_BOM[PPGridRow],89),0))</f>
        <v/>
      </c>
      <c r="CL11">
        <f>SUMPRODUCT((M_BOM[Part Name]=$A11)*M_BOM[RM_Qty_Per_Batch]*IFERROR(INDEX(PP_Grid[#Data],M_BOM[PPGridRow],90),0))</f>
        <v/>
      </c>
      <c r="CM11">
        <f>SUMPRODUCT((M_BOM[Part Name]=$A11)*M_BOM[RM_Qty_Per_Batch]*IFERROR(INDEX(PP_Grid[#Data],M_BOM[PPGridRow],91),0))</f>
        <v/>
      </c>
      <c r="CN11">
        <f>SUMPRODUCT((M_BOM[Part Name]=$A11)*M_BOM[RM_Qty_Per_Batch]*IFERROR(INDEX(PP_Grid[#Data],M_BOM[PPGridRow],92),0))</f>
        <v/>
      </c>
      <c r="CO11">
        <f>SUMPRODUCT((M_BOM[Part Name]=$A11)*M_BOM[RM_Qty_Per_Batch]*IFERROR(INDEX(PP_Grid[#Data],M_BOM[PPGridRow],93),0))</f>
        <v/>
      </c>
      <c r="CP11">
        <f>SUMPRODUCT((M_BOM[Part Name]=$A11)*M_BOM[RM_Qty_Per_Batch]*IFERROR(INDEX(PP_Grid[#Data],M_BOM[PPGridRow],94),0))</f>
        <v/>
      </c>
      <c r="CQ11">
        <f>SUMPRODUCT((M_BOM[Part Name]=$A11)*M_BOM[RM_Qty_Per_Batch]*IFERROR(INDEX(PP_Grid[#Data],M_BOM[PPGridRow],95),0))</f>
        <v/>
      </c>
      <c r="CR11">
        <f>SUMPRODUCT((M_BOM[Part Name]=$A11)*M_BOM[RM_Qty_Per_Batch]*IFERROR(INDEX(PP_Grid[#Data],M_BOM[PPGridRow],96),0))</f>
        <v/>
      </c>
      <c r="CS11">
        <f>SUMPRODUCT((M_BOM[Part Name]=$A11)*M_BOM[RM_Qty_Per_Batch]*IFERROR(INDEX(PP_Grid[#Data],M_BOM[PPGridRow],97),0))</f>
        <v/>
      </c>
      <c r="CT11">
        <f>SUMPRODUCT((M_BOM[Part Name]=$A11)*M_BOM[RM_Qty_Per_Batch]*IFERROR(INDEX(PP_Grid[#Data],M_BOM[PPGridRow],98),0))</f>
        <v/>
      </c>
      <c r="CU11">
        <f>SUMPRODUCT((M_BOM[Part Name]=$A11)*M_BOM[RM_Qty_Per_Batch]*IFERROR(INDEX(PP_Grid[#Data],M_BOM[PPGridRow],99),0))</f>
        <v/>
      </c>
      <c r="CV11">
        <f>SUMPRODUCT((M_BOM[Part Name]=$A11)*M_BOM[RM_Qty_Per_Batch]*IFERROR(INDEX(PP_Grid[#Data],M_BOM[PPGridRow],100),0))</f>
        <v/>
      </c>
      <c r="CW11">
        <f>SUMPRODUCT((M_BOM[Part Name]=$A11)*M_BOM[RM_Qty_Per_Batch]*IFERROR(INDEX(PP_Grid[#Data],M_BOM[PPGridRow],101),0))</f>
        <v/>
      </c>
      <c r="CX11">
        <f>SUMPRODUCT((M_BOM[Part Name]=$A11)*M_BOM[RM_Qty_Per_Batch]*IFERROR(INDEX(PP_Grid[#Data],M_BOM[PPGridRow],102),0))</f>
        <v/>
      </c>
      <c r="CY11">
        <f>SUMPRODUCT((M_BOM[Part Name]=$A11)*M_BOM[RM_Qty_Per_Batch]*IFERROR(INDEX(PP_Grid[#Data],M_BOM[PPGridRow],103),0))</f>
        <v/>
      </c>
      <c r="CZ11">
        <f>SUMPRODUCT((M_BOM[Part Name]=$A11)*M_BOM[RM_Qty_Per_Batch]*IFERROR(INDEX(PP_Grid[#Data],M_BOM[PPGridRow],104),0))</f>
        <v/>
      </c>
      <c r="DA11">
        <f>SUMPRODUCT((M_BOM[Part Name]=$A11)*M_BOM[RM_Qty_Per_Batch]*IFERROR(INDEX(PP_Grid[#Data],M_BOM[PPGridRow],105),0))</f>
        <v/>
      </c>
    </row>
    <row r="12">
      <c r="A12" t="inlineStr">
        <is>
          <t>1EK</t>
        </is>
      </c>
      <c r="B12">
        <f>SUMPRODUCT((M_BOM[Part Name]=$A12)*M_BOM[RM_Qty_Per_Batch]*IFERROR(INDEX(PP_Grid[#Data],M_BOM[PPGridRow],2),0))</f>
        <v/>
      </c>
      <c r="C12">
        <f>SUMPRODUCT((M_BOM[Part Name]=$A12)*M_BOM[RM_Qty_Per_Batch]*IFERROR(INDEX(PP_Grid[#Data],M_BOM[PPGridRow],3),0))</f>
        <v/>
      </c>
      <c r="D12">
        <f>SUMPRODUCT((M_BOM[Part Name]=$A12)*M_BOM[RM_Qty_Per_Batch]*IFERROR(INDEX(PP_Grid[#Data],M_BOM[PPGridRow],4),0))</f>
        <v/>
      </c>
      <c r="E12">
        <f>SUMPRODUCT((M_BOM[Part Name]=$A12)*M_BOM[RM_Qty_Per_Batch]*IFERROR(INDEX(PP_Grid[#Data],M_BOM[PPGridRow],5),0))</f>
        <v/>
      </c>
      <c r="F12">
        <f>SUMPRODUCT((M_BOM[Part Name]=$A12)*M_BOM[RM_Qty_Per_Batch]*IFERROR(INDEX(PP_Grid[#Data],M_BOM[PPGridRow],6),0))</f>
        <v/>
      </c>
      <c r="G12">
        <f>SUMPRODUCT((M_BOM[Part Name]=$A12)*M_BOM[RM_Qty_Per_Batch]*IFERROR(INDEX(PP_Grid[#Data],M_BOM[PPGridRow],7),0))</f>
        <v/>
      </c>
      <c r="H12">
        <f>SUMPRODUCT((M_BOM[Part Name]=$A12)*M_BOM[RM_Qty_Per_Batch]*IFERROR(INDEX(PP_Grid[#Data],M_BOM[PPGridRow],8),0))</f>
        <v/>
      </c>
      <c r="I12">
        <f>SUMPRODUCT((M_BOM[Part Name]=$A12)*M_BOM[RM_Qty_Per_Batch]*IFERROR(INDEX(PP_Grid[#Data],M_BOM[PPGridRow],9),0))</f>
        <v/>
      </c>
      <c r="J12">
        <f>SUMPRODUCT((M_BOM[Part Name]=$A12)*M_BOM[RM_Qty_Per_Batch]*IFERROR(INDEX(PP_Grid[#Data],M_BOM[PPGridRow],10),0))</f>
        <v/>
      </c>
      <c r="K12">
        <f>SUMPRODUCT((M_BOM[Part Name]=$A12)*M_BOM[RM_Qty_Per_Batch]*IFERROR(INDEX(PP_Grid[#Data],M_BOM[PPGridRow],11),0))</f>
        <v/>
      </c>
      <c r="L12">
        <f>SUMPRODUCT((M_BOM[Part Name]=$A12)*M_BOM[RM_Qty_Per_Batch]*IFERROR(INDEX(PP_Grid[#Data],M_BOM[PPGridRow],12),0))</f>
        <v/>
      </c>
      <c r="M12">
        <f>SUMPRODUCT((M_BOM[Part Name]=$A12)*M_BOM[RM_Qty_Per_Batch]*IFERROR(INDEX(PP_Grid[#Data],M_BOM[PPGridRow],13),0))</f>
        <v/>
      </c>
      <c r="N12">
        <f>SUMPRODUCT((M_BOM[Part Name]=$A12)*M_BOM[RM_Qty_Per_Batch]*IFERROR(INDEX(PP_Grid[#Data],M_BOM[PPGridRow],14),0))</f>
        <v/>
      </c>
      <c r="O12">
        <f>SUMPRODUCT((M_BOM[Part Name]=$A12)*M_BOM[RM_Qty_Per_Batch]*IFERROR(INDEX(PP_Grid[#Data],M_BOM[PPGridRow],15),0))</f>
        <v/>
      </c>
      <c r="P12">
        <f>SUMPRODUCT((M_BOM[Part Name]=$A12)*M_BOM[RM_Qty_Per_Batch]*IFERROR(INDEX(PP_Grid[#Data],M_BOM[PPGridRow],16),0))</f>
        <v/>
      </c>
      <c r="Q12">
        <f>SUMPRODUCT((M_BOM[Part Name]=$A12)*M_BOM[RM_Qty_Per_Batch]*IFERROR(INDEX(PP_Grid[#Data],M_BOM[PPGridRow],17),0))</f>
        <v/>
      </c>
      <c r="R12">
        <f>SUMPRODUCT((M_BOM[Part Name]=$A12)*M_BOM[RM_Qty_Per_Batch]*IFERROR(INDEX(PP_Grid[#Data],M_BOM[PPGridRow],18),0))</f>
        <v/>
      </c>
      <c r="S12">
        <f>SUMPRODUCT((M_BOM[Part Name]=$A12)*M_BOM[RM_Qty_Per_Batch]*IFERROR(INDEX(PP_Grid[#Data],M_BOM[PPGridRow],19),0))</f>
        <v/>
      </c>
      <c r="T12">
        <f>SUMPRODUCT((M_BOM[Part Name]=$A12)*M_BOM[RM_Qty_Per_Batch]*IFERROR(INDEX(PP_Grid[#Data],M_BOM[PPGridRow],20),0))</f>
        <v/>
      </c>
      <c r="U12">
        <f>SUMPRODUCT((M_BOM[Part Name]=$A12)*M_BOM[RM_Qty_Per_Batch]*IFERROR(INDEX(PP_Grid[#Data],M_BOM[PPGridRow],21),0))</f>
        <v/>
      </c>
      <c r="V12">
        <f>SUMPRODUCT((M_BOM[Part Name]=$A12)*M_BOM[RM_Qty_Per_Batch]*IFERROR(INDEX(PP_Grid[#Data],M_BOM[PPGridRow],22),0))</f>
        <v/>
      </c>
      <c r="W12">
        <f>SUMPRODUCT((M_BOM[Part Name]=$A12)*M_BOM[RM_Qty_Per_Batch]*IFERROR(INDEX(PP_Grid[#Data],M_BOM[PPGridRow],23),0))</f>
        <v/>
      </c>
      <c r="X12">
        <f>SUMPRODUCT((M_BOM[Part Name]=$A12)*M_BOM[RM_Qty_Per_Batch]*IFERROR(INDEX(PP_Grid[#Data],M_BOM[PPGridRow],24),0))</f>
        <v/>
      </c>
      <c r="Y12">
        <f>SUMPRODUCT((M_BOM[Part Name]=$A12)*M_BOM[RM_Qty_Per_Batch]*IFERROR(INDEX(PP_Grid[#Data],M_BOM[PPGridRow],25),0))</f>
        <v/>
      </c>
      <c r="Z12">
        <f>SUMPRODUCT((M_BOM[Part Name]=$A12)*M_BOM[RM_Qty_Per_Batch]*IFERROR(INDEX(PP_Grid[#Data],M_BOM[PPGridRow],26),0))</f>
        <v/>
      </c>
      <c r="AA12">
        <f>SUMPRODUCT((M_BOM[Part Name]=$A12)*M_BOM[RM_Qty_Per_Batch]*IFERROR(INDEX(PP_Grid[#Data],M_BOM[PPGridRow],27),0))</f>
        <v/>
      </c>
      <c r="AB12">
        <f>SUMPRODUCT((M_BOM[Part Name]=$A12)*M_BOM[RM_Qty_Per_Batch]*IFERROR(INDEX(PP_Grid[#Data],M_BOM[PPGridRow],28),0))</f>
        <v/>
      </c>
      <c r="AC12">
        <f>SUMPRODUCT((M_BOM[Part Name]=$A12)*M_BOM[RM_Qty_Per_Batch]*IFERROR(INDEX(PP_Grid[#Data],M_BOM[PPGridRow],29),0))</f>
        <v/>
      </c>
      <c r="AD12">
        <f>SUMPRODUCT((M_BOM[Part Name]=$A12)*M_BOM[RM_Qty_Per_Batch]*IFERROR(INDEX(PP_Grid[#Data],M_BOM[PPGridRow],30),0))</f>
        <v/>
      </c>
      <c r="AE12">
        <f>SUMPRODUCT((M_BOM[Part Name]=$A12)*M_BOM[RM_Qty_Per_Batch]*IFERROR(INDEX(PP_Grid[#Data],M_BOM[PPGridRow],31),0))</f>
        <v/>
      </c>
      <c r="AF12">
        <f>SUMPRODUCT((M_BOM[Part Name]=$A12)*M_BOM[RM_Qty_Per_Batch]*IFERROR(INDEX(PP_Grid[#Data],M_BOM[PPGridRow],32),0))</f>
        <v/>
      </c>
      <c r="AG12">
        <f>SUMPRODUCT((M_BOM[Part Name]=$A12)*M_BOM[RM_Qty_Per_Batch]*IFERROR(INDEX(PP_Grid[#Data],M_BOM[PPGridRow],33),0))</f>
        <v/>
      </c>
      <c r="AH12">
        <f>SUMPRODUCT((M_BOM[Part Name]=$A12)*M_BOM[RM_Qty_Per_Batch]*IFERROR(INDEX(PP_Grid[#Data],M_BOM[PPGridRow],34),0))</f>
        <v/>
      </c>
      <c r="AI12">
        <f>SUMPRODUCT((M_BOM[Part Name]=$A12)*M_BOM[RM_Qty_Per_Batch]*IFERROR(INDEX(PP_Grid[#Data],M_BOM[PPGridRow],35),0))</f>
        <v/>
      </c>
      <c r="AJ12">
        <f>SUMPRODUCT((M_BOM[Part Name]=$A12)*M_BOM[RM_Qty_Per_Batch]*IFERROR(INDEX(PP_Grid[#Data],M_BOM[PPGridRow],36),0))</f>
        <v/>
      </c>
      <c r="AK12">
        <f>SUMPRODUCT((M_BOM[Part Name]=$A12)*M_BOM[RM_Qty_Per_Batch]*IFERROR(INDEX(PP_Grid[#Data],M_BOM[PPGridRow],37),0))</f>
        <v/>
      </c>
      <c r="AL12">
        <f>SUMPRODUCT((M_BOM[Part Name]=$A12)*M_BOM[RM_Qty_Per_Batch]*IFERROR(INDEX(PP_Grid[#Data],M_BOM[PPGridRow],38),0))</f>
        <v/>
      </c>
      <c r="AM12">
        <f>SUMPRODUCT((M_BOM[Part Name]=$A12)*M_BOM[RM_Qty_Per_Batch]*IFERROR(INDEX(PP_Grid[#Data],M_BOM[PPGridRow],39),0))</f>
        <v/>
      </c>
      <c r="AN12">
        <f>SUMPRODUCT((M_BOM[Part Name]=$A12)*M_BOM[RM_Qty_Per_Batch]*IFERROR(INDEX(PP_Grid[#Data],M_BOM[PPGridRow],40),0))</f>
        <v/>
      </c>
      <c r="AO12">
        <f>SUMPRODUCT((M_BOM[Part Name]=$A12)*M_BOM[RM_Qty_Per_Batch]*IFERROR(INDEX(PP_Grid[#Data],M_BOM[PPGridRow],41),0))</f>
        <v/>
      </c>
      <c r="AP12">
        <f>SUMPRODUCT((M_BOM[Part Name]=$A12)*M_BOM[RM_Qty_Per_Batch]*IFERROR(INDEX(PP_Grid[#Data],M_BOM[PPGridRow],42),0))</f>
        <v/>
      </c>
      <c r="AQ12">
        <f>SUMPRODUCT((M_BOM[Part Name]=$A12)*M_BOM[RM_Qty_Per_Batch]*IFERROR(INDEX(PP_Grid[#Data],M_BOM[PPGridRow],43),0))</f>
        <v/>
      </c>
      <c r="AR12">
        <f>SUMPRODUCT((M_BOM[Part Name]=$A12)*M_BOM[RM_Qty_Per_Batch]*IFERROR(INDEX(PP_Grid[#Data],M_BOM[PPGridRow],44),0))</f>
        <v/>
      </c>
      <c r="AS12">
        <f>SUMPRODUCT((M_BOM[Part Name]=$A12)*M_BOM[RM_Qty_Per_Batch]*IFERROR(INDEX(PP_Grid[#Data],M_BOM[PPGridRow],45),0))</f>
        <v/>
      </c>
      <c r="AT12">
        <f>SUMPRODUCT((M_BOM[Part Name]=$A12)*M_BOM[RM_Qty_Per_Batch]*IFERROR(INDEX(PP_Grid[#Data],M_BOM[PPGridRow],46),0))</f>
        <v/>
      </c>
      <c r="AU12">
        <f>SUMPRODUCT((M_BOM[Part Name]=$A12)*M_BOM[RM_Qty_Per_Batch]*IFERROR(INDEX(PP_Grid[#Data],M_BOM[PPGridRow],47),0))</f>
        <v/>
      </c>
      <c r="AV12">
        <f>SUMPRODUCT((M_BOM[Part Name]=$A12)*M_BOM[RM_Qty_Per_Batch]*IFERROR(INDEX(PP_Grid[#Data],M_BOM[PPGridRow],48),0))</f>
        <v/>
      </c>
      <c r="AW12">
        <f>SUMPRODUCT((M_BOM[Part Name]=$A12)*M_BOM[RM_Qty_Per_Batch]*IFERROR(INDEX(PP_Grid[#Data],M_BOM[PPGridRow],49),0))</f>
        <v/>
      </c>
      <c r="AX12">
        <f>SUMPRODUCT((M_BOM[Part Name]=$A12)*M_BOM[RM_Qty_Per_Batch]*IFERROR(INDEX(PP_Grid[#Data],M_BOM[PPGridRow],50),0))</f>
        <v/>
      </c>
      <c r="AY12">
        <f>SUMPRODUCT((M_BOM[Part Name]=$A12)*M_BOM[RM_Qty_Per_Batch]*IFERROR(INDEX(PP_Grid[#Data],M_BOM[PPGridRow],51),0))</f>
        <v/>
      </c>
      <c r="AZ12">
        <f>SUMPRODUCT((M_BOM[Part Name]=$A12)*M_BOM[RM_Qty_Per_Batch]*IFERROR(INDEX(PP_Grid[#Data],M_BOM[PPGridRow],52),0))</f>
        <v/>
      </c>
      <c r="BA12">
        <f>SUMPRODUCT((M_BOM[Part Name]=$A12)*M_BOM[RM_Qty_Per_Batch]*IFERROR(INDEX(PP_Grid[#Data],M_BOM[PPGridRow],53),0))</f>
        <v/>
      </c>
      <c r="BB12">
        <f>SUMPRODUCT((M_BOM[Part Name]=$A12)*M_BOM[RM_Qty_Per_Batch]*IFERROR(INDEX(PP_Grid[#Data],M_BOM[PPGridRow],54),0))</f>
        <v/>
      </c>
      <c r="BC12">
        <f>SUMPRODUCT((M_BOM[Part Name]=$A12)*M_BOM[RM_Qty_Per_Batch]*IFERROR(INDEX(PP_Grid[#Data],M_BOM[PPGridRow],55),0))</f>
        <v/>
      </c>
      <c r="BD12">
        <f>SUMPRODUCT((M_BOM[Part Name]=$A12)*M_BOM[RM_Qty_Per_Batch]*IFERROR(INDEX(PP_Grid[#Data],M_BOM[PPGridRow],56),0))</f>
        <v/>
      </c>
      <c r="BE12">
        <f>SUMPRODUCT((M_BOM[Part Name]=$A12)*M_BOM[RM_Qty_Per_Batch]*IFERROR(INDEX(PP_Grid[#Data],M_BOM[PPGridRow],57),0))</f>
        <v/>
      </c>
      <c r="BF12">
        <f>SUMPRODUCT((M_BOM[Part Name]=$A12)*M_BOM[RM_Qty_Per_Batch]*IFERROR(INDEX(PP_Grid[#Data],M_BOM[PPGridRow],58),0))</f>
        <v/>
      </c>
      <c r="BG12">
        <f>SUMPRODUCT((M_BOM[Part Name]=$A12)*M_BOM[RM_Qty_Per_Batch]*IFERROR(INDEX(PP_Grid[#Data],M_BOM[PPGridRow],59),0))</f>
        <v/>
      </c>
      <c r="BH12">
        <f>SUMPRODUCT((M_BOM[Part Name]=$A12)*M_BOM[RM_Qty_Per_Batch]*IFERROR(INDEX(PP_Grid[#Data],M_BOM[PPGridRow],60),0))</f>
        <v/>
      </c>
      <c r="BI12">
        <f>SUMPRODUCT((M_BOM[Part Name]=$A12)*M_BOM[RM_Qty_Per_Batch]*IFERROR(INDEX(PP_Grid[#Data],M_BOM[PPGridRow],61),0))</f>
        <v/>
      </c>
      <c r="BJ12">
        <f>SUMPRODUCT((M_BOM[Part Name]=$A12)*M_BOM[RM_Qty_Per_Batch]*IFERROR(INDEX(PP_Grid[#Data],M_BOM[PPGridRow],62),0))</f>
        <v/>
      </c>
      <c r="BK12">
        <f>SUMPRODUCT((M_BOM[Part Name]=$A12)*M_BOM[RM_Qty_Per_Batch]*IFERROR(INDEX(PP_Grid[#Data],M_BOM[PPGridRow],63),0))</f>
        <v/>
      </c>
      <c r="BL12">
        <f>SUMPRODUCT((M_BOM[Part Name]=$A12)*M_BOM[RM_Qty_Per_Batch]*IFERROR(INDEX(PP_Grid[#Data],M_BOM[PPGridRow],64),0))</f>
        <v/>
      </c>
      <c r="BM12">
        <f>SUMPRODUCT((M_BOM[Part Name]=$A12)*M_BOM[RM_Qty_Per_Batch]*IFERROR(INDEX(PP_Grid[#Data],M_BOM[PPGridRow],65),0))</f>
        <v/>
      </c>
      <c r="BN12">
        <f>SUMPRODUCT((M_BOM[Part Name]=$A12)*M_BOM[RM_Qty_Per_Batch]*IFERROR(INDEX(PP_Grid[#Data],M_BOM[PPGridRow],66),0))</f>
        <v/>
      </c>
      <c r="BO12">
        <f>SUMPRODUCT((M_BOM[Part Name]=$A12)*M_BOM[RM_Qty_Per_Batch]*IFERROR(INDEX(PP_Grid[#Data],M_BOM[PPGridRow],67),0))</f>
        <v/>
      </c>
      <c r="BP12">
        <f>SUMPRODUCT((M_BOM[Part Name]=$A12)*M_BOM[RM_Qty_Per_Batch]*IFERROR(INDEX(PP_Grid[#Data],M_BOM[PPGridRow],68),0))</f>
        <v/>
      </c>
      <c r="BQ12">
        <f>SUMPRODUCT((M_BOM[Part Name]=$A12)*M_BOM[RM_Qty_Per_Batch]*IFERROR(INDEX(PP_Grid[#Data],M_BOM[PPGridRow],69),0))</f>
        <v/>
      </c>
      <c r="BR12">
        <f>SUMPRODUCT((M_BOM[Part Name]=$A12)*M_BOM[RM_Qty_Per_Batch]*IFERROR(INDEX(PP_Grid[#Data],M_BOM[PPGridRow],70),0))</f>
        <v/>
      </c>
      <c r="BS12">
        <f>SUMPRODUCT((M_BOM[Part Name]=$A12)*M_BOM[RM_Qty_Per_Batch]*IFERROR(INDEX(PP_Grid[#Data],M_BOM[PPGridRow],71),0))</f>
        <v/>
      </c>
      <c r="BT12">
        <f>SUMPRODUCT((M_BOM[Part Name]=$A12)*M_BOM[RM_Qty_Per_Batch]*IFERROR(INDEX(PP_Grid[#Data],M_BOM[PPGridRow],72),0))</f>
        <v/>
      </c>
      <c r="BU12">
        <f>SUMPRODUCT((M_BOM[Part Name]=$A12)*M_BOM[RM_Qty_Per_Batch]*IFERROR(INDEX(PP_Grid[#Data],M_BOM[PPGridRow],73),0))</f>
        <v/>
      </c>
      <c r="BV12">
        <f>SUMPRODUCT((M_BOM[Part Name]=$A12)*M_BOM[RM_Qty_Per_Batch]*IFERROR(INDEX(PP_Grid[#Data],M_BOM[PPGridRow],74),0))</f>
        <v/>
      </c>
      <c r="BW12">
        <f>SUMPRODUCT((M_BOM[Part Name]=$A12)*M_BOM[RM_Qty_Per_Batch]*IFERROR(INDEX(PP_Grid[#Data],M_BOM[PPGridRow],75),0))</f>
        <v/>
      </c>
      <c r="BX12">
        <f>SUMPRODUCT((M_BOM[Part Name]=$A12)*M_BOM[RM_Qty_Per_Batch]*IFERROR(INDEX(PP_Grid[#Data],M_BOM[PPGridRow],76),0))</f>
        <v/>
      </c>
      <c r="BY12">
        <f>SUMPRODUCT((M_BOM[Part Name]=$A12)*M_BOM[RM_Qty_Per_Batch]*IFERROR(INDEX(PP_Grid[#Data],M_BOM[PPGridRow],77),0))</f>
        <v/>
      </c>
      <c r="BZ12">
        <f>SUMPRODUCT((M_BOM[Part Name]=$A12)*M_BOM[RM_Qty_Per_Batch]*IFERROR(INDEX(PP_Grid[#Data],M_BOM[PPGridRow],78),0))</f>
        <v/>
      </c>
      <c r="CA12">
        <f>SUMPRODUCT((M_BOM[Part Name]=$A12)*M_BOM[RM_Qty_Per_Batch]*IFERROR(INDEX(PP_Grid[#Data],M_BOM[PPGridRow],79),0))</f>
        <v/>
      </c>
      <c r="CB12">
        <f>SUMPRODUCT((M_BOM[Part Name]=$A12)*M_BOM[RM_Qty_Per_Batch]*IFERROR(INDEX(PP_Grid[#Data],M_BOM[PPGridRow],80),0))</f>
        <v/>
      </c>
      <c r="CC12">
        <f>SUMPRODUCT((M_BOM[Part Name]=$A12)*M_BOM[RM_Qty_Per_Batch]*IFERROR(INDEX(PP_Grid[#Data],M_BOM[PPGridRow],81),0))</f>
        <v/>
      </c>
      <c r="CD12">
        <f>SUMPRODUCT((M_BOM[Part Name]=$A12)*M_BOM[RM_Qty_Per_Batch]*IFERROR(INDEX(PP_Grid[#Data],M_BOM[PPGridRow],82),0))</f>
        <v/>
      </c>
      <c r="CE12">
        <f>SUMPRODUCT((M_BOM[Part Name]=$A12)*M_BOM[RM_Qty_Per_Batch]*IFERROR(INDEX(PP_Grid[#Data],M_BOM[PPGridRow],83),0))</f>
        <v/>
      </c>
      <c r="CF12">
        <f>SUMPRODUCT((M_BOM[Part Name]=$A12)*M_BOM[RM_Qty_Per_Batch]*IFERROR(INDEX(PP_Grid[#Data],M_BOM[PPGridRow],84),0))</f>
        <v/>
      </c>
      <c r="CG12">
        <f>SUMPRODUCT((M_BOM[Part Name]=$A12)*M_BOM[RM_Qty_Per_Batch]*IFERROR(INDEX(PP_Grid[#Data],M_BOM[PPGridRow],85),0))</f>
        <v/>
      </c>
      <c r="CH12">
        <f>SUMPRODUCT((M_BOM[Part Name]=$A12)*M_BOM[RM_Qty_Per_Batch]*IFERROR(INDEX(PP_Grid[#Data],M_BOM[PPGridRow],86),0))</f>
        <v/>
      </c>
      <c r="CI12">
        <f>SUMPRODUCT((M_BOM[Part Name]=$A12)*M_BOM[RM_Qty_Per_Batch]*IFERROR(INDEX(PP_Grid[#Data],M_BOM[PPGridRow],87),0))</f>
        <v/>
      </c>
      <c r="CJ12">
        <f>SUMPRODUCT((M_BOM[Part Name]=$A12)*M_BOM[RM_Qty_Per_Batch]*IFERROR(INDEX(PP_Grid[#Data],M_BOM[PPGridRow],88),0))</f>
        <v/>
      </c>
      <c r="CK12">
        <f>SUMPRODUCT((M_BOM[Part Name]=$A12)*M_BOM[RM_Qty_Per_Batch]*IFERROR(INDEX(PP_Grid[#Data],M_BOM[PPGridRow],89),0))</f>
        <v/>
      </c>
      <c r="CL12">
        <f>SUMPRODUCT((M_BOM[Part Name]=$A12)*M_BOM[RM_Qty_Per_Batch]*IFERROR(INDEX(PP_Grid[#Data],M_BOM[PPGridRow],90),0))</f>
        <v/>
      </c>
      <c r="CM12">
        <f>SUMPRODUCT((M_BOM[Part Name]=$A12)*M_BOM[RM_Qty_Per_Batch]*IFERROR(INDEX(PP_Grid[#Data],M_BOM[PPGridRow],91),0))</f>
        <v/>
      </c>
      <c r="CN12">
        <f>SUMPRODUCT((M_BOM[Part Name]=$A12)*M_BOM[RM_Qty_Per_Batch]*IFERROR(INDEX(PP_Grid[#Data],M_BOM[PPGridRow],92),0))</f>
        <v/>
      </c>
      <c r="CO12">
        <f>SUMPRODUCT((M_BOM[Part Name]=$A12)*M_BOM[RM_Qty_Per_Batch]*IFERROR(INDEX(PP_Grid[#Data],M_BOM[PPGridRow],93),0))</f>
        <v/>
      </c>
      <c r="CP12">
        <f>SUMPRODUCT((M_BOM[Part Name]=$A12)*M_BOM[RM_Qty_Per_Batch]*IFERROR(INDEX(PP_Grid[#Data],M_BOM[PPGridRow],94),0))</f>
        <v/>
      </c>
      <c r="CQ12">
        <f>SUMPRODUCT((M_BOM[Part Name]=$A12)*M_BOM[RM_Qty_Per_Batch]*IFERROR(INDEX(PP_Grid[#Data],M_BOM[PPGridRow],95),0))</f>
        <v/>
      </c>
      <c r="CR12">
        <f>SUMPRODUCT((M_BOM[Part Name]=$A12)*M_BOM[RM_Qty_Per_Batch]*IFERROR(INDEX(PP_Grid[#Data],M_BOM[PPGridRow],96),0))</f>
        <v/>
      </c>
      <c r="CS12">
        <f>SUMPRODUCT((M_BOM[Part Name]=$A12)*M_BOM[RM_Qty_Per_Batch]*IFERROR(INDEX(PP_Grid[#Data],M_BOM[PPGridRow],97),0))</f>
        <v/>
      </c>
      <c r="CT12">
        <f>SUMPRODUCT((M_BOM[Part Name]=$A12)*M_BOM[RM_Qty_Per_Batch]*IFERROR(INDEX(PP_Grid[#Data],M_BOM[PPGridRow],98),0))</f>
        <v/>
      </c>
      <c r="CU12">
        <f>SUMPRODUCT((M_BOM[Part Name]=$A12)*M_BOM[RM_Qty_Per_Batch]*IFERROR(INDEX(PP_Grid[#Data],M_BOM[PPGridRow],99),0))</f>
        <v/>
      </c>
      <c r="CV12">
        <f>SUMPRODUCT((M_BOM[Part Name]=$A12)*M_BOM[RM_Qty_Per_Batch]*IFERROR(INDEX(PP_Grid[#Data],M_BOM[PPGridRow],100),0))</f>
        <v/>
      </c>
      <c r="CW12">
        <f>SUMPRODUCT((M_BOM[Part Name]=$A12)*M_BOM[RM_Qty_Per_Batch]*IFERROR(INDEX(PP_Grid[#Data],M_BOM[PPGridRow],101),0))</f>
        <v/>
      </c>
      <c r="CX12">
        <f>SUMPRODUCT((M_BOM[Part Name]=$A12)*M_BOM[RM_Qty_Per_Batch]*IFERROR(INDEX(PP_Grid[#Data],M_BOM[PPGridRow],102),0))</f>
        <v/>
      </c>
      <c r="CY12">
        <f>SUMPRODUCT((M_BOM[Part Name]=$A12)*M_BOM[RM_Qty_Per_Batch]*IFERROR(INDEX(PP_Grid[#Data],M_BOM[PPGridRow],103),0))</f>
        <v/>
      </c>
      <c r="CZ12">
        <f>SUMPRODUCT((M_BOM[Part Name]=$A12)*M_BOM[RM_Qty_Per_Batch]*IFERROR(INDEX(PP_Grid[#Data],M_BOM[PPGridRow],104),0))</f>
        <v/>
      </c>
      <c r="DA12">
        <f>SUMPRODUCT((M_BOM[Part Name]=$A12)*M_BOM[RM_Qty_Per_Batch]*IFERROR(INDEX(PP_Grid[#Data],M_BOM[PPGridRow],105),0))</f>
        <v/>
      </c>
    </row>
    <row r="13">
      <c r="A13" t="inlineStr">
        <is>
          <t>7CL</t>
        </is>
      </c>
      <c r="B13">
        <f>SUMPRODUCT((M_BOM[Part Name]=$A13)*M_BOM[RM_Qty_Per_Batch]*IFERROR(INDEX(PP_Grid[#Data],M_BOM[PPGridRow],2),0))</f>
        <v/>
      </c>
      <c r="C13">
        <f>SUMPRODUCT((M_BOM[Part Name]=$A13)*M_BOM[RM_Qty_Per_Batch]*IFERROR(INDEX(PP_Grid[#Data],M_BOM[PPGridRow],3),0))</f>
        <v/>
      </c>
      <c r="D13">
        <f>SUMPRODUCT((M_BOM[Part Name]=$A13)*M_BOM[RM_Qty_Per_Batch]*IFERROR(INDEX(PP_Grid[#Data],M_BOM[PPGridRow],4),0))</f>
        <v/>
      </c>
      <c r="E13">
        <f>SUMPRODUCT((M_BOM[Part Name]=$A13)*M_BOM[RM_Qty_Per_Batch]*IFERROR(INDEX(PP_Grid[#Data],M_BOM[PPGridRow],5),0))</f>
        <v/>
      </c>
      <c r="F13">
        <f>SUMPRODUCT((M_BOM[Part Name]=$A13)*M_BOM[RM_Qty_Per_Batch]*IFERROR(INDEX(PP_Grid[#Data],M_BOM[PPGridRow],6),0))</f>
        <v/>
      </c>
      <c r="G13">
        <f>SUMPRODUCT((M_BOM[Part Name]=$A13)*M_BOM[RM_Qty_Per_Batch]*IFERROR(INDEX(PP_Grid[#Data],M_BOM[PPGridRow],7),0))</f>
        <v/>
      </c>
      <c r="H13">
        <f>SUMPRODUCT((M_BOM[Part Name]=$A13)*M_BOM[RM_Qty_Per_Batch]*IFERROR(INDEX(PP_Grid[#Data],M_BOM[PPGridRow],8),0))</f>
        <v/>
      </c>
      <c r="I13">
        <f>SUMPRODUCT((M_BOM[Part Name]=$A13)*M_BOM[RM_Qty_Per_Batch]*IFERROR(INDEX(PP_Grid[#Data],M_BOM[PPGridRow],9),0))</f>
        <v/>
      </c>
      <c r="J13">
        <f>SUMPRODUCT((M_BOM[Part Name]=$A13)*M_BOM[RM_Qty_Per_Batch]*IFERROR(INDEX(PP_Grid[#Data],M_BOM[PPGridRow],10),0))</f>
        <v/>
      </c>
      <c r="K13">
        <f>SUMPRODUCT((M_BOM[Part Name]=$A13)*M_BOM[RM_Qty_Per_Batch]*IFERROR(INDEX(PP_Grid[#Data],M_BOM[PPGridRow],11),0))</f>
        <v/>
      </c>
      <c r="L13">
        <f>SUMPRODUCT((M_BOM[Part Name]=$A13)*M_BOM[RM_Qty_Per_Batch]*IFERROR(INDEX(PP_Grid[#Data],M_BOM[PPGridRow],12),0))</f>
        <v/>
      </c>
      <c r="M13">
        <f>SUMPRODUCT((M_BOM[Part Name]=$A13)*M_BOM[RM_Qty_Per_Batch]*IFERROR(INDEX(PP_Grid[#Data],M_BOM[PPGridRow],13),0))</f>
        <v/>
      </c>
      <c r="N13">
        <f>SUMPRODUCT((M_BOM[Part Name]=$A13)*M_BOM[RM_Qty_Per_Batch]*IFERROR(INDEX(PP_Grid[#Data],M_BOM[PPGridRow],14),0))</f>
        <v/>
      </c>
      <c r="O13">
        <f>SUMPRODUCT((M_BOM[Part Name]=$A13)*M_BOM[RM_Qty_Per_Batch]*IFERROR(INDEX(PP_Grid[#Data],M_BOM[PPGridRow],15),0))</f>
        <v/>
      </c>
      <c r="P13">
        <f>SUMPRODUCT((M_BOM[Part Name]=$A13)*M_BOM[RM_Qty_Per_Batch]*IFERROR(INDEX(PP_Grid[#Data],M_BOM[PPGridRow],16),0))</f>
        <v/>
      </c>
      <c r="Q13">
        <f>SUMPRODUCT((M_BOM[Part Name]=$A13)*M_BOM[RM_Qty_Per_Batch]*IFERROR(INDEX(PP_Grid[#Data],M_BOM[PPGridRow],17),0))</f>
        <v/>
      </c>
      <c r="R13">
        <f>SUMPRODUCT((M_BOM[Part Name]=$A13)*M_BOM[RM_Qty_Per_Batch]*IFERROR(INDEX(PP_Grid[#Data],M_BOM[PPGridRow],18),0))</f>
        <v/>
      </c>
      <c r="S13">
        <f>SUMPRODUCT((M_BOM[Part Name]=$A13)*M_BOM[RM_Qty_Per_Batch]*IFERROR(INDEX(PP_Grid[#Data],M_BOM[PPGridRow],19),0))</f>
        <v/>
      </c>
      <c r="T13">
        <f>SUMPRODUCT((M_BOM[Part Name]=$A13)*M_BOM[RM_Qty_Per_Batch]*IFERROR(INDEX(PP_Grid[#Data],M_BOM[PPGridRow],20),0))</f>
        <v/>
      </c>
      <c r="U13">
        <f>SUMPRODUCT((M_BOM[Part Name]=$A13)*M_BOM[RM_Qty_Per_Batch]*IFERROR(INDEX(PP_Grid[#Data],M_BOM[PPGridRow],21),0))</f>
        <v/>
      </c>
      <c r="V13">
        <f>SUMPRODUCT((M_BOM[Part Name]=$A13)*M_BOM[RM_Qty_Per_Batch]*IFERROR(INDEX(PP_Grid[#Data],M_BOM[PPGridRow],22),0))</f>
        <v/>
      </c>
      <c r="W13">
        <f>SUMPRODUCT((M_BOM[Part Name]=$A13)*M_BOM[RM_Qty_Per_Batch]*IFERROR(INDEX(PP_Grid[#Data],M_BOM[PPGridRow],23),0))</f>
        <v/>
      </c>
      <c r="X13">
        <f>SUMPRODUCT((M_BOM[Part Name]=$A13)*M_BOM[RM_Qty_Per_Batch]*IFERROR(INDEX(PP_Grid[#Data],M_BOM[PPGridRow],24),0))</f>
        <v/>
      </c>
      <c r="Y13">
        <f>SUMPRODUCT((M_BOM[Part Name]=$A13)*M_BOM[RM_Qty_Per_Batch]*IFERROR(INDEX(PP_Grid[#Data],M_BOM[PPGridRow],25),0))</f>
        <v/>
      </c>
      <c r="Z13">
        <f>SUMPRODUCT((M_BOM[Part Name]=$A13)*M_BOM[RM_Qty_Per_Batch]*IFERROR(INDEX(PP_Grid[#Data],M_BOM[PPGridRow],26),0))</f>
        <v/>
      </c>
      <c r="AA13">
        <f>SUMPRODUCT((M_BOM[Part Name]=$A13)*M_BOM[RM_Qty_Per_Batch]*IFERROR(INDEX(PP_Grid[#Data],M_BOM[PPGridRow],27),0))</f>
        <v/>
      </c>
      <c r="AB13">
        <f>SUMPRODUCT((M_BOM[Part Name]=$A13)*M_BOM[RM_Qty_Per_Batch]*IFERROR(INDEX(PP_Grid[#Data],M_BOM[PPGridRow],28),0))</f>
        <v/>
      </c>
      <c r="AC13">
        <f>SUMPRODUCT((M_BOM[Part Name]=$A13)*M_BOM[RM_Qty_Per_Batch]*IFERROR(INDEX(PP_Grid[#Data],M_BOM[PPGridRow],29),0))</f>
        <v/>
      </c>
      <c r="AD13">
        <f>SUMPRODUCT((M_BOM[Part Name]=$A13)*M_BOM[RM_Qty_Per_Batch]*IFERROR(INDEX(PP_Grid[#Data],M_BOM[PPGridRow],30),0))</f>
        <v/>
      </c>
      <c r="AE13">
        <f>SUMPRODUCT((M_BOM[Part Name]=$A13)*M_BOM[RM_Qty_Per_Batch]*IFERROR(INDEX(PP_Grid[#Data],M_BOM[PPGridRow],31),0))</f>
        <v/>
      </c>
      <c r="AF13">
        <f>SUMPRODUCT((M_BOM[Part Name]=$A13)*M_BOM[RM_Qty_Per_Batch]*IFERROR(INDEX(PP_Grid[#Data],M_BOM[PPGridRow],32),0))</f>
        <v/>
      </c>
      <c r="AG13">
        <f>SUMPRODUCT((M_BOM[Part Name]=$A13)*M_BOM[RM_Qty_Per_Batch]*IFERROR(INDEX(PP_Grid[#Data],M_BOM[PPGridRow],33),0))</f>
        <v/>
      </c>
      <c r="AH13">
        <f>SUMPRODUCT((M_BOM[Part Name]=$A13)*M_BOM[RM_Qty_Per_Batch]*IFERROR(INDEX(PP_Grid[#Data],M_BOM[PPGridRow],34),0))</f>
        <v/>
      </c>
      <c r="AI13">
        <f>SUMPRODUCT((M_BOM[Part Name]=$A13)*M_BOM[RM_Qty_Per_Batch]*IFERROR(INDEX(PP_Grid[#Data],M_BOM[PPGridRow],35),0))</f>
        <v/>
      </c>
      <c r="AJ13">
        <f>SUMPRODUCT((M_BOM[Part Name]=$A13)*M_BOM[RM_Qty_Per_Batch]*IFERROR(INDEX(PP_Grid[#Data],M_BOM[PPGridRow],36),0))</f>
        <v/>
      </c>
      <c r="AK13">
        <f>SUMPRODUCT((M_BOM[Part Name]=$A13)*M_BOM[RM_Qty_Per_Batch]*IFERROR(INDEX(PP_Grid[#Data],M_BOM[PPGridRow],37),0))</f>
        <v/>
      </c>
      <c r="AL13">
        <f>SUMPRODUCT((M_BOM[Part Name]=$A13)*M_BOM[RM_Qty_Per_Batch]*IFERROR(INDEX(PP_Grid[#Data],M_BOM[PPGridRow],38),0))</f>
        <v/>
      </c>
      <c r="AM13">
        <f>SUMPRODUCT((M_BOM[Part Name]=$A13)*M_BOM[RM_Qty_Per_Batch]*IFERROR(INDEX(PP_Grid[#Data],M_BOM[PPGridRow],39),0))</f>
        <v/>
      </c>
      <c r="AN13">
        <f>SUMPRODUCT((M_BOM[Part Name]=$A13)*M_BOM[RM_Qty_Per_Batch]*IFERROR(INDEX(PP_Grid[#Data],M_BOM[PPGridRow],40),0))</f>
        <v/>
      </c>
      <c r="AO13">
        <f>SUMPRODUCT((M_BOM[Part Name]=$A13)*M_BOM[RM_Qty_Per_Batch]*IFERROR(INDEX(PP_Grid[#Data],M_BOM[PPGridRow],41),0))</f>
        <v/>
      </c>
      <c r="AP13">
        <f>SUMPRODUCT((M_BOM[Part Name]=$A13)*M_BOM[RM_Qty_Per_Batch]*IFERROR(INDEX(PP_Grid[#Data],M_BOM[PPGridRow],42),0))</f>
        <v/>
      </c>
      <c r="AQ13">
        <f>SUMPRODUCT((M_BOM[Part Name]=$A13)*M_BOM[RM_Qty_Per_Batch]*IFERROR(INDEX(PP_Grid[#Data],M_BOM[PPGridRow],43),0))</f>
        <v/>
      </c>
      <c r="AR13">
        <f>SUMPRODUCT((M_BOM[Part Name]=$A13)*M_BOM[RM_Qty_Per_Batch]*IFERROR(INDEX(PP_Grid[#Data],M_BOM[PPGridRow],44),0))</f>
        <v/>
      </c>
      <c r="AS13">
        <f>SUMPRODUCT((M_BOM[Part Name]=$A13)*M_BOM[RM_Qty_Per_Batch]*IFERROR(INDEX(PP_Grid[#Data],M_BOM[PPGridRow],45),0))</f>
        <v/>
      </c>
      <c r="AT13">
        <f>SUMPRODUCT((M_BOM[Part Name]=$A13)*M_BOM[RM_Qty_Per_Batch]*IFERROR(INDEX(PP_Grid[#Data],M_BOM[PPGridRow],46),0))</f>
        <v/>
      </c>
      <c r="AU13">
        <f>SUMPRODUCT((M_BOM[Part Name]=$A13)*M_BOM[RM_Qty_Per_Batch]*IFERROR(INDEX(PP_Grid[#Data],M_BOM[PPGridRow],47),0))</f>
        <v/>
      </c>
      <c r="AV13">
        <f>SUMPRODUCT((M_BOM[Part Name]=$A13)*M_BOM[RM_Qty_Per_Batch]*IFERROR(INDEX(PP_Grid[#Data],M_BOM[PPGridRow],48),0))</f>
        <v/>
      </c>
      <c r="AW13">
        <f>SUMPRODUCT((M_BOM[Part Name]=$A13)*M_BOM[RM_Qty_Per_Batch]*IFERROR(INDEX(PP_Grid[#Data],M_BOM[PPGridRow],49),0))</f>
        <v/>
      </c>
      <c r="AX13">
        <f>SUMPRODUCT((M_BOM[Part Name]=$A13)*M_BOM[RM_Qty_Per_Batch]*IFERROR(INDEX(PP_Grid[#Data],M_BOM[PPGridRow],50),0))</f>
        <v/>
      </c>
      <c r="AY13">
        <f>SUMPRODUCT((M_BOM[Part Name]=$A13)*M_BOM[RM_Qty_Per_Batch]*IFERROR(INDEX(PP_Grid[#Data],M_BOM[PPGridRow],51),0))</f>
        <v/>
      </c>
      <c r="AZ13">
        <f>SUMPRODUCT((M_BOM[Part Name]=$A13)*M_BOM[RM_Qty_Per_Batch]*IFERROR(INDEX(PP_Grid[#Data],M_BOM[PPGridRow],52),0))</f>
        <v/>
      </c>
      <c r="BA13">
        <f>SUMPRODUCT((M_BOM[Part Name]=$A13)*M_BOM[RM_Qty_Per_Batch]*IFERROR(INDEX(PP_Grid[#Data],M_BOM[PPGridRow],53),0))</f>
        <v/>
      </c>
      <c r="BB13">
        <f>SUMPRODUCT((M_BOM[Part Name]=$A13)*M_BOM[RM_Qty_Per_Batch]*IFERROR(INDEX(PP_Grid[#Data],M_BOM[PPGridRow],54),0))</f>
        <v/>
      </c>
      <c r="BC13">
        <f>SUMPRODUCT((M_BOM[Part Name]=$A13)*M_BOM[RM_Qty_Per_Batch]*IFERROR(INDEX(PP_Grid[#Data],M_BOM[PPGridRow],55),0))</f>
        <v/>
      </c>
      <c r="BD13">
        <f>SUMPRODUCT((M_BOM[Part Name]=$A13)*M_BOM[RM_Qty_Per_Batch]*IFERROR(INDEX(PP_Grid[#Data],M_BOM[PPGridRow],56),0))</f>
        <v/>
      </c>
      <c r="BE13">
        <f>SUMPRODUCT((M_BOM[Part Name]=$A13)*M_BOM[RM_Qty_Per_Batch]*IFERROR(INDEX(PP_Grid[#Data],M_BOM[PPGridRow],57),0))</f>
        <v/>
      </c>
      <c r="BF13">
        <f>SUMPRODUCT((M_BOM[Part Name]=$A13)*M_BOM[RM_Qty_Per_Batch]*IFERROR(INDEX(PP_Grid[#Data],M_BOM[PPGridRow],58),0))</f>
        <v/>
      </c>
      <c r="BG13">
        <f>SUMPRODUCT((M_BOM[Part Name]=$A13)*M_BOM[RM_Qty_Per_Batch]*IFERROR(INDEX(PP_Grid[#Data],M_BOM[PPGridRow],59),0))</f>
        <v/>
      </c>
      <c r="BH13">
        <f>SUMPRODUCT((M_BOM[Part Name]=$A13)*M_BOM[RM_Qty_Per_Batch]*IFERROR(INDEX(PP_Grid[#Data],M_BOM[PPGridRow],60),0))</f>
        <v/>
      </c>
      <c r="BI13">
        <f>SUMPRODUCT((M_BOM[Part Name]=$A13)*M_BOM[RM_Qty_Per_Batch]*IFERROR(INDEX(PP_Grid[#Data],M_BOM[PPGridRow],61),0))</f>
        <v/>
      </c>
      <c r="BJ13">
        <f>SUMPRODUCT((M_BOM[Part Name]=$A13)*M_BOM[RM_Qty_Per_Batch]*IFERROR(INDEX(PP_Grid[#Data],M_BOM[PPGridRow],62),0))</f>
        <v/>
      </c>
      <c r="BK13">
        <f>SUMPRODUCT((M_BOM[Part Name]=$A13)*M_BOM[RM_Qty_Per_Batch]*IFERROR(INDEX(PP_Grid[#Data],M_BOM[PPGridRow],63),0))</f>
        <v/>
      </c>
      <c r="BL13">
        <f>SUMPRODUCT((M_BOM[Part Name]=$A13)*M_BOM[RM_Qty_Per_Batch]*IFERROR(INDEX(PP_Grid[#Data],M_BOM[PPGridRow],64),0))</f>
        <v/>
      </c>
      <c r="BM13">
        <f>SUMPRODUCT((M_BOM[Part Name]=$A13)*M_BOM[RM_Qty_Per_Batch]*IFERROR(INDEX(PP_Grid[#Data],M_BOM[PPGridRow],65),0))</f>
        <v/>
      </c>
      <c r="BN13">
        <f>SUMPRODUCT((M_BOM[Part Name]=$A13)*M_BOM[RM_Qty_Per_Batch]*IFERROR(INDEX(PP_Grid[#Data],M_BOM[PPGridRow],66),0))</f>
        <v/>
      </c>
      <c r="BO13">
        <f>SUMPRODUCT((M_BOM[Part Name]=$A13)*M_BOM[RM_Qty_Per_Batch]*IFERROR(INDEX(PP_Grid[#Data],M_BOM[PPGridRow],67),0))</f>
        <v/>
      </c>
      <c r="BP13">
        <f>SUMPRODUCT((M_BOM[Part Name]=$A13)*M_BOM[RM_Qty_Per_Batch]*IFERROR(INDEX(PP_Grid[#Data],M_BOM[PPGridRow],68),0))</f>
        <v/>
      </c>
      <c r="BQ13">
        <f>SUMPRODUCT((M_BOM[Part Name]=$A13)*M_BOM[RM_Qty_Per_Batch]*IFERROR(INDEX(PP_Grid[#Data],M_BOM[PPGridRow],69),0))</f>
        <v/>
      </c>
      <c r="BR13">
        <f>SUMPRODUCT((M_BOM[Part Name]=$A13)*M_BOM[RM_Qty_Per_Batch]*IFERROR(INDEX(PP_Grid[#Data],M_BOM[PPGridRow],70),0))</f>
        <v/>
      </c>
      <c r="BS13">
        <f>SUMPRODUCT((M_BOM[Part Name]=$A13)*M_BOM[RM_Qty_Per_Batch]*IFERROR(INDEX(PP_Grid[#Data],M_BOM[PPGridRow],71),0))</f>
        <v/>
      </c>
      <c r="BT13">
        <f>SUMPRODUCT((M_BOM[Part Name]=$A13)*M_BOM[RM_Qty_Per_Batch]*IFERROR(INDEX(PP_Grid[#Data],M_BOM[PPGridRow],72),0))</f>
        <v/>
      </c>
      <c r="BU13">
        <f>SUMPRODUCT((M_BOM[Part Name]=$A13)*M_BOM[RM_Qty_Per_Batch]*IFERROR(INDEX(PP_Grid[#Data],M_BOM[PPGridRow],73),0))</f>
        <v/>
      </c>
      <c r="BV13">
        <f>SUMPRODUCT((M_BOM[Part Name]=$A13)*M_BOM[RM_Qty_Per_Batch]*IFERROR(INDEX(PP_Grid[#Data],M_BOM[PPGridRow],74),0))</f>
        <v/>
      </c>
      <c r="BW13">
        <f>SUMPRODUCT((M_BOM[Part Name]=$A13)*M_BOM[RM_Qty_Per_Batch]*IFERROR(INDEX(PP_Grid[#Data],M_BOM[PPGridRow],75),0))</f>
        <v/>
      </c>
      <c r="BX13">
        <f>SUMPRODUCT((M_BOM[Part Name]=$A13)*M_BOM[RM_Qty_Per_Batch]*IFERROR(INDEX(PP_Grid[#Data],M_BOM[PPGridRow],76),0))</f>
        <v/>
      </c>
      <c r="BY13">
        <f>SUMPRODUCT((M_BOM[Part Name]=$A13)*M_BOM[RM_Qty_Per_Batch]*IFERROR(INDEX(PP_Grid[#Data],M_BOM[PPGridRow],77),0))</f>
        <v/>
      </c>
      <c r="BZ13">
        <f>SUMPRODUCT((M_BOM[Part Name]=$A13)*M_BOM[RM_Qty_Per_Batch]*IFERROR(INDEX(PP_Grid[#Data],M_BOM[PPGridRow],78),0))</f>
        <v/>
      </c>
      <c r="CA13">
        <f>SUMPRODUCT((M_BOM[Part Name]=$A13)*M_BOM[RM_Qty_Per_Batch]*IFERROR(INDEX(PP_Grid[#Data],M_BOM[PPGridRow],79),0))</f>
        <v/>
      </c>
      <c r="CB13">
        <f>SUMPRODUCT((M_BOM[Part Name]=$A13)*M_BOM[RM_Qty_Per_Batch]*IFERROR(INDEX(PP_Grid[#Data],M_BOM[PPGridRow],80),0))</f>
        <v/>
      </c>
      <c r="CC13">
        <f>SUMPRODUCT((M_BOM[Part Name]=$A13)*M_BOM[RM_Qty_Per_Batch]*IFERROR(INDEX(PP_Grid[#Data],M_BOM[PPGridRow],81),0))</f>
        <v/>
      </c>
      <c r="CD13">
        <f>SUMPRODUCT((M_BOM[Part Name]=$A13)*M_BOM[RM_Qty_Per_Batch]*IFERROR(INDEX(PP_Grid[#Data],M_BOM[PPGridRow],82),0))</f>
        <v/>
      </c>
      <c r="CE13">
        <f>SUMPRODUCT((M_BOM[Part Name]=$A13)*M_BOM[RM_Qty_Per_Batch]*IFERROR(INDEX(PP_Grid[#Data],M_BOM[PPGridRow],83),0))</f>
        <v/>
      </c>
      <c r="CF13">
        <f>SUMPRODUCT((M_BOM[Part Name]=$A13)*M_BOM[RM_Qty_Per_Batch]*IFERROR(INDEX(PP_Grid[#Data],M_BOM[PPGridRow],84),0))</f>
        <v/>
      </c>
      <c r="CG13">
        <f>SUMPRODUCT((M_BOM[Part Name]=$A13)*M_BOM[RM_Qty_Per_Batch]*IFERROR(INDEX(PP_Grid[#Data],M_BOM[PPGridRow],85),0))</f>
        <v/>
      </c>
      <c r="CH13">
        <f>SUMPRODUCT((M_BOM[Part Name]=$A13)*M_BOM[RM_Qty_Per_Batch]*IFERROR(INDEX(PP_Grid[#Data],M_BOM[PPGridRow],86),0))</f>
        <v/>
      </c>
      <c r="CI13">
        <f>SUMPRODUCT((M_BOM[Part Name]=$A13)*M_BOM[RM_Qty_Per_Batch]*IFERROR(INDEX(PP_Grid[#Data],M_BOM[PPGridRow],87),0))</f>
        <v/>
      </c>
      <c r="CJ13">
        <f>SUMPRODUCT((M_BOM[Part Name]=$A13)*M_BOM[RM_Qty_Per_Batch]*IFERROR(INDEX(PP_Grid[#Data],M_BOM[PPGridRow],88),0))</f>
        <v/>
      </c>
      <c r="CK13">
        <f>SUMPRODUCT((M_BOM[Part Name]=$A13)*M_BOM[RM_Qty_Per_Batch]*IFERROR(INDEX(PP_Grid[#Data],M_BOM[PPGridRow],89),0))</f>
        <v/>
      </c>
      <c r="CL13">
        <f>SUMPRODUCT((M_BOM[Part Name]=$A13)*M_BOM[RM_Qty_Per_Batch]*IFERROR(INDEX(PP_Grid[#Data],M_BOM[PPGridRow],90),0))</f>
        <v/>
      </c>
      <c r="CM13">
        <f>SUMPRODUCT((M_BOM[Part Name]=$A13)*M_BOM[RM_Qty_Per_Batch]*IFERROR(INDEX(PP_Grid[#Data],M_BOM[PPGridRow],91),0))</f>
        <v/>
      </c>
      <c r="CN13">
        <f>SUMPRODUCT((M_BOM[Part Name]=$A13)*M_BOM[RM_Qty_Per_Batch]*IFERROR(INDEX(PP_Grid[#Data],M_BOM[PPGridRow],92),0))</f>
        <v/>
      </c>
      <c r="CO13">
        <f>SUMPRODUCT((M_BOM[Part Name]=$A13)*M_BOM[RM_Qty_Per_Batch]*IFERROR(INDEX(PP_Grid[#Data],M_BOM[PPGridRow],93),0))</f>
        <v/>
      </c>
      <c r="CP13">
        <f>SUMPRODUCT((M_BOM[Part Name]=$A13)*M_BOM[RM_Qty_Per_Batch]*IFERROR(INDEX(PP_Grid[#Data],M_BOM[PPGridRow],94),0))</f>
        <v/>
      </c>
      <c r="CQ13">
        <f>SUMPRODUCT((M_BOM[Part Name]=$A13)*M_BOM[RM_Qty_Per_Batch]*IFERROR(INDEX(PP_Grid[#Data],M_BOM[PPGridRow],95),0))</f>
        <v/>
      </c>
      <c r="CR13">
        <f>SUMPRODUCT((M_BOM[Part Name]=$A13)*M_BOM[RM_Qty_Per_Batch]*IFERROR(INDEX(PP_Grid[#Data],M_BOM[PPGridRow],96),0))</f>
        <v/>
      </c>
      <c r="CS13">
        <f>SUMPRODUCT((M_BOM[Part Name]=$A13)*M_BOM[RM_Qty_Per_Batch]*IFERROR(INDEX(PP_Grid[#Data],M_BOM[PPGridRow],97),0))</f>
        <v/>
      </c>
      <c r="CT13">
        <f>SUMPRODUCT((M_BOM[Part Name]=$A13)*M_BOM[RM_Qty_Per_Batch]*IFERROR(INDEX(PP_Grid[#Data],M_BOM[PPGridRow],98),0))</f>
        <v/>
      </c>
      <c r="CU13">
        <f>SUMPRODUCT((M_BOM[Part Name]=$A13)*M_BOM[RM_Qty_Per_Batch]*IFERROR(INDEX(PP_Grid[#Data],M_BOM[PPGridRow],99),0))</f>
        <v/>
      </c>
      <c r="CV13">
        <f>SUMPRODUCT((M_BOM[Part Name]=$A13)*M_BOM[RM_Qty_Per_Batch]*IFERROR(INDEX(PP_Grid[#Data],M_BOM[PPGridRow],100),0))</f>
        <v/>
      </c>
      <c r="CW13">
        <f>SUMPRODUCT((M_BOM[Part Name]=$A13)*M_BOM[RM_Qty_Per_Batch]*IFERROR(INDEX(PP_Grid[#Data],M_BOM[PPGridRow],101),0))</f>
        <v/>
      </c>
      <c r="CX13">
        <f>SUMPRODUCT((M_BOM[Part Name]=$A13)*M_BOM[RM_Qty_Per_Batch]*IFERROR(INDEX(PP_Grid[#Data],M_BOM[PPGridRow],102),0))</f>
        <v/>
      </c>
      <c r="CY13">
        <f>SUMPRODUCT((M_BOM[Part Name]=$A13)*M_BOM[RM_Qty_Per_Batch]*IFERROR(INDEX(PP_Grid[#Data],M_BOM[PPGridRow],103),0))</f>
        <v/>
      </c>
      <c r="CZ13">
        <f>SUMPRODUCT((M_BOM[Part Name]=$A13)*M_BOM[RM_Qty_Per_Batch]*IFERROR(INDEX(PP_Grid[#Data],M_BOM[PPGridRow],104),0))</f>
        <v/>
      </c>
      <c r="DA13">
        <f>SUMPRODUCT((M_BOM[Part Name]=$A13)*M_BOM[RM_Qty_Per_Batch]*IFERROR(INDEX(PP_Grid[#Data],M_BOM[PPGridRow],105),0))</f>
        <v/>
      </c>
    </row>
    <row r="14">
      <c r="A14" t="inlineStr">
        <is>
          <t>9RN</t>
        </is>
      </c>
      <c r="B14">
        <f>SUMPRODUCT((M_BOM[Part Name]=$A14)*M_BOM[RM_Qty_Per_Batch]*IFERROR(INDEX(PP_Grid[#Data],M_BOM[PPGridRow],2),0))</f>
        <v/>
      </c>
      <c r="C14">
        <f>SUMPRODUCT((M_BOM[Part Name]=$A14)*M_BOM[RM_Qty_Per_Batch]*IFERROR(INDEX(PP_Grid[#Data],M_BOM[PPGridRow],3),0))</f>
        <v/>
      </c>
      <c r="D14">
        <f>SUMPRODUCT((M_BOM[Part Name]=$A14)*M_BOM[RM_Qty_Per_Batch]*IFERROR(INDEX(PP_Grid[#Data],M_BOM[PPGridRow],4),0))</f>
        <v/>
      </c>
      <c r="E14">
        <f>SUMPRODUCT((M_BOM[Part Name]=$A14)*M_BOM[RM_Qty_Per_Batch]*IFERROR(INDEX(PP_Grid[#Data],M_BOM[PPGridRow],5),0))</f>
        <v/>
      </c>
      <c r="F14">
        <f>SUMPRODUCT((M_BOM[Part Name]=$A14)*M_BOM[RM_Qty_Per_Batch]*IFERROR(INDEX(PP_Grid[#Data],M_BOM[PPGridRow],6),0))</f>
        <v/>
      </c>
      <c r="G14">
        <f>SUMPRODUCT((M_BOM[Part Name]=$A14)*M_BOM[RM_Qty_Per_Batch]*IFERROR(INDEX(PP_Grid[#Data],M_BOM[PPGridRow],7),0))</f>
        <v/>
      </c>
      <c r="H14">
        <f>SUMPRODUCT((M_BOM[Part Name]=$A14)*M_BOM[RM_Qty_Per_Batch]*IFERROR(INDEX(PP_Grid[#Data],M_BOM[PPGridRow],8),0))</f>
        <v/>
      </c>
      <c r="I14">
        <f>SUMPRODUCT((M_BOM[Part Name]=$A14)*M_BOM[RM_Qty_Per_Batch]*IFERROR(INDEX(PP_Grid[#Data],M_BOM[PPGridRow],9),0))</f>
        <v/>
      </c>
      <c r="J14">
        <f>SUMPRODUCT((M_BOM[Part Name]=$A14)*M_BOM[RM_Qty_Per_Batch]*IFERROR(INDEX(PP_Grid[#Data],M_BOM[PPGridRow],10),0))</f>
        <v/>
      </c>
      <c r="K14">
        <f>SUMPRODUCT((M_BOM[Part Name]=$A14)*M_BOM[RM_Qty_Per_Batch]*IFERROR(INDEX(PP_Grid[#Data],M_BOM[PPGridRow],11),0))</f>
        <v/>
      </c>
      <c r="L14">
        <f>SUMPRODUCT((M_BOM[Part Name]=$A14)*M_BOM[RM_Qty_Per_Batch]*IFERROR(INDEX(PP_Grid[#Data],M_BOM[PPGridRow],12),0))</f>
        <v/>
      </c>
      <c r="M14">
        <f>SUMPRODUCT((M_BOM[Part Name]=$A14)*M_BOM[RM_Qty_Per_Batch]*IFERROR(INDEX(PP_Grid[#Data],M_BOM[PPGridRow],13),0))</f>
        <v/>
      </c>
      <c r="N14">
        <f>SUMPRODUCT((M_BOM[Part Name]=$A14)*M_BOM[RM_Qty_Per_Batch]*IFERROR(INDEX(PP_Grid[#Data],M_BOM[PPGridRow],14),0))</f>
        <v/>
      </c>
      <c r="O14">
        <f>SUMPRODUCT((M_BOM[Part Name]=$A14)*M_BOM[RM_Qty_Per_Batch]*IFERROR(INDEX(PP_Grid[#Data],M_BOM[PPGridRow],15),0))</f>
        <v/>
      </c>
      <c r="P14">
        <f>SUMPRODUCT((M_BOM[Part Name]=$A14)*M_BOM[RM_Qty_Per_Batch]*IFERROR(INDEX(PP_Grid[#Data],M_BOM[PPGridRow],16),0))</f>
        <v/>
      </c>
      <c r="Q14">
        <f>SUMPRODUCT((M_BOM[Part Name]=$A14)*M_BOM[RM_Qty_Per_Batch]*IFERROR(INDEX(PP_Grid[#Data],M_BOM[PPGridRow],17),0))</f>
        <v/>
      </c>
      <c r="R14">
        <f>SUMPRODUCT((M_BOM[Part Name]=$A14)*M_BOM[RM_Qty_Per_Batch]*IFERROR(INDEX(PP_Grid[#Data],M_BOM[PPGridRow],18),0))</f>
        <v/>
      </c>
      <c r="S14">
        <f>SUMPRODUCT((M_BOM[Part Name]=$A14)*M_BOM[RM_Qty_Per_Batch]*IFERROR(INDEX(PP_Grid[#Data],M_BOM[PPGridRow],19),0))</f>
        <v/>
      </c>
      <c r="T14">
        <f>SUMPRODUCT((M_BOM[Part Name]=$A14)*M_BOM[RM_Qty_Per_Batch]*IFERROR(INDEX(PP_Grid[#Data],M_BOM[PPGridRow],20),0))</f>
        <v/>
      </c>
      <c r="U14">
        <f>SUMPRODUCT((M_BOM[Part Name]=$A14)*M_BOM[RM_Qty_Per_Batch]*IFERROR(INDEX(PP_Grid[#Data],M_BOM[PPGridRow],21),0))</f>
        <v/>
      </c>
      <c r="V14">
        <f>SUMPRODUCT((M_BOM[Part Name]=$A14)*M_BOM[RM_Qty_Per_Batch]*IFERROR(INDEX(PP_Grid[#Data],M_BOM[PPGridRow],22),0))</f>
        <v/>
      </c>
      <c r="W14">
        <f>SUMPRODUCT((M_BOM[Part Name]=$A14)*M_BOM[RM_Qty_Per_Batch]*IFERROR(INDEX(PP_Grid[#Data],M_BOM[PPGridRow],23),0))</f>
        <v/>
      </c>
      <c r="X14">
        <f>SUMPRODUCT((M_BOM[Part Name]=$A14)*M_BOM[RM_Qty_Per_Batch]*IFERROR(INDEX(PP_Grid[#Data],M_BOM[PPGridRow],24),0))</f>
        <v/>
      </c>
      <c r="Y14">
        <f>SUMPRODUCT((M_BOM[Part Name]=$A14)*M_BOM[RM_Qty_Per_Batch]*IFERROR(INDEX(PP_Grid[#Data],M_BOM[PPGridRow],25),0))</f>
        <v/>
      </c>
      <c r="Z14">
        <f>SUMPRODUCT((M_BOM[Part Name]=$A14)*M_BOM[RM_Qty_Per_Batch]*IFERROR(INDEX(PP_Grid[#Data],M_BOM[PPGridRow],26),0))</f>
        <v/>
      </c>
      <c r="AA14">
        <f>SUMPRODUCT((M_BOM[Part Name]=$A14)*M_BOM[RM_Qty_Per_Batch]*IFERROR(INDEX(PP_Grid[#Data],M_BOM[PPGridRow],27),0))</f>
        <v/>
      </c>
      <c r="AB14">
        <f>SUMPRODUCT((M_BOM[Part Name]=$A14)*M_BOM[RM_Qty_Per_Batch]*IFERROR(INDEX(PP_Grid[#Data],M_BOM[PPGridRow],28),0))</f>
        <v/>
      </c>
      <c r="AC14">
        <f>SUMPRODUCT((M_BOM[Part Name]=$A14)*M_BOM[RM_Qty_Per_Batch]*IFERROR(INDEX(PP_Grid[#Data],M_BOM[PPGridRow],29),0))</f>
        <v/>
      </c>
      <c r="AD14">
        <f>SUMPRODUCT((M_BOM[Part Name]=$A14)*M_BOM[RM_Qty_Per_Batch]*IFERROR(INDEX(PP_Grid[#Data],M_BOM[PPGridRow],30),0))</f>
        <v/>
      </c>
      <c r="AE14">
        <f>SUMPRODUCT((M_BOM[Part Name]=$A14)*M_BOM[RM_Qty_Per_Batch]*IFERROR(INDEX(PP_Grid[#Data],M_BOM[PPGridRow],31),0))</f>
        <v/>
      </c>
      <c r="AF14">
        <f>SUMPRODUCT((M_BOM[Part Name]=$A14)*M_BOM[RM_Qty_Per_Batch]*IFERROR(INDEX(PP_Grid[#Data],M_BOM[PPGridRow],32),0))</f>
        <v/>
      </c>
      <c r="AG14">
        <f>SUMPRODUCT((M_BOM[Part Name]=$A14)*M_BOM[RM_Qty_Per_Batch]*IFERROR(INDEX(PP_Grid[#Data],M_BOM[PPGridRow],33),0))</f>
        <v/>
      </c>
      <c r="AH14">
        <f>SUMPRODUCT((M_BOM[Part Name]=$A14)*M_BOM[RM_Qty_Per_Batch]*IFERROR(INDEX(PP_Grid[#Data],M_BOM[PPGridRow],34),0))</f>
        <v/>
      </c>
      <c r="AI14">
        <f>SUMPRODUCT((M_BOM[Part Name]=$A14)*M_BOM[RM_Qty_Per_Batch]*IFERROR(INDEX(PP_Grid[#Data],M_BOM[PPGridRow],35),0))</f>
        <v/>
      </c>
      <c r="AJ14">
        <f>SUMPRODUCT((M_BOM[Part Name]=$A14)*M_BOM[RM_Qty_Per_Batch]*IFERROR(INDEX(PP_Grid[#Data],M_BOM[PPGridRow],36),0))</f>
        <v/>
      </c>
      <c r="AK14">
        <f>SUMPRODUCT((M_BOM[Part Name]=$A14)*M_BOM[RM_Qty_Per_Batch]*IFERROR(INDEX(PP_Grid[#Data],M_BOM[PPGridRow],37),0))</f>
        <v/>
      </c>
      <c r="AL14">
        <f>SUMPRODUCT((M_BOM[Part Name]=$A14)*M_BOM[RM_Qty_Per_Batch]*IFERROR(INDEX(PP_Grid[#Data],M_BOM[PPGridRow],38),0))</f>
        <v/>
      </c>
      <c r="AM14">
        <f>SUMPRODUCT((M_BOM[Part Name]=$A14)*M_BOM[RM_Qty_Per_Batch]*IFERROR(INDEX(PP_Grid[#Data],M_BOM[PPGridRow],39),0))</f>
        <v/>
      </c>
      <c r="AN14">
        <f>SUMPRODUCT((M_BOM[Part Name]=$A14)*M_BOM[RM_Qty_Per_Batch]*IFERROR(INDEX(PP_Grid[#Data],M_BOM[PPGridRow],40),0))</f>
        <v/>
      </c>
      <c r="AO14">
        <f>SUMPRODUCT((M_BOM[Part Name]=$A14)*M_BOM[RM_Qty_Per_Batch]*IFERROR(INDEX(PP_Grid[#Data],M_BOM[PPGridRow],41),0))</f>
        <v/>
      </c>
      <c r="AP14">
        <f>SUMPRODUCT((M_BOM[Part Name]=$A14)*M_BOM[RM_Qty_Per_Batch]*IFERROR(INDEX(PP_Grid[#Data],M_BOM[PPGridRow],42),0))</f>
        <v/>
      </c>
      <c r="AQ14">
        <f>SUMPRODUCT((M_BOM[Part Name]=$A14)*M_BOM[RM_Qty_Per_Batch]*IFERROR(INDEX(PP_Grid[#Data],M_BOM[PPGridRow],43),0))</f>
        <v/>
      </c>
      <c r="AR14">
        <f>SUMPRODUCT((M_BOM[Part Name]=$A14)*M_BOM[RM_Qty_Per_Batch]*IFERROR(INDEX(PP_Grid[#Data],M_BOM[PPGridRow],44),0))</f>
        <v/>
      </c>
      <c r="AS14">
        <f>SUMPRODUCT((M_BOM[Part Name]=$A14)*M_BOM[RM_Qty_Per_Batch]*IFERROR(INDEX(PP_Grid[#Data],M_BOM[PPGridRow],45),0))</f>
        <v/>
      </c>
      <c r="AT14">
        <f>SUMPRODUCT((M_BOM[Part Name]=$A14)*M_BOM[RM_Qty_Per_Batch]*IFERROR(INDEX(PP_Grid[#Data],M_BOM[PPGridRow],46),0))</f>
        <v/>
      </c>
      <c r="AU14">
        <f>SUMPRODUCT((M_BOM[Part Name]=$A14)*M_BOM[RM_Qty_Per_Batch]*IFERROR(INDEX(PP_Grid[#Data],M_BOM[PPGridRow],47),0))</f>
        <v/>
      </c>
      <c r="AV14">
        <f>SUMPRODUCT((M_BOM[Part Name]=$A14)*M_BOM[RM_Qty_Per_Batch]*IFERROR(INDEX(PP_Grid[#Data],M_BOM[PPGridRow],48),0))</f>
        <v/>
      </c>
      <c r="AW14">
        <f>SUMPRODUCT((M_BOM[Part Name]=$A14)*M_BOM[RM_Qty_Per_Batch]*IFERROR(INDEX(PP_Grid[#Data],M_BOM[PPGridRow],49),0))</f>
        <v/>
      </c>
      <c r="AX14">
        <f>SUMPRODUCT((M_BOM[Part Name]=$A14)*M_BOM[RM_Qty_Per_Batch]*IFERROR(INDEX(PP_Grid[#Data],M_BOM[PPGridRow],50),0))</f>
        <v/>
      </c>
      <c r="AY14">
        <f>SUMPRODUCT((M_BOM[Part Name]=$A14)*M_BOM[RM_Qty_Per_Batch]*IFERROR(INDEX(PP_Grid[#Data],M_BOM[PPGridRow],51),0))</f>
        <v/>
      </c>
      <c r="AZ14">
        <f>SUMPRODUCT((M_BOM[Part Name]=$A14)*M_BOM[RM_Qty_Per_Batch]*IFERROR(INDEX(PP_Grid[#Data],M_BOM[PPGridRow],52),0))</f>
        <v/>
      </c>
      <c r="BA14">
        <f>SUMPRODUCT((M_BOM[Part Name]=$A14)*M_BOM[RM_Qty_Per_Batch]*IFERROR(INDEX(PP_Grid[#Data],M_BOM[PPGridRow],53),0))</f>
        <v/>
      </c>
      <c r="BB14">
        <f>SUMPRODUCT((M_BOM[Part Name]=$A14)*M_BOM[RM_Qty_Per_Batch]*IFERROR(INDEX(PP_Grid[#Data],M_BOM[PPGridRow],54),0))</f>
        <v/>
      </c>
      <c r="BC14">
        <f>SUMPRODUCT((M_BOM[Part Name]=$A14)*M_BOM[RM_Qty_Per_Batch]*IFERROR(INDEX(PP_Grid[#Data],M_BOM[PPGridRow],55),0))</f>
        <v/>
      </c>
      <c r="BD14">
        <f>SUMPRODUCT((M_BOM[Part Name]=$A14)*M_BOM[RM_Qty_Per_Batch]*IFERROR(INDEX(PP_Grid[#Data],M_BOM[PPGridRow],56),0))</f>
        <v/>
      </c>
      <c r="BE14">
        <f>SUMPRODUCT((M_BOM[Part Name]=$A14)*M_BOM[RM_Qty_Per_Batch]*IFERROR(INDEX(PP_Grid[#Data],M_BOM[PPGridRow],57),0))</f>
        <v/>
      </c>
      <c r="BF14">
        <f>SUMPRODUCT((M_BOM[Part Name]=$A14)*M_BOM[RM_Qty_Per_Batch]*IFERROR(INDEX(PP_Grid[#Data],M_BOM[PPGridRow],58),0))</f>
        <v/>
      </c>
      <c r="BG14">
        <f>SUMPRODUCT((M_BOM[Part Name]=$A14)*M_BOM[RM_Qty_Per_Batch]*IFERROR(INDEX(PP_Grid[#Data],M_BOM[PPGridRow],59),0))</f>
        <v/>
      </c>
      <c r="BH14">
        <f>SUMPRODUCT((M_BOM[Part Name]=$A14)*M_BOM[RM_Qty_Per_Batch]*IFERROR(INDEX(PP_Grid[#Data],M_BOM[PPGridRow],60),0))</f>
        <v/>
      </c>
      <c r="BI14">
        <f>SUMPRODUCT((M_BOM[Part Name]=$A14)*M_BOM[RM_Qty_Per_Batch]*IFERROR(INDEX(PP_Grid[#Data],M_BOM[PPGridRow],61),0))</f>
        <v/>
      </c>
      <c r="BJ14">
        <f>SUMPRODUCT((M_BOM[Part Name]=$A14)*M_BOM[RM_Qty_Per_Batch]*IFERROR(INDEX(PP_Grid[#Data],M_BOM[PPGridRow],62),0))</f>
        <v/>
      </c>
      <c r="BK14">
        <f>SUMPRODUCT((M_BOM[Part Name]=$A14)*M_BOM[RM_Qty_Per_Batch]*IFERROR(INDEX(PP_Grid[#Data],M_BOM[PPGridRow],63),0))</f>
        <v/>
      </c>
      <c r="BL14">
        <f>SUMPRODUCT((M_BOM[Part Name]=$A14)*M_BOM[RM_Qty_Per_Batch]*IFERROR(INDEX(PP_Grid[#Data],M_BOM[PPGridRow],64),0))</f>
        <v/>
      </c>
      <c r="BM14">
        <f>SUMPRODUCT((M_BOM[Part Name]=$A14)*M_BOM[RM_Qty_Per_Batch]*IFERROR(INDEX(PP_Grid[#Data],M_BOM[PPGridRow],65),0))</f>
        <v/>
      </c>
      <c r="BN14">
        <f>SUMPRODUCT((M_BOM[Part Name]=$A14)*M_BOM[RM_Qty_Per_Batch]*IFERROR(INDEX(PP_Grid[#Data],M_BOM[PPGridRow],66),0))</f>
        <v/>
      </c>
      <c r="BO14">
        <f>SUMPRODUCT((M_BOM[Part Name]=$A14)*M_BOM[RM_Qty_Per_Batch]*IFERROR(INDEX(PP_Grid[#Data],M_BOM[PPGridRow],67),0))</f>
        <v/>
      </c>
      <c r="BP14">
        <f>SUMPRODUCT((M_BOM[Part Name]=$A14)*M_BOM[RM_Qty_Per_Batch]*IFERROR(INDEX(PP_Grid[#Data],M_BOM[PPGridRow],68),0))</f>
        <v/>
      </c>
      <c r="BQ14">
        <f>SUMPRODUCT((M_BOM[Part Name]=$A14)*M_BOM[RM_Qty_Per_Batch]*IFERROR(INDEX(PP_Grid[#Data],M_BOM[PPGridRow],69),0))</f>
        <v/>
      </c>
      <c r="BR14">
        <f>SUMPRODUCT((M_BOM[Part Name]=$A14)*M_BOM[RM_Qty_Per_Batch]*IFERROR(INDEX(PP_Grid[#Data],M_BOM[PPGridRow],70),0))</f>
        <v/>
      </c>
      <c r="BS14">
        <f>SUMPRODUCT((M_BOM[Part Name]=$A14)*M_BOM[RM_Qty_Per_Batch]*IFERROR(INDEX(PP_Grid[#Data],M_BOM[PPGridRow],71),0))</f>
        <v/>
      </c>
      <c r="BT14">
        <f>SUMPRODUCT((M_BOM[Part Name]=$A14)*M_BOM[RM_Qty_Per_Batch]*IFERROR(INDEX(PP_Grid[#Data],M_BOM[PPGridRow],72),0))</f>
        <v/>
      </c>
      <c r="BU14">
        <f>SUMPRODUCT((M_BOM[Part Name]=$A14)*M_BOM[RM_Qty_Per_Batch]*IFERROR(INDEX(PP_Grid[#Data],M_BOM[PPGridRow],73),0))</f>
        <v/>
      </c>
      <c r="BV14">
        <f>SUMPRODUCT((M_BOM[Part Name]=$A14)*M_BOM[RM_Qty_Per_Batch]*IFERROR(INDEX(PP_Grid[#Data],M_BOM[PPGridRow],74),0))</f>
        <v/>
      </c>
      <c r="BW14">
        <f>SUMPRODUCT((M_BOM[Part Name]=$A14)*M_BOM[RM_Qty_Per_Batch]*IFERROR(INDEX(PP_Grid[#Data],M_BOM[PPGridRow],75),0))</f>
        <v/>
      </c>
      <c r="BX14">
        <f>SUMPRODUCT((M_BOM[Part Name]=$A14)*M_BOM[RM_Qty_Per_Batch]*IFERROR(INDEX(PP_Grid[#Data],M_BOM[PPGridRow],76),0))</f>
        <v/>
      </c>
      <c r="BY14">
        <f>SUMPRODUCT((M_BOM[Part Name]=$A14)*M_BOM[RM_Qty_Per_Batch]*IFERROR(INDEX(PP_Grid[#Data],M_BOM[PPGridRow],77),0))</f>
        <v/>
      </c>
      <c r="BZ14">
        <f>SUMPRODUCT((M_BOM[Part Name]=$A14)*M_BOM[RM_Qty_Per_Batch]*IFERROR(INDEX(PP_Grid[#Data],M_BOM[PPGridRow],78),0))</f>
        <v/>
      </c>
      <c r="CA14">
        <f>SUMPRODUCT((M_BOM[Part Name]=$A14)*M_BOM[RM_Qty_Per_Batch]*IFERROR(INDEX(PP_Grid[#Data],M_BOM[PPGridRow],79),0))</f>
        <v/>
      </c>
      <c r="CB14">
        <f>SUMPRODUCT((M_BOM[Part Name]=$A14)*M_BOM[RM_Qty_Per_Batch]*IFERROR(INDEX(PP_Grid[#Data],M_BOM[PPGridRow],80),0))</f>
        <v/>
      </c>
      <c r="CC14">
        <f>SUMPRODUCT((M_BOM[Part Name]=$A14)*M_BOM[RM_Qty_Per_Batch]*IFERROR(INDEX(PP_Grid[#Data],M_BOM[PPGridRow],81),0))</f>
        <v/>
      </c>
      <c r="CD14">
        <f>SUMPRODUCT((M_BOM[Part Name]=$A14)*M_BOM[RM_Qty_Per_Batch]*IFERROR(INDEX(PP_Grid[#Data],M_BOM[PPGridRow],82),0))</f>
        <v/>
      </c>
      <c r="CE14">
        <f>SUMPRODUCT((M_BOM[Part Name]=$A14)*M_BOM[RM_Qty_Per_Batch]*IFERROR(INDEX(PP_Grid[#Data],M_BOM[PPGridRow],83),0))</f>
        <v/>
      </c>
      <c r="CF14">
        <f>SUMPRODUCT((M_BOM[Part Name]=$A14)*M_BOM[RM_Qty_Per_Batch]*IFERROR(INDEX(PP_Grid[#Data],M_BOM[PPGridRow],84),0))</f>
        <v/>
      </c>
      <c r="CG14">
        <f>SUMPRODUCT((M_BOM[Part Name]=$A14)*M_BOM[RM_Qty_Per_Batch]*IFERROR(INDEX(PP_Grid[#Data],M_BOM[PPGridRow],85),0))</f>
        <v/>
      </c>
      <c r="CH14">
        <f>SUMPRODUCT((M_BOM[Part Name]=$A14)*M_BOM[RM_Qty_Per_Batch]*IFERROR(INDEX(PP_Grid[#Data],M_BOM[PPGridRow],86),0))</f>
        <v/>
      </c>
      <c r="CI14">
        <f>SUMPRODUCT((M_BOM[Part Name]=$A14)*M_BOM[RM_Qty_Per_Batch]*IFERROR(INDEX(PP_Grid[#Data],M_BOM[PPGridRow],87),0))</f>
        <v/>
      </c>
      <c r="CJ14">
        <f>SUMPRODUCT((M_BOM[Part Name]=$A14)*M_BOM[RM_Qty_Per_Batch]*IFERROR(INDEX(PP_Grid[#Data],M_BOM[PPGridRow],88),0))</f>
        <v/>
      </c>
      <c r="CK14">
        <f>SUMPRODUCT((M_BOM[Part Name]=$A14)*M_BOM[RM_Qty_Per_Batch]*IFERROR(INDEX(PP_Grid[#Data],M_BOM[PPGridRow],89),0))</f>
        <v/>
      </c>
      <c r="CL14">
        <f>SUMPRODUCT((M_BOM[Part Name]=$A14)*M_BOM[RM_Qty_Per_Batch]*IFERROR(INDEX(PP_Grid[#Data],M_BOM[PPGridRow],90),0))</f>
        <v/>
      </c>
      <c r="CM14">
        <f>SUMPRODUCT((M_BOM[Part Name]=$A14)*M_BOM[RM_Qty_Per_Batch]*IFERROR(INDEX(PP_Grid[#Data],M_BOM[PPGridRow],91),0))</f>
        <v/>
      </c>
      <c r="CN14">
        <f>SUMPRODUCT((M_BOM[Part Name]=$A14)*M_BOM[RM_Qty_Per_Batch]*IFERROR(INDEX(PP_Grid[#Data],M_BOM[PPGridRow],92),0))</f>
        <v/>
      </c>
      <c r="CO14">
        <f>SUMPRODUCT((M_BOM[Part Name]=$A14)*M_BOM[RM_Qty_Per_Batch]*IFERROR(INDEX(PP_Grid[#Data],M_BOM[PPGridRow],93),0))</f>
        <v/>
      </c>
      <c r="CP14">
        <f>SUMPRODUCT((M_BOM[Part Name]=$A14)*M_BOM[RM_Qty_Per_Batch]*IFERROR(INDEX(PP_Grid[#Data],M_BOM[PPGridRow],94),0))</f>
        <v/>
      </c>
      <c r="CQ14">
        <f>SUMPRODUCT((M_BOM[Part Name]=$A14)*M_BOM[RM_Qty_Per_Batch]*IFERROR(INDEX(PP_Grid[#Data],M_BOM[PPGridRow],95),0))</f>
        <v/>
      </c>
      <c r="CR14">
        <f>SUMPRODUCT((M_BOM[Part Name]=$A14)*M_BOM[RM_Qty_Per_Batch]*IFERROR(INDEX(PP_Grid[#Data],M_BOM[PPGridRow],96),0))</f>
        <v/>
      </c>
      <c r="CS14">
        <f>SUMPRODUCT((M_BOM[Part Name]=$A14)*M_BOM[RM_Qty_Per_Batch]*IFERROR(INDEX(PP_Grid[#Data],M_BOM[PPGridRow],97),0))</f>
        <v/>
      </c>
      <c r="CT14">
        <f>SUMPRODUCT((M_BOM[Part Name]=$A14)*M_BOM[RM_Qty_Per_Batch]*IFERROR(INDEX(PP_Grid[#Data],M_BOM[PPGridRow],98),0))</f>
        <v/>
      </c>
      <c r="CU14">
        <f>SUMPRODUCT((M_BOM[Part Name]=$A14)*M_BOM[RM_Qty_Per_Batch]*IFERROR(INDEX(PP_Grid[#Data],M_BOM[PPGridRow],99),0))</f>
        <v/>
      </c>
      <c r="CV14">
        <f>SUMPRODUCT((M_BOM[Part Name]=$A14)*M_BOM[RM_Qty_Per_Batch]*IFERROR(INDEX(PP_Grid[#Data],M_BOM[PPGridRow],100),0))</f>
        <v/>
      </c>
      <c r="CW14">
        <f>SUMPRODUCT((M_BOM[Part Name]=$A14)*M_BOM[RM_Qty_Per_Batch]*IFERROR(INDEX(PP_Grid[#Data],M_BOM[PPGridRow],101),0))</f>
        <v/>
      </c>
      <c r="CX14">
        <f>SUMPRODUCT((M_BOM[Part Name]=$A14)*M_BOM[RM_Qty_Per_Batch]*IFERROR(INDEX(PP_Grid[#Data],M_BOM[PPGridRow],102),0))</f>
        <v/>
      </c>
      <c r="CY14">
        <f>SUMPRODUCT((M_BOM[Part Name]=$A14)*M_BOM[RM_Qty_Per_Batch]*IFERROR(INDEX(PP_Grid[#Data],M_BOM[PPGridRow],103),0))</f>
        <v/>
      </c>
      <c r="CZ14">
        <f>SUMPRODUCT((M_BOM[Part Name]=$A14)*M_BOM[RM_Qty_Per_Batch]*IFERROR(INDEX(PP_Grid[#Data],M_BOM[PPGridRow],104),0))</f>
        <v/>
      </c>
      <c r="DA14">
        <f>SUMPRODUCT((M_BOM[Part Name]=$A14)*M_BOM[RM_Qty_Per_Batch]*IFERROR(INDEX(PP_Grid[#Data],M_BOM[PPGridRow],105),0))</f>
        <v/>
      </c>
    </row>
    <row r="15">
      <c r="A15" t="inlineStr">
        <is>
          <t>CHEM-1400</t>
        </is>
      </c>
      <c r="B15">
        <f>SUMPRODUCT((M_BOM[Part Name]=$A15)*M_BOM[RM_Qty_Per_Batch]*IFERROR(INDEX(PP_Grid[#Data],M_BOM[PPGridRow],2),0))</f>
        <v/>
      </c>
      <c r="C15">
        <f>SUMPRODUCT((M_BOM[Part Name]=$A15)*M_BOM[RM_Qty_Per_Batch]*IFERROR(INDEX(PP_Grid[#Data],M_BOM[PPGridRow],3),0))</f>
        <v/>
      </c>
      <c r="D15">
        <f>SUMPRODUCT((M_BOM[Part Name]=$A15)*M_BOM[RM_Qty_Per_Batch]*IFERROR(INDEX(PP_Grid[#Data],M_BOM[PPGridRow],4),0))</f>
        <v/>
      </c>
      <c r="E15">
        <f>SUMPRODUCT((M_BOM[Part Name]=$A15)*M_BOM[RM_Qty_Per_Batch]*IFERROR(INDEX(PP_Grid[#Data],M_BOM[PPGridRow],5),0))</f>
        <v/>
      </c>
      <c r="F15">
        <f>SUMPRODUCT((M_BOM[Part Name]=$A15)*M_BOM[RM_Qty_Per_Batch]*IFERROR(INDEX(PP_Grid[#Data],M_BOM[PPGridRow],6),0))</f>
        <v/>
      </c>
      <c r="G15">
        <f>SUMPRODUCT((M_BOM[Part Name]=$A15)*M_BOM[RM_Qty_Per_Batch]*IFERROR(INDEX(PP_Grid[#Data],M_BOM[PPGridRow],7),0))</f>
        <v/>
      </c>
      <c r="H15">
        <f>SUMPRODUCT((M_BOM[Part Name]=$A15)*M_BOM[RM_Qty_Per_Batch]*IFERROR(INDEX(PP_Grid[#Data],M_BOM[PPGridRow],8),0))</f>
        <v/>
      </c>
      <c r="I15">
        <f>SUMPRODUCT((M_BOM[Part Name]=$A15)*M_BOM[RM_Qty_Per_Batch]*IFERROR(INDEX(PP_Grid[#Data],M_BOM[PPGridRow],9),0))</f>
        <v/>
      </c>
      <c r="J15">
        <f>SUMPRODUCT((M_BOM[Part Name]=$A15)*M_BOM[RM_Qty_Per_Batch]*IFERROR(INDEX(PP_Grid[#Data],M_BOM[PPGridRow],10),0))</f>
        <v/>
      </c>
      <c r="K15">
        <f>SUMPRODUCT((M_BOM[Part Name]=$A15)*M_BOM[RM_Qty_Per_Batch]*IFERROR(INDEX(PP_Grid[#Data],M_BOM[PPGridRow],11),0))</f>
        <v/>
      </c>
      <c r="L15">
        <f>SUMPRODUCT((M_BOM[Part Name]=$A15)*M_BOM[RM_Qty_Per_Batch]*IFERROR(INDEX(PP_Grid[#Data],M_BOM[PPGridRow],12),0))</f>
        <v/>
      </c>
      <c r="M15">
        <f>SUMPRODUCT((M_BOM[Part Name]=$A15)*M_BOM[RM_Qty_Per_Batch]*IFERROR(INDEX(PP_Grid[#Data],M_BOM[PPGridRow],13),0))</f>
        <v/>
      </c>
      <c r="N15">
        <f>SUMPRODUCT((M_BOM[Part Name]=$A15)*M_BOM[RM_Qty_Per_Batch]*IFERROR(INDEX(PP_Grid[#Data],M_BOM[PPGridRow],14),0))</f>
        <v/>
      </c>
      <c r="O15">
        <f>SUMPRODUCT((M_BOM[Part Name]=$A15)*M_BOM[RM_Qty_Per_Batch]*IFERROR(INDEX(PP_Grid[#Data],M_BOM[PPGridRow],15),0))</f>
        <v/>
      </c>
      <c r="P15">
        <f>SUMPRODUCT((M_BOM[Part Name]=$A15)*M_BOM[RM_Qty_Per_Batch]*IFERROR(INDEX(PP_Grid[#Data],M_BOM[PPGridRow],16),0))</f>
        <v/>
      </c>
      <c r="Q15">
        <f>SUMPRODUCT((M_BOM[Part Name]=$A15)*M_BOM[RM_Qty_Per_Batch]*IFERROR(INDEX(PP_Grid[#Data],M_BOM[PPGridRow],17),0))</f>
        <v/>
      </c>
      <c r="R15">
        <f>SUMPRODUCT((M_BOM[Part Name]=$A15)*M_BOM[RM_Qty_Per_Batch]*IFERROR(INDEX(PP_Grid[#Data],M_BOM[PPGridRow],18),0))</f>
        <v/>
      </c>
      <c r="S15">
        <f>SUMPRODUCT((M_BOM[Part Name]=$A15)*M_BOM[RM_Qty_Per_Batch]*IFERROR(INDEX(PP_Grid[#Data],M_BOM[PPGridRow],19),0))</f>
        <v/>
      </c>
      <c r="T15">
        <f>SUMPRODUCT((M_BOM[Part Name]=$A15)*M_BOM[RM_Qty_Per_Batch]*IFERROR(INDEX(PP_Grid[#Data],M_BOM[PPGridRow],20),0))</f>
        <v/>
      </c>
      <c r="U15">
        <f>SUMPRODUCT((M_BOM[Part Name]=$A15)*M_BOM[RM_Qty_Per_Batch]*IFERROR(INDEX(PP_Grid[#Data],M_BOM[PPGridRow],21),0))</f>
        <v/>
      </c>
      <c r="V15">
        <f>SUMPRODUCT((M_BOM[Part Name]=$A15)*M_BOM[RM_Qty_Per_Batch]*IFERROR(INDEX(PP_Grid[#Data],M_BOM[PPGridRow],22),0))</f>
        <v/>
      </c>
      <c r="W15">
        <f>SUMPRODUCT((M_BOM[Part Name]=$A15)*M_BOM[RM_Qty_Per_Batch]*IFERROR(INDEX(PP_Grid[#Data],M_BOM[PPGridRow],23),0))</f>
        <v/>
      </c>
      <c r="X15">
        <f>SUMPRODUCT((M_BOM[Part Name]=$A15)*M_BOM[RM_Qty_Per_Batch]*IFERROR(INDEX(PP_Grid[#Data],M_BOM[PPGridRow],24),0))</f>
        <v/>
      </c>
      <c r="Y15">
        <f>SUMPRODUCT((M_BOM[Part Name]=$A15)*M_BOM[RM_Qty_Per_Batch]*IFERROR(INDEX(PP_Grid[#Data],M_BOM[PPGridRow],25),0))</f>
        <v/>
      </c>
      <c r="Z15">
        <f>SUMPRODUCT((M_BOM[Part Name]=$A15)*M_BOM[RM_Qty_Per_Batch]*IFERROR(INDEX(PP_Grid[#Data],M_BOM[PPGridRow],26),0))</f>
        <v/>
      </c>
      <c r="AA15">
        <f>SUMPRODUCT((M_BOM[Part Name]=$A15)*M_BOM[RM_Qty_Per_Batch]*IFERROR(INDEX(PP_Grid[#Data],M_BOM[PPGridRow],27),0))</f>
        <v/>
      </c>
      <c r="AB15">
        <f>SUMPRODUCT((M_BOM[Part Name]=$A15)*M_BOM[RM_Qty_Per_Batch]*IFERROR(INDEX(PP_Grid[#Data],M_BOM[PPGridRow],28),0))</f>
        <v/>
      </c>
      <c r="AC15">
        <f>SUMPRODUCT((M_BOM[Part Name]=$A15)*M_BOM[RM_Qty_Per_Batch]*IFERROR(INDEX(PP_Grid[#Data],M_BOM[PPGridRow],29),0))</f>
        <v/>
      </c>
      <c r="AD15">
        <f>SUMPRODUCT((M_BOM[Part Name]=$A15)*M_BOM[RM_Qty_Per_Batch]*IFERROR(INDEX(PP_Grid[#Data],M_BOM[PPGridRow],30),0))</f>
        <v/>
      </c>
      <c r="AE15">
        <f>SUMPRODUCT((M_BOM[Part Name]=$A15)*M_BOM[RM_Qty_Per_Batch]*IFERROR(INDEX(PP_Grid[#Data],M_BOM[PPGridRow],31),0))</f>
        <v/>
      </c>
      <c r="AF15">
        <f>SUMPRODUCT((M_BOM[Part Name]=$A15)*M_BOM[RM_Qty_Per_Batch]*IFERROR(INDEX(PP_Grid[#Data],M_BOM[PPGridRow],32),0))</f>
        <v/>
      </c>
      <c r="AG15">
        <f>SUMPRODUCT((M_BOM[Part Name]=$A15)*M_BOM[RM_Qty_Per_Batch]*IFERROR(INDEX(PP_Grid[#Data],M_BOM[PPGridRow],33),0))</f>
        <v/>
      </c>
      <c r="AH15">
        <f>SUMPRODUCT((M_BOM[Part Name]=$A15)*M_BOM[RM_Qty_Per_Batch]*IFERROR(INDEX(PP_Grid[#Data],M_BOM[PPGridRow],34),0))</f>
        <v/>
      </c>
      <c r="AI15">
        <f>SUMPRODUCT((M_BOM[Part Name]=$A15)*M_BOM[RM_Qty_Per_Batch]*IFERROR(INDEX(PP_Grid[#Data],M_BOM[PPGridRow],35),0))</f>
        <v/>
      </c>
      <c r="AJ15">
        <f>SUMPRODUCT((M_BOM[Part Name]=$A15)*M_BOM[RM_Qty_Per_Batch]*IFERROR(INDEX(PP_Grid[#Data],M_BOM[PPGridRow],36),0))</f>
        <v/>
      </c>
      <c r="AK15">
        <f>SUMPRODUCT((M_BOM[Part Name]=$A15)*M_BOM[RM_Qty_Per_Batch]*IFERROR(INDEX(PP_Grid[#Data],M_BOM[PPGridRow],37),0))</f>
        <v/>
      </c>
      <c r="AL15">
        <f>SUMPRODUCT((M_BOM[Part Name]=$A15)*M_BOM[RM_Qty_Per_Batch]*IFERROR(INDEX(PP_Grid[#Data],M_BOM[PPGridRow],38),0))</f>
        <v/>
      </c>
      <c r="AM15">
        <f>SUMPRODUCT((M_BOM[Part Name]=$A15)*M_BOM[RM_Qty_Per_Batch]*IFERROR(INDEX(PP_Grid[#Data],M_BOM[PPGridRow],39),0))</f>
        <v/>
      </c>
      <c r="AN15">
        <f>SUMPRODUCT((M_BOM[Part Name]=$A15)*M_BOM[RM_Qty_Per_Batch]*IFERROR(INDEX(PP_Grid[#Data],M_BOM[PPGridRow],40),0))</f>
        <v/>
      </c>
      <c r="AO15">
        <f>SUMPRODUCT((M_BOM[Part Name]=$A15)*M_BOM[RM_Qty_Per_Batch]*IFERROR(INDEX(PP_Grid[#Data],M_BOM[PPGridRow],41),0))</f>
        <v/>
      </c>
      <c r="AP15">
        <f>SUMPRODUCT((M_BOM[Part Name]=$A15)*M_BOM[RM_Qty_Per_Batch]*IFERROR(INDEX(PP_Grid[#Data],M_BOM[PPGridRow],42),0))</f>
        <v/>
      </c>
      <c r="AQ15">
        <f>SUMPRODUCT((M_BOM[Part Name]=$A15)*M_BOM[RM_Qty_Per_Batch]*IFERROR(INDEX(PP_Grid[#Data],M_BOM[PPGridRow],43),0))</f>
        <v/>
      </c>
      <c r="AR15">
        <f>SUMPRODUCT((M_BOM[Part Name]=$A15)*M_BOM[RM_Qty_Per_Batch]*IFERROR(INDEX(PP_Grid[#Data],M_BOM[PPGridRow],44),0))</f>
        <v/>
      </c>
      <c r="AS15">
        <f>SUMPRODUCT((M_BOM[Part Name]=$A15)*M_BOM[RM_Qty_Per_Batch]*IFERROR(INDEX(PP_Grid[#Data],M_BOM[PPGridRow],45),0))</f>
        <v/>
      </c>
      <c r="AT15">
        <f>SUMPRODUCT((M_BOM[Part Name]=$A15)*M_BOM[RM_Qty_Per_Batch]*IFERROR(INDEX(PP_Grid[#Data],M_BOM[PPGridRow],46),0))</f>
        <v/>
      </c>
      <c r="AU15">
        <f>SUMPRODUCT((M_BOM[Part Name]=$A15)*M_BOM[RM_Qty_Per_Batch]*IFERROR(INDEX(PP_Grid[#Data],M_BOM[PPGridRow],47),0))</f>
        <v/>
      </c>
      <c r="AV15">
        <f>SUMPRODUCT((M_BOM[Part Name]=$A15)*M_BOM[RM_Qty_Per_Batch]*IFERROR(INDEX(PP_Grid[#Data],M_BOM[PPGridRow],48),0))</f>
        <v/>
      </c>
      <c r="AW15">
        <f>SUMPRODUCT((M_BOM[Part Name]=$A15)*M_BOM[RM_Qty_Per_Batch]*IFERROR(INDEX(PP_Grid[#Data],M_BOM[PPGridRow],49),0))</f>
        <v/>
      </c>
      <c r="AX15">
        <f>SUMPRODUCT((M_BOM[Part Name]=$A15)*M_BOM[RM_Qty_Per_Batch]*IFERROR(INDEX(PP_Grid[#Data],M_BOM[PPGridRow],50),0))</f>
        <v/>
      </c>
      <c r="AY15">
        <f>SUMPRODUCT((M_BOM[Part Name]=$A15)*M_BOM[RM_Qty_Per_Batch]*IFERROR(INDEX(PP_Grid[#Data],M_BOM[PPGridRow],51),0))</f>
        <v/>
      </c>
      <c r="AZ15">
        <f>SUMPRODUCT((M_BOM[Part Name]=$A15)*M_BOM[RM_Qty_Per_Batch]*IFERROR(INDEX(PP_Grid[#Data],M_BOM[PPGridRow],52),0))</f>
        <v/>
      </c>
      <c r="BA15">
        <f>SUMPRODUCT((M_BOM[Part Name]=$A15)*M_BOM[RM_Qty_Per_Batch]*IFERROR(INDEX(PP_Grid[#Data],M_BOM[PPGridRow],53),0))</f>
        <v/>
      </c>
      <c r="BB15">
        <f>SUMPRODUCT((M_BOM[Part Name]=$A15)*M_BOM[RM_Qty_Per_Batch]*IFERROR(INDEX(PP_Grid[#Data],M_BOM[PPGridRow],54),0))</f>
        <v/>
      </c>
      <c r="BC15">
        <f>SUMPRODUCT((M_BOM[Part Name]=$A15)*M_BOM[RM_Qty_Per_Batch]*IFERROR(INDEX(PP_Grid[#Data],M_BOM[PPGridRow],55),0))</f>
        <v/>
      </c>
      <c r="BD15">
        <f>SUMPRODUCT((M_BOM[Part Name]=$A15)*M_BOM[RM_Qty_Per_Batch]*IFERROR(INDEX(PP_Grid[#Data],M_BOM[PPGridRow],56),0))</f>
        <v/>
      </c>
      <c r="BE15">
        <f>SUMPRODUCT((M_BOM[Part Name]=$A15)*M_BOM[RM_Qty_Per_Batch]*IFERROR(INDEX(PP_Grid[#Data],M_BOM[PPGridRow],57),0))</f>
        <v/>
      </c>
      <c r="BF15">
        <f>SUMPRODUCT((M_BOM[Part Name]=$A15)*M_BOM[RM_Qty_Per_Batch]*IFERROR(INDEX(PP_Grid[#Data],M_BOM[PPGridRow],58),0))</f>
        <v/>
      </c>
      <c r="BG15">
        <f>SUMPRODUCT((M_BOM[Part Name]=$A15)*M_BOM[RM_Qty_Per_Batch]*IFERROR(INDEX(PP_Grid[#Data],M_BOM[PPGridRow],59),0))</f>
        <v/>
      </c>
      <c r="BH15">
        <f>SUMPRODUCT((M_BOM[Part Name]=$A15)*M_BOM[RM_Qty_Per_Batch]*IFERROR(INDEX(PP_Grid[#Data],M_BOM[PPGridRow],60),0))</f>
        <v/>
      </c>
      <c r="BI15">
        <f>SUMPRODUCT((M_BOM[Part Name]=$A15)*M_BOM[RM_Qty_Per_Batch]*IFERROR(INDEX(PP_Grid[#Data],M_BOM[PPGridRow],61),0))</f>
        <v/>
      </c>
      <c r="BJ15">
        <f>SUMPRODUCT((M_BOM[Part Name]=$A15)*M_BOM[RM_Qty_Per_Batch]*IFERROR(INDEX(PP_Grid[#Data],M_BOM[PPGridRow],62),0))</f>
        <v/>
      </c>
      <c r="BK15">
        <f>SUMPRODUCT((M_BOM[Part Name]=$A15)*M_BOM[RM_Qty_Per_Batch]*IFERROR(INDEX(PP_Grid[#Data],M_BOM[PPGridRow],63),0))</f>
        <v/>
      </c>
      <c r="BL15">
        <f>SUMPRODUCT((M_BOM[Part Name]=$A15)*M_BOM[RM_Qty_Per_Batch]*IFERROR(INDEX(PP_Grid[#Data],M_BOM[PPGridRow],64),0))</f>
        <v/>
      </c>
      <c r="BM15">
        <f>SUMPRODUCT((M_BOM[Part Name]=$A15)*M_BOM[RM_Qty_Per_Batch]*IFERROR(INDEX(PP_Grid[#Data],M_BOM[PPGridRow],65),0))</f>
        <v/>
      </c>
      <c r="BN15">
        <f>SUMPRODUCT((M_BOM[Part Name]=$A15)*M_BOM[RM_Qty_Per_Batch]*IFERROR(INDEX(PP_Grid[#Data],M_BOM[PPGridRow],66),0))</f>
        <v/>
      </c>
      <c r="BO15">
        <f>SUMPRODUCT((M_BOM[Part Name]=$A15)*M_BOM[RM_Qty_Per_Batch]*IFERROR(INDEX(PP_Grid[#Data],M_BOM[PPGridRow],67),0))</f>
        <v/>
      </c>
      <c r="BP15">
        <f>SUMPRODUCT((M_BOM[Part Name]=$A15)*M_BOM[RM_Qty_Per_Batch]*IFERROR(INDEX(PP_Grid[#Data],M_BOM[PPGridRow],68),0))</f>
        <v/>
      </c>
      <c r="BQ15">
        <f>SUMPRODUCT((M_BOM[Part Name]=$A15)*M_BOM[RM_Qty_Per_Batch]*IFERROR(INDEX(PP_Grid[#Data],M_BOM[PPGridRow],69),0))</f>
        <v/>
      </c>
      <c r="BR15">
        <f>SUMPRODUCT((M_BOM[Part Name]=$A15)*M_BOM[RM_Qty_Per_Batch]*IFERROR(INDEX(PP_Grid[#Data],M_BOM[PPGridRow],70),0))</f>
        <v/>
      </c>
      <c r="BS15">
        <f>SUMPRODUCT((M_BOM[Part Name]=$A15)*M_BOM[RM_Qty_Per_Batch]*IFERROR(INDEX(PP_Grid[#Data],M_BOM[PPGridRow],71),0))</f>
        <v/>
      </c>
      <c r="BT15">
        <f>SUMPRODUCT((M_BOM[Part Name]=$A15)*M_BOM[RM_Qty_Per_Batch]*IFERROR(INDEX(PP_Grid[#Data],M_BOM[PPGridRow],72),0))</f>
        <v/>
      </c>
      <c r="BU15">
        <f>SUMPRODUCT((M_BOM[Part Name]=$A15)*M_BOM[RM_Qty_Per_Batch]*IFERROR(INDEX(PP_Grid[#Data],M_BOM[PPGridRow],73),0))</f>
        <v/>
      </c>
      <c r="BV15">
        <f>SUMPRODUCT((M_BOM[Part Name]=$A15)*M_BOM[RM_Qty_Per_Batch]*IFERROR(INDEX(PP_Grid[#Data],M_BOM[PPGridRow],74),0))</f>
        <v/>
      </c>
      <c r="BW15">
        <f>SUMPRODUCT((M_BOM[Part Name]=$A15)*M_BOM[RM_Qty_Per_Batch]*IFERROR(INDEX(PP_Grid[#Data],M_BOM[PPGridRow],75),0))</f>
        <v/>
      </c>
      <c r="BX15">
        <f>SUMPRODUCT((M_BOM[Part Name]=$A15)*M_BOM[RM_Qty_Per_Batch]*IFERROR(INDEX(PP_Grid[#Data],M_BOM[PPGridRow],76),0))</f>
        <v/>
      </c>
      <c r="BY15">
        <f>SUMPRODUCT((M_BOM[Part Name]=$A15)*M_BOM[RM_Qty_Per_Batch]*IFERROR(INDEX(PP_Grid[#Data],M_BOM[PPGridRow],77),0))</f>
        <v/>
      </c>
      <c r="BZ15">
        <f>SUMPRODUCT((M_BOM[Part Name]=$A15)*M_BOM[RM_Qty_Per_Batch]*IFERROR(INDEX(PP_Grid[#Data],M_BOM[PPGridRow],78),0))</f>
        <v/>
      </c>
      <c r="CA15">
        <f>SUMPRODUCT((M_BOM[Part Name]=$A15)*M_BOM[RM_Qty_Per_Batch]*IFERROR(INDEX(PP_Grid[#Data],M_BOM[PPGridRow],79),0))</f>
        <v/>
      </c>
      <c r="CB15">
        <f>SUMPRODUCT((M_BOM[Part Name]=$A15)*M_BOM[RM_Qty_Per_Batch]*IFERROR(INDEX(PP_Grid[#Data],M_BOM[PPGridRow],80),0))</f>
        <v/>
      </c>
      <c r="CC15">
        <f>SUMPRODUCT((M_BOM[Part Name]=$A15)*M_BOM[RM_Qty_Per_Batch]*IFERROR(INDEX(PP_Grid[#Data],M_BOM[PPGridRow],81),0))</f>
        <v/>
      </c>
      <c r="CD15">
        <f>SUMPRODUCT((M_BOM[Part Name]=$A15)*M_BOM[RM_Qty_Per_Batch]*IFERROR(INDEX(PP_Grid[#Data],M_BOM[PPGridRow],82),0))</f>
        <v/>
      </c>
      <c r="CE15">
        <f>SUMPRODUCT((M_BOM[Part Name]=$A15)*M_BOM[RM_Qty_Per_Batch]*IFERROR(INDEX(PP_Grid[#Data],M_BOM[PPGridRow],83),0))</f>
        <v/>
      </c>
      <c r="CF15">
        <f>SUMPRODUCT((M_BOM[Part Name]=$A15)*M_BOM[RM_Qty_Per_Batch]*IFERROR(INDEX(PP_Grid[#Data],M_BOM[PPGridRow],84),0))</f>
        <v/>
      </c>
      <c r="CG15">
        <f>SUMPRODUCT((M_BOM[Part Name]=$A15)*M_BOM[RM_Qty_Per_Batch]*IFERROR(INDEX(PP_Grid[#Data],M_BOM[PPGridRow],85),0))</f>
        <v/>
      </c>
      <c r="CH15">
        <f>SUMPRODUCT((M_BOM[Part Name]=$A15)*M_BOM[RM_Qty_Per_Batch]*IFERROR(INDEX(PP_Grid[#Data],M_BOM[PPGridRow],86),0))</f>
        <v/>
      </c>
      <c r="CI15">
        <f>SUMPRODUCT((M_BOM[Part Name]=$A15)*M_BOM[RM_Qty_Per_Batch]*IFERROR(INDEX(PP_Grid[#Data],M_BOM[PPGridRow],87),0))</f>
        <v/>
      </c>
      <c r="CJ15">
        <f>SUMPRODUCT((M_BOM[Part Name]=$A15)*M_BOM[RM_Qty_Per_Batch]*IFERROR(INDEX(PP_Grid[#Data],M_BOM[PPGridRow],88),0))</f>
        <v/>
      </c>
      <c r="CK15">
        <f>SUMPRODUCT((M_BOM[Part Name]=$A15)*M_BOM[RM_Qty_Per_Batch]*IFERROR(INDEX(PP_Grid[#Data],M_BOM[PPGridRow],89),0))</f>
        <v/>
      </c>
      <c r="CL15">
        <f>SUMPRODUCT((M_BOM[Part Name]=$A15)*M_BOM[RM_Qty_Per_Batch]*IFERROR(INDEX(PP_Grid[#Data],M_BOM[PPGridRow],90),0))</f>
        <v/>
      </c>
      <c r="CM15">
        <f>SUMPRODUCT((M_BOM[Part Name]=$A15)*M_BOM[RM_Qty_Per_Batch]*IFERROR(INDEX(PP_Grid[#Data],M_BOM[PPGridRow],91),0))</f>
        <v/>
      </c>
      <c r="CN15">
        <f>SUMPRODUCT((M_BOM[Part Name]=$A15)*M_BOM[RM_Qty_Per_Batch]*IFERROR(INDEX(PP_Grid[#Data],M_BOM[PPGridRow],92),0))</f>
        <v/>
      </c>
      <c r="CO15">
        <f>SUMPRODUCT((M_BOM[Part Name]=$A15)*M_BOM[RM_Qty_Per_Batch]*IFERROR(INDEX(PP_Grid[#Data],M_BOM[PPGridRow],93),0))</f>
        <v/>
      </c>
      <c r="CP15">
        <f>SUMPRODUCT((M_BOM[Part Name]=$A15)*M_BOM[RM_Qty_Per_Batch]*IFERROR(INDEX(PP_Grid[#Data],M_BOM[PPGridRow],94),0))</f>
        <v/>
      </c>
      <c r="CQ15">
        <f>SUMPRODUCT((M_BOM[Part Name]=$A15)*M_BOM[RM_Qty_Per_Batch]*IFERROR(INDEX(PP_Grid[#Data],M_BOM[PPGridRow],95),0))</f>
        <v/>
      </c>
      <c r="CR15">
        <f>SUMPRODUCT((M_BOM[Part Name]=$A15)*M_BOM[RM_Qty_Per_Batch]*IFERROR(INDEX(PP_Grid[#Data],M_BOM[PPGridRow],96),0))</f>
        <v/>
      </c>
      <c r="CS15">
        <f>SUMPRODUCT((M_BOM[Part Name]=$A15)*M_BOM[RM_Qty_Per_Batch]*IFERROR(INDEX(PP_Grid[#Data],M_BOM[PPGridRow],97),0))</f>
        <v/>
      </c>
      <c r="CT15">
        <f>SUMPRODUCT((M_BOM[Part Name]=$A15)*M_BOM[RM_Qty_Per_Batch]*IFERROR(INDEX(PP_Grid[#Data],M_BOM[PPGridRow],98),0))</f>
        <v/>
      </c>
      <c r="CU15">
        <f>SUMPRODUCT((M_BOM[Part Name]=$A15)*M_BOM[RM_Qty_Per_Batch]*IFERROR(INDEX(PP_Grid[#Data],M_BOM[PPGridRow],99),0))</f>
        <v/>
      </c>
      <c r="CV15">
        <f>SUMPRODUCT((M_BOM[Part Name]=$A15)*M_BOM[RM_Qty_Per_Batch]*IFERROR(INDEX(PP_Grid[#Data],M_BOM[PPGridRow],100),0))</f>
        <v/>
      </c>
      <c r="CW15">
        <f>SUMPRODUCT((M_BOM[Part Name]=$A15)*M_BOM[RM_Qty_Per_Batch]*IFERROR(INDEX(PP_Grid[#Data],M_BOM[PPGridRow],101),0))</f>
        <v/>
      </c>
      <c r="CX15">
        <f>SUMPRODUCT((M_BOM[Part Name]=$A15)*M_BOM[RM_Qty_Per_Batch]*IFERROR(INDEX(PP_Grid[#Data],M_BOM[PPGridRow],102),0))</f>
        <v/>
      </c>
      <c r="CY15">
        <f>SUMPRODUCT((M_BOM[Part Name]=$A15)*M_BOM[RM_Qty_Per_Batch]*IFERROR(INDEX(PP_Grid[#Data],M_BOM[PPGridRow],103),0))</f>
        <v/>
      </c>
      <c r="CZ15">
        <f>SUMPRODUCT((M_BOM[Part Name]=$A15)*M_BOM[RM_Qty_Per_Batch]*IFERROR(INDEX(PP_Grid[#Data],M_BOM[PPGridRow],104),0))</f>
        <v/>
      </c>
      <c r="DA15">
        <f>SUMPRODUCT((M_BOM[Part Name]=$A15)*M_BOM[RM_Qty_Per_Batch]*IFERROR(INDEX(PP_Grid[#Data],M_BOM[PPGridRow],105),0))</f>
        <v/>
      </c>
    </row>
    <row r="16">
      <c r="A16" t="inlineStr">
        <is>
          <t>CHEM-1570</t>
        </is>
      </c>
      <c r="B16">
        <f>SUMPRODUCT((M_BOM[Part Name]=$A16)*M_BOM[RM_Qty_Per_Batch]*IFERROR(INDEX(PP_Grid[#Data],M_BOM[PPGridRow],2),0))</f>
        <v/>
      </c>
      <c r="C16">
        <f>SUMPRODUCT((M_BOM[Part Name]=$A16)*M_BOM[RM_Qty_Per_Batch]*IFERROR(INDEX(PP_Grid[#Data],M_BOM[PPGridRow],3),0))</f>
        <v/>
      </c>
      <c r="D16">
        <f>SUMPRODUCT((M_BOM[Part Name]=$A16)*M_BOM[RM_Qty_Per_Batch]*IFERROR(INDEX(PP_Grid[#Data],M_BOM[PPGridRow],4),0))</f>
        <v/>
      </c>
      <c r="E16">
        <f>SUMPRODUCT((M_BOM[Part Name]=$A16)*M_BOM[RM_Qty_Per_Batch]*IFERROR(INDEX(PP_Grid[#Data],M_BOM[PPGridRow],5),0))</f>
        <v/>
      </c>
      <c r="F16">
        <f>SUMPRODUCT((M_BOM[Part Name]=$A16)*M_BOM[RM_Qty_Per_Batch]*IFERROR(INDEX(PP_Grid[#Data],M_BOM[PPGridRow],6),0))</f>
        <v/>
      </c>
      <c r="G16">
        <f>SUMPRODUCT((M_BOM[Part Name]=$A16)*M_BOM[RM_Qty_Per_Batch]*IFERROR(INDEX(PP_Grid[#Data],M_BOM[PPGridRow],7),0))</f>
        <v/>
      </c>
      <c r="H16">
        <f>SUMPRODUCT((M_BOM[Part Name]=$A16)*M_BOM[RM_Qty_Per_Batch]*IFERROR(INDEX(PP_Grid[#Data],M_BOM[PPGridRow],8),0))</f>
        <v/>
      </c>
      <c r="I16">
        <f>SUMPRODUCT((M_BOM[Part Name]=$A16)*M_BOM[RM_Qty_Per_Batch]*IFERROR(INDEX(PP_Grid[#Data],M_BOM[PPGridRow],9),0))</f>
        <v/>
      </c>
      <c r="J16">
        <f>SUMPRODUCT((M_BOM[Part Name]=$A16)*M_BOM[RM_Qty_Per_Batch]*IFERROR(INDEX(PP_Grid[#Data],M_BOM[PPGridRow],10),0))</f>
        <v/>
      </c>
      <c r="K16">
        <f>SUMPRODUCT((M_BOM[Part Name]=$A16)*M_BOM[RM_Qty_Per_Batch]*IFERROR(INDEX(PP_Grid[#Data],M_BOM[PPGridRow],11),0))</f>
        <v/>
      </c>
      <c r="L16">
        <f>SUMPRODUCT((M_BOM[Part Name]=$A16)*M_BOM[RM_Qty_Per_Batch]*IFERROR(INDEX(PP_Grid[#Data],M_BOM[PPGridRow],12),0))</f>
        <v/>
      </c>
      <c r="M16">
        <f>SUMPRODUCT((M_BOM[Part Name]=$A16)*M_BOM[RM_Qty_Per_Batch]*IFERROR(INDEX(PP_Grid[#Data],M_BOM[PPGridRow],13),0))</f>
        <v/>
      </c>
      <c r="N16">
        <f>SUMPRODUCT((M_BOM[Part Name]=$A16)*M_BOM[RM_Qty_Per_Batch]*IFERROR(INDEX(PP_Grid[#Data],M_BOM[PPGridRow],14),0))</f>
        <v/>
      </c>
      <c r="O16">
        <f>SUMPRODUCT((M_BOM[Part Name]=$A16)*M_BOM[RM_Qty_Per_Batch]*IFERROR(INDEX(PP_Grid[#Data],M_BOM[PPGridRow],15),0))</f>
        <v/>
      </c>
      <c r="P16">
        <f>SUMPRODUCT((M_BOM[Part Name]=$A16)*M_BOM[RM_Qty_Per_Batch]*IFERROR(INDEX(PP_Grid[#Data],M_BOM[PPGridRow],16),0))</f>
        <v/>
      </c>
      <c r="Q16">
        <f>SUMPRODUCT((M_BOM[Part Name]=$A16)*M_BOM[RM_Qty_Per_Batch]*IFERROR(INDEX(PP_Grid[#Data],M_BOM[PPGridRow],17),0))</f>
        <v/>
      </c>
      <c r="R16">
        <f>SUMPRODUCT((M_BOM[Part Name]=$A16)*M_BOM[RM_Qty_Per_Batch]*IFERROR(INDEX(PP_Grid[#Data],M_BOM[PPGridRow],18),0))</f>
        <v/>
      </c>
      <c r="S16">
        <f>SUMPRODUCT((M_BOM[Part Name]=$A16)*M_BOM[RM_Qty_Per_Batch]*IFERROR(INDEX(PP_Grid[#Data],M_BOM[PPGridRow],19),0))</f>
        <v/>
      </c>
      <c r="T16">
        <f>SUMPRODUCT((M_BOM[Part Name]=$A16)*M_BOM[RM_Qty_Per_Batch]*IFERROR(INDEX(PP_Grid[#Data],M_BOM[PPGridRow],20),0))</f>
        <v/>
      </c>
      <c r="U16">
        <f>SUMPRODUCT((M_BOM[Part Name]=$A16)*M_BOM[RM_Qty_Per_Batch]*IFERROR(INDEX(PP_Grid[#Data],M_BOM[PPGridRow],21),0))</f>
        <v/>
      </c>
      <c r="V16">
        <f>SUMPRODUCT((M_BOM[Part Name]=$A16)*M_BOM[RM_Qty_Per_Batch]*IFERROR(INDEX(PP_Grid[#Data],M_BOM[PPGridRow],22),0))</f>
        <v/>
      </c>
      <c r="W16">
        <f>SUMPRODUCT((M_BOM[Part Name]=$A16)*M_BOM[RM_Qty_Per_Batch]*IFERROR(INDEX(PP_Grid[#Data],M_BOM[PPGridRow],23),0))</f>
        <v/>
      </c>
      <c r="X16">
        <f>SUMPRODUCT((M_BOM[Part Name]=$A16)*M_BOM[RM_Qty_Per_Batch]*IFERROR(INDEX(PP_Grid[#Data],M_BOM[PPGridRow],24),0))</f>
        <v/>
      </c>
      <c r="Y16">
        <f>SUMPRODUCT((M_BOM[Part Name]=$A16)*M_BOM[RM_Qty_Per_Batch]*IFERROR(INDEX(PP_Grid[#Data],M_BOM[PPGridRow],25),0))</f>
        <v/>
      </c>
      <c r="Z16">
        <f>SUMPRODUCT((M_BOM[Part Name]=$A16)*M_BOM[RM_Qty_Per_Batch]*IFERROR(INDEX(PP_Grid[#Data],M_BOM[PPGridRow],26),0))</f>
        <v/>
      </c>
      <c r="AA16">
        <f>SUMPRODUCT((M_BOM[Part Name]=$A16)*M_BOM[RM_Qty_Per_Batch]*IFERROR(INDEX(PP_Grid[#Data],M_BOM[PPGridRow],27),0))</f>
        <v/>
      </c>
      <c r="AB16">
        <f>SUMPRODUCT((M_BOM[Part Name]=$A16)*M_BOM[RM_Qty_Per_Batch]*IFERROR(INDEX(PP_Grid[#Data],M_BOM[PPGridRow],28),0))</f>
        <v/>
      </c>
      <c r="AC16">
        <f>SUMPRODUCT((M_BOM[Part Name]=$A16)*M_BOM[RM_Qty_Per_Batch]*IFERROR(INDEX(PP_Grid[#Data],M_BOM[PPGridRow],29),0))</f>
        <v/>
      </c>
      <c r="AD16">
        <f>SUMPRODUCT((M_BOM[Part Name]=$A16)*M_BOM[RM_Qty_Per_Batch]*IFERROR(INDEX(PP_Grid[#Data],M_BOM[PPGridRow],30),0))</f>
        <v/>
      </c>
      <c r="AE16">
        <f>SUMPRODUCT((M_BOM[Part Name]=$A16)*M_BOM[RM_Qty_Per_Batch]*IFERROR(INDEX(PP_Grid[#Data],M_BOM[PPGridRow],31),0))</f>
        <v/>
      </c>
      <c r="AF16">
        <f>SUMPRODUCT((M_BOM[Part Name]=$A16)*M_BOM[RM_Qty_Per_Batch]*IFERROR(INDEX(PP_Grid[#Data],M_BOM[PPGridRow],32),0))</f>
        <v/>
      </c>
      <c r="AG16">
        <f>SUMPRODUCT((M_BOM[Part Name]=$A16)*M_BOM[RM_Qty_Per_Batch]*IFERROR(INDEX(PP_Grid[#Data],M_BOM[PPGridRow],33),0))</f>
        <v/>
      </c>
      <c r="AH16">
        <f>SUMPRODUCT((M_BOM[Part Name]=$A16)*M_BOM[RM_Qty_Per_Batch]*IFERROR(INDEX(PP_Grid[#Data],M_BOM[PPGridRow],34),0))</f>
        <v/>
      </c>
      <c r="AI16">
        <f>SUMPRODUCT((M_BOM[Part Name]=$A16)*M_BOM[RM_Qty_Per_Batch]*IFERROR(INDEX(PP_Grid[#Data],M_BOM[PPGridRow],35),0))</f>
        <v/>
      </c>
      <c r="AJ16">
        <f>SUMPRODUCT((M_BOM[Part Name]=$A16)*M_BOM[RM_Qty_Per_Batch]*IFERROR(INDEX(PP_Grid[#Data],M_BOM[PPGridRow],36),0))</f>
        <v/>
      </c>
      <c r="AK16">
        <f>SUMPRODUCT((M_BOM[Part Name]=$A16)*M_BOM[RM_Qty_Per_Batch]*IFERROR(INDEX(PP_Grid[#Data],M_BOM[PPGridRow],37),0))</f>
        <v/>
      </c>
      <c r="AL16">
        <f>SUMPRODUCT((M_BOM[Part Name]=$A16)*M_BOM[RM_Qty_Per_Batch]*IFERROR(INDEX(PP_Grid[#Data],M_BOM[PPGridRow],38),0))</f>
        <v/>
      </c>
      <c r="AM16">
        <f>SUMPRODUCT((M_BOM[Part Name]=$A16)*M_BOM[RM_Qty_Per_Batch]*IFERROR(INDEX(PP_Grid[#Data],M_BOM[PPGridRow],39),0))</f>
        <v/>
      </c>
      <c r="AN16">
        <f>SUMPRODUCT((M_BOM[Part Name]=$A16)*M_BOM[RM_Qty_Per_Batch]*IFERROR(INDEX(PP_Grid[#Data],M_BOM[PPGridRow],40),0))</f>
        <v/>
      </c>
      <c r="AO16">
        <f>SUMPRODUCT((M_BOM[Part Name]=$A16)*M_BOM[RM_Qty_Per_Batch]*IFERROR(INDEX(PP_Grid[#Data],M_BOM[PPGridRow],41),0))</f>
        <v/>
      </c>
      <c r="AP16">
        <f>SUMPRODUCT((M_BOM[Part Name]=$A16)*M_BOM[RM_Qty_Per_Batch]*IFERROR(INDEX(PP_Grid[#Data],M_BOM[PPGridRow],42),0))</f>
        <v/>
      </c>
      <c r="AQ16">
        <f>SUMPRODUCT((M_BOM[Part Name]=$A16)*M_BOM[RM_Qty_Per_Batch]*IFERROR(INDEX(PP_Grid[#Data],M_BOM[PPGridRow],43),0))</f>
        <v/>
      </c>
      <c r="AR16">
        <f>SUMPRODUCT((M_BOM[Part Name]=$A16)*M_BOM[RM_Qty_Per_Batch]*IFERROR(INDEX(PP_Grid[#Data],M_BOM[PPGridRow],44),0))</f>
        <v/>
      </c>
      <c r="AS16">
        <f>SUMPRODUCT((M_BOM[Part Name]=$A16)*M_BOM[RM_Qty_Per_Batch]*IFERROR(INDEX(PP_Grid[#Data],M_BOM[PPGridRow],45),0))</f>
        <v/>
      </c>
      <c r="AT16">
        <f>SUMPRODUCT((M_BOM[Part Name]=$A16)*M_BOM[RM_Qty_Per_Batch]*IFERROR(INDEX(PP_Grid[#Data],M_BOM[PPGridRow],46),0))</f>
        <v/>
      </c>
      <c r="AU16">
        <f>SUMPRODUCT((M_BOM[Part Name]=$A16)*M_BOM[RM_Qty_Per_Batch]*IFERROR(INDEX(PP_Grid[#Data],M_BOM[PPGridRow],47),0))</f>
        <v/>
      </c>
      <c r="AV16">
        <f>SUMPRODUCT((M_BOM[Part Name]=$A16)*M_BOM[RM_Qty_Per_Batch]*IFERROR(INDEX(PP_Grid[#Data],M_BOM[PPGridRow],48),0))</f>
        <v/>
      </c>
      <c r="AW16">
        <f>SUMPRODUCT((M_BOM[Part Name]=$A16)*M_BOM[RM_Qty_Per_Batch]*IFERROR(INDEX(PP_Grid[#Data],M_BOM[PPGridRow],49),0))</f>
        <v/>
      </c>
      <c r="AX16">
        <f>SUMPRODUCT((M_BOM[Part Name]=$A16)*M_BOM[RM_Qty_Per_Batch]*IFERROR(INDEX(PP_Grid[#Data],M_BOM[PPGridRow],50),0))</f>
        <v/>
      </c>
      <c r="AY16">
        <f>SUMPRODUCT((M_BOM[Part Name]=$A16)*M_BOM[RM_Qty_Per_Batch]*IFERROR(INDEX(PP_Grid[#Data],M_BOM[PPGridRow],51),0))</f>
        <v/>
      </c>
      <c r="AZ16">
        <f>SUMPRODUCT((M_BOM[Part Name]=$A16)*M_BOM[RM_Qty_Per_Batch]*IFERROR(INDEX(PP_Grid[#Data],M_BOM[PPGridRow],52),0))</f>
        <v/>
      </c>
      <c r="BA16">
        <f>SUMPRODUCT((M_BOM[Part Name]=$A16)*M_BOM[RM_Qty_Per_Batch]*IFERROR(INDEX(PP_Grid[#Data],M_BOM[PPGridRow],53),0))</f>
        <v/>
      </c>
      <c r="BB16">
        <f>SUMPRODUCT((M_BOM[Part Name]=$A16)*M_BOM[RM_Qty_Per_Batch]*IFERROR(INDEX(PP_Grid[#Data],M_BOM[PPGridRow],54),0))</f>
        <v/>
      </c>
      <c r="BC16">
        <f>SUMPRODUCT((M_BOM[Part Name]=$A16)*M_BOM[RM_Qty_Per_Batch]*IFERROR(INDEX(PP_Grid[#Data],M_BOM[PPGridRow],55),0))</f>
        <v/>
      </c>
      <c r="BD16">
        <f>SUMPRODUCT((M_BOM[Part Name]=$A16)*M_BOM[RM_Qty_Per_Batch]*IFERROR(INDEX(PP_Grid[#Data],M_BOM[PPGridRow],56),0))</f>
        <v/>
      </c>
      <c r="BE16">
        <f>SUMPRODUCT((M_BOM[Part Name]=$A16)*M_BOM[RM_Qty_Per_Batch]*IFERROR(INDEX(PP_Grid[#Data],M_BOM[PPGridRow],57),0))</f>
        <v/>
      </c>
      <c r="BF16">
        <f>SUMPRODUCT((M_BOM[Part Name]=$A16)*M_BOM[RM_Qty_Per_Batch]*IFERROR(INDEX(PP_Grid[#Data],M_BOM[PPGridRow],58),0))</f>
        <v/>
      </c>
      <c r="BG16">
        <f>SUMPRODUCT((M_BOM[Part Name]=$A16)*M_BOM[RM_Qty_Per_Batch]*IFERROR(INDEX(PP_Grid[#Data],M_BOM[PPGridRow],59),0))</f>
        <v/>
      </c>
      <c r="BH16">
        <f>SUMPRODUCT((M_BOM[Part Name]=$A16)*M_BOM[RM_Qty_Per_Batch]*IFERROR(INDEX(PP_Grid[#Data],M_BOM[PPGridRow],60),0))</f>
        <v/>
      </c>
      <c r="BI16">
        <f>SUMPRODUCT((M_BOM[Part Name]=$A16)*M_BOM[RM_Qty_Per_Batch]*IFERROR(INDEX(PP_Grid[#Data],M_BOM[PPGridRow],61),0))</f>
        <v/>
      </c>
      <c r="BJ16">
        <f>SUMPRODUCT((M_BOM[Part Name]=$A16)*M_BOM[RM_Qty_Per_Batch]*IFERROR(INDEX(PP_Grid[#Data],M_BOM[PPGridRow],62),0))</f>
        <v/>
      </c>
      <c r="BK16">
        <f>SUMPRODUCT((M_BOM[Part Name]=$A16)*M_BOM[RM_Qty_Per_Batch]*IFERROR(INDEX(PP_Grid[#Data],M_BOM[PPGridRow],63),0))</f>
        <v/>
      </c>
      <c r="BL16">
        <f>SUMPRODUCT((M_BOM[Part Name]=$A16)*M_BOM[RM_Qty_Per_Batch]*IFERROR(INDEX(PP_Grid[#Data],M_BOM[PPGridRow],64),0))</f>
        <v/>
      </c>
      <c r="BM16">
        <f>SUMPRODUCT((M_BOM[Part Name]=$A16)*M_BOM[RM_Qty_Per_Batch]*IFERROR(INDEX(PP_Grid[#Data],M_BOM[PPGridRow],65),0))</f>
        <v/>
      </c>
      <c r="BN16">
        <f>SUMPRODUCT((M_BOM[Part Name]=$A16)*M_BOM[RM_Qty_Per_Batch]*IFERROR(INDEX(PP_Grid[#Data],M_BOM[PPGridRow],66),0))</f>
        <v/>
      </c>
      <c r="BO16">
        <f>SUMPRODUCT((M_BOM[Part Name]=$A16)*M_BOM[RM_Qty_Per_Batch]*IFERROR(INDEX(PP_Grid[#Data],M_BOM[PPGridRow],67),0))</f>
        <v/>
      </c>
      <c r="BP16">
        <f>SUMPRODUCT((M_BOM[Part Name]=$A16)*M_BOM[RM_Qty_Per_Batch]*IFERROR(INDEX(PP_Grid[#Data],M_BOM[PPGridRow],68),0))</f>
        <v/>
      </c>
      <c r="BQ16">
        <f>SUMPRODUCT((M_BOM[Part Name]=$A16)*M_BOM[RM_Qty_Per_Batch]*IFERROR(INDEX(PP_Grid[#Data],M_BOM[PPGridRow],69),0))</f>
        <v/>
      </c>
      <c r="BR16">
        <f>SUMPRODUCT((M_BOM[Part Name]=$A16)*M_BOM[RM_Qty_Per_Batch]*IFERROR(INDEX(PP_Grid[#Data],M_BOM[PPGridRow],70),0))</f>
        <v/>
      </c>
      <c r="BS16">
        <f>SUMPRODUCT((M_BOM[Part Name]=$A16)*M_BOM[RM_Qty_Per_Batch]*IFERROR(INDEX(PP_Grid[#Data],M_BOM[PPGridRow],71),0))</f>
        <v/>
      </c>
      <c r="BT16">
        <f>SUMPRODUCT((M_BOM[Part Name]=$A16)*M_BOM[RM_Qty_Per_Batch]*IFERROR(INDEX(PP_Grid[#Data],M_BOM[PPGridRow],72),0))</f>
        <v/>
      </c>
      <c r="BU16">
        <f>SUMPRODUCT((M_BOM[Part Name]=$A16)*M_BOM[RM_Qty_Per_Batch]*IFERROR(INDEX(PP_Grid[#Data],M_BOM[PPGridRow],73),0))</f>
        <v/>
      </c>
      <c r="BV16">
        <f>SUMPRODUCT((M_BOM[Part Name]=$A16)*M_BOM[RM_Qty_Per_Batch]*IFERROR(INDEX(PP_Grid[#Data],M_BOM[PPGridRow],74),0))</f>
        <v/>
      </c>
      <c r="BW16">
        <f>SUMPRODUCT((M_BOM[Part Name]=$A16)*M_BOM[RM_Qty_Per_Batch]*IFERROR(INDEX(PP_Grid[#Data],M_BOM[PPGridRow],75),0))</f>
        <v/>
      </c>
      <c r="BX16">
        <f>SUMPRODUCT((M_BOM[Part Name]=$A16)*M_BOM[RM_Qty_Per_Batch]*IFERROR(INDEX(PP_Grid[#Data],M_BOM[PPGridRow],76),0))</f>
        <v/>
      </c>
      <c r="BY16">
        <f>SUMPRODUCT((M_BOM[Part Name]=$A16)*M_BOM[RM_Qty_Per_Batch]*IFERROR(INDEX(PP_Grid[#Data],M_BOM[PPGridRow],77),0))</f>
        <v/>
      </c>
      <c r="BZ16">
        <f>SUMPRODUCT((M_BOM[Part Name]=$A16)*M_BOM[RM_Qty_Per_Batch]*IFERROR(INDEX(PP_Grid[#Data],M_BOM[PPGridRow],78),0))</f>
        <v/>
      </c>
      <c r="CA16">
        <f>SUMPRODUCT((M_BOM[Part Name]=$A16)*M_BOM[RM_Qty_Per_Batch]*IFERROR(INDEX(PP_Grid[#Data],M_BOM[PPGridRow],79),0))</f>
        <v/>
      </c>
      <c r="CB16">
        <f>SUMPRODUCT((M_BOM[Part Name]=$A16)*M_BOM[RM_Qty_Per_Batch]*IFERROR(INDEX(PP_Grid[#Data],M_BOM[PPGridRow],80),0))</f>
        <v/>
      </c>
      <c r="CC16">
        <f>SUMPRODUCT((M_BOM[Part Name]=$A16)*M_BOM[RM_Qty_Per_Batch]*IFERROR(INDEX(PP_Grid[#Data],M_BOM[PPGridRow],81),0))</f>
        <v/>
      </c>
      <c r="CD16">
        <f>SUMPRODUCT((M_BOM[Part Name]=$A16)*M_BOM[RM_Qty_Per_Batch]*IFERROR(INDEX(PP_Grid[#Data],M_BOM[PPGridRow],82),0))</f>
        <v/>
      </c>
      <c r="CE16">
        <f>SUMPRODUCT((M_BOM[Part Name]=$A16)*M_BOM[RM_Qty_Per_Batch]*IFERROR(INDEX(PP_Grid[#Data],M_BOM[PPGridRow],83),0))</f>
        <v/>
      </c>
      <c r="CF16">
        <f>SUMPRODUCT((M_BOM[Part Name]=$A16)*M_BOM[RM_Qty_Per_Batch]*IFERROR(INDEX(PP_Grid[#Data],M_BOM[PPGridRow],84),0))</f>
        <v/>
      </c>
      <c r="CG16">
        <f>SUMPRODUCT((M_BOM[Part Name]=$A16)*M_BOM[RM_Qty_Per_Batch]*IFERROR(INDEX(PP_Grid[#Data],M_BOM[PPGridRow],85),0))</f>
        <v/>
      </c>
      <c r="CH16">
        <f>SUMPRODUCT((M_BOM[Part Name]=$A16)*M_BOM[RM_Qty_Per_Batch]*IFERROR(INDEX(PP_Grid[#Data],M_BOM[PPGridRow],86),0))</f>
        <v/>
      </c>
      <c r="CI16">
        <f>SUMPRODUCT((M_BOM[Part Name]=$A16)*M_BOM[RM_Qty_Per_Batch]*IFERROR(INDEX(PP_Grid[#Data],M_BOM[PPGridRow],87),0))</f>
        <v/>
      </c>
      <c r="CJ16">
        <f>SUMPRODUCT((M_BOM[Part Name]=$A16)*M_BOM[RM_Qty_Per_Batch]*IFERROR(INDEX(PP_Grid[#Data],M_BOM[PPGridRow],88),0))</f>
        <v/>
      </c>
      <c r="CK16">
        <f>SUMPRODUCT((M_BOM[Part Name]=$A16)*M_BOM[RM_Qty_Per_Batch]*IFERROR(INDEX(PP_Grid[#Data],M_BOM[PPGridRow],89),0))</f>
        <v/>
      </c>
      <c r="CL16">
        <f>SUMPRODUCT((M_BOM[Part Name]=$A16)*M_BOM[RM_Qty_Per_Batch]*IFERROR(INDEX(PP_Grid[#Data],M_BOM[PPGridRow],90),0))</f>
        <v/>
      </c>
      <c r="CM16">
        <f>SUMPRODUCT((M_BOM[Part Name]=$A16)*M_BOM[RM_Qty_Per_Batch]*IFERROR(INDEX(PP_Grid[#Data],M_BOM[PPGridRow],91),0))</f>
        <v/>
      </c>
      <c r="CN16">
        <f>SUMPRODUCT((M_BOM[Part Name]=$A16)*M_BOM[RM_Qty_Per_Batch]*IFERROR(INDEX(PP_Grid[#Data],M_BOM[PPGridRow],92),0))</f>
        <v/>
      </c>
      <c r="CO16">
        <f>SUMPRODUCT((M_BOM[Part Name]=$A16)*M_BOM[RM_Qty_Per_Batch]*IFERROR(INDEX(PP_Grid[#Data],M_BOM[PPGridRow],93),0))</f>
        <v/>
      </c>
      <c r="CP16">
        <f>SUMPRODUCT((M_BOM[Part Name]=$A16)*M_BOM[RM_Qty_Per_Batch]*IFERROR(INDEX(PP_Grid[#Data],M_BOM[PPGridRow],94),0))</f>
        <v/>
      </c>
      <c r="CQ16">
        <f>SUMPRODUCT((M_BOM[Part Name]=$A16)*M_BOM[RM_Qty_Per_Batch]*IFERROR(INDEX(PP_Grid[#Data],M_BOM[PPGridRow],95),0))</f>
        <v/>
      </c>
      <c r="CR16">
        <f>SUMPRODUCT((M_BOM[Part Name]=$A16)*M_BOM[RM_Qty_Per_Batch]*IFERROR(INDEX(PP_Grid[#Data],M_BOM[PPGridRow],96),0))</f>
        <v/>
      </c>
      <c r="CS16">
        <f>SUMPRODUCT((M_BOM[Part Name]=$A16)*M_BOM[RM_Qty_Per_Batch]*IFERROR(INDEX(PP_Grid[#Data],M_BOM[PPGridRow],97),0))</f>
        <v/>
      </c>
      <c r="CT16">
        <f>SUMPRODUCT((M_BOM[Part Name]=$A16)*M_BOM[RM_Qty_Per_Batch]*IFERROR(INDEX(PP_Grid[#Data],M_BOM[PPGridRow],98),0))</f>
        <v/>
      </c>
      <c r="CU16">
        <f>SUMPRODUCT((M_BOM[Part Name]=$A16)*M_BOM[RM_Qty_Per_Batch]*IFERROR(INDEX(PP_Grid[#Data],M_BOM[PPGridRow],99),0))</f>
        <v/>
      </c>
      <c r="CV16">
        <f>SUMPRODUCT((M_BOM[Part Name]=$A16)*M_BOM[RM_Qty_Per_Batch]*IFERROR(INDEX(PP_Grid[#Data],M_BOM[PPGridRow],100),0))</f>
        <v/>
      </c>
      <c r="CW16">
        <f>SUMPRODUCT((M_BOM[Part Name]=$A16)*M_BOM[RM_Qty_Per_Batch]*IFERROR(INDEX(PP_Grid[#Data],M_BOM[PPGridRow],101),0))</f>
        <v/>
      </c>
      <c r="CX16">
        <f>SUMPRODUCT((M_BOM[Part Name]=$A16)*M_BOM[RM_Qty_Per_Batch]*IFERROR(INDEX(PP_Grid[#Data],M_BOM[PPGridRow],102),0))</f>
        <v/>
      </c>
      <c r="CY16">
        <f>SUMPRODUCT((M_BOM[Part Name]=$A16)*M_BOM[RM_Qty_Per_Batch]*IFERROR(INDEX(PP_Grid[#Data],M_BOM[PPGridRow],103),0))</f>
        <v/>
      </c>
      <c r="CZ16">
        <f>SUMPRODUCT((M_BOM[Part Name]=$A16)*M_BOM[RM_Qty_Per_Batch]*IFERROR(INDEX(PP_Grid[#Data],M_BOM[PPGridRow],104),0))</f>
        <v/>
      </c>
      <c r="DA16">
        <f>SUMPRODUCT((M_BOM[Part Name]=$A16)*M_BOM[RM_Qty_Per_Batch]*IFERROR(INDEX(PP_Grid[#Data],M_BOM[PPGridRow],105),0))</f>
        <v/>
      </c>
    </row>
    <row r="17">
      <c r="A17" t="inlineStr">
        <is>
          <t>CHEM-1650</t>
        </is>
      </c>
      <c r="B17">
        <f>SUMPRODUCT((M_BOM[Part Name]=$A17)*M_BOM[RM_Qty_Per_Batch]*IFERROR(INDEX(PP_Grid[#Data],M_BOM[PPGridRow],2),0))</f>
        <v/>
      </c>
      <c r="C17">
        <f>SUMPRODUCT((M_BOM[Part Name]=$A17)*M_BOM[RM_Qty_Per_Batch]*IFERROR(INDEX(PP_Grid[#Data],M_BOM[PPGridRow],3),0))</f>
        <v/>
      </c>
      <c r="D17">
        <f>SUMPRODUCT((M_BOM[Part Name]=$A17)*M_BOM[RM_Qty_Per_Batch]*IFERROR(INDEX(PP_Grid[#Data],M_BOM[PPGridRow],4),0))</f>
        <v/>
      </c>
      <c r="E17">
        <f>SUMPRODUCT((M_BOM[Part Name]=$A17)*M_BOM[RM_Qty_Per_Batch]*IFERROR(INDEX(PP_Grid[#Data],M_BOM[PPGridRow],5),0))</f>
        <v/>
      </c>
      <c r="F17">
        <f>SUMPRODUCT((M_BOM[Part Name]=$A17)*M_BOM[RM_Qty_Per_Batch]*IFERROR(INDEX(PP_Grid[#Data],M_BOM[PPGridRow],6),0))</f>
        <v/>
      </c>
      <c r="G17">
        <f>SUMPRODUCT((M_BOM[Part Name]=$A17)*M_BOM[RM_Qty_Per_Batch]*IFERROR(INDEX(PP_Grid[#Data],M_BOM[PPGridRow],7),0))</f>
        <v/>
      </c>
      <c r="H17">
        <f>SUMPRODUCT((M_BOM[Part Name]=$A17)*M_BOM[RM_Qty_Per_Batch]*IFERROR(INDEX(PP_Grid[#Data],M_BOM[PPGridRow],8),0))</f>
        <v/>
      </c>
      <c r="I17">
        <f>SUMPRODUCT((M_BOM[Part Name]=$A17)*M_BOM[RM_Qty_Per_Batch]*IFERROR(INDEX(PP_Grid[#Data],M_BOM[PPGridRow],9),0))</f>
        <v/>
      </c>
      <c r="J17">
        <f>SUMPRODUCT((M_BOM[Part Name]=$A17)*M_BOM[RM_Qty_Per_Batch]*IFERROR(INDEX(PP_Grid[#Data],M_BOM[PPGridRow],10),0))</f>
        <v/>
      </c>
      <c r="K17">
        <f>SUMPRODUCT((M_BOM[Part Name]=$A17)*M_BOM[RM_Qty_Per_Batch]*IFERROR(INDEX(PP_Grid[#Data],M_BOM[PPGridRow],11),0))</f>
        <v/>
      </c>
      <c r="L17">
        <f>SUMPRODUCT((M_BOM[Part Name]=$A17)*M_BOM[RM_Qty_Per_Batch]*IFERROR(INDEX(PP_Grid[#Data],M_BOM[PPGridRow],12),0))</f>
        <v/>
      </c>
      <c r="M17">
        <f>SUMPRODUCT((M_BOM[Part Name]=$A17)*M_BOM[RM_Qty_Per_Batch]*IFERROR(INDEX(PP_Grid[#Data],M_BOM[PPGridRow],13),0))</f>
        <v/>
      </c>
      <c r="N17">
        <f>SUMPRODUCT((M_BOM[Part Name]=$A17)*M_BOM[RM_Qty_Per_Batch]*IFERROR(INDEX(PP_Grid[#Data],M_BOM[PPGridRow],14),0))</f>
        <v/>
      </c>
      <c r="O17">
        <f>SUMPRODUCT((M_BOM[Part Name]=$A17)*M_BOM[RM_Qty_Per_Batch]*IFERROR(INDEX(PP_Grid[#Data],M_BOM[PPGridRow],15),0))</f>
        <v/>
      </c>
      <c r="P17">
        <f>SUMPRODUCT((M_BOM[Part Name]=$A17)*M_BOM[RM_Qty_Per_Batch]*IFERROR(INDEX(PP_Grid[#Data],M_BOM[PPGridRow],16),0))</f>
        <v/>
      </c>
      <c r="Q17">
        <f>SUMPRODUCT((M_BOM[Part Name]=$A17)*M_BOM[RM_Qty_Per_Batch]*IFERROR(INDEX(PP_Grid[#Data],M_BOM[PPGridRow],17),0))</f>
        <v/>
      </c>
      <c r="R17">
        <f>SUMPRODUCT((M_BOM[Part Name]=$A17)*M_BOM[RM_Qty_Per_Batch]*IFERROR(INDEX(PP_Grid[#Data],M_BOM[PPGridRow],18),0))</f>
        <v/>
      </c>
      <c r="S17">
        <f>SUMPRODUCT((M_BOM[Part Name]=$A17)*M_BOM[RM_Qty_Per_Batch]*IFERROR(INDEX(PP_Grid[#Data],M_BOM[PPGridRow],19),0))</f>
        <v/>
      </c>
      <c r="T17">
        <f>SUMPRODUCT((M_BOM[Part Name]=$A17)*M_BOM[RM_Qty_Per_Batch]*IFERROR(INDEX(PP_Grid[#Data],M_BOM[PPGridRow],20),0))</f>
        <v/>
      </c>
      <c r="U17">
        <f>SUMPRODUCT((M_BOM[Part Name]=$A17)*M_BOM[RM_Qty_Per_Batch]*IFERROR(INDEX(PP_Grid[#Data],M_BOM[PPGridRow],21),0))</f>
        <v/>
      </c>
      <c r="V17">
        <f>SUMPRODUCT((M_BOM[Part Name]=$A17)*M_BOM[RM_Qty_Per_Batch]*IFERROR(INDEX(PP_Grid[#Data],M_BOM[PPGridRow],22),0))</f>
        <v/>
      </c>
      <c r="W17">
        <f>SUMPRODUCT((M_BOM[Part Name]=$A17)*M_BOM[RM_Qty_Per_Batch]*IFERROR(INDEX(PP_Grid[#Data],M_BOM[PPGridRow],23),0))</f>
        <v/>
      </c>
      <c r="X17">
        <f>SUMPRODUCT((M_BOM[Part Name]=$A17)*M_BOM[RM_Qty_Per_Batch]*IFERROR(INDEX(PP_Grid[#Data],M_BOM[PPGridRow],24),0))</f>
        <v/>
      </c>
      <c r="Y17">
        <f>SUMPRODUCT((M_BOM[Part Name]=$A17)*M_BOM[RM_Qty_Per_Batch]*IFERROR(INDEX(PP_Grid[#Data],M_BOM[PPGridRow],25),0))</f>
        <v/>
      </c>
      <c r="Z17">
        <f>SUMPRODUCT((M_BOM[Part Name]=$A17)*M_BOM[RM_Qty_Per_Batch]*IFERROR(INDEX(PP_Grid[#Data],M_BOM[PPGridRow],26),0))</f>
        <v/>
      </c>
      <c r="AA17">
        <f>SUMPRODUCT((M_BOM[Part Name]=$A17)*M_BOM[RM_Qty_Per_Batch]*IFERROR(INDEX(PP_Grid[#Data],M_BOM[PPGridRow],27),0))</f>
        <v/>
      </c>
      <c r="AB17">
        <f>SUMPRODUCT((M_BOM[Part Name]=$A17)*M_BOM[RM_Qty_Per_Batch]*IFERROR(INDEX(PP_Grid[#Data],M_BOM[PPGridRow],28),0))</f>
        <v/>
      </c>
      <c r="AC17">
        <f>SUMPRODUCT((M_BOM[Part Name]=$A17)*M_BOM[RM_Qty_Per_Batch]*IFERROR(INDEX(PP_Grid[#Data],M_BOM[PPGridRow],29),0))</f>
        <v/>
      </c>
      <c r="AD17">
        <f>SUMPRODUCT((M_BOM[Part Name]=$A17)*M_BOM[RM_Qty_Per_Batch]*IFERROR(INDEX(PP_Grid[#Data],M_BOM[PPGridRow],30),0))</f>
        <v/>
      </c>
      <c r="AE17">
        <f>SUMPRODUCT((M_BOM[Part Name]=$A17)*M_BOM[RM_Qty_Per_Batch]*IFERROR(INDEX(PP_Grid[#Data],M_BOM[PPGridRow],31),0))</f>
        <v/>
      </c>
      <c r="AF17">
        <f>SUMPRODUCT((M_BOM[Part Name]=$A17)*M_BOM[RM_Qty_Per_Batch]*IFERROR(INDEX(PP_Grid[#Data],M_BOM[PPGridRow],32),0))</f>
        <v/>
      </c>
      <c r="AG17">
        <f>SUMPRODUCT((M_BOM[Part Name]=$A17)*M_BOM[RM_Qty_Per_Batch]*IFERROR(INDEX(PP_Grid[#Data],M_BOM[PPGridRow],33),0))</f>
        <v/>
      </c>
      <c r="AH17">
        <f>SUMPRODUCT((M_BOM[Part Name]=$A17)*M_BOM[RM_Qty_Per_Batch]*IFERROR(INDEX(PP_Grid[#Data],M_BOM[PPGridRow],34),0))</f>
        <v/>
      </c>
      <c r="AI17">
        <f>SUMPRODUCT((M_BOM[Part Name]=$A17)*M_BOM[RM_Qty_Per_Batch]*IFERROR(INDEX(PP_Grid[#Data],M_BOM[PPGridRow],35),0))</f>
        <v/>
      </c>
      <c r="AJ17">
        <f>SUMPRODUCT((M_BOM[Part Name]=$A17)*M_BOM[RM_Qty_Per_Batch]*IFERROR(INDEX(PP_Grid[#Data],M_BOM[PPGridRow],36),0))</f>
        <v/>
      </c>
      <c r="AK17">
        <f>SUMPRODUCT((M_BOM[Part Name]=$A17)*M_BOM[RM_Qty_Per_Batch]*IFERROR(INDEX(PP_Grid[#Data],M_BOM[PPGridRow],37),0))</f>
        <v/>
      </c>
      <c r="AL17">
        <f>SUMPRODUCT((M_BOM[Part Name]=$A17)*M_BOM[RM_Qty_Per_Batch]*IFERROR(INDEX(PP_Grid[#Data],M_BOM[PPGridRow],38),0))</f>
        <v/>
      </c>
      <c r="AM17">
        <f>SUMPRODUCT((M_BOM[Part Name]=$A17)*M_BOM[RM_Qty_Per_Batch]*IFERROR(INDEX(PP_Grid[#Data],M_BOM[PPGridRow],39),0))</f>
        <v/>
      </c>
      <c r="AN17">
        <f>SUMPRODUCT((M_BOM[Part Name]=$A17)*M_BOM[RM_Qty_Per_Batch]*IFERROR(INDEX(PP_Grid[#Data],M_BOM[PPGridRow],40),0))</f>
        <v/>
      </c>
      <c r="AO17">
        <f>SUMPRODUCT((M_BOM[Part Name]=$A17)*M_BOM[RM_Qty_Per_Batch]*IFERROR(INDEX(PP_Grid[#Data],M_BOM[PPGridRow],41),0))</f>
        <v/>
      </c>
      <c r="AP17">
        <f>SUMPRODUCT((M_BOM[Part Name]=$A17)*M_BOM[RM_Qty_Per_Batch]*IFERROR(INDEX(PP_Grid[#Data],M_BOM[PPGridRow],42),0))</f>
        <v/>
      </c>
      <c r="AQ17">
        <f>SUMPRODUCT((M_BOM[Part Name]=$A17)*M_BOM[RM_Qty_Per_Batch]*IFERROR(INDEX(PP_Grid[#Data],M_BOM[PPGridRow],43),0))</f>
        <v/>
      </c>
      <c r="AR17">
        <f>SUMPRODUCT((M_BOM[Part Name]=$A17)*M_BOM[RM_Qty_Per_Batch]*IFERROR(INDEX(PP_Grid[#Data],M_BOM[PPGridRow],44),0))</f>
        <v/>
      </c>
      <c r="AS17">
        <f>SUMPRODUCT((M_BOM[Part Name]=$A17)*M_BOM[RM_Qty_Per_Batch]*IFERROR(INDEX(PP_Grid[#Data],M_BOM[PPGridRow],45),0))</f>
        <v/>
      </c>
      <c r="AT17">
        <f>SUMPRODUCT((M_BOM[Part Name]=$A17)*M_BOM[RM_Qty_Per_Batch]*IFERROR(INDEX(PP_Grid[#Data],M_BOM[PPGridRow],46),0))</f>
        <v/>
      </c>
      <c r="AU17">
        <f>SUMPRODUCT((M_BOM[Part Name]=$A17)*M_BOM[RM_Qty_Per_Batch]*IFERROR(INDEX(PP_Grid[#Data],M_BOM[PPGridRow],47),0))</f>
        <v/>
      </c>
      <c r="AV17">
        <f>SUMPRODUCT((M_BOM[Part Name]=$A17)*M_BOM[RM_Qty_Per_Batch]*IFERROR(INDEX(PP_Grid[#Data],M_BOM[PPGridRow],48),0))</f>
        <v/>
      </c>
      <c r="AW17">
        <f>SUMPRODUCT((M_BOM[Part Name]=$A17)*M_BOM[RM_Qty_Per_Batch]*IFERROR(INDEX(PP_Grid[#Data],M_BOM[PPGridRow],49),0))</f>
        <v/>
      </c>
      <c r="AX17">
        <f>SUMPRODUCT((M_BOM[Part Name]=$A17)*M_BOM[RM_Qty_Per_Batch]*IFERROR(INDEX(PP_Grid[#Data],M_BOM[PPGridRow],50),0))</f>
        <v/>
      </c>
      <c r="AY17">
        <f>SUMPRODUCT((M_BOM[Part Name]=$A17)*M_BOM[RM_Qty_Per_Batch]*IFERROR(INDEX(PP_Grid[#Data],M_BOM[PPGridRow],51),0))</f>
        <v/>
      </c>
      <c r="AZ17">
        <f>SUMPRODUCT((M_BOM[Part Name]=$A17)*M_BOM[RM_Qty_Per_Batch]*IFERROR(INDEX(PP_Grid[#Data],M_BOM[PPGridRow],52),0))</f>
        <v/>
      </c>
      <c r="BA17">
        <f>SUMPRODUCT((M_BOM[Part Name]=$A17)*M_BOM[RM_Qty_Per_Batch]*IFERROR(INDEX(PP_Grid[#Data],M_BOM[PPGridRow],53),0))</f>
        <v/>
      </c>
      <c r="BB17">
        <f>SUMPRODUCT((M_BOM[Part Name]=$A17)*M_BOM[RM_Qty_Per_Batch]*IFERROR(INDEX(PP_Grid[#Data],M_BOM[PPGridRow],54),0))</f>
        <v/>
      </c>
      <c r="BC17">
        <f>SUMPRODUCT((M_BOM[Part Name]=$A17)*M_BOM[RM_Qty_Per_Batch]*IFERROR(INDEX(PP_Grid[#Data],M_BOM[PPGridRow],55),0))</f>
        <v/>
      </c>
      <c r="BD17">
        <f>SUMPRODUCT((M_BOM[Part Name]=$A17)*M_BOM[RM_Qty_Per_Batch]*IFERROR(INDEX(PP_Grid[#Data],M_BOM[PPGridRow],56),0))</f>
        <v/>
      </c>
      <c r="BE17">
        <f>SUMPRODUCT((M_BOM[Part Name]=$A17)*M_BOM[RM_Qty_Per_Batch]*IFERROR(INDEX(PP_Grid[#Data],M_BOM[PPGridRow],57),0))</f>
        <v/>
      </c>
      <c r="BF17">
        <f>SUMPRODUCT((M_BOM[Part Name]=$A17)*M_BOM[RM_Qty_Per_Batch]*IFERROR(INDEX(PP_Grid[#Data],M_BOM[PPGridRow],58),0))</f>
        <v/>
      </c>
      <c r="BG17">
        <f>SUMPRODUCT((M_BOM[Part Name]=$A17)*M_BOM[RM_Qty_Per_Batch]*IFERROR(INDEX(PP_Grid[#Data],M_BOM[PPGridRow],59),0))</f>
        <v/>
      </c>
      <c r="BH17">
        <f>SUMPRODUCT((M_BOM[Part Name]=$A17)*M_BOM[RM_Qty_Per_Batch]*IFERROR(INDEX(PP_Grid[#Data],M_BOM[PPGridRow],60),0))</f>
        <v/>
      </c>
      <c r="BI17">
        <f>SUMPRODUCT((M_BOM[Part Name]=$A17)*M_BOM[RM_Qty_Per_Batch]*IFERROR(INDEX(PP_Grid[#Data],M_BOM[PPGridRow],61),0))</f>
        <v/>
      </c>
      <c r="BJ17">
        <f>SUMPRODUCT((M_BOM[Part Name]=$A17)*M_BOM[RM_Qty_Per_Batch]*IFERROR(INDEX(PP_Grid[#Data],M_BOM[PPGridRow],62),0))</f>
        <v/>
      </c>
      <c r="BK17">
        <f>SUMPRODUCT((M_BOM[Part Name]=$A17)*M_BOM[RM_Qty_Per_Batch]*IFERROR(INDEX(PP_Grid[#Data],M_BOM[PPGridRow],63),0))</f>
        <v/>
      </c>
      <c r="BL17">
        <f>SUMPRODUCT((M_BOM[Part Name]=$A17)*M_BOM[RM_Qty_Per_Batch]*IFERROR(INDEX(PP_Grid[#Data],M_BOM[PPGridRow],64),0))</f>
        <v/>
      </c>
      <c r="BM17">
        <f>SUMPRODUCT((M_BOM[Part Name]=$A17)*M_BOM[RM_Qty_Per_Batch]*IFERROR(INDEX(PP_Grid[#Data],M_BOM[PPGridRow],65),0))</f>
        <v/>
      </c>
      <c r="BN17">
        <f>SUMPRODUCT((M_BOM[Part Name]=$A17)*M_BOM[RM_Qty_Per_Batch]*IFERROR(INDEX(PP_Grid[#Data],M_BOM[PPGridRow],66),0))</f>
        <v/>
      </c>
      <c r="BO17">
        <f>SUMPRODUCT((M_BOM[Part Name]=$A17)*M_BOM[RM_Qty_Per_Batch]*IFERROR(INDEX(PP_Grid[#Data],M_BOM[PPGridRow],67),0))</f>
        <v/>
      </c>
      <c r="BP17">
        <f>SUMPRODUCT((M_BOM[Part Name]=$A17)*M_BOM[RM_Qty_Per_Batch]*IFERROR(INDEX(PP_Grid[#Data],M_BOM[PPGridRow],68),0))</f>
        <v/>
      </c>
      <c r="BQ17">
        <f>SUMPRODUCT((M_BOM[Part Name]=$A17)*M_BOM[RM_Qty_Per_Batch]*IFERROR(INDEX(PP_Grid[#Data],M_BOM[PPGridRow],69),0))</f>
        <v/>
      </c>
      <c r="BR17">
        <f>SUMPRODUCT((M_BOM[Part Name]=$A17)*M_BOM[RM_Qty_Per_Batch]*IFERROR(INDEX(PP_Grid[#Data],M_BOM[PPGridRow],70),0))</f>
        <v/>
      </c>
      <c r="BS17">
        <f>SUMPRODUCT((M_BOM[Part Name]=$A17)*M_BOM[RM_Qty_Per_Batch]*IFERROR(INDEX(PP_Grid[#Data],M_BOM[PPGridRow],71),0))</f>
        <v/>
      </c>
      <c r="BT17">
        <f>SUMPRODUCT((M_BOM[Part Name]=$A17)*M_BOM[RM_Qty_Per_Batch]*IFERROR(INDEX(PP_Grid[#Data],M_BOM[PPGridRow],72),0))</f>
        <v/>
      </c>
      <c r="BU17">
        <f>SUMPRODUCT((M_BOM[Part Name]=$A17)*M_BOM[RM_Qty_Per_Batch]*IFERROR(INDEX(PP_Grid[#Data],M_BOM[PPGridRow],73),0))</f>
        <v/>
      </c>
      <c r="BV17">
        <f>SUMPRODUCT((M_BOM[Part Name]=$A17)*M_BOM[RM_Qty_Per_Batch]*IFERROR(INDEX(PP_Grid[#Data],M_BOM[PPGridRow],74),0))</f>
        <v/>
      </c>
      <c r="BW17">
        <f>SUMPRODUCT((M_BOM[Part Name]=$A17)*M_BOM[RM_Qty_Per_Batch]*IFERROR(INDEX(PP_Grid[#Data],M_BOM[PPGridRow],75),0))</f>
        <v/>
      </c>
      <c r="BX17">
        <f>SUMPRODUCT((M_BOM[Part Name]=$A17)*M_BOM[RM_Qty_Per_Batch]*IFERROR(INDEX(PP_Grid[#Data],M_BOM[PPGridRow],76),0))</f>
        <v/>
      </c>
      <c r="BY17">
        <f>SUMPRODUCT((M_BOM[Part Name]=$A17)*M_BOM[RM_Qty_Per_Batch]*IFERROR(INDEX(PP_Grid[#Data],M_BOM[PPGridRow],77),0))</f>
        <v/>
      </c>
      <c r="BZ17">
        <f>SUMPRODUCT((M_BOM[Part Name]=$A17)*M_BOM[RM_Qty_Per_Batch]*IFERROR(INDEX(PP_Grid[#Data],M_BOM[PPGridRow],78),0))</f>
        <v/>
      </c>
      <c r="CA17">
        <f>SUMPRODUCT((M_BOM[Part Name]=$A17)*M_BOM[RM_Qty_Per_Batch]*IFERROR(INDEX(PP_Grid[#Data],M_BOM[PPGridRow],79),0))</f>
        <v/>
      </c>
      <c r="CB17">
        <f>SUMPRODUCT((M_BOM[Part Name]=$A17)*M_BOM[RM_Qty_Per_Batch]*IFERROR(INDEX(PP_Grid[#Data],M_BOM[PPGridRow],80),0))</f>
        <v/>
      </c>
      <c r="CC17">
        <f>SUMPRODUCT((M_BOM[Part Name]=$A17)*M_BOM[RM_Qty_Per_Batch]*IFERROR(INDEX(PP_Grid[#Data],M_BOM[PPGridRow],81),0))</f>
        <v/>
      </c>
      <c r="CD17">
        <f>SUMPRODUCT((M_BOM[Part Name]=$A17)*M_BOM[RM_Qty_Per_Batch]*IFERROR(INDEX(PP_Grid[#Data],M_BOM[PPGridRow],82),0))</f>
        <v/>
      </c>
      <c r="CE17">
        <f>SUMPRODUCT((M_BOM[Part Name]=$A17)*M_BOM[RM_Qty_Per_Batch]*IFERROR(INDEX(PP_Grid[#Data],M_BOM[PPGridRow],83),0))</f>
        <v/>
      </c>
      <c r="CF17">
        <f>SUMPRODUCT((M_BOM[Part Name]=$A17)*M_BOM[RM_Qty_Per_Batch]*IFERROR(INDEX(PP_Grid[#Data],M_BOM[PPGridRow],84),0))</f>
        <v/>
      </c>
      <c r="CG17">
        <f>SUMPRODUCT((M_BOM[Part Name]=$A17)*M_BOM[RM_Qty_Per_Batch]*IFERROR(INDEX(PP_Grid[#Data],M_BOM[PPGridRow],85),0))</f>
        <v/>
      </c>
      <c r="CH17">
        <f>SUMPRODUCT((M_BOM[Part Name]=$A17)*M_BOM[RM_Qty_Per_Batch]*IFERROR(INDEX(PP_Grid[#Data],M_BOM[PPGridRow],86),0))</f>
        <v/>
      </c>
      <c r="CI17">
        <f>SUMPRODUCT((M_BOM[Part Name]=$A17)*M_BOM[RM_Qty_Per_Batch]*IFERROR(INDEX(PP_Grid[#Data],M_BOM[PPGridRow],87),0))</f>
        <v/>
      </c>
      <c r="CJ17">
        <f>SUMPRODUCT((M_BOM[Part Name]=$A17)*M_BOM[RM_Qty_Per_Batch]*IFERROR(INDEX(PP_Grid[#Data],M_BOM[PPGridRow],88),0))</f>
        <v/>
      </c>
      <c r="CK17">
        <f>SUMPRODUCT((M_BOM[Part Name]=$A17)*M_BOM[RM_Qty_Per_Batch]*IFERROR(INDEX(PP_Grid[#Data],M_BOM[PPGridRow],89),0))</f>
        <v/>
      </c>
      <c r="CL17">
        <f>SUMPRODUCT((M_BOM[Part Name]=$A17)*M_BOM[RM_Qty_Per_Batch]*IFERROR(INDEX(PP_Grid[#Data],M_BOM[PPGridRow],90),0))</f>
        <v/>
      </c>
      <c r="CM17">
        <f>SUMPRODUCT((M_BOM[Part Name]=$A17)*M_BOM[RM_Qty_Per_Batch]*IFERROR(INDEX(PP_Grid[#Data],M_BOM[PPGridRow],91),0))</f>
        <v/>
      </c>
      <c r="CN17">
        <f>SUMPRODUCT((M_BOM[Part Name]=$A17)*M_BOM[RM_Qty_Per_Batch]*IFERROR(INDEX(PP_Grid[#Data],M_BOM[PPGridRow],92),0))</f>
        <v/>
      </c>
      <c r="CO17">
        <f>SUMPRODUCT((M_BOM[Part Name]=$A17)*M_BOM[RM_Qty_Per_Batch]*IFERROR(INDEX(PP_Grid[#Data],M_BOM[PPGridRow],93),0))</f>
        <v/>
      </c>
      <c r="CP17">
        <f>SUMPRODUCT((M_BOM[Part Name]=$A17)*M_BOM[RM_Qty_Per_Batch]*IFERROR(INDEX(PP_Grid[#Data],M_BOM[PPGridRow],94),0))</f>
        <v/>
      </c>
      <c r="CQ17">
        <f>SUMPRODUCT((M_BOM[Part Name]=$A17)*M_BOM[RM_Qty_Per_Batch]*IFERROR(INDEX(PP_Grid[#Data],M_BOM[PPGridRow],95),0))</f>
        <v/>
      </c>
      <c r="CR17">
        <f>SUMPRODUCT((M_BOM[Part Name]=$A17)*M_BOM[RM_Qty_Per_Batch]*IFERROR(INDEX(PP_Grid[#Data],M_BOM[PPGridRow],96),0))</f>
        <v/>
      </c>
      <c r="CS17">
        <f>SUMPRODUCT((M_BOM[Part Name]=$A17)*M_BOM[RM_Qty_Per_Batch]*IFERROR(INDEX(PP_Grid[#Data],M_BOM[PPGridRow],97),0))</f>
        <v/>
      </c>
      <c r="CT17">
        <f>SUMPRODUCT((M_BOM[Part Name]=$A17)*M_BOM[RM_Qty_Per_Batch]*IFERROR(INDEX(PP_Grid[#Data],M_BOM[PPGridRow],98),0))</f>
        <v/>
      </c>
      <c r="CU17">
        <f>SUMPRODUCT((M_BOM[Part Name]=$A17)*M_BOM[RM_Qty_Per_Batch]*IFERROR(INDEX(PP_Grid[#Data],M_BOM[PPGridRow],99),0))</f>
        <v/>
      </c>
      <c r="CV17">
        <f>SUMPRODUCT((M_BOM[Part Name]=$A17)*M_BOM[RM_Qty_Per_Batch]*IFERROR(INDEX(PP_Grid[#Data],M_BOM[PPGridRow],100),0))</f>
        <v/>
      </c>
      <c r="CW17">
        <f>SUMPRODUCT((M_BOM[Part Name]=$A17)*M_BOM[RM_Qty_Per_Batch]*IFERROR(INDEX(PP_Grid[#Data],M_BOM[PPGridRow],101),0))</f>
        <v/>
      </c>
      <c r="CX17">
        <f>SUMPRODUCT((M_BOM[Part Name]=$A17)*M_BOM[RM_Qty_Per_Batch]*IFERROR(INDEX(PP_Grid[#Data],M_BOM[PPGridRow],102),0))</f>
        <v/>
      </c>
      <c r="CY17">
        <f>SUMPRODUCT((M_BOM[Part Name]=$A17)*M_BOM[RM_Qty_Per_Batch]*IFERROR(INDEX(PP_Grid[#Data],M_BOM[PPGridRow],103),0))</f>
        <v/>
      </c>
      <c r="CZ17">
        <f>SUMPRODUCT((M_BOM[Part Name]=$A17)*M_BOM[RM_Qty_Per_Batch]*IFERROR(INDEX(PP_Grid[#Data],M_BOM[PPGridRow],104),0))</f>
        <v/>
      </c>
      <c r="DA17">
        <f>SUMPRODUCT((M_BOM[Part Name]=$A17)*M_BOM[RM_Qty_Per_Batch]*IFERROR(INDEX(PP_Grid[#Data],M_BOM[PPGridRow],105),0))</f>
        <v/>
      </c>
    </row>
    <row r="18">
      <c r="A18" t="inlineStr">
        <is>
          <t>CHEM-1660</t>
        </is>
      </c>
      <c r="B18">
        <f>SUMPRODUCT((M_BOM[Part Name]=$A18)*M_BOM[RM_Qty_Per_Batch]*IFERROR(INDEX(PP_Grid[#Data],M_BOM[PPGridRow],2),0))</f>
        <v/>
      </c>
      <c r="C18">
        <f>SUMPRODUCT((M_BOM[Part Name]=$A18)*M_BOM[RM_Qty_Per_Batch]*IFERROR(INDEX(PP_Grid[#Data],M_BOM[PPGridRow],3),0))</f>
        <v/>
      </c>
      <c r="D18">
        <f>SUMPRODUCT((M_BOM[Part Name]=$A18)*M_BOM[RM_Qty_Per_Batch]*IFERROR(INDEX(PP_Grid[#Data],M_BOM[PPGridRow],4),0))</f>
        <v/>
      </c>
      <c r="E18">
        <f>SUMPRODUCT((M_BOM[Part Name]=$A18)*M_BOM[RM_Qty_Per_Batch]*IFERROR(INDEX(PP_Grid[#Data],M_BOM[PPGridRow],5),0))</f>
        <v/>
      </c>
      <c r="F18">
        <f>SUMPRODUCT((M_BOM[Part Name]=$A18)*M_BOM[RM_Qty_Per_Batch]*IFERROR(INDEX(PP_Grid[#Data],M_BOM[PPGridRow],6),0))</f>
        <v/>
      </c>
      <c r="G18">
        <f>SUMPRODUCT((M_BOM[Part Name]=$A18)*M_BOM[RM_Qty_Per_Batch]*IFERROR(INDEX(PP_Grid[#Data],M_BOM[PPGridRow],7),0))</f>
        <v/>
      </c>
      <c r="H18">
        <f>SUMPRODUCT((M_BOM[Part Name]=$A18)*M_BOM[RM_Qty_Per_Batch]*IFERROR(INDEX(PP_Grid[#Data],M_BOM[PPGridRow],8),0))</f>
        <v/>
      </c>
      <c r="I18">
        <f>SUMPRODUCT((M_BOM[Part Name]=$A18)*M_BOM[RM_Qty_Per_Batch]*IFERROR(INDEX(PP_Grid[#Data],M_BOM[PPGridRow],9),0))</f>
        <v/>
      </c>
      <c r="J18">
        <f>SUMPRODUCT((M_BOM[Part Name]=$A18)*M_BOM[RM_Qty_Per_Batch]*IFERROR(INDEX(PP_Grid[#Data],M_BOM[PPGridRow],10),0))</f>
        <v/>
      </c>
      <c r="K18">
        <f>SUMPRODUCT((M_BOM[Part Name]=$A18)*M_BOM[RM_Qty_Per_Batch]*IFERROR(INDEX(PP_Grid[#Data],M_BOM[PPGridRow],11),0))</f>
        <v/>
      </c>
      <c r="L18">
        <f>SUMPRODUCT((M_BOM[Part Name]=$A18)*M_BOM[RM_Qty_Per_Batch]*IFERROR(INDEX(PP_Grid[#Data],M_BOM[PPGridRow],12),0))</f>
        <v/>
      </c>
      <c r="M18">
        <f>SUMPRODUCT((M_BOM[Part Name]=$A18)*M_BOM[RM_Qty_Per_Batch]*IFERROR(INDEX(PP_Grid[#Data],M_BOM[PPGridRow],13),0))</f>
        <v/>
      </c>
      <c r="N18">
        <f>SUMPRODUCT((M_BOM[Part Name]=$A18)*M_BOM[RM_Qty_Per_Batch]*IFERROR(INDEX(PP_Grid[#Data],M_BOM[PPGridRow],14),0))</f>
        <v/>
      </c>
      <c r="O18">
        <f>SUMPRODUCT((M_BOM[Part Name]=$A18)*M_BOM[RM_Qty_Per_Batch]*IFERROR(INDEX(PP_Grid[#Data],M_BOM[PPGridRow],15),0))</f>
        <v/>
      </c>
      <c r="P18">
        <f>SUMPRODUCT((M_BOM[Part Name]=$A18)*M_BOM[RM_Qty_Per_Batch]*IFERROR(INDEX(PP_Grid[#Data],M_BOM[PPGridRow],16),0))</f>
        <v/>
      </c>
      <c r="Q18">
        <f>SUMPRODUCT((M_BOM[Part Name]=$A18)*M_BOM[RM_Qty_Per_Batch]*IFERROR(INDEX(PP_Grid[#Data],M_BOM[PPGridRow],17),0))</f>
        <v/>
      </c>
      <c r="R18">
        <f>SUMPRODUCT((M_BOM[Part Name]=$A18)*M_BOM[RM_Qty_Per_Batch]*IFERROR(INDEX(PP_Grid[#Data],M_BOM[PPGridRow],18),0))</f>
        <v/>
      </c>
      <c r="S18">
        <f>SUMPRODUCT((M_BOM[Part Name]=$A18)*M_BOM[RM_Qty_Per_Batch]*IFERROR(INDEX(PP_Grid[#Data],M_BOM[PPGridRow],19),0))</f>
        <v/>
      </c>
      <c r="T18">
        <f>SUMPRODUCT((M_BOM[Part Name]=$A18)*M_BOM[RM_Qty_Per_Batch]*IFERROR(INDEX(PP_Grid[#Data],M_BOM[PPGridRow],20),0))</f>
        <v/>
      </c>
      <c r="U18">
        <f>SUMPRODUCT((M_BOM[Part Name]=$A18)*M_BOM[RM_Qty_Per_Batch]*IFERROR(INDEX(PP_Grid[#Data],M_BOM[PPGridRow],21),0))</f>
        <v/>
      </c>
      <c r="V18">
        <f>SUMPRODUCT((M_BOM[Part Name]=$A18)*M_BOM[RM_Qty_Per_Batch]*IFERROR(INDEX(PP_Grid[#Data],M_BOM[PPGridRow],22),0))</f>
        <v/>
      </c>
      <c r="W18">
        <f>SUMPRODUCT((M_BOM[Part Name]=$A18)*M_BOM[RM_Qty_Per_Batch]*IFERROR(INDEX(PP_Grid[#Data],M_BOM[PPGridRow],23),0))</f>
        <v/>
      </c>
      <c r="X18">
        <f>SUMPRODUCT((M_BOM[Part Name]=$A18)*M_BOM[RM_Qty_Per_Batch]*IFERROR(INDEX(PP_Grid[#Data],M_BOM[PPGridRow],24),0))</f>
        <v/>
      </c>
      <c r="Y18">
        <f>SUMPRODUCT((M_BOM[Part Name]=$A18)*M_BOM[RM_Qty_Per_Batch]*IFERROR(INDEX(PP_Grid[#Data],M_BOM[PPGridRow],25),0))</f>
        <v/>
      </c>
      <c r="Z18">
        <f>SUMPRODUCT((M_BOM[Part Name]=$A18)*M_BOM[RM_Qty_Per_Batch]*IFERROR(INDEX(PP_Grid[#Data],M_BOM[PPGridRow],26),0))</f>
        <v/>
      </c>
      <c r="AA18">
        <f>SUMPRODUCT((M_BOM[Part Name]=$A18)*M_BOM[RM_Qty_Per_Batch]*IFERROR(INDEX(PP_Grid[#Data],M_BOM[PPGridRow],27),0))</f>
        <v/>
      </c>
      <c r="AB18">
        <f>SUMPRODUCT((M_BOM[Part Name]=$A18)*M_BOM[RM_Qty_Per_Batch]*IFERROR(INDEX(PP_Grid[#Data],M_BOM[PPGridRow],28),0))</f>
        <v/>
      </c>
      <c r="AC18">
        <f>SUMPRODUCT((M_BOM[Part Name]=$A18)*M_BOM[RM_Qty_Per_Batch]*IFERROR(INDEX(PP_Grid[#Data],M_BOM[PPGridRow],29),0))</f>
        <v/>
      </c>
      <c r="AD18">
        <f>SUMPRODUCT((M_BOM[Part Name]=$A18)*M_BOM[RM_Qty_Per_Batch]*IFERROR(INDEX(PP_Grid[#Data],M_BOM[PPGridRow],30),0))</f>
        <v/>
      </c>
      <c r="AE18">
        <f>SUMPRODUCT((M_BOM[Part Name]=$A18)*M_BOM[RM_Qty_Per_Batch]*IFERROR(INDEX(PP_Grid[#Data],M_BOM[PPGridRow],31),0))</f>
        <v/>
      </c>
      <c r="AF18">
        <f>SUMPRODUCT((M_BOM[Part Name]=$A18)*M_BOM[RM_Qty_Per_Batch]*IFERROR(INDEX(PP_Grid[#Data],M_BOM[PPGridRow],32),0))</f>
        <v/>
      </c>
      <c r="AG18">
        <f>SUMPRODUCT((M_BOM[Part Name]=$A18)*M_BOM[RM_Qty_Per_Batch]*IFERROR(INDEX(PP_Grid[#Data],M_BOM[PPGridRow],33),0))</f>
        <v/>
      </c>
      <c r="AH18">
        <f>SUMPRODUCT((M_BOM[Part Name]=$A18)*M_BOM[RM_Qty_Per_Batch]*IFERROR(INDEX(PP_Grid[#Data],M_BOM[PPGridRow],34),0))</f>
        <v/>
      </c>
      <c r="AI18">
        <f>SUMPRODUCT((M_BOM[Part Name]=$A18)*M_BOM[RM_Qty_Per_Batch]*IFERROR(INDEX(PP_Grid[#Data],M_BOM[PPGridRow],35),0))</f>
        <v/>
      </c>
      <c r="AJ18">
        <f>SUMPRODUCT((M_BOM[Part Name]=$A18)*M_BOM[RM_Qty_Per_Batch]*IFERROR(INDEX(PP_Grid[#Data],M_BOM[PPGridRow],36),0))</f>
        <v/>
      </c>
      <c r="AK18">
        <f>SUMPRODUCT((M_BOM[Part Name]=$A18)*M_BOM[RM_Qty_Per_Batch]*IFERROR(INDEX(PP_Grid[#Data],M_BOM[PPGridRow],37),0))</f>
        <v/>
      </c>
      <c r="AL18">
        <f>SUMPRODUCT((M_BOM[Part Name]=$A18)*M_BOM[RM_Qty_Per_Batch]*IFERROR(INDEX(PP_Grid[#Data],M_BOM[PPGridRow],38),0))</f>
        <v/>
      </c>
      <c r="AM18">
        <f>SUMPRODUCT((M_BOM[Part Name]=$A18)*M_BOM[RM_Qty_Per_Batch]*IFERROR(INDEX(PP_Grid[#Data],M_BOM[PPGridRow],39),0))</f>
        <v/>
      </c>
      <c r="AN18">
        <f>SUMPRODUCT((M_BOM[Part Name]=$A18)*M_BOM[RM_Qty_Per_Batch]*IFERROR(INDEX(PP_Grid[#Data],M_BOM[PPGridRow],40),0))</f>
        <v/>
      </c>
      <c r="AO18">
        <f>SUMPRODUCT((M_BOM[Part Name]=$A18)*M_BOM[RM_Qty_Per_Batch]*IFERROR(INDEX(PP_Grid[#Data],M_BOM[PPGridRow],41),0))</f>
        <v/>
      </c>
      <c r="AP18">
        <f>SUMPRODUCT((M_BOM[Part Name]=$A18)*M_BOM[RM_Qty_Per_Batch]*IFERROR(INDEX(PP_Grid[#Data],M_BOM[PPGridRow],42),0))</f>
        <v/>
      </c>
      <c r="AQ18">
        <f>SUMPRODUCT((M_BOM[Part Name]=$A18)*M_BOM[RM_Qty_Per_Batch]*IFERROR(INDEX(PP_Grid[#Data],M_BOM[PPGridRow],43),0))</f>
        <v/>
      </c>
      <c r="AR18">
        <f>SUMPRODUCT((M_BOM[Part Name]=$A18)*M_BOM[RM_Qty_Per_Batch]*IFERROR(INDEX(PP_Grid[#Data],M_BOM[PPGridRow],44),0))</f>
        <v/>
      </c>
      <c r="AS18">
        <f>SUMPRODUCT((M_BOM[Part Name]=$A18)*M_BOM[RM_Qty_Per_Batch]*IFERROR(INDEX(PP_Grid[#Data],M_BOM[PPGridRow],45),0))</f>
        <v/>
      </c>
      <c r="AT18">
        <f>SUMPRODUCT((M_BOM[Part Name]=$A18)*M_BOM[RM_Qty_Per_Batch]*IFERROR(INDEX(PP_Grid[#Data],M_BOM[PPGridRow],46),0))</f>
        <v/>
      </c>
      <c r="AU18">
        <f>SUMPRODUCT((M_BOM[Part Name]=$A18)*M_BOM[RM_Qty_Per_Batch]*IFERROR(INDEX(PP_Grid[#Data],M_BOM[PPGridRow],47),0))</f>
        <v/>
      </c>
      <c r="AV18">
        <f>SUMPRODUCT((M_BOM[Part Name]=$A18)*M_BOM[RM_Qty_Per_Batch]*IFERROR(INDEX(PP_Grid[#Data],M_BOM[PPGridRow],48),0))</f>
        <v/>
      </c>
      <c r="AW18">
        <f>SUMPRODUCT((M_BOM[Part Name]=$A18)*M_BOM[RM_Qty_Per_Batch]*IFERROR(INDEX(PP_Grid[#Data],M_BOM[PPGridRow],49),0))</f>
        <v/>
      </c>
      <c r="AX18">
        <f>SUMPRODUCT((M_BOM[Part Name]=$A18)*M_BOM[RM_Qty_Per_Batch]*IFERROR(INDEX(PP_Grid[#Data],M_BOM[PPGridRow],50),0))</f>
        <v/>
      </c>
      <c r="AY18">
        <f>SUMPRODUCT((M_BOM[Part Name]=$A18)*M_BOM[RM_Qty_Per_Batch]*IFERROR(INDEX(PP_Grid[#Data],M_BOM[PPGridRow],51),0))</f>
        <v/>
      </c>
      <c r="AZ18">
        <f>SUMPRODUCT((M_BOM[Part Name]=$A18)*M_BOM[RM_Qty_Per_Batch]*IFERROR(INDEX(PP_Grid[#Data],M_BOM[PPGridRow],52),0))</f>
        <v/>
      </c>
      <c r="BA18">
        <f>SUMPRODUCT((M_BOM[Part Name]=$A18)*M_BOM[RM_Qty_Per_Batch]*IFERROR(INDEX(PP_Grid[#Data],M_BOM[PPGridRow],53),0))</f>
        <v/>
      </c>
      <c r="BB18">
        <f>SUMPRODUCT((M_BOM[Part Name]=$A18)*M_BOM[RM_Qty_Per_Batch]*IFERROR(INDEX(PP_Grid[#Data],M_BOM[PPGridRow],54),0))</f>
        <v/>
      </c>
      <c r="BC18">
        <f>SUMPRODUCT((M_BOM[Part Name]=$A18)*M_BOM[RM_Qty_Per_Batch]*IFERROR(INDEX(PP_Grid[#Data],M_BOM[PPGridRow],55),0))</f>
        <v/>
      </c>
      <c r="BD18">
        <f>SUMPRODUCT((M_BOM[Part Name]=$A18)*M_BOM[RM_Qty_Per_Batch]*IFERROR(INDEX(PP_Grid[#Data],M_BOM[PPGridRow],56),0))</f>
        <v/>
      </c>
      <c r="BE18">
        <f>SUMPRODUCT((M_BOM[Part Name]=$A18)*M_BOM[RM_Qty_Per_Batch]*IFERROR(INDEX(PP_Grid[#Data],M_BOM[PPGridRow],57),0))</f>
        <v/>
      </c>
      <c r="BF18">
        <f>SUMPRODUCT((M_BOM[Part Name]=$A18)*M_BOM[RM_Qty_Per_Batch]*IFERROR(INDEX(PP_Grid[#Data],M_BOM[PPGridRow],58),0))</f>
        <v/>
      </c>
      <c r="BG18">
        <f>SUMPRODUCT((M_BOM[Part Name]=$A18)*M_BOM[RM_Qty_Per_Batch]*IFERROR(INDEX(PP_Grid[#Data],M_BOM[PPGridRow],59),0))</f>
        <v/>
      </c>
      <c r="BH18">
        <f>SUMPRODUCT((M_BOM[Part Name]=$A18)*M_BOM[RM_Qty_Per_Batch]*IFERROR(INDEX(PP_Grid[#Data],M_BOM[PPGridRow],60),0))</f>
        <v/>
      </c>
      <c r="BI18">
        <f>SUMPRODUCT((M_BOM[Part Name]=$A18)*M_BOM[RM_Qty_Per_Batch]*IFERROR(INDEX(PP_Grid[#Data],M_BOM[PPGridRow],61),0))</f>
        <v/>
      </c>
      <c r="BJ18">
        <f>SUMPRODUCT((M_BOM[Part Name]=$A18)*M_BOM[RM_Qty_Per_Batch]*IFERROR(INDEX(PP_Grid[#Data],M_BOM[PPGridRow],62),0))</f>
        <v/>
      </c>
      <c r="BK18">
        <f>SUMPRODUCT((M_BOM[Part Name]=$A18)*M_BOM[RM_Qty_Per_Batch]*IFERROR(INDEX(PP_Grid[#Data],M_BOM[PPGridRow],63),0))</f>
        <v/>
      </c>
      <c r="BL18">
        <f>SUMPRODUCT((M_BOM[Part Name]=$A18)*M_BOM[RM_Qty_Per_Batch]*IFERROR(INDEX(PP_Grid[#Data],M_BOM[PPGridRow],64),0))</f>
        <v/>
      </c>
      <c r="BM18">
        <f>SUMPRODUCT((M_BOM[Part Name]=$A18)*M_BOM[RM_Qty_Per_Batch]*IFERROR(INDEX(PP_Grid[#Data],M_BOM[PPGridRow],65),0))</f>
        <v/>
      </c>
      <c r="BN18">
        <f>SUMPRODUCT((M_BOM[Part Name]=$A18)*M_BOM[RM_Qty_Per_Batch]*IFERROR(INDEX(PP_Grid[#Data],M_BOM[PPGridRow],66),0))</f>
        <v/>
      </c>
      <c r="BO18">
        <f>SUMPRODUCT((M_BOM[Part Name]=$A18)*M_BOM[RM_Qty_Per_Batch]*IFERROR(INDEX(PP_Grid[#Data],M_BOM[PPGridRow],67),0))</f>
        <v/>
      </c>
      <c r="BP18">
        <f>SUMPRODUCT((M_BOM[Part Name]=$A18)*M_BOM[RM_Qty_Per_Batch]*IFERROR(INDEX(PP_Grid[#Data],M_BOM[PPGridRow],68),0))</f>
        <v/>
      </c>
      <c r="BQ18">
        <f>SUMPRODUCT((M_BOM[Part Name]=$A18)*M_BOM[RM_Qty_Per_Batch]*IFERROR(INDEX(PP_Grid[#Data],M_BOM[PPGridRow],69),0))</f>
        <v/>
      </c>
      <c r="BR18">
        <f>SUMPRODUCT((M_BOM[Part Name]=$A18)*M_BOM[RM_Qty_Per_Batch]*IFERROR(INDEX(PP_Grid[#Data],M_BOM[PPGridRow],70),0))</f>
        <v/>
      </c>
      <c r="BS18">
        <f>SUMPRODUCT((M_BOM[Part Name]=$A18)*M_BOM[RM_Qty_Per_Batch]*IFERROR(INDEX(PP_Grid[#Data],M_BOM[PPGridRow],71),0))</f>
        <v/>
      </c>
      <c r="BT18">
        <f>SUMPRODUCT((M_BOM[Part Name]=$A18)*M_BOM[RM_Qty_Per_Batch]*IFERROR(INDEX(PP_Grid[#Data],M_BOM[PPGridRow],72),0))</f>
        <v/>
      </c>
      <c r="BU18">
        <f>SUMPRODUCT((M_BOM[Part Name]=$A18)*M_BOM[RM_Qty_Per_Batch]*IFERROR(INDEX(PP_Grid[#Data],M_BOM[PPGridRow],73),0))</f>
        <v/>
      </c>
      <c r="BV18">
        <f>SUMPRODUCT((M_BOM[Part Name]=$A18)*M_BOM[RM_Qty_Per_Batch]*IFERROR(INDEX(PP_Grid[#Data],M_BOM[PPGridRow],74),0))</f>
        <v/>
      </c>
      <c r="BW18">
        <f>SUMPRODUCT((M_BOM[Part Name]=$A18)*M_BOM[RM_Qty_Per_Batch]*IFERROR(INDEX(PP_Grid[#Data],M_BOM[PPGridRow],75),0))</f>
        <v/>
      </c>
      <c r="BX18">
        <f>SUMPRODUCT((M_BOM[Part Name]=$A18)*M_BOM[RM_Qty_Per_Batch]*IFERROR(INDEX(PP_Grid[#Data],M_BOM[PPGridRow],76),0))</f>
        <v/>
      </c>
      <c r="BY18">
        <f>SUMPRODUCT((M_BOM[Part Name]=$A18)*M_BOM[RM_Qty_Per_Batch]*IFERROR(INDEX(PP_Grid[#Data],M_BOM[PPGridRow],77),0))</f>
        <v/>
      </c>
      <c r="BZ18">
        <f>SUMPRODUCT((M_BOM[Part Name]=$A18)*M_BOM[RM_Qty_Per_Batch]*IFERROR(INDEX(PP_Grid[#Data],M_BOM[PPGridRow],78),0))</f>
        <v/>
      </c>
      <c r="CA18">
        <f>SUMPRODUCT((M_BOM[Part Name]=$A18)*M_BOM[RM_Qty_Per_Batch]*IFERROR(INDEX(PP_Grid[#Data],M_BOM[PPGridRow],79),0))</f>
        <v/>
      </c>
      <c r="CB18">
        <f>SUMPRODUCT((M_BOM[Part Name]=$A18)*M_BOM[RM_Qty_Per_Batch]*IFERROR(INDEX(PP_Grid[#Data],M_BOM[PPGridRow],80),0))</f>
        <v/>
      </c>
      <c r="CC18">
        <f>SUMPRODUCT((M_BOM[Part Name]=$A18)*M_BOM[RM_Qty_Per_Batch]*IFERROR(INDEX(PP_Grid[#Data],M_BOM[PPGridRow],81),0))</f>
        <v/>
      </c>
      <c r="CD18">
        <f>SUMPRODUCT((M_BOM[Part Name]=$A18)*M_BOM[RM_Qty_Per_Batch]*IFERROR(INDEX(PP_Grid[#Data],M_BOM[PPGridRow],82),0))</f>
        <v/>
      </c>
      <c r="CE18">
        <f>SUMPRODUCT((M_BOM[Part Name]=$A18)*M_BOM[RM_Qty_Per_Batch]*IFERROR(INDEX(PP_Grid[#Data],M_BOM[PPGridRow],83),0))</f>
        <v/>
      </c>
      <c r="CF18">
        <f>SUMPRODUCT((M_BOM[Part Name]=$A18)*M_BOM[RM_Qty_Per_Batch]*IFERROR(INDEX(PP_Grid[#Data],M_BOM[PPGridRow],84),0))</f>
        <v/>
      </c>
      <c r="CG18">
        <f>SUMPRODUCT((M_BOM[Part Name]=$A18)*M_BOM[RM_Qty_Per_Batch]*IFERROR(INDEX(PP_Grid[#Data],M_BOM[PPGridRow],85),0))</f>
        <v/>
      </c>
      <c r="CH18">
        <f>SUMPRODUCT((M_BOM[Part Name]=$A18)*M_BOM[RM_Qty_Per_Batch]*IFERROR(INDEX(PP_Grid[#Data],M_BOM[PPGridRow],86),0))</f>
        <v/>
      </c>
      <c r="CI18">
        <f>SUMPRODUCT((M_BOM[Part Name]=$A18)*M_BOM[RM_Qty_Per_Batch]*IFERROR(INDEX(PP_Grid[#Data],M_BOM[PPGridRow],87),0))</f>
        <v/>
      </c>
      <c r="CJ18">
        <f>SUMPRODUCT((M_BOM[Part Name]=$A18)*M_BOM[RM_Qty_Per_Batch]*IFERROR(INDEX(PP_Grid[#Data],M_BOM[PPGridRow],88),0))</f>
        <v/>
      </c>
      <c r="CK18">
        <f>SUMPRODUCT((M_BOM[Part Name]=$A18)*M_BOM[RM_Qty_Per_Batch]*IFERROR(INDEX(PP_Grid[#Data],M_BOM[PPGridRow],89),0))</f>
        <v/>
      </c>
      <c r="CL18">
        <f>SUMPRODUCT((M_BOM[Part Name]=$A18)*M_BOM[RM_Qty_Per_Batch]*IFERROR(INDEX(PP_Grid[#Data],M_BOM[PPGridRow],90),0))</f>
        <v/>
      </c>
      <c r="CM18">
        <f>SUMPRODUCT((M_BOM[Part Name]=$A18)*M_BOM[RM_Qty_Per_Batch]*IFERROR(INDEX(PP_Grid[#Data],M_BOM[PPGridRow],91),0))</f>
        <v/>
      </c>
      <c r="CN18">
        <f>SUMPRODUCT((M_BOM[Part Name]=$A18)*M_BOM[RM_Qty_Per_Batch]*IFERROR(INDEX(PP_Grid[#Data],M_BOM[PPGridRow],92),0))</f>
        <v/>
      </c>
      <c r="CO18">
        <f>SUMPRODUCT((M_BOM[Part Name]=$A18)*M_BOM[RM_Qty_Per_Batch]*IFERROR(INDEX(PP_Grid[#Data],M_BOM[PPGridRow],93),0))</f>
        <v/>
      </c>
      <c r="CP18">
        <f>SUMPRODUCT((M_BOM[Part Name]=$A18)*M_BOM[RM_Qty_Per_Batch]*IFERROR(INDEX(PP_Grid[#Data],M_BOM[PPGridRow],94),0))</f>
        <v/>
      </c>
      <c r="CQ18">
        <f>SUMPRODUCT((M_BOM[Part Name]=$A18)*M_BOM[RM_Qty_Per_Batch]*IFERROR(INDEX(PP_Grid[#Data],M_BOM[PPGridRow],95),0))</f>
        <v/>
      </c>
      <c r="CR18">
        <f>SUMPRODUCT((M_BOM[Part Name]=$A18)*M_BOM[RM_Qty_Per_Batch]*IFERROR(INDEX(PP_Grid[#Data],M_BOM[PPGridRow],96),0))</f>
        <v/>
      </c>
      <c r="CS18">
        <f>SUMPRODUCT((M_BOM[Part Name]=$A18)*M_BOM[RM_Qty_Per_Batch]*IFERROR(INDEX(PP_Grid[#Data],M_BOM[PPGridRow],97),0))</f>
        <v/>
      </c>
      <c r="CT18">
        <f>SUMPRODUCT((M_BOM[Part Name]=$A18)*M_BOM[RM_Qty_Per_Batch]*IFERROR(INDEX(PP_Grid[#Data],M_BOM[PPGridRow],98),0))</f>
        <v/>
      </c>
      <c r="CU18">
        <f>SUMPRODUCT((M_BOM[Part Name]=$A18)*M_BOM[RM_Qty_Per_Batch]*IFERROR(INDEX(PP_Grid[#Data],M_BOM[PPGridRow],99),0))</f>
        <v/>
      </c>
      <c r="CV18">
        <f>SUMPRODUCT((M_BOM[Part Name]=$A18)*M_BOM[RM_Qty_Per_Batch]*IFERROR(INDEX(PP_Grid[#Data],M_BOM[PPGridRow],100),0))</f>
        <v/>
      </c>
      <c r="CW18">
        <f>SUMPRODUCT((M_BOM[Part Name]=$A18)*M_BOM[RM_Qty_Per_Batch]*IFERROR(INDEX(PP_Grid[#Data],M_BOM[PPGridRow],101),0))</f>
        <v/>
      </c>
      <c r="CX18">
        <f>SUMPRODUCT((M_BOM[Part Name]=$A18)*M_BOM[RM_Qty_Per_Batch]*IFERROR(INDEX(PP_Grid[#Data],M_BOM[PPGridRow],102),0))</f>
        <v/>
      </c>
      <c r="CY18">
        <f>SUMPRODUCT((M_BOM[Part Name]=$A18)*M_BOM[RM_Qty_Per_Batch]*IFERROR(INDEX(PP_Grid[#Data],M_BOM[PPGridRow],103),0))</f>
        <v/>
      </c>
      <c r="CZ18">
        <f>SUMPRODUCT((M_BOM[Part Name]=$A18)*M_BOM[RM_Qty_Per_Batch]*IFERROR(INDEX(PP_Grid[#Data],M_BOM[PPGridRow],104),0))</f>
        <v/>
      </c>
      <c r="DA18">
        <f>SUMPRODUCT((M_BOM[Part Name]=$A18)*M_BOM[RM_Qty_Per_Batch]*IFERROR(INDEX(PP_Grid[#Data],M_BOM[PPGridRow],105),0))</f>
        <v/>
      </c>
    </row>
    <row r="19">
      <c r="A19" t="inlineStr">
        <is>
          <t>CHEM-1600</t>
        </is>
      </c>
      <c r="B19">
        <f>SUMPRODUCT((M_BOM[Part Name]=$A19)*M_BOM[RM_Qty_Per_Batch]*IFERROR(INDEX(PP_Grid[#Data],M_BOM[PPGridRow],2),0))</f>
        <v/>
      </c>
      <c r="C19">
        <f>SUMPRODUCT((M_BOM[Part Name]=$A19)*M_BOM[RM_Qty_Per_Batch]*IFERROR(INDEX(PP_Grid[#Data],M_BOM[PPGridRow],3),0))</f>
        <v/>
      </c>
      <c r="D19">
        <f>SUMPRODUCT((M_BOM[Part Name]=$A19)*M_BOM[RM_Qty_Per_Batch]*IFERROR(INDEX(PP_Grid[#Data],M_BOM[PPGridRow],4),0))</f>
        <v/>
      </c>
      <c r="E19">
        <f>SUMPRODUCT((M_BOM[Part Name]=$A19)*M_BOM[RM_Qty_Per_Batch]*IFERROR(INDEX(PP_Grid[#Data],M_BOM[PPGridRow],5),0))</f>
        <v/>
      </c>
      <c r="F19">
        <f>SUMPRODUCT((M_BOM[Part Name]=$A19)*M_BOM[RM_Qty_Per_Batch]*IFERROR(INDEX(PP_Grid[#Data],M_BOM[PPGridRow],6),0))</f>
        <v/>
      </c>
      <c r="G19">
        <f>SUMPRODUCT((M_BOM[Part Name]=$A19)*M_BOM[RM_Qty_Per_Batch]*IFERROR(INDEX(PP_Grid[#Data],M_BOM[PPGridRow],7),0))</f>
        <v/>
      </c>
      <c r="H19">
        <f>SUMPRODUCT((M_BOM[Part Name]=$A19)*M_BOM[RM_Qty_Per_Batch]*IFERROR(INDEX(PP_Grid[#Data],M_BOM[PPGridRow],8),0))</f>
        <v/>
      </c>
      <c r="I19">
        <f>SUMPRODUCT((M_BOM[Part Name]=$A19)*M_BOM[RM_Qty_Per_Batch]*IFERROR(INDEX(PP_Grid[#Data],M_BOM[PPGridRow],9),0))</f>
        <v/>
      </c>
      <c r="J19">
        <f>SUMPRODUCT((M_BOM[Part Name]=$A19)*M_BOM[RM_Qty_Per_Batch]*IFERROR(INDEX(PP_Grid[#Data],M_BOM[PPGridRow],10),0))</f>
        <v/>
      </c>
      <c r="K19">
        <f>SUMPRODUCT((M_BOM[Part Name]=$A19)*M_BOM[RM_Qty_Per_Batch]*IFERROR(INDEX(PP_Grid[#Data],M_BOM[PPGridRow],11),0))</f>
        <v/>
      </c>
      <c r="L19">
        <f>SUMPRODUCT((M_BOM[Part Name]=$A19)*M_BOM[RM_Qty_Per_Batch]*IFERROR(INDEX(PP_Grid[#Data],M_BOM[PPGridRow],12),0))</f>
        <v/>
      </c>
      <c r="M19">
        <f>SUMPRODUCT((M_BOM[Part Name]=$A19)*M_BOM[RM_Qty_Per_Batch]*IFERROR(INDEX(PP_Grid[#Data],M_BOM[PPGridRow],13),0))</f>
        <v/>
      </c>
      <c r="N19">
        <f>SUMPRODUCT((M_BOM[Part Name]=$A19)*M_BOM[RM_Qty_Per_Batch]*IFERROR(INDEX(PP_Grid[#Data],M_BOM[PPGridRow],14),0))</f>
        <v/>
      </c>
      <c r="O19">
        <f>SUMPRODUCT((M_BOM[Part Name]=$A19)*M_BOM[RM_Qty_Per_Batch]*IFERROR(INDEX(PP_Grid[#Data],M_BOM[PPGridRow],15),0))</f>
        <v/>
      </c>
      <c r="P19">
        <f>SUMPRODUCT((M_BOM[Part Name]=$A19)*M_BOM[RM_Qty_Per_Batch]*IFERROR(INDEX(PP_Grid[#Data],M_BOM[PPGridRow],16),0))</f>
        <v/>
      </c>
      <c r="Q19">
        <f>SUMPRODUCT((M_BOM[Part Name]=$A19)*M_BOM[RM_Qty_Per_Batch]*IFERROR(INDEX(PP_Grid[#Data],M_BOM[PPGridRow],17),0))</f>
        <v/>
      </c>
      <c r="R19">
        <f>SUMPRODUCT((M_BOM[Part Name]=$A19)*M_BOM[RM_Qty_Per_Batch]*IFERROR(INDEX(PP_Grid[#Data],M_BOM[PPGridRow],18),0))</f>
        <v/>
      </c>
      <c r="S19">
        <f>SUMPRODUCT((M_BOM[Part Name]=$A19)*M_BOM[RM_Qty_Per_Batch]*IFERROR(INDEX(PP_Grid[#Data],M_BOM[PPGridRow],19),0))</f>
        <v/>
      </c>
      <c r="T19">
        <f>SUMPRODUCT((M_BOM[Part Name]=$A19)*M_BOM[RM_Qty_Per_Batch]*IFERROR(INDEX(PP_Grid[#Data],M_BOM[PPGridRow],20),0))</f>
        <v/>
      </c>
      <c r="U19">
        <f>SUMPRODUCT((M_BOM[Part Name]=$A19)*M_BOM[RM_Qty_Per_Batch]*IFERROR(INDEX(PP_Grid[#Data],M_BOM[PPGridRow],21),0))</f>
        <v/>
      </c>
      <c r="V19">
        <f>SUMPRODUCT((M_BOM[Part Name]=$A19)*M_BOM[RM_Qty_Per_Batch]*IFERROR(INDEX(PP_Grid[#Data],M_BOM[PPGridRow],22),0))</f>
        <v/>
      </c>
      <c r="W19">
        <f>SUMPRODUCT((M_BOM[Part Name]=$A19)*M_BOM[RM_Qty_Per_Batch]*IFERROR(INDEX(PP_Grid[#Data],M_BOM[PPGridRow],23),0))</f>
        <v/>
      </c>
      <c r="X19">
        <f>SUMPRODUCT((M_BOM[Part Name]=$A19)*M_BOM[RM_Qty_Per_Batch]*IFERROR(INDEX(PP_Grid[#Data],M_BOM[PPGridRow],24),0))</f>
        <v/>
      </c>
      <c r="Y19">
        <f>SUMPRODUCT((M_BOM[Part Name]=$A19)*M_BOM[RM_Qty_Per_Batch]*IFERROR(INDEX(PP_Grid[#Data],M_BOM[PPGridRow],25),0))</f>
        <v/>
      </c>
      <c r="Z19">
        <f>SUMPRODUCT((M_BOM[Part Name]=$A19)*M_BOM[RM_Qty_Per_Batch]*IFERROR(INDEX(PP_Grid[#Data],M_BOM[PPGridRow],26),0))</f>
        <v/>
      </c>
      <c r="AA19">
        <f>SUMPRODUCT((M_BOM[Part Name]=$A19)*M_BOM[RM_Qty_Per_Batch]*IFERROR(INDEX(PP_Grid[#Data],M_BOM[PPGridRow],27),0))</f>
        <v/>
      </c>
      <c r="AB19">
        <f>SUMPRODUCT((M_BOM[Part Name]=$A19)*M_BOM[RM_Qty_Per_Batch]*IFERROR(INDEX(PP_Grid[#Data],M_BOM[PPGridRow],28),0))</f>
        <v/>
      </c>
      <c r="AC19">
        <f>SUMPRODUCT((M_BOM[Part Name]=$A19)*M_BOM[RM_Qty_Per_Batch]*IFERROR(INDEX(PP_Grid[#Data],M_BOM[PPGridRow],29),0))</f>
        <v/>
      </c>
      <c r="AD19">
        <f>SUMPRODUCT((M_BOM[Part Name]=$A19)*M_BOM[RM_Qty_Per_Batch]*IFERROR(INDEX(PP_Grid[#Data],M_BOM[PPGridRow],30),0))</f>
        <v/>
      </c>
      <c r="AE19">
        <f>SUMPRODUCT((M_BOM[Part Name]=$A19)*M_BOM[RM_Qty_Per_Batch]*IFERROR(INDEX(PP_Grid[#Data],M_BOM[PPGridRow],31),0))</f>
        <v/>
      </c>
      <c r="AF19">
        <f>SUMPRODUCT((M_BOM[Part Name]=$A19)*M_BOM[RM_Qty_Per_Batch]*IFERROR(INDEX(PP_Grid[#Data],M_BOM[PPGridRow],32),0))</f>
        <v/>
      </c>
      <c r="AG19">
        <f>SUMPRODUCT((M_BOM[Part Name]=$A19)*M_BOM[RM_Qty_Per_Batch]*IFERROR(INDEX(PP_Grid[#Data],M_BOM[PPGridRow],33),0))</f>
        <v/>
      </c>
      <c r="AH19">
        <f>SUMPRODUCT((M_BOM[Part Name]=$A19)*M_BOM[RM_Qty_Per_Batch]*IFERROR(INDEX(PP_Grid[#Data],M_BOM[PPGridRow],34),0))</f>
        <v/>
      </c>
      <c r="AI19">
        <f>SUMPRODUCT((M_BOM[Part Name]=$A19)*M_BOM[RM_Qty_Per_Batch]*IFERROR(INDEX(PP_Grid[#Data],M_BOM[PPGridRow],35),0))</f>
        <v/>
      </c>
      <c r="AJ19">
        <f>SUMPRODUCT((M_BOM[Part Name]=$A19)*M_BOM[RM_Qty_Per_Batch]*IFERROR(INDEX(PP_Grid[#Data],M_BOM[PPGridRow],36),0))</f>
        <v/>
      </c>
      <c r="AK19">
        <f>SUMPRODUCT((M_BOM[Part Name]=$A19)*M_BOM[RM_Qty_Per_Batch]*IFERROR(INDEX(PP_Grid[#Data],M_BOM[PPGridRow],37),0))</f>
        <v/>
      </c>
      <c r="AL19">
        <f>SUMPRODUCT((M_BOM[Part Name]=$A19)*M_BOM[RM_Qty_Per_Batch]*IFERROR(INDEX(PP_Grid[#Data],M_BOM[PPGridRow],38),0))</f>
        <v/>
      </c>
      <c r="AM19">
        <f>SUMPRODUCT((M_BOM[Part Name]=$A19)*M_BOM[RM_Qty_Per_Batch]*IFERROR(INDEX(PP_Grid[#Data],M_BOM[PPGridRow],39),0))</f>
        <v/>
      </c>
      <c r="AN19">
        <f>SUMPRODUCT((M_BOM[Part Name]=$A19)*M_BOM[RM_Qty_Per_Batch]*IFERROR(INDEX(PP_Grid[#Data],M_BOM[PPGridRow],40),0))</f>
        <v/>
      </c>
      <c r="AO19">
        <f>SUMPRODUCT((M_BOM[Part Name]=$A19)*M_BOM[RM_Qty_Per_Batch]*IFERROR(INDEX(PP_Grid[#Data],M_BOM[PPGridRow],41),0))</f>
        <v/>
      </c>
      <c r="AP19">
        <f>SUMPRODUCT((M_BOM[Part Name]=$A19)*M_BOM[RM_Qty_Per_Batch]*IFERROR(INDEX(PP_Grid[#Data],M_BOM[PPGridRow],42),0))</f>
        <v/>
      </c>
      <c r="AQ19">
        <f>SUMPRODUCT((M_BOM[Part Name]=$A19)*M_BOM[RM_Qty_Per_Batch]*IFERROR(INDEX(PP_Grid[#Data],M_BOM[PPGridRow],43),0))</f>
        <v/>
      </c>
      <c r="AR19">
        <f>SUMPRODUCT((M_BOM[Part Name]=$A19)*M_BOM[RM_Qty_Per_Batch]*IFERROR(INDEX(PP_Grid[#Data],M_BOM[PPGridRow],44),0))</f>
        <v/>
      </c>
      <c r="AS19">
        <f>SUMPRODUCT((M_BOM[Part Name]=$A19)*M_BOM[RM_Qty_Per_Batch]*IFERROR(INDEX(PP_Grid[#Data],M_BOM[PPGridRow],45),0))</f>
        <v/>
      </c>
      <c r="AT19">
        <f>SUMPRODUCT((M_BOM[Part Name]=$A19)*M_BOM[RM_Qty_Per_Batch]*IFERROR(INDEX(PP_Grid[#Data],M_BOM[PPGridRow],46),0))</f>
        <v/>
      </c>
      <c r="AU19">
        <f>SUMPRODUCT((M_BOM[Part Name]=$A19)*M_BOM[RM_Qty_Per_Batch]*IFERROR(INDEX(PP_Grid[#Data],M_BOM[PPGridRow],47),0))</f>
        <v/>
      </c>
      <c r="AV19">
        <f>SUMPRODUCT((M_BOM[Part Name]=$A19)*M_BOM[RM_Qty_Per_Batch]*IFERROR(INDEX(PP_Grid[#Data],M_BOM[PPGridRow],48),0))</f>
        <v/>
      </c>
      <c r="AW19">
        <f>SUMPRODUCT((M_BOM[Part Name]=$A19)*M_BOM[RM_Qty_Per_Batch]*IFERROR(INDEX(PP_Grid[#Data],M_BOM[PPGridRow],49),0))</f>
        <v/>
      </c>
      <c r="AX19">
        <f>SUMPRODUCT((M_BOM[Part Name]=$A19)*M_BOM[RM_Qty_Per_Batch]*IFERROR(INDEX(PP_Grid[#Data],M_BOM[PPGridRow],50),0))</f>
        <v/>
      </c>
      <c r="AY19">
        <f>SUMPRODUCT((M_BOM[Part Name]=$A19)*M_BOM[RM_Qty_Per_Batch]*IFERROR(INDEX(PP_Grid[#Data],M_BOM[PPGridRow],51),0))</f>
        <v/>
      </c>
      <c r="AZ19">
        <f>SUMPRODUCT((M_BOM[Part Name]=$A19)*M_BOM[RM_Qty_Per_Batch]*IFERROR(INDEX(PP_Grid[#Data],M_BOM[PPGridRow],52),0))</f>
        <v/>
      </c>
      <c r="BA19">
        <f>SUMPRODUCT((M_BOM[Part Name]=$A19)*M_BOM[RM_Qty_Per_Batch]*IFERROR(INDEX(PP_Grid[#Data],M_BOM[PPGridRow],53),0))</f>
        <v/>
      </c>
      <c r="BB19">
        <f>SUMPRODUCT((M_BOM[Part Name]=$A19)*M_BOM[RM_Qty_Per_Batch]*IFERROR(INDEX(PP_Grid[#Data],M_BOM[PPGridRow],54),0))</f>
        <v/>
      </c>
      <c r="BC19">
        <f>SUMPRODUCT((M_BOM[Part Name]=$A19)*M_BOM[RM_Qty_Per_Batch]*IFERROR(INDEX(PP_Grid[#Data],M_BOM[PPGridRow],55),0))</f>
        <v/>
      </c>
      <c r="BD19">
        <f>SUMPRODUCT((M_BOM[Part Name]=$A19)*M_BOM[RM_Qty_Per_Batch]*IFERROR(INDEX(PP_Grid[#Data],M_BOM[PPGridRow],56),0))</f>
        <v/>
      </c>
      <c r="BE19">
        <f>SUMPRODUCT((M_BOM[Part Name]=$A19)*M_BOM[RM_Qty_Per_Batch]*IFERROR(INDEX(PP_Grid[#Data],M_BOM[PPGridRow],57),0))</f>
        <v/>
      </c>
      <c r="BF19">
        <f>SUMPRODUCT((M_BOM[Part Name]=$A19)*M_BOM[RM_Qty_Per_Batch]*IFERROR(INDEX(PP_Grid[#Data],M_BOM[PPGridRow],58),0))</f>
        <v/>
      </c>
      <c r="BG19">
        <f>SUMPRODUCT((M_BOM[Part Name]=$A19)*M_BOM[RM_Qty_Per_Batch]*IFERROR(INDEX(PP_Grid[#Data],M_BOM[PPGridRow],59),0))</f>
        <v/>
      </c>
      <c r="BH19">
        <f>SUMPRODUCT((M_BOM[Part Name]=$A19)*M_BOM[RM_Qty_Per_Batch]*IFERROR(INDEX(PP_Grid[#Data],M_BOM[PPGridRow],60),0))</f>
        <v/>
      </c>
      <c r="BI19">
        <f>SUMPRODUCT((M_BOM[Part Name]=$A19)*M_BOM[RM_Qty_Per_Batch]*IFERROR(INDEX(PP_Grid[#Data],M_BOM[PPGridRow],61),0))</f>
        <v/>
      </c>
      <c r="BJ19">
        <f>SUMPRODUCT((M_BOM[Part Name]=$A19)*M_BOM[RM_Qty_Per_Batch]*IFERROR(INDEX(PP_Grid[#Data],M_BOM[PPGridRow],62),0))</f>
        <v/>
      </c>
      <c r="BK19">
        <f>SUMPRODUCT((M_BOM[Part Name]=$A19)*M_BOM[RM_Qty_Per_Batch]*IFERROR(INDEX(PP_Grid[#Data],M_BOM[PPGridRow],63),0))</f>
        <v/>
      </c>
      <c r="BL19">
        <f>SUMPRODUCT((M_BOM[Part Name]=$A19)*M_BOM[RM_Qty_Per_Batch]*IFERROR(INDEX(PP_Grid[#Data],M_BOM[PPGridRow],64),0))</f>
        <v/>
      </c>
      <c r="BM19">
        <f>SUMPRODUCT((M_BOM[Part Name]=$A19)*M_BOM[RM_Qty_Per_Batch]*IFERROR(INDEX(PP_Grid[#Data],M_BOM[PPGridRow],65),0))</f>
        <v/>
      </c>
      <c r="BN19">
        <f>SUMPRODUCT((M_BOM[Part Name]=$A19)*M_BOM[RM_Qty_Per_Batch]*IFERROR(INDEX(PP_Grid[#Data],M_BOM[PPGridRow],66),0))</f>
        <v/>
      </c>
      <c r="BO19">
        <f>SUMPRODUCT((M_BOM[Part Name]=$A19)*M_BOM[RM_Qty_Per_Batch]*IFERROR(INDEX(PP_Grid[#Data],M_BOM[PPGridRow],67),0))</f>
        <v/>
      </c>
      <c r="BP19">
        <f>SUMPRODUCT((M_BOM[Part Name]=$A19)*M_BOM[RM_Qty_Per_Batch]*IFERROR(INDEX(PP_Grid[#Data],M_BOM[PPGridRow],68),0))</f>
        <v/>
      </c>
      <c r="BQ19">
        <f>SUMPRODUCT((M_BOM[Part Name]=$A19)*M_BOM[RM_Qty_Per_Batch]*IFERROR(INDEX(PP_Grid[#Data],M_BOM[PPGridRow],69),0))</f>
        <v/>
      </c>
      <c r="BR19">
        <f>SUMPRODUCT((M_BOM[Part Name]=$A19)*M_BOM[RM_Qty_Per_Batch]*IFERROR(INDEX(PP_Grid[#Data],M_BOM[PPGridRow],70),0))</f>
        <v/>
      </c>
      <c r="BS19">
        <f>SUMPRODUCT((M_BOM[Part Name]=$A19)*M_BOM[RM_Qty_Per_Batch]*IFERROR(INDEX(PP_Grid[#Data],M_BOM[PPGridRow],71),0))</f>
        <v/>
      </c>
      <c r="BT19">
        <f>SUMPRODUCT((M_BOM[Part Name]=$A19)*M_BOM[RM_Qty_Per_Batch]*IFERROR(INDEX(PP_Grid[#Data],M_BOM[PPGridRow],72),0))</f>
        <v/>
      </c>
      <c r="BU19">
        <f>SUMPRODUCT((M_BOM[Part Name]=$A19)*M_BOM[RM_Qty_Per_Batch]*IFERROR(INDEX(PP_Grid[#Data],M_BOM[PPGridRow],73),0))</f>
        <v/>
      </c>
      <c r="BV19">
        <f>SUMPRODUCT((M_BOM[Part Name]=$A19)*M_BOM[RM_Qty_Per_Batch]*IFERROR(INDEX(PP_Grid[#Data],M_BOM[PPGridRow],74),0))</f>
        <v/>
      </c>
      <c r="BW19">
        <f>SUMPRODUCT((M_BOM[Part Name]=$A19)*M_BOM[RM_Qty_Per_Batch]*IFERROR(INDEX(PP_Grid[#Data],M_BOM[PPGridRow],75),0))</f>
        <v/>
      </c>
      <c r="BX19">
        <f>SUMPRODUCT((M_BOM[Part Name]=$A19)*M_BOM[RM_Qty_Per_Batch]*IFERROR(INDEX(PP_Grid[#Data],M_BOM[PPGridRow],76),0))</f>
        <v/>
      </c>
      <c r="BY19">
        <f>SUMPRODUCT((M_BOM[Part Name]=$A19)*M_BOM[RM_Qty_Per_Batch]*IFERROR(INDEX(PP_Grid[#Data],M_BOM[PPGridRow],77),0))</f>
        <v/>
      </c>
      <c r="BZ19">
        <f>SUMPRODUCT((M_BOM[Part Name]=$A19)*M_BOM[RM_Qty_Per_Batch]*IFERROR(INDEX(PP_Grid[#Data],M_BOM[PPGridRow],78),0))</f>
        <v/>
      </c>
      <c r="CA19">
        <f>SUMPRODUCT((M_BOM[Part Name]=$A19)*M_BOM[RM_Qty_Per_Batch]*IFERROR(INDEX(PP_Grid[#Data],M_BOM[PPGridRow],79),0))</f>
        <v/>
      </c>
      <c r="CB19">
        <f>SUMPRODUCT((M_BOM[Part Name]=$A19)*M_BOM[RM_Qty_Per_Batch]*IFERROR(INDEX(PP_Grid[#Data],M_BOM[PPGridRow],80),0))</f>
        <v/>
      </c>
      <c r="CC19">
        <f>SUMPRODUCT((M_BOM[Part Name]=$A19)*M_BOM[RM_Qty_Per_Batch]*IFERROR(INDEX(PP_Grid[#Data],M_BOM[PPGridRow],81),0))</f>
        <v/>
      </c>
      <c r="CD19">
        <f>SUMPRODUCT((M_BOM[Part Name]=$A19)*M_BOM[RM_Qty_Per_Batch]*IFERROR(INDEX(PP_Grid[#Data],M_BOM[PPGridRow],82),0))</f>
        <v/>
      </c>
      <c r="CE19">
        <f>SUMPRODUCT((M_BOM[Part Name]=$A19)*M_BOM[RM_Qty_Per_Batch]*IFERROR(INDEX(PP_Grid[#Data],M_BOM[PPGridRow],83),0))</f>
        <v/>
      </c>
      <c r="CF19">
        <f>SUMPRODUCT((M_BOM[Part Name]=$A19)*M_BOM[RM_Qty_Per_Batch]*IFERROR(INDEX(PP_Grid[#Data],M_BOM[PPGridRow],84),0))</f>
        <v/>
      </c>
      <c r="CG19">
        <f>SUMPRODUCT((M_BOM[Part Name]=$A19)*M_BOM[RM_Qty_Per_Batch]*IFERROR(INDEX(PP_Grid[#Data],M_BOM[PPGridRow],85),0))</f>
        <v/>
      </c>
      <c r="CH19">
        <f>SUMPRODUCT((M_BOM[Part Name]=$A19)*M_BOM[RM_Qty_Per_Batch]*IFERROR(INDEX(PP_Grid[#Data],M_BOM[PPGridRow],86),0))</f>
        <v/>
      </c>
      <c r="CI19">
        <f>SUMPRODUCT((M_BOM[Part Name]=$A19)*M_BOM[RM_Qty_Per_Batch]*IFERROR(INDEX(PP_Grid[#Data],M_BOM[PPGridRow],87),0))</f>
        <v/>
      </c>
      <c r="CJ19">
        <f>SUMPRODUCT((M_BOM[Part Name]=$A19)*M_BOM[RM_Qty_Per_Batch]*IFERROR(INDEX(PP_Grid[#Data],M_BOM[PPGridRow],88),0))</f>
        <v/>
      </c>
      <c r="CK19">
        <f>SUMPRODUCT((M_BOM[Part Name]=$A19)*M_BOM[RM_Qty_Per_Batch]*IFERROR(INDEX(PP_Grid[#Data],M_BOM[PPGridRow],89),0))</f>
        <v/>
      </c>
      <c r="CL19">
        <f>SUMPRODUCT((M_BOM[Part Name]=$A19)*M_BOM[RM_Qty_Per_Batch]*IFERROR(INDEX(PP_Grid[#Data],M_BOM[PPGridRow],90),0))</f>
        <v/>
      </c>
      <c r="CM19">
        <f>SUMPRODUCT((M_BOM[Part Name]=$A19)*M_BOM[RM_Qty_Per_Batch]*IFERROR(INDEX(PP_Grid[#Data],M_BOM[PPGridRow],91),0))</f>
        <v/>
      </c>
      <c r="CN19">
        <f>SUMPRODUCT((M_BOM[Part Name]=$A19)*M_BOM[RM_Qty_Per_Batch]*IFERROR(INDEX(PP_Grid[#Data],M_BOM[PPGridRow],92),0))</f>
        <v/>
      </c>
      <c r="CO19">
        <f>SUMPRODUCT((M_BOM[Part Name]=$A19)*M_BOM[RM_Qty_Per_Batch]*IFERROR(INDEX(PP_Grid[#Data],M_BOM[PPGridRow],93),0))</f>
        <v/>
      </c>
      <c r="CP19">
        <f>SUMPRODUCT((M_BOM[Part Name]=$A19)*M_BOM[RM_Qty_Per_Batch]*IFERROR(INDEX(PP_Grid[#Data],M_BOM[PPGridRow],94),0))</f>
        <v/>
      </c>
      <c r="CQ19">
        <f>SUMPRODUCT((M_BOM[Part Name]=$A19)*M_BOM[RM_Qty_Per_Batch]*IFERROR(INDEX(PP_Grid[#Data],M_BOM[PPGridRow],95),0))</f>
        <v/>
      </c>
      <c r="CR19">
        <f>SUMPRODUCT((M_BOM[Part Name]=$A19)*M_BOM[RM_Qty_Per_Batch]*IFERROR(INDEX(PP_Grid[#Data],M_BOM[PPGridRow],96),0))</f>
        <v/>
      </c>
      <c r="CS19">
        <f>SUMPRODUCT((M_BOM[Part Name]=$A19)*M_BOM[RM_Qty_Per_Batch]*IFERROR(INDEX(PP_Grid[#Data],M_BOM[PPGridRow],97),0))</f>
        <v/>
      </c>
      <c r="CT19">
        <f>SUMPRODUCT((M_BOM[Part Name]=$A19)*M_BOM[RM_Qty_Per_Batch]*IFERROR(INDEX(PP_Grid[#Data],M_BOM[PPGridRow],98),0))</f>
        <v/>
      </c>
      <c r="CU19">
        <f>SUMPRODUCT((M_BOM[Part Name]=$A19)*M_BOM[RM_Qty_Per_Batch]*IFERROR(INDEX(PP_Grid[#Data],M_BOM[PPGridRow],99),0))</f>
        <v/>
      </c>
      <c r="CV19">
        <f>SUMPRODUCT((M_BOM[Part Name]=$A19)*M_BOM[RM_Qty_Per_Batch]*IFERROR(INDEX(PP_Grid[#Data],M_BOM[PPGridRow],100),0))</f>
        <v/>
      </c>
      <c r="CW19">
        <f>SUMPRODUCT((M_BOM[Part Name]=$A19)*M_BOM[RM_Qty_Per_Batch]*IFERROR(INDEX(PP_Grid[#Data],M_BOM[PPGridRow],101),0))</f>
        <v/>
      </c>
      <c r="CX19">
        <f>SUMPRODUCT((M_BOM[Part Name]=$A19)*M_BOM[RM_Qty_Per_Batch]*IFERROR(INDEX(PP_Grid[#Data],M_BOM[PPGridRow],102),0))</f>
        <v/>
      </c>
      <c r="CY19">
        <f>SUMPRODUCT((M_BOM[Part Name]=$A19)*M_BOM[RM_Qty_Per_Batch]*IFERROR(INDEX(PP_Grid[#Data],M_BOM[PPGridRow],103),0))</f>
        <v/>
      </c>
      <c r="CZ19">
        <f>SUMPRODUCT((M_BOM[Part Name]=$A19)*M_BOM[RM_Qty_Per_Batch]*IFERROR(INDEX(PP_Grid[#Data],M_BOM[PPGridRow],104),0))</f>
        <v/>
      </c>
      <c r="DA19">
        <f>SUMPRODUCT((M_BOM[Part Name]=$A19)*M_BOM[RM_Qty_Per_Batch]*IFERROR(INDEX(PP_Grid[#Data],M_BOM[PPGridRow],105),0))</f>
        <v/>
      </c>
    </row>
    <row r="20">
      <c r="A20" t="inlineStr">
        <is>
          <t>CHEM-1280</t>
        </is>
      </c>
      <c r="B20">
        <f>SUMPRODUCT((M_BOM[Part Name]=$A20)*M_BOM[RM_Qty_Per_Batch]*IFERROR(INDEX(PP_Grid[#Data],M_BOM[PPGridRow],2),0))</f>
        <v/>
      </c>
      <c r="C20">
        <f>SUMPRODUCT((M_BOM[Part Name]=$A20)*M_BOM[RM_Qty_Per_Batch]*IFERROR(INDEX(PP_Grid[#Data],M_BOM[PPGridRow],3),0))</f>
        <v/>
      </c>
      <c r="D20">
        <f>SUMPRODUCT((M_BOM[Part Name]=$A20)*M_BOM[RM_Qty_Per_Batch]*IFERROR(INDEX(PP_Grid[#Data],M_BOM[PPGridRow],4),0))</f>
        <v/>
      </c>
      <c r="E20">
        <f>SUMPRODUCT((M_BOM[Part Name]=$A20)*M_BOM[RM_Qty_Per_Batch]*IFERROR(INDEX(PP_Grid[#Data],M_BOM[PPGridRow],5),0))</f>
        <v/>
      </c>
      <c r="F20">
        <f>SUMPRODUCT((M_BOM[Part Name]=$A20)*M_BOM[RM_Qty_Per_Batch]*IFERROR(INDEX(PP_Grid[#Data],M_BOM[PPGridRow],6),0))</f>
        <v/>
      </c>
      <c r="G20">
        <f>SUMPRODUCT((M_BOM[Part Name]=$A20)*M_BOM[RM_Qty_Per_Batch]*IFERROR(INDEX(PP_Grid[#Data],M_BOM[PPGridRow],7),0))</f>
        <v/>
      </c>
      <c r="H20">
        <f>SUMPRODUCT((M_BOM[Part Name]=$A20)*M_BOM[RM_Qty_Per_Batch]*IFERROR(INDEX(PP_Grid[#Data],M_BOM[PPGridRow],8),0))</f>
        <v/>
      </c>
      <c r="I20">
        <f>SUMPRODUCT((M_BOM[Part Name]=$A20)*M_BOM[RM_Qty_Per_Batch]*IFERROR(INDEX(PP_Grid[#Data],M_BOM[PPGridRow],9),0))</f>
        <v/>
      </c>
      <c r="J20">
        <f>SUMPRODUCT((M_BOM[Part Name]=$A20)*M_BOM[RM_Qty_Per_Batch]*IFERROR(INDEX(PP_Grid[#Data],M_BOM[PPGridRow],10),0))</f>
        <v/>
      </c>
      <c r="K20">
        <f>SUMPRODUCT((M_BOM[Part Name]=$A20)*M_BOM[RM_Qty_Per_Batch]*IFERROR(INDEX(PP_Grid[#Data],M_BOM[PPGridRow],11),0))</f>
        <v/>
      </c>
      <c r="L20">
        <f>SUMPRODUCT((M_BOM[Part Name]=$A20)*M_BOM[RM_Qty_Per_Batch]*IFERROR(INDEX(PP_Grid[#Data],M_BOM[PPGridRow],12),0))</f>
        <v/>
      </c>
      <c r="M20">
        <f>SUMPRODUCT((M_BOM[Part Name]=$A20)*M_BOM[RM_Qty_Per_Batch]*IFERROR(INDEX(PP_Grid[#Data],M_BOM[PPGridRow],13),0))</f>
        <v/>
      </c>
      <c r="N20">
        <f>SUMPRODUCT((M_BOM[Part Name]=$A20)*M_BOM[RM_Qty_Per_Batch]*IFERROR(INDEX(PP_Grid[#Data],M_BOM[PPGridRow],14),0))</f>
        <v/>
      </c>
      <c r="O20">
        <f>SUMPRODUCT((M_BOM[Part Name]=$A20)*M_BOM[RM_Qty_Per_Batch]*IFERROR(INDEX(PP_Grid[#Data],M_BOM[PPGridRow],15),0))</f>
        <v/>
      </c>
      <c r="P20">
        <f>SUMPRODUCT((M_BOM[Part Name]=$A20)*M_BOM[RM_Qty_Per_Batch]*IFERROR(INDEX(PP_Grid[#Data],M_BOM[PPGridRow],16),0))</f>
        <v/>
      </c>
      <c r="Q20">
        <f>SUMPRODUCT((M_BOM[Part Name]=$A20)*M_BOM[RM_Qty_Per_Batch]*IFERROR(INDEX(PP_Grid[#Data],M_BOM[PPGridRow],17),0))</f>
        <v/>
      </c>
      <c r="R20">
        <f>SUMPRODUCT((M_BOM[Part Name]=$A20)*M_BOM[RM_Qty_Per_Batch]*IFERROR(INDEX(PP_Grid[#Data],M_BOM[PPGridRow],18),0))</f>
        <v/>
      </c>
      <c r="S20">
        <f>SUMPRODUCT((M_BOM[Part Name]=$A20)*M_BOM[RM_Qty_Per_Batch]*IFERROR(INDEX(PP_Grid[#Data],M_BOM[PPGridRow],19),0))</f>
        <v/>
      </c>
      <c r="T20">
        <f>SUMPRODUCT((M_BOM[Part Name]=$A20)*M_BOM[RM_Qty_Per_Batch]*IFERROR(INDEX(PP_Grid[#Data],M_BOM[PPGridRow],20),0))</f>
        <v/>
      </c>
      <c r="U20">
        <f>SUMPRODUCT((M_BOM[Part Name]=$A20)*M_BOM[RM_Qty_Per_Batch]*IFERROR(INDEX(PP_Grid[#Data],M_BOM[PPGridRow],21),0))</f>
        <v/>
      </c>
      <c r="V20">
        <f>SUMPRODUCT((M_BOM[Part Name]=$A20)*M_BOM[RM_Qty_Per_Batch]*IFERROR(INDEX(PP_Grid[#Data],M_BOM[PPGridRow],22),0))</f>
        <v/>
      </c>
      <c r="W20">
        <f>SUMPRODUCT((M_BOM[Part Name]=$A20)*M_BOM[RM_Qty_Per_Batch]*IFERROR(INDEX(PP_Grid[#Data],M_BOM[PPGridRow],23),0))</f>
        <v/>
      </c>
      <c r="X20">
        <f>SUMPRODUCT((M_BOM[Part Name]=$A20)*M_BOM[RM_Qty_Per_Batch]*IFERROR(INDEX(PP_Grid[#Data],M_BOM[PPGridRow],24),0))</f>
        <v/>
      </c>
      <c r="Y20">
        <f>SUMPRODUCT((M_BOM[Part Name]=$A20)*M_BOM[RM_Qty_Per_Batch]*IFERROR(INDEX(PP_Grid[#Data],M_BOM[PPGridRow],25),0))</f>
        <v/>
      </c>
      <c r="Z20">
        <f>SUMPRODUCT((M_BOM[Part Name]=$A20)*M_BOM[RM_Qty_Per_Batch]*IFERROR(INDEX(PP_Grid[#Data],M_BOM[PPGridRow],26),0))</f>
        <v/>
      </c>
      <c r="AA20">
        <f>SUMPRODUCT((M_BOM[Part Name]=$A20)*M_BOM[RM_Qty_Per_Batch]*IFERROR(INDEX(PP_Grid[#Data],M_BOM[PPGridRow],27),0))</f>
        <v/>
      </c>
      <c r="AB20">
        <f>SUMPRODUCT((M_BOM[Part Name]=$A20)*M_BOM[RM_Qty_Per_Batch]*IFERROR(INDEX(PP_Grid[#Data],M_BOM[PPGridRow],28),0))</f>
        <v/>
      </c>
      <c r="AC20">
        <f>SUMPRODUCT((M_BOM[Part Name]=$A20)*M_BOM[RM_Qty_Per_Batch]*IFERROR(INDEX(PP_Grid[#Data],M_BOM[PPGridRow],29),0))</f>
        <v/>
      </c>
      <c r="AD20">
        <f>SUMPRODUCT((M_BOM[Part Name]=$A20)*M_BOM[RM_Qty_Per_Batch]*IFERROR(INDEX(PP_Grid[#Data],M_BOM[PPGridRow],30),0))</f>
        <v/>
      </c>
      <c r="AE20">
        <f>SUMPRODUCT((M_BOM[Part Name]=$A20)*M_BOM[RM_Qty_Per_Batch]*IFERROR(INDEX(PP_Grid[#Data],M_BOM[PPGridRow],31),0))</f>
        <v/>
      </c>
      <c r="AF20">
        <f>SUMPRODUCT((M_BOM[Part Name]=$A20)*M_BOM[RM_Qty_Per_Batch]*IFERROR(INDEX(PP_Grid[#Data],M_BOM[PPGridRow],32),0))</f>
        <v/>
      </c>
      <c r="AG20">
        <f>SUMPRODUCT((M_BOM[Part Name]=$A20)*M_BOM[RM_Qty_Per_Batch]*IFERROR(INDEX(PP_Grid[#Data],M_BOM[PPGridRow],33),0))</f>
        <v/>
      </c>
      <c r="AH20">
        <f>SUMPRODUCT((M_BOM[Part Name]=$A20)*M_BOM[RM_Qty_Per_Batch]*IFERROR(INDEX(PP_Grid[#Data],M_BOM[PPGridRow],34),0))</f>
        <v/>
      </c>
      <c r="AI20">
        <f>SUMPRODUCT((M_BOM[Part Name]=$A20)*M_BOM[RM_Qty_Per_Batch]*IFERROR(INDEX(PP_Grid[#Data],M_BOM[PPGridRow],35),0))</f>
        <v/>
      </c>
      <c r="AJ20">
        <f>SUMPRODUCT((M_BOM[Part Name]=$A20)*M_BOM[RM_Qty_Per_Batch]*IFERROR(INDEX(PP_Grid[#Data],M_BOM[PPGridRow],36),0))</f>
        <v/>
      </c>
      <c r="AK20">
        <f>SUMPRODUCT((M_BOM[Part Name]=$A20)*M_BOM[RM_Qty_Per_Batch]*IFERROR(INDEX(PP_Grid[#Data],M_BOM[PPGridRow],37),0))</f>
        <v/>
      </c>
      <c r="AL20">
        <f>SUMPRODUCT((M_BOM[Part Name]=$A20)*M_BOM[RM_Qty_Per_Batch]*IFERROR(INDEX(PP_Grid[#Data],M_BOM[PPGridRow],38),0))</f>
        <v/>
      </c>
      <c r="AM20">
        <f>SUMPRODUCT((M_BOM[Part Name]=$A20)*M_BOM[RM_Qty_Per_Batch]*IFERROR(INDEX(PP_Grid[#Data],M_BOM[PPGridRow],39),0))</f>
        <v/>
      </c>
      <c r="AN20">
        <f>SUMPRODUCT((M_BOM[Part Name]=$A20)*M_BOM[RM_Qty_Per_Batch]*IFERROR(INDEX(PP_Grid[#Data],M_BOM[PPGridRow],40),0))</f>
        <v/>
      </c>
      <c r="AO20">
        <f>SUMPRODUCT((M_BOM[Part Name]=$A20)*M_BOM[RM_Qty_Per_Batch]*IFERROR(INDEX(PP_Grid[#Data],M_BOM[PPGridRow],41),0))</f>
        <v/>
      </c>
      <c r="AP20">
        <f>SUMPRODUCT((M_BOM[Part Name]=$A20)*M_BOM[RM_Qty_Per_Batch]*IFERROR(INDEX(PP_Grid[#Data],M_BOM[PPGridRow],42),0))</f>
        <v/>
      </c>
      <c r="AQ20">
        <f>SUMPRODUCT((M_BOM[Part Name]=$A20)*M_BOM[RM_Qty_Per_Batch]*IFERROR(INDEX(PP_Grid[#Data],M_BOM[PPGridRow],43),0))</f>
        <v/>
      </c>
      <c r="AR20">
        <f>SUMPRODUCT((M_BOM[Part Name]=$A20)*M_BOM[RM_Qty_Per_Batch]*IFERROR(INDEX(PP_Grid[#Data],M_BOM[PPGridRow],44),0))</f>
        <v/>
      </c>
      <c r="AS20">
        <f>SUMPRODUCT((M_BOM[Part Name]=$A20)*M_BOM[RM_Qty_Per_Batch]*IFERROR(INDEX(PP_Grid[#Data],M_BOM[PPGridRow],45),0))</f>
        <v/>
      </c>
      <c r="AT20">
        <f>SUMPRODUCT((M_BOM[Part Name]=$A20)*M_BOM[RM_Qty_Per_Batch]*IFERROR(INDEX(PP_Grid[#Data],M_BOM[PPGridRow],46),0))</f>
        <v/>
      </c>
      <c r="AU20">
        <f>SUMPRODUCT((M_BOM[Part Name]=$A20)*M_BOM[RM_Qty_Per_Batch]*IFERROR(INDEX(PP_Grid[#Data],M_BOM[PPGridRow],47),0))</f>
        <v/>
      </c>
      <c r="AV20">
        <f>SUMPRODUCT((M_BOM[Part Name]=$A20)*M_BOM[RM_Qty_Per_Batch]*IFERROR(INDEX(PP_Grid[#Data],M_BOM[PPGridRow],48),0))</f>
        <v/>
      </c>
      <c r="AW20">
        <f>SUMPRODUCT((M_BOM[Part Name]=$A20)*M_BOM[RM_Qty_Per_Batch]*IFERROR(INDEX(PP_Grid[#Data],M_BOM[PPGridRow],49),0))</f>
        <v/>
      </c>
      <c r="AX20">
        <f>SUMPRODUCT((M_BOM[Part Name]=$A20)*M_BOM[RM_Qty_Per_Batch]*IFERROR(INDEX(PP_Grid[#Data],M_BOM[PPGridRow],50),0))</f>
        <v/>
      </c>
      <c r="AY20">
        <f>SUMPRODUCT((M_BOM[Part Name]=$A20)*M_BOM[RM_Qty_Per_Batch]*IFERROR(INDEX(PP_Grid[#Data],M_BOM[PPGridRow],51),0))</f>
        <v/>
      </c>
      <c r="AZ20">
        <f>SUMPRODUCT((M_BOM[Part Name]=$A20)*M_BOM[RM_Qty_Per_Batch]*IFERROR(INDEX(PP_Grid[#Data],M_BOM[PPGridRow],52),0))</f>
        <v/>
      </c>
      <c r="BA20">
        <f>SUMPRODUCT((M_BOM[Part Name]=$A20)*M_BOM[RM_Qty_Per_Batch]*IFERROR(INDEX(PP_Grid[#Data],M_BOM[PPGridRow],53),0))</f>
        <v/>
      </c>
      <c r="BB20">
        <f>SUMPRODUCT((M_BOM[Part Name]=$A20)*M_BOM[RM_Qty_Per_Batch]*IFERROR(INDEX(PP_Grid[#Data],M_BOM[PPGridRow],54),0))</f>
        <v/>
      </c>
      <c r="BC20">
        <f>SUMPRODUCT((M_BOM[Part Name]=$A20)*M_BOM[RM_Qty_Per_Batch]*IFERROR(INDEX(PP_Grid[#Data],M_BOM[PPGridRow],55),0))</f>
        <v/>
      </c>
      <c r="BD20">
        <f>SUMPRODUCT((M_BOM[Part Name]=$A20)*M_BOM[RM_Qty_Per_Batch]*IFERROR(INDEX(PP_Grid[#Data],M_BOM[PPGridRow],56),0))</f>
        <v/>
      </c>
      <c r="BE20">
        <f>SUMPRODUCT((M_BOM[Part Name]=$A20)*M_BOM[RM_Qty_Per_Batch]*IFERROR(INDEX(PP_Grid[#Data],M_BOM[PPGridRow],57),0))</f>
        <v/>
      </c>
      <c r="BF20">
        <f>SUMPRODUCT((M_BOM[Part Name]=$A20)*M_BOM[RM_Qty_Per_Batch]*IFERROR(INDEX(PP_Grid[#Data],M_BOM[PPGridRow],58),0))</f>
        <v/>
      </c>
      <c r="BG20">
        <f>SUMPRODUCT((M_BOM[Part Name]=$A20)*M_BOM[RM_Qty_Per_Batch]*IFERROR(INDEX(PP_Grid[#Data],M_BOM[PPGridRow],59),0))</f>
        <v/>
      </c>
      <c r="BH20">
        <f>SUMPRODUCT((M_BOM[Part Name]=$A20)*M_BOM[RM_Qty_Per_Batch]*IFERROR(INDEX(PP_Grid[#Data],M_BOM[PPGridRow],60),0))</f>
        <v/>
      </c>
      <c r="BI20">
        <f>SUMPRODUCT((M_BOM[Part Name]=$A20)*M_BOM[RM_Qty_Per_Batch]*IFERROR(INDEX(PP_Grid[#Data],M_BOM[PPGridRow],61),0))</f>
        <v/>
      </c>
      <c r="BJ20">
        <f>SUMPRODUCT((M_BOM[Part Name]=$A20)*M_BOM[RM_Qty_Per_Batch]*IFERROR(INDEX(PP_Grid[#Data],M_BOM[PPGridRow],62),0))</f>
        <v/>
      </c>
      <c r="BK20">
        <f>SUMPRODUCT((M_BOM[Part Name]=$A20)*M_BOM[RM_Qty_Per_Batch]*IFERROR(INDEX(PP_Grid[#Data],M_BOM[PPGridRow],63),0))</f>
        <v/>
      </c>
      <c r="BL20">
        <f>SUMPRODUCT((M_BOM[Part Name]=$A20)*M_BOM[RM_Qty_Per_Batch]*IFERROR(INDEX(PP_Grid[#Data],M_BOM[PPGridRow],64),0))</f>
        <v/>
      </c>
      <c r="BM20">
        <f>SUMPRODUCT((M_BOM[Part Name]=$A20)*M_BOM[RM_Qty_Per_Batch]*IFERROR(INDEX(PP_Grid[#Data],M_BOM[PPGridRow],65),0))</f>
        <v/>
      </c>
      <c r="BN20">
        <f>SUMPRODUCT((M_BOM[Part Name]=$A20)*M_BOM[RM_Qty_Per_Batch]*IFERROR(INDEX(PP_Grid[#Data],M_BOM[PPGridRow],66),0))</f>
        <v/>
      </c>
      <c r="BO20">
        <f>SUMPRODUCT((M_BOM[Part Name]=$A20)*M_BOM[RM_Qty_Per_Batch]*IFERROR(INDEX(PP_Grid[#Data],M_BOM[PPGridRow],67),0))</f>
        <v/>
      </c>
      <c r="BP20">
        <f>SUMPRODUCT((M_BOM[Part Name]=$A20)*M_BOM[RM_Qty_Per_Batch]*IFERROR(INDEX(PP_Grid[#Data],M_BOM[PPGridRow],68),0))</f>
        <v/>
      </c>
      <c r="BQ20">
        <f>SUMPRODUCT((M_BOM[Part Name]=$A20)*M_BOM[RM_Qty_Per_Batch]*IFERROR(INDEX(PP_Grid[#Data],M_BOM[PPGridRow],69),0))</f>
        <v/>
      </c>
      <c r="BR20">
        <f>SUMPRODUCT((M_BOM[Part Name]=$A20)*M_BOM[RM_Qty_Per_Batch]*IFERROR(INDEX(PP_Grid[#Data],M_BOM[PPGridRow],70),0))</f>
        <v/>
      </c>
      <c r="BS20">
        <f>SUMPRODUCT((M_BOM[Part Name]=$A20)*M_BOM[RM_Qty_Per_Batch]*IFERROR(INDEX(PP_Grid[#Data],M_BOM[PPGridRow],71),0))</f>
        <v/>
      </c>
      <c r="BT20">
        <f>SUMPRODUCT((M_BOM[Part Name]=$A20)*M_BOM[RM_Qty_Per_Batch]*IFERROR(INDEX(PP_Grid[#Data],M_BOM[PPGridRow],72),0))</f>
        <v/>
      </c>
      <c r="BU20">
        <f>SUMPRODUCT((M_BOM[Part Name]=$A20)*M_BOM[RM_Qty_Per_Batch]*IFERROR(INDEX(PP_Grid[#Data],M_BOM[PPGridRow],73),0))</f>
        <v/>
      </c>
      <c r="BV20">
        <f>SUMPRODUCT((M_BOM[Part Name]=$A20)*M_BOM[RM_Qty_Per_Batch]*IFERROR(INDEX(PP_Grid[#Data],M_BOM[PPGridRow],74),0))</f>
        <v/>
      </c>
      <c r="BW20">
        <f>SUMPRODUCT((M_BOM[Part Name]=$A20)*M_BOM[RM_Qty_Per_Batch]*IFERROR(INDEX(PP_Grid[#Data],M_BOM[PPGridRow],75),0))</f>
        <v/>
      </c>
      <c r="BX20">
        <f>SUMPRODUCT((M_BOM[Part Name]=$A20)*M_BOM[RM_Qty_Per_Batch]*IFERROR(INDEX(PP_Grid[#Data],M_BOM[PPGridRow],76),0))</f>
        <v/>
      </c>
      <c r="BY20">
        <f>SUMPRODUCT((M_BOM[Part Name]=$A20)*M_BOM[RM_Qty_Per_Batch]*IFERROR(INDEX(PP_Grid[#Data],M_BOM[PPGridRow],77),0))</f>
        <v/>
      </c>
      <c r="BZ20">
        <f>SUMPRODUCT((M_BOM[Part Name]=$A20)*M_BOM[RM_Qty_Per_Batch]*IFERROR(INDEX(PP_Grid[#Data],M_BOM[PPGridRow],78),0))</f>
        <v/>
      </c>
      <c r="CA20">
        <f>SUMPRODUCT((M_BOM[Part Name]=$A20)*M_BOM[RM_Qty_Per_Batch]*IFERROR(INDEX(PP_Grid[#Data],M_BOM[PPGridRow],79),0))</f>
        <v/>
      </c>
      <c r="CB20">
        <f>SUMPRODUCT((M_BOM[Part Name]=$A20)*M_BOM[RM_Qty_Per_Batch]*IFERROR(INDEX(PP_Grid[#Data],M_BOM[PPGridRow],80),0))</f>
        <v/>
      </c>
      <c r="CC20">
        <f>SUMPRODUCT((M_BOM[Part Name]=$A20)*M_BOM[RM_Qty_Per_Batch]*IFERROR(INDEX(PP_Grid[#Data],M_BOM[PPGridRow],81),0))</f>
        <v/>
      </c>
      <c r="CD20">
        <f>SUMPRODUCT((M_BOM[Part Name]=$A20)*M_BOM[RM_Qty_Per_Batch]*IFERROR(INDEX(PP_Grid[#Data],M_BOM[PPGridRow],82),0))</f>
        <v/>
      </c>
      <c r="CE20">
        <f>SUMPRODUCT((M_BOM[Part Name]=$A20)*M_BOM[RM_Qty_Per_Batch]*IFERROR(INDEX(PP_Grid[#Data],M_BOM[PPGridRow],83),0))</f>
        <v/>
      </c>
      <c r="CF20">
        <f>SUMPRODUCT((M_BOM[Part Name]=$A20)*M_BOM[RM_Qty_Per_Batch]*IFERROR(INDEX(PP_Grid[#Data],M_BOM[PPGridRow],84),0))</f>
        <v/>
      </c>
      <c r="CG20">
        <f>SUMPRODUCT((M_BOM[Part Name]=$A20)*M_BOM[RM_Qty_Per_Batch]*IFERROR(INDEX(PP_Grid[#Data],M_BOM[PPGridRow],85),0))</f>
        <v/>
      </c>
      <c r="CH20">
        <f>SUMPRODUCT((M_BOM[Part Name]=$A20)*M_BOM[RM_Qty_Per_Batch]*IFERROR(INDEX(PP_Grid[#Data],M_BOM[PPGridRow],86),0))</f>
        <v/>
      </c>
      <c r="CI20">
        <f>SUMPRODUCT((M_BOM[Part Name]=$A20)*M_BOM[RM_Qty_Per_Batch]*IFERROR(INDEX(PP_Grid[#Data],M_BOM[PPGridRow],87),0))</f>
        <v/>
      </c>
      <c r="CJ20">
        <f>SUMPRODUCT((M_BOM[Part Name]=$A20)*M_BOM[RM_Qty_Per_Batch]*IFERROR(INDEX(PP_Grid[#Data],M_BOM[PPGridRow],88),0))</f>
        <v/>
      </c>
      <c r="CK20">
        <f>SUMPRODUCT((M_BOM[Part Name]=$A20)*M_BOM[RM_Qty_Per_Batch]*IFERROR(INDEX(PP_Grid[#Data],M_BOM[PPGridRow],89),0))</f>
        <v/>
      </c>
      <c r="CL20">
        <f>SUMPRODUCT((M_BOM[Part Name]=$A20)*M_BOM[RM_Qty_Per_Batch]*IFERROR(INDEX(PP_Grid[#Data],M_BOM[PPGridRow],90),0))</f>
        <v/>
      </c>
      <c r="CM20">
        <f>SUMPRODUCT((M_BOM[Part Name]=$A20)*M_BOM[RM_Qty_Per_Batch]*IFERROR(INDEX(PP_Grid[#Data],M_BOM[PPGridRow],91),0))</f>
        <v/>
      </c>
      <c r="CN20">
        <f>SUMPRODUCT((M_BOM[Part Name]=$A20)*M_BOM[RM_Qty_Per_Batch]*IFERROR(INDEX(PP_Grid[#Data],M_BOM[PPGridRow],92),0))</f>
        <v/>
      </c>
      <c r="CO20">
        <f>SUMPRODUCT((M_BOM[Part Name]=$A20)*M_BOM[RM_Qty_Per_Batch]*IFERROR(INDEX(PP_Grid[#Data],M_BOM[PPGridRow],93),0))</f>
        <v/>
      </c>
      <c r="CP20">
        <f>SUMPRODUCT((M_BOM[Part Name]=$A20)*M_BOM[RM_Qty_Per_Batch]*IFERROR(INDEX(PP_Grid[#Data],M_BOM[PPGridRow],94),0))</f>
        <v/>
      </c>
      <c r="CQ20">
        <f>SUMPRODUCT((M_BOM[Part Name]=$A20)*M_BOM[RM_Qty_Per_Batch]*IFERROR(INDEX(PP_Grid[#Data],M_BOM[PPGridRow],95),0))</f>
        <v/>
      </c>
      <c r="CR20">
        <f>SUMPRODUCT((M_BOM[Part Name]=$A20)*M_BOM[RM_Qty_Per_Batch]*IFERROR(INDEX(PP_Grid[#Data],M_BOM[PPGridRow],96),0))</f>
        <v/>
      </c>
      <c r="CS20">
        <f>SUMPRODUCT((M_BOM[Part Name]=$A20)*M_BOM[RM_Qty_Per_Batch]*IFERROR(INDEX(PP_Grid[#Data],M_BOM[PPGridRow],97),0))</f>
        <v/>
      </c>
      <c r="CT20">
        <f>SUMPRODUCT((M_BOM[Part Name]=$A20)*M_BOM[RM_Qty_Per_Batch]*IFERROR(INDEX(PP_Grid[#Data],M_BOM[PPGridRow],98),0))</f>
        <v/>
      </c>
      <c r="CU20">
        <f>SUMPRODUCT((M_BOM[Part Name]=$A20)*M_BOM[RM_Qty_Per_Batch]*IFERROR(INDEX(PP_Grid[#Data],M_BOM[PPGridRow],99),0))</f>
        <v/>
      </c>
      <c r="CV20">
        <f>SUMPRODUCT((M_BOM[Part Name]=$A20)*M_BOM[RM_Qty_Per_Batch]*IFERROR(INDEX(PP_Grid[#Data],M_BOM[PPGridRow],100),0))</f>
        <v/>
      </c>
      <c r="CW20">
        <f>SUMPRODUCT((M_BOM[Part Name]=$A20)*M_BOM[RM_Qty_Per_Batch]*IFERROR(INDEX(PP_Grid[#Data],M_BOM[PPGridRow],101),0))</f>
        <v/>
      </c>
      <c r="CX20">
        <f>SUMPRODUCT((M_BOM[Part Name]=$A20)*M_BOM[RM_Qty_Per_Batch]*IFERROR(INDEX(PP_Grid[#Data],M_BOM[PPGridRow],102),0))</f>
        <v/>
      </c>
      <c r="CY20">
        <f>SUMPRODUCT((M_BOM[Part Name]=$A20)*M_BOM[RM_Qty_Per_Batch]*IFERROR(INDEX(PP_Grid[#Data],M_BOM[PPGridRow],103),0))</f>
        <v/>
      </c>
      <c r="CZ20">
        <f>SUMPRODUCT((M_BOM[Part Name]=$A20)*M_BOM[RM_Qty_Per_Batch]*IFERROR(INDEX(PP_Grid[#Data],M_BOM[PPGridRow],104),0))</f>
        <v/>
      </c>
      <c r="DA20">
        <f>SUMPRODUCT((M_BOM[Part Name]=$A20)*M_BOM[RM_Qty_Per_Batch]*IFERROR(INDEX(PP_Grid[#Data],M_BOM[PPGridRow],105),0))</f>
        <v/>
      </c>
    </row>
    <row r="21">
      <c r="A21" t="inlineStr">
        <is>
          <t>CHEM-1240</t>
        </is>
      </c>
      <c r="B21">
        <f>SUMPRODUCT((M_BOM[Part Name]=$A21)*M_BOM[RM_Qty_Per_Batch]*IFERROR(INDEX(PP_Grid[#Data],M_BOM[PPGridRow],2),0))</f>
        <v/>
      </c>
      <c r="C21">
        <f>SUMPRODUCT((M_BOM[Part Name]=$A21)*M_BOM[RM_Qty_Per_Batch]*IFERROR(INDEX(PP_Grid[#Data],M_BOM[PPGridRow],3),0))</f>
        <v/>
      </c>
      <c r="D21">
        <f>SUMPRODUCT((M_BOM[Part Name]=$A21)*M_BOM[RM_Qty_Per_Batch]*IFERROR(INDEX(PP_Grid[#Data],M_BOM[PPGridRow],4),0))</f>
        <v/>
      </c>
      <c r="E21">
        <f>SUMPRODUCT((M_BOM[Part Name]=$A21)*M_BOM[RM_Qty_Per_Batch]*IFERROR(INDEX(PP_Grid[#Data],M_BOM[PPGridRow],5),0))</f>
        <v/>
      </c>
      <c r="F21">
        <f>SUMPRODUCT((M_BOM[Part Name]=$A21)*M_BOM[RM_Qty_Per_Batch]*IFERROR(INDEX(PP_Grid[#Data],M_BOM[PPGridRow],6),0))</f>
        <v/>
      </c>
      <c r="G21">
        <f>SUMPRODUCT((M_BOM[Part Name]=$A21)*M_BOM[RM_Qty_Per_Batch]*IFERROR(INDEX(PP_Grid[#Data],M_BOM[PPGridRow],7),0))</f>
        <v/>
      </c>
      <c r="H21">
        <f>SUMPRODUCT((M_BOM[Part Name]=$A21)*M_BOM[RM_Qty_Per_Batch]*IFERROR(INDEX(PP_Grid[#Data],M_BOM[PPGridRow],8),0))</f>
        <v/>
      </c>
      <c r="I21">
        <f>SUMPRODUCT((M_BOM[Part Name]=$A21)*M_BOM[RM_Qty_Per_Batch]*IFERROR(INDEX(PP_Grid[#Data],M_BOM[PPGridRow],9),0))</f>
        <v/>
      </c>
      <c r="J21">
        <f>SUMPRODUCT((M_BOM[Part Name]=$A21)*M_BOM[RM_Qty_Per_Batch]*IFERROR(INDEX(PP_Grid[#Data],M_BOM[PPGridRow],10),0))</f>
        <v/>
      </c>
      <c r="K21">
        <f>SUMPRODUCT((M_BOM[Part Name]=$A21)*M_BOM[RM_Qty_Per_Batch]*IFERROR(INDEX(PP_Grid[#Data],M_BOM[PPGridRow],11),0))</f>
        <v/>
      </c>
      <c r="L21">
        <f>SUMPRODUCT((M_BOM[Part Name]=$A21)*M_BOM[RM_Qty_Per_Batch]*IFERROR(INDEX(PP_Grid[#Data],M_BOM[PPGridRow],12),0))</f>
        <v/>
      </c>
      <c r="M21">
        <f>SUMPRODUCT((M_BOM[Part Name]=$A21)*M_BOM[RM_Qty_Per_Batch]*IFERROR(INDEX(PP_Grid[#Data],M_BOM[PPGridRow],13),0))</f>
        <v/>
      </c>
      <c r="N21">
        <f>SUMPRODUCT((M_BOM[Part Name]=$A21)*M_BOM[RM_Qty_Per_Batch]*IFERROR(INDEX(PP_Grid[#Data],M_BOM[PPGridRow],14),0))</f>
        <v/>
      </c>
      <c r="O21">
        <f>SUMPRODUCT((M_BOM[Part Name]=$A21)*M_BOM[RM_Qty_Per_Batch]*IFERROR(INDEX(PP_Grid[#Data],M_BOM[PPGridRow],15),0))</f>
        <v/>
      </c>
      <c r="P21">
        <f>SUMPRODUCT((M_BOM[Part Name]=$A21)*M_BOM[RM_Qty_Per_Batch]*IFERROR(INDEX(PP_Grid[#Data],M_BOM[PPGridRow],16),0))</f>
        <v/>
      </c>
      <c r="Q21">
        <f>SUMPRODUCT((M_BOM[Part Name]=$A21)*M_BOM[RM_Qty_Per_Batch]*IFERROR(INDEX(PP_Grid[#Data],M_BOM[PPGridRow],17),0))</f>
        <v/>
      </c>
      <c r="R21">
        <f>SUMPRODUCT((M_BOM[Part Name]=$A21)*M_BOM[RM_Qty_Per_Batch]*IFERROR(INDEX(PP_Grid[#Data],M_BOM[PPGridRow],18),0))</f>
        <v/>
      </c>
      <c r="S21">
        <f>SUMPRODUCT((M_BOM[Part Name]=$A21)*M_BOM[RM_Qty_Per_Batch]*IFERROR(INDEX(PP_Grid[#Data],M_BOM[PPGridRow],19),0))</f>
        <v/>
      </c>
      <c r="T21">
        <f>SUMPRODUCT((M_BOM[Part Name]=$A21)*M_BOM[RM_Qty_Per_Batch]*IFERROR(INDEX(PP_Grid[#Data],M_BOM[PPGridRow],20),0))</f>
        <v/>
      </c>
      <c r="U21">
        <f>SUMPRODUCT((M_BOM[Part Name]=$A21)*M_BOM[RM_Qty_Per_Batch]*IFERROR(INDEX(PP_Grid[#Data],M_BOM[PPGridRow],21),0))</f>
        <v/>
      </c>
      <c r="V21">
        <f>SUMPRODUCT((M_BOM[Part Name]=$A21)*M_BOM[RM_Qty_Per_Batch]*IFERROR(INDEX(PP_Grid[#Data],M_BOM[PPGridRow],22),0))</f>
        <v/>
      </c>
      <c r="W21">
        <f>SUMPRODUCT((M_BOM[Part Name]=$A21)*M_BOM[RM_Qty_Per_Batch]*IFERROR(INDEX(PP_Grid[#Data],M_BOM[PPGridRow],23),0))</f>
        <v/>
      </c>
      <c r="X21">
        <f>SUMPRODUCT((M_BOM[Part Name]=$A21)*M_BOM[RM_Qty_Per_Batch]*IFERROR(INDEX(PP_Grid[#Data],M_BOM[PPGridRow],24),0))</f>
        <v/>
      </c>
      <c r="Y21">
        <f>SUMPRODUCT((M_BOM[Part Name]=$A21)*M_BOM[RM_Qty_Per_Batch]*IFERROR(INDEX(PP_Grid[#Data],M_BOM[PPGridRow],25),0))</f>
        <v/>
      </c>
      <c r="Z21">
        <f>SUMPRODUCT((M_BOM[Part Name]=$A21)*M_BOM[RM_Qty_Per_Batch]*IFERROR(INDEX(PP_Grid[#Data],M_BOM[PPGridRow],26),0))</f>
        <v/>
      </c>
      <c r="AA21">
        <f>SUMPRODUCT((M_BOM[Part Name]=$A21)*M_BOM[RM_Qty_Per_Batch]*IFERROR(INDEX(PP_Grid[#Data],M_BOM[PPGridRow],27),0))</f>
        <v/>
      </c>
      <c r="AB21">
        <f>SUMPRODUCT((M_BOM[Part Name]=$A21)*M_BOM[RM_Qty_Per_Batch]*IFERROR(INDEX(PP_Grid[#Data],M_BOM[PPGridRow],28),0))</f>
        <v/>
      </c>
      <c r="AC21">
        <f>SUMPRODUCT((M_BOM[Part Name]=$A21)*M_BOM[RM_Qty_Per_Batch]*IFERROR(INDEX(PP_Grid[#Data],M_BOM[PPGridRow],29),0))</f>
        <v/>
      </c>
      <c r="AD21">
        <f>SUMPRODUCT((M_BOM[Part Name]=$A21)*M_BOM[RM_Qty_Per_Batch]*IFERROR(INDEX(PP_Grid[#Data],M_BOM[PPGridRow],30),0))</f>
        <v/>
      </c>
      <c r="AE21">
        <f>SUMPRODUCT((M_BOM[Part Name]=$A21)*M_BOM[RM_Qty_Per_Batch]*IFERROR(INDEX(PP_Grid[#Data],M_BOM[PPGridRow],31),0))</f>
        <v/>
      </c>
      <c r="AF21">
        <f>SUMPRODUCT((M_BOM[Part Name]=$A21)*M_BOM[RM_Qty_Per_Batch]*IFERROR(INDEX(PP_Grid[#Data],M_BOM[PPGridRow],32),0))</f>
        <v/>
      </c>
      <c r="AG21">
        <f>SUMPRODUCT((M_BOM[Part Name]=$A21)*M_BOM[RM_Qty_Per_Batch]*IFERROR(INDEX(PP_Grid[#Data],M_BOM[PPGridRow],33),0))</f>
        <v/>
      </c>
      <c r="AH21">
        <f>SUMPRODUCT((M_BOM[Part Name]=$A21)*M_BOM[RM_Qty_Per_Batch]*IFERROR(INDEX(PP_Grid[#Data],M_BOM[PPGridRow],34),0))</f>
        <v/>
      </c>
      <c r="AI21">
        <f>SUMPRODUCT((M_BOM[Part Name]=$A21)*M_BOM[RM_Qty_Per_Batch]*IFERROR(INDEX(PP_Grid[#Data],M_BOM[PPGridRow],35),0))</f>
        <v/>
      </c>
      <c r="AJ21">
        <f>SUMPRODUCT((M_BOM[Part Name]=$A21)*M_BOM[RM_Qty_Per_Batch]*IFERROR(INDEX(PP_Grid[#Data],M_BOM[PPGridRow],36),0))</f>
        <v/>
      </c>
      <c r="AK21">
        <f>SUMPRODUCT((M_BOM[Part Name]=$A21)*M_BOM[RM_Qty_Per_Batch]*IFERROR(INDEX(PP_Grid[#Data],M_BOM[PPGridRow],37),0))</f>
        <v/>
      </c>
      <c r="AL21">
        <f>SUMPRODUCT((M_BOM[Part Name]=$A21)*M_BOM[RM_Qty_Per_Batch]*IFERROR(INDEX(PP_Grid[#Data],M_BOM[PPGridRow],38),0))</f>
        <v/>
      </c>
      <c r="AM21">
        <f>SUMPRODUCT((M_BOM[Part Name]=$A21)*M_BOM[RM_Qty_Per_Batch]*IFERROR(INDEX(PP_Grid[#Data],M_BOM[PPGridRow],39),0))</f>
        <v/>
      </c>
      <c r="AN21">
        <f>SUMPRODUCT((M_BOM[Part Name]=$A21)*M_BOM[RM_Qty_Per_Batch]*IFERROR(INDEX(PP_Grid[#Data],M_BOM[PPGridRow],40),0))</f>
        <v/>
      </c>
      <c r="AO21">
        <f>SUMPRODUCT((M_BOM[Part Name]=$A21)*M_BOM[RM_Qty_Per_Batch]*IFERROR(INDEX(PP_Grid[#Data],M_BOM[PPGridRow],41),0))</f>
        <v/>
      </c>
      <c r="AP21">
        <f>SUMPRODUCT((M_BOM[Part Name]=$A21)*M_BOM[RM_Qty_Per_Batch]*IFERROR(INDEX(PP_Grid[#Data],M_BOM[PPGridRow],42),0))</f>
        <v/>
      </c>
      <c r="AQ21">
        <f>SUMPRODUCT((M_BOM[Part Name]=$A21)*M_BOM[RM_Qty_Per_Batch]*IFERROR(INDEX(PP_Grid[#Data],M_BOM[PPGridRow],43),0))</f>
        <v/>
      </c>
      <c r="AR21">
        <f>SUMPRODUCT((M_BOM[Part Name]=$A21)*M_BOM[RM_Qty_Per_Batch]*IFERROR(INDEX(PP_Grid[#Data],M_BOM[PPGridRow],44),0))</f>
        <v/>
      </c>
      <c r="AS21">
        <f>SUMPRODUCT((M_BOM[Part Name]=$A21)*M_BOM[RM_Qty_Per_Batch]*IFERROR(INDEX(PP_Grid[#Data],M_BOM[PPGridRow],45),0))</f>
        <v/>
      </c>
      <c r="AT21">
        <f>SUMPRODUCT((M_BOM[Part Name]=$A21)*M_BOM[RM_Qty_Per_Batch]*IFERROR(INDEX(PP_Grid[#Data],M_BOM[PPGridRow],46),0))</f>
        <v/>
      </c>
      <c r="AU21">
        <f>SUMPRODUCT((M_BOM[Part Name]=$A21)*M_BOM[RM_Qty_Per_Batch]*IFERROR(INDEX(PP_Grid[#Data],M_BOM[PPGridRow],47),0))</f>
        <v/>
      </c>
      <c r="AV21">
        <f>SUMPRODUCT((M_BOM[Part Name]=$A21)*M_BOM[RM_Qty_Per_Batch]*IFERROR(INDEX(PP_Grid[#Data],M_BOM[PPGridRow],48),0))</f>
        <v/>
      </c>
      <c r="AW21">
        <f>SUMPRODUCT((M_BOM[Part Name]=$A21)*M_BOM[RM_Qty_Per_Batch]*IFERROR(INDEX(PP_Grid[#Data],M_BOM[PPGridRow],49),0))</f>
        <v/>
      </c>
      <c r="AX21">
        <f>SUMPRODUCT((M_BOM[Part Name]=$A21)*M_BOM[RM_Qty_Per_Batch]*IFERROR(INDEX(PP_Grid[#Data],M_BOM[PPGridRow],50),0))</f>
        <v/>
      </c>
      <c r="AY21">
        <f>SUMPRODUCT((M_BOM[Part Name]=$A21)*M_BOM[RM_Qty_Per_Batch]*IFERROR(INDEX(PP_Grid[#Data],M_BOM[PPGridRow],51),0))</f>
        <v/>
      </c>
      <c r="AZ21">
        <f>SUMPRODUCT((M_BOM[Part Name]=$A21)*M_BOM[RM_Qty_Per_Batch]*IFERROR(INDEX(PP_Grid[#Data],M_BOM[PPGridRow],52),0))</f>
        <v/>
      </c>
      <c r="BA21">
        <f>SUMPRODUCT((M_BOM[Part Name]=$A21)*M_BOM[RM_Qty_Per_Batch]*IFERROR(INDEX(PP_Grid[#Data],M_BOM[PPGridRow],53),0))</f>
        <v/>
      </c>
      <c r="BB21">
        <f>SUMPRODUCT((M_BOM[Part Name]=$A21)*M_BOM[RM_Qty_Per_Batch]*IFERROR(INDEX(PP_Grid[#Data],M_BOM[PPGridRow],54),0))</f>
        <v/>
      </c>
      <c r="BC21">
        <f>SUMPRODUCT((M_BOM[Part Name]=$A21)*M_BOM[RM_Qty_Per_Batch]*IFERROR(INDEX(PP_Grid[#Data],M_BOM[PPGridRow],55),0))</f>
        <v/>
      </c>
      <c r="BD21">
        <f>SUMPRODUCT((M_BOM[Part Name]=$A21)*M_BOM[RM_Qty_Per_Batch]*IFERROR(INDEX(PP_Grid[#Data],M_BOM[PPGridRow],56),0))</f>
        <v/>
      </c>
      <c r="BE21">
        <f>SUMPRODUCT((M_BOM[Part Name]=$A21)*M_BOM[RM_Qty_Per_Batch]*IFERROR(INDEX(PP_Grid[#Data],M_BOM[PPGridRow],57),0))</f>
        <v/>
      </c>
      <c r="BF21">
        <f>SUMPRODUCT((M_BOM[Part Name]=$A21)*M_BOM[RM_Qty_Per_Batch]*IFERROR(INDEX(PP_Grid[#Data],M_BOM[PPGridRow],58),0))</f>
        <v/>
      </c>
      <c r="BG21">
        <f>SUMPRODUCT((M_BOM[Part Name]=$A21)*M_BOM[RM_Qty_Per_Batch]*IFERROR(INDEX(PP_Grid[#Data],M_BOM[PPGridRow],59),0))</f>
        <v/>
      </c>
      <c r="BH21">
        <f>SUMPRODUCT((M_BOM[Part Name]=$A21)*M_BOM[RM_Qty_Per_Batch]*IFERROR(INDEX(PP_Grid[#Data],M_BOM[PPGridRow],60),0))</f>
        <v/>
      </c>
      <c r="BI21">
        <f>SUMPRODUCT((M_BOM[Part Name]=$A21)*M_BOM[RM_Qty_Per_Batch]*IFERROR(INDEX(PP_Grid[#Data],M_BOM[PPGridRow],61),0))</f>
        <v/>
      </c>
      <c r="BJ21">
        <f>SUMPRODUCT((M_BOM[Part Name]=$A21)*M_BOM[RM_Qty_Per_Batch]*IFERROR(INDEX(PP_Grid[#Data],M_BOM[PPGridRow],62),0))</f>
        <v/>
      </c>
      <c r="BK21">
        <f>SUMPRODUCT((M_BOM[Part Name]=$A21)*M_BOM[RM_Qty_Per_Batch]*IFERROR(INDEX(PP_Grid[#Data],M_BOM[PPGridRow],63),0))</f>
        <v/>
      </c>
      <c r="BL21">
        <f>SUMPRODUCT((M_BOM[Part Name]=$A21)*M_BOM[RM_Qty_Per_Batch]*IFERROR(INDEX(PP_Grid[#Data],M_BOM[PPGridRow],64),0))</f>
        <v/>
      </c>
      <c r="BM21">
        <f>SUMPRODUCT((M_BOM[Part Name]=$A21)*M_BOM[RM_Qty_Per_Batch]*IFERROR(INDEX(PP_Grid[#Data],M_BOM[PPGridRow],65),0))</f>
        <v/>
      </c>
      <c r="BN21">
        <f>SUMPRODUCT((M_BOM[Part Name]=$A21)*M_BOM[RM_Qty_Per_Batch]*IFERROR(INDEX(PP_Grid[#Data],M_BOM[PPGridRow],66),0))</f>
        <v/>
      </c>
      <c r="BO21">
        <f>SUMPRODUCT((M_BOM[Part Name]=$A21)*M_BOM[RM_Qty_Per_Batch]*IFERROR(INDEX(PP_Grid[#Data],M_BOM[PPGridRow],67),0))</f>
        <v/>
      </c>
      <c r="BP21">
        <f>SUMPRODUCT((M_BOM[Part Name]=$A21)*M_BOM[RM_Qty_Per_Batch]*IFERROR(INDEX(PP_Grid[#Data],M_BOM[PPGridRow],68),0))</f>
        <v/>
      </c>
      <c r="BQ21">
        <f>SUMPRODUCT((M_BOM[Part Name]=$A21)*M_BOM[RM_Qty_Per_Batch]*IFERROR(INDEX(PP_Grid[#Data],M_BOM[PPGridRow],69),0))</f>
        <v/>
      </c>
      <c r="BR21">
        <f>SUMPRODUCT((M_BOM[Part Name]=$A21)*M_BOM[RM_Qty_Per_Batch]*IFERROR(INDEX(PP_Grid[#Data],M_BOM[PPGridRow],70),0))</f>
        <v/>
      </c>
      <c r="BS21">
        <f>SUMPRODUCT((M_BOM[Part Name]=$A21)*M_BOM[RM_Qty_Per_Batch]*IFERROR(INDEX(PP_Grid[#Data],M_BOM[PPGridRow],71),0))</f>
        <v/>
      </c>
      <c r="BT21">
        <f>SUMPRODUCT((M_BOM[Part Name]=$A21)*M_BOM[RM_Qty_Per_Batch]*IFERROR(INDEX(PP_Grid[#Data],M_BOM[PPGridRow],72),0))</f>
        <v/>
      </c>
      <c r="BU21">
        <f>SUMPRODUCT((M_BOM[Part Name]=$A21)*M_BOM[RM_Qty_Per_Batch]*IFERROR(INDEX(PP_Grid[#Data],M_BOM[PPGridRow],73),0))</f>
        <v/>
      </c>
      <c r="BV21">
        <f>SUMPRODUCT((M_BOM[Part Name]=$A21)*M_BOM[RM_Qty_Per_Batch]*IFERROR(INDEX(PP_Grid[#Data],M_BOM[PPGridRow],74),0))</f>
        <v/>
      </c>
      <c r="BW21">
        <f>SUMPRODUCT((M_BOM[Part Name]=$A21)*M_BOM[RM_Qty_Per_Batch]*IFERROR(INDEX(PP_Grid[#Data],M_BOM[PPGridRow],75),0))</f>
        <v/>
      </c>
      <c r="BX21">
        <f>SUMPRODUCT((M_BOM[Part Name]=$A21)*M_BOM[RM_Qty_Per_Batch]*IFERROR(INDEX(PP_Grid[#Data],M_BOM[PPGridRow],76),0))</f>
        <v/>
      </c>
      <c r="BY21">
        <f>SUMPRODUCT((M_BOM[Part Name]=$A21)*M_BOM[RM_Qty_Per_Batch]*IFERROR(INDEX(PP_Grid[#Data],M_BOM[PPGridRow],77),0))</f>
        <v/>
      </c>
      <c r="BZ21">
        <f>SUMPRODUCT((M_BOM[Part Name]=$A21)*M_BOM[RM_Qty_Per_Batch]*IFERROR(INDEX(PP_Grid[#Data],M_BOM[PPGridRow],78),0))</f>
        <v/>
      </c>
      <c r="CA21">
        <f>SUMPRODUCT((M_BOM[Part Name]=$A21)*M_BOM[RM_Qty_Per_Batch]*IFERROR(INDEX(PP_Grid[#Data],M_BOM[PPGridRow],79),0))</f>
        <v/>
      </c>
      <c r="CB21">
        <f>SUMPRODUCT((M_BOM[Part Name]=$A21)*M_BOM[RM_Qty_Per_Batch]*IFERROR(INDEX(PP_Grid[#Data],M_BOM[PPGridRow],80),0))</f>
        <v/>
      </c>
      <c r="CC21">
        <f>SUMPRODUCT((M_BOM[Part Name]=$A21)*M_BOM[RM_Qty_Per_Batch]*IFERROR(INDEX(PP_Grid[#Data],M_BOM[PPGridRow],81),0))</f>
        <v/>
      </c>
      <c r="CD21">
        <f>SUMPRODUCT((M_BOM[Part Name]=$A21)*M_BOM[RM_Qty_Per_Batch]*IFERROR(INDEX(PP_Grid[#Data],M_BOM[PPGridRow],82),0))</f>
        <v/>
      </c>
      <c r="CE21">
        <f>SUMPRODUCT((M_BOM[Part Name]=$A21)*M_BOM[RM_Qty_Per_Batch]*IFERROR(INDEX(PP_Grid[#Data],M_BOM[PPGridRow],83),0))</f>
        <v/>
      </c>
      <c r="CF21">
        <f>SUMPRODUCT((M_BOM[Part Name]=$A21)*M_BOM[RM_Qty_Per_Batch]*IFERROR(INDEX(PP_Grid[#Data],M_BOM[PPGridRow],84),0))</f>
        <v/>
      </c>
      <c r="CG21">
        <f>SUMPRODUCT((M_BOM[Part Name]=$A21)*M_BOM[RM_Qty_Per_Batch]*IFERROR(INDEX(PP_Grid[#Data],M_BOM[PPGridRow],85),0))</f>
        <v/>
      </c>
      <c r="CH21">
        <f>SUMPRODUCT((M_BOM[Part Name]=$A21)*M_BOM[RM_Qty_Per_Batch]*IFERROR(INDEX(PP_Grid[#Data],M_BOM[PPGridRow],86),0))</f>
        <v/>
      </c>
      <c r="CI21">
        <f>SUMPRODUCT((M_BOM[Part Name]=$A21)*M_BOM[RM_Qty_Per_Batch]*IFERROR(INDEX(PP_Grid[#Data],M_BOM[PPGridRow],87),0))</f>
        <v/>
      </c>
      <c r="CJ21">
        <f>SUMPRODUCT((M_BOM[Part Name]=$A21)*M_BOM[RM_Qty_Per_Batch]*IFERROR(INDEX(PP_Grid[#Data],M_BOM[PPGridRow],88),0))</f>
        <v/>
      </c>
      <c r="CK21">
        <f>SUMPRODUCT((M_BOM[Part Name]=$A21)*M_BOM[RM_Qty_Per_Batch]*IFERROR(INDEX(PP_Grid[#Data],M_BOM[PPGridRow],89),0))</f>
        <v/>
      </c>
      <c r="CL21">
        <f>SUMPRODUCT((M_BOM[Part Name]=$A21)*M_BOM[RM_Qty_Per_Batch]*IFERROR(INDEX(PP_Grid[#Data],M_BOM[PPGridRow],90),0))</f>
        <v/>
      </c>
      <c r="CM21">
        <f>SUMPRODUCT((M_BOM[Part Name]=$A21)*M_BOM[RM_Qty_Per_Batch]*IFERROR(INDEX(PP_Grid[#Data],M_BOM[PPGridRow],91),0))</f>
        <v/>
      </c>
      <c r="CN21">
        <f>SUMPRODUCT((M_BOM[Part Name]=$A21)*M_BOM[RM_Qty_Per_Batch]*IFERROR(INDEX(PP_Grid[#Data],M_BOM[PPGridRow],92),0))</f>
        <v/>
      </c>
      <c r="CO21">
        <f>SUMPRODUCT((M_BOM[Part Name]=$A21)*M_BOM[RM_Qty_Per_Batch]*IFERROR(INDEX(PP_Grid[#Data],M_BOM[PPGridRow],93),0))</f>
        <v/>
      </c>
      <c r="CP21">
        <f>SUMPRODUCT((M_BOM[Part Name]=$A21)*M_BOM[RM_Qty_Per_Batch]*IFERROR(INDEX(PP_Grid[#Data],M_BOM[PPGridRow],94),0))</f>
        <v/>
      </c>
      <c r="CQ21">
        <f>SUMPRODUCT((M_BOM[Part Name]=$A21)*M_BOM[RM_Qty_Per_Batch]*IFERROR(INDEX(PP_Grid[#Data],M_BOM[PPGridRow],95),0))</f>
        <v/>
      </c>
      <c r="CR21">
        <f>SUMPRODUCT((M_BOM[Part Name]=$A21)*M_BOM[RM_Qty_Per_Batch]*IFERROR(INDEX(PP_Grid[#Data],M_BOM[PPGridRow],96),0))</f>
        <v/>
      </c>
      <c r="CS21">
        <f>SUMPRODUCT((M_BOM[Part Name]=$A21)*M_BOM[RM_Qty_Per_Batch]*IFERROR(INDEX(PP_Grid[#Data],M_BOM[PPGridRow],97),0))</f>
        <v/>
      </c>
      <c r="CT21">
        <f>SUMPRODUCT((M_BOM[Part Name]=$A21)*M_BOM[RM_Qty_Per_Batch]*IFERROR(INDEX(PP_Grid[#Data],M_BOM[PPGridRow],98),0))</f>
        <v/>
      </c>
      <c r="CU21">
        <f>SUMPRODUCT((M_BOM[Part Name]=$A21)*M_BOM[RM_Qty_Per_Batch]*IFERROR(INDEX(PP_Grid[#Data],M_BOM[PPGridRow],99),0))</f>
        <v/>
      </c>
      <c r="CV21">
        <f>SUMPRODUCT((M_BOM[Part Name]=$A21)*M_BOM[RM_Qty_Per_Batch]*IFERROR(INDEX(PP_Grid[#Data],M_BOM[PPGridRow],100),0))</f>
        <v/>
      </c>
      <c r="CW21">
        <f>SUMPRODUCT((M_BOM[Part Name]=$A21)*M_BOM[RM_Qty_Per_Batch]*IFERROR(INDEX(PP_Grid[#Data],M_BOM[PPGridRow],101),0))</f>
        <v/>
      </c>
      <c r="CX21">
        <f>SUMPRODUCT((M_BOM[Part Name]=$A21)*M_BOM[RM_Qty_Per_Batch]*IFERROR(INDEX(PP_Grid[#Data],M_BOM[PPGridRow],102),0))</f>
        <v/>
      </c>
      <c r="CY21">
        <f>SUMPRODUCT((M_BOM[Part Name]=$A21)*M_BOM[RM_Qty_Per_Batch]*IFERROR(INDEX(PP_Grid[#Data],M_BOM[PPGridRow],103),0))</f>
        <v/>
      </c>
      <c r="CZ21">
        <f>SUMPRODUCT((M_BOM[Part Name]=$A21)*M_BOM[RM_Qty_Per_Batch]*IFERROR(INDEX(PP_Grid[#Data],M_BOM[PPGridRow],104),0))</f>
        <v/>
      </c>
      <c r="DA21">
        <f>SUMPRODUCT((M_BOM[Part Name]=$A21)*M_BOM[RM_Qty_Per_Batch]*IFERROR(INDEX(PP_Grid[#Data],M_BOM[PPGridRow],105),0))</f>
        <v/>
      </c>
    </row>
    <row r="22">
      <c r="A22" t="inlineStr">
        <is>
          <t>0JN</t>
        </is>
      </c>
      <c r="B22">
        <f>SUMPRODUCT((M_BOM[Part Name]=$A22)*M_BOM[RM_Qty_Per_Batch]*IFERROR(INDEX(PP_Grid[#Data],M_BOM[PPGridRow],2),0))</f>
        <v/>
      </c>
      <c r="C22">
        <f>SUMPRODUCT((M_BOM[Part Name]=$A22)*M_BOM[RM_Qty_Per_Batch]*IFERROR(INDEX(PP_Grid[#Data],M_BOM[PPGridRow],3),0))</f>
        <v/>
      </c>
      <c r="D22">
        <f>SUMPRODUCT((M_BOM[Part Name]=$A22)*M_BOM[RM_Qty_Per_Batch]*IFERROR(INDEX(PP_Grid[#Data],M_BOM[PPGridRow],4),0))</f>
        <v/>
      </c>
      <c r="E22">
        <f>SUMPRODUCT((M_BOM[Part Name]=$A22)*M_BOM[RM_Qty_Per_Batch]*IFERROR(INDEX(PP_Grid[#Data],M_BOM[PPGridRow],5),0))</f>
        <v/>
      </c>
      <c r="F22">
        <f>SUMPRODUCT((M_BOM[Part Name]=$A22)*M_BOM[RM_Qty_Per_Batch]*IFERROR(INDEX(PP_Grid[#Data],M_BOM[PPGridRow],6),0))</f>
        <v/>
      </c>
      <c r="G22">
        <f>SUMPRODUCT((M_BOM[Part Name]=$A22)*M_BOM[RM_Qty_Per_Batch]*IFERROR(INDEX(PP_Grid[#Data],M_BOM[PPGridRow],7),0))</f>
        <v/>
      </c>
      <c r="H22">
        <f>SUMPRODUCT((M_BOM[Part Name]=$A22)*M_BOM[RM_Qty_Per_Batch]*IFERROR(INDEX(PP_Grid[#Data],M_BOM[PPGridRow],8),0))</f>
        <v/>
      </c>
      <c r="I22">
        <f>SUMPRODUCT((M_BOM[Part Name]=$A22)*M_BOM[RM_Qty_Per_Batch]*IFERROR(INDEX(PP_Grid[#Data],M_BOM[PPGridRow],9),0))</f>
        <v/>
      </c>
      <c r="J22">
        <f>SUMPRODUCT((M_BOM[Part Name]=$A22)*M_BOM[RM_Qty_Per_Batch]*IFERROR(INDEX(PP_Grid[#Data],M_BOM[PPGridRow],10),0))</f>
        <v/>
      </c>
      <c r="K22">
        <f>SUMPRODUCT((M_BOM[Part Name]=$A22)*M_BOM[RM_Qty_Per_Batch]*IFERROR(INDEX(PP_Grid[#Data],M_BOM[PPGridRow],11),0))</f>
        <v/>
      </c>
      <c r="L22">
        <f>SUMPRODUCT((M_BOM[Part Name]=$A22)*M_BOM[RM_Qty_Per_Batch]*IFERROR(INDEX(PP_Grid[#Data],M_BOM[PPGridRow],12),0))</f>
        <v/>
      </c>
      <c r="M22">
        <f>SUMPRODUCT((M_BOM[Part Name]=$A22)*M_BOM[RM_Qty_Per_Batch]*IFERROR(INDEX(PP_Grid[#Data],M_BOM[PPGridRow],13),0))</f>
        <v/>
      </c>
      <c r="N22">
        <f>SUMPRODUCT((M_BOM[Part Name]=$A22)*M_BOM[RM_Qty_Per_Batch]*IFERROR(INDEX(PP_Grid[#Data],M_BOM[PPGridRow],14),0))</f>
        <v/>
      </c>
      <c r="O22">
        <f>SUMPRODUCT((M_BOM[Part Name]=$A22)*M_BOM[RM_Qty_Per_Batch]*IFERROR(INDEX(PP_Grid[#Data],M_BOM[PPGridRow],15),0))</f>
        <v/>
      </c>
      <c r="P22">
        <f>SUMPRODUCT((M_BOM[Part Name]=$A22)*M_BOM[RM_Qty_Per_Batch]*IFERROR(INDEX(PP_Grid[#Data],M_BOM[PPGridRow],16),0))</f>
        <v/>
      </c>
      <c r="Q22">
        <f>SUMPRODUCT((M_BOM[Part Name]=$A22)*M_BOM[RM_Qty_Per_Batch]*IFERROR(INDEX(PP_Grid[#Data],M_BOM[PPGridRow],17),0))</f>
        <v/>
      </c>
      <c r="R22">
        <f>SUMPRODUCT((M_BOM[Part Name]=$A22)*M_BOM[RM_Qty_Per_Batch]*IFERROR(INDEX(PP_Grid[#Data],M_BOM[PPGridRow],18),0))</f>
        <v/>
      </c>
      <c r="S22">
        <f>SUMPRODUCT((M_BOM[Part Name]=$A22)*M_BOM[RM_Qty_Per_Batch]*IFERROR(INDEX(PP_Grid[#Data],M_BOM[PPGridRow],19),0))</f>
        <v/>
      </c>
      <c r="T22">
        <f>SUMPRODUCT((M_BOM[Part Name]=$A22)*M_BOM[RM_Qty_Per_Batch]*IFERROR(INDEX(PP_Grid[#Data],M_BOM[PPGridRow],20),0))</f>
        <v/>
      </c>
      <c r="U22">
        <f>SUMPRODUCT((M_BOM[Part Name]=$A22)*M_BOM[RM_Qty_Per_Batch]*IFERROR(INDEX(PP_Grid[#Data],M_BOM[PPGridRow],21),0))</f>
        <v/>
      </c>
      <c r="V22">
        <f>SUMPRODUCT((M_BOM[Part Name]=$A22)*M_BOM[RM_Qty_Per_Batch]*IFERROR(INDEX(PP_Grid[#Data],M_BOM[PPGridRow],22),0))</f>
        <v/>
      </c>
      <c r="W22">
        <f>SUMPRODUCT((M_BOM[Part Name]=$A22)*M_BOM[RM_Qty_Per_Batch]*IFERROR(INDEX(PP_Grid[#Data],M_BOM[PPGridRow],23),0))</f>
        <v/>
      </c>
      <c r="X22">
        <f>SUMPRODUCT((M_BOM[Part Name]=$A22)*M_BOM[RM_Qty_Per_Batch]*IFERROR(INDEX(PP_Grid[#Data],M_BOM[PPGridRow],24),0))</f>
        <v/>
      </c>
      <c r="Y22">
        <f>SUMPRODUCT((M_BOM[Part Name]=$A22)*M_BOM[RM_Qty_Per_Batch]*IFERROR(INDEX(PP_Grid[#Data],M_BOM[PPGridRow],25),0))</f>
        <v/>
      </c>
      <c r="Z22">
        <f>SUMPRODUCT((M_BOM[Part Name]=$A22)*M_BOM[RM_Qty_Per_Batch]*IFERROR(INDEX(PP_Grid[#Data],M_BOM[PPGridRow],26),0))</f>
        <v/>
      </c>
      <c r="AA22">
        <f>SUMPRODUCT((M_BOM[Part Name]=$A22)*M_BOM[RM_Qty_Per_Batch]*IFERROR(INDEX(PP_Grid[#Data],M_BOM[PPGridRow],27),0))</f>
        <v/>
      </c>
      <c r="AB22">
        <f>SUMPRODUCT((M_BOM[Part Name]=$A22)*M_BOM[RM_Qty_Per_Batch]*IFERROR(INDEX(PP_Grid[#Data],M_BOM[PPGridRow],28),0))</f>
        <v/>
      </c>
      <c r="AC22">
        <f>SUMPRODUCT((M_BOM[Part Name]=$A22)*M_BOM[RM_Qty_Per_Batch]*IFERROR(INDEX(PP_Grid[#Data],M_BOM[PPGridRow],29),0))</f>
        <v/>
      </c>
      <c r="AD22">
        <f>SUMPRODUCT((M_BOM[Part Name]=$A22)*M_BOM[RM_Qty_Per_Batch]*IFERROR(INDEX(PP_Grid[#Data],M_BOM[PPGridRow],30),0))</f>
        <v/>
      </c>
      <c r="AE22">
        <f>SUMPRODUCT((M_BOM[Part Name]=$A22)*M_BOM[RM_Qty_Per_Batch]*IFERROR(INDEX(PP_Grid[#Data],M_BOM[PPGridRow],31),0))</f>
        <v/>
      </c>
      <c r="AF22">
        <f>SUMPRODUCT((M_BOM[Part Name]=$A22)*M_BOM[RM_Qty_Per_Batch]*IFERROR(INDEX(PP_Grid[#Data],M_BOM[PPGridRow],32),0))</f>
        <v/>
      </c>
      <c r="AG22">
        <f>SUMPRODUCT((M_BOM[Part Name]=$A22)*M_BOM[RM_Qty_Per_Batch]*IFERROR(INDEX(PP_Grid[#Data],M_BOM[PPGridRow],33),0))</f>
        <v/>
      </c>
      <c r="AH22">
        <f>SUMPRODUCT((M_BOM[Part Name]=$A22)*M_BOM[RM_Qty_Per_Batch]*IFERROR(INDEX(PP_Grid[#Data],M_BOM[PPGridRow],34),0))</f>
        <v/>
      </c>
      <c r="AI22">
        <f>SUMPRODUCT((M_BOM[Part Name]=$A22)*M_BOM[RM_Qty_Per_Batch]*IFERROR(INDEX(PP_Grid[#Data],M_BOM[PPGridRow],35),0))</f>
        <v/>
      </c>
      <c r="AJ22">
        <f>SUMPRODUCT((M_BOM[Part Name]=$A22)*M_BOM[RM_Qty_Per_Batch]*IFERROR(INDEX(PP_Grid[#Data],M_BOM[PPGridRow],36),0))</f>
        <v/>
      </c>
      <c r="AK22">
        <f>SUMPRODUCT((M_BOM[Part Name]=$A22)*M_BOM[RM_Qty_Per_Batch]*IFERROR(INDEX(PP_Grid[#Data],M_BOM[PPGridRow],37),0))</f>
        <v/>
      </c>
      <c r="AL22">
        <f>SUMPRODUCT((M_BOM[Part Name]=$A22)*M_BOM[RM_Qty_Per_Batch]*IFERROR(INDEX(PP_Grid[#Data],M_BOM[PPGridRow],38),0))</f>
        <v/>
      </c>
      <c r="AM22">
        <f>SUMPRODUCT((M_BOM[Part Name]=$A22)*M_BOM[RM_Qty_Per_Batch]*IFERROR(INDEX(PP_Grid[#Data],M_BOM[PPGridRow],39),0))</f>
        <v/>
      </c>
      <c r="AN22">
        <f>SUMPRODUCT((M_BOM[Part Name]=$A22)*M_BOM[RM_Qty_Per_Batch]*IFERROR(INDEX(PP_Grid[#Data],M_BOM[PPGridRow],40),0))</f>
        <v/>
      </c>
      <c r="AO22">
        <f>SUMPRODUCT((M_BOM[Part Name]=$A22)*M_BOM[RM_Qty_Per_Batch]*IFERROR(INDEX(PP_Grid[#Data],M_BOM[PPGridRow],41),0))</f>
        <v/>
      </c>
      <c r="AP22">
        <f>SUMPRODUCT((M_BOM[Part Name]=$A22)*M_BOM[RM_Qty_Per_Batch]*IFERROR(INDEX(PP_Grid[#Data],M_BOM[PPGridRow],42),0))</f>
        <v/>
      </c>
      <c r="AQ22">
        <f>SUMPRODUCT((M_BOM[Part Name]=$A22)*M_BOM[RM_Qty_Per_Batch]*IFERROR(INDEX(PP_Grid[#Data],M_BOM[PPGridRow],43),0))</f>
        <v/>
      </c>
      <c r="AR22">
        <f>SUMPRODUCT((M_BOM[Part Name]=$A22)*M_BOM[RM_Qty_Per_Batch]*IFERROR(INDEX(PP_Grid[#Data],M_BOM[PPGridRow],44),0))</f>
        <v/>
      </c>
      <c r="AS22">
        <f>SUMPRODUCT((M_BOM[Part Name]=$A22)*M_BOM[RM_Qty_Per_Batch]*IFERROR(INDEX(PP_Grid[#Data],M_BOM[PPGridRow],45),0))</f>
        <v/>
      </c>
      <c r="AT22">
        <f>SUMPRODUCT((M_BOM[Part Name]=$A22)*M_BOM[RM_Qty_Per_Batch]*IFERROR(INDEX(PP_Grid[#Data],M_BOM[PPGridRow],46),0))</f>
        <v/>
      </c>
      <c r="AU22">
        <f>SUMPRODUCT((M_BOM[Part Name]=$A22)*M_BOM[RM_Qty_Per_Batch]*IFERROR(INDEX(PP_Grid[#Data],M_BOM[PPGridRow],47),0))</f>
        <v/>
      </c>
      <c r="AV22">
        <f>SUMPRODUCT((M_BOM[Part Name]=$A22)*M_BOM[RM_Qty_Per_Batch]*IFERROR(INDEX(PP_Grid[#Data],M_BOM[PPGridRow],48),0))</f>
        <v/>
      </c>
      <c r="AW22">
        <f>SUMPRODUCT((M_BOM[Part Name]=$A22)*M_BOM[RM_Qty_Per_Batch]*IFERROR(INDEX(PP_Grid[#Data],M_BOM[PPGridRow],49),0))</f>
        <v/>
      </c>
      <c r="AX22">
        <f>SUMPRODUCT((M_BOM[Part Name]=$A22)*M_BOM[RM_Qty_Per_Batch]*IFERROR(INDEX(PP_Grid[#Data],M_BOM[PPGridRow],50),0))</f>
        <v/>
      </c>
      <c r="AY22">
        <f>SUMPRODUCT((M_BOM[Part Name]=$A22)*M_BOM[RM_Qty_Per_Batch]*IFERROR(INDEX(PP_Grid[#Data],M_BOM[PPGridRow],51),0))</f>
        <v/>
      </c>
      <c r="AZ22">
        <f>SUMPRODUCT((M_BOM[Part Name]=$A22)*M_BOM[RM_Qty_Per_Batch]*IFERROR(INDEX(PP_Grid[#Data],M_BOM[PPGridRow],52),0))</f>
        <v/>
      </c>
      <c r="BA22">
        <f>SUMPRODUCT((M_BOM[Part Name]=$A22)*M_BOM[RM_Qty_Per_Batch]*IFERROR(INDEX(PP_Grid[#Data],M_BOM[PPGridRow],53),0))</f>
        <v/>
      </c>
      <c r="BB22">
        <f>SUMPRODUCT((M_BOM[Part Name]=$A22)*M_BOM[RM_Qty_Per_Batch]*IFERROR(INDEX(PP_Grid[#Data],M_BOM[PPGridRow],54),0))</f>
        <v/>
      </c>
      <c r="BC22">
        <f>SUMPRODUCT((M_BOM[Part Name]=$A22)*M_BOM[RM_Qty_Per_Batch]*IFERROR(INDEX(PP_Grid[#Data],M_BOM[PPGridRow],55),0))</f>
        <v/>
      </c>
      <c r="BD22">
        <f>SUMPRODUCT((M_BOM[Part Name]=$A22)*M_BOM[RM_Qty_Per_Batch]*IFERROR(INDEX(PP_Grid[#Data],M_BOM[PPGridRow],56),0))</f>
        <v/>
      </c>
      <c r="BE22">
        <f>SUMPRODUCT((M_BOM[Part Name]=$A22)*M_BOM[RM_Qty_Per_Batch]*IFERROR(INDEX(PP_Grid[#Data],M_BOM[PPGridRow],57),0))</f>
        <v/>
      </c>
      <c r="BF22">
        <f>SUMPRODUCT((M_BOM[Part Name]=$A22)*M_BOM[RM_Qty_Per_Batch]*IFERROR(INDEX(PP_Grid[#Data],M_BOM[PPGridRow],58),0))</f>
        <v/>
      </c>
      <c r="BG22">
        <f>SUMPRODUCT((M_BOM[Part Name]=$A22)*M_BOM[RM_Qty_Per_Batch]*IFERROR(INDEX(PP_Grid[#Data],M_BOM[PPGridRow],59),0))</f>
        <v/>
      </c>
      <c r="BH22">
        <f>SUMPRODUCT((M_BOM[Part Name]=$A22)*M_BOM[RM_Qty_Per_Batch]*IFERROR(INDEX(PP_Grid[#Data],M_BOM[PPGridRow],60),0))</f>
        <v/>
      </c>
      <c r="BI22">
        <f>SUMPRODUCT((M_BOM[Part Name]=$A22)*M_BOM[RM_Qty_Per_Batch]*IFERROR(INDEX(PP_Grid[#Data],M_BOM[PPGridRow],61),0))</f>
        <v/>
      </c>
      <c r="BJ22">
        <f>SUMPRODUCT((M_BOM[Part Name]=$A22)*M_BOM[RM_Qty_Per_Batch]*IFERROR(INDEX(PP_Grid[#Data],M_BOM[PPGridRow],62),0))</f>
        <v/>
      </c>
      <c r="BK22">
        <f>SUMPRODUCT((M_BOM[Part Name]=$A22)*M_BOM[RM_Qty_Per_Batch]*IFERROR(INDEX(PP_Grid[#Data],M_BOM[PPGridRow],63),0))</f>
        <v/>
      </c>
      <c r="BL22">
        <f>SUMPRODUCT((M_BOM[Part Name]=$A22)*M_BOM[RM_Qty_Per_Batch]*IFERROR(INDEX(PP_Grid[#Data],M_BOM[PPGridRow],64),0))</f>
        <v/>
      </c>
      <c r="BM22">
        <f>SUMPRODUCT((M_BOM[Part Name]=$A22)*M_BOM[RM_Qty_Per_Batch]*IFERROR(INDEX(PP_Grid[#Data],M_BOM[PPGridRow],65),0))</f>
        <v/>
      </c>
      <c r="BN22">
        <f>SUMPRODUCT((M_BOM[Part Name]=$A22)*M_BOM[RM_Qty_Per_Batch]*IFERROR(INDEX(PP_Grid[#Data],M_BOM[PPGridRow],66),0))</f>
        <v/>
      </c>
      <c r="BO22">
        <f>SUMPRODUCT((M_BOM[Part Name]=$A22)*M_BOM[RM_Qty_Per_Batch]*IFERROR(INDEX(PP_Grid[#Data],M_BOM[PPGridRow],67),0))</f>
        <v/>
      </c>
      <c r="BP22">
        <f>SUMPRODUCT((M_BOM[Part Name]=$A22)*M_BOM[RM_Qty_Per_Batch]*IFERROR(INDEX(PP_Grid[#Data],M_BOM[PPGridRow],68),0))</f>
        <v/>
      </c>
      <c r="BQ22">
        <f>SUMPRODUCT((M_BOM[Part Name]=$A22)*M_BOM[RM_Qty_Per_Batch]*IFERROR(INDEX(PP_Grid[#Data],M_BOM[PPGridRow],69),0))</f>
        <v/>
      </c>
      <c r="BR22">
        <f>SUMPRODUCT((M_BOM[Part Name]=$A22)*M_BOM[RM_Qty_Per_Batch]*IFERROR(INDEX(PP_Grid[#Data],M_BOM[PPGridRow],70),0))</f>
        <v/>
      </c>
      <c r="BS22">
        <f>SUMPRODUCT((M_BOM[Part Name]=$A22)*M_BOM[RM_Qty_Per_Batch]*IFERROR(INDEX(PP_Grid[#Data],M_BOM[PPGridRow],71),0))</f>
        <v/>
      </c>
      <c r="BT22">
        <f>SUMPRODUCT((M_BOM[Part Name]=$A22)*M_BOM[RM_Qty_Per_Batch]*IFERROR(INDEX(PP_Grid[#Data],M_BOM[PPGridRow],72),0))</f>
        <v/>
      </c>
      <c r="BU22">
        <f>SUMPRODUCT((M_BOM[Part Name]=$A22)*M_BOM[RM_Qty_Per_Batch]*IFERROR(INDEX(PP_Grid[#Data],M_BOM[PPGridRow],73),0))</f>
        <v/>
      </c>
      <c r="BV22">
        <f>SUMPRODUCT((M_BOM[Part Name]=$A22)*M_BOM[RM_Qty_Per_Batch]*IFERROR(INDEX(PP_Grid[#Data],M_BOM[PPGridRow],74),0))</f>
        <v/>
      </c>
      <c r="BW22">
        <f>SUMPRODUCT((M_BOM[Part Name]=$A22)*M_BOM[RM_Qty_Per_Batch]*IFERROR(INDEX(PP_Grid[#Data],M_BOM[PPGridRow],75),0))</f>
        <v/>
      </c>
      <c r="BX22">
        <f>SUMPRODUCT((M_BOM[Part Name]=$A22)*M_BOM[RM_Qty_Per_Batch]*IFERROR(INDEX(PP_Grid[#Data],M_BOM[PPGridRow],76),0))</f>
        <v/>
      </c>
      <c r="BY22">
        <f>SUMPRODUCT((M_BOM[Part Name]=$A22)*M_BOM[RM_Qty_Per_Batch]*IFERROR(INDEX(PP_Grid[#Data],M_BOM[PPGridRow],77),0))</f>
        <v/>
      </c>
      <c r="BZ22">
        <f>SUMPRODUCT((M_BOM[Part Name]=$A22)*M_BOM[RM_Qty_Per_Batch]*IFERROR(INDEX(PP_Grid[#Data],M_BOM[PPGridRow],78),0))</f>
        <v/>
      </c>
      <c r="CA22">
        <f>SUMPRODUCT((M_BOM[Part Name]=$A22)*M_BOM[RM_Qty_Per_Batch]*IFERROR(INDEX(PP_Grid[#Data],M_BOM[PPGridRow],79),0))</f>
        <v/>
      </c>
      <c r="CB22">
        <f>SUMPRODUCT((M_BOM[Part Name]=$A22)*M_BOM[RM_Qty_Per_Batch]*IFERROR(INDEX(PP_Grid[#Data],M_BOM[PPGridRow],80),0))</f>
        <v/>
      </c>
      <c r="CC22">
        <f>SUMPRODUCT((M_BOM[Part Name]=$A22)*M_BOM[RM_Qty_Per_Batch]*IFERROR(INDEX(PP_Grid[#Data],M_BOM[PPGridRow],81),0))</f>
        <v/>
      </c>
      <c r="CD22">
        <f>SUMPRODUCT((M_BOM[Part Name]=$A22)*M_BOM[RM_Qty_Per_Batch]*IFERROR(INDEX(PP_Grid[#Data],M_BOM[PPGridRow],82),0))</f>
        <v/>
      </c>
      <c r="CE22">
        <f>SUMPRODUCT((M_BOM[Part Name]=$A22)*M_BOM[RM_Qty_Per_Batch]*IFERROR(INDEX(PP_Grid[#Data],M_BOM[PPGridRow],83),0))</f>
        <v/>
      </c>
      <c r="CF22">
        <f>SUMPRODUCT((M_BOM[Part Name]=$A22)*M_BOM[RM_Qty_Per_Batch]*IFERROR(INDEX(PP_Grid[#Data],M_BOM[PPGridRow],84),0))</f>
        <v/>
      </c>
      <c r="CG22">
        <f>SUMPRODUCT((M_BOM[Part Name]=$A22)*M_BOM[RM_Qty_Per_Batch]*IFERROR(INDEX(PP_Grid[#Data],M_BOM[PPGridRow],85),0))</f>
        <v/>
      </c>
      <c r="CH22">
        <f>SUMPRODUCT((M_BOM[Part Name]=$A22)*M_BOM[RM_Qty_Per_Batch]*IFERROR(INDEX(PP_Grid[#Data],M_BOM[PPGridRow],86),0))</f>
        <v/>
      </c>
      <c r="CI22">
        <f>SUMPRODUCT((M_BOM[Part Name]=$A22)*M_BOM[RM_Qty_Per_Batch]*IFERROR(INDEX(PP_Grid[#Data],M_BOM[PPGridRow],87),0))</f>
        <v/>
      </c>
      <c r="CJ22">
        <f>SUMPRODUCT((M_BOM[Part Name]=$A22)*M_BOM[RM_Qty_Per_Batch]*IFERROR(INDEX(PP_Grid[#Data],M_BOM[PPGridRow],88),0))</f>
        <v/>
      </c>
      <c r="CK22">
        <f>SUMPRODUCT((M_BOM[Part Name]=$A22)*M_BOM[RM_Qty_Per_Batch]*IFERROR(INDEX(PP_Grid[#Data],M_BOM[PPGridRow],89),0))</f>
        <v/>
      </c>
      <c r="CL22">
        <f>SUMPRODUCT((M_BOM[Part Name]=$A22)*M_BOM[RM_Qty_Per_Batch]*IFERROR(INDEX(PP_Grid[#Data],M_BOM[PPGridRow],90),0))</f>
        <v/>
      </c>
      <c r="CM22">
        <f>SUMPRODUCT((M_BOM[Part Name]=$A22)*M_BOM[RM_Qty_Per_Batch]*IFERROR(INDEX(PP_Grid[#Data],M_BOM[PPGridRow],91),0))</f>
        <v/>
      </c>
      <c r="CN22">
        <f>SUMPRODUCT((M_BOM[Part Name]=$A22)*M_BOM[RM_Qty_Per_Batch]*IFERROR(INDEX(PP_Grid[#Data],M_BOM[PPGridRow],92),0))</f>
        <v/>
      </c>
      <c r="CO22">
        <f>SUMPRODUCT((M_BOM[Part Name]=$A22)*M_BOM[RM_Qty_Per_Batch]*IFERROR(INDEX(PP_Grid[#Data],M_BOM[PPGridRow],93),0))</f>
        <v/>
      </c>
      <c r="CP22">
        <f>SUMPRODUCT((M_BOM[Part Name]=$A22)*M_BOM[RM_Qty_Per_Batch]*IFERROR(INDEX(PP_Grid[#Data],M_BOM[PPGridRow],94),0))</f>
        <v/>
      </c>
      <c r="CQ22">
        <f>SUMPRODUCT((M_BOM[Part Name]=$A22)*M_BOM[RM_Qty_Per_Batch]*IFERROR(INDEX(PP_Grid[#Data],M_BOM[PPGridRow],95),0))</f>
        <v/>
      </c>
      <c r="CR22">
        <f>SUMPRODUCT((M_BOM[Part Name]=$A22)*M_BOM[RM_Qty_Per_Batch]*IFERROR(INDEX(PP_Grid[#Data],M_BOM[PPGridRow],96),0))</f>
        <v/>
      </c>
      <c r="CS22">
        <f>SUMPRODUCT((M_BOM[Part Name]=$A22)*M_BOM[RM_Qty_Per_Batch]*IFERROR(INDEX(PP_Grid[#Data],M_BOM[PPGridRow],97),0))</f>
        <v/>
      </c>
      <c r="CT22">
        <f>SUMPRODUCT((M_BOM[Part Name]=$A22)*M_BOM[RM_Qty_Per_Batch]*IFERROR(INDEX(PP_Grid[#Data],M_BOM[PPGridRow],98),0))</f>
        <v/>
      </c>
      <c r="CU22">
        <f>SUMPRODUCT((M_BOM[Part Name]=$A22)*M_BOM[RM_Qty_Per_Batch]*IFERROR(INDEX(PP_Grid[#Data],M_BOM[PPGridRow],99),0))</f>
        <v/>
      </c>
      <c r="CV22">
        <f>SUMPRODUCT((M_BOM[Part Name]=$A22)*M_BOM[RM_Qty_Per_Batch]*IFERROR(INDEX(PP_Grid[#Data],M_BOM[PPGridRow],100),0))</f>
        <v/>
      </c>
      <c r="CW22">
        <f>SUMPRODUCT((M_BOM[Part Name]=$A22)*M_BOM[RM_Qty_Per_Batch]*IFERROR(INDEX(PP_Grid[#Data],M_BOM[PPGridRow],101),0))</f>
        <v/>
      </c>
      <c r="CX22">
        <f>SUMPRODUCT((M_BOM[Part Name]=$A22)*M_BOM[RM_Qty_Per_Batch]*IFERROR(INDEX(PP_Grid[#Data],M_BOM[PPGridRow],102),0))</f>
        <v/>
      </c>
      <c r="CY22">
        <f>SUMPRODUCT((M_BOM[Part Name]=$A22)*M_BOM[RM_Qty_Per_Batch]*IFERROR(INDEX(PP_Grid[#Data],M_BOM[PPGridRow],103),0))</f>
        <v/>
      </c>
      <c r="CZ22">
        <f>SUMPRODUCT((M_BOM[Part Name]=$A22)*M_BOM[RM_Qty_Per_Batch]*IFERROR(INDEX(PP_Grid[#Data],M_BOM[PPGridRow],104),0))</f>
        <v/>
      </c>
      <c r="DA22">
        <f>SUMPRODUCT((M_BOM[Part Name]=$A22)*M_BOM[RM_Qty_Per_Batch]*IFERROR(INDEX(PP_Grid[#Data],M_BOM[PPGridRow],105),0))</f>
        <v/>
      </c>
    </row>
    <row r="23">
      <c r="A23" t="inlineStr">
        <is>
          <t>CHEM-1760</t>
        </is>
      </c>
      <c r="B23">
        <f>SUMPRODUCT((M_BOM[Part Name]=$A23)*M_BOM[RM_Qty_Per_Batch]*IFERROR(INDEX(PP_Grid[#Data],M_BOM[PPGridRow],2),0))</f>
        <v/>
      </c>
      <c r="C23">
        <f>SUMPRODUCT((M_BOM[Part Name]=$A23)*M_BOM[RM_Qty_Per_Batch]*IFERROR(INDEX(PP_Grid[#Data],M_BOM[PPGridRow],3),0))</f>
        <v/>
      </c>
      <c r="D23">
        <f>SUMPRODUCT((M_BOM[Part Name]=$A23)*M_BOM[RM_Qty_Per_Batch]*IFERROR(INDEX(PP_Grid[#Data],M_BOM[PPGridRow],4),0))</f>
        <v/>
      </c>
      <c r="E23">
        <f>SUMPRODUCT((M_BOM[Part Name]=$A23)*M_BOM[RM_Qty_Per_Batch]*IFERROR(INDEX(PP_Grid[#Data],M_BOM[PPGridRow],5),0))</f>
        <v/>
      </c>
      <c r="F23">
        <f>SUMPRODUCT((M_BOM[Part Name]=$A23)*M_BOM[RM_Qty_Per_Batch]*IFERROR(INDEX(PP_Grid[#Data],M_BOM[PPGridRow],6),0))</f>
        <v/>
      </c>
      <c r="G23">
        <f>SUMPRODUCT((M_BOM[Part Name]=$A23)*M_BOM[RM_Qty_Per_Batch]*IFERROR(INDEX(PP_Grid[#Data],M_BOM[PPGridRow],7),0))</f>
        <v/>
      </c>
      <c r="H23">
        <f>SUMPRODUCT((M_BOM[Part Name]=$A23)*M_BOM[RM_Qty_Per_Batch]*IFERROR(INDEX(PP_Grid[#Data],M_BOM[PPGridRow],8),0))</f>
        <v/>
      </c>
      <c r="I23">
        <f>SUMPRODUCT((M_BOM[Part Name]=$A23)*M_BOM[RM_Qty_Per_Batch]*IFERROR(INDEX(PP_Grid[#Data],M_BOM[PPGridRow],9),0))</f>
        <v/>
      </c>
      <c r="J23">
        <f>SUMPRODUCT((M_BOM[Part Name]=$A23)*M_BOM[RM_Qty_Per_Batch]*IFERROR(INDEX(PP_Grid[#Data],M_BOM[PPGridRow],10),0))</f>
        <v/>
      </c>
      <c r="K23">
        <f>SUMPRODUCT((M_BOM[Part Name]=$A23)*M_BOM[RM_Qty_Per_Batch]*IFERROR(INDEX(PP_Grid[#Data],M_BOM[PPGridRow],11),0))</f>
        <v/>
      </c>
      <c r="L23">
        <f>SUMPRODUCT((M_BOM[Part Name]=$A23)*M_BOM[RM_Qty_Per_Batch]*IFERROR(INDEX(PP_Grid[#Data],M_BOM[PPGridRow],12),0))</f>
        <v/>
      </c>
      <c r="M23">
        <f>SUMPRODUCT((M_BOM[Part Name]=$A23)*M_BOM[RM_Qty_Per_Batch]*IFERROR(INDEX(PP_Grid[#Data],M_BOM[PPGridRow],13),0))</f>
        <v/>
      </c>
      <c r="N23">
        <f>SUMPRODUCT((M_BOM[Part Name]=$A23)*M_BOM[RM_Qty_Per_Batch]*IFERROR(INDEX(PP_Grid[#Data],M_BOM[PPGridRow],14),0))</f>
        <v/>
      </c>
      <c r="O23">
        <f>SUMPRODUCT((M_BOM[Part Name]=$A23)*M_BOM[RM_Qty_Per_Batch]*IFERROR(INDEX(PP_Grid[#Data],M_BOM[PPGridRow],15),0))</f>
        <v/>
      </c>
      <c r="P23">
        <f>SUMPRODUCT((M_BOM[Part Name]=$A23)*M_BOM[RM_Qty_Per_Batch]*IFERROR(INDEX(PP_Grid[#Data],M_BOM[PPGridRow],16),0))</f>
        <v/>
      </c>
      <c r="Q23">
        <f>SUMPRODUCT((M_BOM[Part Name]=$A23)*M_BOM[RM_Qty_Per_Batch]*IFERROR(INDEX(PP_Grid[#Data],M_BOM[PPGridRow],17),0))</f>
        <v/>
      </c>
      <c r="R23">
        <f>SUMPRODUCT((M_BOM[Part Name]=$A23)*M_BOM[RM_Qty_Per_Batch]*IFERROR(INDEX(PP_Grid[#Data],M_BOM[PPGridRow],18),0))</f>
        <v/>
      </c>
      <c r="S23">
        <f>SUMPRODUCT((M_BOM[Part Name]=$A23)*M_BOM[RM_Qty_Per_Batch]*IFERROR(INDEX(PP_Grid[#Data],M_BOM[PPGridRow],19),0))</f>
        <v/>
      </c>
      <c r="T23">
        <f>SUMPRODUCT((M_BOM[Part Name]=$A23)*M_BOM[RM_Qty_Per_Batch]*IFERROR(INDEX(PP_Grid[#Data],M_BOM[PPGridRow],20),0))</f>
        <v/>
      </c>
      <c r="U23">
        <f>SUMPRODUCT((M_BOM[Part Name]=$A23)*M_BOM[RM_Qty_Per_Batch]*IFERROR(INDEX(PP_Grid[#Data],M_BOM[PPGridRow],21),0))</f>
        <v/>
      </c>
      <c r="V23">
        <f>SUMPRODUCT((M_BOM[Part Name]=$A23)*M_BOM[RM_Qty_Per_Batch]*IFERROR(INDEX(PP_Grid[#Data],M_BOM[PPGridRow],22),0))</f>
        <v/>
      </c>
      <c r="W23">
        <f>SUMPRODUCT((M_BOM[Part Name]=$A23)*M_BOM[RM_Qty_Per_Batch]*IFERROR(INDEX(PP_Grid[#Data],M_BOM[PPGridRow],23),0))</f>
        <v/>
      </c>
      <c r="X23">
        <f>SUMPRODUCT((M_BOM[Part Name]=$A23)*M_BOM[RM_Qty_Per_Batch]*IFERROR(INDEX(PP_Grid[#Data],M_BOM[PPGridRow],24),0))</f>
        <v/>
      </c>
      <c r="Y23">
        <f>SUMPRODUCT((M_BOM[Part Name]=$A23)*M_BOM[RM_Qty_Per_Batch]*IFERROR(INDEX(PP_Grid[#Data],M_BOM[PPGridRow],25),0))</f>
        <v/>
      </c>
      <c r="Z23">
        <f>SUMPRODUCT((M_BOM[Part Name]=$A23)*M_BOM[RM_Qty_Per_Batch]*IFERROR(INDEX(PP_Grid[#Data],M_BOM[PPGridRow],26),0))</f>
        <v/>
      </c>
      <c r="AA23">
        <f>SUMPRODUCT((M_BOM[Part Name]=$A23)*M_BOM[RM_Qty_Per_Batch]*IFERROR(INDEX(PP_Grid[#Data],M_BOM[PPGridRow],27),0))</f>
        <v/>
      </c>
      <c r="AB23">
        <f>SUMPRODUCT((M_BOM[Part Name]=$A23)*M_BOM[RM_Qty_Per_Batch]*IFERROR(INDEX(PP_Grid[#Data],M_BOM[PPGridRow],28),0))</f>
        <v/>
      </c>
      <c r="AC23">
        <f>SUMPRODUCT((M_BOM[Part Name]=$A23)*M_BOM[RM_Qty_Per_Batch]*IFERROR(INDEX(PP_Grid[#Data],M_BOM[PPGridRow],29),0))</f>
        <v/>
      </c>
      <c r="AD23">
        <f>SUMPRODUCT((M_BOM[Part Name]=$A23)*M_BOM[RM_Qty_Per_Batch]*IFERROR(INDEX(PP_Grid[#Data],M_BOM[PPGridRow],30),0))</f>
        <v/>
      </c>
      <c r="AE23">
        <f>SUMPRODUCT((M_BOM[Part Name]=$A23)*M_BOM[RM_Qty_Per_Batch]*IFERROR(INDEX(PP_Grid[#Data],M_BOM[PPGridRow],31),0))</f>
        <v/>
      </c>
      <c r="AF23">
        <f>SUMPRODUCT((M_BOM[Part Name]=$A23)*M_BOM[RM_Qty_Per_Batch]*IFERROR(INDEX(PP_Grid[#Data],M_BOM[PPGridRow],32),0))</f>
        <v/>
      </c>
      <c r="AG23">
        <f>SUMPRODUCT((M_BOM[Part Name]=$A23)*M_BOM[RM_Qty_Per_Batch]*IFERROR(INDEX(PP_Grid[#Data],M_BOM[PPGridRow],33),0))</f>
        <v/>
      </c>
      <c r="AH23">
        <f>SUMPRODUCT((M_BOM[Part Name]=$A23)*M_BOM[RM_Qty_Per_Batch]*IFERROR(INDEX(PP_Grid[#Data],M_BOM[PPGridRow],34),0))</f>
        <v/>
      </c>
      <c r="AI23">
        <f>SUMPRODUCT((M_BOM[Part Name]=$A23)*M_BOM[RM_Qty_Per_Batch]*IFERROR(INDEX(PP_Grid[#Data],M_BOM[PPGridRow],35),0))</f>
        <v/>
      </c>
      <c r="AJ23">
        <f>SUMPRODUCT((M_BOM[Part Name]=$A23)*M_BOM[RM_Qty_Per_Batch]*IFERROR(INDEX(PP_Grid[#Data],M_BOM[PPGridRow],36),0))</f>
        <v/>
      </c>
      <c r="AK23">
        <f>SUMPRODUCT((M_BOM[Part Name]=$A23)*M_BOM[RM_Qty_Per_Batch]*IFERROR(INDEX(PP_Grid[#Data],M_BOM[PPGridRow],37),0))</f>
        <v/>
      </c>
      <c r="AL23">
        <f>SUMPRODUCT((M_BOM[Part Name]=$A23)*M_BOM[RM_Qty_Per_Batch]*IFERROR(INDEX(PP_Grid[#Data],M_BOM[PPGridRow],38),0))</f>
        <v/>
      </c>
      <c r="AM23">
        <f>SUMPRODUCT((M_BOM[Part Name]=$A23)*M_BOM[RM_Qty_Per_Batch]*IFERROR(INDEX(PP_Grid[#Data],M_BOM[PPGridRow],39),0))</f>
        <v/>
      </c>
      <c r="AN23">
        <f>SUMPRODUCT((M_BOM[Part Name]=$A23)*M_BOM[RM_Qty_Per_Batch]*IFERROR(INDEX(PP_Grid[#Data],M_BOM[PPGridRow],40),0))</f>
        <v/>
      </c>
      <c r="AO23">
        <f>SUMPRODUCT((M_BOM[Part Name]=$A23)*M_BOM[RM_Qty_Per_Batch]*IFERROR(INDEX(PP_Grid[#Data],M_BOM[PPGridRow],41),0))</f>
        <v/>
      </c>
      <c r="AP23">
        <f>SUMPRODUCT((M_BOM[Part Name]=$A23)*M_BOM[RM_Qty_Per_Batch]*IFERROR(INDEX(PP_Grid[#Data],M_BOM[PPGridRow],42),0))</f>
        <v/>
      </c>
      <c r="AQ23">
        <f>SUMPRODUCT((M_BOM[Part Name]=$A23)*M_BOM[RM_Qty_Per_Batch]*IFERROR(INDEX(PP_Grid[#Data],M_BOM[PPGridRow],43),0))</f>
        <v/>
      </c>
      <c r="AR23">
        <f>SUMPRODUCT((M_BOM[Part Name]=$A23)*M_BOM[RM_Qty_Per_Batch]*IFERROR(INDEX(PP_Grid[#Data],M_BOM[PPGridRow],44),0))</f>
        <v/>
      </c>
      <c r="AS23">
        <f>SUMPRODUCT((M_BOM[Part Name]=$A23)*M_BOM[RM_Qty_Per_Batch]*IFERROR(INDEX(PP_Grid[#Data],M_BOM[PPGridRow],45),0))</f>
        <v/>
      </c>
      <c r="AT23">
        <f>SUMPRODUCT((M_BOM[Part Name]=$A23)*M_BOM[RM_Qty_Per_Batch]*IFERROR(INDEX(PP_Grid[#Data],M_BOM[PPGridRow],46),0))</f>
        <v/>
      </c>
      <c r="AU23">
        <f>SUMPRODUCT((M_BOM[Part Name]=$A23)*M_BOM[RM_Qty_Per_Batch]*IFERROR(INDEX(PP_Grid[#Data],M_BOM[PPGridRow],47),0))</f>
        <v/>
      </c>
      <c r="AV23">
        <f>SUMPRODUCT((M_BOM[Part Name]=$A23)*M_BOM[RM_Qty_Per_Batch]*IFERROR(INDEX(PP_Grid[#Data],M_BOM[PPGridRow],48),0))</f>
        <v/>
      </c>
      <c r="AW23">
        <f>SUMPRODUCT((M_BOM[Part Name]=$A23)*M_BOM[RM_Qty_Per_Batch]*IFERROR(INDEX(PP_Grid[#Data],M_BOM[PPGridRow],49),0))</f>
        <v/>
      </c>
      <c r="AX23">
        <f>SUMPRODUCT((M_BOM[Part Name]=$A23)*M_BOM[RM_Qty_Per_Batch]*IFERROR(INDEX(PP_Grid[#Data],M_BOM[PPGridRow],50),0))</f>
        <v/>
      </c>
      <c r="AY23">
        <f>SUMPRODUCT((M_BOM[Part Name]=$A23)*M_BOM[RM_Qty_Per_Batch]*IFERROR(INDEX(PP_Grid[#Data],M_BOM[PPGridRow],51),0))</f>
        <v/>
      </c>
      <c r="AZ23">
        <f>SUMPRODUCT((M_BOM[Part Name]=$A23)*M_BOM[RM_Qty_Per_Batch]*IFERROR(INDEX(PP_Grid[#Data],M_BOM[PPGridRow],52),0))</f>
        <v/>
      </c>
      <c r="BA23">
        <f>SUMPRODUCT((M_BOM[Part Name]=$A23)*M_BOM[RM_Qty_Per_Batch]*IFERROR(INDEX(PP_Grid[#Data],M_BOM[PPGridRow],53),0))</f>
        <v/>
      </c>
      <c r="BB23">
        <f>SUMPRODUCT((M_BOM[Part Name]=$A23)*M_BOM[RM_Qty_Per_Batch]*IFERROR(INDEX(PP_Grid[#Data],M_BOM[PPGridRow],54),0))</f>
        <v/>
      </c>
      <c r="BC23">
        <f>SUMPRODUCT((M_BOM[Part Name]=$A23)*M_BOM[RM_Qty_Per_Batch]*IFERROR(INDEX(PP_Grid[#Data],M_BOM[PPGridRow],55),0))</f>
        <v/>
      </c>
      <c r="BD23">
        <f>SUMPRODUCT((M_BOM[Part Name]=$A23)*M_BOM[RM_Qty_Per_Batch]*IFERROR(INDEX(PP_Grid[#Data],M_BOM[PPGridRow],56),0))</f>
        <v/>
      </c>
      <c r="BE23">
        <f>SUMPRODUCT((M_BOM[Part Name]=$A23)*M_BOM[RM_Qty_Per_Batch]*IFERROR(INDEX(PP_Grid[#Data],M_BOM[PPGridRow],57),0))</f>
        <v/>
      </c>
      <c r="BF23">
        <f>SUMPRODUCT((M_BOM[Part Name]=$A23)*M_BOM[RM_Qty_Per_Batch]*IFERROR(INDEX(PP_Grid[#Data],M_BOM[PPGridRow],58),0))</f>
        <v/>
      </c>
      <c r="BG23">
        <f>SUMPRODUCT((M_BOM[Part Name]=$A23)*M_BOM[RM_Qty_Per_Batch]*IFERROR(INDEX(PP_Grid[#Data],M_BOM[PPGridRow],59),0))</f>
        <v/>
      </c>
      <c r="BH23">
        <f>SUMPRODUCT((M_BOM[Part Name]=$A23)*M_BOM[RM_Qty_Per_Batch]*IFERROR(INDEX(PP_Grid[#Data],M_BOM[PPGridRow],60),0))</f>
        <v/>
      </c>
      <c r="BI23">
        <f>SUMPRODUCT((M_BOM[Part Name]=$A23)*M_BOM[RM_Qty_Per_Batch]*IFERROR(INDEX(PP_Grid[#Data],M_BOM[PPGridRow],61),0))</f>
        <v/>
      </c>
      <c r="BJ23">
        <f>SUMPRODUCT((M_BOM[Part Name]=$A23)*M_BOM[RM_Qty_Per_Batch]*IFERROR(INDEX(PP_Grid[#Data],M_BOM[PPGridRow],62),0))</f>
        <v/>
      </c>
      <c r="BK23">
        <f>SUMPRODUCT((M_BOM[Part Name]=$A23)*M_BOM[RM_Qty_Per_Batch]*IFERROR(INDEX(PP_Grid[#Data],M_BOM[PPGridRow],63),0))</f>
        <v/>
      </c>
      <c r="BL23">
        <f>SUMPRODUCT((M_BOM[Part Name]=$A23)*M_BOM[RM_Qty_Per_Batch]*IFERROR(INDEX(PP_Grid[#Data],M_BOM[PPGridRow],64),0))</f>
        <v/>
      </c>
      <c r="BM23">
        <f>SUMPRODUCT((M_BOM[Part Name]=$A23)*M_BOM[RM_Qty_Per_Batch]*IFERROR(INDEX(PP_Grid[#Data],M_BOM[PPGridRow],65),0))</f>
        <v/>
      </c>
      <c r="BN23">
        <f>SUMPRODUCT((M_BOM[Part Name]=$A23)*M_BOM[RM_Qty_Per_Batch]*IFERROR(INDEX(PP_Grid[#Data],M_BOM[PPGridRow],66),0))</f>
        <v/>
      </c>
      <c r="BO23">
        <f>SUMPRODUCT((M_BOM[Part Name]=$A23)*M_BOM[RM_Qty_Per_Batch]*IFERROR(INDEX(PP_Grid[#Data],M_BOM[PPGridRow],67),0))</f>
        <v/>
      </c>
      <c r="BP23">
        <f>SUMPRODUCT((M_BOM[Part Name]=$A23)*M_BOM[RM_Qty_Per_Batch]*IFERROR(INDEX(PP_Grid[#Data],M_BOM[PPGridRow],68),0))</f>
        <v/>
      </c>
      <c r="BQ23">
        <f>SUMPRODUCT((M_BOM[Part Name]=$A23)*M_BOM[RM_Qty_Per_Batch]*IFERROR(INDEX(PP_Grid[#Data],M_BOM[PPGridRow],69),0))</f>
        <v/>
      </c>
      <c r="BR23">
        <f>SUMPRODUCT((M_BOM[Part Name]=$A23)*M_BOM[RM_Qty_Per_Batch]*IFERROR(INDEX(PP_Grid[#Data],M_BOM[PPGridRow],70),0))</f>
        <v/>
      </c>
      <c r="BS23">
        <f>SUMPRODUCT((M_BOM[Part Name]=$A23)*M_BOM[RM_Qty_Per_Batch]*IFERROR(INDEX(PP_Grid[#Data],M_BOM[PPGridRow],71),0))</f>
        <v/>
      </c>
      <c r="BT23">
        <f>SUMPRODUCT((M_BOM[Part Name]=$A23)*M_BOM[RM_Qty_Per_Batch]*IFERROR(INDEX(PP_Grid[#Data],M_BOM[PPGridRow],72),0))</f>
        <v/>
      </c>
      <c r="BU23">
        <f>SUMPRODUCT((M_BOM[Part Name]=$A23)*M_BOM[RM_Qty_Per_Batch]*IFERROR(INDEX(PP_Grid[#Data],M_BOM[PPGridRow],73),0))</f>
        <v/>
      </c>
      <c r="BV23">
        <f>SUMPRODUCT((M_BOM[Part Name]=$A23)*M_BOM[RM_Qty_Per_Batch]*IFERROR(INDEX(PP_Grid[#Data],M_BOM[PPGridRow],74),0))</f>
        <v/>
      </c>
      <c r="BW23">
        <f>SUMPRODUCT((M_BOM[Part Name]=$A23)*M_BOM[RM_Qty_Per_Batch]*IFERROR(INDEX(PP_Grid[#Data],M_BOM[PPGridRow],75),0))</f>
        <v/>
      </c>
      <c r="BX23">
        <f>SUMPRODUCT((M_BOM[Part Name]=$A23)*M_BOM[RM_Qty_Per_Batch]*IFERROR(INDEX(PP_Grid[#Data],M_BOM[PPGridRow],76),0))</f>
        <v/>
      </c>
      <c r="BY23">
        <f>SUMPRODUCT((M_BOM[Part Name]=$A23)*M_BOM[RM_Qty_Per_Batch]*IFERROR(INDEX(PP_Grid[#Data],M_BOM[PPGridRow],77),0))</f>
        <v/>
      </c>
      <c r="BZ23">
        <f>SUMPRODUCT((M_BOM[Part Name]=$A23)*M_BOM[RM_Qty_Per_Batch]*IFERROR(INDEX(PP_Grid[#Data],M_BOM[PPGridRow],78),0))</f>
        <v/>
      </c>
      <c r="CA23">
        <f>SUMPRODUCT((M_BOM[Part Name]=$A23)*M_BOM[RM_Qty_Per_Batch]*IFERROR(INDEX(PP_Grid[#Data],M_BOM[PPGridRow],79),0))</f>
        <v/>
      </c>
      <c r="CB23">
        <f>SUMPRODUCT((M_BOM[Part Name]=$A23)*M_BOM[RM_Qty_Per_Batch]*IFERROR(INDEX(PP_Grid[#Data],M_BOM[PPGridRow],80),0))</f>
        <v/>
      </c>
      <c r="CC23">
        <f>SUMPRODUCT((M_BOM[Part Name]=$A23)*M_BOM[RM_Qty_Per_Batch]*IFERROR(INDEX(PP_Grid[#Data],M_BOM[PPGridRow],81),0))</f>
        <v/>
      </c>
      <c r="CD23">
        <f>SUMPRODUCT((M_BOM[Part Name]=$A23)*M_BOM[RM_Qty_Per_Batch]*IFERROR(INDEX(PP_Grid[#Data],M_BOM[PPGridRow],82),0))</f>
        <v/>
      </c>
      <c r="CE23">
        <f>SUMPRODUCT((M_BOM[Part Name]=$A23)*M_BOM[RM_Qty_Per_Batch]*IFERROR(INDEX(PP_Grid[#Data],M_BOM[PPGridRow],83),0))</f>
        <v/>
      </c>
      <c r="CF23">
        <f>SUMPRODUCT((M_BOM[Part Name]=$A23)*M_BOM[RM_Qty_Per_Batch]*IFERROR(INDEX(PP_Grid[#Data],M_BOM[PPGridRow],84),0))</f>
        <v/>
      </c>
      <c r="CG23">
        <f>SUMPRODUCT((M_BOM[Part Name]=$A23)*M_BOM[RM_Qty_Per_Batch]*IFERROR(INDEX(PP_Grid[#Data],M_BOM[PPGridRow],85),0))</f>
        <v/>
      </c>
      <c r="CH23">
        <f>SUMPRODUCT((M_BOM[Part Name]=$A23)*M_BOM[RM_Qty_Per_Batch]*IFERROR(INDEX(PP_Grid[#Data],M_BOM[PPGridRow],86),0))</f>
        <v/>
      </c>
      <c r="CI23">
        <f>SUMPRODUCT((M_BOM[Part Name]=$A23)*M_BOM[RM_Qty_Per_Batch]*IFERROR(INDEX(PP_Grid[#Data],M_BOM[PPGridRow],87),0))</f>
        <v/>
      </c>
      <c r="CJ23">
        <f>SUMPRODUCT((M_BOM[Part Name]=$A23)*M_BOM[RM_Qty_Per_Batch]*IFERROR(INDEX(PP_Grid[#Data],M_BOM[PPGridRow],88),0))</f>
        <v/>
      </c>
      <c r="CK23">
        <f>SUMPRODUCT((M_BOM[Part Name]=$A23)*M_BOM[RM_Qty_Per_Batch]*IFERROR(INDEX(PP_Grid[#Data],M_BOM[PPGridRow],89),0))</f>
        <v/>
      </c>
      <c r="CL23">
        <f>SUMPRODUCT((M_BOM[Part Name]=$A23)*M_BOM[RM_Qty_Per_Batch]*IFERROR(INDEX(PP_Grid[#Data],M_BOM[PPGridRow],90),0))</f>
        <v/>
      </c>
      <c r="CM23">
        <f>SUMPRODUCT((M_BOM[Part Name]=$A23)*M_BOM[RM_Qty_Per_Batch]*IFERROR(INDEX(PP_Grid[#Data],M_BOM[PPGridRow],91),0))</f>
        <v/>
      </c>
      <c r="CN23">
        <f>SUMPRODUCT((M_BOM[Part Name]=$A23)*M_BOM[RM_Qty_Per_Batch]*IFERROR(INDEX(PP_Grid[#Data],M_BOM[PPGridRow],92),0))</f>
        <v/>
      </c>
      <c r="CO23">
        <f>SUMPRODUCT((M_BOM[Part Name]=$A23)*M_BOM[RM_Qty_Per_Batch]*IFERROR(INDEX(PP_Grid[#Data],M_BOM[PPGridRow],93),0))</f>
        <v/>
      </c>
      <c r="CP23">
        <f>SUMPRODUCT((M_BOM[Part Name]=$A23)*M_BOM[RM_Qty_Per_Batch]*IFERROR(INDEX(PP_Grid[#Data],M_BOM[PPGridRow],94),0))</f>
        <v/>
      </c>
      <c r="CQ23">
        <f>SUMPRODUCT((M_BOM[Part Name]=$A23)*M_BOM[RM_Qty_Per_Batch]*IFERROR(INDEX(PP_Grid[#Data],M_BOM[PPGridRow],95),0))</f>
        <v/>
      </c>
      <c r="CR23">
        <f>SUMPRODUCT((M_BOM[Part Name]=$A23)*M_BOM[RM_Qty_Per_Batch]*IFERROR(INDEX(PP_Grid[#Data],M_BOM[PPGridRow],96),0))</f>
        <v/>
      </c>
      <c r="CS23">
        <f>SUMPRODUCT((M_BOM[Part Name]=$A23)*M_BOM[RM_Qty_Per_Batch]*IFERROR(INDEX(PP_Grid[#Data],M_BOM[PPGridRow],97),0))</f>
        <v/>
      </c>
      <c r="CT23">
        <f>SUMPRODUCT((M_BOM[Part Name]=$A23)*M_BOM[RM_Qty_Per_Batch]*IFERROR(INDEX(PP_Grid[#Data],M_BOM[PPGridRow],98),0))</f>
        <v/>
      </c>
      <c r="CU23">
        <f>SUMPRODUCT((M_BOM[Part Name]=$A23)*M_BOM[RM_Qty_Per_Batch]*IFERROR(INDEX(PP_Grid[#Data],M_BOM[PPGridRow],99),0))</f>
        <v/>
      </c>
      <c r="CV23">
        <f>SUMPRODUCT((M_BOM[Part Name]=$A23)*M_BOM[RM_Qty_Per_Batch]*IFERROR(INDEX(PP_Grid[#Data],M_BOM[PPGridRow],100),0))</f>
        <v/>
      </c>
      <c r="CW23">
        <f>SUMPRODUCT((M_BOM[Part Name]=$A23)*M_BOM[RM_Qty_Per_Batch]*IFERROR(INDEX(PP_Grid[#Data],M_BOM[PPGridRow],101),0))</f>
        <v/>
      </c>
      <c r="CX23">
        <f>SUMPRODUCT((M_BOM[Part Name]=$A23)*M_BOM[RM_Qty_Per_Batch]*IFERROR(INDEX(PP_Grid[#Data],M_BOM[PPGridRow],102),0))</f>
        <v/>
      </c>
      <c r="CY23">
        <f>SUMPRODUCT((M_BOM[Part Name]=$A23)*M_BOM[RM_Qty_Per_Batch]*IFERROR(INDEX(PP_Grid[#Data],M_BOM[PPGridRow],103),0))</f>
        <v/>
      </c>
      <c r="CZ23">
        <f>SUMPRODUCT((M_BOM[Part Name]=$A23)*M_BOM[RM_Qty_Per_Batch]*IFERROR(INDEX(PP_Grid[#Data],M_BOM[PPGridRow],104),0))</f>
        <v/>
      </c>
      <c r="DA23">
        <f>SUMPRODUCT((M_BOM[Part Name]=$A23)*M_BOM[RM_Qty_Per_Batch]*IFERROR(INDEX(PP_Grid[#Data],M_BOM[PPGridRow],105),0))</f>
        <v/>
      </c>
    </row>
    <row r="24">
      <c r="A24" t="inlineStr">
        <is>
          <t>Original Towel</t>
        </is>
      </c>
      <c r="B24">
        <f>SUMPRODUCT((M_BOM[Part Name]=$A24)*M_BOM[RM_Qty_Per_Batch]*IFERROR(INDEX(PP_Grid[#Data],M_BOM[PPGridRow],2),0))</f>
        <v/>
      </c>
      <c r="C24">
        <f>SUMPRODUCT((M_BOM[Part Name]=$A24)*M_BOM[RM_Qty_Per_Batch]*IFERROR(INDEX(PP_Grid[#Data],M_BOM[PPGridRow],3),0))</f>
        <v/>
      </c>
      <c r="D24">
        <f>SUMPRODUCT((M_BOM[Part Name]=$A24)*M_BOM[RM_Qty_Per_Batch]*IFERROR(INDEX(PP_Grid[#Data],M_BOM[PPGridRow],4),0))</f>
        <v/>
      </c>
      <c r="E24">
        <f>SUMPRODUCT((M_BOM[Part Name]=$A24)*M_BOM[RM_Qty_Per_Batch]*IFERROR(INDEX(PP_Grid[#Data],M_BOM[PPGridRow],5),0))</f>
        <v/>
      </c>
      <c r="F24">
        <f>SUMPRODUCT((M_BOM[Part Name]=$A24)*M_BOM[RM_Qty_Per_Batch]*IFERROR(INDEX(PP_Grid[#Data],M_BOM[PPGridRow],6),0))</f>
        <v/>
      </c>
      <c r="G24">
        <f>SUMPRODUCT((M_BOM[Part Name]=$A24)*M_BOM[RM_Qty_Per_Batch]*IFERROR(INDEX(PP_Grid[#Data],M_BOM[PPGridRow],7),0))</f>
        <v/>
      </c>
      <c r="H24">
        <f>SUMPRODUCT((M_BOM[Part Name]=$A24)*M_BOM[RM_Qty_Per_Batch]*IFERROR(INDEX(PP_Grid[#Data],M_BOM[PPGridRow],8),0))</f>
        <v/>
      </c>
      <c r="I24">
        <f>SUMPRODUCT((M_BOM[Part Name]=$A24)*M_BOM[RM_Qty_Per_Batch]*IFERROR(INDEX(PP_Grid[#Data],M_BOM[PPGridRow],9),0))</f>
        <v/>
      </c>
      <c r="J24">
        <f>SUMPRODUCT((M_BOM[Part Name]=$A24)*M_BOM[RM_Qty_Per_Batch]*IFERROR(INDEX(PP_Grid[#Data],M_BOM[PPGridRow],10),0))</f>
        <v/>
      </c>
      <c r="K24">
        <f>SUMPRODUCT((M_BOM[Part Name]=$A24)*M_BOM[RM_Qty_Per_Batch]*IFERROR(INDEX(PP_Grid[#Data],M_BOM[PPGridRow],11),0))</f>
        <v/>
      </c>
      <c r="L24">
        <f>SUMPRODUCT((M_BOM[Part Name]=$A24)*M_BOM[RM_Qty_Per_Batch]*IFERROR(INDEX(PP_Grid[#Data],M_BOM[PPGridRow],12),0))</f>
        <v/>
      </c>
      <c r="M24">
        <f>SUMPRODUCT((M_BOM[Part Name]=$A24)*M_BOM[RM_Qty_Per_Batch]*IFERROR(INDEX(PP_Grid[#Data],M_BOM[PPGridRow],13),0))</f>
        <v/>
      </c>
      <c r="N24">
        <f>SUMPRODUCT((M_BOM[Part Name]=$A24)*M_BOM[RM_Qty_Per_Batch]*IFERROR(INDEX(PP_Grid[#Data],M_BOM[PPGridRow],14),0))</f>
        <v/>
      </c>
      <c r="O24">
        <f>SUMPRODUCT((M_BOM[Part Name]=$A24)*M_BOM[RM_Qty_Per_Batch]*IFERROR(INDEX(PP_Grid[#Data],M_BOM[PPGridRow],15),0))</f>
        <v/>
      </c>
      <c r="P24">
        <f>SUMPRODUCT((M_BOM[Part Name]=$A24)*M_BOM[RM_Qty_Per_Batch]*IFERROR(INDEX(PP_Grid[#Data],M_BOM[PPGridRow],16),0))</f>
        <v/>
      </c>
      <c r="Q24">
        <f>SUMPRODUCT((M_BOM[Part Name]=$A24)*M_BOM[RM_Qty_Per_Batch]*IFERROR(INDEX(PP_Grid[#Data],M_BOM[PPGridRow],17),0))</f>
        <v/>
      </c>
      <c r="R24">
        <f>SUMPRODUCT((M_BOM[Part Name]=$A24)*M_BOM[RM_Qty_Per_Batch]*IFERROR(INDEX(PP_Grid[#Data],M_BOM[PPGridRow],18),0))</f>
        <v/>
      </c>
      <c r="S24">
        <f>SUMPRODUCT((M_BOM[Part Name]=$A24)*M_BOM[RM_Qty_Per_Batch]*IFERROR(INDEX(PP_Grid[#Data],M_BOM[PPGridRow],19),0))</f>
        <v/>
      </c>
      <c r="T24">
        <f>SUMPRODUCT((M_BOM[Part Name]=$A24)*M_BOM[RM_Qty_Per_Batch]*IFERROR(INDEX(PP_Grid[#Data],M_BOM[PPGridRow],20),0))</f>
        <v/>
      </c>
      <c r="U24">
        <f>SUMPRODUCT((M_BOM[Part Name]=$A24)*M_BOM[RM_Qty_Per_Batch]*IFERROR(INDEX(PP_Grid[#Data],M_BOM[PPGridRow],21),0))</f>
        <v/>
      </c>
      <c r="V24">
        <f>SUMPRODUCT((M_BOM[Part Name]=$A24)*M_BOM[RM_Qty_Per_Batch]*IFERROR(INDEX(PP_Grid[#Data],M_BOM[PPGridRow],22),0))</f>
        <v/>
      </c>
      <c r="W24">
        <f>SUMPRODUCT((M_BOM[Part Name]=$A24)*M_BOM[RM_Qty_Per_Batch]*IFERROR(INDEX(PP_Grid[#Data],M_BOM[PPGridRow],23),0))</f>
        <v/>
      </c>
      <c r="X24">
        <f>SUMPRODUCT((M_BOM[Part Name]=$A24)*M_BOM[RM_Qty_Per_Batch]*IFERROR(INDEX(PP_Grid[#Data],M_BOM[PPGridRow],24),0))</f>
        <v/>
      </c>
      <c r="Y24">
        <f>SUMPRODUCT((M_BOM[Part Name]=$A24)*M_BOM[RM_Qty_Per_Batch]*IFERROR(INDEX(PP_Grid[#Data],M_BOM[PPGridRow],25),0))</f>
        <v/>
      </c>
      <c r="Z24">
        <f>SUMPRODUCT((M_BOM[Part Name]=$A24)*M_BOM[RM_Qty_Per_Batch]*IFERROR(INDEX(PP_Grid[#Data],M_BOM[PPGridRow],26),0))</f>
        <v/>
      </c>
      <c r="AA24">
        <f>SUMPRODUCT((M_BOM[Part Name]=$A24)*M_BOM[RM_Qty_Per_Batch]*IFERROR(INDEX(PP_Grid[#Data],M_BOM[PPGridRow],27),0))</f>
        <v/>
      </c>
      <c r="AB24">
        <f>SUMPRODUCT((M_BOM[Part Name]=$A24)*M_BOM[RM_Qty_Per_Batch]*IFERROR(INDEX(PP_Grid[#Data],M_BOM[PPGridRow],28),0))</f>
        <v/>
      </c>
      <c r="AC24">
        <f>SUMPRODUCT((M_BOM[Part Name]=$A24)*M_BOM[RM_Qty_Per_Batch]*IFERROR(INDEX(PP_Grid[#Data],M_BOM[PPGridRow],29),0))</f>
        <v/>
      </c>
      <c r="AD24">
        <f>SUMPRODUCT((M_BOM[Part Name]=$A24)*M_BOM[RM_Qty_Per_Batch]*IFERROR(INDEX(PP_Grid[#Data],M_BOM[PPGridRow],30),0))</f>
        <v/>
      </c>
      <c r="AE24">
        <f>SUMPRODUCT((M_BOM[Part Name]=$A24)*M_BOM[RM_Qty_Per_Batch]*IFERROR(INDEX(PP_Grid[#Data],M_BOM[PPGridRow],31),0))</f>
        <v/>
      </c>
      <c r="AF24">
        <f>SUMPRODUCT((M_BOM[Part Name]=$A24)*M_BOM[RM_Qty_Per_Batch]*IFERROR(INDEX(PP_Grid[#Data],M_BOM[PPGridRow],32),0))</f>
        <v/>
      </c>
      <c r="AG24">
        <f>SUMPRODUCT((M_BOM[Part Name]=$A24)*M_BOM[RM_Qty_Per_Batch]*IFERROR(INDEX(PP_Grid[#Data],M_BOM[PPGridRow],33),0))</f>
        <v/>
      </c>
      <c r="AH24">
        <f>SUMPRODUCT((M_BOM[Part Name]=$A24)*M_BOM[RM_Qty_Per_Batch]*IFERROR(INDEX(PP_Grid[#Data],M_BOM[PPGridRow],34),0))</f>
        <v/>
      </c>
      <c r="AI24">
        <f>SUMPRODUCT((M_BOM[Part Name]=$A24)*M_BOM[RM_Qty_Per_Batch]*IFERROR(INDEX(PP_Grid[#Data],M_BOM[PPGridRow],35),0))</f>
        <v/>
      </c>
      <c r="AJ24">
        <f>SUMPRODUCT((M_BOM[Part Name]=$A24)*M_BOM[RM_Qty_Per_Batch]*IFERROR(INDEX(PP_Grid[#Data],M_BOM[PPGridRow],36),0))</f>
        <v/>
      </c>
      <c r="AK24">
        <f>SUMPRODUCT((M_BOM[Part Name]=$A24)*M_BOM[RM_Qty_Per_Batch]*IFERROR(INDEX(PP_Grid[#Data],M_BOM[PPGridRow],37),0))</f>
        <v/>
      </c>
      <c r="AL24">
        <f>SUMPRODUCT((M_BOM[Part Name]=$A24)*M_BOM[RM_Qty_Per_Batch]*IFERROR(INDEX(PP_Grid[#Data],M_BOM[PPGridRow],38),0))</f>
        <v/>
      </c>
      <c r="AM24">
        <f>SUMPRODUCT((M_BOM[Part Name]=$A24)*M_BOM[RM_Qty_Per_Batch]*IFERROR(INDEX(PP_Grid[#Data],M_BOM[PPGridRow],39),0))</f>
        <v/>
      </c>
      <c r="AN24">
        <f>SUMPRODUCT((M_BOM[Part Name]=$A24)*M_BOM[RM_Qty_Per_Batch]*IFERROR(INDEX(PP_Grid[#Data],M_BOM[PPGridRow],40),0))</f>
        <v/>
      </c>
      <c r="AO24">
        <f>SUMPRODUCT((M_BOM[Part Name]=$A24)*M_BOM[RM_Qty_Per_Batch]*IFERROR(INDEX(PP_Grid[#Data],M_BOM[PPGridRow],41),0))</f>
        <v/>
      </c>
      <c r="AP24">
        <f>SUMPRODUCT((M_BOM[Part Name]=$A24)*M_BOM[RM_Qty_Per_Batch]*IFERROR(INDEX(PP_Grid[#Data],M_BOM[PPGridRow],42),0))</f>
        <v/>
      </c>
      <c r="AQ24">
        <f>SUMPRODUCT((M_BOM[Part Name]=$A24)*M_BOM[RM_Qty_Per_Batch]*IFERROR(INDEX(PP_Grid[#Data],M_BOM[PPGridRow],43),0))</f>
        <v/>
      </c>
      <c r="AR24">
        <f>SUMPRODUCT((M_BOM[Part Name]=$A24)*M_BOM[RM_Qty_Per_Batch]*IFERROR(INDEX(PP_Grid[#Data],M_BOM[PPGridRow],44),0))</f>
        <v/>
      </c>
      <c r="AS24">
        <f>SUMPRODUCT((M_BOM[Part Name]=$A24)*M_BOM[RM_Qty_Per_Batch]*IFERROR(INDEX(PP_Grid[#Data],M_BOM[PPGridRow],45),0))</f>
        <v/>
      </c>
      <c r="AT24">
        <f>SUMPRODUCT((M_BOM[Part Name]=$A24)*M_BOM[RM_Qty_Per_Batch]*IFERROR(INDEX(PP_Grid[#Data],M_BOM[PPGridRow],46),0))</f>
        <v/>
      </c>
      <c r="AU24">
        <f>SUMPRODUCT((M_BOM[Part Name]=$A24)*M_BOM[RM_Qty_Per_Batch]*IFERROR(INDEX(PP_Grid[#Data],M_BOM[PPGridRow],47),0))</f>
        <v/>
      </c>
      <c r="AV24">
        <f>SUMPRODUCT((M_BOM[Part Name]=$A24)*M_BOM[RM_Qty_Per_Batch]*IFERROR(INDEX(PP_Grid[#Data],M_BOM[PPGridRow],48),0))</f>
        <v/>
      </c>
      <c r="AW24">
        <f>SUMPRODUCT((M_BOM[Part Name]=$A24)*M_BOM[RM_Qty_Per_Batch]*IFERROR(INDEX(PP_Grid[#Data],M_BOM[PPGridRow],49),0))</f>
        <v/>
      </c>
      <c r="AX24">
        <f>SUMPRODUCT((M_BOM[Part Name]=$A24)*M_BOM[RM_Qty_Per_Batch]*IFERROR(INDEX(PP_Grid[#Data],M_BOM[PPGridRow],50),0))</f>
        <v/>
      </c>
      <c r="AY24">
        <f>SUMPRODUCT((M_BOM[Part Name]=$A24)*M_BOM[RM_Qty_Per_Batch]*IFERROR(INDEX(PP_Grid[#Data],M_BOM[PPGridRow],51),0))</f>
        <v/>
      </c>
      <c r="AZ24">
        <f>SUMPRODUCT((M_BOM[Part Name]=$A24)*M_BOM[RM_Qty_Per_Batch]*IFERROR(INDEX(PP_Grid[#Data],M_BOM[PPGridRow],52),0))</f>
        <v/>
      </c>
      <c r="BA24">
        <f>SUMPRODUCT((M_BOM[Part Name]=$A24)*M_BOM[RM_Qty_Per_Batch]*IFERROR(INDEX(PP_Grid[#Data],M_BOM[PPGridRow],53),0))</f>
        <v/>
      </c>
      <c r="BB24">
        <f>SUMPRODUCT((M_BOM[Part Name]=$A24)*M_BOM[RM_Qty_Per_Batch]*IFERROR(INDEX(PP_Grid[#Data],M_BOM[PPGridRow],54),0))</f>
        <v/>
      </c>
      <c r="BC24">
        <f>SUMPRODUCT((M_BOM[Part Name]=$A24)*M_BOM[RM_Qty_Per_Batch]*IFERROR(INDEX(PP_Grid[#Data],M_BOM[PPGridRow],55),0))</f>
        <v/>
      </c>
      <c r="BD24">
        <f>SUMPRODUCT((M_BOM[Part Name]=$A24)*M_BOM[RM_Qty_Per_Batch]*IFERROR(INDEX(PP_Grid[#Data],M_BOM[PPGridRow],56),0))</f>
        <v/>
      </c>
      <c r="BE24">
        <f>SUMPRODUCT((M_BOM[Part Name]=$A24)*M_BOM[RM_Qty_Per_Batch]*IFERROR(INDEX(PP_Grid[#Data],M_BOM[PPGridRow],57),0))</f>
        <v/>
      </c>
      <c r="BF24">
        <f>SUMPRODUCT((M_BOM[Part Name]=$A24)*M_BOM[RM_Qty_Per_Batch]*IFERROR(INDEX(PP_Grid[#Data],M_BOM[PPGridRow],58),0))</f>
        <v/>
      </c>
      <c r="BG24">
        <f>SUMPRODUCT((M_BOM[Part Name]=$A24)*M_BOM[RM_Qty_Per_Batch]*IFERROR(INDEX(PP_Grid[#Data],M_BOM[PPGridRow],59),0))</f>
        <v/>
      </c>
      <c r="BH24">
        <f>SUMPRODUCT((M_BOM[Part Name]=$A24)*M_BOM[RM_Qty_Per_Batch]*IFERROR(INDEX(PP_Grid[#Data],M_BOM[PPGridRow],60),0))</f>
        <v/>
      </c>
      <c r="BI24">
        <f>SUMPRODUCT((M_BOM[Part Name]=$A24)*M_BOM[RM_Qty_Per_Batch]*IFERROR(INDEX(PP_Grid[#Data],M_BOM[PPGridRow],61),0))</f>
        <v/>
      </c>
      <c r="BJ24">
        <f>SUMPRODUCT((M_BOM[Part Name]=$A24)*M_BOM[RM_Qty_Per_Batch]*IFERROR(INDEX(PP_Grid[#Data],M_BOM[PPGridRow],62),0))</f>
        <v/>
      </c>
      <c r="BK24">
        <f>SUMPRODUCT((M_BOM[Part Name]=$A24)*M_BOM[RM_Qty_Per_Batch]*IFERROR(INDEX(PP_Grid[#Data],M_BOM[PPGridRow],63),0))</f>
        <v/>
      </c>
      <c r="BL24">
        <f>SUMPRODUCT((M_BOM[Part Name]=$A24)*M_BOM[RM_Qty_Per_Batch]*IFERROR(INDEX(PP_Grid[#Data],M_BOM[PPGridRow],64),0))</f>
        <v/>
      </c>
      <c r="BM24">
        <f>SUMPRODUCT((M_BOM[Part Name]=$A24)*M_BOM[RM_Qty_Per_Batch]*IFERROR(INDEX(PP_Grid[#Data],M_BOM[PPGridRow],65),0))</f>
        <v/>
      </c>
      <c r="BN24">
        <f>SUMPRODUCT((M_BOM[Part Name]=$A24)*M_BOM[RM_Qty_Per_Batch]*IFERROR(INDEX(PP_Grid[#Data],M_BOM[PPGridRow],66),0))</f>
        <v/>
      </c>
      <c r="BO24">
        <f>SUMPRODUCT((M_BOM[Part Name]=$A24)*M_BOM[RM_Qty_Per_Batch]*IFERROR(INDEX(PP_Grid[#Data],M_BOM[PPGridRow],67),0))</f>
        <v/>
      </c>
      <c r="BP24">
        <f>SUMPRODUCT((M_BOM[Part Name]=$A24)*M_BOM[RM_Qty_Per_Batch]*IFERROR(INDEX(PP_Grid[#Data],M_BOM[PPGridRow],68),0))</f>
        <v/>
      </c>
      <c r="BQ24">
        <f>SUMPRODUCT((M_BOM[Part Name]=$A24)*M_BOM[RM_Qty_Per_Batch]*IFERROR(INDEX(PP_Grid[#Data],M_BOM[PPGridRow],69),0))</f>
        <v/>
      </c>
      <c r="BR24">
        <f>SUMPRODUCT((M_BOM[Part Name]=$A24)*M_BOM[RM_Qty_Per_Batch]*IFERROR(INDEX(PP_Grid[#Data],M_BOM[PPGridRow],70),0))</f>
        <v/>
      </c>
      <c r="BS24">
        <f>SUMPRODUCT((M_BOM[Part Name]=$A24)*M_BOM[RM_Qty_Per_Batch]*IFERROR(INDEX(PP_Grid[#Data],M_BOM[PPGridRow],71),0))</f>
        <v/>
      </c>
      <c r="BT24">
        <f>SUMPRODUCT((M_BOM[Part Name]=$A24)*M_BOM[RM_Qty_Per_Batch]*IFERROR(INDEX(PP_Grid[#Data],M_BOM[PPGridRow],72),0))</f>
        <v/>
      </c>
      <c r="BU24">
        <f>SUMPRODUCT((M_BOM[Part Name]=$A24)*M_BOM[RM_Qty_Per_Batch]*IFERROR(INDEX(PP_Grid[#Data],M_BOM[PPGridRow],73),0))</f>
        <v/>
      </c>
      <c r="BV24">
        <f>SUMPRODUCT((M_BOM[Part Name]=$A24)*M_BOM[RM_Qty_Per_Batch]*IFERROR(INDEX(PP_Grid[#Data],M_BOM[PPGridRow],74),0))</f>
        <v/>
      </c>
      <c r="BW24">
        <f>SUMPRODUCT((M_BOM[Part Name]=$A24)*M_BOM[RM_Qty_Per_Batch]*IFERROR(INDEX(PP_Grid[#Data],M_BOM[PPGridRow],75),0))</f>
        <v/>
      </c>
      <c r="BX24">
        <f>SUMPRODUCT((M_BOM[Part Name]=$A24)*M_BOM[RM_Qty_Per_Batch]*IFERROR(INDEX(PP_Grid[#Data],M_BOM[PPGridRow],76),0))</f>
        <v/>
      </c>
      <c r="BY24">
        <f>SUMPRODUCT((M_BOM[Part Name]=$A24)*M_BOM[RM_Qty_Per_Batch]*IFERROR(INDEX(PP_Grid[#Data],M_BOM[PPGridRow],77),0))</f>
        <v/>
      </c>
      <c r="BZ24">
        <f>SUMPRODUCT((M_BOM[Part Name]=$A24)*M_BOM[RM_Qty_Per_Batch]*IFERROR(INDEX(PP_Grid[#Data],M_BOM[PPGridRow],78),0))</f>
        <v/>
      </c>
      <c r="CA24">
        <f>SUMPRODUCT((M_BOM[Part Name]=$A24)*M_BOM[RM_Qty_Per_Batch]*IFERROR(INDEX(PP_Grid[#Data],M_BOM[PPGridRow],79),0))</f>
        <v/>
      </c>
      <c r="CB24">
        <f>SUMPRODUCT((M_BOM[Part Name]=$A24)*M_BOM[RM_Qty_Per_Batch]*IFERROR(INDEX(PP_Grid[#Data],M_BOM[PPGridRow],80),0))</f>
        <v/>
      </c>
      <c r="CC24">
        <f>SUMPRODUCT((M_BOM[Part Name]=$A24)*M_BOM[RM_Qty_Per_Batch]*IFERROR(INDEX(PP_Grid[#Data],M_BOM[PPGridRow],81),0))</f>
        <v/>
      </c>
      <c r="CD24">
        <f>SUMPRODUCT((M_BOM[Part Name]=$A24)*M_BOM[RM_Qty_Per_Batch]*IFERROR(INDEX(PP_Grid[#Data],M_BOM[PPGridRow],82),0))</f>
        <v/>
      </c>
      <c r="CE24">
        <f>SUMPRODUCT((M_BOM[Part Name]=$A24)*M_BOM[RM_Qty_Per_Batch]*IFERROR(INDEX(PP_Grid[#Data],M_BOM[PPGridRow],83),0))</f>
        <v/>
      </c>
      <c r="CF24">
        <f>SUMPRODUCT((M_BOM[Part Name]=$A24)*M_BOM[RM_Qty_Per_Batch]*IFERROR(INDEX(PP_Grid[#Data],M_BOM[PPGridRow],84),0))</f>
        <v/>
      </c>
      <c r="CG24">
        <f>SUMPRODUCT((M_BOM[Part Name]=$A24)*M_BOM[RM_Qty_Per_Batch]*IFERROR(INDEX(PP_Grid[#Data],M_BOM[PPGridRow],85),0))</f>
        <v/>
      </c>
      <c r="CH24">
        <f>SUMPRODUCT((M_BOM[Part Name]=$A24)*M_BOM[RM_Qty_Per_Batch]*IFERROR(INDEX(PP_Grid[#Data],M_BOM[PPGridRow],86),0))</f>
        <v/>
      </c>
      <c r="CI24">
        <f>SUMPRODUCT((M_BOM[Part Name]=$A24)*M_BOM[RM_Qty_Per_Batch]*IFERROR(INDEX(PP_Grid[#Data],M_BOM[PPGridRow],87),0))</f>
        <v/>
      </c>
      <c r="CJ24">
        <f>SUMPRODUCT((M_BOM[Part Name]=$A24)*M_BOM[RM_Qty_Per_Batch]*IFERROR(INDEX(PP_Grid[#Data],M_BOM[PPGridRow],88),0))</f>
        <v/>
      </c>
      <c r="CK24">
        <f>SUMPRODUCT((M_BOM[Part Name]=$A24)*M_BOM[RM_Qty_Per_Batch]*IFERROR(INDEX(PP_Grid[#Data],M_BOM[PPGridRow],89),0))</f>
        <v/>
      </c>
      <c r="CL24">
        <f>SUMPRODUCT((M_BOM[Part Name]=$A24)*M_BOM[RM_Qty_Per_Batch]*IFERROR(INDEX(PP_Grid[#Data],M_BOM[PPGridRow],90),0))</f>
        <v/>
      </c>
      <c r="CM24">
        <f>SUMPRODUCT((M_BOM[Part Name]=$A24)*M_BOM[RM_Qty_Per_Batch]*IFERROR(INDEX(PP_Grid[#Data],M_BOM[PPGridRow],91),0))</f>
        <v/>
      </c>
      <c r="CN24">
        <f>SUMPRODUCT((M_BOM[Part Name]=$A24)*M_BOM[RM_Qty_Per_Batch]*IFERROR(INDEX(PP_Grid[#Data],M_BOM[PPGridRow],92),0))</f>
        <v/>
      </c>
      <c r="CO24">
        <f>SUMPRODUCT((M_BOM[Part Name]=$A24)*M_BOM[RM_Qty_Per_Batch]*IFERROR(INDEX(PP_Grid[#Data],M_BOM[PPGridRow],93),0))</f>
        <v/>
      </c>
      <c r="CP24">
        <f>SUMPRODUCT((M_BOM[Part Name]=$A24)*M_BOM[RM_Qty_Per_Batch]*IFERROR(INDEX(PP_Grid[#Data],M_BOM[PPGridRow],94),0))</f>
        <v/>
      </c>
      <c r="CQ24">
        <f>SUMPRODUCT((M_BOM[Part Name]=$A24)*M_BOM[RM_Qty_Per_Batch]*IFERROR(INDEX(PP_Grid[#Data],M_BOM[PPGridRow],95),0))</f>
        <v/>
      </c>
      <c r="CR24">
        <f>SUMPRODUCT((M_BOM[Part Name]=$A24)*M_BOM[RM_Qty_Per_Batch]*IFERROR(INDEX(PP_Grid[#Data],M_BOM[PPGridRow],96),0))</f>
        <v/>
      </c>
      <c r="CS24">
        <f>SUMPRODUCT((M_BOM[Part Name]=$A24)*M_BOM[RM_Qty_Per_Batch]*IFERROR(INDEX(PP_Grid[#Data],M_BOM[PPGridRow],97),0))</f>
        <v/>
      </c>
      <c r="CT24">
        <f>SUMPRODUCT((M_BOM[Part Name]=$A24)*M_BOM[RM_Qty_Per_Batch]*IFERROR(INDEX(PP_Grid[#Data],M_BOM[PPGridRow],98),0))</f>
        <v/>
      </c>
      <c r="CU24">
        <f>SUMPRODUCT((M_BOM[Part Name]=$A24)*M_BOM[RM_Qty_Per_Batch]*IFERROR(INDEX(PP_Grid[#Data],M_BOM[PPGridRow],99),0))</f>
        <v/>
      </c>
      <c r="CV24">
        <f>SUMPRODUCT((M_BOM[Part Name]=$A24)*M_BOM[RM_Qty_Per_Batch]*IFERROR(INDEX(PP_Grid[#Data],M_BOM[PPGridRow],100),0))</f>
        <v/>
      </c>
      <c r="CW24">
        <f>SUMPRODUCT((M_BOM[Part Name]=$A24)*M_BOM[RM_Qty_Per_Batch]*IFERROR(INDEX(PP_Grid[#Data],M_BOM[PPGridRow],101),0))</f>
        <v/>
      </c>
      <c r="CX24">
        <f>SUMPRODUCT((M_BOM[Part Name]=$A24)*M_BOM[RM_Qty_Per_Batch]*IFERROR(INDEX(PP_Grid[#Data],M_BOM[PPGridRow],102),0))</f>
        <v/>
      </c>
      <c r="CY24">
        <f>SUMPRODUCT((M_BOM[Part Name]=$A24)*M_BOM[RM_Qty_Per_Batch]*IFERROR(INDEX(PP_Grid[#Data],M_BOM[PPGridRow],103),0))</f>
        <v/>
      </c>
      <c r="CZ24">
        <f>SUMPRODUCT((M_BOM[Part Name]=$A24)*M_BOM[RM_Qty_Per_Batch]*IFERROR(INDEX(PP_Grid[#Data],M_BOM[PPGridRow],104),0))</f>
        <v/>
      </c>
      <c r="DA24">
        <f>SUMPRODUCT((M_BOM[Part Name]=$A24)*M_BOM[RM_Qty_Per_Batch]*IFERROR(INDEX(PP_Grid[#Data],M_BOM[PPGridRow],105),0))</f>
        <v/>
      </c>
    </row>
    <row r="25">
      <c r="A25" t="inlineStr">
        <is>
          <t>CHEM-1200</t>
        </is>
      </c>
      <c r="B25">
        <f>SUMPRODUCT((M_BOM[Part Name]=$A25)*M_BOM[RM_Qty_Per_Batch]*IFERROR(INDEX(PP_Grid[#Data],M_BOM[PPGridRow],2),0))</f>
        <v/>
      </c>
      <c r="C25">
        <f>SUMPRODUCT((M_BOM[Part Name]=$A25)*M_BOM[RM_Qty_Per_Batch]*IFERROR(INDEX(PP_Grid[#Data],M_BOM[PPGridRow],3),0))</f>
        <v/>
      </c>
      <c r="D25">
        <f>SUMPRODUCT((M_BOM[Part Name]=$A25)*M_BOM[RM_Qty_Per_Batch]*IFERROR(INDEX(PP_Grid[#Data],M_BOM[PPGridRow],4),0))</f>
        <v/>
      </c>
      <c r="E25">
        <f>SUMPRODUCT((M_BOM[Part Name]=$A25)*M_BOM[RM_Qty_Per_Batch]*IFERROR(INDEX(PP_Grid[#Data],M_BOM[PPGridRow],5),0))</f>
        <v/>
      </c>
      <c r="F25">
        <f>SUMPRODUCT((M_BOM[Part Name]=$A25)*M_BOM[RM_Qty_Per_Batch]*IFERROR(INDEX(PP_Grid[#Data],M_BOM[PPGridRow],6),0))</f>
        <v/>
      </c>
      <c r="G25">
        <f>SUMPRODUCT((M_BOM[Part Name]=$A25)*M_BOM[RM_Qty_Per_Batch]*IFERROR(INDEX(PP_Grid[#Data],M_BOM[PPGridRow],7),0))</f>
        <v/>
      </c>
      <c r="H25">
        <f>SUMPRODUCT((M_BOM[Part Name]=$A25)*M_BOM[RM_Qty_Per_Batch]*IFERROR(INDEX(PP_Grid[#Data],M_BOM[PPGridRow],8),0))</f>
        <v/>
      </c>
      <c r="I25">
        <f>SUMPRODUCT((M_BOM[Part Name]=$A25)*M_BOM[RM_Qty_Per_Batch]*IFERROR(INDEX(PP_Grid[#Data],M_BOM[PPGridRow],9),0))</f>
        <v/>
      </c>
      <c r="J25">
        <f>SUMPRODUCT((M_BOM[Part Name]=$A25)*M_BOM[RM_Qty_Per_Batch]*IFERROR(INDEX(PP_Grid[#Data],M_BOM[PPGridRow],10),0))</f>
        <v/>
      </c>
      <c r="K25">
        <f>SUMPRODUCT((M_BOM[Part Name]=$A25)*M_BOM[RM_Qty_Per_Batch]*IFERROR(INDEX(PP_Grid[#Data],M_BOM[PPGridRow],11),0))</f>
        <v/>
      </c>
      <c r="L25">
        <f>SUMPRODUCT((M_BOM[Part Name]=$A25)*M_BOM[RM_Qty_Per_Batch]*IFERROR(INDEX(PP_Grid[#Data],M_BOM[PPGridRow],12),0))</f>
        <v/>
      </c>
      <c r="M25">
        <f>SUMPRODUCT((M_BOM[Part Name]=$A25)*M_BOM[RM_Qty_Per_Batch]*IFERROR(INDEX(PP_Grid[#Data],M_BOM[PPGridRow],13),0))</f>
        <v/>
      </c>
      <c r="N25">
        <f>SUMPRODUCT((M_BOM[Part Name]=$A25)*M_BOM[RM_Qty_Per_Batch]*IFERROR(INDEX(PP_Grid[#Data],M_BOM[PPGridRow],14),0))</f>
        <v/>
      </c>
      <c r="O25">
        <f>SUMPRODUCT((M_BOM[Part Name]=$A25)*M_BOM[RM_Qty_Per_Batch]*IFERROR(INDEX(PP_Grid[#Data],M_BOM[PPGridRow],15),0))</f>
        <v/>
      </c>
      <c r="P25">
        <f>SUMPRODUCT((M_BOM[Part Name]=$A25)*M_BOM[RM_Qty_Per_Batch]*IFERROR(INDEX(PP_Grid[#Data],M_BOM[PPGridRow],16),0))</f>
        <v/>
      </c>
      <c r="Q25">
        <f>SUMPRODUCT((M_BOM[Part Name]=$A25)*M_BOM[RM_Qty_Per_Batch]*IFERROR(INDEX(PP_Grid[#Data],M_BOM[PPGridRow],17),0))</f>
        <v/>
      </c>
      <c r="R25">
        <f>SUMPRODUCT((M_BOM[Part Name]=$A25)*M_BOM[RM_Qty_Per_Batch]*IFERROR(INDEX(PP_Grid[#Data],M_BOM[PPGridRow],18),0))</f>
        <v/>
      </c>
      <c r="S25">
        <f>SUMPRODUCT((M_BOM[Part Name]=$A25)*M_BOM[RM_Qty_Per_Batch]*IFERROR(INDEX(PP_Grid[#Data],M_BOM[PPGridRow],19),0))</f>
        <v/>
      </c>
      <c r="T25">
        <f>SUMPRODUCT((M_BOM[Part Name]=$A25)*M_BOM[RM_Qty_Per_Batch]*IFERROR(INDEX(PP_Grid[#Data],M_BOM[PPGridRow],20),0))</f>
        <v/>
      </c>
      <c r="U25">
        <f>SUMPRODUCT((M_BOM[Part Name]=$A25)*M_BOM[RM_Qty_Per_Batch]*IFERROR(INDEX(PP_Grid[#Data],M_BOM[PPGridRow],21),0))</f>
        <v/>
      </c>
      <c r="V25">
        <f>SUMPRODUCT((M_BOM[Part Name]=$A25)*M_BOM[RM_Qty_Per_Batch]*IFERROR(INDEX(PP_Grid[#Data],M_BOM[PPGridRow],22),0))</f>
        <v/>
      </c>
      <c r="W25">
        <f>SUMPRODUCT((M_BOM[Part Name]=$A25)*M_BOM[RM_Qty_Per_Batch]*IFERROR(INDEX(PP_Grid[#Data],M_BOM[PPGridRow],23),0))</f>
        <v/>
      </c>
      <c r="X25">
        <f>SUMPRODUCT((M_BOM[Part Name]=$A25)*M_BOM[RM_Qty_Per_Batch]*IFERROR(INDEX(PP_Grid[#Data],M_BOM[PPGridRow],24),0))</f>
        <v/>
      </c>
      <c r="Y25">
        <f>SUMPRODUCT((M_BOM[Part Name]=$A25)*M_BOM[RM_Qty_Per_Batch]*IFERROR(INDEX(PP_Grid[#Data],M_BOM[PPGridRow],25),0))</f>
        <v/>
      </c>
      <c r="Z25">
        <f>SUMPRODUCT((M_BOM[Part Name]=$A25)*M_BOM[RM_Qty_Per_Batch]*IFERROR(INDEX(PP_Grid[#Data],M_BOM[PPGridRow],26),0))</f>
        <v/>
      </c>
      <c r="AA25">
        <f>SUMPRODUCT((M_BOM[Part Name]=$A25)*M_BOM[RM_Qty_Per_Batch]*IFERROR(INDEX(PP_Grid[#Data],M_BOM[PPGridRow],27),0))</f>
        <v/>
      </c>
      <c r="AB25">
        <f>SUMPRODUCT((M_BOM[Part Name]=$A25)*M_BOM[RM_Qty_Per_Batch]*IFERROR(INDEX(PP_Grid[#Data],M_BOM[PPGridRow],28),0))</f>
        <v/>
      </c>
      <c r="AC25">
        <f>SUMPRODUCT((M_BOM[Part Name]=$A25)*M_BOM[RM_Qty_Per_Batch]*IFERROR(INDEX(PP_Grid[#Data],M_BOM[PPGridRow],29),0))</f>
        <v/>
      </c>
      <c r="AD25">
        <f>SUMPRODUCT((M_BOM[Part Name]=$A25)*M_BOM[RM_Qty_Per_Batch]*IFERROR(INDEX(PP_Grid[#Data],M_BOM[PPGridRow],30),0))</f>
        <v/>
      </c>
      <c r="AE25">
        <f>SUMPRODUCT((M_BOM[Part Name]=$A25)*M_BOM[RM_Qty_Per_Batch]*IFERROR(INDEX(PP_Grid[#Data],M_BOM[PPGridRow],31),0))</f>
        <v/>
      </c>
      <c r="AF25">
        <f>SUMPRODUCT((M_BOM[Part Name]=$A25)*M_BOM[RM_Qty_Per_Batch]*IFERROR(INDEX(PP_Grid[#Data],M_BOM[PPGridRow],32),0))</f>
        <v/>
      </c>
      <c r="AG25">
        <f>SUMPRODUCT((M_BOM[Part Name]=$A25)*M_BOM[RM_Qty_Per_Batch]*IFERROR(INDEX(PP_Grid[#Data],M_BOM[PPGridRow],33),0))</f>
        <v/>
      </c>
      <c r="AH25">
        <f>SUMPRODUCT((M_BOM[Part Name]=$A25)*M_BOM[RM_Qty_Per_Batch]*IFERROR(INDEX(PP_Grid[#Data],M_BOM[PPGridRow],34),0))</f>
        <v/>
      </c>
      <c r="AI25">
        <f>SUMPRODUCT((M_BOM[Part Name]=$A25)*M_BOM[RM_Qty_Per_Batch]*IFERROR(INDEX(PP_Grid[#Data],M_BOM[PPGridRow],35),0))</f>
        <v/>
      </c>
      <c r="AJ25">
        <f>SUMPRODUCT((M_BOM[Part Name]=$A25)*M_BOM[RM_Qty_Per_Batch]*IFERROR(INDEX(PP_Grid[#Data],M_BOM[PPGridRow],36),0))</f>
        <v/>
      </c>
      <c r="AK25">
        <f>SUMPRODUCT((M_BOM[Part Name]=$A25)*M_BOM[RM_Qty_Per_Batch]*IFERROR(INDEX(PP_Grid[#Data],M_BOM[PPGridRow],37),0))</f>
        <v/>
      </c>
      <c r="AL25">
        <f>SUMPRODUCT((M_BOM[Part Name]=$A25)*M_BOM[RM_Qty_Per_Batch]*IFERROR(INDEX(PP_Grid[#Data],M_BOM[PPGridRow],38),0))</f>
        <v/>
      </c>
      <c r="AM25">
        <f>SUMPRODUCT((M_BOM[Part Name]=$A25)*M_BOM[RM_Qty_Per_Batch]*IFERROR(INDEX(PP_Grid[#Data],M_BOM[PPGridRow],39),0))</f>
        <v/>
      </c>
      <c r="AN25">
        <f>SUMPRODUCT((M_BOM[Part Name]=$A25)*M_BOM[RM_Qty_Per_Batch]*IFERROR(INDEX(PP_Grid[#Data],M_BOM[PPGridRow],40),0))</f>
        <v/>
      </c>
      <c r="AO25">
        <f>SUMPRODUCT((M_BOM[Part Name]=$A25)*M_BOM[RM_Qty_Per_Batch]*IFERROR(INDEX(PP_Grid[#Data],M_BOM[PPGridRow],41),0))</f>
        <v/>
      </c>
      <c r="AP25">
        <f>SUMPRODUCT((M_BOM[Part Name]=$A25)*M_BOM[RM_Qty_Per_Batch]*IFERROR(INDEX(PP_Grid[#Data],M_BOM[PPGridRow],42),0))</f>
        <v/>
      </c>
      <c r="AQ25">
        <f>SUMPRODUCT((M_BOM[Part Name]=$A25)*M_BOM[RM_Qty_Per_Batch]*IFERROR(INDEX(PP_Grid[#Data],M_BOM[PPGridRow],43),0))</f>
        <v/>
      </c>
      <c r="AR25">
        <f>SUMPRODUCT((M_BOM[Part Name]=$A25)*M_BOM[RM_Qty_Per_Batch]*IFERROR(INDEX(PP_Grid[#Data],M_BOM[PPGridRow],44),0))</f>
        <v/>
      </c>
      <c r="AS25">
        <f>SUMPRODUCT((M_BOM[Part Name]=$A25)*M_BOM[RM_Qty_Per_Batch]*IFERROR(INDEX(PP_Grid[#Data],M_BOM[PPGridRow],45),0))</f>
        <v/>
      </c>
      <c r="AT25">
        <f>SUMPRODUCT((M_BOM[Part Name]=$A25)*M_BOM[RM_Qty_Per_Batch]*IFERROR(INDEX(PP_Grid[#Data],M_BOM[PPGridRow],46),0))</f>
        <v/>
      </c>
      <c r="AU25">
        <f>SUMPRODUCT((M_BOM[Part Name]=$A25)*M_BOM[RM_Qty_Per_Batch]*IFERROR(INDEX(PP_Grid[#Data],M_BOM[PPGridRow],47),0))</f>
        <v/>
      </c>
      <c r="AV25">
        <f>SUMPRODUCT((M_BOM[Part Name]=$A25)*M_BOM[RM_Qty_Per_Batch]*IFERROR(INDEX(PP_Grid[#Data],M_BOM[PPGridRow],48),0))</f>
        <v/>
      </c>
      <c r="AW25">
        <f>SUMPRODUCT((M_BOM[Part Name]=$A25)*M_BOM[RM_Qty_Per_Batch]*IFERROR(INDEX(PP_Grid[#Data],M_BOM[PPGridRow],49),0))</f>
        <v/>
      </c>
      <c r="AX25">
        <f>SUMPRODUCT((M_BOM[Part Name]=$A25)*M_BOM[RM_Qty_Per_Batch]*IFERROR(INDEX(PP_Grid[#Data],M_BOM[PPGridRow],50),0))</f>
        <v/>
      </c>
      <c r="AY25">
        <f>SUMPRODUCT((M_BOM[Part Name]=$A25)*M_BOM[RM_Qty_Per_Batch]*IFERROR(INDEX(PP_Grid[#Data],M_BOM[PPGridRow],51),0))</f>
        <v/>
      </c>
      <c r="AZ25">
        <f>SUMPRODUCT((M_BOM[Part Name]=$A25)*M_BOM[RM_Qty_Per_Batch]*IFERROR(INDEX(PP_Grid[#Data],M_BOM[PPGridRow],52),0))</f>
        <v/>
      </c>
      <c r="BA25">
        <f>SUMPRODUCT((M_BOM[Part Name]=$A25)*M_BOM[RM_Qty_Per_Batch]*IFERROR(INDEX(PP_Grid[#Data],M_BOM[PPGridRow],53),0))</f>
        <v/>
      </c>
      <c r="BB25">
        <f>SUMPRODUCT((M_BOM[Part Name]=$A25)*M_BOM[RM_Qty_Per_Batch]*IFERROR(INDEX(PP_Grid[#Data],M_BOM[PPGridRow],54),0))</f>
        <v/>
      </c>
      <c r="BC25">
        <f>SUMPRODUCT((M_BOM[Part Name]=$A25)*M_BOM[RM_Qty_Per_Batch]*IFERROR(INDEX(PP_Grid[#Data],M_BOM[PPGridRow],55),0))</f>
        <v/>
      </c>
      <c r="BD25">
        <f>SUMPRODUCT((M_BOM[Part Name]=$A25)*M_BOM[RM_Qty_Per_Batch]*IFERROR(INDEX(PP_Grid[#Data],M_BOM[PPGridRow],56),0))</f>
        <v/>
      </c>
      <c r="BE25">
        <f>SUMPRODUCT((M_BOM[Part Name]=$A25)*M_BOM[RM_Qty_Per_Batch]*IFERROR(INDEX(PP_Grid[#Data],M_BOM[PPGridRow],57),0))</f>
        <v/>
      </c>
      <c r="BF25">
        <f>SUMPRODUCT((M_BOM[Part Name]=$A25)*M_BOM[RM_Qty_Per_Batch]*IFERROR(INDEX(PP_Grid[#Data],M_BOM[PPGridRow],58),0))</f>
        <v/>
      </c>
      <c r="BG25">
        <f>SUMPRODUCT((M_BOM[Part Name]=$A25)*M_BOM[RM_Qty_Per_Batch]*IFERROR(INDEX(PP_Grid[#Data],M_BOM[PPGridRow],59),0))</f>
        <v/>
      </c>
      <c r="BH25">
        <f>SUMPRODUCT((M_BOM[Part Name]=$A25)*M_BOM[RM_Qty_Per_Batch]*IFERROR(INDEX(PP_Grid[#Data],M_BOM[PPGridRow],60),0))</f>
        <v/>
      </c>
      <c r="BI25">
        <f>SUMPRODUCT((M_BOM[Part Name]=$A25)*M_BOM[RM_Qty_Per_Batch]*IFERROR(INDEX(PP_Grid[#Data],M_BOM[PPGridRow],61),0))</f>
        <v/>
      </c>
      <c r="BJ25">
        <f>SUMPRODUCT((M_BOM[Part Name]=$A25)*M_BOM[RM_Qty_Per_Batch]*IFERROR(INDEX(PP_Grid[#Data],M_BOM[PPGridRow],62),0))</f>
        <v/>
      </c>
      <c r="BK25">
        <f>SUMPRODUCT((M_BOM[Part Name]=$A25)*M_BOM[RM_Qty_Per_Batch]*IFERROR(INDEX(PP_Grid[#Data],M_BOM[PPGridRow],63),0))</f>
        <v/>
      </c>
      <c r="BL25">
        <f>SUMPRODUCT((M_BOM[Part Name]=$A25)*M_BOM[RM_Qty_Per_Batch]*IFERROR(INDEX(PP_Grid[#Data],M_BOM[PPGridRow],64),0))</f>
        <v/>
      </c>
      <c r="BM25">
        <f>SUMPRODUCT((M_BOM[Part Name]=$A25)*M_BOM[RM_Qty_Per_Batch]*IFERROR(INDEX(PP_Grid[#Data],M_BOM[PPGridRow],65),0))</f>
        <v/>
      </c>
      <c r="BN25">
        <f>SUMPRODUCT((M_BOM[Part Name]=$A25)*M_BOM[RM_Qty_Per_Batch]*IFERROR(INDEX(PP_Grid[#Data],M_BOM[PPGridRow],66),0))</f>
        <v/>
      </c>
      <c r="BO25">
        <f>SUMPRODUCT((M_BOM[Part Name]=$A25)*M_BOM[RM_Qty_Per_Batch]*IFERROR(INDEX(PP_Grid[#Data],M_BOM[PPGridRow],67),0))</f>
        <v/>
      </c>
      <c r="BP25">
        <f>SUMPRODUCT((M_BOM[Part Name]=$A25)*M_BOM[RM_Qty_Per_Batch]*IFERROR(INDEX(PP_Grid[#Data],M_BOM[PPGridRow],68),0))</f>
        <v/>
      </c>
      <c r="BQ25">
        <f>SUMPRODUCT((M_BOM[Part Name]=$A25)*M_BOM[RM_Qty_Per_Batch]*IFERROR(INDEX(PP_Grid[#Data],M_BOM[PPGridRow],69),0))</f>
        <v/>
      </c>
      <c r="BR25">
        <f>SUMPRODUCT((M_BOM[Part Name]=$A25)*M_BOM[RM_Qty_Per_Batch]*IFERROR(INDEX(PP_Grid[#Data],M_BOM[PPGridRow],70),0))</f>
        <v/>
      </c>
      <c r="BS25">
        <f>SUMPRODUCT((M_BOM[Part Name]=$A25)*M_BOM[RM_Qty_Per_Batch]*IFERROR(INDEX(PP_Grid[#Data],M_BOM[PPGridRow],71),0))</f>
        <v/>
      </c>
      <c r="BT25">
        <f>SUMPRODUCT((M_BOM[Part Name]=$A25)*M_BOM[RM_Qty_Per_Batch]*IFERROR(INDEX(PP_Grid[#Data],M_BOM[PPGridRow],72),0))</f>
        <v/>
      </c>
      <c r="BU25">
        <f>SUMPRODUCT((M_BOM[Part Name]=$A25)*M_BOM[RM_Qty_Per_Batch]*IFERROR(INDEX(PP_Grid[#Data],M_BOM[PPGridRow],73),0))</f>
        <v/>
      </c>
      <c r="BV25">
        <f>SUMPRODUCT((M_BOM[Part Name]=$A25)*M_BOM[RM_Qty_Per_Batch]*IFERROR(INDEX(PP_Grid[#Data],M_BOM[PPGridRow],74),0))</f>
        <v/>
      </c>
      <c r="BW25">
        <f>SUMPRODUCT((M_BOM[Part Name]=$A25)*M_BOM[RM_Qty_Per_Batch]*IFERROR(INDEX(PP_Grid[#Data],M_BOM[PPGridRow],75),0))</f>
        <v/>
      </c>
      <c r="BX25">
        <f>SUMPRODUCT((M_BOM[Part Name]=$A25)*M_BOM[RM_Qty_Per_Batch]*IFERROR(INDEX(PP_Grid[#Data],M_BOM[PPGridRow],76),0))</f>
        <v/>
      </c>
      <c r="BY25">
        <f>SUMPRODUCT((M_BOM[Part Name]=$A25)*M_BOM[RM_Qty_Per_Batch]*IFERROR(INDEX(PP_Grid[#Data],M_BOM[PPGridRow],77),0))</f>
        <v/>
      </c>
      <c r="BZ25">
        <f>SUMPRODUCT((M_BOM[Part Name]=$A25)*M_BOM[RM_Qty_Per_Batch]*IFERROR(INDEX(PP_Grid[#Data],M_BOM[PPGridRow],78),0))</f>
        <v/>
      </c>
      <c r="CA25">
        <f>SUMPRODUCT((M_BOM[Part Name]=$A25)*M_BOM[RM_Qty_Per_Batch]*IFERROR(INDEX(PP_Grid[#Data],M_BOM[PPGridRow],79),0))</f>
        <v/>
      </c>
      <c r="CB25">
        <f>SUMPRODUCT((M_BOM[Part Name]=$A25)*M_BOM[RM_Qty_Per_Batch]*IFERROR(INDEX(PP_Grid[#Data],M_BOM[PPGridRow],80),0))</f>
        <v/>
      </c>
      <c r="CC25">
        <f>SUMPRODUCT((M_BOM[Part Name]=$A25)*M_BOM[RM_Qty_Per_Batch]*IFERROR(INDEX(PP_Grid[#Data],M_BOM[PPGridRow],81),0))</f>
        <v/>
      </c>
      <c r="CD25">
        <f>SUMPRODUCT((M_BOM[Part Name]=$A25)*M_BOM[RM_Qty_Per_Batch]*IFERROR(INDEX(PP_Grid[#Data],M_BOM[PPGridRow],82),0))</f>
        <v/>
      </c>
      <c r="CE25">
        <f>SUMPRODUCT((M_BOM[Part Name]=$A25)*M_BOM[RM_Qty_Per_Batch]*IFERROR(INDEX(PP_Grid[#Data],M_BOM[PPGridRow],83),0))</f>
        <v/>
      </c>
      <c r="CF25">
        <f>SUMPRODUCT((M_BOM[Part Name]=$A25)*M_BOM[RM_Qty_Per_Batch]*IFERROR(INDEX(PP_Grid[#Data],M_BOM[PPGridRow],84),0))</f>
        <v/>
      </c>
      <c r="CG25">
        <f>SUMPRODUCT((M_BOM[Part Name]=$A25)*M_BOM[RM_Qty_Per_Batch]*IFERROR(INDEX(PP_Grid[#Data],M_BOM[PPGridRow],85),0))</f>
        <v/>
      </c>
      <c r="CH25">
        <f>SUMPRODUCT((M_BOM[Part Name]=$A25)*M_BOM[RM_Qty_Per_Batch]*IFERROR(INDEX(PP_Grid[#Data],M_BOM[PPGridRow],86),0))</f>
        <v/>
      </c>
      <c r="CI25">
        <f>SUMPRODUCT((M_BOM[Part Name]=$A25)*M_BOM[RM_Qty_Per_Batch]*IFERROR(INDEX(PP_Grid[#Data],M_BOM[PPGridRow],87),0))</f>
        <v/>
      </c>
      <c r="CJ25">
        <f>SUMPRODUCT((M_BOM[Part Name]=$A25)*M_BOM[RM_Qty_Per_Batch]*IFERROR(INDEX(PP_Grid[#Data],M_BOM[PPGridRow],88),0))</f>
        <v/>
      </c>
      <c r="CK25">
        <f>SUMPRODUCT((M_BOM[Part Name]=$A25)*M_BOM[RM_Qty_Per_Batch]*IFERROR(INDEX(PP_Grid[#Data],M_BOM[PPGridRow],89),0))</f>
        <v/>
      </c>
      <c r="CL25">
        <f>SUMPRODUCT((M_BOM[Part Name]=$A25)*M_BOM[RM_Qty_Per_Batch]*IFERROR(INDEX(PP_Grid[#Data],M_BOM[PPGridRow],90),0))</f>
        <v/>
      </c>
      <c r="CM25">
        <f>SUMPRODUCT((M_BOM[Part Name]=$A25)*M_BOM[RM_Qty_Per_Batch]*IFERROR(INDEX(PP_Grid[#Data],M_BOM[PPGridRow],91),0))</f>
        <v/>
      </c>
      <c r="CN25">
        <f>SUMPRODUCT((M_BOM[Part Name]=$A25)*M_BOM[RM_Qty_Per_Batch]*IFERROR(INDEX(PP_Grid[#Data],M_BOM[PPGridRow],92),0))</f>
        <v/>
      </c>
      <c r="CO25">
        <f>SUMPRODUCT((M_BOM[Part Name]=$A25)*M_BOM[RM_Qty_Per_Batch]*IFERROR(INDEX(PP_Grid[#Data],M_BOM[PPGridRow],93),0))</f>
        <v/>
      </c>
      <c r="CP25">
        <f>SUMPRODUCT((M_BOM[Part Name]=$A25)*M_BOM[RM_Qty_Per_Batch]*IFERROR(INDEX(PP_Grid[#Data],M_BOM[PPGridRow],94),0))</f>
        <v/>
      </c>
      <c r="CQ25">
        <f>SUMPRODUCT((M_BOM[Part Name]=$A25)*M_BOM[RM_Qty_Per_Batch]*IFERROR(INDEX(PP_Grid[#Data],M_BOM[PPGridRow],95),0))</f>
        <v/>
      </c>
      <c r="CR25">
        <f>SUMPRODUCT((M_BOM[Part Name]=$A25)*M_BOM[RM_Qty_Per_Batch]*IFERROR(INDEX(PP_Grid[#Data],M_BOM[PPGridRow],96),0))</f>
        <v/>
      </c>
      <c r="CS25">
        <f>SUMPRODUCT((M_BOM[Part Name]=$A25)*M_BOM[RM_Qty_Per_Batch]*IFERROR(INDEX(PP_Grid[#Data],M_BOM[PPGridRow],97),0))</f>
        <v/>
      </c>
      <c r="CT25">
        <f>SUMPRODUCT((M_BOM[Part Name]=$A25)*M_BOM[RM_Qty_Per_Batch]*IFERROR(INDEX(PP_Grid[#Data],M_BOM[PPGridRow],98),0))</f>
        <v/>
      </c>
      <c r="CU25">
        <f>SUMPRODUCT((M_BOM[Part Name]=$A25)*M_BOM[RM_Qty_Per_Batch]*IFERROR(INDEX(PP_Grid[#Data],M_BOM[PPGridRow],99),0))</f>
        <v/>
      </c>
      <c r="CV25">
        <f>SUMPRODUCT((M_BOM[Part Name]=$A25)*M_BOM[RM_Qty_Per_Batch]*IFERROR(INDEX(PP_Grid[#Data],M_BOM[PPGridRow],100),0))</f>
        <v/>
      </c>
      <c r="CW25">
        <f>SUMPRODUCT((M_BOM[Part Name]=$A25)*M_BOM[RM_Qty_Per_Batch]*IFERROR(INDEX(PP_Grid[#Data],M_BOM[PPGridRow],101),0))</f>
        <v/>
      </c>
      <c r="CX25">
        <f>SUMPRODUCT((M_BOM[Part Name]=$A25)*M_BOM[RM_Qty_Per_Batch]*IFERROR(INDEX(PP_Grid[#Data],M_BOM[PPGridRow],102),0))</f>
        <v/>
      </c>
      <c r="CY25">
        <f>SUMPRODUCT((M_BOM[Part Name]=$A25)*M_BOM[RM_Qty_Per_Batch]*IFERROR(INDEX(PP_Grid[#Data],M_BOM[PPGridRow],103),0))</f>
        <v/>
      </c>
      <c r="CZ25">
        <f>SUMPRODUCT((M_BOM[Part Name]=$A25)*M_BOM[RM_Qty_Per_Batch]*IFERROR(INDEX(PP_Grid[#Data],M_BOM[PPGridRow],104),0))</f>
        <v/>
      </c>
      <c r="DA25">
        <f>SUMPRODUCT((M_BOM[Part Name]=$A25)*M_BOM[RM_Qty_Per_Batch]*IFERROR(INDEX(PP_Grid[#Data],M_BOM[PPGridRow],105),0))</f>
        <v/>
      </c>
    </row>
    <row r="26">
      <c r="A26" t="inlineStr">
        <is>
          <t>CHEM-1830</t>
        </is>
      </c>
      <c r="B26">
        <f>SUMPRODUCT((M_BOM[Part Name]=$A26)*M_BOM[RM_Qty_Per_Batch]*IFERROR(INDEX(PP_Grid[#Data],M_BOM[PPGridRow],2),0))</f>
        <v/>
      </c>
      <c r="C26">
        <f>SUMPRODUCT((M_BOM[Part Name]=$A26)*M_BOM[RM_Qty_Per_Batch]*IFERROR(INDEX(PP_Grid[#Data],M_BOM[PPGridRow],3),0))</f>
        <v/>
      </c>
      <c r="D26">
        <f>SUMPRODUCT((M_BOM[Part Name]=$A26)*M_BOM[RM_Qty_Per_Batch]*IFERROR(INDEX(PP_Grid[#Data],M_BOM[PPGridRow],4),0))</f>
        <v/>
      </c>
      <c r="E26">
        <f>SUMPRODUCT((M_BOM[Part Name]=$A26)*M_BOM[RM_Qty_Per_Batch]*IFERROR(INDEX(PP_Grid[#Data],M_BOM[PPGridRow],5),0))</f>
        <v/>
      </c>
      <c r="F26">
        <f>SUMPRODUCT((M_BOM[Part Name]=$A26)*M_BOM[RM_Qty_Per_Batch]*IFERROR(INDEX(PP_Grid[#Data],M_BOM[PPGridRow],6),0))</f>
        <v/>
      </c>
      <c r="G26">
        <f>SUMPRODUCT((M_BOM[Part Name]=$A26)*M_BOM[RM_Qty_Per_Batch]*IFERROR(INDEX(PP_Grid[#Data],M_BOM[PPGridRow],7),0))</f>
        <v/>
      </c>
      <c r="H26">
        <f>SUMPRODUCT((M_BOM[Part Name]=$A26)*M_BOM[RM_Qty_Per_Batch]*IFERROR(INDEX(PP_Grid[#Data],M_BOM[PPGridRow],8),0))</f>
        <v/>
      </c>
      <c r="I26">
        <f>SUMPRODUCT((M_BOM[Part Name]=$A26)*M_BOM[RM_Qty_Per_Batch]*IFERROR(INDEX(PP_Grid[#Data],M_BOM[PPGridRow],9),0))</f>
        <v/>
      </c>
      <c r="J26">
        <f>SUMPRODUCT((M_BOM[Part Name]=$A26)*M_BOM[RM_Qty_Per_Batch]*IFERROR(INDEX(PP_Grid[#Data],M_BOM[PPGridRow],10),0))</f>
        <v/>
      </c>
      <c r="K26">
        <f>SUMPRODUCT((M_BOM[Part Name]=$A26)*M_BOM[RM_Qty_Per_Batch]*IFERROR(INDEX(PP_Grid[#Data],M_BOM[PPGridRow],11),0))</f>
        <v/>
      </c>
      <c r="L26">
        <f>SUMPRODUCT((M_BOM[Part Name]=$A26)*M_BOM[RM_Qty_Per_Batch]*IFERROR(INDEX(PP_Grid[#Data],M_BOM[PPGridRow],12),0))</f>
        <v/>
      </c>
      <c r="M26">
        <f>SUMPRODUCT((M_BOM[Part Name]=$A26)*M_BOM[RM_Qty_Per_Batch]*IFERROR(INDEX(PP_Grid[#Data],M_BOM[PPGridRow],13),0))</f>
        <v/>
      </c>
      <c r="N26">
        <f>SUMPRODUCT((M_BOM[Part Name]=$A26)*M_BOM[RM_Qty_Per_Batch]*IFERROR(INDEX(PP_Grid[#Data],M_BOM[PPGridRow],14),0))</f>
        <v/>
      </c>
      <c r="O26">
        <f>SUMPRODUCT((M_BOM[Part Name]=$A26)*M_BOM[RM_Qty_Per_Batch]*IFERROR(INDEX(PP_Grid[#Data],M_BOM[PPGridRow],15),0))</f>
        <v/>
      </c>
      <c r="P26">
        <f>SUMPRODUCT((M_BOM[Part Name]=$A26)*M_BOM[RM_Qty_Per_Batch]*IFERROR(INDEX(PP_Grid[#Data],M_BOM[PPGridRow],16),0))</f>
        <v/>
      </c>
      <c r="Q26">
        <f>SUMPRODUCT((M_BOM[Part Name]=$A26)*M_BOM[RM_Qty_Per_Batch]*IFERROR(INDEX(PP_Grid[#Data],M_BOM[PPGridRow],17),0))</f>
        <v/>
      </c>
      <c r="R26">
        <f>SUMPRODUCT((M_BOM[Part Name]=$A26)*M_BOM[RM_Qty_Per_Batch]*IFERROR(INDEX(PP_Grid[#Data],M_BOM[PPGridRow],18),0))</f>
        <v/>
      </c>
      <c r="S26">
        <f>SUMPRODUCT((M_BOM[Part Name]=$A26)*M_BOM[RM_Qty_Per_Batch]*IFERROR(INDEX(PP_Grid[#Data],M_BOM[PPGridRow],19),0))</f>
        <v/>
      </c>
      <c r="T26">
        <f>SUMPRODUCT((M_BOM[Part Name]=$A26)*M_BOM[RM_Qty_Per_Batch]*IFERROR(INDEX(PP_Grid[#Data],M_BOM[PPGridRow],20),0))</f>
        <v/>
      </c>
      <c r="U26">
        <f>SUMPRODUCT((M_BOM[Part Name]=$A26)*M_BOM[RM_Qty_Per_Batch]*IFERROR(INDEX(PP_Grid[#Data],M_BOM[PPGridRow],21),0))</f>
        <v/>
      </c>
      <c r="V26">
        <f>SUMPRODUCT((M_BOM[Part Name]=$A26)*M_BOM[RM_Qty_Per_Batch]*IFERROR(INDEX(PP_Grid[#Data],M_BOM[PPGridRow],22),0))</f>
        <v/>
      </c>
      <c r="W26">
        <f>SUMPRODUCT((M_BOM[Part Name]=$A26)*M_BOM[RM_Qty_Per_Batch]*IFERROR(INDEX(PP_Grid[#Data],M_BOM[PPGridRow],23),0))</f>
        <v/>
      </c>
      <c r="X26">
        <f>SUMPRODUCT((M_BOM[Part Name]=$A26)*M_BOM[RM_Qty_Per_Batch]*IFERROR(INDEX(PP_Grid[#Data],M_BOM[PPGridRow],24),0))</f>
        <v/>
      </c>
      <c r="Y26">
        <f>SUMPRODUCT((M_BOM[Part Name]=$A26)*M_BOM[RM_Qty_Per_Batch]*IFERROR(INDEX(PP_Grid[#Data],M_BOM[PPGridRow],25),0))</f>
        <v/>
      </c>
      <c r="Z26">
        <f>SUMPRODUCT((M_BOM[Part Name]=$A26)*M_BOM[RM_Qty_Per_Batch]*IFERROR(INDEX(PP_Grid[#Data],M_BOM[PPGridRow],26),0))</f>
        <v/>
      </c>
      <c r="AA26">
        <f>SUMPRODUCT((M_BOM[Part Name]=$A26)*M_BOM[RM_Qty_Per_Batch]*IFERROR(INDEX(PP_Grid[#Data],M_BOM[PPGridRow],27),0))</f>
        <v/>
      </c>
      <c r="AB26">
        <f>SUMPRODUCT((M_BOM[Part Name]=$A26)*M_BOM[RM_Qty_Per_Batch]*IFERROR(INDEX(PP_Grid[#Data],M_BOM[PPGridRow],28),0))</f>
        <v/>
      </c>
      <c r="AC26">
        <f>SUMPRODUCT((M_BOM[Part Name]=$A26)*M_BOM[RM_Qty_Per_Batch]*IFERROR(INDEX(PP_Grid[#Data],M_BOM[PPGridRow],29),0))</f>
        <v/>
      </c>
      <c r="AD26">
        <f>SUMPRODUCT((M_BOM[Part Name]=$A26)*M_BOM[RM_Qty_Per_Batch]*IFERROR(INDEX(PP_Grid[#Data],M_BOM[PPGridRow],30),0))</f>
        <v/>
      </c>
      <c r="AE26">
        <f>SUMPRODUCT((M_BOM[Part Name]=$A26)*M_BOM[RM_Qty_Per_Batch]*IFERROR(INDEX(PP_Grid[#Data],M_BOM[PPGridRow],31),0))</f>
        <v/>
      </c>
      <c r="AF26">
        <f>SUMPRODUCT((M_BOM[Part Name]=$A26)*M_BOM[RM_Qty_Per_Batch]*IFERROR(INDEX(PP_Grid[#Data],M_BOM[PPGridRow],32),0))</f>
        <v/>
      </c>
      <c r="AG26">
        <f>SUMPRODUCT((M_BOM[Part Name]=$A26)*M_BOM[RM_Qty_Per_Batch]*IFERROR(INDEX(PP_Grid[#Data],M_BOM[PPGridRow],33),0))</f>
        <v/>
      </c>
      <c r="AH26">
        <f>SUMPRODUCT((M_BOM[Part Name]=$A26)*M_BOM[RM_Qty_Per_Batch]*IFERROR(INDEX(PP_Grid[#Data],M_BOM[PPGridRow],34),0))</f>
        <v/>
      </c>
      <c r="AI26">
        <f>SUMPRODUCT((M_BOM[Part Name]=$A26)*M_BOM[RM_Qty_Per_Batch]*IFERROR(INDEX(PP_Grid[#Data],M_BOM[PPGridRow],35),0))</f>
        <v/>
      </c>
      <c r="AJ26">
        <f>SUMPRODUCT((M_BOM[Part Name]=$A26)*M_BOM[RM_Qty_Per_Batch]*IFERROR(INDEX(PP_Grid[#Data],M_BOM[PPGridRow],36),0))</f>
        <v/>
      </c>
      <c r="AK26">
        <f>SUMPRODUCT((M_BOM[Part Name]=$A26)*M_BOM[RM_Qty_Per_Batch]*IFERROR(INDEX(PP_Grid[#Data],M_BOM[PPGridRow],37),0))</f>
        <v/>
      </c>
      <c r="AL26">
        <f>SUMPRODUCT((M_BOM[Part Name]=$A26)*M_BOM[RM_Qty_Per_Batch]*IFERROR(INDEX(PP_Grid[#Data],M_BOM[PPGridRow],38),0))</f>
        <v/>
      </c>
      <c r="AM26">
        <f>SUMPRODUCT((M_BOM[Part Name]=$A26)*M_BOM[RM_Qty_Per_Batch]*IFERROR(INDEX(PP_Grid[#Data],M_BOM[PPGridRow],39),0))</f>
        <v/>
      </c>
      <c r="AN26">
        <f>SUMPRODUCT((M_BOM[Part Name]=$A26)*M_BOM[RM_Qty_Per_Batch]*IFERROR(INDEX(PP_Grid[#Data],M_BOM[PPGridRow],40),0))</f>
        <v/>
      </c>
      <c r="AO26">
        <f>SUMPRODUCT((M_BOM[Part Name]=$A26)*M_BOM[RM_Qty_Per_Batch]*IFERROR(INDEX(PP_Grid[#Data],M_BOM[PPGridRow],41),0))</f>
        <v/>
      </c>
      <c r="AP26">
        <f>SUMPRODUCT((M_BOM[Part Name]=$A26)*M_BOM[RM_Qty_Per_Batch]*IFERROR(INDEX(PP_Grid[#Data],M_BOM[PPGridRow],42),0))</f>
        <v/>
      </c>
      <c r="AQ26">
        <f>SUMPRODUCT((M_BOM[Part Name]=$A26)*M_BOM[RM_Qty_Per_Batch]*IFERROR(INDEX(PP_Grid[#Data],M_BOM[PPGridRow],43),0))</f>
        <v/>
      </c>
      <c r="AR26">
        <f>SUMPRODUCT((M_BOM[Part Name]=$A26)*M_BOM[RM_Qty_Per_Batch]*IFERROR(INDEX(PP_Grid[#Data],M_BOM[PPGridRow],44),0))</f>
        <v/>
      </c>
      <c r="AS26">
        <f>SUMPRODUCT((M_BOM[Part Name]=$A26)*M_BOM[RM_Qty_Per_Batch]*IFERROR(INDEX(PP_Grid[#Data],M_BOM[PPGridRow],45),0))</f>
        <v/>
      </c>
      <c r="AT26">
        <f>SUMPRODUCT((M_BOM[Part Name]=$A26)*M_BOM[RM_Qty_Per_Batch]*IFERROR(INDEX(PP_Grid[#Data],M_BOM[PPGridRow],46),0))</f>
        <v/>
      </c>
      <c r="AU26">
        <f>SUMPRODUCT((M_BOM[Part Name]=$A26)*M_BOM[RM_Qty_Per_Batch]*IFERROR(INDEX(PP_Grid[#Data],M_BOM[PPGridRow],47),0))</f>
        <v/>
      </c>
      <c r="AV26">
        <f>SUMPRODUCT((M_BOM[Part Name]=$A26)*M_BOM[RM_Qty_Per_Batch]*IFERROR(INDEX(PP_Grid[#Data],M_BOM[PPGridRow],48),0))</f>
        <v/>
      </c>
      <c r="AW26">
        <f>SUMPRODUCT((M_BOM[Part Name]=$A26)*M_BOM[RM_Qty_Per_Batch]*IFERROR(INDEX(PP_Grid[#Data],M_BOM[PPGridRow],49),0))</f>
        <v/>
      </c>
      <c r="AX26">
        <f>SUMPRODUCT((M_BOM[Part Name]=$A26)*M_BOM[RM_Qty_Per_Batch]*IFERROR(INDEX(PP_Grid[#Data],M_BOM[PPGridRow],50),0))</f>
        <v/>
      </c>
      <c r="AY26">
        <f>SUMPRODUCT((M_BOM[Part Name]=$A26)*M_BOM[RM_Qty_Per_Batch]*IFERROR(INDEX(PP_Grid[#Data],M_BOM[PPGridRow],51),0))</f>
        <v/>
      </c>
      <c r="AZ26">
        <f>SUMPRODUCT((M_BOM[Part Name]=$A26)*M_BOM[RM_Qty_Per_Batch]*IFERROR(INDEX(PP_Grid[#Data],M_BOM[PPGridRow],52),0))</f>
        <v/>
      </c>
      <c r="BA26">
        <f>SUMPRODUCT((M_BOM[Part Name]=$A26)*M_BOM[RM_Qty_Per_Batch]*IFERROR(INDEX(PP_Grid[#Data],M_BOM[PPGridRow],53),0))</f>
        <v/>
      </c>
      <c r="BB26">
        <f>SUMPRODUCT((M_BOM[Part Name]=$A26)*M_BOM[RM_Qty_Per_Batch]*IFERROR(INDEX(PP_Grid[#Data],M_BOM[PPGridRow],54),0))</f>
        <v/>
      </c>
      <c r="BC26">
        <f>SUMPRODUCT((M_BOM[Part Name]=$A26)*M_BOM[RM_Qty_Per_Batch]*IFERROR(INDEX(PP_Grid[#Data],M_BOM[PPGridRow],55),0))</f>
        <v/>
      </c>
      <c r="BD26">
        <f>SUMPRODUCT((M_BOM[Part Name]=$A26)*M_BOM[RM_Qty_Per_Batch]*IFERROR(INDEX(PP_Grid[#Data],M_BOM[PPGridRow],56),0))</f>
        <v/>
      </c>
      <c r="BE26">
        <f>SUMPRODUCT((M_BOM[Part Name]=$A26)*M_BOM[RM_Qty_Per_Batch]*IFERROR(INDEX(PP_Grid[#Data],M_BOM[PPGridRow],57),0))</f>
        <v/>
      </c>
      <c r="BF26">
        <f>SUMPRODUCT((M_BOM[Part Name]=$A26)*M_BOM[RM_Qty_Per_Batch]*IFERROR(INDEX(PP_Grid[#Data],M_BOM[PPGridRow],58),0))</f>
        <v/>
      </c>
      <c r="BG26">
        <f>SUMPRODUCT((M_BOM[Part Name]=$A26)*M_BOM[RM_Qty_Per_Batch]*IFERROR(INDEX(PP_Grid[#Data],M_BOM[PPGridRow],59),0))</f>
        <v/>
      </c>
      <c r="BH26">
        <f>SUMPRODUCT((M_BOM[Part Name]=$A26)*M_BOM[RM_Qty_Per_Batch]*IFERROR(INDEX(PP_Grid[#Data],M_BOM[PPGridRow],60),0))</f>
        <v/>
      </c>
      <c r="BI26">
        <f>SUMPRODUCT((M_BOM[Part Name]=$A26)*M_BOM[RM_Qty_Per_Batch]*IFERROR(INDEX(PP_Grid[#Data],M_BOM[PPGridRow],61),0))</f>
        <v/>
      </c>
      <c r="BJ26">
        <f>SUMPRODUCT((M_BOM[Part Name]=$A26)*M_BOM[RM_Qty_Per_Batch]*IFERROR(INDEX(PP_Grid[#Data],M_BOM[PPGridRow],62),0))</f>
        <v/>
      </c>
      <c r="BK26">
        <f>SUMPRODUCT((M_BOM[Part Name]=$A26)*M_BOM[RM_Qty_Per_Batch]*IFERROR(INDEX(PP_Grid[#Data],M_BOM[PPGridRow],63),0))</f>
        <v/>
      </c>
      <c r="BL26">
        <f>SUMPRODUCT((M_BOM[Part Name]=$A26)*M_BOM[RM_Qty_Per_Batch]*IFERROR(INDEX(PP_Grid[#Data],M_BOM[PPGridRow],64),0))</f>
        <v/>
      </c>
      <c r="BM26">
        <f>SUMPRODUCT((M_BOM[Part Name]=$A26)*M_BOM[RM_Qty_Per_Batch]*IFERROR(INDEX(PP_Grid[#Data],M_BOM[PPGridRow],65),0))</f>
        <v/>
      </c>
      <c r="BN26">
        <f>SUMPRODUCT((M_BOM[Part Name]=$A26)*M_BOM[RM_Qty_Per_Batch]*IFERROR(INDEX(PP_Grid[#Data],M_BOM[PPGridRow],66),0))</f>
        <v/>
      </c>
      <c r="BO26">
        <f>SUMPRODUCT((M_BOM[Part Name]=$A26)*M_BOM[RM_Qty_Per_Batch]*IFERROR(INDEX(PP_Grid[#Data],M_BOM[PPGridRow],67),0))</f>
        <v/>
      </c>
      <c r="BP26">
        <f>SUMPRODUCT((M_BOM[Part Name]=$A26)*M_BOM[RM_Qty_Per_Batch]*IFERROR(INDEX(PP_Grid[#Data],M_BOM[PPGridRow],68),0))</f>
        <v/>
      </c>
      <c r="BQ26">
        <f>SUMPRODUCT((M_BOM[Part Name]=$A26)*M_BOM[RM_Qty_Per_Batch]*IFERROR(INDEX(PP_Grid[#Data],M_BOM[PPGridRow],69),0))</f>
        <v/>
      </c>
      <c r="BR26">
        <f>SUMPRODUCT((M_BOM[Part Name]=$A26)*M_BOM[RM_Qty_Per_Batch]*IFERROR(INDEX(PP_Grid[#Data],M_BOM[PPGridRow],70),0))</f>
        <v/>
      </c>
      <c r="BS26">
        <f>SUMPRODUCT((M_BOM[Part Name]=$A26)*M_BOM[RM_Qty_Per_Batch]*IFERROR(INDEX(PP_Grid[#Data],M_BOM[PPGridRow],71),0))</f>
        <v/>
      </c>
      <c r="BT26">
        <f>SUMPRODUCT((M_BOM[Part Name]=$A26)*M_BOM[RM_Qty_Per_Batch]*IFERROR(INDEX(PP_Grid[#Data],M_BOM[PPGridRow],72),0))</f>
        <v/>
      </c>
      <c r="BU26">
        <f>SUMPRODUCT((M_BOM[Part Name]=$A26)*M_BOM[RM_Qty_Per_Batch]*IFERROR(INDEX(PP_Grid[#Data],M_BOM[PPGridRow],73),0))</f>
        <v/>
      </c>
      <c r="BV26">
        <f>SUMPRODUCT((M_BOM[Part Name]=$A26)*M_BOM[RM_Qty_Per_Batch]*IFERROR(INDEX(PP_Grid[#Data],M_BOM[PPGridRow],74),0))</f>
        <v/>
      </c>
      <c r="BW26">
        <f>SUMPRODUCT((M_BOM[Part Name]=$A26)*M_BOM[RM_Qty_Per_Batch]*IFERROR(INDEX(PP_Grid[#Data],M_BOM[PPGridRow],75),0))</f>
        <v/>
      </c>
      <c r="BX26">
        <f>SUMPRODUCT((M_BOM[Part Name]=$A26)*M_BOM[RM_Qty_Per_Batch]*IFERROR(INDEX(PP_Grid[#Data],M_BOM[PPGridRow],76),0))</f>
        <v/>
      </c>
      <c r="BY26">
        <f>SUMPRODUCT((M_BOM[Part Name]=$A26)*M_BOM[RM_Qty_Per_Batch]*IFERROR(INDEX(PP_Grid[#Data],M_BOM[PPGridRow],77),0))</f>
        <v/>
      </c>
      <c r="BZ26">
        <f>SUMPRODUCT((M_BOM[Part Name]=$A26)*M_BOM[RM_Qty_Per_Batch]*IFERROR(INDEX(PP_Grid[#Data],M_BOM[PPGridRow],78),0))</f>
        <v/>
      </c>
      <c r="CA26">
        <f>SUMPRODUCT((M_BOM[Part Name]=$A26)*M_BOM[RM_Qty_Per_Batch]*IFERROR(INDEX(PP_Grid[#Data],M_BOM[PPGridRow],79),0))</f>
        <v/>
      </c>
      <c r="CB26">
        <f>SUMPRODUCT((M_BOM[Part Name]=$A26)*M_BOM[RM_Qty_Per_Batch]*IFERROR(INDEX(PP_Grid[#Data],M_BOM[PPGridRow],80),0))</f>
        <v/>
      </c>
      <c r="CC26">
        <f>SUMPRODUCT((M_BOM[Part Name]=$A26)*M_BOM[RM_Qty_Per_Batch]*IFERROR(INDEX(PP_Grid[#Data],M_BOM[PPGridRow],81),0))</f>
        <v/>
      </c>
      <c r="CD26">
        <f>SUMPRODUCT((M_BOM[Part Name]=$A26)*M_BOM[RM_Qty_Per_Batch]*IFERROR(INDEX(PP_Grid[#Data],M_BOM[PPGridRow],82),0))</f>
        <v/>
      </c>
      <c r="CE26">
        <f>SUMPRODUCT((M_BOM[Part Name]=$A26)*M_BOM[RM_Qty_Per_Batch]*IFERROR(INDEX(PP_Grid[#Data],M_BOM[PPGridRow],83),0))</f>
        <v/>
      </c>
      <c r="CF26">
        <f>SUMPRODUCT((M_BOM[Part Name]=$A26)*M_BOM[RM_Qty_Per_Batch]*IFERROR(INDEX(PP_Grid[#Data],M_BOM[PPGridRow],84),0))</f>
        <v/>
      </c>
      <c r="CG26">
        <f>SUMPRODUCT((M_BOM[Part Name]=$A26)*M_BOM[RM_Qty_Per_Batch]*IFERROR(INDEX(PP_Grid[#Data],M_BOM[PPGridRow],85),0))</f>
        <v/>
      </c>
      <c r="CH26">
        <f>SUMPRODUCT((M_BOM[Part Name]=$A26)*M_BOM[RM_Qty_Per_Batch]*IFERROR(INDEX(PP_Grid[#Data],M_BOM[PPGridRow],86),0))</f>
        <v/>
      </c>
      <c r="CI26">
        <f>SUMPRODUCT((M_BOM[Part Name]=$A26)*M_BOM[RM_Qty_Per_Batch]*IFERROR(INDEX(PP_Grid[#Data],M_BOM[PPGridRow],87),0))</f>
        <v/>
      </c>
      <c r="CJ26">
        <f>SUMPRODUCT((M_BOM[Part Name]=$A26)*M_BOM[RM_Qty_Per_Batch]*IFERROR(INDEX(PP_Grid[#Data],M_BOM[PPGridRow],88),0))</f>
        <v/>
      </c>
      <c r="CK26">
        <f>SUMPRODUCT((M_BOM[Part Name]=$A26)*M_BOM[RM_Qty_Per_Batch]*IFERROR(INDEX(PP_Grid[#Data],M_BOM[PPGridRow],89),0))</f>
        <v/>
      </c>
      <c r="CL26">
        <f>SUMPRODUCT((M_BOM[Part Name]=$A26)*M_BOM[RM_Qty_Per_Batch]*IFERROR(INDEX(PP_Grid[#Data],M_BOM[PPGridRow],90),0))</f>
        <v/>
      </c>
      <c r="CM26">
        <f>SUMPRODUCT((M_BOM[Part Name]=$A26)*M_BOM[RM_Qty_Per_Batch]*IFERROR(INDEX(PP_Grid[#Data],M_BOM[PPGridRow],91),0))</f>
        <v/>
      </c>
      <c r="CN26">
        <f>SUMPRODUCT((M_BOM[Part Name]=$A26)*M_BOM[RM_Qty_Per_Batch]*IFERROR(INDEX(PP_Grid[#Data],M_BOM[PPGridRow],92),0))</f>
        <v/>
      </c>
      <c r="CO26">
        <f>SUMPRODUCT((M_BOM[Part Name]=$A26)*M_BOM[RM_Qty_Per_Batch]*IFERROR(INDEX(PP_Grid[#Data],M_BOM[PPGridRow],93),0))</f>
        <v/>
      </c>
      <c r="CP26">
        <f>SUMPRODUCT((M_BOM[Part Name]=$A26)*M_BOM[RM_Qty_Per_Batch]*IFERROR(INDEX(PP_Grid[#Data],M_BOM[PPGridRow],94),0))</f>
        <v/>
      </c>
      <c r="CQ26">
        <f>SUMPRODUCT((M_BOM[Part Name]=$A26)*M_BOM[RM_Qty_Per_Batch]*IFERROR(INDEX(PP_Grid[#Data],M_BOM[PPGridRow],95),0))</f>
        <v/>
      </c>
      <c r="CR26">
        <f>SUMPRODUCT((M_BOM[Part Name]=$A26)*M_BOM[RM_Qty_Per_Batch]*IFERROR(INDEX(PP_Grid[#Data],M_BOM[PPGridRow],96),0))</f>
        <v/>
      </c>
      <c r="CS26">
        <f>SUMPRODUCT((M_BOM[Part Name]=$A26)*M_BOM[RM_Qty_Per_Batch]*IFERROR(INDEX(PP_Grid[#Data],M_BOM[PPGridRow],97),0))</f>
        <v/>
      </c>
      <c r="CT26">
        <f>SUMPRODUCT((M_BOM[Part Name]=$A26)*M_BOM[RM_Qty_Per_Batch]*IFERROR(INDEX(PP_Grid[#Data],M_BOM[PPGridRow],98),0))</f>
        <v/>
      </c>
      <c r="CU26">
        <f>SUMPRODUCT((M_BOM[Part Name]=$A26)*M_BOM[RM_Qty_Per_Batch]*IFERROR(INDEX(PP_Grid[#Data],M_BOM[PPGridRow],99),0))</f>
        <v/>
      </c>
      <c r="CV26">
        <f>SUMPRODUCT((M_BOM[Part Name]=$A26)*M_BOM[RM_Qty_Per_Batch]*IFERROR(INDEX(PP_Grid[#Data],M_BOM[PPGridRow],100),0))</f>
        <v/>
      </c>
      <c r="CW26">
        <f>SUMPRODUCT((M_BOM[Part Name]=$A26)*M_BOM[RM_Qty_Per_Batch]*IFERROR(INDEX(PP_Grid[#Data],M_BOM[PPGridRow],101),0))</f>
        <v/>
      </c>
      <c r="CX26">
        <f>SUMPRODUCT((M_BOM[Part Name]=$A26)*M_BOM[RM_Qty_Per_Batch]*IFERROR(INDEX(PP_Grid[#Data],M_BOM[PPGridRow],102),0))</f>
        <v/>
      </c>
      <c r="CY26">
        <f>SUMPRODUCT((M_BOM[Part Name]=$A26)*M_BOM[RM_Qty_Per_Batch]*IFERROR(INDEX(PP_Grid[#Data],M_BOM[PPGridRow],103),0))</f>
        <v/>
      </c>
      <c r="CZ26">
        <f>SUMPRODUCT((M_BOM[Part Name]=$A26)*M_BOM[RM_Qty_Per_Batch]*IFERROR(INDEX(PP_Grid[#Data],M_BOM[PPGridRow],104),0))</f>
        <v/>
      </c>
      <c r="DA26">
        <f>SUMPRODUCT((M_BOM[Part Name]=$A26)*M_BOM[RM_Qty_Per_Batch]*IFERROR(INDEX(PP_Grid[#Data],M_BOM[PPGridRow],105),0))</f>
        <v/>
      </c>
    </row>
    <row r="27">
      <c r="A27" t="inlineStr">
        <is>
          <t>CHEM-1680</t>
        </is>
      </c>
      <c r="B27">
        <f>SUMPRODUCT((M_BOM[Part Name]=$A27)*M_BOM[RM_Qty_Per_Batch]*IFERROR(INDEX(PP_Grid[#Data],M_BOM[PPGridRow],2),0))</f>
        <v/>
      </c>
      <c r="C27">
        <f>SUMPRODUCT((M_BOM[Part Name]=$A27)*M_BOM[RM_Qty_Per_Batch]*IFERROR(INDEX(PP_Grid[#Data],M_BOM[PPGridRow],3),0))</f>
        <v/>
      </c>
      <c r="D27">
        <f>SUMPRODUCT((M_BOM[Part Name]=$A27)*M_BOM[RM_Qty_Per_Batch]*IFERROR(INDEX(PP_Grid[#Data],M_BOM[PPGridRow],4),0))</f>
        <v/>
      </c>
      <c r="E27">
        <f>SUMPRODUCT((M_BOM[Part Name]=$A27)*M_BOM[RM_Qty_Per_Batch]*IFERROR(INDEX(PP_Grid[#Data],M_BOM[PPGridRow],5),0))</f>
        <v/>
      </c>
      <c r="F27">
        <f>SUMPRODUCT((M_BOM[Part Name]=$A27)*M_BOM[RM_Qty_Per_Batch]*IFERROR(INDEX(PP_Grid[#Data],M_BOM[PPGridRow],6),0))</f>
        <v/>
      </c>
      <c r="G27">
        <f>SUMPRODUCT((M_BOM[Part Name]=$A27)*M_BOM[RM_Qty_Per_Batch]*IFERROR(INDEX(PP_Grid[#Data],M_BOM[PPGridRow],7),0))</f>
        <v/>
      </c>
      <c r="H27">
        <f>SUMPRODUCT((M_BOM[Part Name]=$A27)*M_BOM[RM_Qty_Per_Batch]*IFERROR(INDEX(PP_Grid[#Data],M_BOM[PPGridRow],8),0))</f>
        <v/>
      </c>
      <c r="I27">
        <f>SUMPRODUCT((M_BOM[Part Name]=$A27)*M_BOM[RM_Qty_Per_Batch]*IFERROR(INDEX(PP_Grid[#Data],M_BOM[PPGridRow],9),0))</f>
        <v/>
      </c>
      <c r="J27">
        <f>SUMPRODUCT((M_BOM[Part Name]=$A27)*M_BOM[RM_Qty_Per_Batch]*IFERROR(INDEX(PP_Grid[#Data],M_BOM[PPGridRow],10),0))</f>
        <v/>
      </c>
      <c r="K27">
        <f>SUMPRODUCT((M_BOM[Part Name]=$A27)*M_BOM[RM_Qty_Per_Batch]*IFERROR(INDEX(PP_Grid[#Data],M_BOM[PPGridRow],11),0))</f>
        <v/>
      </c>
      <c r="L27">
        <f>SUMPRODUCT((M_BOM[Part Name]=$A27)*M_BOM[RM_Qty_Per_Batch]*IFERROR(INDEX(PP_Grid[#Data],M_BOM[PPGridRow],12),0))</f>
        <v/>
      </c>
      <c r="M27">
        <f>SUMPRODUCT((M_BOM[Part Name]=$A27)*M_BOM[RM_Qty_Per_Batch]*IFERROR(INDEX(PP_Grid[#Data],M_BOM[PPGridRow],13),0))</f>
        <v/>
      </c>
      <c r="N27">
        <f>SUMPRODUCT((M_BOM[Part Name]=$A27)*M_BOM[RM_Qty_Per_Batch]*IFERROR(INDEX(PP_Grid[#Data],M_BOM[PPGridRow],14),0))</f>
        <v/>
      </c>
      <c r="O27">
        <f>SUMPRODUCT((M_BOM[Part Name]=$A27)*M_BOM[RM_Qty_Per_Batch]*IFERROR(INDEX(PP_Grid[#Data],M_BOM[PPGridRow],15),0))</f>
        <v/>
      </c>
      <c r="P27">
        <f>SUMPRODUCT((M_BOM[Part Name]=$A27)*M_BOM[RM_Qty_Per_Batch]*IFERROR(INDEX(PP_Grid[#Data],M_BOM[PPGridRow],16),0))</f>
        <v/>
      </c>
      <c r="Q27">
        <f>SUMPRODUCT((M_BOM[Part Name]=$A27)*M_BOM[RM_Qty_Per_Batch]*IFERROR(INDEX(PP_Grid[#Data],M_BOM[PPGridRow],17),0))</f>
        <v/>
      </c>
      <c r="R27">
        <f>SUMPRODUCT((M_BOM[Part Name]=$A27)*M_BOM[RM_Qty_Per_Batch]*IFERROR(INDEX(PP_Grid[#Data],M_BOM[PPGridRow],18),0))</f>
        <v/>
      </c>
      <c r="S27">
        <f>SUMPRODUCT((M_BOM[Part Name]=$A27)*M_BOM[RM_Qty_Per_Batch]*IFERROR(INDEX(PP_Grid[#Data],M_BOM[PPGridRow],19),0))</f>
        <v/>
      </c>
      <c r="T27">
        <f>SUMPRODUCT((M_BOM[Part Name]=$A27)*M_BOM[RM_Qty_Per_Batch]*IFERROR(INDEX(PP_Grid[#Data],M_BOM[PPGridRow],20),0))</f>
        <v/>
      </c>
      <c r="U27">
        <f>SUMPRODUCT((M_BOM[Part Name]=$A27)*M_BOM[RM_Qty_Per_Batch]*IFERROR(INDEX(PP_Grid[#Data],M_BOM[PPGridRow],21),0))</f>
        <v/>
      </c>
      <c r="V27">
        <f>SUMPRODUCT((M_BOM[Part Name]=$A27)*M_BOM[RM_Qty_Per_Batch]*IFERROR(INDEX(PP_Grid[#Data],M_BOM[PPGridRow],22),0))</f>
        <v/>
      </c>
      <c r="W27">
        <f>SUMPRODUCT((M_BOM[Part Name]=$A27)*M_BOM[RM_Qty_Per_Batch]*IFERROR(INDEX(PP_Grid[#Data],M_BOM[PPGridRow],23),0))</f>
        <v/>
      </c>
      <c r="X27">
        <f>SUMPRODUCT((M_BOM[Part Name]=$A27)*M_BOM[RM_Qty_Per_Batch]*IFERROR(INDEX(PP_Grid[#Data],M_BOM[PPGridRow],24),0))</f>
        <v/>
      </c>
      <c r="Y27">
        <f>SUMPRODUCT((M_BOM[Part Name]=$A27)*M_BOM[RM_Qty_Per_Batch]*IFERROR(INDEX(PP_Grid[#Data],M_BOM[PPGridRow],25),0))</f>
        <v/>
      </c>
      <c r="Z27">
        <f>SUMPRODUCT((M_BOM[Part Name]=$A27)*M_BOM[RM_Qty_Per_Batch]*IFERROR(INDEX(PP_Grid[#Data],M_BOM[PPGridRow],26),0))</f>
        <v/>
      </c>
      <c r="AA27">
        <f>SUMPRODUCT((M_BOM[Part Name]=$A27)*M_BOM[RM_Qty_Per_Batch]*IFERROR(INDEX(PP_Grid[#Data],M_BOM[PPGridRow],27),0))</f>
        <v/>
      </c>
      <c r="AB27">
        <f>SUMPRODUCT((M_BOM[Part Name]=$A27)*M_BOM[RM_Qty_Per_Batch]*IFERROR(INDEX(PP_Grid[#Data],M_BOM[PPGridRow],28),0))</f>
        <v/>
      </c>
      <c r="AC27">
        <f>SUMPRODUCT((M_BOM[Part Name]=$A27)*M_BOM[RM_Qty_Per_Batch]*IFERROR(INDEX(PP_Grid[#Data],M_BOM[PPGridRow],29),0))</f>
        <v/>
      </c>
      <c r="AD27">
        <f>SUMPRODUCT((M_BOM[Part Name]=$A27)*M_BOM[RM_Qty_Per_Batch]*IFERROR(INDEX(PP_Grid[#Data],M_BOM[PPGridRow],30),0))</f>
        <v/>
      </c>
      <c r="AE27">
        <f>SUMPRODUCT((M_BOM[Part Name]=$A27)*M_BOM[RM_Qty_Per_Batch]*IFERROR(INDEX(PP_Grid[#Data],M_BOM[PPGridRow],31),0))</f>
        <v/>
      </c>
      <c r="AF27">
        <f>SUMPRODUCT((M_BOM[Part Name]=$A27)*M_BOM[RM_Qty_Per_Batch]*IFERROR(INDEX(PP_Grid[#Data],M_BOM[PPGridRow],32),0))</f>
        <v/>
      </c>
      <c r="AG27">
        <f>SUMPRODUCT((M_BOM[Part Name]=$A27)*M_BOM[RM_Qty_Per_Batch]*IFERROR(INDEX(PP_Grid[#Data],M_BOM[PPGridRow],33),0))</f>
        <v/>
      </c>
      <c r="AH27">
        <f>SUMPRODUCT((M_BOM[Part Name]=$A27)*M_BOM[RM_Qty_Per_Batch]*IFERROR(INDEX(PP_Grid[#Data],M_BOM[PPGridRow],34),0))</f>
        <v/>
      </c>
      <c r="AI27">
        <f>SUMPRODUCT((M_BOM[Part Name]=$A27)*M_BOM[RM_Qty_Per_Batch]*IFERROR(INDEX(PP_Grid[#Data],M_BOM[PPGridRow],35),0))</f>
        <v/>
      </c>
      <c r="AJ27">
        <f>SUMPRODUCT((M_BOM[Part Name]=$A27)*M_BOM[RM_Qty_Per_Batch]*IFERROR(INDEX(PP_Grid[#Data],M_BOM[PPGridRow],36),0))</f>
        <v/>
      </c>
      <c r="AK27">
        <f>SUMPRODUCT((M_BOM[Part Name]=$A27)*M_BOM[RM_Qty_Per_Batch]*IFERROR(INDEX(PP_Grid[#Data],M_BOM[PPGridRow],37),0))</f>
        <v/>
      </c>
      <c r="AL27">
        <f>SUMPRODUCT((M_BOM[Part Name]=$A27)*M_BOM[RM_Qty_Per_Batch]*IFERROR(INDEX(PP_Grid[#Data],M_BOM[PPGridRow],38),0))</f>
        <v/>
      </c>
      <c r="AM27">
        <f>SUMPRODUCT((M_BOM[Part Name]=$A27)*M_BOM[RM_Qty_Per_Batch]*IFERROR(INDEX(PP_Grid[#Data],M_BOM[PPGridRow],39),0))</f>
        <v/>
      </c>
      <c r="AN27">
        <f>SUMPRODUCT((M_BOM[Part Name]=$A27)*M_BOM[RM_Qty_Per_Batch]*IFERROR(INDEX(PP_Grid[#Data],M_BOM[PPGridRow],40),0))</f>
        <v/>
      </c>
      <c r="AO27">
        <f>SUMPRODUCT((M_BOM[Part Name]=$A27)*M_BOM[RM_Qty_Per_Batch]*IFERROR(INDEX(PP_Grid[#Data],M_BOM[PPGridRow],41),0))</f>
        <v/>
      </c>
      <c r="AP27">
        <f>SUMPRODUCT((M_BOM[Part Name]=$A27)*M_BOM[RM_Qty_Per_Batch]*IFERROR(INDEX(PP_Grid[#Data],M_BOM[PPGridRow],42),0))</f>
        <v/>
      </c>
      <c r="AQ27">
        <f>SUMPRODUCT((M_BOM[Part Name]=$A27)*M_BOM[RM_Qty_Per_Batch]*IFERROR(INDEX(PP_Grid[#Data],M_BOM[PPGridRow],43),0))</f>
        <v/>
      </c>
      <c r="AR27">
        <f>SUMPRODUCT((M_BOM[Part Name]=$A27)*M_BOM[RM_Qty_Per_Batch]*IFERROR(INDEX(PP_Grid[#Data],M_BOM[PPGridRow],44),0))</f>
        <v/>
      </c>
      <c r="AS27">
        <f>SUMPRODUCT((M_BOM[Part Name]=$A27)*M_BOM[RM_Qty_Per_Batch]*IFERROR(INDEX(PP_Grid[#Data],M_BOM[PPGridRow],45),0))</f>
        <v/>
      </c>
      <c r="AT27">
        <f>SUMPRODUCT((M_BOM[Part Name]=$A27)*M_BOM[RM_Qty_Per_Batch]*IFERROR(INDEX(PP_Grid[#Data],M_BOM[PPGridRow],46),0))</f>
        <v/>
      </c>
      <c r="AU27">
        <f>SUMPRODUCT((M_BOM[Part Name]=$A27)*M_BOM[RM_Qty_Per_Batch]*IFERROR(INDEX(PP_Grid[#Data],M_BOM[PPGridRow],47),0))</f>
        <v/>
      </c>
      <c r="AV27">
        <f>SUMPRODUCT((M_BOM[Part Name]=$A27)*M_BOM[RM_Qty_Per_Batch]*IFERROR(INDEX(PP_Grid[#Data],M_BOM[PPGridRow],48),0))</f>
        <v/>
      </c>
      <c r="AW27">
        <f>SUMPRODUCT((M_BOM[Part Name]=$A27)*M_BOM[RM_Qty_Per_Batch]*IFERROR(INDEX(PP_Grid[#Data],M_BOM[PPGridRow],49),0))</f>
        <v/>
      </c>
      <c r="AX27">
        <f>SUMPRODUCT((M_BOM[Part Name]=$A27)*M_BOM[RM_Qty_Per_Batch]*IFERROR(INDEX(PP_Grid[#Data],M_BOM[PPGridRow],50),0))</f>
        <v/>
      </c>
      <c r="AY27">
        <f>SUMPRODUCT((M_BOM[Part Name]=$A27)*M_BOM[RM_Qty_Per_Batch]*IFERROR(INDEX(PP_Grid[#Data],M_BOM[PPGridRow],51),0))</f>
        <v/>
      </c>
      <c r="AZ27">
        <f>SUMPRODUCT((M_BOM[Part Name]=$A27)*M_BOM[RM_Qty_Per_Batch]*IFERROR(INDEX(PP_Grid[#Data],M_BOM[PPGridRow],52),0))</f>
        <v/>
      </c>
      <c r="BA27">
        <f>SUMPRODUCT((M_BOM[Part Name]=$A27)*M_BOM[RM_Qty_Per_Batch]*IFERROR(INDEX(PP_Grid[#Data],M_BOM[PPGridRow],53),0))</f>
        <v/>
      </c>
      <c r="BB27">
        <f>SUMPRODUCT((M_BOM[Part Name]=$A27)*M_BOM[RM_Qty_Per_Batch]*IFERROR(INDEX(PP_Grid[#Data],M_BOM[PPGridRow],54),0))</f>
        <v/>
      </c>
      <c r="BC27">
        <f>SUMPRODUCT((M_BOM[Part Name]=$A27)*M_BOM[RM_Qty_Per_Batch]*IFERROR(INDEX(PP_Grid[#Data],M_BOM[PPGridRow],55),0))</f>
        <v/>
      </c>
      <c r="BD27">
        <f>SUMPRODUCT((M_BOM[Part Name]=$A27)*M_BOM[RM_Qty_Per_Batch]*IFERROR(INDEX(PP_Grid[#Data],M_BOM[PPGridRow],56),0))</f>
        <v/>
      </c>
      <c r="BE27">
        <f>SUMPRODUCT((M_BOM[Part Name]=$A27)*M_BOM[RM_Qty_Per_Batch]*IFERROR(INDEX(PP_Grid[#Data],M_BOM[PPGridRow],57),0))</f>
        <v/>
      </c>
      <c r="BF27">
        <f>SUMPRODUCT((M_BOM[Part Name]=$A27)*M_BOM[RM_Qty_Per_Batch]*IFERROR(INDEX(PP_Grid[#Data],M_BOM[PPGridRow],58),0))</f>
        <v/>
      </c>
      <c r="BG27">
        <f>SUMPRODUCT((M_BOM[Part Name]=$A27)*M_BOM[RM_Qty_Per_Batch]*IFERROR(INDEX(PP_Grid[#Data],M_BOM[PPGridRow],59),0))</f>
        <v/>
      </c>
      <c r="BH27">
        <f>SUMPRODUCT((M_BOM[Part Name]=$A27)*M_BOM[RM_Qty_Per_Batch]*IFERROR(INDEX(PP_Grid[#Data],M_BOM[PPGridRow],60),0))</f>
        <v/>
      </c>
      <c r="BI27">
        <f>SUMPRODUCT((M_BOM[Part Name]=$A27)*M_BOM[RM_Qty_Per_Batch]*IFERROR(INDEX(PP_Grid[#Data],M_BOM[PPGridRow],61),0))</f>
        <v/>
      </c>
      <c r="BJ27">
        <f>SUMPRODUCT((M_BOM[Part Name]=$A27)*M_BOM[RM_Qty_Per_Batch]*IFERROR(INDEX(PP_Grid[#Data],M_BOM[PPGridRow],62),0))</f>
        <v/>
      </c>
      <c r="BK27">
        <f>SUMPRODUCT((M_BOM[Part Name]=$A27)*M_BOM[RM_Qty_Per_Batch]*IFERROR(INDEX(PP_Grid[#Data],M_BOM[PPGridRow],63),0))</f>
        <v/>
      </c>
      <c r="BL27">
        <f>SUMPRODUCT((M_BOM[Part Name]=$A27)*M_BOM[RM_Qty_Per_Batch]*IFERROR(INDEX(PP_Grid[#Data],M_BOM[PPGridRow],64),0))</f>
        <v/>
      </c>
      <c r="BM27">
        <f>SUMPRODUCT((M_BOM[Part Name]=$A27)*M_BOM[RM_Qty_Per_Batch]*IFERROR(INDEX(PP_Grid[#Data],M_BOM[PPGridRow],65),0))</f>
        <v/>
      </c>
      <c r="BN27">
        <f>SUMPRODUCT((M_BOM[Part Name]=$A27)*M_BOM[RM_Qty_Per_Batch]*IFERROR(INDEX(PP_Grid[#Data],M_BOM[PPGridRow],66),0))</f>
        <v/>
      </c>
      <c r="BO27">
        <f>SUMPRODUCT((M_BOM[Part Name]=$A27)*M_BOM[RM_Qty_Per_Batch]*IFERROR(INDEX(PP_Grid[#Data],M_BOM[PPGridRow],67),0))</f>
        <v/>
      </c>
      <c r="BP27">
        <f>SUMPRODUCT((M_BOM[Part Name]=$A27)*M_BOM[RM_Qty_Per_Batch]*IFERROR(INDEX(PP_Grid[#Data],M_BOM[PPGridRow],68),0))</f>
        <v/>
      </c>
      <c r="BQ27">
        <f>SUMPRODUCT((M_BOM[Part Name]=$A27)*M_BOM[RM_Qty_Per_Batch]*IFERROR(INDEX(PP_Grid[#Data],M_BOM[PPGridRow],69),0))</f>
        <v/>
      </c>
      <c r="BR27">
        <f>SUMPRODUCT((M_BOM[Part Name]=$A27)*M_BOM[RM_Qty_Per_Batch]*IFERROR(INDEX(PP_Grid[#Data],M_BOM[PPGridRow],70),0))</f>
        <v/>
      </c>
      <c r="BS27">
        <f>SUMPRODUCT((M_BOM[Part Name]=$A27)*M_BOM[RM_Qty_Per_Batch]*IFERROR(INDEX(PP_Grid[#Data],M_BOM[PPGridRow],71),0))</f>
        <v/>
      </c>
      <c r="BT27">
        <f>SUMPRODUCT((M_BOM[Part Name]=$A27)*M_BOM[RM_Qty_Per_Batch]*IFERROR(INDEX(PP_Grid[#Data],M_BOM[PPGridRow],72),0))</f>
        <v/>
      </c>
      <c r="BU27">
        <f>SUMPRODUCT((M_BOM[Part Name]=$A27)*M_BOM[RM_Qty_Per_Batch]*IFERROR(INDEX(PP_Grid[#Data],M_BOM[PPGridRow],73),0))</f>
        <v/>
      </c>
      <c r="BV27">
        <f>SUMPRODUCT((M_BOM[Part Name]=$A27)*M_BOM[RM_Qty_Per_Batch]*IFERROR(INDEX(PP_Grid[#Data],M_BOM[PPGridRow],74),0))</f>
        <v/>
      </c>
      <c r="BW27">
        <f>SUMPRODUCT((M_BOM[Part Name]=$A27)*M_BOM[RM_Qty_Per_Batch]*IFERROR(INDEX(PP_Grid[#Data],M_BOM[PPGridRow],75),0))</f>
        <v/>
      </c>
      <c r="BX27">
        <f>SUMPRODUCT((M_BOM[Part Name]=$A27)*M_BOM[RM_Qty_Per_Batch]*IFERROR(INDEX(PP_Grid[#Data],M_BOM[PPGridRow],76),0))</f>
        <v/>
      </c>
      <c r="BY27">
        <f>SUMPRODUCT((M_BOM[Part Name]=$A27)*M_BOM[RM_Qty_Per_Batch]*IFERROR(INDEX(PP_Grid[#Data],M_BOM[PPGridRow],77),0))</f>
        <v/>
      </c>
      <c r="BZ27">
        <f>SUMPRODUCT((M_BOM[Part Name]=$A27)*M_BOM[RM_Qty_Per_Batch]*IFERROR(INDEX(PP_Grid[#Data],M_BOM[PPGridRow],78),0))</f>
        <v/>
      </c>
      <c r="CA27">
        <f>SUMPRODUCT((M_BOM[Part Name]=$A27)*M_BOM[RM_Qty_Per_Batch]*IFERROR(INDEX(PP_Grid[#Data],M_BOM[PPGridRow],79),0))</f>
        <v/>
      </c>
      <c r="CB27">
        <f>SUMPRODUCT((M_BOM[Part Name]=$A27)*M_BOM[RM_Qty_Per_Batch]*IFERROR(INDEX(PP_Grid[#Data],M_BOM[PPGridRow],80),0))</f>
        <v/>
      </c>
      <c r="CC27">
        <f>SUMPRODUCT((M_BOM[Part Name]=$A27)*M_BOM[RM_Qty_Per_Batch]*IFERROR(INDEX(PP_Grid[#Data],M_BOM[PPGridRow],81),0))</f>
        <v/>
      </c>
      <c r="CD27">
        <f>SUMPRODUCT((M_BOM[Part Name]=$A27)*M_BOM[RM_Qty_Per_Batch]*IFERROR(INDEX(PP_Grid[#Data],M_BOM[PPGridRow],82),0))</f>
        <v/>
      </c>
      <c r="CE27">
        <f>SUMPRODUCT((M_BOM[Part Name]=$A27)*M_BOM[RM_Qty_Per_Batch]*IFERROR(INDEX(PP_Grid[#Data],M_BOM[PPGridRow],83),0))</f>
        <v/>
      </c>
      <c r="CF27">
        <f>SUMPRODUCT((M_BOM[Part Name]=$A27)*M_BOM[RM_Qty_Per_Batch]*IFERROR(INDEX(PP_Grid[#Data],M_BOM[PPGridRow],84),0))</f>
        <v/>
      </c>
      <c r="CG27">
        <f>SUMPRODUCT((M_BOM[Part Name]=$A27)*M_BOM[RM_Qty_Per_Batch]*IFERROR(INDEX(PP_Grid[#Data],M_BOM[PPGridRow],85),0))</f>
        <v/>
      </c>
      <c r="CH27">
        <f>SUMPRODUCT((M_BOM[Part Name]=$A27)*M_BOM[RM_Qty_Per_Batch]*IFERROR(INDEX(PP_Grid[#Data],M_BOM[PPGridRow],86),0))</f>
        <v/>
      </c>
      <c r="CI27">
        <f>SUMPRODUCT((M_BOM[Part Name]=$A27)*M_BOM[RM_Qty_Per_Batch]*IFERROR(INDEX(PP_Grid[#Data],M_BOM[PPGridRow],87),0))</f>
        <v/>
      </c>
      <c r="CJ27">
        <f>SUMPRODUCT((M_BOM[Part Name]=$A27)*M_BOM[RM_Qty_Per_Batch]*IFERROR(INDEX(PP_Grid[#Data],M_BOM[PPGridRow],88),0))</f>
        <v/>
      </c>
      <c r="CK27">
        <f>SUMPRODUCT((M_BOM[Part Name]=$A27)*M_BOM[RM_Qty_Per_Batch]*IFERROR(INDEX(PP_Grid[#Data],M_BOM[PPGridRow],89),0))</f>
        <v/>
      </c>
      <c r="CL27">
        <f>SUMPRODUCT((M_BOM[Part Name]=$A27)*M_BOM[RM_Qty_Per_Batch]*IFERROR(INDEX(PP_Grid[#Data],M_BOM[PPGridRow],90),0))</f>
        <v/>
      </c>
      <c r="CM27">
        <f>SUMPRODUCT((M_BOM[Part Name]=$A27)*M_BOM[RM_Qty_Per_Batch]*IFERROR(INDEX(PP_Grid[#Data],M_BOM[PPGridRow],91),0))</f>
        <v/>
      </c>
      <c r="CN27">
        <f>SUMPRODUCT((M_BOM[Part Name]=$A27)*M_BOM[RM_Qty_Per_Batch]*IFERROR(INDEX(PP_Grid[#Data],M_BOM[PPGridRow],92),0))</f>
        <v/>
      </c>
      <c r="CO27">
        <f>SUMPRODUCT((M_BOM[Part Name]=$A27)*M_BOM[RM_Qty_Per_Batch]*IFERROR(INDEX(PP_Grid[#Data],M_BOM[PPGridRow],93),0))</f>
        <v/>
      </c>
      <c r="CP27">
        <f>SUMPRODUCT((M_BOM[Part Name]=$A27)*M_BOM[RM_Qty_Per_Batch]*IFERROR(INDEX(PP_Grid[#Data],M_BOM[PPGridRow],94),0))</f>
        <v/>
      </c>
      <c r="CQ27">
        <f>SUMPRODUCT((M_BOM[Part Name]=$A27)*M_BOM[RM_Qty_Per_Batch]*IFERROR(INDEX(PP_Grid[#Data],M_BOM[PPGridRow],95),0))</f>
        <v/>
      </c>
      <c r="CR27">
        <f>SUMPRODUCT((M_BOM[Part Name]=$A27)*M_BOM[RM_Qty_Per_Batch]*IFERROR(INDEX(PP_Grid[#Data],M_BOM[PPGridRow],96),0))</f>
        <v/>
      </c>
      <c r="CS27">
        <f>SUMPRODUCT((M_BOM[Part Name]=$A27)*M_BOM[RM_Qty_Per_Batch]*IFERROR(INDEX(PP_Grid[#Data],M_BOM[PPGridRow],97),0))</f>
        <v/>
      </c>
      <c r="CT27">
        <f>SUMPRODUCT((M_BOM[Part Name]=$A27)*M_BOM[RM_Qty_Per_Batch]*IFERROR(INDEX(PP_Grid[#Data],M_BOM[PPGridRow],98),0))</f>
        <v/>
      </c>
      <c r="CU27">
        <f>SUMPRODUCT((M_BOM[Part Name]=$A27)*M_BOM[RM_Qty_Per_Batch]*IFERROR(INDEX(PP_Grid[#Data],M_BOM[PPGridRow],99),0))</f>
        <v/>
      </c>
      <c r="CV27">
        <f>SUMPRODUCT((M_BOM[Part Name]=$A27)*M_BOM[RM_Qty_Per_Batch]*IFERROR(INDEX(PP_Grid[#Data],M_BOM[PPGridRow],100),0))</f>
        <v/>
      </c>
      <c r="CW27">
        <f>SUMPRODUCT((M_BOM[Part Name]=$A27)*M_BOM[RM_Qty_Per_Batch]*IFERROR(INDEX(PP_Grid[#Data],M_BOM[PPGridRow],101),0))</f>
        <v/>
      </c>
      <c r="CX27">
        <f>SUMPRODUCT((M_BOM[Part Name]=$A27)*M_BOM[RM_Qty_Per_Batch]*IFERROR(INDEX(PP_Grid[#Data],M_BOM[PPGridRow],102),0))</f>
        <v/>
      </c>
      <c r="CY27">
        <f>SUMPRODUCT((M_BOM[Part Name]=$A27)*M_BOM[RM_Qty_Per_Batch]*IFERROR(INDEX(PP_Grid[#Data],M_BOM[PPGridRow],103),0))</f>
        <v/>
      </c>
      <c r="CZ27">
        <f>SUMPRODUCT((M_BOM[Part Name]=$A27)*M_BOM[RM_Qty_Per_Batch]*IFERROR(INDEX(PP_Grid[#Data],M_BOM[PPGridRow],104),0))</f>
        <v/>
      </c>
      <c r="DA27">
        <f>SUMPRODUCT((M_BOM[Part Name]=$A27)*M_BOM[RM_Qty_Per_Batch]*IFERROR(INDEX(PP_Grid[#Data],M_BOM[PPGridRow],105),0))</f>
        <v/>
      </c>
    </row>
    <row r="28">
      <c r="A28" t="inlineStr">
        <is>
          <t>CHEM-1820</t>
        </is>
      </c>
      <c r="B28">
        <f>SUMPRODUCT((M_BOM[Part Name]=$A28)*M_BOM[RM_Qty_Per_Batch]*IFERROR(INDEX(PP_Grid[#Data],M_BOM[PPGridRow],2),0))</f>
        <v/>
      </c>
      <c r="C28">
        <f>SUMPRODUCT((M_BOM[Part Name]=$A28)*M_BOM[RM_Qty_Per_Batch]*IFERROR(INDEX(PP_Grid[#Data],M_BOM[PPGridRow],3),0))</f>
        <v/>
      </c>
      <c r="D28">
        <f>SUMPRODUCT((M_BOM[Part Name]=$A28)*M_BOM[RM_Qty_Per_Batch]*IFERROR(INDEX(PP_Grid[#Data],M_BOM[PPGridRow],4),0))</f>
        <v/>
      </c>
      <c r="E28">
        <f>SUMPRODUCT((M_BOM[Part Name]=$A28)*M_BOM[RM_Qty_Per_Batch]*IFERROR(INDEX(PP_Grid[#Data],M_BOM[PPGridRow],5),0))</f>
        <v/>
      </c>
      <c r="F28">
        <f>SUMPRODUCT((M_BOM[Part Name]=$A28)*M_BOM[RM_Qty_Per_Batch]*IFERROR(INDEX(PP_Grid[#Data],M_BOM[PPGridRow],6),0))</f>
        <v/>
      </c>
      <c r="G28">
        <f>SUMPRODUCT((M_BOM[Part Name]=$A28)*M_BOM[RM_Qty_Per_Batch]*IFERROR(INDEX(PP_Grid[#Data],M_BOM[PPGridRow],7),0))</f>
        <v/>
      </c>
      <c r="H28">
        <f>SUMPRODUCT((M_BOM[Part Name]=$A28)*M_BOM[RM_Qty_Per_Batch]*IFERROR(INDEX(PP_Grid[#Data],M_BOM[PPGridRow],8),0))</f>
        <v/>
      </c>
      <c r="I28">
        <f>SUMPRODUCT((M_BOM[Part Name]=$A28)*M_BOM[RM_Qty_Per_Batch]*IFERROR(INDEX(PP_Grid[#Data],M_BOM[PPGridRow],9),0))</f>
        <v/>
      </c>
      <c r="J28">
        <f>SUMPRODUCT((M_BOM[Part Name]=$A28)*M_BOM[RM_Qty_Per_Batch]*IFERROR(INDEX(PP_Grid[#Data],M_BOM[PPGridRow],10),0))</f>
        <v/>
      </c>
      <c r="K28">
        <f>SUMPRODUCT((M_BOM[Part Name]=$A28)*M_BOM[RM_Qty_Per_Batch]*IFERROR(INDEX(PP_Grid[#Data],M_BOM[PPGridRow],11),0))</f>
        <v/>
      </c>
      <c r="L28">
        <f>SUMPRODUCT((M_BOM[Part Name]=$A28)*M_BOM[RM_Qty_Per_Batch]*IFERROR(INDEX(PP_Grid[#Data],M_BOM[PPGridRow],12),0))</f>
        <v/>
      </c>
      <c r="M28">
        <f>SUMPRODUCT((M_BOM[Part Name]=$A28)*M_BOM[RM_Qty_Per_Batch]*IFERROR(INDEX(PP_Grid[#Data],M_BOM[PPGridRow],13),0))</f>
        <v/>
      </c>
      <c r="N28">
        <f>SUMPRODUCT((M_BOM[Part Name]=$A28)*M_BOM[RM_Qty_Per_Batch]*IFERROR(INDEX(PP_Grid[#Data],M_BOM[PPGridRow],14),0))</f>
        <v/>
      </c>
      <c r="O28">
        <f>SUMPRODUCT((M_BOM[Part Name]=$A28)*M_BOM[RM_Qty_Per_Batch]*IFERROR(INDEX(PP_Grid[#Data],M_BOM[PPGridRow],15),0))</f>
        <v/>
      </c>
      <c r="P28">
        <f>SUMPRODUCT((M_BOM[Part Name]=$A28)*M_BOM[RM_Qty_Per_Batch]*IFERROR(INDEX(PP_Grid[#Data],M_BOM[PPGridRow],16),0))</f>
        <v/>
      </c>
      <c r="Q28">
        <f>SUMPRODUCT((M_BOM[Part Name]=$A28)*M_BOM[RM_Qty_Per_Batch]*IFERROR(INDEX(PP_Grid[#Data],M_BOM[PPGridRow],17),0))</f>
        <v/>
      </c>
      <c r="R28">
        <f>SUMPRODUCT((M_BOM[Part Name]=$A28)*M_BOM[RM_Qty_Per_Batch]*IFERROR(INDEX(PP_Grid[#Data],M_BOM[PPGridRow],18),0))</f>
        <v/>
      </c>
      <c r="S28">
        <f>SUMPRODUCT((M_BOM[Part Name]=$A28)*M_BOM[RM_Qty_Per_Batch]*IFERROR(INDEX(PP_Grid[#Data],M_BOM[PPGridRow],19),0))</f>
        <v/>
      </c>
      <c r="T28">
        <f>SUMPRODUCT((M_BOM[Part Name]=$A28)*M_BOM[RM_Qty_Per_Batch]*IFERROR(INDEX(PP_Grid[#Data],M_BOM[PPGridRow],20),0))</f>
        <v/>
      </c>
      <c r="U28">
        <f>SUMPRODUCT((M_BOM[Part Name]=$A28)*M_BOM[RM_Qty_Per_Batch]*IFERROR(INDEX(PP_Grid[#Data],M_BOM[PPGridRow],21),0))</f>
        <v/>
      </c>
      <c r="V28">
        <f>SUMPRODUCT((M_BOM[Part Name]=$A28)*M_BOM[RM_Qty_Per_Batch]*IFERROR(INDEX(PP_Grid[#Data],M_BOM[PPGridRow],22),0))</f>
        <v/>
      </c>
      <c r="W28">
        <f>SUMPRODUCT((M_BOM[Part Name]=$A28)*M_BOM[RM_Qty_Per_Batch]*IFERROR(INDEX(PP_Grid[#Data],M_BOM[PPGridRow],23),0))</f>
        <v/>
      </c>
      <c r="X28">
        <f>SUMPRODUCT((M_BOM[Part Name]=$A28)*M_BOM[RM_Qty_Per_Batch]*IFERROR(INDEX(PP_Grid[#Data],M_BOM[PPGridRow],24),0))</f>
        <v/>
      </c>
      <c r="Y28">
        <f>SUMPRODUCT((M_BOM[Part Name]=$A28)*M_BOM[RM_Qty_Per_Batch]*IFERROR(INDEX(PP_Grid[#Data],M_BOM[PPGridRow],25),0))</f>
        <v/>
      </c>
      <c r="Z28">
        <f>SUMPRODUCT((M_BOM[Part Name]=$A28)*M_BOM[RM_Qty_Per_Batch]*IFERROR(INDEX(PP_Grid[#Data],M_BOM[PPGridRow],26),0))</f>
        <v/>
      </c>
      <c r="AA28">
        <f>SUMPRODUCT((M_BOM[Part Name]=$A28)*M_BOM[RM_Qty_Per_Batch]*IFERROR(INDEX(PP_Grid[#Data],M_BOM[PPGridRow],27),0))</f>
        <v/>
      </c>
      <c r="AB28">
        <f>SUMPRODUCT((M_BOM[Part Name]=$A28)*M_BOM[RM_Qty_Per_Batch]*IFERROR(INDEX(PP_Grid[#Data],M_BOM[PPGridRow],28),0))</f>
        <v/>
      </c>
      <c r="AC28">
        <f>SUMPRODUCT((M_BOM[Part Name]=$A28)*M_BOM[RM_Qty_Per_Batch]*IFERROR(INDEX(PP_Grid[#Data],M_BOM[PPGridRow],29),0))</f>
        <v/>
      </c>
      <c r="AD28">
        <f>SUMPRODUCT((M_BOM[Part Name]=$A28)*M_BOM[RM_Qty_Per_Batch]*IFERROR(INDEX(PP_Grid[#Data],M_BOM[PPGridRow],30),0))</f>
        <v/>
      </c>
      <c r="AE28">
        <f>SUMPRODUCT((M_BOM[Part Name]=$A28)*M_BOM[RM_Qty_Per_Batch]*IFERROR(INDEX(PP_Grid[#Data],M_BOM[PPGridRow],31),0))</f>
        <v/>
      </c>
      <c r="AF28">
        <f>SUMPRODUCT((M_BOM[Part Name]=$A28)*M_BOM[RM_Qty_Per_Batch]*IFERROR(INDEX(PP_Grid[#Data],M_BOM[PPGridRow],32),0))</f>
        <v/>
      </c>
      <c r="AG28">
        <f>SUMPRODUCT((M_BOM[Part Name]=$A28)*M_BOM[RM_Qty_Per_Batch]*IFERROR(INDEX(PP_Grid[#Data],M_BOM[PPGridRow],33),0))</f>
        <v/>
      </c>
      <c r="AH28">
        <f>SUMPRODUCT((M_BOM[Part Name]=$A28)*M_BOM[RM_Qty_Per_Batch]*IFERROR(INDEX(PP_Grid[#Data],M_BOM[PPGridRow],34),0))</f>
        <v/>
      </c>
      <c r="AI28">
        <f>SUMPRODUCT((M_BOM[Part Name]=$A28)*M_BOM[RM_Qty_Per_Batch]*IFERROR(INDEX(PP_Grid[#Data],M_BOM[PPGridRow],35),0))</f>
        <v/>
      </c>
      <c r="AJ28">
        <f>SUMPRODUCT((M_BOM[Part Name]=$A28)*M_BOM[RM_Qty_Per_Batch]*IFERROR(INDEX(PP_Grid[#Data],M_BOM[PPGridRow],36),0))</f>
        <v/>
      </c>
      <c r="AK28">
        <f>SUMPRODUCT((M_BOM[Part Name]=$A28)*M_BOM[RM_Qty_Per_Batch]*IFERROR(INDEX(PP_Grid[#Data],M_BOM[PPGridRow],37),0))</f>
        <v/>
      </c>
      <c r="AL28">
        <f>SUMPRODUCT((M_BOM[Part Name]=$A28)*M_BOM[RM_Qty_Per_Batch]*IFERROR(INDEX(PP_Grid[#Data],M_BOM[PPGridRow],38),0))</f>
        <v/>
      </c>
      <c r="AM28">
        <f>SUMPRODUCT((M_BOM[Part Name]=$A28)*M_BOM[RM_Qty_Per_Batch]*IFERROR(INDEX(PP_Grid[#Data],M_BOM[PPGridRow],39),0))</f>
        <v/>
      </c>
      <c r="AN28">
        <f>SUMPRODUCT((M_BOM[Part Name]=$A28)*M_BOM[RM_Qty_Per_Batch]*IFERROR(INDEX(PP_Grid[#Data],M_BOM[PPGridRow],40),0))</f>
        <v/>
      </c>
      <c r="AO28">
        <f>SUMPRODUCT((M_BOM[Part Name]=$A28)*M_BOM[RM_Qty_Per_Batch]*IFERROR(INDEX(PP_Grid[#Data],M_BOM[PPGridRow],41),0))</f>
        <v/>
      </c>
      <c r="AP28">
        <f>SUMPRODUCT((M_BOM[Part Name]=$A28)*M_BOM[RM_Qty_Per_Batch]*IFERROR(INDEX(PP_Grid[#Data],M_BOM[PPGridRow],42),0))</f>
        <v/>
      </c>
      <c r="AQ28">
        <f>SUMPRODUCT((M_BOM[Part Name]=$A28)*M_BOM[RM_Qty_Per_Batch]*IFERROR(INDEX(PP_Grid[#Data],M_BOM[PPGridRow],43),0))</f>
        <v/>
      </c>
      <c r="AR28">
        <f>SUMPRODUCT((M_BOM[Part Name]=$A28)*M_BOM[RM_Qty_Per_Batch]*IFERROR(INDEX(PP_Grid[#Data],M_BOM[PPGridRow],44),0))</f>
        <v/>
      </c>
      <c r="AS28">
        <f>SUMPRODUCT((M_BOM[Part Name]=$A28)*M_BOM[RM_Qty_Per_Batch]*IFERROR(INDEX(PP_Grid[#Data],M_BOM[PPGridRow],45),0))</f>
        <v/>
      </c>
      <c r="AT28">
        <f>SUMPRODUCT((M_BOM[Part Name]=$A28)*M_BOM[RM_Qty_Per_Batch]*IFERROR(INDEX(PP_Grid[#Data],M_BOM[PPGridRow],46),0))</f>
        <v/>
      </c>
      <c r="AU28">
        <f>SUMPRODUCT((M_BOM[Part Name]=$A28)*M_BOM[RM_Qty_Per_Batch]*IFERROR(INDEX(PP_Grid[#Data],M_BOM[PPGridRow],47),0))</f>
        <v/>
      </c>
      <c r="AV28">
        <f>SUMPRODUCT((M_BOM[Part Name]=$A28)*M_BOM[RM_Qty_Per_Batch]*IFERROR(INDEX(PP_Grid[#Data],M_BOM[PPGridRow],48),0))</f>
        <v/>
      </c>
      <c r="AW28">
        <f>SUMPRODUCT((M_BOM[Part Name]=$A28)*M_BOM[RM_Qty_Per_Batch]*IFERROR(INDEX(PP_Grid[#Data],M_BOM[PPGridRow],49),0))</f>
        <v/>
      </c>
      <c r="AX28">
        <f>SUMPRODUCT((M_BOM[Part Name]=$A28)*M_BOM[RM_Qty_Per_Batch]*IFERROR(INDEX(PP_Grid[#Data],M_BOM[PPGridRow],50),0))</f>
        <v/>
      </c>
      <c r="AY28">
        <f>SUMPRODUCT((M_BOM[Part Name]=$A28)*M_BOM[RM_Qty_Per_Batch]*IFERROR(INDEX(PP_Grid[#Data],M_BOM[PPGridRow],51),0))</f>
        <v/>
      </c>
      <c r="AZ28">
        <f>SUMPRODUCT((M_BOM[Part Name]=$A28)*M_BOM[RM_Qty_Per_Batch]*IFERROR(INDEX(PP_Grid[#Data],M_BOM[PPGridRow],52),0))</f>
        <v/>
      </c>
      <c r="BA28">
        <f>SUMPRODUCT((M_BOM[Part Name]=$A28)*M_BOM[RM_Qty_Per_Batch]*IFERROR(INDEX(PP_Grid[#Data],M_BOM[PPGridRow],53),0))</f>
        <v/>
      </c>
      <c r="BB28">
        <f>SUMPRODUCT((M_BOM[Part Name]=$A28)*M_BOM[RM_Qty_Per_Batch]*IFERROR(INDEX(PP_Grid[#Data],M_BOM[PPGridRow],54),0))</f>
        <v/>
      </c>
      <c r="BC28">
        <f>SUMPRODUCT((M_BOM[Part Name]=$A28)*M_BOM[RM_Qty_Per_Batch]*IFERROR(INDEX(PP_Grid[#Data],M_BOM[PPGridRow],55),0))</f>
        <v/>
      </c>
      <c r="BD28">
        <f>SUMPRODUCT((M_BOM[Part Name]=$A28)*M_BOM[RM_Qty_Per_Batch]*IFERROR(INDEX(PP_Grid[#Data],M_BOM[PPGridRow],56),0))</f>
        <v/>
      </c>
      <c r="BE28">
        <f>SUMPRODUCT((M_BOM[Part Name]=$A28)*M_BOM[RM_Qty_Per_Batch]*IFERROR(INDEX(PP_Grid[#Data],M_BOM[PPGridRow],57),0))</f>
        <v/>
      </c>
      <c r="BF28">
        <f>SUMPRODUCT((M_BOM[Part Name]=$A28)*M_BOM[RM_Qty_Per_Batch]*IFERROR(INDEX(PP_Grid[#Data],M_BOM[PPGridRow],58),0))</f>
        <v/>
      </c>
      <c r="BG28">
        <f>SUMPRODUCT((M_BOM[Part Name]=$A28)*M_BOM[RM_Qty_Per_Batch]*IFERROR(INDEX(PP_Grid[#Data],M_BOM[PPGridRow],59),0))</f>
        <v/>
      </c>
      <c r="BH28">
        <f>SUMPRODUCT((M_BOM[Part Name]=$A28)*M_BOM[RM_Qty_Per_Batch]*IFERROR(INDEX(PP_Grid[#Data],M_BOM[PPGridRow],60),0))</f>
        <v/>
      </c>
      <c r="BI28">
        <f>SUMPRODUCT((M_BOM[Part Name]=$A28)*M_BOM[RM_Qty_Per_Batch]*IFERROR(INDEX(PP_Grid[#Data],M_BOM[PPGridRow],61),0))</f>
        <v/>
      </c>
      <c r="BJ28">
        <f>SUMPRODUCT((M_BOM[Part Name]=$A28)*M_BOM[RM_Qty_Per_Batch]*IFERROR(INDEX(PP_Grid[#Data],M_BOM[PPGridRow],62),0))</f>
        <v/>
      </c>
      <c r="BK28">
        <f>SUMPRODUCT((M_BOM[Part Name]=$A28)*M_BOM[RM_Qty_Per_Batch]*IFERROR(INDEX(PP_Grid[#Data],M_BOM[PPGridRow],63),0))</f>
        <v/>
      </c>
      <c r="BL28">
        <f>SUMPRODUCT((M_BOM[Part Name]=$A28)*M_BOM[RM_Qty_Per_Batch]*IFERROR(INDEX(PP_Grid[#Data],M_BOM[PPGridRow],64),0))</f>
        <v/>
      </c>
      <c r="BM28">
        <f>SUMPRODUCT((M_BOM[Part Name]=$A28)*M_BOM[RM_Qty_Per_Batch]*IFERROR(INDEX(PP_Grid[#Data],M_BOM[PPGridRow],65),0))</f>
        <v/>
      </c>
      <c r="BN28">
        <f>SUMPRODUCT((M_BOM[Part Name]=$A28)*M_BOM[RM_Qty_Per_Batch]*IFERROR(INDEX(PP_Grid[#Data],M_BOM[PPGridRow],66),0))</f>
        <v/>
      </c>
      <c r="BO28">
        <f>SUMPRODUCT((M_BOM[Part Name]=$A28)*M_BOM[RM_Qty_Per_Batch]*IFERROR(INDEX(PP_Grid[#Data],M_BOM[PPGridRow],67),0))</f>
        <v/>
      </c>
      <c r="BP28">
        <f>SUMPRODUCT((M_BOM[Part Name]=$A28)*M_BOM[RM_Qty_Per_Batch]*IFERROR(INDEX(PP_Grid[#Data],M_BOM[PPGridRow],68),0))</f>
        <v/>
      </c>
      <c r="BQ28">
        <f>SUMPRODUCT((M_BOM[Part Name]=$A28)*M_BOM[RM_Qty_Per_Batch]*IFERROR(INDEX(PP_Grid[#Data],M_BOM[PPGridRow],69),0))</f>
        <v/>
      </c>
      <c r="BR28">
        <f>SUMPRODUCT((M_BOM[Part Name]=$A28)*M_BOM[RM_Qty_Per_Batch]*IFERROR(INDEX(PP_Grid[#Data],M_BOM[PPGridRow],70),0))</f>
        <v/>
      </c>
      <c r="BS28">
        <f>SUMPRODUCT((M_BOM[Part Name]=$A28)*M_BOM[RM_Qty_Per_Batch]*IFERROR(INDEX(PP_Grid[#Data],M_BOM[PPGridRow],71),0))</f>
        <v/>
      </c>
      <c r="BT28">
        <f>SUMPRODUCT((M_BOM[Part Name]=$A28)*M_BOM[RM_Qty_Per_Batch]*IFERROR(INDEX(PP_Grid[#Data],M_BOM[PPGridRow],72),0))</f>
        <v/>
      </c>
      <c r="BU28">
        <f>SUMPRODUCT((M_BOM[Part Name]=$A28)*M_BOM[RM_Qty_Per_Batch]*IFERROR(INDEX(PP_Grid[#Data],M_BOM[PPGridRow],73),0))</f>
        <v/>
      </c>
      <c r="BV28">
        <f>SUMPRODUCT((M_BOM[Part Name]=$A28)*M_BOM[RM_Qty_Per_Batch]*IFERROR(INDEX(PP_Grid[#Data],M_BOM[PPGridRow],74),0))</f>
        <v/>
      </c>
      <c r="BW28">
        <f>SUMPRODUCT((M_BOM[Part Name]=$A28)*M_BOM[RM_Qty_Per_Batch]*IFERROR(INDEX(PP_Grid[#Data],M_BOM[PPGridRow],75),0))</f>
        <v/>
      </c>
      <c r="BX28">
        <f>SUMPRODUCT((M_BOM[Part Name]=$A28)*M_BOM[RM_Qty_Per_Batch]*IFERROR(INDEX(PP_Grid[#Data],M_BOM[PPGridRow],76),0))</f>
        <v/>
      </c>
      <c r="BY28">
        <f>SUMPRODUCT((M_BOM[Part Name]=$A28)*M_BOM[RM_Qty_Per_Batch]*IFERROR(INDEX(PP_Grid[#Data],M_BOM[PPGridRow],77),0))</f>
        <v/>
      </c>
      <c r="BZ28">
        <f>SUMPRODUCT((M_BOM[Part Name]=$A28)*M_BOM[RM_Qty_Per_Batch]*IFERROR(INDEX(PP_Grid[#Data],M_BOM[PPGridRow],78),0))</f>
        <v/>
      </c>
      <c r="CA28">
        <f>SUMPRODUCT((M_BOM[Part Name]=$A28)*M_BOM[RM_Qty_Per_Batch]*IFERROR(INDEX(PP_Grid[#Data],M_BOM[PPGridRow],79),0))</f>
        <v/>
      </c>
      <c r="CB28">
        <f>SUMPRODUCT((M_BOM[Part Name]=$A28)*M_BOM[RM_Qty_Per_Batch]*IFERROR(INDEX(PP_Grid[#Data],M_BOM[PPGridRow],80),0))</f>
        <v/>
      </c>
      <c r="CC28">
        <f>SUMPRODUCT((M_BOM[Part Name]=$A28)*M_BOM[RM_Qty_Per_Batch]*IFERROR(INDEX(PP_Grid[#Data],M_BOM[PPGridRow],81),0))</f>
        <v/>
      </c>
      <c r="CD28">
        <f>SUMPRODUCT((M_BOM[Part Name]=$A28)*M_BOM[RM_Qty_Per_Batch]*IFERROR(INDEX(PP_Grid[#Data],M_BOM[PPGridRow],82),0))</f>
        <v/>
      </c>
      <c r="CE28">
        <f>SUMPRODUCT((M_BOM[Part Name]=$A28)*M_BOM[RM_Qty_Per_Batch]*IFERROR(INDEX(PP_Grid[#Data],M_BOM[PPGridRow],83),0))</f>
        <v/>
      </c>
      <c r="CF28">
        <f>SUMPRODUCT((M_BOM[Part Name]=$A28)*M_BOM[RM_Qty_Per_Batch]*IFERROR(INDEX(PP_Grid[#Data],M_BOM[PPGridRow],84),0))</f>
        <v/>
      </c>
      <c r="CG28">
        <f>SUMPRODUCT((M_BOM[Part Name]=$A28)*M_BOM[RM_Qty_Per_Batch]*IFERROR(INDEX(PP_Grid[#Data],M_BOM[PPGridRow],85),0))</f>
        <v/>
      </c>
      <c r="CH28">
        <f>SUMPRODUCT((M_BOM[Part Name]=$A28)*M_BOM[RM_Qty_Per_Batch]*IFERROR(INDEX(PP_Grid[#Data],M_BOM[PPGridRow],86),0))</f>
        <v/>
      </c>
      <c r="CI28">
        <f>SUMPRODUCT((M_BOM[Part Name]=$A28)*M_BOM[RM_Qty_Per_Batch]*IFERROR(INDEX(PP_Grid[#Data],M_BOM[PPGridRow],87),0))</f>
        <v/>
      </c>
      <c r="CJ28">
        <f>SUMPRODUCT((M_BOM[Part Name]=$A28)*M_BOM[RM_Qty_Per_Batch]*IFERROR(INDEX(PP_Grid[#Data],M_BOM[PPGridRow],88),0))</f>
        <v/>
      </c>
      <c r="CK28">
        <f>SUMPRODUCT((M_BOM[Part Name]=$A28)*M_BOM[RM_Qty_Per_Batch]*IFERROR(INDEX(PP_Grid[#Data],M_BOM[PPGridRow],89),0))</f>
        <v/>
      </c>
      <c r="CL28">
        <f>SUMPRODUCT((M_BOM[Part Name]=$A28)*M_BOM[RM_Qty_Per_Batch]*IFERROR(INDEX(PP_Grid[#Data],M_BOM[PPGridRow],90),0))</f>
        <v/>
      </c>
      <c r="CM28">
        <f>SUMPRODUCT((M_BOM[Part Name]=$A28)*M_BOM[RM_Qty_Per_Batch]*IFERROR(INDEX(PP_Grid[#Data],M_BOM[PPGridRow],91),0))</f>
        <v/>
      </c>
      <c r="CN28">
        <f>SUMPRODUCT((M_BOM[Part Name]=$A28)*M_BOM[RM_Qty_Per_Batch]*IFERROR(INDEX(PP_Grid[#Data],M_BOM[PPGridRow],92),0))</f>
        <v/>
      </c>
      <c r="CO28">
        <f>SUMPRODUCT((M_BOM[Part Name]=$A28)*M_BOM[RM_Qty_Per_Batch]*IFERROR(INDEX(PP_Grid[#Data],M_BOM[PPGridRow],93),0))</f>
        <v/>
      </c>
      <c r="CP28">
        <f>SUMPRODUCT((M_BOM[Part Name]=$A28)*M_BOM[RM_Qty_Per_Batch]*IFERROR(INDEX(PP_Grid[#Data],M_BOM[PPGridRow],94),0))</f>
        <v/>
      </c>
      <c r="CQ28">
        <f>SUMPRODUCT((M_BOM[Part Name]=$A28)*M_BOM[RM_Qty_Per_Batch]*IFERROR(INDEX(PP_Grid[#Data],M_BOM[PPGridRow],95),0))</f>
        <v/>
      </c>
      <c r="CR28">
        <f>SUMPRODUCT((M_BOM[Part Name]=$A28)*M_BOM[RM_Qty_Per_Batch]*IFERROR(INDEX(PP_Grid[#Data],M_BOM[PPGridRow],96),0))</f>
        <v/>
      </c>
      <c r="CS28">
        <f>SUMPRODUCT((M_BOM[Part Name]=$A28)*M_BOM[RM_Qty_Per_Batch]*IFERROR(INDEX(PP_Grid[#Data],M_BOM[PPGridRow],97),0))</f>
        <v/>
      </c>
      <c r="CT28">
        <f>SUMPRODUCT((M_BOM[Part Name]=$A28)*M_BOM[RM_Qty_Per_Batch]*IFERROR(INDEX(PP_Grid[#Data],M_BOM[PPGridRow],98),0))</f>
        <v/>
      </c>
      <c r="CU28">
        <f>SUMPRODUCT((M_BOM[Part Name]=$A28)*M_BOM[RM_Qty_Per_Batch]*IFERROR(INDEX(PP_Grid[#Data],M_BOM[PPGridRow],99),0))</f>
        <v/>
      </c>
      <c r="CV28">
        <f>SUMPRODUCT((M_BOM[Part Name]=$A28)*M_BOM[RM_Qty_Per_Batch]*IFERROR(INDEX(PP_Grid[#Data],M_BOM[PPGridRow],100),0))</f>
        <v/>
      </c>
      <c r="CW28">
        <f>SUMPRODUCT((M_BOM[Part Name]=$A28)*M_BOM[RM_Qty_Per_Batch]*IFERROR(INDEX(PP_Grid[#Data],M_BOM[PPGridRow],101),0))</f>
        <v/>
      </c>
      <c r="CX28">
        <f>SUMPRODUCT((M_BOM[Part Name]=$A28)*M_BOM[RM_Qty_Per_Batch]*IFERROR(INDEX(PP_Grid[#Data],M_BOM[PPGridRow],102),0))</f>
        <v/>
      </c>
      <c r="CY28">
        <f>SUMPRODUCT((M_BOM[Part Name]=$A28)*M_BOM[RM_Qty_Per_Batch]*IFERROR(INDEX(PP_Grid[#Data],M_BOM[PPGridRow],103),0))</f>
        <v/>
      </c>
      <c r="CZ28">
        <f>SUMPRODUCT((M_BOM[Part Name]=$A28)*M_BOM[RM_Qty_Per_Batch]*IFERROR(INDEX(PP_Grid[#Data],M_BOM[PPGridRow],104),0))</f>
        <v/>
      </c>
      <c r="DA28">
        <f>SUMPRODUCT((M_BOM[Part Name]=$A28)*M_BOM[RM_Qty_Per_Batch]*IFERROR(INDEX(PP_Grid[#Data],M_BOM[PPGridRow],105),0))</f>
        <v/>
      </c>
    </row>
    <row r="29">
      <c r="A29" t="inlineStr">
        <is>
          <t>CHEM-1840</t>
        </is>
      </c>
      <c r="B29">
        <f>SUMPRODUCT((M_BOM[Part Name]=$A29)*M_BOM[RM_Qty_Per_Batch]*IFERROR(INDEX(PP_Grid[#Data],M_BOM[PPGridRow],2),0))</f>
        <v/>
      </c>
      <c r="C29">
        <f>SUMPRODUCT((M_BOM[Part Name]=$A29)*M_BOM[RM_Qty_Per_Batch]*IFERROR(INDEX(PP_Grid[#Data],M_BOM[PPGridRow],3),0))</f>
        <v/>
      </c>
      <c r="D29">
        <f>SUMPRODUCT((M_BOM[Part Name]=$A29)*M_BOM[RM_Qty_Per_Batch]*IFERROR(INDEX(PP_Grid[#Data],M_BOM[PPGridRow],4),0))</f>
        <v/>
      </c>
      <c r="E29">
        <f>SUMPRODUCT((M_BOM[Part Name]=$A29)*M_BOM[RM_Qty_Per_Batch]*IFERROR(INDEX(PP_Grid[#Data],M_BOM[PPGridRow],5),0))</f>
        <v/>
      </c>
      <c r="F29">
        <f>SUMPRODUCT((M_BOM[Part Name]=$A29)*M_BOM[RM_Qty_Per_Batch]*IFERROR(INDEX(PP_Grid[#Data],M_BOM[PPGridRow],6),0))</f>
        <v/>
      </c>
      <c r="G29">
        <f>SUMPRODUCT((M_BOM[Part Name]=$A29)*M_BOM[RM_Qty_Per_Batch]*IFERROR(INDEX(PP_Grid[#Data],M_BOM[PPGridRow],7),0))</f>
        <v/>
      </c>
      <c r="H29">
        <f>SUMPRODUCT((M_BOM[Part Name]=$A29)*M_BOM[RM_Qty_Per_Batch]*IFERROR(INDEX(PP_Grid[#Data],M_BOM[PPGridRow],8),0))</f>
        <v/>
      </c>
      <c r="I29">
        <f>SUMPRODUCT((M_BOM[Part Name]=$A29)*M_BOM[RM_Qty_Per_Batch]*IFERROR(INDEX(PP_Grid[#Data],M_BOM[PPGridRow],9),0))</f>
        <v/>
      </c>
      <c r="J29">
        <f>SUMPRODUCT((M_BOM[Part Name]=$A29)*M_BOM[RM_Qty_Per_Batch]*IFERROR(INDEX(PP_Grid[#Data],M_BOM[PPGridRow],10),0))</f>
        <v/>
      </c>
      <c r="K29">
        <f>SUMPRODUCT((M_BOM[Part Name]=$A29)*M_BOM[RM_Qty_Per_Batch]*IFERROR(INDEX(PP_Grid[#Data],M_BOM[PPGridRow],11),0))</f>
        <v/>
      </c>
      <c r="L29">
        <f>SUMPRODUCT((M_BOM[Part Name]=$A29)*M_BOM[RM_Qty_Per_Batch]*IFERROR(INDEX(PP_Grid[#Data],M_BOM[PPGridRow],12),0))</f>
        <v/>
      </c>
      <c r="M29">
        <f>SUMPRODUCT((M_BOM[Part Name]=$A29)*M_BOM[RM_Qty_Per_Batch]*IFERROR(INDEX(PP_Grid[#Data],M_BOM[PPGridRow],13),0))</f>
        <v/>
      </c>
      <c r="N29">
        <f>SUMPRODUCT((M_BOM[Part Name]=$A29)*M_BOM[RM_Qty_Per_Batch]*IFERROR(INDEX(PP_Grid[#Data],M_BOM[PPGridRow],14),0))</f>
        <v/>
      </c>
      <c r="O29">
        <f>SUMPRODUCT((M_BOM[Part Name]=$A29)*M_BOM[RM_Qty_Per_Batch]*IFERROR(INDEX(PP_Grid[#Data],M_BOM[PPGridRow],15),0))</f>
        <v/>
      </c>
      <c r="P29">
        <f>SUMPRODUCT((M_BOM[Part Name]=$A29)*M_BOM[RM_Qty_Per_Batch]*IFERROR(INDEX(PP_Grid[#Data],M_BOM[PPGridRow],16),0))</f>
        <v/>
      </c>
      <c r="Q29">
        <f>SUMPRODUCT((M_BOM[Part Name]=$A29)*M_BOM[RM_Qty_Per_Batch]*IFERROR(INDEX(PP_Grid[#Data],M_BOM[PPGridRow],17),0))</f>
        <v/>
      </c>
      <c r="R29">
        <f>SUMPRODUCT((M_BOM[Part Name]=$A29)*M_BOM[RM_Qty_Per_Batch]*IFERROR(INDEX(PP_Grid[#Data],M_BOM[PPGridRow],18),0))</f>
        <v/>
      </c>
      <c r="S29">
        <f>SUMPRODUCT((M_BOM[Part Name]=$A29)*M_BOM[RM_Qty_Per_Batch]*IFERROR(INDEX(PP_Grid[#Data],M_BOM[PPGridRow],19),0))</f>
        <v/>
      </c>
      <c r="T29">
        <f>SUMPRODUCT((M_BOM[Part Name]=$A29)*M_BOM[RM_Qty_Per_Batch]*IFERROR(INDEX(PP_Grid[#Data],M_BOM[PPGridRow],20),0))</f>
        <v/>
      </c>
      <c r="U29">
        <f>SUMPRODUCT((M_BOM[Part Name]=$A29)*M_BOM[RM_Qty_Per_Batch]*IFERROR(INDEX(PP_Grid[#Data],M_BOM[PPGridRow],21),0))</f>
        <v/>
      </c>
      <c r="V29">
        <f>SUMPRODUCT((M_BOM[Part Name]=$A29)*M_BOM[RM_Qty_Per_Batch]*IFERROR(INDEX(PP_Grid[#Data],M_BOM[PPGridRow],22),0))</f>
        <v/>
      </c>
      <c r="W29">
        <f>SUMPRODUCT((M_BOM[Part Name]=$A29)*M_BOM[RM_Qty_Per_Batch]*IFERROR(INDEX(PP_Grid[#Data],M_BOM[PPGridRow],23),0))</f>
        <v/>
      </c>
      <c r="X29">
        <f>SUMPRODUCT((M_BOM[Part Name]=$A29)*M_BOM[RM_Qty_Per_Batch]*IFERROR(INDEX(PP_Grid[#Data],M_BOM[PPGridRow],24),0))</f>
        <v/>
      </c>
      <c r="Y29">
        <f>SUMPRODUCT((M_BOM[Part Name]=$A29)*M_BOM[RM_Qty_Per_Batch]*IFERROR(INDEX(PP_Grid[#Data],M_BOM[PPGridRow],25),0))</f>
        <v/>
      </c>
      <c r="Z29">
        <f>SUMPRODUCT((M_BOM[Part Name]=$A29)*M_BOM[RM_Qty_Per_Batch]*IFERROR(INDEX(PP_Grid[#Data],M_BOM[PPGridRow],26),0))</f>
        <v/>
      </c>
      <c r="AA29">
        <f>SUMPRODUCT((M_BOM[Part Name]=$A29)*M_BOM[RM_Qty_Per_Batch]*IFERROR(INDEX(PP_Grid[#Data],M_BOM[PPGridRow],27),0))</f>
        <v/>
      </c>
      <c r="AB29">
        <f>SUMPRODUCT((M_BOM[Part Name]=$A29)*M_BOM[RM_Qty_Per_Batch]*IFERROR(INDEX(PP_Grid[#Data],M_BOM[PPGridRow],28),0))</f>
        <v/>
      </c>
      <c r="AC29">
        <f>SUMPRODUCT((M_BOM[Part Name]=$A29)*M_BOM[RM_Qty_Per_Batch]*IFERROR(INDEX(PP_Grid[#Data],M_BOM[PPGridRow],29),0))</f>
        <v/>
      </c>
      <c r="AD29">
        <f>SUMPRODUCT((M_BOM[Part Name]=$A29)*M_BOM[RM_Qty_Per_Batch]*IFERROR(INDEX(PP_Grid[#Data],M_BOM[PPGridRow],30),0))</f>
        <v/>
      </c>
      <c r="AE29">
        <f>SUMPRODUCT((M_BOM[Part Name]=$A29)*M_BOM[RM_Qty_Per_Batch]*IFERROR(INDEX(PP_Grid[#Data],M_BOM[PPGridRow],31),0))</f>
        <v/>
      </c>
      <c r="AF29">
        <f>SUMPRODUCT((M_BOM[Part Name]=$A29)*M_BOM[RM_Qty_Per_Batch]*IFERROR(INDEX(PP_Grid[#Data],M_BOM[PPGridRow],32),0))</f>
        <v/>
      </c>
      <c r="AG29">
        <f>SUMPRODUCT((M_BOM[Part Name]=$A29)*M_BOM[RM_Qty_Per_Batch]*IFERROR(INDEX(PP_Grid[#Data],M_BOM[PPGridRow],33),0))</f>
        <v/>
      </c>
      <c r="AH29">
        <f>SUMPRODUCT((M_BOM[Part Name]=$A29)*M_BOM[RM_Qty_Per_Batch]*IFERROR(INDEX(PP_Grid[#Data],M_BOM[PPGridRow],34),0))</f>
        <v/>
      </c>
      <c r="AI29">
        <f>SUMPRODUCT((M_BOM[Part Name]=$A29)*M_BOM[RM_Qty_Per_Batch]*IFERROR(INDEX(PP_Grid[#Data],M_BOM[PPGridRow],35),0))</f>
        <v/>
      </c>
      <c r="AJ29">
        <f>SUMPRODUCT((M_BOM[Part Name]=$A29)*M_BOM[RM_Qty_Per_Batch]*IFERROR(INDEX(PP_Grid[#Data],M_BOM[PPGridRow],36),0))</f>
        <v/>
      </c>
      <c r="AK29">
        <f>SUMPRODUCT((M_BOM[Part Name]=$A29)*M_BOM[RM_Qty_Per_Batch]*IFERROR(INDEX(PP_Grid[#Data],M_BOM[PPGridRow],37),0))</f>
        <v/>
      </c>
      <c r="AL29">
        <f>SUMPRODUCT((M_BOM[Part Name]=$A29)*M_BOM[RM_Qty_Per_Batch]*IFERROR(INDEX(PP_Grid[#Data],M_BOM[PPGridRow],38),0))</f>
        <v/>
      </c>
      <c r="AM29">
        <f>SUMPRODUCT((M_BOM[Part Name]=$A29)*M_BOM[RM_Qty_Per_Batch]*IFERROR(INDEX(PP_Grid[#Data],M_BOM[PPGridRow],39),0))</f>
        <v/>
      </c>
      <c r="AN29">
        <f>SUMPRODUCT((M_BOM[Part Name]=$A29)*M_BOM[RM_Qty_Per_Batch]*IFERROR(INDEX(PP_Grid[#Data],M_BOM[PPGridRow],40),0))</f>
        <v/>
      </c>
      <c r="AO29">
        <f>SUMPRODUCT((M_BOM[Part Name]=$A29)*M_BOM[RM_Qty_Per_Batch]*IFERROR(INDEX(PP_Grid[#Data],M_BOM[PPGridRow],41),0))</f>
        <v/>
      </c>
      <c r="AP29">
        <f>SUMPRODUCT((M_BOM[Part Name]=$A29)*M_BOM[RM_Qty_Per_Batch]*IFERROR(INDEX(PP_Grid[#Data],M_BOM[PPGridRow],42),0))</f>
        <v/>
      </c>
      <c r="AQ29">
        <f>SUMPRODUCT((M_BOM[Part Name]=$A29)*M_BOM[RM_Qty_Per_Batch]*IFERROR(INDEX(PP_Grid[#Data],M_BOM[PPGridRow],43),0))</f>
        <v/>
      </c>
      <c r="AR29">
        <f>SUMPRODUCT((M_BOM[Part Name]=$A29)*M_BOM[RM_Qty_Per_Batch]*IFERROR(INDEX(PP_Grid[#Data],M_BOM[PPGridRow],44),0))</f>
        <v/>
      </c>
      <c r="AS29">
        <f>SUMPRODUCT((M_BOM[Part Name]=$A29)*M_BOM[RM_Qty_Per_Batch]*IFERROR(INDEX(PP_Grid[#Data],M_BOM[PPGridRow],45),0))</f>
        <v/>
      </c>
      <c r="AT29">
        <f>SUMPRODUCT((M_BOM[Part Name]=$A29)*M_BOM[RM_Qty_Per_Batch]*IFERROR(INDEX(PP_Grid[#Data],M_BOM[PPGridRow],46),0))</f>
        <v/>
      </c>
      <c r="AU29">
        <f>SUMPRODUCT((M_BOM[Part Name]=$A29)*M_BOM[RM_Qty_Per_Batch]*IFERROR(INDEX(PP_Grid[#Data],M_BOM[PPGridRow],47),0))</f>
        <v/>
      </c>
      <c r="AV29">
        <f>SUMPRODUCT((M_BOM[Part Name]=$A29)*M_BOM[RM_Qty_Per_Batch]*IFERROR(INDEX(PP_Grid[#Data],M_BOM[PPGridRow],48),0))</f>
        <v/>
      </c>
      <c r="AW29">
        <f>SUMPRODUCT((M_BOM[Part Name]=$A29)*M_BOM[RM_Qty_Per_Batch]*IFERROR(INDEX(PP_Grid[#Data],M_BOM[PPGridRow],49),0))</f>
        <v/>
      </c>
      <c r="AX29">
        <f>SUMPRODUCT((M_BOM[Part Name]=$A29)*M_BOM[RM_Qty_Per_Batch]*IFERROR(INDEX(PP_Grid[#Data],M_BOM[PPGridRow],50),0))</f>
        <v/>
      </c>
      <c r="AY29">
        <f>SUMPRODUCT((M_BOM[Part Name]=$A29)*M_BOM[RM_Qty_Per_Batch]*IFERROR(INDEX(PP_Grid[#Data],M_BOM[PPGridRow],51),0))</f>
        <v/>
      </c>
      <c r="AZ29">
        <f>SUMPRODUCT((M_BOM[Part Name]=$A29)*M_BOM[RM_Qty_Per_Batch]*IFERROR(INDEX(PP_Grid[#Data],M_BOM[PPGridRow],52),0))</f>
        <v/>
      </c>
      <c r="BA29">
        <f>SUMPRODUCT((M_BOM[Part Name]=$A29)*M_BOM[RM_Qty_Per_Batch]*IFERROR(INDEX(PP_Grid[#Data],M_BOM[PPGridRow],53),0))</f>
        <v/>
      </c>
      <c r="BB29">
        <f>SUMPRODUCT((M_BOM[Part Name]=$A29)*M_BOM[RM_Qty_Per_Batch]*IFERROR(INDEX(PP_Grid[#Data],M_BOM[PPGridRow],54),0))</f>
        <v/>
      </c>
      <c r="BC29">
        <f>SUMPRODUCT((M_BOM[Part Name]=$A29)*M_BOM[RM_Qty_Per_Batch]*IFERROR(INDEX(PP_Grid[#Data],M_BOM[PPGridRow],55),0))</f>
        <v/>
      </c>
      <c r="BD29">
        <f>SUMPRODUCT((M_BOM[Part Name]=$A29)*M_BOM[RM_Qty_Per_Batch]*IFERROR(INDEX(PP_Grid[#Data],M_BOM[PPGridRow],56),0))</f>
        <v/>
      </c>
      <c r="BE29">
        <f>SUMPRODUCT((M_BOM[Part Name]=$A29)*M_BOM[RM_Qty_Per_Batch]*IFERROR(INDEX(PP_Grid[#Data],M_BOM[PPGridRow],57),0))</f>
        <v/>
      </c>
      <c r="BF29">
        <f>SUMPRODUCT((M_BOM[Part Name]=$A29)*M_BOM[RM_Qty_Per_Batch]*IFERROR(INDEX(PP_Grid[#Data],M_BOM[PPGridRow],58),0))</f>
        <v/>
      </c>
      <c r="BG29">
        <f>SUMPRODUCT((M_BOM[Part Name]=$A29)*M_BOM[RM_Qty_Per_Batch]*IFERROR(INDEX(PP_Grid[#Data],M_BOM[PPGridRow],59),0))</f>
        <v/>
      </c>
      <c r="BH29">
        <f>SUMPRODUCT((M_BOM[Part Name]=$A29)*M_BOM[RM_Qty_Per_Batch]*IFERROR(INDEX(PP_Grid[#Data],M_BOM[PPGridRow],60),0))</f>
        <v/>
      </c>
      <c r="BI29">
        <f>SUMPRODUCT((M_BOM[Part Name]=$A29)*M_BOM[RM_Qty_Per_Batch]*IFERROR(INDEX(PP_Grid[#Data],M_BOM[PPGridRow],61),0))</f>
        <v/>
      </c>
      <c r="BJ29">
        <f>SUMPRODUCT((M_BOM[Part Name]=$A29)*M_BOM[RM_Qty_Per_Batch]*IFERROR(INDEX(PP_Grid[#Data],M_BOM[PPGridRow],62),0))</f>
        <v/>
      </c>
      <c r="BK29">
        <f>SUMPRODUCT((M_BOM[Part Name]=$A29)*M_BOM[RM_Qty_Per_Batch]*IFERROR(INDEX(PP_Grid[#Data],M_BOM[PPGridRow],63),0))</f>
        <v/>
      </c>
      <c r="BL29">
        <f>SUMPRODUCT((M_BOM[Part Name]=$A29)*M_BOM[RM_Qty_Per_Batch]*IFERROR(INDEX(PP_Grid[#Data],M_BOM[PPGridRow],64),0))</f>
        <v/>
      </c>
      <c r="BM29">
        <f>SUMPRODUCT((M_BOM[Part Name]=$A29)*M_BOM[RM_Qty_Per_Batch]*IFERROR(INDEX(PP_Grid[#Data],M_BOM[PPGridRow],65),0))</f>
        <v/>
      </c>
      <c r="BN29">
        <f>SUMPRODUCT((M_BOM[Part Name]=$A29)*M_BOM[RM_Qty_Per_Batch]*IFERROR(INDEX(PP_Grid[#Data],M_BOM[PPGridRow],66),0))</f>
        <v/>
      </c>
      <c r="BO29">
        <f>SUMPRODUCT((M_BOM[Part Name]=$A29)*M_BOM[RM_Qty_Per_Batch]*IFERROR(INDEX(PP_Grid[#Data],M_BOM[PPGridRow],67),0))</f>
        <v/>
      </c>
      <c r="BP29">
        <f>SUMPRODUCT((M_BOM[Part Name]=$A29)*M_BOM[RM_Qty_Per_Batch]*IFERROR(INDEX(PP_Grid[#Data],M_BOM[PPGridRow],68),0))</f>
        <v/>
      </c>
      <c r="BQ29">
        <f>SUMPRODUCT((M_BOM[Part Name]=$A29)*M_BOM[RM_Qty_Per_Batch]*IFERROR(INDEX(PP_Grid[#Data],M_BOM[PPGridRow],69),0))</f>
        <v/>
      </c>
      <c r="BR29">
        <f>SUMPRODUCT((M_BOM[Part Name]=$A29)*M_BOM[RM_Qty_Per_Batch]*IFERROR(INDEX(PP_Grid[#Data],M_BOM[PPGridRow],70),0))</f>
        <v/>
      </c>
      <c r="BS29">
        <f>SUMPRODUCT((M_BOM[Part Name]=$A29)*M_BOM[RM_Qty_Per_Batch]*IFERROR(INDEX(PP_Grid[#Data],M_BOM[PPGridRow],71),0))</f>
        <v/>
      </c>
      <c r="BT29">
        <f>SUMPRODUCT((M_BOM[Part Name]=$A29)*M_BOM[RM_Qty_Per_Batch]*IFERROR(INDEX(PP_Grid[#Data],M_BOM[PPGridRow],72),0))</f>
        <v/>
      </c>
      <c r="BU29">
        <f>SUMPRODUCT((M_BOM[Part Name]=$A29)*M_BOM[RM_Qty_Per_Batch]*IFERROR(INDEX(PP_Grid[#Data],M_BOM[PPGridRow],73),0))</f>
        <v/>
      </c>
      <c r="BV29">
        <f>SUMPRODUCT((M_BOM[Part Name]=$A29)*M_BOM[RM_Qty_Per_Batch]*IFERROR(INDEX(PP_Grid[#Data],M_BOM[PPGridRow],74),0))</f>
        <v/>
      </c>
      <c r="BW29">
        <f>SUMPRODUCT((M_BOM[Part Name]=$A29)*M_BOM[RM_Qty_Per_Batch]*IFERROR(INDEX(PP_Grid[#Data],M_BOM[PPGridRow],75),0))</f>
        <v/>
      </c>
      <c r="BX29">
        <f>SUMPRODUCT((M_BOM[Part Name]=$A29)*M_BOM[RM_Qty_Per_Batch]*IFERROR(INDEX(PP_Grid[#Data],M_BOM[PPGridRow],76),0))</f>
        <v/>
      </c>
      <c r="BY29">
        <f>SUMPRODUCT((M_BOM[Part Name]=$A29)*M_BOM[RM_Qty_Per_Batch]*IFERROR(INDEX(PP_Grid[#Data],M_BOM[PPGridRow],77),0))</f>
        <v/>
      </c>
      <c r="BZ29">
        <f>SUMPRODUCT((M_BOM[Part Name]=$A29)*M_BOM[RM_Qty_Per_Batch]*IFERROR(INDEX(PP_Grid[#Data],M_BOM[PPGridRow],78),0))</f>
        <v/>
      </c>
      <c r="CA29">
        <f>SUMPRODUCT((M_BOM[Part Name]=$A29)*M_BOM[RM_Qty_Per_Batch]*IFERROR(INDEX(PP_Grid[#Data],M_BOM[PPGridRow],79),0))</f>
        <v/>
      </c>
      <c r="CB29">
        <f>SUMPRODUCT((M_BOM[Part Name]=$A29)*M_BOM[RM_Qty_Per_Batch]*IFERROR(INDEX(PP_Grid[#Data],M_BOM[PPGridRow],80),0))</f>
        <v/>
      </c>
      <c r="CC29">
        <f>SUMPRODUCT((M_BOM[Part Name]=$A29)*M_BOM[RM_Qty_Per_Batch]*IFERROR(INDEX(PP_Grid[#Data],M_BOM[PPGridRow],81),0))</f>
        <v/>
      </c>
      <c r="CD29">
        <f>SUMPRODUCT((M_BOM[Part Name]=$A29)*M_BOM[RM_Qty_Per_Batch]*IFERROR(INDEX(PP_Grid[#Data],M_BOM[PPGridRow],82),0))</f>
        <v/>
      </c>
      <c r="CE29">
        <f>SUMPRODUCT((M_BOM[Part Name]=$A29)*M_BOM[RM_Qty_Per_Batch]*IFERROR(INDEX(PP_Grid[#Data],M_BOM[PPGridRow],83),0))</f>
        <v/>
      </c>
      <c r="CF29">
        <f>SUMPRODUCT((M_BOM[Part Name]=$A29)*M_BOM[RM_Qty_Per_Batch]*IFERROR(INDEX(PP_Grid[#Data],M_BOM[PPGridRow],84),0))</f>
        <v/>
      </c>
      <c r="CG29">
        <f>SUMPRODUCT((M_BOM[Part Name]=$A29)*M_BOM[RM_Qty_Per_Batch]*IFERROR(INDEX(PP_Grid[#Data],M_BOM[PPGridRow],85),0))</f>
        <v/>
      </c>
      <c r="CH29">
        <f>SUMPRODUCT((M_BOM[Part Name]=$A29)*M_BOM[RM_Qty_Per_Batch]*IFERROR(INDEX(PP_Grid[#Data],M_BOM[PPGridRow],86),0))</f>
        <v/>
      </c>
      <c r="CI29">
        <f>SUMPRODUCT((M_BOM[Part Name]=$A29)*M_BOM[RM_Qty_Per_Batch]*IFERROR(INDEX(PP_Grid[#Data],M_BOM[PPGridRow],87),0))</f>
        <v/>
      </c>
      <c r="CJ29">
        <f>SUMPRODUCT((M_BOM[Part Name]=$A29)*M_BOM[RM_Qty_Per_Batch]*IFERROR(INDEX(PP_Grid[#Data],M_BOM[PPGridRow],88),0))</f>
        <v/>
      </c>
      <c r="CK29">
        <f>SUMPRODUCT((M_BOM[Part Name]=$A29)*M_BOM[RM_Qty_Per_Batch]*IFERROR(INDEX(PP_Grid[#Data],M_BOM[PPGridRow],89),0))</f>
        <v/>
      </c>
      <c r="CL29">
        <f>SUMPRODUCT((M_BOM[Part Name]=$A29)*M_BOM[RM_Qty_Per_Batch]*IFERROR(INDEX(PP_Grid[#Data],M_BOM[PPGridRow],90),0))</f>
        <v/>
      </c>
      <c r="CM29">
        <f>SUMPRODUCT((M_BOM[Part Name]=$A29)*M_BOM[RM_Qty_Per_Batch]*IFERROR(INDEX(PP_Grid[#Data],M_BOM[PPGridRow],91),0))</f>
        <v/>
      </c>
      <c r="CN29">
        <f>SUMPRODUCT((M_BOM[Part Name]=$A29)*M_BOM[RM_Qty_Per_Batch]*IFERROR(INDEX(PP_Grid[#Data],M_BOM[PPGridRow],92),0))</f>
        <v/>
      </c>
      <c r="CO29">
        <f>SUMPRODUCT((M_BOM[Part Name]=$A29)*M_BOM[RM_Qty_Per_Batch]*IFERROR(INDEX(PP_Grid[#Data],M_BOM[PPGridRow],93),0))</f>
        <v/>
      </c>
      <c r="CP29">
        <f>SUMPRODUCT((M_BOM[Part Name]=$A29)*M_BOM[RM_Qty_Per_Batch]*IFERROR(INDEX(PP_Grid[#Data],M_BOM[PPGridRow],94),0))</f>
        <v/>
      </c>
      <c r="CQ29">
        <f>SUMPRODUCT((M_BOM[Part Name]=$A29)*M_BOM[RM_Qty_Per_Batch]*IFERROR(INDEX(PP_Grid[#Data],M_BOM[PPGridRow],95),0))</f>
        <v/>
      </c>
      <c r="CR29">
        <f>SUMPRODUCT((M_BOM[Part Name]=$A29)*M_BOM[RM_Qty_Per_Batch]*IFERROR(INDEX(PP_Grid[#Data],M_BOM[PPGridRow],96),0))</f>
        <v/>
      </c>
      <c r="CS29">
        <f>SUMPRODUCT((M_BOM[Part Name]=$A29)*M_BOM[RM_Qty_Per_Batch]*IFERROR(INDEX(PP_Grid[#Data],M_BOM[PPGridRow],97),0))</f>
        <v/>
      </c>
      <c r="CT29">
        <f>SUMPRODUCT((M_BOM[Part Name]=$A29)*M_BOM[RM_Qty_Per_Batch]*IFERROR(INDEX(PP_Grid[#Data],M_BOM[PPGridRow],98),0))</f>
        <v/>
      </c>
      <c r="CU29">
        <f>SUMPRODUCT((M_BOM[Part Name]=$A29)*M_BOM[RM_Qty_Per_Batch]*IFERROR(INDEX(PP_Grid[#Data],M_BOM[PPGridRow],99),0))</f>
        <v/>
      </c>
      <c r="CV29">
        <f>SUMPRODUCT((M_BOM[Part Name]=$A29)*M_BOM[RM_Qty_Per_Batch]*IFERROR(INDEX(PP_Grid[#Data],M_BOM[PPGridRow],100),0))</f>
        <v/>
      </c>
      <c r="CW29">
        <f>SUMPRODUCT((M_BOM[Part Name]=$A29)*M_BOM[RM_Qty_Per_Batch]*IFERROR(INDEX(PP_Grid[#Data],M_BOM[PPGridRow],101),0))</f>
        <v/>
      </c>
      <c r="CX29">
        <f>SUMPRODUCT((M_BOM[Part Name]=$A29)*M_BOM[RM_Qty_Per_Batch]*IFERROR(INDEX(PP_Grid[#Data],M_BOM[PPGridRow],102),0))</f>
        <v/>
      </c>
      <c r="CY29">
        <f>SUMPRODUCT((M_BOM[Part Name]=$A29)*M_BOM[RM_Qty_Per_Batch]*IFERROR(INDEX(PP_Grid[#Data],M_BOM[PPGridRow],103),0))</f>
        <v/>
      </c>
      <c r="CZ29">
        <f>SUMPRODUCT((M_BOM[Part Name]=$A29)*M_BOM[RM_Qty_Per_Batch]*IFERROR(INDEX(PP_Grid[#Data],M_BOM[PPGridRow],104),0))</f>
        <v/>
      </c>
      <c r="DA29">
        <f>SUMPRODUCT((M_BOM[Part Name]=$A29)*M_BOM[RM_Qty_Per_Batch]*IFERROR(INDEX(PP_Grid[#Data],M_BOM[PPGridRow],105),0))</f>
        <v/>
      </c>
    </row>
    <row r="30">
      <c r="A30" t="inlineStr">
        <is>
          <t>TDJ</t>
        </is>
      </c>
      <c r="B30">
        <f>SUMPRODUCT((M_BOM[Part Name]=$A30)*M_BOM[RM_Qty_Per_Batch]*IFERROR(INDEX(PP_Grid[#Data],M_BOM[PPGridRow],2),0))</f>
        <v/>
      </c>
      <c r="C30">
        <f>SUMPRODUCT((M_BOM[Part Name]=$A30)*M_BOM[RM_Qty_Per_Batch]*IFERROR(INDEX(PP_Grid[#Data],M_BOM[PPGridRow],3),0))</f>
        <v/>
      </c>
      <c r="D30">
        <f>SUMPRODUCT((M_BOM[Part Name]=$A30)*M_BOM[RM_Qty_Per_Batch]*IFERROR(INDEX(PP_Grid[#Data],M_BOM[PPGridRow],4),0))</f>
        <v/>
      </c>
      <c r="E30">
        <f>SUMPRODUCT((M_BOM[Part Name]=$A30)*M_BOM[RM_Qty_Per_Batch]*IFERROR(INDEX(PP_Grid[#Data],M_BOM[PPGridRow],5),0))</f>
        <v/>
      </c>
      <c r="F30">
        <f>SUMPRODUCT((M_BOM[Part Name]=$A30)*M_BOM[RM_Qty_Per_Batch]*IFERROR(INDEX(PP_Grid[#Data],M_BOM[PPGridRow],6),0))</f>
        <v/>
      </c>
      <c r="G30">
        <f>SUMPRODUCT((M_BOM[Part Name]=$A30)*M_BOM[RM_Qty_Per_Batch]*IFERROR(INDEX(PP_Grid[#Data],M_BOM[PPGridRow],7),0))</f>
        <v/>
      </c>
      <c r="H30">
        <f>SUMPRODUCT((M_BOM[Part Name]=$A30)*M_BOM[RM_Qty_Per_Batch]*IFERROR(INDEX(PP_Grid[#Data],M_BOM[PPGridRow],8),0))</f>
        <v/>
      </c>
      <c r="I30">
        <f>SUMPRODUCT((M_BOM[Part Name]=$A30)*M_BOM[RM_Qty_Per_Batch]*IFERROR(INDEX(PP_Grid[#Data],M_BOM[PPGridRow],9),0))</f>
        <v/>
      </c>
      <c r="J30">
        <f>SUMPRODUCT((M_BOM[Part Name]=$A30)*M_BOM[RM_Qty_Per_Batch]*IFERROR(INDEX(PP_Grid[#Data],M_BOM[PPGridRow],10),0))</f>
        <v/>
      </c>
      <c r="K30">
        <f>SUMPRODUCT((M_BOM[Part Name]=$A30)*M_BOM[RM_Qty_Per_Batch]*IFERROR(INDEX(PP_Grid[#Data],M_BOM[PPGridRow],11),0))</f>
        <v/>
      </c>
      <c r="L30">
        <f>SUMPRODUCT((M_BOM[Part Name]=$A30)*M_BOM[RM_Qty_Per_Batch]*IFERROR(INDEX(PP_Grid[#Data],M_BOM[PPGridRow],12),0))</f>
        <v/>
      </c>
      <c r="M30">
        <f>SUMPRODUCT((M_BOM[Part Name]=$A30)*M_BOM[RM_Qty_Per_Batch]*IFERROR(INDEX(PP_Grid[#Data],M_BOM[PPGridRow],13),0))</f>
        <v/>
      </c>
      <c r="N30">
        <f>SUMPRODUCT((M_BOM[Part Name]=$A30)*M_BOM[RM_Qty_Per_Batch]*IFERROR(INDEX(PP_Grid[#Data],M_BOM[PPGridRow],14),0))</f>
        <v/>
      </c>
      <c r="O30">
        <f>SUMPRODUCT((M_BOM[Part Name]=$A30)*M_BOM[RM_Qty_Per_Batch]*IFERROR(INDEX(PP_Grid[#Data],M_BOM[PPGridRow],15),0))</f>
        <v/>
      </c>
      <c r="P30">
        <f>SUMPRODUCT((M_BOM[Part Name]=$A30)*M_BOM[RM_Qty_Per_Batch]*IFERROR(INDEX(PP_Grid[#Data],M_BOM[PPGridRow],16),0))</f>
        <v/>
      </c>
      <c r="Q30">
        <f>SUMPRODUCT((M_BOM[Part Name]=$A30)*M_BOM[RM_Qty_Per_Batch]*IFERROR(INDEX(PP_Grid[#Data],M_BOM[PPGridRow],17),0))</f>
        <v/>
      </c>
      <c r="R30">
        <f>SUMPRODUCT((M_BOM[Part Name]=$A30)*M_BOM[RM_Qty_Per_Batch]*IFERROR(INDEX(PP_Grid[#Data],M_BOM[PPGridRow],18),0))</f>
        <v/>
      </c>
      <c r="S30">
        <f>SUMPRODUCT((M_BOM[Part Name]=$A30)*M_BOM[RM_Qty_Per_Batch]*IFERROR(INDEX(PP_Grid[#Data],M_BOM[PPGridRow],19),0))</f>
        <v/>
      </c>
      <c r="T30">
        <f>SUMPRODUCT((M_BOM[Part Name]=$A30)*M_BOM[RM_Qty_Per_Batch]*IFERROR(INDEX(PP_Grid[#Data],M_BOM[PPGridRow],20),0))</f>
        <v/>
      </c>
      <c r="U30">
        <f>SUMPRODUCT((M_BOM[Part Name]=$A30)*M_BOM[RM_Qty_Per_Batch]*IFERROR(INDEX(PP_Grid[#Data],M_BOM[PPGridRow],21),0))</f>
        <v/>
      </c>
      <c r="V30">
        <f>SUMPRODUCT((M_BOM[Part Name]=$A30)*M_BOM[RM_Qty_Per_Batch]*IFERROR(INDEX(PP_Grid[#Data],M_BOM[PPGridRow],22),0))</f>
        <v/>
      </c>
      <c r="W30">
        <f>SUMPRODUCT((M_BOM[Part Name]=$A30)*M_BOM[RM_Qty_Per_Batch]*IFERROR(INDEX(PP_Grid[#Data],M_BOM[PPGridRow],23),0))</f>
        <v/>
      </c>
      <c r="X30">
        <f>SUMPRODUCT((M_BOM[Part Name]=$A30)*M_BOM[RM_Qty_Per_Batch]*IFERROR(INDEX(PP_Grid[#Data],M_BOM[PPGridRow],24),0))</f>
        <v/>
      </c>
      <c r="Y30">
        <f>SUMPRODUCT((M_BOM[Part Name]=$A30)*M_BOM[RM_Qty_Per_Batch]*IFERROR(INDEX(PP_Grid[#Data],M_BOM[PPGridRow],25),0))</f>
        <v/>
      </c>
      <c r="Z30">
        <f>SUMPRODUCT((M_BOM[Part Name]=$A30)*M_BOM[RM_Qty_Per_Batch]*IFERROR(INDEX(PP_Grid[#Data],M_BOM[PPGridRow],26),0))</f>
        <v/>
      </c>
      <c r="AA30">
        <f>SUMPRODUCT((M_BOM[Part Name]=$A30)*M_BOM[RM_Qty_Per_Batch]*IFERROR(INDEX(PP_Grid[#Data],M_BOM[PPGridRow],27),0))</f>
        <v/>
      </c>
      <c r="AB30">
        <f>SUMPRODUCT((M_BOM[Part Name]=$A30)*M_BOM[RM_Qty_Per_Batch]*IFERROR(INDEX(PP_Grid[#Data],M_BOM[PPGridRow],28),0))</f>
        <v/>
      </c>
      <c r="AC30">
        <f>SUMPRODUCT((M_BOM[Part Name]=$A30)*M_BOM[RM_Qty_Per_Batch]*IFERROR(INDEX(PP_Grid[#Data],M_BOM[PPGridRow],29),0))</f>
        <v/>
      </c>
      <c r="AD30">
        <f>SUMPRODUCT((M_BOM[Part Name]=$A30)*M_BOM[RM_Qty_Per_Batch]*IFERROR(INDEX(PP_Grid[#Data],M_BOM[PPGridRow],30),0))</f>
        <v/>
      </c>
      <c r="AE30">
        <f>SUMPRODUCT((M_BOM[Part Name]=$A30)*M_BOM[RM_Qty_Per_Batch]*IFERROR(INDEX(PP_Grid[#Data],M_BOM[PPGridRow],31),0))</f>
        <v/>
      </c>
      <c r="AF30">
        <f>SUMPRODUCT((M_BOM[Part Name]=$A30)*M_BOM[RM_Qty_Per_Batch]*IFERROR(INDEX(PP_Grid[#Data],M_BOM[PPGridRow],32),0))</f>
        <v/>
      </c>
      <c r="AG30">
        <f>SUMPRODUCT((M_BOM[Part Name]=$A30)*M_BOM[RM_Qty_Per_Batch]*IFERROR(INDEX(PP_Grid[#Data],M_BOM[PPGridRow],33),0))</f>
        <v/>
      </c>
      <c r="AH30">
        <f>SUMPRODUCT((M_BOM[Part Name]=$A30)*M_BOM[RM_Qty_Per_Batch]*IFERROR(INDEX(PP_Grid[#Data],M_BOM[PPGridRow],34),0))</f>
        <v/>
      </c>
      <c r="AI30">
        <f>SUMPRODUCT((M_BOM[Part Name]=$A30)*M_BOM[RM_Qty_Per_Batch]*IFERROR(INDEX(PP_Grid[#Data],M_BOM[PPGridRow],35),0))</f>
        <v/>
      </c>
      <c r="AJ30">
        <f>SUMPRODUCT((M_BOM[Part Name]=$A30)*M_BOM[RM_Qty_Per_Batch]*IFERROR(INDEX(PP_Grid[#Data],M_BOM[PPGridRow],36),0))</f>
        <v/>
      </c>
      <c r="AK30">
        <f>SUMPRODUCT((M_BOM[Part Name]=$A30)*M_BOM[RM_Qty_Per_Batch]*IFERROR(INDEX(PP_Grid[#Data],M_BOM[PPGridRow],37),0))</f>
        <v/>
      </c>
      <c r="AL30">
        <f>SUMPRODUCT((M_BOM[Part Name]=$A30)*M_BOM[RM_Qty_Per_Batch]*IFERROR(INDEX(PP_Grid[#Data],M_BOM[PPGridRow],38),0))</f>
        <v/>
      </c>
      <c r="AM30">
        <f>SUMPRODUCT((M_BOM[Part Name]=$A30)*M_BOM[RM_Qty_Per_Batch]*IFERROR(INDEX(PP_Grid[#Data],M_BOM[PPGridRow],39),0))</f>
        <v/>
      </c>
      <c r="AN30">
        <f>SUMPRODUCT((M_BOM[Part Name]=$A30)*M_BOM[RM_Qty_Per_Batch]*IFERROR(INDEX(PP_Grid[#Data],M_BOM[PPGridRow],40),0))</f>
        <v/>
      </c>
      <c r="AO30">
        <f>SUMPRODUCT((M_BOM[Part Name]=$A30)*M_BOM[RM_Qty_Per_Batch]*IFERROR(INDEX(PP_Grid[#Data],M_BOM[PPGridRow],41),0))</f>
        <v/>
      </c>
      <c r="AP30">
        <f>SUMPRODUCT((M_BOM[Part Name]=$A30)*M_BOM[RM_Qty_Per_Batch]*IFERROR(INDEX(PP_Grid[#Data],M_BOM[PPGridRow],42),0))</f>
        <v/>
      </c>
      <c r="AQ30">
        <f>SUMPRODUCT((M_BOM[Part Name]=$A30)*M_BOM[RM_Qty_Per_Batch]*IFERROR(INDEX(PP_Grid[#Data],M_BOM[PPGridRow],43),0))</f>
        <v/>
      </c>
      <c r="AR30">
        <f>SUMPRODUCT((M_BOM[Part Name]=$A30)*M_BOM[RM_Qty_Per_Batch]*IFERROR(INDEX(PP_Grid[#Data],M_BOM[PPGridRow],44),0))</f>
        <v/>
      </c>
      <c r="AS30">
        <f>SUMPRODUCT((M_BOM[Part Name]=$A30)*M_BOM[RM_Qty_Per_Batch]*IFERROR(INDEX(PP_Grid[#Data],M_BOM[PPGridRow],45),0))</f>
        <v/>
      </c>
      <c r="AT30">
        <f>SUMPRODUCT((M_BOM[Part Name]=$A30)*M_BOM[RM_Qty_Per_Batch]*IFERROR(INDEX(PP_Grid[#Data],M_BOM[PPGridRow],46),0))</f>
        <v/>
      </c>
      <c r="AU30">
        <f>SUMPRODUCT((M_BOM[Part Name]=$A30)*M_BOM[RM_Qty_Per_Batch]*IFERROR(INDEX(PP_Grid[#Data],M_BOM[PPGridRow],47),0))</f>
        <v/>
      </c>
      <c r="AV30">
        <f>SUMPRODUCT((M_BOM[Part Name]=$A30)*M_BOM[RM_Qty_Per_Batch]*IFERROR(INDEX(PP_Grid[#Data],M_BOM[PPGridRow],48),0))</f>
        <v/>
      </c>
      <c r="AW30">
        <f>SUMPRODUCT((M_BOM[Part Name]=$A30)*M_BOM[RM_Qty_Per_Batch]*IFERROR(INDEX(PP_Grid[#Data],M_BOM[PPGridRow],49),0))</f>
        <v/>
      </c>
      <c r="AX30">
        <f>SUMPRODUCT((M_BOM[Part Name]=$A30)*M_BOM[RM_Qty_Per_Batch]*IFERROR(INDEX(PP_Grid[#Data],M_BOM[PPGridRow],50),0))</f>
        <v/>
      </c>
      <c r="AY30">
        <f>SUMPRODUCT((M_BOM[Part Name]=$A30)*M_BOM[RM_Qty_Per_Batch]*IFERROR(INDEX(PP_Grid[#Data],M_BOM[PPGridRow],51),0))</f>
        <v/>
      </c>
      <c r="AZ30">
        <f>SUMPRODUCT((M_BOM[Part Name]=$A30)*M_BOM[RM_Qty_Per_Batch]*IFERROR(INDEX(PP_Grid[#Data],M_BOM[PPGridRow],52),0))</f>
        <v/>
      </c>
      <c r="BA30">
        <f>SUMPRODUCT((M_BOM[Part Name]=$A30)*M_BOM[RM_Qty_Per_Batch]*IFERROR(INDEX(PP_Grid[#Data],M_BOM[PPGridRow],53),0))</f>
        <v/>
      </c>
      <c r="BB30">
        <f>SUMPRODUCT((M_BOM[Part Name]=$A30)*M_BOM[RM_Qty_Per_Batch]*IFERROR(INDEX(PP_Grid[#Data],M_BOM[PPGridRow],54),0))</f>
        <v/>
      </c>
      <c r="BC30">
        <f>SUMPRODUCT((M_BOM[Part Name]=$A30)*M_BOM[RM_Qty_Per_Batch]*IFERROR(INDEX(PP_Grid[#Data],M_BOM[PPGridRow],55),0))</f>
        <v/>
      </c>
      <c r="BD30">
        <f>SUMPRODUCT((M_BOM[Part Name]=$A30)*M_BOM[RM_Qty_Per_Batch]*IFERROR(INDEX(PP_Grid[#Data],M_BOM[PPGridRow],56),0))</f>
        <v/>
      </c>
      <c r="BE30">
        <f>SUMPRODUCT((M_BOM[Part Name]=$A30)*M_BOM[RM_Qty_Per_Batch]*IFERROR(INDEX(PP_Grid[#Data],M_BOM[PPGridRow],57),0))</f>
        <v/>
      </c>
      <c r="BF30">
        <f>SUMPRODUCT((M_BOM[Part Name]=$A30)*M_BOM[RM_Qty_Per_Batch]*IFERROR(INDEX(PP_Grid[#Data],M_BOM[PPGridRow],58),0))</f>
        <v/>
      </c>
      <c r="BG30">
        <f>SUMPRODUCT((M_BOM[Part Name]=$A30)*M_BOM[RM_Qty_Per_Batch]*IFERROR(INDEX(PP_Grid[#Data],M_BOM[PPGridRow],59),0))</f>
        <v/>
      </c>
      <c r="BH30">
        <f>SUMPRODUCT((M_BOM[Part Name]=$A30)*M_BOM[RM_Qty_Per_Batch]*IFERROR(INDEX(PP_Grid[#Data],M_BOM[PPGridRow],60),0))</f>
        <v/>
      </c>
      <c r="BI30">
        <f>SUMPRODUCT((M_BOM[Part Name]=$A30)*M_BOM[RM_Qty_Per_Batch]*IFERROR(INDEX(PP_Grid[#Data],M_BOM[PPGridRow],61),0))</f>
        <v/>
      </c>
      <c r="BJ30">
        <f>SUMPRODUCT((M_BOM[Part Name]=$A30)*M_BOM[RM_Qty_Per_Batch]*IFERROR(INDEX(PP_Grid[#Data],M_BOM[PPGridRow],62),0))</f>
        <v/>
      </c>
      <c r="BK30">
        <f>SUMPRODUCT((M_BOM[Part Name]=$A30)*M_BOM[RM_Qty_Per_Batch]*IFERROR(INDEX(PP_Grid[#Data],M_BOM[PPGridRow],63),0))</f>
        <v/>
      </c>
      <c r="BL30">
        <f>SUMPRODUCT((M_BOM[Part Name]=$A30)*M_BOM[RM_Qty_Per_Batch]*IFERROR(INDEX(PP_Grid[#Data],M_BOM[PPGridRow],64),0))</f>
        <v/>
      </c>
      <c r="BM30">
        <f>SUMPRODUCT((M_BOM[Part Name]=$A30)*M_BOM[RM_Qty_Per_Batch]*IFERROR(INDEX(PP_Grid[#Data],M_BOM[PPGridRow],65),0))</f>
        <v/>
      </c>
      <c r="BN30">
        <f>SUMPRODUCT((M_BOM[Part Name]=$A30)*M_BOM[RM_Qty_Per_Batch]*IFERROR(INDEX(PP_Grid[#Data],M_BOM[PPGridRow],66),0))</f>
        <v/>
      </c>
      <c r="BO30">
        <f>SUMPRODUCT((M_BOM[Part Name]=$A30)*M_BOM[RM_Qty_Per_Batch]*IFERROR(INDEX(PP_Grid[#Data],M_BOM[PPGridRow],67),0))</f>
        <v/>
      </c>
      <c r="BP30">
        <f>SUMPRODUCT((M_BOM[Part Name]=$A30)*M_BOM[RM_Qty_Per_Batch]*IFERROR(INDEX(PP_Grid[#Data],M_BOM[PPGridRow],68),0))</f>
        <v/>
      </c>
      <c r="BQ30">
        <f>SUMPRODUCT((M_BOM[Part Name]=$A30)*M_BOM[RM_Qty_Per_Batch]*IFERROR(INDEX(PP_Grid[#Data],M_BOM[PPGridRow],69),0))</f>
        <v/>
      </c>
      <c r="BR30">
        <f>SUMPRODUCT((M_BOM[Part Name]=$A30)*M_BOM[RM_Qty_Per_Batch]*IFERROR(INDEX(PP_Grid[#Data],M_BOM[PPGridRow],70),0))</f>
        <v/>
      </c>
      <c r="BS30">
        <f>SUMPRODUCT((M_BOM[Part Name]=$A30)*M_BOM[RM_Qty_Per_Batch]*IFERROR(INDEX(PP_Grid[#Data],M_BOM[PPGridRow],71),0))</f>
        <v/>
      </c>
      <c r="BT30">
        <f>SUMPRODUCT((M_BOM[Part Name]=$A30)*M_BOM[RM_Qty_Per_Batch]*IFERROR(INDEX(PP_Grid[#Data],M_BOM[PPGridRow],72),0))</f>
        <v/>
      </c>
      <c r="BU30">
        <f>SUMPRODUCT((M_BOM[Part Name]=$A30)*M_BOM[RM_Qty_Per_Batch]*IFERROR(INDEX(PP_Grid[#Data],M_BOM[PPGridRow],73),0))</f>
        <v/>
      </c>
      <c r="BV30">
        <f>SUMPRODUCT((M_BOM[Part Name]=$A30)*M_BOM[RM_Qty_Per_Batch]*IFERROR(INDEX(PP_Grid[#Data],M_BOM[PPGridRow],74),0))</f>
        <v/>
      </c>
      <c r="BW30">
        <f>SUMPRODUCT((M_BOM[Part Name]=$A30)*M_BOM[RM_Qty_Per_Batch]*IFERROR(INDEX(PP_Grid[#Data],M_BOM[PPGridRow],75),0))</f>
        <v/>
      </c>
      <c r="BX30">
        <f>SUMPRODUCT((M_BOM[Part Name]=$A30)*M_BOM[RM_Qty_Per_Batch]*IFERROR(INDEX(PP_Grid[#Data],M_BOM[PPGridRow],76),0))</f>
        <v/>
      </c>
      <c r="BY30">
        <f>SUMPRODUCT((M_BOM[Part Name]=$A30)*M_BOM[RM_Qty_Per_Batch]*IFERROR(INDEX(PP_Grid[#Data],M_BOM[PPGridRow],77),0))</f>
        <v/>
      </c>
      <c r="BZ30">
        <f>SUMPRODUCT((M_BOM[Part Name]=$A30)*M_BOM[RM_Qty_Per_Batch]*IFERROR(INDEX(PP_Grid[#Data],M_BOM[PPGridRow],78),0))</f>
        <v/>
      </c>
      <c r="CA30">
        <f>SUMPRODUCT((M_BOM[Part Name]=$A30)*M_BOM[RM_Qty_Per_Batch]*IFERROR(INDEX(PP_Grid[#Data],M_BOM[PPGridRow],79),0))</f>
        <v/>
      </c>
      <c r="CB30">
        <f>SUMPRODUCT((M_BOM[Part Name]=$A30)*M_BOM[RM_Qty_Per_Batch]*IFERROR(INDEX(PP_Grid[#Data],M_BOM[PPGridRow],80),0))</f>
        <v/>
      </c>
      <c r="CC30">
        <f>SUMPRODUCT((M_BOM[Part Name]=$A30)*M_BOM[RM_Qty_Per_Batch]*IFERROR(INDEX(PP_Grid[#Data],M_BOM[PPGridRow],81),0))</f>
        <v/>
      </c>
      <c r="CD30">
        <f>SUMPRODUCT((M_BOM[Part Name]=$A30)*M_BOM[RM_Qty_Per_Batch]*IFERROR(INDEX(PP_Grid[#Data],M_BOM[PPGridRow],82),0))</f>
        <v/>
      </c>
      <c r="CE30">
        <f>SUMPRODUCT((M_BOM[Part Name]=$A30)*M_BOM[RM_Qty_Per_Batch]*IFERROR(INDEX(PP_Grid[#Data],M_BOM[PPGridRow],83),0))</f>
        <v/>
      </c>
      <c r="CF30">
        <f>SUMPRODUCT((M_BOM[Part Name]=$A30)*M_BOM[RM_Qty_Per_Batch]*IFERROR(INDEX(PP_Grid[#Data],M_BOM[PPGridRow],84),0))</f>
        <v/>
      </c>
      <c r="CG30">
        <f>SUMPRODUCT((M_BOM[Part Name]=$A30)*M_BOM[RM_Qty_Per_Batch]*IFERROR(INDEX(PP_Grid[#Data],M_BOM[PPGridRow],85),0))</f>
        <v/>
      </c>
      <c r="CH30">
        <f>SUMPRODUCT((M_BOM[Part Name]=$A30)*M_BOM[RM_Qty_Per_Batch]*IFERROR(INDEX(PP_Grid[#Data],M_BOM[PPGridRow],86),0))</f>
        <v/>
      </c>
      <c r="CI30">
        <f>SUMPRODUCT((M_BOM[Part Name]=$A30)*M_BOM[RM_Qty_Per_Batch]*IFERROR(INDEX(PP_Grid[#Data],M_BOM[PPGridRow],87),0))</f>
        <v/>
      </c>
      <c r="CJ30">
        <f>SUMPRODUCT((M_BOM[Part Name]=$A30)*M_BOM[RM_Qty_Per_Batch]*IFERROR(INDEX(PP_Grid[#Data],M_BOM[PPGridRow],88),0))</f>
        <v/>
      </c>
      <c r="CK30">
        <f>SUMPRODUCT((M_BOM[Part Name]=$A30)*M_BOM[RM_Qty_Per_Batch]*IFERROR(INDEX(PP_Grid[#Data],M_BOM[PPGridRow],89),0))</f>
        <v/>
      </c>
      <c r="CL30">
        <f>SUMPRODUCT((M_BOM[Part Name]=$A30)*M_BOM[RM_Qty_Per_Batch]*IFERROR(INDEX(PP_Grid[#Data],M_BOM[PPGridRow],90),0))</f>
        <v/>
      </c>
      <c r="CM30">
        <f>SUMPRODUCT((M_BOM[Part Name]=$A30)*M_BOM[RM_Qty_Per_Batch]*IFERROR(INDEX(PP_Grid[#Data],M_BOM[PPGridRow],91),0))</f>
        <v/>
      </c>
      <c r="CN30">
        <f>SUMPRODUCT((M_BOM[Part Name]=$A30)*M_BOM[RM_Qty_Per_Batch]*IFERROR(INDEX(PP_Grid[#Data],M_BOM[PPGridRow],92),0))</f>
        <v/>
      </c>
      <c r="CO30">
        <f>SUMPRODUCT((M_BOM[Part Name]=$A30)*M_BOM[RM_Qty_Per_Batch]*IFERROR(INDEX(PP_Grid[#Data],M_BOM[PPGridRow],93),0))</f>
        <v/>
      </c>
      <c r="CP30">
        <f>SUMPRODUCT((M_BOM[Part Name]=$A30)*M_BOM[RM_Qty_Per_Batch]*IFERROR(INDEX(PP_Grid[#Data],M_BOM[PPGridRow],94),0))</f>
        <v/>
      </c>
      <c r="CQ30">
        <f>SUMPRODUCT((M_BOM[Part Name]=$A30)*M_BOM[RM_Qty_Per_Batch]*IFERROR(INDEX(PP_Grid[#Data],M_BOM[PPGridRow],95),0))</f>
        <v/>
      </c>
      <c r="CR30">
        <f>SUMPRODUCT((M_BOM[Part Name]=$A30)*M_BOM[RM_Qty_Per_Batch]*IFERROR(INDEX(PP_Grid[#Data],M_BOM[PPGridRow],96),0))</f>
        <v/>
      </c>
      <c r="CS30">
        <f>SUMPRODUCT((M_BOM[Part Name]=$A30)*M_BOM[RM_Qty_Per_Batch]*IFERROR(INDEX(PP_Grid[#Data],M_BOM[PPGridRow],97),0))</f>
        <v/>
      </c>
      <c r="CT30">
        <f>SUMPRODUCT((M_BOM[Part Name]=$A30)*M_BOM[RM_Qty_Per_Batch]*IFERROR(INDEX(PP_Grid[#Data],M_BOM[PPGridRow],98),0))</f>
        <v/>
      </c>
      <c r="CU30">
        <f>SUMPRODUCT((M_BOM[Part Name]=$A30)*M_BOM[RM_Qty_Per_Batch]*IFERROR(INDEX(PP_Grid[#Data],M_BOM[PPGridRow],99),0))</f>
        <v/>
      </c>
      <c r="CV30">
        <f>SUMPRODUCT((M_BOM[Part Name]=$A30)*M_BOM[RM_Qty_Per_Batch]*IFERROR(INDEX(PP_Grid[#Data],M_BOM[PPGridRow],100),0))</f>
        <v/>
      </c>
      <c r="CW30">
        <f>SUMPRODUCT((M_BOM[Part Name]=$A30)*M_BOM[RM_Qty_Per_Batch]*IFERROR(INDEX(PP_Grid[#Data],M_BOM[PPGridRow],101),0))</f>
        <v/>
      </c>
      <c r="CX30">
        <f>SUMPRODUCT((M_BOM[Part Name]=$A30)*M_BOM[RM_Qty_Per_Batch]*IFERROR(INDEX(PP_Grid[#Data],M_BOM[PPGridRow],102),0))</f>
        <v/>
      </c>
      <c r="CY30">
        <f>SUMPRODUCT((M_BOM[Part Name]=$A30)*M_BOM[RM_Qty_Per_Batch]*IFERROR(INDEX(PP_Grid[#Data],M_BOM[PPGridRow],103),0))</f>
        <v/>
      </c>
      <c r="CZ30">
        <f>SUMPRODUCT((M_BOM[Part Name]=$A30)*M_BOM[RM_Qty_Per_Batch]*IFERROR(INDEX(PP_Grid[#Data],M_BOM[PPGridRow],104),0))</f>
        <v/>
      </c>
      <c r="DA30">
        <f>SUMPRODUCT((M_BOM[Part Name]=$A30)*M_BOM[RM_Qty_Per_Batch]*IFERROR(INDEX(PP_Grid[#Data],M_BOM[PPGridRow],105),0))</f>
        <v/>
      </c>
    </row>
    <row r="31">
      <c r="A31" t="inlineStr">
        <is>
          <t>CHEM-1730</t>
        </is>
      </c>
      <c r="B31">
        <f>SUMPRODUCT((M_BOM[Part Name]=$A31)*M_BOM[RM_Qty_Per_Batch]*IFERROR(INDEX(PP_Grid[#Data],M_BOM[PPGridRow],2),0))</f>
        <v/>
      </c>
      <c r="C31">
        <f>SUMPRODUCT((M_BOM[Part Name]=$A31)*M_BOM[RM_Qty_Per_Batch]*IFERROR(INDEX(PP_Grid[#Data],M_BOM[PPGridRow],3),0))</f>
        <v/>
      </c>
      <c r="D31">
        <f>SUMPRODUCT((M_BOM[Part Name]=$A31)*M_BOM[RM_Qty_Per_Batch]*IFERROR(INDEX(PP_Grid[#Data],M_BOM[PPGridRow],4),0))</f>
        <v/>
      </c>
      <c r="E31">
        <f>SUMPRODUCT((M_BOM[Part Name]=$A31)*M_BOM[RM_Qty_Per_Batch]*IFERROR(INDEX(PP_Grid[#Data],M_BOM[PPGridRow],5),0))</f>
        <v/>
      </c>
      <c r="F31">
        <f>SUMPRODUCT((M_BOM[Part Name]=$A31)*M_BOM[RM_Qty_Per_Batch]*IFERROR(INDEX(PP_Grid[#Data],M_BOM[PPGridRow],6),0))</f>
        <v/>
      </c>
      <c r="G31">
        <f>SUMPRODUCT((M_BOM[Part Name]=$A31)*M_BOM[RM_Qty_Per_Batch]*IFERROR(INDEX(PP_Grid[#Data],M_BOM[PPGridRow],7),0))</f>
        <v/>
      </c>
      <c r="H31">
        <f>SUMPRODUCT((M_BOM[Part Name]=$A31)*M_BOM[RM_Qty_Per_Batch]*IFERROR(INDEX(PP_Grid[#Data],M_BOM[PPGridRow],8),0))</f>
        <v/>
      </c>
      <c r="I31">
        <f>SUMPRODUCT((M_BOM[Part Name]=$A31)*M_BOM[RM_Qty_Per_Batch]*IFERROR(INDEX(PP_Grid[#Data],M_BOM[PPGridRow],9),0))</f>
        <v/>
      </c>
      <c r="J31">
        <f>SUMPRODUCT((M_BOM[Part Name]=$A31)*M_BOM[RM_Qty_Per_Batch]*IFERROR(INDEX(PP_Grid[#Data],M_BOM[PPGridRow],10),0))</f>
        <v/>
      </c>
      <c r="K31">
        <f>SUMPRODUCT((M_BOM[Part Name]=$A31)*M_BOM[RM_Qty_Per_Batch]*IFERROR(INDEX(PP_Grid[#Data],M_BOM[PPGridRow],11),0))</f>
        <v/>
      </c>
      <c r="L31">
        <f>SUMPRODUCT((M_BOM[Part Name]=$A31)*M_BOM[RM_Qty_Per_Batch]*IFERROR(INDEX(PP_Grid[#Data],M_BOM[PPGridRow],12),0))</f>
        <v/>
      </c>
      <c r="M31">
        <f>SUMPRODUCT((M_BOM[Part Name]=$A31)*M_BOM[RM_Qty_Per_Batch]*IFERROR(INDEX(PP_Grid[#Data],M_BOM[PPGridRow],13),0))</f>
        <v/>
      </c>
      <c r="N31">
        <f>SUMPRODUCT((M_BOM[Part Name]=$A31)*M_BOM[RM_Qty_Per_Batch]*IFERROR(INDEX(PP_Grid[#Data],M_BOM[PPGridRow],14),0))</f>
        <v/>
      </c>
      <c r="O31">
        <f>SUMPRODUCT((M_BOM[Part Name]=$A31)*M_BOM[RM_Qty_Per_Batch]*IFERROR(INDEX(PP_Grid[#Data],M_BOM[PPGridRow],15),0))</f>
        <v/>
      </c>
      <c r="P31">
        <f>SUMPRODUCT((M_BOM[Part Name]=$A31)*M_BOM[RM_Qty_Per_Batch]*IFERROR(INDEX(PP_Grid[#Data],M_BOM[PPGridRow],16),0))</f>
        <v/>
      </c>
      <c r="Q31">
        <f>SUMPRODUCT((M_BOM[Part Name]=$A31)*M_BOM[RM_Qty_Per_Batch]*IFERROR(INDEX(PP_Grid[#Data],M_BOM[PPGridRow],17),0))</f>
        <v/>
      </c>
      <c r="R31">
        <f>SUMPRODUCT((M_BOM[Part Name]=$A31)*M_BOM[RM_Qty_Per_Batch]*IFERROR(INDEX(PP_Grid[#Data],M_BOM[PPGridRow],18),0))</f>
        <v/>
      </c>
      <c r="S31">
        <f>SUMPRODUCT((M_BOM[Part Name]=$A31)*M_BOM[RM_Qty_Per_Batch]*IFERROR(INDEX(PP_Grid[#Data],M_BOM[PPGridRow],19),0))</f>
        <v/>
      </c>
      <c r="T31">
        <f>SUMPRODUCT((M_BOM[Part Name]=$A31)*M_BOM[RM_Qty_Per_Batch]*IFERROR(INDEX(PP_Grid[#Data],M_BOM[PPGridRow],20),0))</f>
        <v/>
      </c>
      <c r="U31">
        <f>SUMPRODUCT((M_BOM[Part Name]=$A31)*M_BOM[RM_Qty_Per_Batch]*IFERROR(INDEX(PP_Grid[#Data],M_BOM[PPGridRow],21),0))</f>
        <v/>
      </c>
      <c r="V31">
        <f>SUMPRODUCT((M_BOM[Part Name]=$A31)*M_BOM[RM_Qty_Per_Batch]*IFERROR(INDEX(PP_Grid[#Data],M_BOM[PPGridRow],22),0))</f>
        <v/>
      </c>
      <c r="W31">
        <f>SUMPRODUCT((M_BOM[Part Name]=$A31)*M_BOM[RM_Qty_Per_Batch]*IFERROR(INDEX(PP_Grid[#Data],M_BOM[PPGridRow],23),0))</f>
        <v/>
      </c>
      <c r="X31">
        <f>SUMPRODUCT((M_BOM[Part Name]=$A31)*M_BOM[RM_Qty_Per_Batch]*IFERROR(INDEX(PP_Grid[#Data],M_BOM[PPGridRow],24),0))</f>
        <v/>
      </c>
      <c r="Y31">
        <f>SUMPRODUCT((M_BOM[Part Name]=$A31)*M_BOM[RM_Qty_Per_Batch]*IFERROR(INDEX(PP_Grid[#Data],M_BOM[PPGridRow],25),0))</f>
        <v/>
      </c>
      <c r="Z31">
        <f>SUMPRODUCT((M_BOM[Part Name]=$A31)*M_BOM[RM_Qty_Per_Batch]*IFERROR(INDEX(PP_Grid[#Data],M_BOM[PPGridRow],26),0))</f>
        <v/>
      </c>
      <c r="AA31">
        <f>SUMPRODUCT((M_BOM[Part Name]=$A31)*M_BOM[RM_Qty_Per_Batch]*IFERROR(INDEX(PP_Grid[#Data],M_BOM[PPGridRow],27),0))</f>
        <v/>
      </c>
      <c r="AB31">
        <f>SUMPRODUCT((M_BOM[Part Name]=$A31)*M_BOM[RM_Qty_Per_Batch]*IFERROR(INDEX(PP_Grid[#Data],M_BOM[PPGridRow],28),0))</f>
        <v/>
      </c>
      <c r="AC31">
        <f>SUMPRODUCT((M_BOM[Part Name]=$A31)*M_BOM[RM_Qty_Per_Batch]*IFERROR(INDEX(PP_Grid[#Data],M_BOM[PPGridRow],29),0))</f>
        <v/>
      </c>
      <c r="AD31">
        <f>SUMPRODUCT((M_BOM[Part Name]=$A31)*M_BOM[RM_Qty_Per_Batch]*IFERROR(INDEX(PP_Grid[#Data],M_BOM[PPGridRow],30),0))</f>
        <v/>
      </c>
      <c r="AE31">
        <f>SUMPRODUCT((M_BOM[Part Name]=$A31)*M_BOM[RM_Qty_Per_Batch]*IFERROR(INDEX(PP_Grid[#Data],M_BOM[PPGridRow],31),0))</f>
        <v/>
      </c>
      <c r="AF31">
        <f>SUMPRODUCT((M_BOM[Part Name]=$A31)*M_BOM[RM_Qty_Per_Batch]*IFERROR(INDEX(PP_Grid[#Data],M_BOM[PPGridRow],32),0))</f>
        <v/>
      </c>
      <c r="AG31">
        <f>SUMPRODUCT((M_BOM[Part Name]=$A31)*M_BOM[RM_Qty_Per_Batch]*IFERROR(INDEX(PP_Grid[#Data],M_BOM[PPGridRow],33),0))</f>
        <v/>
      </c>
      <c r="AH31">
        <f>SUMPRODUCT((M_BOM[Part Name]=$A31)*M_BOM[RM_Qty_Per_Batch]*IFERROR(INDEX(PP_Grid[#Data],M_BOM[PPGridRow],34),0))</f>
        <v/>
      </c>
      <c r="AI31">
        <f>SUMPRODUCT((M_BOM[Part Name]=$A31)*M_BOM[RM_Qty_Per_Batch]*IFERROR(INDEX(PP_Grid[#Data],M_BOM[PPGridRow],35),0))</f>
        <v/>
      </c>
      <c r="AJ31">
        <f>SUMPRODUCT((M_BOM[Part Name]=$A31)*M_BOM[RM_Qty_Per_Batch]*IFERROR(INDEX(PP_Grid[#Data],M_BOM[PPGridRow],36),0))</f>
        <v/>
      </c>
      <c r="AK31">
        <f>SUMPRODUCT((M_BOM[Part Name]=$A31)*M_BOM[RM_Qty_Per_Batch]*IFERROR(INDEX(PP_Grid[#Data],M_BOM[PPGridRow],37),0))</f>
        <v/>
      </c>
      <c r="AL31">
        <f>SUMPRODUCT((M_BOM[Part Name]=$A31)*M_BOM[RM_Qty_Per_Batch]*IFERROR(INDEX(PP_Grid[#Data],M_BOM[PPGridRow],38),0))</f>
        <v/>
      </c>
      <c r="AM31">
        <f>SUMPRODUCT((M_BOM[Part Name]=$A31)*M_BOM[RM_Qty_Per_Batch]*IFERROR(INDEX(PP_Grid[#Data],M_BOM[PPGridRow],39),0))</f>
        <v/>
      </c>
      <c r="AN31">
        <f>SUMPRODUCT((M_BOM[Part Name]=$A31)*M_BOM[RM_Qty_Per_Batch]*IFERROR(INDEX(PP_Grid[#Data],M_BOM[PPGridRow],40),0))</f>
        <v/>
      </c>
      <c r="AO31">
        <f>SUMPRODUCT((M_BOM[Part Name]=$A31)*M_BOM[RM_Qty_Per_Batch]*IFERROR(INDEX(PP_Grid[#Data],M_BOM[PPGridRow],41),0))</f>
        <v/>
      </c>
      <c r="AP31">
        <f>SUMPRODUCT((M_BOM[Part Name]=$A31)*M_BOM[RM_Qty_Per_Batch]*IFERROR(INDEX(PP_Grid[#Data],M_BOM[PPGridRow],42),0))</f>
        <v/>
      </c>
      <c r="AQ31">
        <f>SUMPRODUCT((M_BOM[Part Name]=$A31)*M_BOM[RM_Qty_Per_Batch]*IFERROR(INDEX(PP_Grid[#Data],M_BOM[PPGridRow],43),0))</f>
        <v/>
      </c>
      <c r="AR31">
        <f>SUMPRODUCT((M_BOM[Part Name]=$A31)*M_BOM[RM_Qty_Per_Batch]*IFERROR(INDEX(PP_Grid[#Data],M_BOM[PPGridRow],44),0))</f>
        <v/>
      </c>
      <c r="AS31">
        <f>SUMPRODUCT((M_BOM[Part Name]=$A31)*M_BOM[RM_Qty_Per_Batch]*IFERROR(INDEX(PP_Grid[#Data],M_BOM[PPGridRow],45),0))</f>
        <v/>
      </c>
      <c r="AT31">
        <f>SUMPRODUCT((M_BOM[Part Name]=$A31)*M_BOM[RM_Qty_Per_Batch]*IFERROR(INDEX(PP_Grid[#Data],M_BOM[PPGridRow],46),0))</f>
        <v/>
      </c>
      <c r="AU31">
        <f>SUMPRODUCT((M_BOM[Part Name]=$A31)*M_BOM[RM_Qty_Per_Batch]*IFERROR(INDEX(PP_Grid[#Data],M_BOM[PPGridRow],47),0))</f>
        <v/>
      </c>
      <c r="AV31">
        <f>SUMPRODUCT((M_BOM[Part Name]=$A31)*M_BOM[RM_Qty_Per_Batch]*IFERROR(INDEX(PP_Grid[#Data],M_BOM[PPGridRow],48),0))</f>
        <v/>
      </c>
      <c r="AW31">
        <f>SUMPRODUCT((M_BOM[Part Name]=$A31)*M_BOM[RM_Qty_Per_Batch]*IFERROR(INDEX(PP_Grid[#Data],M_BOM[PPGridRow],49),0))</f>
        <v/>
      </c>
      <c r="AX31">
        <f>SUMPRODUCT((M_BOM[Part Name]=$A31)*M_BOM[RM_Qty_Per_Batch]*IFERROR(INDEX(PP_Grid[#Data],M_BOM[PPGridRow],50),0))</f>
        <v/>
      </c>
      <c r="AY31">
        <f>SUMPRODUCT((M_BOM[Part Name]=$A31)*M_BOM[RM_Qty_Per_Batch]*IFERROR(INDEX(PP_Grid[#Data],M_BOM[PPGridRow],51),0))</f>
        <v/>
      </c>
      <c r="AZ31">
        <f>SUMPRODUCT((M_BOM[Part Name]=$A31)*M_BOM[RM_Qty_Per_Batch]*IFERROR(INDEX(PP_Grid[#Data],M_BOM[PPGridRow],52),0))</f>
        <v/>
      </c>
      <c r="BA31">
        <f>SUMPRODUCT((M_BOM[Part Name]=$A31)*M_BOM[RM_Qty_Per_Batch]*IFERROR(INDEX(PP_Grid[#Data],M_BOM[PPGridRow],53),0))</f>
        <v/>
      </c>
      <c r="BB31">
        <f>SUMPRODUCT((M_BOM[Part Name]=$A31)*M_BOM[RM_Qty_Per_Batch]*IFERROR(INDEX(PP_Grid[#Data],M_BOM[PPGridRow],54),0))</f>
        <v/>
      </c>
      <c r="BC31">
        <f>SUMPRODUCT((M_BOM[Part Name]=$A31)*M_BOM[RM_Qty_Per_Batch]*IFERROR(INDEX(PP_Grid[#Data],M_BOM[PPGridRow],55),0))</f>
        <v/>
      </c>
      <c r="BD31">
        <f>SUMPRODUCT((M_BOM[Part Name]=$A31)*M_BOM[RM_Qty_Per_Batch]*IFERROR(INDEX(PP_Grid[#Data],M_BOM[PPGridRow],56),0))</f>
        <v/>
      </c>
      <c r="BE31">
        <f>SUMPRODUCT((M_BOM[Part Name]=$A31)*M_BOM[RM_Qty_Per_Batch]*IFERROR(INDEX(PP_Grid[#Data],M_BOM[PPGridRow],57),0))</f>
        <v/>
      </c>
      <c r="BF31">
        <f>SUMPRODUCT((M_BOM[Part Name]=$A31)*M_BOM[RM_Qty_Per_Batch]*IFERROR(INDEX(PP_Grid[#Data],M_BOM[PPGridRow],58),0))</f>
        <v/>
      </c>
      <c r="BG31">
        <f>SUMPRODUCT((M_BOM[Part Name]=$A31)*M_BOM[RM_Qty_Per_Batch]*IFERROR(INDEX(PP_Grid[#Data],M_BOM[PPGridRow],59),0))</f>
        <v/>
      </c>
      <c r="BH31">
        <f>SUMPRODUCT((M_BOM[Part Name]=$A31)*M_BOM[RM_Qty_Per_Batch]*IFERROR(INDEX(PP_Grid[#Data],M_BOM[PPGridRow],60),0))</f>
        <v/>
      </c>
      <c r="BI31">
        <f>SUMPRODUCT((M_BOM[Part Name]=$A31)*M_BOM[RM_Qty_Per_Batch]*IFERROR(INDEX(PP_Grid[#Data],M_BOM[PPGridRow],61),0))</f>
        <v/>
      </c>
      <c r="BJ31">
        <f>SUMPRODUCT((M_BOM[Part Name]=$A31)*M_BOM[RM_Qty_Per_Batch]*IFERROR(INDEX(PP_Grid[#Data],M_BOM[PPGridRow],62),0))</f>
        <v/>
      </c>
      <c r="BK31">
        <f>SUMPRODUCT((M_BOM[Part Name]=$A31)*M_BOM[RM_Qty_Per_Batch]*IFERROR(INDEX(PP_Grid[#Data],M_BOM[PPGridRow],63),0))</f>
        <v/>
      </c>
      <c r="BL31">
        <f>SUMPRODUCT((M_BOM[Part Name]=$A31)*M_BOM[RM_Qty_Per_Batch]*IFERROR(INDEX(PP_Grid[#Data],M_BOM[PPGridRow],64),0))</f>
        <v/>
      </c>
      <c r="BM31">
        <f>SUMPRODUCT((M_BOM[Part Name]=$A31)*M_BOM[RM_Qty_Per_Batch]*IFERROR(INDEX(PP_Grid[#Data],M_BOM[PPGridRow],65),0))</f>
        <v/>
      </c>
      <c r="BN31">
        <f>SUMPRODUCT((M_BOM[Part Name]=$A31)*M_BOM[RM_Qty_Per_Batch]*IFERROR(INDEX(PP_Grid[#Data],M_BOM[PPGridRow],66),0))</f>
        <v/>
      </c>
      <c r="BO31">
        <f>SUMPRODUCT((M_BOM[Part Name]=$A31)*M_BOM[RM_Qty_Per_Batch]*IFERROR(INDEX(PP_Grid[#Data],M_BOM[PPGridRow],67),0))</f>
        <v/>
      </c>
      <c r="BP31">
        <f>SUMPRODUCT((M_BOM[Part Name]=$A31)*M_BOM[RM_Qty_Per_Batch]*IFERROR(INDEX(PP_Grid[#Data],M_BOM[PPGridRow],68),0))</f>
        <v/>
      </c>
      <c r="BQ31">
        <f>SUMPRODUCT((M_BOM[Part Name]=$A31)*M_BOM[RM_Qty_Per_Batch]*IFERROR(INDEX(PP_Grid[#Data],M_BOM[PPGridRow],69),0))</f>
        <v/>
      </c>
      <c r="BR31">
        <f>SUMPRODUCT((M_BOM[Part Name]=$A31)*M_BOM[RM_Qty_Per_Batch]*IFERROR(INDEX(PP_Grid[#Data],M_BOM[PPGridRow],70),0))</f>
        <v/>
      </c>
      <c r="BS31">
        <f>SUMPRODUCT((M_BOM[Part Name]=$A31)*M_BOM[RM_Qty_Per_Batch]*IFERROR(INDEX(PP_Grid[#Data],M_BOM[PPGridRow],71),0))</f>
        <v/>
      </c>
      <c r="BT31">
        <f>SUMPRODUCT((M_BOM[Part Name]=$A31)*M_BOM[RM_Qty_Per_Batch]*IFERROR(INDEX(PP_Grid[#Data],M_BOM[PPGridRow],72),0))</f>
        <v/>
      </c>
      <c r="BU31">
        <f>SUMPRODUCT((M_BOM[Part Name]=$A31)*M_BOM[RM_Qty_Per_Batch]*IFERROR(INDEX(PP_Grid[#Data],M_BOM[PPGridRow],73),0))</f>
        <v/>
      </c>
      <c r="BV31">
        <f>SUMPRODUCT((M_BOM[Part Name]=$A31)*M_BOM[RM_Qty_Per_Batch]*IFERROR(INDEX(PP_Grid[#Data],M_BOM[PPGridRow],74),0))</f>
        <v/>
      </c>
      <c r="BW31">
        <f>SUMPRODUCT((M_BOM[Part Name]=$A31)*M_BOM[RM_Qty_Per_Batch]*IFERROR(INDEX(PP_Grid[#Data],M_BOM[PPGridRow],75),0))</f>
        <v/>
      </c>
      <c r="BX31">
        <f>SUMPRODUCT((M_BOM[Part Name]=$A31)*M_BOM[RM_Qty_Per_Batch]*IFERROR(INDEX(PP_Grid[#Data],M_BOM[PPGridRow],76),0))</f>
        <v/>
      </c>
      <c r="BY31">
        <f>SUMPRODUCT((M_BOM[Part Name]=$A31)*M_BOM[RM_Qty_Per_Batch]*IFERROR(INDEX(PP_Grid[#Data],M_BOM[PPGridRow],77),0))</f>
        <v/>
      </c>
      <c r="BZ31">
        <f>SUMPRODUCT((M_BOM[Part Name]=$A31)*M_BOM[RM_Qty_Per_Batch]*IFERROR(INDEX(PP_Grid[#Data],M_BOM[PPGridRow],78),0))</f>
        <v/>
      </c>
      <c r="CA31">
        <f>SUMPRODUCT((M_BOM[Part Name]=$A31)*M_BOM[RM_Qty_Per_Batch]*IFERROR(INDEX(PP_Grid[#Data],M_BOM[PPGridRow],79),0))</f>
        <v/>
      </c>
      <c r="CB31">
        <f>SUMPRODUCT((M_BOM[Part Name]=$A31)*M_BOM[RM_Qty_Per_Batch]*IFERROR(INDEX(PP_Grid[#Data],M_BOM[PPGridRow],80),0))</f>
        <v/>
      </c>
      <c r="CC31">
        <f>SUMPRODUCT((M_BOM[Part Name]=$A31)*M_BOM[RM_Qty_Per_Batch]*IFERROR(INDEX(PP_Grid[#Data],M_BOM[PPGridRow],81),0))</f>
        <v/>
      </c>
      <c r="CD31">
        <f>SUMPRODUCT((M_BOM[Part Name]=$A31)*M_BOM[RM_Qty_Per_Batch]*IFERROR(INDEX(PP_Grid[#Data],M_BOM[PPGridRow],82),0))</f>
        <v/>
      </c>
      <c r="CE31">
        <f>SUMPRODUCT((M_BOM[Part Name]=$A31)*M_BOM[RM_Qty_Per_Batch]*IFERROR(INDEX(PP_Grid[#Data],M_BOM[PPGridRow],83),0))</f>
        <v/>
      </c>
      <c r="CF31">
        <f>SUMPRODUCT((M_BOM[Part Name]=$A31)*M_BOM[RM_Qty_Per_Batch]*IFERROR(INDEX(PP_Grid[#Data],M_BOM[PPGridRow],84),0))</f>
        <v/>
      </c>
      <c r="CG31">
        <f>SUMPRODUCT((M_BOM[Part Name]=$A31)*M_BOM[RM_Qty_Per_Batch]*IFERROR(INDEX(PP_Grid[#Data],M_BOM[PPGridRow],85),0))</f>
        <v/>
      </c>
      <c r="CH31">
        <f>SUMPRODUCT((M_BOM[Part Name]=$A31)*M_BOM[RM_Qty_Per_Batch]*IFERROR(INDEX(PP_Grid[#Data],M_BOM[PPGridRow],86),0))</f>
        <v/>
      </c>
      <c r="CI31">
        <f>SUMPRODUCT((M_BOM[Part Name]=$A31)*M_BOM[RM_Qty_Per_Batch]*IFERROR(INDEX(PP_Grid[#Data],M_BOM[PPGridRow],87),0))</f>
        <v/>
      </c>
      <c r="CJ31">
        <f>SUMPRODUCT((M_BOM[Part Name]=$A31)*M_BOM[RM_Qty_Per_Batch]*IFERROR(INDEX(PP_Grid[#Data],M_BOM[PPGridRow],88),0))</f>
        <v/>
      </c>
      <c r="CK31">
        <f>SUMPRODUCT((M_BOM[Part Name]=$A31)*M_BOM[RM_Qty_Per_Batch]*IFERROR(INDEX(PP_Grid[#Data],M_BOM[PPGridRow],89),0))</f>
        <v/>
      </c>
      <c r="CL31">
        <f>SUMPRODUCT((M_BOM[Part Name]=$A31)*M_BOM[RM_Qty_Per_Batch]*IFERROR(INDEX(PP_Grid[#Data],M_BOM[PPGridRow],90),0))</f>
        <v/>
      </c>
      <c r="CM31">
        <f>SUMPRODUCT((M_BOM[Part Name]=$A31)*M_BOM[RM_Qty_Per_Batch]*IFERROR(INDEX(PP_Grid[#Data],M_BOM[PPGridRow],91),0))</f>
        <v/>
      </c>
      <c r="CN31">
        <f>SUMPRODUCT((M_BOM[Part Name]=$A31)*M_BOM[RM_Qty_Per_Batch]*IFERROR(INDEX(PP_Grid[#Data],M_BOM[PPGridRow],92),0))</f>
        <v/>
      </c>
      <c r="CO31">
        <f>SUMPRODUCT((M_BOM[Part Name]=$A31)*M_BOM[RM_Qty_Per_Batch]*IFERROR(INDEX(PP_Grid[#Data],M_BOM[PPGridRow],93),0))</f>
        <v/>
      </c>
      <c r="CP31">
        <f>SUMPRODUCT((M_BOM[Part Name]=$A31)*M_BOM[RM_Qty_Per_Batch]*IFERROR(INDEX(PP_Grid[#Data],M_BOM[PPGridRow],94),0))</f>
        <v/>
      </c>
      <c r="CQ31">
        <f>SUMPRODUCT((M_BOM[Part Name]=$A31)*M_BOM[RM_Qty_Per_Batch]*IFERROR(INDEX(PP_Grid[#Data],M_BOM[PPGridRow],95),0))</f>
        <v/>
      </c>
      <c r="CR31">
        <f>SUMPRODUCT((M_BOM[Part Name]=$A31)*M_BOM[RM_Qty_Per_Batch]*IFERROR(INDEX(PP_Grid[#Data],M_BOM[PPGridRow],96),0))</f>
        <v/>
      </c>
      <c r="CS31">
        <f>SUMPRODUCT((M_BOM[Part Name]=$A31)*M_BOM[RM_Qty_Per_Batch]*IFERROR(INDEX(PP_Grid[#Data],M_BOM[PPGridRow],97),0))</f>
        <v/>
      </c>
      <c r="CT31">
        <f>SUMPRODUCT((M_BOM[Part Name]=$A31)*M_BOM[RM_Qty_Per_Batch]*IFERROR(INDEX(PP_Grid[#Data],M_BOM[PPGridRow],98),0))</f>
        <v/>
      </c>
      <c r="CU31">
        <f>SUMPRODUCT((M_BOM[Part Name]=$A31)*M_BOM[RM_Qty_Per_Batch]*IFERROR(INDEX(PP_Grid[#Data],M_BOM[PPGridRow],99),0))</f>
        <v/>
      </c>
      <c r="CV31">
        <f>SUMPRODUCT((M_BOM[Part Name]=$A31)*M_BOM[RM_Qty_Per_Batch]*IFERROR(INDEX(PP_Grid[#Data],M_BOM[PPGridRow],100),0))</f>
        <v/>
      </c>
      <c r="CW31">
        <f>SUMPRODUCT((M_BOM[Part Name]=$A31)*M_BOM[RM_Qty_Per_Batch]*IFERROR(INDEX(PP_Grid[#Data],M_BOM[PPGridRow],101),0))</f>
        <v/>
      </c>
      <c r="CX31">
        <f>SUMPRODUCT((M_BOM[Part Name]=$A31)*M_BOM[RM_Qty_Per_Batch]*IFERROR(INDEX(PP_Grid[#Data],M_BOM[PPGridRow],102),0))</f>
        <v/>
      </c>
      <c r="CY31">
        <f>SUMPRODUCT((M_BOM[Part Name]=$A31)*M_BOM[RM_Qty_Per_Batch]*IFERROR(INDEX(PP_Grid[#Data],M_BOM[PPGridRow],103),0))</f>
        <v/>
      </c>
      <c r="CZ31">
        <f>SUMPRODUCT((M_BOM[Part Name]=$A31)*M_BOM[RM_Qty_Per_Batch]*IFERROR(INDEX(PP_Grid[#Data],M_BOM[PPGridRow],104),0))</f>
        <v/>
      </c>
      <c r="DA31">
        <f>SUMPRODUCT((M_BOM[Part Name]=$A31)*M_BOM[RM_Qty_Per_Batch]*IFERROR(INDEX(PP_Grid[#Data],M_BOM[PPGridRow],105),0))</f>
        <v/>
      </c>
    </row>
    <row r="32">
      <c r="A32" t="inlineStr">
        <is>
          <t>CHEM-1430</t>
        </is>
      </c>
      <c r="B32">
        <f>SUMPRODUCT((M_BOM[Part Name]=$A32)*M_BOM[RM_Qty_Per_Batch]*IFERROR(INDEX(PP_Grid[#Data],M_BOM[PPGridRow],2),0))</f>
        <v/>
      </c>
      <c r="C32">
        <f>SUMPRODUCT((M_BOM[Part Name]=$A32)*M_BOM[RM_Qty_Per_Batch]*IFERROR(INDEX(PP_Grid[#Data],M_BOM[PPGridRow],3),0))</f>
        <v/>
      </c>
      <c r="D32">
        <f>SUMPRODUCT((M_BOM[Part Name]=$A32)*M_BOM[RM_Qty_Per_Batch]*IFERROR(INDEX(PP_Grid[#Data],M_BOM[PPGridRow],4),0))</f>
        <v/>
      </c>
      <c r="E32">
        <f>SUMPRODUCT((M_BOM[Part Name]=$A32)*M_BOM[RM_Qty_Per_Batch]*IFERROR(INDEX(PP_Grid[#Data],M_BOM[PPGridRow],5),0))</f>
        <v/>
      </c>
      <c r="F32">
        <f>SUMPRODUCT((M_BOM[Part Name]=$A32)*M_BOM[RM_Qty_Per_Batch]*IFERROR(INDEX(PP_Grid[#Data],M_BOM[PPGridRow],6),0))</f>
        <v/>
      </c>
      <c r="G32">
        <f>SUMPRODUCT((M_BOM[Part Name]=$A32)*M_BOM[RM_Qty_Per_Batch]*IFERROR(INDEX(PP_Grid[#Data],M_BOM[PPGridRow],7),0))</f>
        <v/>
      </c>
      <c r="H32">
        <f>SUMPRODUCT((M_BOM[Part Name]=$A32)*M_BOM[RM_Qty_Per_Batch]*IFERROR(INDEX(PP_Grid[#Data],M_BOM[PPGridRow],8),0))</f>
        <v/>
      </c>
      <c r="I32">
        <f>SUMPRODUCT((M_BOM[Part Name]=$A32)*M_BOM[RM_Qty_Per_Batch]*IFERROR(INDEX(PP_Grid[#Data],M_BOM[PPGridRow],9),0))</f>
        <v/>
      </c>
      <c r="J32">
        <f>SUMPRODUCT((M_BOM[Part Name]=$A32)*M_BOM[RM_Qty_Per_Batch]*IFERROR(INDEX(PP_Grid[#Data],M_BOM[PPGridRow],10),0))</f>
        <v/>
      </c>
      <c r="K32">
        <f>SUMPRODUCT((M_BOM[Part Name]=$A32)*M_BOM[RM_Qty_Per_Batch]*IFERROR(INDEX(PP_Grid[#Data],M_BOM[PPGridRow],11),0))</f>
        <v/>
      </c>
      <c r="L32">
        <f>SUMPRODUCT((M_BOM[Part Name]=$A32)*M_BOM[RM_Qty_Per_Batch]*IFERROR(INDEX(PP_Grid[#Data],M_BOM[PPGridRow],12),0))</f>
        <v/>
      </c>
      <c r="M32">
        <f>SUMPRODUCT((M_BOM[Part Name]=$A32)*M_BOM[RM_Qty_Per_Batch]*IFERROR(INDEX(PP_Grid[#Data],M_BOM[PPGridRow],13),0))</f>
        <v/>
      </c>
      <c r="N32">
        <f>SUMPRODUCT((M_BOM[Part Name]=$A32)*M_BOM[RM_Qty_Per_Batch]*IFERROR(INDEX(PP_Grid[#Data],M_BOM[PPGridRow],14),0))</f>
        <v/>
      </c>
      <c r="O32">
        <f>SUMPRODUCT((M_BOM[Part Name]=$A32)*M_BOM[RM_Qty_Per_Batch]*IFERROR(INDEX(PP_Grid[#Data],M_BOM[PPGridRow],15),0))</f>
        <v/>
      </c>
      <c r="P32">
        <f>SUMPRODUCT((M_BOM[Part Name]=$A32)*M_BOM[RM_Qty_Per_Batch]*IFERROR(INDEX(PP_Grid[#Data],M_BOM[PPGridRow],16),0))</f>
        <v/>
      </c>
      <c r="Q32">
        <f>SUMPRODUCT((M_BOM[Part Name]=$A32)*M_BOM[RM_Qty_Per_Batch]*IFERROR(INDEX(PP_Grid[#Data],M_BOM[PPGridRow],17),0))</f>
        <v/>
      </c>
      <c r="R32">
        <f>SUMPRODUCT((M_BOM[Part Name]=$A32)*M_BOM[RM_Qty_Per_Batch]*IFERROR(INDEX(PP_Grid[#Data],M_BOM[PPGridRow],18),0))</f>
        <v/>
      </c>
      <c r="S32">
        <f>SUMPRODUCT((M_BOM[Part Name]=$A32)*M_BOM[RM_Qty_Per_Batch]*IFERROR(INDEX(PP_Grid[#Data],M_BOM[PPGridRow],19),0))</f>
        <v/>
      </c>
      <c r="T32">
        <f>SUMPRODUCT((M_BOM[Part Name]=$A32)*M_BOM[RM_Qty_Per_Batch]*IFERROR(INDEX(PP_Grid[#Data],M_BOM[PPGridRow],20),0))</f>
        <v/>
      </c>
      <c r="U32">
        <f>SUMPRODUCT((M_BOM[Part Name]=$A32)*M_BOM[RM_Qty_Per_Batch]*IFERROR(INDEX(PP_Grid[#Data],M_BOM[PPGridRow],21),0))</f>
        <v/>
      </c>
      <c r="V32">
        <f>SUMPRODUCT((M_BOM[Part Name]=$A32)*M_BOM[RM_Qty_Per_Batch]*IFERROR(INDEX(PP_Grid[#Data],M_BOM[PPGridRow],22),0))</f>
        <v/>
      </c>
      <c r="W32">
        <f>SUMPRODUCT((M_BOM[Part Name]=$A32)*M_BOM[RM_Qty_Per_Batch]*IFERROR(INDEX(PP_Grid[#Data],M_BOM[PPGridRow],23),0))</f>
        <v/>
      </c>
      <c r="X32">
        <f>SUMPRODUCT((M_BOM[Part Name]=$A32)*M_BOM[RM_Qty_Per_Batch]*IFERROR(INDEX(PP_Grid[#Data],M_BOM[PPGridRow],24),0))</f>
        <v/>
      </c>
      <c r="Y32">
        <f>SUMPRODUCT((M_BOM[Part Name]=$A32)*M_BOM[RM_Qty_Per_Batch]*IFERROR(INDEX(PP_Grid[#Data],M_BOM[PPGridRow],25),0))</f>
        <v/>
      </c>
      <c r="Z32">
        <f>SUMPRODUCT((M_BOM[Part Name]=$A32)*M_BOM[RM_Qty_Per_Batch]*IFERROR(INDEX(PP_Grid[#Data],M_BOM[PPGridRow],26),0))</f>
        <v/>
      </c>
      <c r="AA32">
        <f>SUMPRODUCT((M_BOM[Part Name]=$A32)*M_BOM[RM_Qty_Per_Batch]*IFERROR(INDEX(PP_Grid[#Data],M_BOM[PPGridRow],27),0))</f>
        <v/>
      </c>
      <c r="AB32">
        <f>SUMPRODUCT((M_BOM[Part Name]=$A32)*M_BOM[RM_Qty_Per_Batch]*IFERROR(INDEX(PP_Grid[#Data],M_BOM[PPGridRow],28),0))</f>
        <v/>
      </c>
      <c r="AC32">
        <f>SUMPRODUCT((M_BOM[Part Name]=$A32)*M_BOM[RM_Qty_Per_Batch]*IFERROR(INDEX(PP_Grid[#Data],M_BOM[PPGridRow],29),0))</f>
        <v/>
      </c>
      <c r="AD32">
        <f>SUMPRODUCT((M_BOM[Part Name]=$A32)*M_BOM[RM_Qty_Per_Batch]*IFERROR(INDEX(PP_Grid[#Data],M_BOM[PPGridRow],30),0))</f>
        <v/>
      </c>
      <c r="AE32">
        <f>SUMPRODUCT((M_BOM[Part Name]=$A32)*M_BOM[RM_Qty_Per_Batch]*IFERROR(INDEX(PP_Grid[#Data],M_BOM[PPGridRow],31),0))</f>
        <v/>
      </c>
      <c r="AF32">
        <f>SUMPRODUCT((M_BOM[Part Name]=$A32)*M_BOM[RM_Qty_Per_Batch]*IFERROR(INDEX(PP_Grid[#Data],M_BOM[PPGridRow],32),0))</f>
        <v/>
      </c>
      <c r="AG32">
        <f>SUMPRODUCT((M_BOM[Part Name]=$A32)*M_BOM[RM_Qty_Per_Batch]*IFERROR(INDEX(PP_Grid[#Data],M_BOM[PPGridRow],33),0))</f>
        <v/>
      </c>
      <c r="AH32">
        <f>SUMPRODUCT((M_BOM[Part Name]=$A32)*M_BOM[RM_Qty_Per_Batch]*IFERROR(INDEX(PP_Grid[#Data],M_BOM[PPGridRow],34),0))</f>
        <v/>
      </c>
      <c r="AI32">
        <f>SUMPRODUCT((M_BOM[Part Name]=$A32)*M_BOM[RM_Qty_Per_Batch]*IFERROR(INDEX(PP_Grid[#Data],M_BOM[PPGridRow],35),0))</f>
        <v/>
      </c>
      <c r="AJ32">
        <f>SUMPRODUCT((M_BOM[Part Name]=$A32)*M_BOM[RM_Qty_Per_Batch]*IFERROR(INDEX(PP_Grid[#Data],M_BOM[PPGridRow],36),0))</f>
        <v/>
      </c>
      <c r="AK32">
        <f>SUMPRODUCT((M_BOM[Part Name]=$A32)*M_BOM[RM_Qty_Per_Batch]*IFERROR(INDEX(PP_Grid[#Data],M_BOM[PPGridRow],37),0))</f>
        <v/>
      </c>
      <c r="AL32">
        <f>SUMPRODUCT((M_BOM[Part Name]=$A32)*M_BOM[RM_Qty_Per_Batch]*IFERROR(INDEX(PP_Grid[#Data],M_BOM[PPGridRow],38),0))</f>
        <v/>
      </c>
      <c r="AM32">
        <f>SUMPRODUCT((M_BOM[Part Name]=$A32)*M_BOM[RM_Qty_Per_Batch]*IFERROR(INDEX(PP_Grid[#Data],M_BOM[PPGridRow],39),0))</f>
        <v/>
      </c>
      <c r="AN32">
        <f>SUMPRODUCT((M_BOM[Part Name]=$A32)*M_BOM[RM_Qty_Per_Batch]*IFERROR(INDEX(PP_Grid[#Data],M_BOM[PPGridRow],40),0))</f>
        <v/>
      </c>
      <c r="AO32">
        <f>SUMPRODUCT((M_BOM[Part Name]=$A32)*M_BOM[RM_Qty_Per_Batch]*IFERROR(INDEX(PP_Grid[#Data],M_BOM[PPGridRow],41),0))</f>
        <v/>
      </c>
      <c r="AP32">
        <f>SUMPRODUCT((M_BOM[Part Name]=$A32)*M_BOM[RM_Qty_Per_Batch]*IFERROR(INDEX(PP_Grid[#Data],M_BOM[PPGridRow],42),0))</f>
        <v/>
      </c>
      <c r="AQ32">
        <f>SUMPRODUCT((M_BOM[Part Name]=$A32)*M_BOM[RM_Qty_Per_Batch]*IFERROR(INDEX(PP_Grid[#Data],M_BOM[PPGridRow],43),0))</f>
        <v/>
      </c>
      <c r="AR32">
        <f>SUMPRODUCT((M_BOM[Part Name]=$A32)*M_BOM[RM_Qty_Per_Batch]*IFERROR(INDEX(PP_Grid[#Data],M_BOM[PPGridRow],44),0))</f>
        <v/>
      </c>
      <c r="AS32">
        <f>SUMPRODUCT((M_BOM[Part Name]=$A32)*M_BOM[RM_Qty_Per_Batch]*IFERROR(INDEX(PP_Grid[#Data],M_BOM[PPGridRow],45),0))</f>
        <v/>
      </c>
      <c r="AT32">
        <f>SUMPRODUCT((M_BOM[Part Name]=$A32)*M_BOM[RM_Qty_Per_Batch]*IFERROR(INDEX(PP_Grid[#Data],M_BOM[PPGridRow],46),0))</f>
        <v/>
      </c>
      <c r="AU32">
        <f>SUMPRODUCT((M_BOM[Part Name]=$A32)*M_BOM[RM_Qty_Per_Batch]*IFERROR(INDEX(PP_Grid[#Data],M_BOM[PPGridRow],47),0))</f>
        <v/>
      </c>
      <c r="AV32">
        <f>SUMPRODUCT((M_BOM[Part Name]=$A32)*M_BOM[RM_Qty_Per_Batch]*IFERROR(INDEX(PP_Grid[#Data],M_BOM[PPGridRow],48),0))</f>
        <v/>
      </c>
      <c r="AW32">
        <f>SUMPRODUCT((M_BOM[Part Name]=$A32)*M_BOM[RM_Qty_Per_Batch]*IFERROR(INDEX(PP_Grid[#Data],M_BOM[PPGridRow],49),0))</f>
        <v/>
      </c>
      <c r="AX32">
        <f>SUMPRODUCT((M_BOM[Part Name]=$A32)*M_BOM[RM_Qty_Per_Batch]*IFERROR(INDEX(PP_Grid[#Data],M_BOM[PPGridRow],50),0))</f>
        <v/>
      </c>
      <c r="AY32">
        <f>SUMPRODUCT((M_BOM[Part Name]=$A32)*M_BOM[RM_Qty_Per_Batch]*IFERROR(INDEX(PP_Grid[#Data],M_BOM[PPGridRow],51),0))</f>
        <v/>
      </c>
      <c r="AZ32">
        <f>SUMPRODUCT((M_BOM[Part Name]=$A32)*M_BOM[RM_Qty_Per_Batch]*IFERROR(INDEX(PP_Grid[#Data],M_BOM[PPGridRow],52),0))</f>
        <v/>
      </c>
      <c r="BA32">
        <f>SUMPRODUCT((M_BOM[Part Name]=$A32)*M_BOM[RM_Qty_Per_Batch]*IFERROR(INDEX(PP_Grid[#Data],M_BOM[PPGridRow],53),0))</f>
        <v/>
      </c>
      <c r="BB32">
        <f>SUMPRODUCT((M_BOM[Part Name]=$A32)*M_BOM[RM_Qty_Per_Batch]*IFERROR(INDEX(PP_Grid[#Data],M_BOM[PPGridRow],54),0))</f>
        <v/>
      </c>
      <c r="BC32">
        <f>SUMPRODUCT((M_BOM[Part Name]=$A32)*M_BOM[RM_Qty_Per_Batch]*IFERROR(INDEX(PP_Grid[#Data],M_BOM[PPGridRow],55),0))</f>
        <v/>
      </c>
      <c r="BD32">
        <f>SUMPRODUCT((M_BOM[Part Name]=$A32)*M_BOM[RM_Qty_Per_Batch]*IFERROR(INDEX(PP_Grid[#Data],M_BOM[PPGridRow],56),0))</f>
        <v/>
      </c>
      <c r="BE32">
        <f>SUMPRODUCT((M_BOM[Part Name]=$A32)*M_BOM[RM_Qty_Per_Batch]*IFERROR(INDEX(PP_Grid[#Data],M_BOM[PPGridRow],57),0))</f>
        <v/>
      </c>
      <c r="BF32">
        <f>SUMPRODUCT((M_BOM[Part Name]=$A32)*M_BOM[RM_Qty_Per_Batch]*IFERROR(INDEX(PP_Grid[#Data],M_BOM[PPGridRow],58),0))</f>
        <v/>
      </c>
      <c r="BG32">
        <f>SUMPRODUCT((M_BOM[Part Name]=$A32)*M_BOM[RM_Qty_Per_Batch]*IFERROR(INDEX(PP_Grid[#Data],M_BOM[PPGridRow],59),0))</f>
        <v/>
      </c>
      <c r="BH32">
        <f>SUMPRODUCT((M_BOM[Part Name]=$A32)*M_BOM[RM_Qty_Per_Batch]*IFERROR(INDEX(PP_Grid[#Data],M_BOM[PPGridRow],60),0))</f>
        <v/>
      </c>
      <c r="BI32">
        <f>SUMPRODUCT((M_BOM[Part Name]=$A32)*M_BOM[RM_Qty_Per_Batch]*IFERROR(INDEX(PP_Grid[#Data],M_BOM[PPGridRow],61),0))</f>
        <v/>
      </c>
      <c r="BJ32">
        <f>SUMPRODUCT((M_BOM[Part Name]=$A32)*M_BOM[RM_Qty_Per_Batch]*IFERROR(INDEX(PP_Grid[#Data],M_BOM[PPGridRow],62),0))</f>
        <v/>
      </c>
      <c r="BK32">
        <f>SUMPRODUCT((M_BOM[Part Name]=$A32)*M_BOM[RM_Qty_Per_Batch]*IFERROR(INDEX(PP_Grid[#Data],M_BOM[PPGridRow],63),0))</f>
        <v/>
      </c>
      <c r="BL32">
        <f>SUMPRODUCT((M_BOM[Part Name]=$A32)*M_BOM[RM_Qty_Per_Batch]*IFERROR(INDEX(PP_Grid[#Data],M_BOM[PPGridRow],64),0))</f>
        <v/>
      </c>
      <c r="BM32">
        <f>SUMPRODUCT((M_BOM[Part Name]=$A32)*M_BOM[RM_Qty_Per_Batch]*IFERROR(INDEX(PP_Grid[#Data],M_BOM[PPGridRow],65),0))</f>
        <v/>
      </c>
      <c r="BN32">
        <f>SUMPRODUCT((M_BOM[Part Name]=$A32)*M_BOM[RM_Qty_Per_Batch]*IFERROR(INDEX(PP_Grid[#Data],M_BOM[PPGridRow],66),0))</f>
        <v/>
      </c>
      <c r="BO32">
        <f>SUMPRODUCT((M_BOM[Part Name]=$A32)*M_BOM[RM_Qty_Per_Batch]*IFERROR(INDEX(PP_Grid[#Data],M_BOM[PPGridRow],67),0))</f>
        <v/>
      </c>
      <c r="BP32">
        <f>SUMPRODUCT((M_BOM[Part Name]=$A32)*M_BOM[RM_Qty_Per_Batch]*IFERROR(INDEX(PP_Grid[#Data],M_BOM[PPGridRow],68),0))</f>
        <v/>
      </c>
      <c r="BQ32">
        <f>SUMPRODUCT((M_BOM[Part Name]=$A32)*M_BOM[RM_Qty_Per_Batch]*IFERROR(INDEX(PP_Grid[#Data],M_BOM[PPGridRow],69),0))</f>
        <v/>
      </c>
      <c r="BR32">
        <f>SUMPRODUCT((M_BOM[Part Name]=$A32)*M_BOM[RM_Qty_Per_Batch]*IFERROR(INDEX(PP_Grid[#Data],M_BOM[PPGridRow],70),0))</f>
        <v/>
      </c>
      <c r="BS32">
        <f>SUMPRODUCT((M_BOM[Part Name]=$A32)*M_BOM[RM_Qty_Per_Batch]*IFERROR(INDEX(PP_Grid[#Data],M_BOM[PPGridRow],71),0))</f>
        <v/>
      </c>
      <c r="BT32">
        <f>SUMPRODUCT((M_BOM[Part Name]=$A32)*M_BOM[RM_Qty_Per_Batch]*IFERROR(INDEX(PP_Grid[#Data],M_BOM[PPGridRow],72),0))</f>
        <v/>
      </c>
      <c r="BU32">
        <f>SUMPRODUCT((M_BOM[Part Name]=$A32)*M_BOM[RM_Qty_Per_Batch]*IFERROR(INDEX(PP_Grid[#Data],M_BOM[PPGridRow],73),0))</f>
        <v/>
      </c>
      <c r="BV32">
        <f>SUMPRODUCT((M_BOM[Part Name]=$A32)*M_BOM[RM_Qty_Per_Batch]*IFERROR(INDEX(PP_Grid[#Data],M_BOM[PPGridRow],74),0))</f>
        <v/>
      </c>
      <c r="BW32">
        <f>SUMPRODUCT((M_BOM[Part Name]=$A32)*M_BOM[RM_Qty_Per_Batch]*IFERROR(INDEX(PP_Grid[#Data],M_BOM[PPGridRow],75),0))</f>
        <v/>
      </c>
      <c r="BX32">
        <f>SUMPRODUCT((M_BOM[Part Name]=$A32)*M_BOM[RM_Qty_Per_Batch]*IFERROR(INDEX(PP_Grid[#Data],M_BOM[PPGridRow],76),0))</f>
        <v/>
      </c>
      <c r="BY32">
        <f>SUMPRODUCT((M_BOM[Part Name]=$A32)*M_BOM[RM_Qty_Per_Batch]*IFERROR(INDEX(PP_Grid[#Data],M_BOM[PPGridRow],77),0))</f>
        <v/>
      </c>
      <c r="BZ32">
        <f>SUMPRODUCT((M_BOM[Part Name]=$A32)*M_BOM[RM_Qty_Per_Batch]*IFERROR(INDEX(PP_Grid[#Data],M_BOM[PPGridRow],78),0))</f>
        <v/>
      </c>
      <c r="CA32">
        <f>SUMPRODUCT((M_BOM[Part Name]=$A32)*M_BOM[RM_Qty_Per_Batch]*IFERROR(INDEX(PP_Grid[#Data],M_BOM[PPGridRow],79),0))</f>
        <v/>
      </c>
      <c r="CB32">
        <f>SUMPRODUCT((M_BOM[Part Name]=$A32)*M_BOM[RM_Qty_Per_Batch]*IFERROR(INDEX(PP_Grid[#Data],M_BOM[PPGridRow],80),0))</f>
        <v/>
      </c>
      <c r="CC32">
        <f>SUMPRODUCT((M_BOM[Part Name]=$A32)*M_BOM[RM_Qty_Per_Batch]*IFERROR(INDEX(PP_Grid[#Data],M_BOM[PPGridRow],81),0))</f>
        <v/>
      </c>
      <c r="CD32">
        <f>SUMPRODUCT((M_BOM[Part Name]=$A32)*M_BOM[RM_Qty_Per_Batch]*IFERROR(INDEX(PP_Grid[#Data],M_BOM[PPGridRow],82),0))</f>
        <v/>
      </c>
      <c r="CE32">
        <f>SUMPRODUCT((M_BOM[Part Name]=$A32)*M_BOM[RM_Qty_Per_Batch]*IFERROR(INDEX(PP_Grid[#Data],M_BOM[PPGridRow],83),0))</f>
        <v/>
      </c>
      <c r="CF32">
        <f>SUMPRODUCT((M_BOM[Part Name]=$A32)*M_BOM[RM_Qty_Per_Batch]*IFERROR(INDEX(PP_Grid[#Data],M_BOM[PPGridRow],84),0))</f>
        <v/>
      </c>
      <c r="CG32">
        <f>SUMPRODUCT((M_BOM[Part Name]=$A32)*M_BOM[RM_Qty_Per_Batch]*IFERROR(INDEX(PP_Grid[#Data],M_BOM[PPGridRow],85),0))</f>
        <v/>
      </c>
      <c r="CH32">
        <f>SUMPRODUCT((M_BOM[Part Name]=$A32)*M_BOM[RM_Qty_Per_Batch]*IFERROR(INDEX(PP_Grid[#Data],M_BOM[PPGridRow],86),0))</f>
        <v/>
      </c>
      <c r="CI32">
        <f>SUMPRODUCT((M_BOM[Part Name]=$A32)*M_BOM[RM_Qty_Per_Batch]*IFERROR(INDEX(PP_Grid[#Data],M_BOM[PPGridRow],87),0))</f>
        <v/>
      </c>
      <c r="CJ32">
        <f>SUMPRODUCT((M_BOM[Part Name]=$A32)*M_BOM[RM_Qty_Per_Batch]*IFERROR(INDEX(PP_Grid[#Data],M_BOM[PPGridRow],88),0))</f>
        <v/>
      </c>
      <c r="CK32">
        <f>SUMPRODUCT((M_BOM[Part Name]=$A32)*M_BOM[RM_Qty_Per_Batch]*IFERROR(INDEX(PP_Grid[#Data],M_BOM[PPGridRow],89),0))</f>
        <v/>
      </c>
      <c r="CL32">
        <f>SUMPRODUCT((M_BOM[Part Name]=$A32)*M_BOM[RM_Qty_Per_Batch]*IFERROR(INDEX(PP_Grid[#Data],M_BOM[PPGridRow],90),0))</f>
        <v/>
      </c>
      <c r="CM32">
        <f>SUMPRODUCT((M_BOM[Part Name]=$A32)*M_BOM[RM_Qty_Per_Batch]*IFERROR(INDEX(PP_Grid[#Data],M_BOM[PPGridRow],91),0))</f>
        <v/>
      </c>
      <c r="CN32">
        <f>SUMPRODUCT((M_BOM[Part Name]=$A32)*M_BOM[RM_Qty_Per_Batch]*IFERROR(INDEX(PP_Grid[#Data],M_BOM[PPGridRow],92),0))</f>
        <v/>
      </c>
      <c r="CO32">
        <f>SUMPRODUCT((M_BOM[Part Name]=$A32)*M_BOM[RM_Qty_Per_Batch]*IFERROR(INDEX(PP_Grid[#Data],M_BOM[PPGridRow],93),0))</f>
        <v/>
      </c>
      <c r="CP32">
        <f>SUMPRODUCT((M_BOM[Part Name]=$A32)*M_BOM[RM_Qty_Per_Batch]*IFERROR(INDEX(PP_Grid[#Data],M_BOM[PPGridRow],94),0))</f>
        <v/>
      </c>
      <c r="CQ32">
        <f>SUMPRODUCT((M_BOM[Part Name]=$A32)*M_BOM[RM_Qty_Per_Batch]*IFERROR(INDEX(PP_Grid[#Data],M_BOM[PPGridRow],95),0))</f>
        <v/>
      </c>
      <c r="CR32">
        <f>SUMPRODUCT((M_BOM[Part Name]=$A32)*M_BOM[RM_Qty_Per_Batch]*IFERROR(INDEX(PP_Grid[#Data],M_BOM[PPGridRow],96),0))</f>
        <v/>
      </c>
      <c r="CS32">
        <f>SUMPRODUCT((M_BOM[Part Name]=$A32)*M_BOM[RM_Qty_Per_Batch]*IFERROR(INDEX(PP_Grid[#Data],M_BOM[PPGridRow],97),0))</f>
        <v/>
      </c>
      <c r="CT32">
        <f>SUMPRODUCT((M_BOM[Part Name]=$A32)*M_BOM[RM_Qty_Per_Batch]*IFERROR(INDEX(PP_Grid[#Data],M_BOM[PPGridRow],98),0))</f>
        <v/>
      </c>
      <c r="CU32">
        <f>SUMPRODUCT((M_BOM[Part Name]=$A32)*M_BOM[RM_Qty_Per_Batch]*IFERROR(INDEX(PP_Grid[#Data],M_BOM[PPGridRow],99),0))</f>
        <v/>
      </c>
      <c r="CV32">
        <f>SUMPRODUCT((M_BOM[Part Name]=$A32)*M_BOM[RM_Qty_Per_Batch]*IFERROR(INDEX(PP_Grid[#Data],M_BOM[PPGridRow],100),0))</f>
        <v/>
      </c>
      <c r="CW32">
        <f>SUMPRODUCT((M_BOM[Part Name]=$A32)*M_BOM[RM_Qty_Per_Batch]*IFERROR(INDEX(PP_Grid[#Data],M_BOM[PPGridRow],101),0))</f>
        <v/>
      </c>
      <c r="CX32">
        <f>SUMPRODUCT((M_BOM[Part Name]=$A32)*M_BOM[RM_Qty_Per_Batch]*IFERROR(INDEX(PP_Grid[#Data],M_BOM[PPGridRow],102),0))</f>
        <v/>
      </c>
      <c r="CY32">
        <f>SUMPRODUCT((M_BOM[Part Name]=$A32)*M_BOM[RM_Qty_Per_Batch]*IFERROR(INDEX(PP_Grid[#Data],M_BOM[PPGridRow],103),0))</f>
        <v/>
      </c>
      <c r="CZ32">
        <f>SUMPRODUCT((M_BOM[Part Name]=$A32)*M_BOM[RM_Qty_Per_Batch]*IFERROR(INDEX(PP_Grid[#Data],M_BOM[PPGridRow],104),0))</f>
        <v/>
      </c>
      <c r="DA32">
        <f>SUMPRODUCT((M_BOM[Part Name]=$A32)*M_BOM[RM_Qty_Per_Batch]*IFERROR(INDEX(PP_Grid[#Data],M_BOM[PPGridRow],105),0))</f>
        <v/>
      </c>
    </row>
    <row r="33">
      <c r="A33" t="inlineStr">
        <is>
          <t>CHEM-1480</t>
        </is>
      </c>
      <c r="B33">
        <f>SUMPRODUCT((M_BOM[Part Name]=$A33)*M_BOM[RM_Qty_Per_Batch]*IFERROR(INDEX(PP_Grid[#Data],M_BOM[PPGridRow],2),0))</f>
        <v/>
      </c>
      <c r="C33">
        <f>SUMPRODUCT((M_BOM[Part Name]=$A33)*M_BOM[RM_Qty_Per_Batch]*IFERROR(INDEX(PP_Grid[#Data],M_BOM[PPGridRow],3),0))</f>
        <v/>
      </c>
      <c r="D33">
        <f>SUMPRODUCT((M_BOM[Part Name]=$A33)*M_BOM[RM_Qty_Per_Batch]*IFERROR(INDEX(PP_Grid[#Data],M_BOM[PPGridRow],4),0))</f>
        <v/>
      </c>
      <c r="E33">
        <f>SUMPRODUCT((M_BOM[Part Name]=$A33)*M_BOM[RM_Qty_Per_Batch]*IFERROR(INDEX(PP_Grid[#Data],M_BOM[PPGridRow],5),0))</f>
        <v/>
      </c>
      <c r="F33">
        <f>SUMPRODUCT((M_BOM[Part Name]=$A33)*M_BOM[RM_Qty_Per_Batch]*IFERROR(INDEX(PP_Grid[#Data],M_BOM[PPGridRow],6),0))</f>
        <v/>
      </c>
      <c r="G33">
        <f>SUMPRODUCT((M_BOM[Part Name]=$A33)*M_BOM[RM_Qty_Per_Batch]*IFERROR(INDEX(PP_Grid[#Data],M_BOM[PPGridRow],7),0))</f>
        <v/>
      </c>
      <c r="H33">
        <f>SUMPRODUCT((M_BOM[Part Name]=$A33)*M_BOM[RM_Qty_Per_Batch]*IFERROR(INDEX(PP_Grid[#Data],M_BOM[PPGridRow],8),0))</f>
        <v/>
      </c>
      <c r="I33">
        <f>SUMPRODUCT((M_BOM[Part Name]=$A33)*M_BOM[RM_Qty_Per_Batch]*IFERROR(INDEX(PP_Grid[#Data],M_BOM[PPGridRow],9),0))</f>
        <v/>
      </c>
      <c r="J33">
        <f>SUMPRODUCT((M_BOM[Part Name]=$A33)*M_BOM[RM_Qty_Per_Batch]*IFERROR(INDEX(PP_Grid[#Data],M_BOM[PPGridRow],10),0))</f>
        <v/>
      </c>
      <c r="K33">
        <f>SUMPRODUCT((M_BOM[Part Name]=$A33)*M_BOM[RM_Qty_Per_Batch]*IFERROR(INDEX(PP_Grid[#Data],M_BOM[PPGridRow],11),0))</f>
        <v/>
      </c>
      <c r="L33">
        <f>SUMPRODUCT((M_BOM[Part Name]=$A33)*M_BOM[RM_Qty_Per_Batch]*IFERROR(INDEX(PP_Grid[#Data],M_BOM[PPGridRow],12),0))</f>
        <v/>
      </c>
      <c r="M33">
        <f>SUMPRODUCT((M_BOM[Part Name]=$A33)*M_BOM[RM_Qty_Per_Batch]*IFERROR(INDEX(PP_Grid[#Data],M_BOM[PPGridRow],13),0))</f>
        <v/>
      </c>
      <c r="N33">
        <f>SUMPRODUCT((M_BOM[Part Name]=$A33)*M_BOM[RM_Qty_Per_Batch]*IFERROR(INDEX(PP_Grid[#Data],M_BOM[PPGridRow],14),0))</f>
        <v/>
      </c>
      <c r="O33">
        <f>SUMPRODUCT((M_BOM[Part Name]=$A33)*M_BOM[RM_Qty_Per_Batch]*IFERROR(INDEX(PP_Grid[#Data],M_BOM[PPGridRow],15),0))</f>
        <v/>
      </c>
      <c r="P33">
        <f>SUMPRODUCT((M_BOM[Part Name]=$A33)*M_BOM[RM_Qty_Per_Batch]*IFERROR(INDEX(PP_Grid[#Data],M_BOM[PPGridRow],16),0))</f>
        <v/>
      </c>
      <c r="Q33">
        <f>SUMPRODUCT((M_BOM[Part Name]=$A33)*M_BOM[RM_Qty_Per_Batch]*IFERROR(INDEX(PP_Grid[#Data],M_BOM[PPGridRow],17),0))</f>
        <v/>
      </c>
      <c r="R33">
        <f>SUMPRODUCT((M_BOM[Part Name]=$A33)*M_BOM[RM_Qty_Per_Batch]*IFERROR(INDEX(PP_Grid[#Data],M_BOM[PPGridRow],18),0))</f>
        <v/>
      </c>
      <c r="S33">
        <f>SUMPRODUCT((M_BOM[Part Name]=$A33)*M_BOM[RM_Qty_Per_Batch]*IFERROR(INDEX(PP_Grid[#Data],M_BOM[PPGridRow],19),0))</f>
        <v/>
      </c>
      <c r="T33">
        <f>SUMPRODUCT((M_BOM[Part Name]=$A33)*M_BOM[RM_Qty_Per_Batch]*IFERROR(INDEX(PP_Grid[#Data],M_BOM[PPGridRow],20),0))</f>
        <v/>
      </c>
      <c r="U33">
        <f>SUMPRODUCT((M_BOM[Part Name]=$A33)*M_BOM[RM_Qty_Per_Batch]*IFERROR(INDEX(PP_Grid[#Data],M_BOM[PPGridRow],21),0))</f>
        <v/>
      </c>
      <c r="V33">
        <f>SUMPRODUCT((M_BOM[Part Name]=$A33)*M_BOM[RM_Qty_Per_Batch]*IFERROR(INDEX(PP_Grid[#Data],M_BOM[PPGridRow],22),0))</f>
        <v/>
      </c>
      <c r="W33">
        <f>SUMPRODUCT((M_BOM[Part Name]=$A33)*M_BOM[RM_Qty_Per_Batch]*IFERROR(INDEX(PP_Grid[#Data],M_BOM[PPGridRow],23),0))</f>
        <v/>
      </c>
      <c r="X33">
        <f>SUMPRODUCT((M_BOM[Part Name]=$A33)*M_BOM[RM_Qty_Per_Batch]*IFERROR(INDEX(PP_Grid[#Data],M_BOM[PPGridRow],24),0))</f>
        <v/>
      </c>
      <c r="Y33">
        <f>SUMPRODUCT((M_BOM[Part Name]=$A33)*M_BOM[RM_Qty_Per_Batch]*IFERROR(INDEX(PP_Grid[#Data],M_BOM[PPGridRow],25),0))</f>
        <v/>
      </c>
      <c r="Z33">
        <f>SUMPRODUCT((M_BOM[Part Name]=$A33)*M_BOM[RM_Qty_Per_Batch]*IFERROR(INDEX(PP_Grid[#Data],M_BOM[PPGridRow],26),0))</f>
        <v/>
      </c>
      <c r="AA33">
        <f>SUMPRODUCT((M_BOM[Part Name]=$A33)*M_BOM[RM_Qty_Per_Batch]*IFERROR(INDEX(PP_Grid[#Data],M_BOM[PPGridRow],27),0))</f>
        <v/>
      </c>
      <c r="AB33">
        <f>SUMPRODUCT((M_BOM[Part Name]=$A33)*M_BOM[RM_Qty_Per_Batch]*IFERROR(INDEX(PP_Grid[#Data],M_BOM[PPGridRow],28),0))</f>
        <v/>
      </c>
      <c r="AC33">
        <f>SUMPRODUCT((M_BOM[Part Name]=$A33)*M_BOM[RM_Qty_Per_Batch]*IFERROR(INDEX(PP_Grid[#Data],M_BOM[PPGridRow],29),0))</f>
        <v/>
      </c>
      <c r="AD33">
        <f>SUMPRODUCT((M_BOM[Part Name]=$A33)*M_BOM[RM_Qty_Per_Batch]*IFERROR(INDEX(PP_Grid[#Data],M_BOM[PPGridRow],30),0))</f>
        <v/>
      </c>
      <c r="AE33">
        <f>SUMPRODUCT((M_BOM[Part Name]=$A33)*M_BOM[RM_Qty_Per_Batch]*IFERROR(INDEX(PP_Grid[#Data],M_BOM[PPGridRow],31),0))</f>
        <v/>
      </c>
      <c r="AF33">
        <f>SUMPRODUCT((M_BOM[Part Name]=$A33)*M_BOM[RM_Qty_Per_Batch]*IFERROR(INDEX(PP_Grid[#Data],M_BOM[PPGridRow],32),0))</f>
        <v/>
      </c>
      <c r="AG33">
        <f>SUMPRODUCT((M_BOM[Part Name]=$A33)*M_BOM[RM_Qty_Per_Batch]*IFERROR(INDEX(PP_Grid[#Data],M_BOM[PPGridRow],33),0))</f>
        <v/>
      </c>
      <c r="AH33">
        <f>SUMPRODUCT((M_BOM[Part Name]=$A33)*M_BOM[RM_Qty_Per_Batch]*IFERROR(INDEX(PP_Grid[#Data],M_BOM[PPGridRow],34),0))</f>
        <v/>
      </c>
      <c r="AI33">
        <f>SUMPRODUCT((M_BOM[Part Name]=$A33)*M_BOM[RM_Qty_Per_Batch]*IFERROR(INDEX(PP_Grid[#Data],M_BOM[PPGridRow],35),0))</f>
        <v/>
      </c>
      <c r="AJ33">
        <f>SUMPRODUCT((M_BOM[Part Name]=$A33)*M_BOM[RM_Qty_Per_Batch]*IFERROR(INDEX(PP_Grid[#Data],M_BOM[PPGridRow],36),0))</f>
        <v/>
      </c>
      <c r="AK33">
        <f>SUMPRODUCT((M_BOM[Part Name]=$A33)*M_BOM[RM_Qty_Per_Batch]*IFERROR(INDEX(PP_Grid[#Data],M_BOM[PPGridRow],37),0))</f>
        <v/>
      </c>
      <c r="AL33">
        <f>SUMPRODUCT((M_BOM[Part Name]=$A33)*M_BOM[RM_Qty_Per_Batch]*IFERROR(INDEX(PP_Grid[#Data],M_BOM[PPGridRow],38),0))</f>
        <v/>
      </c>
      <c r="AM33">
        <f>SUMPRODUCT((M_BOM[Part Name]=$A33)*M_BOM[RM_Qty_Per_Batch]*IFERROR(INDEX(PP_Grid[#Data],M_BOM[PPGridRow],39),0))</f>
        <v/>
      </c>
      <c r="AN33">
        <f>SUMPRODUCT((M_BOM[Part Name]=$A33)*M_BOM[RM_Qty_Per_Batch]*IFERROR(INDEX(PP_Grid[#Data],M_BOM[PPGridRow],40),0))</f>
        <v/>
      </c>
      <c r="AO33">
        <f>SUMPRODUCT((M_BOM[Part Name]=$A33)*M_BOM[RM_Qty_Per_Batch]*IFERROR(INDEX(PP_Grid[#Data],M_BOM[PPGridRow],41),0))</f>
        <v/>
      </c>
      <c r="AP33">
        <f>SUMPRODUCT((M_BOM[Part Name]=$A33)*M_BOM[RM_Qty_Per_Batch]*IFERROR(INDEX(PP_Grid[#Data],M_BOM[PPGridRow],42),0))</f>
        <v/>
      </c>
      <c r="AQ33">
        <f>SUMPRODUCT((M_BOM[Part Name]=$A33)*M_BOM[RM_Qty_Per_Batch]*IFERROR(INDEX(PP_Grid[#Data],M_BOM[PPGridRow],43),0))</f>
        <v/>
      </c>
      <c r="AR33">
        <f>SUMPRODUCT((M_BOM[Part Name]=$A33)*M_BOM[RM_Qty_Per_Batch]*IFERROR(INDEX(PP_Grid[#Data],M_BOM[PPGridRow],44),0))</f>
        <v/>
      </c>
      <c r="AS33">
        <f>SUMPRODUCT((M_BOM[Part Name]=$A33)*M_BOM[RM_Qty_Per_Batch]*IFERROR(INDEX(PP_Grid[#Data],M_BOM[PPGridRow],45),0))</f>
        <v/>
      </c>
      <c r="AT33">
        <f>SUMPRODUCT((M_BOM[Part Name]=$A33)*M_BOM[RM_Qty_Per_Batch]*IFERROR(INDEX(PP_Grid[#Data],M_BOM[PPGridRow],46),0))</f>
        <v/>
      </c>
      <c r="AU33">
        <f>SUMPRODUCT((M_BOM[Part Name]=$A33)*M_BOM[RM_Qty_Per_Batch]*IFERROR(INDEX(PP_Grid[#Data],M_BOM[PPGridRow],47),0))</f>
        <v/>
      </c>
      <c r="AV33">
        <f>SUMPRODUCT((M_BOM[Part Name]=$A33)*M_BOM[RM_Qty_Per_Batch]*IFERROR(INDEX(PP_Grid[#Data],M_BOM[PPGridRow],48),0))</f>
        <v/>
      </c>
      <c r="AW33">
        <f>SUMPRODUCT((M_BOM[Part Name]=$A33)*M_BOM[RM_Qty_Per_Batch]*IFERROR(INDEX(PP_Grid[#Data],M_BOM[PPGridRow],49),0))</f>
        <v/>
      </c>
      <c r="AX33">
        <f>SUMPRODUCT((M_BOM[Part Name]=$A33)*M_BOM[RM_Qty_Per_Batch]*IFERROR(INDEX(PP_Grid[#Data],M_BOM[PPGridRow],50),0))</f>
        <v/>
      </c>
      <c r="AY33">
        <f>SUMPRODUCT((M_BOM[Part Name]=$A33)*M_BOM[RM_Qty_Per_Batch]*IFERROR(INDEX(PP_Grid[#Data],M_BOM[PPGridRow],51),0))</f>
        <v/>
      </c>
      <c r="AZ33">
        <f>SUMPRODUCT((M_BOM[Part Name]=$A33)*M_BOM[RM_Qty_Per_Batch]*IFERROR(INDEX(PP_Grid[#Data],M_BOM[PPGridRow],52),0))</f>
        <v/>
      </c>
      <c r="BA33">
        <f>SUMPRODUCT((M_BOM[Part Name]=$A33)*M_BOM[RM_Qty_Per_Batch]*IFERROR(INDEX(PP_Grid[#Data],M_BOM[PPGridRow],53),0))</f>
        <v/>
      </c>
      <c r="BB33">
        <f>SUMPRODUCT((M_BOM[Part Name]=$A33)*M_BOM[RM_Qty_Per_Batch]*IFERROR(INDEX(PP_Grid[#Data],M_BOM[PPGridRow],54),0))</f>
        <v/>
      </c>
      <c r="BC33">
        <f>SUMPRODUCT((M_BOM[Part Name]=$A33)*M_BOM[RM_Qty_Per_Batch]*IFERROR(INDEX(PP_Grid[#Data],M_BOM[PPGridRow],55),0))</f>
        <v/>
      </c>
      <c r="BD33">
        <f>SUMPRODUCT((M_BOM[Part Name]=$A33)*M_BOM[RM_Qty_Per_Batch]*IFERROR(INDEX(PP_Grid[#Data],M_BOM[PPGridRow],56),0))</f>
        <v/>
      </c>
      <c r="BE33">
        <f>SUMPRODUCT((M_BOM[Part Name]=$A33)*M_BOM[RM_Qty_Per_Batch]*IFERROR(INDEX(PP_Grid[#Data],M_BOM[PPGridRow],57),0))</f>
        <v/>
      </c>
      <c r="BF33">
        <f>SUMPRODUCT((M_BOM[Part Name]=$A33)*M_BOM[RM_Qty_Per_Batch]*IFERROR(INDEX(PP_Grid[#Data],M_BOM[PPGridRow],58),0))</f>
        <v/>
      </c>
      <c r="BG33">
        <f>SUMPRODUCT((M_BOM[Part Name]=$A33)*M_BOM[RM_Qty_Per_Batch]*IFERROR(INDEX(PP_Grid[#Data],M_BOM[PPGridRow],59),0))</f>
        <v/>
      </c>
      <c r="BH33">
        <f>SUMPRODUCT((M_BOM[Part Name]=$A33)*M_BOM[RM_Qty_Per_Batch]*IFERROR(INDEX(PP_Grid[#Data],M_BOM[PPGridRow],60),0))</f>
        <v/>
      </c>
      <c r="BI33">
        <f>SUMPRODUCT((M_BOM[Part Name]=$A33)*M_BOM[RM_Qty_Per_Batch]*IFERROR(INDEX(PP_Grid[#Data],M_BOM[PPGridRow],61),0))</f>
        <v/>
      </c>
      <c r="BJ33">
        <f>SUMPRODUCT((M_BOM[Part Name]=$A33)*M_BOM[RM_Qty_Per_Batch]*IFERROR(INDEX(PP_Grid[#Data],M_BOM[PPGridRow],62),0))</f>
        <v/>
      </c>
      <c r="BK33">
        <f>SUMPRODUCT((M_BOM[Part Name]=$A33)*M_BOM[RM_Qty_Per_Batch]*IFERROR(INDEX(PP_Grid[#Data],M_BOM[PPGridRow],63),0))</f>
        <v/>
      </c>
      <c r="BL33">
        <f>SUMPRODUCT((M_BOM[Part Name]=$A33)*M_BOM[RM_Qty_Per_Batch]*IFERROR(INDEX(PP_Grid[#Data],M_BOM[PPGridRow],64),0))</f>
        <v/>
      </c>
      <c r="BM33">
        <f>SUMPRODUCT((M_BOM[Part Name]=$A33)*M_BOM[RM_Qty_Per_Batch]*IFERROR(INDEX(PP_Grid[#Data],M_BOM[PPGridRow],65),0))</f>
        <v/>
      </c>
      <c r="BN33">
        <f>SUMPRODUCT((M_BOM[Part Name]=$A33)*M_BOM[RM_Qty_Per_Batch]*IFERROR(INDEX(PP_Grid[#Data],M_BOM[PPGridRow],66),0))</f>
        <v/>
      </c>
      <c r="BO33">
        <f>SUMPRODUCT((M_BOM[Part Name]=$A33)*M_BOM[RM_Qty_Per_Batch]*IFERROR(INDEX(PP_Grid[#Data],M_BOM[PPGridRow],67),0))</f>
        <v/>
      </c>
      <c r="BP33">
        <f>SUMPRODUCT((M_BOM[Part Name]=$A33)*M_BOM[RM_Qty_Per_Batch]*IFERROR(INDEX(PP_Grid[#Data],M_BOM[PPGridRow],68),0))</f>
        <v/>
      </c>
      <c r="BQ33">
        <f>SUMPRODUCT((M_BOM[Part Name]=$A33)*M_BOM[RM_Qty_Per_Batch]*IFERROR(INDEX(PP_Grid[#Data],M_BOM[PPGridRow],69),0))</f>
        <v/>
      </c>
      <c r="BR33">
        <f>SUMPRODUCT((M_BOM[Part Name]=$A33)*M_BOM[RM_Qty_Per_Batch]*IFERROR(INDEX(PP_Grid[#Data],M_BOM[PPGridRow],70),0))</f>
        <v/>
      </c>
      <c r="BS33">
        <f>SUMPRODUCT((M_BOM[Part Name]=$A33)*M_BOM[RM_Qty_Per_Batch]*IFERROR(INDEX(PP_Grid[#Data],M_BOM[PPGridRow],71),0))</f>
        <v/>
      </c>
      <c r="BT33">
        <f>SUMPRODUCT((M_BOM[Part Name]=$A33)*M_BOM[RM_Qty_Per_Batch]*IFERROR(INDEX(PP_Grid[#Data],M_BOM[PPGridRow],72),0))</f>
        <v/>
      </c>
      <c r="BU33">
        <f>SUMPRODUCT((M_BOM[Part Name]=$A33)*M_BOM[RM_Qty_Per_Batch]*IFERROR(INDEX(PP_Grid[#Data],M_BOM[PPGridRow],73),0))</f>
        <v/>
      </c>
      <c r="BV33">
        <f>SUMPRODUCT((M_BOM[Part Name]=$A33)*M_BOM[RM_Qty_Per_Batch]*IFERROR(INDEX(PP_Grid[#Data],M_BOM[PPGridRow],74),0))</f>
        <v/>
      </c>
      <c r="BW33">
        <f>SUMPRODUCT((M_BOM[Part Name]=$A33)*M_BOM[RM_Qty_Per_Batch]*IFERROR(INDEX(PP_Grid[#Data],M_BOM[PPGridRow],75),0))</f>
        <v/>
      </c>
      <c r="BX33">
        <f>SUMPRODUCT((M_BOM[Part Name]=$A33)*M_BOM[RM_Qty_Per_Batch]*IFERROR(INDEX(PP_Grid[#Data],M_BOM[PPGridRow],76),0))</f>
        <v/>
      </c>
      <c r="BY33">
        <f>SUMPRODUCT((M_BOM[Part Name]=$A33)*M_BOM[RM_Qty_Per_Batch]*IFERROR(INDEX(PP_Grid[#Data],M_BOM[PPGridRow],77),0))</f>
        <v/>
      </c>
      <c r="BZ33">
        <f>SUMPRODUCT((M_BOM[Part Name]=$A33)*M_BOM[RM_Qty_Per_Batch]*IFERROR(INDEX(PP_Grid[#Data],M_BOM[PPGridRow],78),0))</f>
        <v/>
      </c>
      <c r="CA33">
        <f>SUMPRODUCT((M_BOM[Part Name]=$A33)*M_BOM[RM_Qty_Per_Batch]*IFERROR(INDEX(PP_Grid[#Data],M_BOM[PPGridRow],79),0))</f>
        <v/>
      </c>
      <c r="CB33">
        <f>SUMPRODUCT((M_BOM[Part Name]=$A33)*M_BOM[RM_Qty_Per_Batch]*IFERROR(INDEX(PP_Grid[#Data],M_BOM[PPGridRow],80),0))</f>
        <v/>
      </c>
      <c r="CC33">
        <f>SUMPRODUCT((M_BOM[Part Name]=$A33)*M_BOM[RM_Qty_Per_Batch]*IFERROR(INDEX(PP_Grid[#Data],M_BOM[PPGridRow],81),0))</f>
        <v/>
      </c>
      <c r="CD33">
        <f>SUMPRODUCT((M_BOM[Part Name]=$A33)*M_BOM[RM_Qty_Per_Batch]*IFERROR(INDEX(PP_Grid[#Data],M_BOM[PPGridRow],82),0))</f>
        <v/>
      </c>
      <c r="CE33">
        <f>SUMPRODUCT((M_BOM[Part Name]=$A33)*M_BOM[RM_Qty_Per_Batch]*IFERROR(INDEX(PP_Grid[#Data],M_BOM[PPGridRow],83),0))</f>
        <v/>
      </c>
      <c r="CF33">
        <f>SUMPRODUCT((M_BOM[Part Name]=$A33)*M_BOM[RM_Qty_Per_Batch]*IFERROR(INDEX(PP_Grid[#Data],M_BOM[PPGridRow],84),0))</f>
        <v/>
      </c>
      <c r="CG33">
        <f>SUMPRODUCT((M_BOM[Part Name]=$A33)*M_BOM[RM_Qty_Per_Batch]*IFERROR(INDEX(PP_Grid[#Data],M_BOM[PPGridRow],85),0))</f>
        <v/>
      </c>
      <c r="CH33">
        <f>SUMPRODUCT((M_BOM[Part Name]=$A33)*M_BOM[RM_Qty_Per_Batch]*IFERROR(INDEX(PP_Grid[#Data],M_BOM[PPGridRow],86),0))</f>
        <v/>
      </c>
      <c r="CI33">
        <f>SUMPRODUCT((M_BOM[Part Name]=$A33)*M_BOM[RM_Qty_Per_Batch]*IFERROR(INDEX(PP_Grid[#Data],M_BOM[PPGridRow],87),0))</f>
        <v/>
      </c>
      <c r="CJ33">
        <f>SUMPRODUCT((M_BOM[Part Name]=$A33)*M_BOM[RM_Qty_Per_Batch]*IFERROR(INDEX(PP_Grid[#Data],M_BOM[PPGridRow],88),0))</f>
        <v/>
      </c>
      <c r="CK33">
        <f>SUMPRODUCT((M_BOM[Part Name]=$A33)*M_BOM[RM_Qty_Per_Batch]*IFERROR(INDEX(PP_Grid[#Data],M_BOM[PPGridRow],89),0))</f>
        <v/>
      </c>
      <c r="CL33">
        <f>SUMPRODUCT((M_BOM[Part Name]=$A33)*M_BOM[RM_Qty_Per_Batch]*IFERROR(INDEX(PP_Grid[#Data],M_BOM[PPGridRow],90),0))</f>
        <v/>
      </c>
      <c r="CM33">
        <f>SUMPRODUCT((M_BOM[Part Name]=$A33)*M_BOM[RM_Qty_Per_Batch]*IFERROR(INDEX(PP_Grid[#Data],M_BOM[PPGridRow],91),0))</f>
        <v/>
      </c>
      <c r="CN33">
        <f>SUMPRODUCT((M_BOM[Part Name]=$A33)*M_BOM[RM_Qty_Per_Batch]*IFERROR(INDEX(PP_Grid[#Data],M_BOM[PPGridRow],92),0))</f>
        <v/>
      </c>
      <c r="CO33">
        <f>SUMPRODUCT((M_BOM[Part Name]=$A33)*M_BOM[RM_Qty_Per_Batch]*IFERROR(INDEX(PP_Grid[#Data],M_BOM[PPGridRow],93),0))</f>
        <v/>
      </c>
      <c r="CP33">
        <f>SUMPRODUCT((M_BOM[Part Name]=$A33)*M_BOM[RM_Qty_Per_Batch]*IFERROR(INDEX(PP_Grid[#Data],M_BOM[PPGridRow],94),0))</f>
        <v/>
      </c>
      <c r="CQ33">
        <f>SUMPRODUCT((M_BOM[Part Name]=$A33)*M_BOM[RM_Qty_Per_Batch]*IFERROR(INDEX(PP_Grid[#Data],M_BOM[PPGridRow],95),0))</f>
        <v/>
      </c>
      <c r="CR33">
        <f>SUMPRODUCT((M_BOM[Part Name]=$A33)*M_BOM[RM_Qty_Per_Batch]*IFERROR(INDEX(PP_Grid[#Data],M_BOM[PPGridRow],96),0))</f>
        <v/>
      </c>
      <c r="CS33">
        <f>SUMPRODUCT((M_BOM[Part Name]=$A33)*M_BOM[RM_Qty_Per_Batch]*IFERROR(INDEX(PP_Grid[#Data],M_BOM[PPGridRow],97),0))</f>
        <v/>
      </c>
      <c r="CT33">
        <f>SUMPRODUCT((M_BOM[Part Name]=$A33)*M_BOM[RM_Qty_Per_Batch]*IFERROR(INDEX(PP_Grid[#Data],M_BOM[PPGridRow],98),0))</f>
        <v/>
      </c>
      <c r="CU33">
        <f>SUMPRODUCT((M_BOM[Part Name]=$A33)*M_BOM[RM_Qty_Per_Batch]*IFERROR(INDEX(PP_Grid[#Data],M_BOM[PPGridRow],99),0))</f>
        <v/>
      </c>
      <c r="CV33">
        <f>SUMPRODUCT((M_BOM[Part Name]=$A33)*M_BOM[RM_Qty_Per_Batch]*IFERROR(INDEX(PP_Grid[#Data],M_BOM[PPGridRow],100),0))</f>
        <v/>
      </c>
      <c r="CW33">
        <f>SUMPRODUCT((M_BOM[Part Name]=$A33)*M_BOM[RM_Qty_Per_Batch]*IFERROR(INDEX(PP_Grid[#Data],M_BOM[PPGridRow],101),0))</f>
        <v/>
      </c>
      <c r="CX33">
        <f>SUMPRODUCT((M_BOM[Part Name]=$A33)*M_BOM[RM_Qty_Per_Batch]*IFERROR(INDEX(PP_Grid[#Data],M_BOM[PPGridRow],102),0))</f>
        <v/>
      </c>
      <c r="CY33">
        <f>SUMPRODUCT((M_BOM[Part Name]=$A33)*M_BOM[RM_Qty_Per_Batch]*IFERROR(INDEX(PP_Grid[#Data],M_BOM[PPGridRow],103),0))</f>
        <v/>
      </c>
      <c r="CZ33">
        <f>SUMPRODUCT((M_BOM[Part Name]=$A33)*M_BOM[RM_Qty_Per_Batch]*IFERROR(INDEX(PP_Grid[#Data],M_BOM[PPGridRow],104),0))</f>
        <v/>
      </c>
      <c r="DA33">
        <f>SUMPRODUCT((M_BOM[Part Name]=$A33)*M_BOM[RM_Qty_Per_Batch]*IFERROR(INDEX(PP_Grid[#Data],M_BOM[PPGridRow],105),0))</f>
        <v/>
      </c>
    </row>
    <row r="34">
      <c r="A34" t="inlineStr">
        <is>
          <t>CHEM-1560</t>
        </is>
      </c>
      <c r="B34">
        <f>SUMPRODUCT((M_BOM[Part Name]=$A34)*M_BOM[RM_Qty_Per_Batch]*IFERROR(INDEX(PP_Grid[#Data],M_BOM[PPGridRow],2),0))</f>
        <v/>
      </c>
      <c r="C34">
        <f>SUMPRODUCT((M_BOM[Part Name]=$A34)*M_BOM[RM_Qty_Per_Batch]*IFERROR(INDEX(PP_Grid[#Data],M_BOM[PPGridRow],3),0))</f>
        <v/>
      </c>
      <c r="D34">
        <f>SUMPRODUCT((M_BOM[Part Name]=$A34)*M_BOM[RM_Qty_Per_Batch]*IFERROR(INDEX(PP_Grid[#Data],M_BOM[PPGridRow],4),0))</f>
        <v/>
      </c>
      <c r="E34">
        <f>SUMPRODUCT((M_BOM[Part Name]=$A34)*M_BOM[RM_Qty_Per_Batch]*IFERROR(INDEX(PP_Grid[#Data],M_BOM[PPGridRow],5),0))</f>
        <v/>
      </c>
      <c r="F34">
        <f>SUMPRODUCT((M_BOM[Part Name]=$A34)*M_BOM[RM_Qty_Per_Batch]*IFERROR(INDEX(PP_Grid[#Data],M_BOM[PPGridRow],6),0))</f>
        <v/>
      </c>
      <c r="G34">
        <f>SUMPRODUCT((M_BOM[Part Name]=$A34)*M_BOM[RM_Qty_Per_Batch]*IFERROR(INDEX(PP_Grid[#Data],M_BOM[PPGridRow],7),0))</f>
        <v/>
      </c>
      <c r="H34">
        <f>SUMPRODUCT((M_BOM[Part Name]=$A34)*M_BOM[RM_Qty_Per_Batch]*IFERROR(INDEX(PP_Grid[#Data],M_BOM[PPGridRow],8),0))</f>
        <v/>
      </c>
      <c r="I34">
        <f>SUMPRODUCT((M_BOM[Part Name]=$A34)*M_BOM[RM_Qty_Per_Batch]*IFERROR(INDEX(PP_Grid[#Data],M_BOM[PPGridRow],9),0))</f>
        <v/>
      </c>
      <c r="J34">
        <f>SUMPRODUCT((M_BOM[Part Name]=$A34)*M_BOM[RM_Qty_Per_Batch]*IFERROR(INDEX(PP_Grid[#Data],M_BOM[PPGridRow],10),0))</f>
        <v/>
      </c>
      <c r="K34">
        <f>SUMPRODUCT((M_BOM[Part Name]=$A34)*M_BOM[RM_Qty_Per_Batch]*IFERROR(INDEX(PP_Grid[#Data],M_BOM[PPGridRow],11),0))</f>
        <v/>
      </c>
      <c r="L34">
        <f>SUMPRODUCT((M_BOM[Part Name]=$A34)*M_BOM[RM_Qty_Per_Batch]*IFERROR(INDEX(PP_Grid[#Data],M_BOM[PPGridRow],12),0))</f>
        <v/>
      </c>
      <c r="M34">
        <f>SUMPRODUCT((M_BOM[Part Name]=$A34)*M_BOM[RM_Qty_Per_Batch]*IFERROR(INDEX(PP_Grid[#Data],M_BOM[PPGridRow],13),0))</f>
        <v/>
      </c>
      <c r="N34">
        <f>SUMPRODUCT((M_BOM[Part Name]=$A34)*M_BOM[RM_Qty_Per_Batch]*IFERROR(INDEX(PP_Grid[#Data],M_BOM[PPGridRow],14),0))</f>
        <v/>
      </c>
      <c r="O34">
        <f>SUMPRODUCT((M_BOM[Part Name]=$A34)*M_BOM[RM_Qty_Per_Batch]*IFERROR(INDEX(PP_Grid[#Data],M_BOM[PPGridRow],15),0))</f>
        <v/>
      </c>
      <c r="P34">
        <f>SUMPRODUCT((M_BOM[Part Name]=$A34)*M_BOM[RM_Qty_Per_Batch]*IFERROR(INDEX(PP_Grid[#Data],M_BOM[PPGridRow],16),0))</f>
        <v/>
      </c>
      <c r="Q34">
        <f>SUMPRODUCT((M_BOM[Part Name]=$A34)*M_BOM[RM_Qty_Per_Batch]*IFERROR(INDEX(PP_Grid[#Data],M_BOM[PPGridRow],17),0))</f>
        <v/>
      </c>
      <c r="R34">
        <f>SUMPRODUCT((M_BOM[Part Name]=$A34)*M_BOM[RM_Qty_Per_Batch]*IFERROR(INDEX(PP_Grid[#Data],M_BOM[PPGridRow],18),0))</f>
        <v/>
      </c>
      <c r="S34">
        <f>SUMPRODUCT((M_BOM[Part Name]=$A34)*M_BOM[RM_Qty_Per_Batch]*IFERROR(INDEX(PP_Grid[#Data],M_BOM[PPGridRow],19),0))</f>
        <v/>
      </c>
      <c r="T34">
        <f>SUMPRODUCT((M_BOM[Part Name]=$A34)*M_BOM[RM_Qty_Per_Batch]*IFERROR(INDEX(PP_Grid[#Data],M_BOM[PPGridRow],20),0))</f>
        <v/>
      </c>
      <c r="U34">
        <f>SUMPRODUCT((M_BOM[Part Name]=$A34)*M_BOM[RM_Qty_Per_Batch]*IFERROR(INDEX(PP_Grid[#Data],M_BOM[PPGridRow],21),0))</f>
        <v/>
      </c>
      <c r="V34">
        <f>SUMPRODUCT((M_BOM[Part Name]=$A34)*M_BOM[RM_Qty_Per_Batch]*IFERROR(INDEX(PP_Grid[#Data],M_BOM[PPGridRow],22),0))</f>
        <v/>
      </c>
      <c r="W34">
        <f>SUMPRODUCT((M_BOM[Part Name]=$A34)*M_BOM[RM_Qty_Per_Batch]*IFERROR(INDEX(PP_Grid[#Data],M_BOM[PPGridRow],23),0))</f>
        <v/>
      </c>
      <c r="X34">
        <f>SUMPRODUCT((M_BOM[Part Name]=$A34)*M_BOM[RM_Qty_Per_Batch]*IFERROR(INDEX(PP_Grid[#Data],M_BOM[PPGridRow],24),0))</f>
        <v/>
      </c>
      <c r="Y34">
        <f>SUMPRODUCT((M_BOM[Part Name]=$A34)*M_BOM[RM_Qty_Per_Batch]*IFERROR(INDEX(PP_Grid[#Data],M_BOM[PPGridRow],25),0))</f>
        <v/>
      </c>
      <c r="Z34">
        <f>SUMPRODUCT((M_BOM[Part Name]=$A34)*M_BOM[RM_Qty_Per_Batch]*IFERROR(INDEX(PP_Grid[#Data],M_BOM[PPGridRow],26),0))</f>
        <v/>
      </c>
      <c r="AA34">
        <f>SUMPRODUCT((M_BOM[Part Name]=$A34)*M_BOM[RM_Qty_Per_Batch]*IFERROR(INDEX(PP_Grid[#Data],M_BOM[PPGridRow],27),0))</f>
        <v/>
      </c>
      <c r="AB34">
        <f>SUMPRODUCT((M_BOM[Part Name]=$A34)*M_BOM[RM_Qty_Per_Batch]*IFERROR(INDEX(PP_Grid[#Data],M_BOM[PPGridRow],28),0))</f>
        <v/>
      </c>
      <c r="AC34">
        <f>SUMPRODUCT((M_BOM[Part Name]=$A34)*M_BOM[RM_Qty_Per_Batch]*IFERROR(INDEX(PP_Grid[#Data],M_BOM[PPGridRow],29),0))</f>
        <v/>
      </c>
      <c r="AD34">
        <f>SUMPRODUCT((M_BOM[Part Name]=$A34)*M_BOM[RM_Qty_Per_Batch]*IFERROR(INDEX(PP_Grid[#Data],M_BOM[PPGridRow],30),0))</f>
        <v/>
      </c>
      <c r="AE34">
        <f>SUMPRODUCT((M_BOM[Part Name]=$A34)*M_BOM[RM_Qty_Per_Batch]*IFERROR(INDEX(PP_Grid[#Data],M_BOM[PPGridRow],31),0))</f>
        <v/>
      </c>
      <c r="AF34">
        <f>SUMPRODUCT((M_BOM[Part Name]=$A34)*M_BOM[RM_Qty_Per_Batch]*IFERROR(INDEX(PP_Grid[#Data],M_BOM[PPGridRow],32),0))</f>
        <v/>
      </c>
      <c r="AG34">
        <f>SUMPRODUCT((M_BOM[Part Name]=$A34)*M_BOM[RM_Qty_Per_Batch]*IFERROR(INDEX(PP_Grid[#Data],M_BOM[PPGridRow],33),0))</f>
        <v/>
      </c>
      <c r="AH34">
        <f>SUMPRODUCT((M_BOM[Part Name]=$A34)*M_BOM[RM_Qty_Per_Batch]*IFERROR(INDEX(PP_Grid[#Data],M_BOM[PPGridRow],34),0))</f>
        <v/>
      </c>
      <c r="AI34">
        <f>SUMPRODUCT((M_BOM[Part Name]=$A34)*M_BOM[RM_Qty_Per_Batch]*IFERROR(INDEX(PP_Grid[#Data],M_BOM[PPGridRow],35),0))</f>
        <v/>
      </c>
      <c r="AJ34">
        <f>SUMPRODUCT((M_BOM[Part Name]=$A34)*M_BOM[RM_Qty_Per_Batch]*IFERROR(INDEX(PP_Grid[#Data],M_BOM[PPGridRow],36),0))</f>
        <v/>
      </c>
      <c r="AK34">
        <f>SUMPRODUCT((M_BOM[Part Name]=$A34)*M_BOM[RM_Qty_Per_Batch]*IFERROR(INDEX(PP_Grid[#Data],M_BOM[PPGridRow],37),0))</f>
        <v/>
      </c>
      <c r="AL34">
        <f>SUMPRODUCT((M_BOM[Part Name]=$A34)*M_BOM[RM_Qty_Per_Batch]*IFERROR(INDEX(PP_Grid[#Data],M_BOM[PPGridRow],38),0))</f>
        <v/>
      </c>
      <c r="AM34">
        <f>SUMPRODUCT((M_BOM[Part Name]=$A34)*M_BOM[RM_Qty_Per_Batch]*IFERROR(INDEX(PP_Grid[#Data],M_BOM[PPGridRow],39),0))</f>
        <v/>
      </c>
      <c r="AN34">
        <f>SUMPRODUCT((M_BOM[Part Name]=$A34)*M_BOM[RM_Qty_Per_Batch]*IFERROR(INDEX(PP_Grid[#Data],M_BOM[PPGridRow],40),0))</f>
        <v/>
      </c>
      <c r="AO34">
        <f>SUMPRODUCT((M_BOM[Part Name]=$A34)*M_BOM[RM_Qty_Per_Batch]*IFERROR(INDEX(PP_Grid[#Data],M_BOM[PPGridRow],41),0))</f>
        <v/>
      </c>
      <c r="AP34">
        <f>SUMPRODUCT((M_BOM[Part Name]=$A34)*M_BOM[RM_Qty_Per_Batch]*IFERROR(INDEX(PP_Grid[#Data],M_BOM[PPGridRow],42),0))</f>
        <v/>
      </c>
      <c r="AQ34">
        <f>SUMPRODUCT((M_BOM[Part Name]=$A34)*M_BOM[RM_Qty_Per_Batch]*IFERROR(INDEX(PP_Grid[#Data],M_BOM[PPGridRow],43),0))</f>
        <v/>
      </c>
      <c r="AR34">
        <f>SUMPRODUCT((M_BOM[Part Name]=$A34)*M_BOM[RM_Qty_Per_Batch]*IFERROR(INDEX(PP_Grid[#Data],M_BOM[PPGridRow],44),0))</f>
        <v/>
      </c>
      <c r="AS34">
        <f>SUMPRODUCT((M_BOM[Part Name]=$A34)*M_BOM[RM_Qty_Per_Batch]*IFERROR(INDEX(PP_Grid[#Data],M_BOM[PPGridRow],45),0))</f>
        <v/>
      </c>
      <c r="AT34">
        <f>SUMPRODUCT((M_BOM[Part Name]=$A34)*M_BOM[RM_Qty_Per_Batch]*IFERROR(INDEX(PP_Grid[#Data],M_BOM[PPGridRow],46),0))</f>
        <v/>
      </c>
      <c r="AU34">
        <f>SUMPRODUCT((M_BOM[Part Name]=$A34)*M_BOM[RM_Qty_Per_Batch]*IFERROR(INDEX(PP_Grid[#Data],M_BOM[PPGridRow],47),0))</f>
        <v/>
      </c>
      <c r="AV34">
        <f>SUMPRODUCT((M_BOM[Part Name]=$A34)*M_BOM[RM_Qty_Per_Batch]*IFERROR(INDEX(PP_Grid[#Data],M_BOM[PPGridRow],48),0))</f>
        <v/>
      </c>
      <c r="AW34">
        <f>SUMPRODUCT((M_BOM[Part Name]=$A34)*M_BOM[RM_Qty_Per_Batch]*IFERROR(INDEX(PP_Grid[#Data],M_BOM[PPGridRow],49),0))</f>
        <v/>
      </c>
      <c r="AX34">
        <f>SUMPRODUCT((M_BOM[Part Name]=$A34)*M_BOM[RM_Qty_Per_Batch]*IFERROR(INDEX(PP_Grid[#Data],M_BOM[PPGridRow],50),0))</f>
        <v/>
      </c>
      <c r="AY34">
        <f>SUMPRODUCT((M_BOM[Part Name]=$A34)*M_BOM[RM_Qty_Per_Batch]*IFERROR(INDEX(PP_Grid[#Data],M_BOM[PPGridRow],51),0))</f>
        <v/>
      </c>
      <c r="AZ34">
        <f>SUMPRODUCT((M_BOM[Part Name]=$A34)*M_BOM[RM_Qty_Per_Batch]*IFERROR(INDEX(PP_Grid[#Data],M_BOM[PPGridRow],52),0))</f>
        <v/>
      </c>
      <c r="BA34">
        <f>SUMPRODUCT((M_BOM[Part Name]=$A34)*M_BOM[RM_Qty_Per_Batch]*IFERROR(INDEX(PP_Grid[#Data],M_BOM[PPGridRow],53),0))</f>
        <v/>
      </c>
      <c r="BB34">
        <f>SUMPRODUCT((M_BOM[Part Name]=$A34)*M_BOM[RM_Qty_Per_Batch]*IFERROR(INDEX(PP_Grid[#Data],M_BOM[PPGridRow],54),0))</f>
        <v/>
      </c>
      <c r="BC34">
        <f>SUMPRODUCT((M_BOM[Part Name]=$A34)*M_BOM[RM_Qty_Per_Batch]*IFERROR(INDEX(PP_Grid[#Data],M_BOM[PPGridRow],55),0))</f>
        <v/>
      </c>
      <c r="BD34">
        <f>SUMPRODUCT((M_BOM[Part Name]=$A34)*M_BOM[RM_Qty_Per_Batch]*IFERROR(INDEX(PP_Grid[#Data],M_BOM[PPGridRow],56),0))</f>
        <v/>
      </c>
      <c r="BE34">
        <f>SUMPRODUCT((M_BOM[Part Name]=$A34)*M_BOM[RM_Qty_Per_Batch]*IFERROR(INDEX(PP_Grid[#Data],M_BOM[PPGridRow],57),0))</f>
        <v/>
      </c>
      <c r="BF34">
        <f>SUMPRODUCT((M_BOM[Part Name]=$A34)*M_BOM[RM_Qty_Per_Batch]*IFERROR(INDEX(PP_Grid[#Data],M_BOM[PPGridRow],58),0))</f>
        <v/>
      </c>
      <c r="BG34">
        <f>SUMPRODUCT((M_BOM[Part Name]=$A34)*M_BOM[RM_Qty_Per_Batch]*IFERROR(INDEX(PP_Grid[#Data],M_BOM[PPGridRow],59),0))</f>
        <v/>
      </c>
      <c r="BH34">
        <f>SUMPRODUCT((M_BOM[Part Name]=$A34)*M_BOM[RM_Qty_Per_Batch]*IFERROR(INDEX(PP_Grid[#Data],M_BOM[PPGridRow],60),0))</f>
        <v/>
      </c>
      <c r="BI34">
        <f>SUMPRODUCT((M_BOM[Part Name]=$A34)*M_BOM[RM_Qty_Per_Batch]*IFERROR(INDEX(PP_Grid[#Data],M_BOM[PPGridRow],61),0))</f>
        <v/>
      </c>
      <c r="BJ34">
        <f>SUMPRODUCT((M_BOM[Part Name]=$A34)*M_BOM[RM_Qty_Per_Batch]*IFERROR(INDEX(PP_Grid[#Data],M_BOM[PPGridRow],62),0))</f>
        <v/>
      </c>
      <c r="BK34">
        <f>SUMPRODUCT((M_BOM[Part Name]=$A34)*M_BOM[RM_Qty_Per_Batch]*IFERROR(INDEX(PP_Grid[#Data],M_BOM[PPGridRow],63),0))</f>
        <v/>
      </c>
      <c r="BL34">
        <f>SUMPRODUCT((M_BOM[Part Name]=$A34)*M_BOM[RM_Qty_Per_Batch]*IFERROR(INDEX(PP_Grid[#Data],M_BOM[PPGridRow],64),0))</f>
        <v/>
      </c>
      <c r="BM34">
        <f>SUMPRODUCT((M_BOM[Part Name]=$A34)*M_BOM[RM_Qty_Per_Batch]*IFERROR(INDEX(PP_Grid[#Data],M_BOM[PPGridRow],65),0))</f>
        <v/>
      </c>
      <c r="BN34">
        <f>SUMPRODUCT((M_BOM[Part Name]=$A34)*M_BOM[RM_Qty_Per_Batch]*IFERROR(INDEX(PP_Grid[#Data],M_BOM[PPGridRow],66),0))</f>
        <v/>
      </c>
      <c r="BO34">
        <f>SUMPRODUCT((M_BOM[Part Name]=$A34)*M_BOM[RM_Qty_Per_Batch]*IFERROR(INDEX(PP_Grid[#Data],M_BOM[PPGridRow],67),0))</f>
        <v/>
      </c>
      <c r="BP34">
        <f>SUMPRODUCT((M_BOM[Part Name]=$A34)*M_BOM[RM_Qty_Per_Batch]*IFERROR(INDEX(PP_Grid[#Data],M_BOM[PPGridRow],68),0))</f>
        <v/>
      </c>
      <c r="BQ34">
        <f>SUMPRODUCT((M_BOM[Part Name]=$A34)*M_BOM[RM_Qty_Per_Batch]*IFERROR(INDEX(PP_Grid[#Data],M_BOM[PPGridRow],69),0))</f>
        <v/>
      </c>
      <c r="BR34">
        <f>SUMPRODUCT((M_BOM[Part Name]=$A34)*M_BOM[RM_Qty_Per_Batch]*IFERROR(INDEX(PP_Grid[#Data],M_BOM[PPGridRow],70),0))</f>
        <v/>
      </c>
      <c r="BS34">
        <f>SUMPRODUCT((M_BOM[Part Name]=$A34)*M_BOM[RM_Qty_Per_Batch]*IFERROR(INDEX(PP_Grid[#Data],M_BOM[PPGridRow],71),0))</f>
        <v/>
      </c>
      <c r="BT34">
        <f>SUMPRODUCT((M_BOM[Part Name]=$A34)*M_BOM[RM_Qty_Per_Batch]*IFERROR(INDEX(PP_Grid[#Data],M_BOM[PPGridRow],72),0))</f>
        <v/>
      </c>
      <c r="BU34">
        <f>SUMPRODUCT((M_BOM[Part Name]=$A34)*M_BOM[RM_Qty_Per_Batch]*IFERROR(INDEX(PP_Grid[#Data],M_BOM[PPGridRow],73),0))</f>
        <v/>
      </c>
      <c r="BV34">
        <f>SUMPRODUCT((M_BOM[Part Name]=$A34)*M_BOM[RM_Qty_Per_Batch]*IFERROR(INDEX(PP_Grid[#Data],M_BOM[PPGridRow],74),0))</f>
        <v/>
      </c>
      <c r="BW34">
        <f>SUMPRODUCT((M_BOM[Part Name]=$A34)*M_BOM[RM_Qty_Per_Batch]*IFERROR(INDEX(PP_Grid[#Data],M_BOM[PPGridRow],75),0))</f>
        <v/>
      </c>
      <c r="BX34">
        <f>SUMPRODUCT((M_BOM[Part Name]=$A34)*M_BOM[RM_Qty_Per_Batch]*IFERROR(INDEX(PP_Grid[#Data],M_BOM[PPGridRow],76),0))</f>
        <v/>
      </c>
      <c r="BY34">
        <f>SUMPRODUCT((M_BOM[Part Name]=$A34)*M_BOM[RM_Qty_Per_Batch]*IFERROR(INDEX(PP_Grid[#Data],M_BOM[PPGridRow],77),0))</f>
        <v/>
      </c>
      <c r="BZ34">
        <f>SUMPRODUCT((M_BOM[Part Name]=$A34)*M_BOM[RM_Qty_Per_Batch]*IFERROR(INDEX(PP_Grid[#Data],M_BOM[PPGridRow],78),0))</f>
        <v/>
      </c>
      <c r="CA34">
        <f>SUMPRODUCT((M_BOM[Part Name]=$A34)*M_BOM[RM_Qty_Per_Batch]*IFERROR(INDEX(PP_Grid[#Data],M_BOM[PPGridRow],79),0))</f>
        <v/>
      </c>
      <c r="CB34">
        <f>SUMPRODUCT((M_BOM[Part Name]=$A34)*M_BOM[RM_Qty_Per_Batch]*IFERROR(INDEX(PP_Grid[#Data],M_BOM[PPGridRow],80),0))</f>
        <v/>
      </c>
      <c r="CC34">
        <f>SUMPRODUCT((M_BOM[Part Name]=$A34)*M_BOM[RM_Qty_Per_Batch]*IFERROR(INDEX(PP_Grid[#Data],M_BOM[PPGridRow],81),0))</f>
        <v/>
      </c>
      <c r="CD34">
        <f>SUMPRODUCT((M_BOM[Part Name]=$A34)*M_BOM[RM_Qty_Per_Batch]*IFERROR(INDEX(PP_Grid[#Data],M_BOM[PPGridRow],82),0))</f>
        <v/>
      </c>
      <c r="CE34">
        <f>SUMPRODUCT((M_BOM[Part Name]=$A34)*M_BOM[RM_Qty_Per_Batch]*IFERROR(INDEX(PP_Grid[#Data],M_BOM[PPGridRow],83),0))</f>
        <v/>
      </c>
      <c r="CF34">
        <f>SUMPRODUCT((M_BOM[Part Name]=$A34)*M_BOM[RM_Qty_Per_Batch]*IFERROR(INDEX(PP_Grid[#Data],M_BOM[PPGridRow],84),0))</f>
        <v/>
      </c>
      <c r="CG34">
        <f>SUMPRODUCT((M_BOM[Part Name]=$A34)*M_BOM[RM_Qty_Per_Batch]*IFERROR(INDEX(PP_Grid[#Data],M_BOM[PPGridRow],85),0))</f>
        <v/>
      </c>
      <c r="CH34">
        <f>SUMPRODUCT((M_BOM[Part Name]=$A34)*M_BOM[RM_Qty_Per_Batch]*IFERROR(INDEX(PP_Grid[#Data],M_BOM[PPGridRow],86),0))</f>
        <v/>
      </c>
      <c r="CI34">
        <f>SUMPRODUCT((M_BOM[Part Name]=$A34)*M_BOM[RM_Qty_Per_Batch]*IFERROR(INDEX(PP_Grid[#Data],M_BOM[PPGridRow],87),0))</f>
        <v/>
      </c>
      <c r="CJ34">
        <f>SUMPRODUCT((M_BOM[Part Name]=$A34)*M_BOM[RM_Qty_Per_Batch]*IFERROR(INDEX(PP_Grid[#Data],M_BOM[PPGridRow],88),0))</f>
        <v/>
      </c>
      <c r="CK34">
        <f>SUMPRODUCT((M_BOM[Part Name]=$A34)*M_BOM[RM_Qty_Per_Batch]*IFERROR(INDEX(PP_Grid[#Data],M_BOM[PPGridRow],89),0))</f>
        <v/>
      </c>
      <c r="CL34">
        <f>SUMPRODUCT((M_BOM[Part Name]=$A34)*M_BOM[RM_Qty_Per_Batch]*IFERROR(INDEX(PP_Grid[#Data],M_BOM[PPGridRow],90),0))</f>
        <v/>
      </c>
      <c r="CM34">
        <f>SUMPRODUCT((M_BOM[Part Name]=$A34)*M_BOM[RM_Qty_Per_Batch]*IFERROR(INDEX(PP_Grid[#Data],M_BOM[PPGridRow],91),0))</f>
        <v/>
      </c>
      <c r="CN34">
        <f>SUMPRODUCT((M_BOM[Part Name]=$A34)*M_BOM[RM_Qty_Per_Batch]*IFERROR(INDEX(PP_Grid[#Data],M_BOM[PPGridRow],92),0))</f>
        <v/>
      </c>
      <c r="CO34">
        <f>SUMPRODUCT((M_BOM[Part Name]=$A34)*M_BOM[RM_Qty_Per_Batch]*IFERROR(INDEX(PP_Grid[#Data],M_BOM[PPGridRow],93),0))</f>
        <v/>
      </c>
      <c r="CP34">
        <f>SUMPRODUCT((M_BOM[Part Name]=$A34)*M_BOM[RM_Qty_Per_Batch]*IFERROR(INDEX(PP_Grid[#Data],M_BOM[PPGridRow],94),0))</f>
        <v/>
      </c>
      <c r="CQ34">
        <f>SUMPRODUCT((M_BOM[Part Name]=$A34)*M_BOM[RM_Qty_Per_Batch]*IFERROR(INDEX(PP_Grid[#Data],M_BOM[PPGridRow],95),0))</f>
        <v/>
      </c>
      <c r="CR34">
        <f>SUMPRODUCT((M_BOM[Part Name]=$A34)*M_BOM[RM_Qty_Per_Batch]*IFERROR(INDEX(PP_Grid[#Data],M_BOM[PPGridRow],96),0))</f>
        <v/>
      </c>
      <c r="CS34">
        <f>SUMPRODUCT((M_BOM[Part Name]=$A34)*M_BOM[RM_Qty_Per_Batch]*IFERROR(INDEX(PP_Grid[#Data],M_BOM[PPGridRow],97),0))</f>
        <v/>
      </c>
      <c r="CT34">
        <f>SUMPRODUCT((M_BOM[Part Name]=$A34)*M_BOM[RM_Qty_Per_Batch]*IFERROR(INDEX(PP_Grid[#Data],M_BOM[PPGridRow],98),0))</f>
        <v/>
      </c>
      <c r="CU34">
        <f>SUMPRODUCT((M_BOM[Part Name]=$A34)*M_BOM[RM_Qty_Per_Batch]*IFERROR(INDEX(PP_Grid[#Data],M_BOM[PPGridRow],99),0))</f>
        <v/>
      </c>
      <c r="CV34">
        <f>SUMPRODUCT((M_BOM[Part Name]=$A34)*M_BOM[RM_Qty_Per_Batch]*IFERROR(INDEX(PP_Grid[#Data],M_BOM[PPGridRow],100),0))</f>
        <v/>
      </c>
      <c r="CW34">
        <f>SUMPRODUCT((M_BOM[Part Name]=$A34)*M_BOM[RM_Qty_Per_Batch]*IFERROR(INDEX(PP_Grid[#Data],M_BOM[PPGridRow],101),0))</f>
        <v/>
      </c>
      <c r="CX34">
        <f>SUMPRODUCT((M_BOM[Part Name]=$A34)*M_BOM[RM_Qty_Per_Batch]*IFERROR(INDEX(PP_Grid[#Data],M_BOM[PPGridRow],102),0))</f>
        <v/>
      </c>
      <c r="CY34">
        <f>SUMPRODUCT((M_BOM[Part Name]=$A34)*M_BOM[RM_Qty_Per_Batch]*IFERROR(INDEX(PP_Grid[#Data],M_BOM[PPGridRow],103),0))</f>
        <v/>
      </c>
      <c r="CZ34">
        <f>SUMPRODUCT((M_BOM[Part Name]=$A34)*M_BOM[RM_Qty_Per_Batch]*IFERROR(INDEX(PP_Grid[#Data],M_BOM[PPGridRow],104),0))</f>
        <v/>
      </c>
      <c r="DA34">
        <f>SUMPRODUCT((M_BOM[Part Name]=$A34)*M_BOM[RM_Qty_Per_Batch]*IFERROR(INDEX(PP_Grid[#Data],M_BOM[PPGridRow],105),0))</f>
        <v/>
      </c>
    </row>
    <row r="35">
      <c r="A35" t="inlineStr">
        <is>
          <t>CHEM-1510</t>
        </is>
      </c>
      <c r="B35">
        <f>SUMPRODUCT((M_BOM[Part Name]=$A35)*M_BOM[RM_Qty_Per_Batch]*IFERROR(INDEX(PP_Grid[#Data],M_BOM[PPGridRow],2),0))</f>
        <v/>
      </c>
      <c r="C35">
        <f>SUMPRODUCT((M_BOM[Part Name]=$A35)*M_BOM[RM_Qty_Per_Batch]*IFERROR(INDEX(PP_Grid[#Data],M_BOM[PPGridRow],3),0))</f>
        <v/>
      </c>
      <c r="D35">
        <f>SUMPRODUCT((M_BOM[Part Name]=$A35)*M_BOM[RM_Qty_Per_Batch]*IFERROR(INDEX(PP_Grid[#Data],M_BOM[PPGridRow],4),0))</f>
        <v/>
      </c>
      <c r="E35">
        <f>SUMPRODUCT((M_BOM[Part Name]=$A35)*M_BOM[RM_Qty_Per_Batch]*IFERROR(INDEX(PP_Grid[#Data],M_BOM[PPGridRow],5),0))</f>
        <v/>
      </c>
      <c r="F35">
        <f>SUMPRODUCT((M_BOM[Part Name]=$A35)*M_BOM[RM_Qty_Per_Batch]*IFERROR(INDEX(PP_Grid[#Data],M_BOM[PPGridRow],6),0))</f>
        <v/>
      </c>
      <c r="G35">
        <f>SUMPRODUCT((M_BOM[Part Name]=$A35)*M_BOM[RM_Qty_Per_Batch]*IFERROR(INDEX(PP_Grid[#Data],M_BOM[PPGridRow],7),0))</f>
        <v/>
      </c>
      <c r="H35">
        <f>SUMPRODUCT((M_BOM[Part Name]=$A35)*M_BOM[RM_Qty_Per_Batch]*IFERROR(INDEX(PP_Grid[#Data],M_BOM[PPGridRow],8),0))</f>
        <v/>
      </c>
      <c r="I35">
        <f>SUMPRODUCT((M_BOM[Part Name]=$A35)*M_BOM[RM_Qty_Per_Batch]*IFERROR(INDEX(PP_Grid[#Data],M_BOM[PPGridRow],9),0))</f>
        <v/>
      </c>
      <c r="J35">
        <f>SUMPRODUCT((M_BOM[Part Name]=$A35)*M_BOM[RM_Qty_Per_Batch]*IFERROR(INDEX(PP_Grid[#Data],M_BOM[PPGridRow],10),0))</f>
        <v/>
      </c>
      <c r="K35">
        <f>SUMPRODUCT((M_BOM[Part Name]=$A35)*M_BOM[RM_Qty_Per_Batch]*IFERROR(INDEX(PP_Grid[#Data],M_BOM[PPGridRow],11),0))</f>
        <v/>
      </c>
      <c r="L35">
        <f>SUMPRODUCT((M_BOM[Part Name]=$A35)*M_BOM[RM_Qty_Per_Batch]*IFERROR(INDEX(PP_Grid[#Data],M_BOM[PPGridRow],12),0))</f>
        <v/>
      </c>
      <c r="M35">
        <f>SUMPRODUCT((M_BOM[Part Name]=$A35)*M_BOM[RM_Qty_Per_Batch]*IFERROR(INDEX(PP_Grid[#Data],M_BOM[PPGridRow],13),0))</f>
        <v/>
      </c>
      <c r="N35">
        <f>SUMPRODUCT((M_BOM[Part Name]=$A35)*M_BOM[RM_Qty_Per_Batch]*IFERROR(INDEX(PP_Grid[#Data],M_BOM[PPGridRow],14),0))</f>
        <v/>
      </c>
      <c r="O35">
        <f>SUMPRODUCT((M_BOM[Part Name]=$A35)*M_BOM[RM_Qty_Per_Batch]*IFERROR(INDEX(PP_Grid[#Data],M_BOM[PPGridRow],15),0))</f>
        <v/>
      </c>
      <c r="P35">
        <f>SUMPRODUCT((M_BOM[Part Name]=$A35)*M_BOM[RM_Qty_Per_Batch]*IFERROR(INDEX(PP_Grid[#Data],M_BOM[PPGridRow],16),0))</f>
        <v/>
      </c>
      <c r="Q35">
        <f>SUMPRODUCT((M_BOM[Part Name]=$A35)*M_BOM[RM_Qty_Per_Batch]*IFERROR(INDEX(PP_Grid[#Data],M_BOM[PPGridRow],17),0))</f>
        <v/>
      </c>
      <c r="R35">
        <f>SUMPRODUCT((M_BOM[Part Name]=$A35)*M_BOM[RM_Qty_Per_Batch]*IFERROR(INDEX(PP_Grid[#Data],M_BOM[PPGridRow],18),0))</f>
        <v/>
      </c>
      <c r="S35">
        <f>SUMPRODUCT((M_BOM[Part Name]=$A35)*M_BOM[RM_Qty_Per_Batch]*IFERROR(INDEX(PP_Grid[#Data],M_BOM[PPGridRow],19),0))</f>
        <v/>
      </c>
      <c r="T35">
        <f>SUMPRODUCT((M_BOM[Part Name]=$A35)*M_BOM[RM_Qty_Per_Batch]*IFERROR(INDEX(PP_Grid[#Data],M_BOM[PPGridRow],20),0))</f>
        <v/>
      </c>
      <c r="U35">
        <f>SUMPRODUCT((M_BOM[Part Name]=$A35)*M_BOM[RM_Qty_Per_Batch]*IFERROR(INDEX(PP_Grid[#Data],M_BOM[PPGridRow],21),0))</f>
        <v/>
      </c>
      <c r="V35">
        <f>SUMPRODUCT((M_BOM[Part Name]=$A35)*M_BOM[RM_Qty_Per_Batch]*IFERROR(INDEX(PP_Grid[#Data],M_BOM[PPGridRow],22),0))</f>
        <v/>
      </c>
      <c r="W35">
        <f>SUMPRODUCT((M_BOM[Part Name]=$A35)*M_BOM[RM_Qty_Per_Batch]*IFERROR(INDEX(PP_Grid[#Data],M_BOM[PPGridRow],23),0))</f>
        <v/>
      </c>
      <c r="X35">
        <f>SUMPRODUCT((M_BOM[Part Name]=$A35)*M_BOM[RM_Qty_Per_Batch]*IFERROR(INDEX(PP_Grid[#Data],M_BOM[PPGridRow],24),0))</f>
        <v/>
      </c>
      <c r="Y35">
        <f>SUMPRODUCT((M_BOM[Part Name]=$A35)*M_BOM[RM_Qty_Per_Batch]*IFERROR(INDEX(PP_Grid[#Data],M_BOM[PPGridRow],25),0))</f>
        <v/>
      </c>
      <c r="Z35">
        <f>SUMPRODUCT((M_BOM[Part Name]=$A35)*M_BOM[RM_Qty_Per_Batch]*IFERROR(INDEX(PP_Grid[#Data],M_BOM[PPGridRow],26),0))</f>
        <v/>
      </c>
      <c r="AA35">
        <f>SUMPRODUCT((M_BOM[Part Name]=$A35)*M_BOM[RM_Qty_Per_Batch]*IFERROR(INDEX(PP_Grid[#Data],M_BOM[PPGridRow],27),0))</f>
        <v/>
      </c>
      <c r="AB35">
        <f>SUMPRODUCT((M_BOM[Part Name]=$A35)*M_BOM[RM_Qty_Per_Batch]*IFERROR(INDEX(PP_Grid[#Data],M_BOM[PPGridRow],28),0))</f>
        <v/>
      </c>
      <c r="AC35">
        <f>SUMPRODUCT((M_BOM[Part Name]=$A35)*M_BOM[RM_Qty_Per_Batch]*IFERROR(INDEX(PP_Grid[#Data],M_BOM[PPGridRow],29),0))</f>
        <v/>
      </c>
      <c r="AD35">
        <f>SUMPRODUCT((M_BOM[Part Name]=$A35)*M_BOM[RM_Qty_Per_Batch]*IFERROR(INDEX(PP_Grid[#Data],M_BOM[PPGridRow],30),0))</f>
        <v/>
      </c>
      <c r="AE35">
        <f>SUMPRODUCT((M_BOM[Part Name]=$A35)*M_BOM[RM_Qty_Per_Batch]*IFERROR(INDEX(PP_Grid[#Data],M_BOM[PPGridRow],31),0))</f>
        <v/>
      </c>
      <c r="AF35">
        <f>SUMPRODUCT((M_BOM[Part Name]=$A35)*M_BOM[RM_Qty_Per_Batch]*IFERROR(INDEX(PP_Grid[#Data],M_BOM[PPGridRow],32),0))</f>
        <v/>
      </c>
      <c r="AG35">
        <f>SUMPRODUCT((M_BOM[Part Name]=$A35)*M_BOM[RM_Qty_Per_Batch]*IFERROR(INDEX(PP_Grid[#Data],M_BOM[PPGridRow],33),0))</f>
        <v/>
      </c>
      <c r="AH35">
        <f>SUMPRODUCT((M_BOM[Part Name]=$A35)*M_BOM[RM_Qty_Per_Batch]*IFERROR(INDEX(PP_Grid[#Data],M_BOM[PPGridRow],34),0))</f>
        <v/>
      </c>
      <c r="AI35">
        <f>SUMPRODUCT((M_BOM[Part Name]=$A35)*M_BOM[RM_Qty_Per_Batch]*IFERROR(INDEX(PP_Grid[#Data],M_BOM[PPGridRow],35),0))</f>
        <v/>
      </c>
      <c r="AJ35">
        <f>SUMPRODUCT((M_BOM[Part Name]=$A35)*M_BOM[RM_Qty_Per_Batch]*IFERROR(INDEX(PP_Grid[#Data],M_BOM[PPGridRow],36),0))</f>
        <v/>
      </c>
      <c r="AK35">
        <f>SUMPRODUCT((M_BOM[Part Name]=$A35)*M_BOM[RM_Qty_Per_Batch]*IFERROR(INDEX(PP_Grid[#Data],M_BOM[PPGridRow],37),0))</f>
        <v/>
      </c>
      <c r="AL35">
        <f>SUMPRODUCT((M_BOM[Part Name]=$A35)*M_BOM[RM_Qty_Per_Batch]*IFERROR(INDEX(PP_Grid[#Data],M_BOM[PPGridRow],38),0))</f>
        <v/>
      </c>
      <c r="AM35">
        <f>SUMPRODUCT((M_BOM[Part Name]=$A35)*M_BOM[RM_Qty_Per_Batch]*IFERROR(INDEX(PP_Grid[#Data],M_BOM[PPGridRow],39),0))</f>
        <v/>
      </c>
      <c r="AN35">
        <f>SUMPRODUCT((M_BOM[Part Name]=$A35)*M_BOM[RM_Qty_Per_Batch]*IFERROR(INDEX(PP_Grid[#Data],M_BOM[PPGridRow],40),0))</f>
        <v/>
      </c>
      <c r="AO35">
        <f>SUMPRODUCT((M_BOM[Part Name]=$A35)*M_BOM[RM_Qty_Per_Batch]*IFERROR(INDEX(PP_Grid[#Data],M_BOM[PPGridRow],41),0))</f>
        <v/>
      </c>
      <c r="AP35">
        <f>SUMPRODUCT((M_BOM[Part Name]=$A35)*M_BOM[RM_Qty_Per_Batch]*IFERROR(INDEX(PP_Grid[#Data],M_BOM[PPGridRow],42),0))</f>
        <v/>
      </c>
      <c r="AQ35">
        <f>SUMPRODUCT((M_BOM[Part Name]=$A35)*M_BOM[RM_Qty_Per_Batch]*IFERROR(INDEX(PP_Grid[#Data],M_BOM[PPGridRow],43),0))</f>
        <v/>
      </c>
      <c r="AR35">
        <f>SUMPRODUCT((M_BOM[Part Name]=$A35)*M_BOM[RM_Qty_Per_Batch]*IFERROR(INDEX(PP_Grid[#Data],M_BOM[PPGridRow],44),0))</f>
        <v/>
      </c>
      <c r="AS35">
        <f>SUMPRODUCT((M_BOM[Part Name]=$A35)*M_BOM[RM_Qty_Per_Batch]*IFERROR(INDEX(PP_Grid[#Data],M_BOM[PPGridRow],45),0))</f>
        <v/>
      </c>
      <c r="AT35">
        <f>SUMPRODUCT((M_BOM[Part Name]=$A35)*M_BOM[RM_Qty_Per_Batch]*IFERROR(INDEX(PP_Grid[#Data],M_BOM[PPGridRow],46),0))</f>
        <v/>
      </c>
      <c r="AU35">
        <f>SUMPRODUCT((M_BOM[Part Name]=$A35)*M_BOM[RM_Qty_Per_Batch]*IFERROR(INDEX(PP_Grid[#Data],M_BOM[PPGridRow],47),0))</f>
        <v/>
      </c>
      <c r="AV35">
        <f>SUMPRODUCT((M_BOM[Part Name]=$A35)*M_BOM[RM_Qty_Per_Batch]*IFERROR(INDEX(PP_Grid[#Data],M_BOM[PPGridRow],48),0))</f>
        <v/>
      </c>
      <c r="AW35">
        <f>SUMPRODUCT((M_BOM[Part Name]=$A35)*M_BOM[RM_Qty_Per_Batch]*IFERROR(INDEX(PP_Grid[#Data],M_BOM[PPGridRow],49),0))</f>
        <v/>
      </c>
      <c r="AX35">
        <f>SUMPRODUCT((M_BOM[Part Name]=$A35)*M_BOM[RM_Qty_Per_Batch]*IFERROR(INDEX(PP_Grid[#Data],M_BOM[PPGridRow],50),0))</f>
        <v/>
      </c>
      <c r="AY35">
        <f>SUMPRODUCT((M_BOM[Part Name]=$A35)*M_BOM[RM_Qty_Per_Batch]*IFERROR(INDEX(PP_Grid[#Data],M_BOM[PPGridRow],51),0))</f>
        <v/>
      </c>
      <c r="AZ35">
        <f>SUMPRODUCT((M_BOM[Part Name]=$A35)*M_BOM[RM_Qty_Per_Batch]*IFERROR(INDEX(PP_Grid[#Data],M_BOM[PPGridRow],52),0))</f>
        <v/>
      </c>
      <c r="BA35">
        <f>SUMPRODUCT((M_BOM[Part Name]=$A35)*M_BOM[RM_Qty_Per_Batch]*IFERROR(INDEX(PP_Grid[#Data],M_BOM[PPGridRow],53),0))</f>
        <v/>
      </c>
      <c r="BB35">
        <f>SUMPRODUCT((M_BOM[Part Name]=$A35)*M_BOM[RM_Qty_Per_Batch]*IFERROR(INDEX(PP_Grid[#Data],M_BOM[PPGridRow],54),0))</f>
        <v/>
      </c>
      <c r="BC35">
        <f>SUMPRODUCT((M_BOM[Part Name]=$A35)*M_BOM[RM_Qty_Per_Batch]*IFERROR(INDEX(PP_Grid[#Data],M_BOM[PPGridRow],55),0))</f>
        <v/>
      </c>
      <c r="BD35">
        <f>SUMPRODUCT((M_BOM[Part Name]=$A35)*M_BOM[RM_Qty_Per_Batch]*IFERROR(INDEX(PP_Grid[#Data],M_BOM[PPGridRow],56),0))</f>
        <v/>
      </c>
      <c r="BE35">
        <f>SUMPRODUCT((M_BOM[Part Name]=$A35)*M_BOM[RM_Qty_Per_Batch]*IFERROR(INDEX(PP_Grid[#Data],M_BOM[PPGridRow],57),0))</f>
        <v/>
      </c>
      <c r="BF35">
        <f>SUMPRODUCT((M_BOM[Part Name]=$A35)*M_BOM[RM_Qty_Per_Batch]*IFERROR(INDEX(PP_Grid[#Data],M_BOM[PPGridRow],58),0))</f>
        <v/>
      </c>
      <c r="BG35">
        <f>SUMPRODUCT((M_BOM[Part Name]=$A35)*M_BOM[RM_Qty_Per_Batch]*IFERROR(INDEX(PP_Grid[#Data],M_BOM[PPGridRow],59),0))</f>
        <v/>
      </c>
      <c r="BH35">
        <f>SUMPRODUCT((M_BOM[Part Name]=$A35)*M_BOM[RM_Qty_Per_Batch]*IFERROR(INDEX(PP_Grid[#Data],M_BOM[PPGridRow],60),0))</f>
        <v/>
      </c>
      <c r="BI35">
        <f>SUMPRODUCT((M_BOM[Part Name]=$A35)*M_BOM[RM_Qty_Per_Batch]*IFERROR(INDEX(PP_Grid[#Data],M_BOM[PPGridRow],61),0))</f>
        <v/>
      </c>
      <c r="BJ35">
        <f>SUMPRODUCT((M_BOM[Part Name]=$A35)*M_BOM[RM_Qty_Per_Batch]*IFERROR(INDEX(PP_Grid[#Data],M_BOM[PPGridRow],62),0))</f>
        <v/>
      </c>
      <c r="BK35">
        <f>SUMPRODUCT((M_BOM[Part Name]=$A35)*M_BOM[RM_Qty_Per_Batch]*IFERROR(INDEX(PP_Grid[#Data],M_BOM[PPGridRow],63),0))</f>
        <v/>
      </c>
      <c r="BL35">
        <f>SUMPRODUCT((M_BOM[Part Name]=$A35)*M_BOM[RM_Qty_Per_Batch]*IFERROR(INDEX(PP_Grid[#Data],M_BOM[PPGridRow],64),0))</f>
        <v/>
      </c>
      <c r="BM35">
        <f>SUMPRODUCT((M_BOM[Part Name]=$A35)*M_BOM[RM_Qty_Per_Batch]*IFERROR(INDEX(PP_Grid[#Data],M_BOM[PPGridRow],65),0))</f>
        <v/>
      </c>
      <c r="BN35">
        <f>SUMPRODUCT((M_BOM[Part Name]=$A35)*M_BOM[RM_Qty_Per_Batch]*IFERROR(INDEX(PP_Grid[#Data],M_BOM[PPGridRow],66),0))</f>
        <v/>
      </c>
      <c r="BO35">
        <f>SUMPRODUCT((M_BOM[Part Name]=$A35)*M_BOM[RM_Qty_Per_Batch]*IFERROR(INDEX(PP_Grid[#Data],M_BOM[PPGridRow],67),0))</f>
        <v/>
      </c>
      <c r="BP35">
        <f>SUMPRODUCT((M_BOM[Part Name]=$A35)*M_BOM[RM_Qty_Per_Batch]*IFERROR(INDEX(PP_Grid[#Data],M_BOM[PPGridRow],68),0))</f>
        <v/>
      </c>
      <c r="BQ35">
        <f>SUMPRODUCT((M_BOM[Part Name]=$A35)*M_BOM[RM_Qty_Per_Batch]*IFERROR(INDEX(PP_Grid[#Data],M_BOM[PPGridRow],69),0))</f>
        <v/>
      </c>
      <c r="BR35">
        <f>SUMPRODUCT((M_BOM[Part Name]=$A35)*M_BOM[RM_Qty_Per_Batch]*IFERROR(INDEX(PP_Grid[#Data],M_BOM[PPGridRow],70),0))</f>
        <v/>
      </c>
      <c r="BS35">
        <f>SUMPRODUCT((M_BOM[Part Name]=$A35)*M_BOM[RM_Qty_Per_Batch]*IFERROR(INDEX(PP_Grid[#Data],M_BOM[PPGridRow],71),0))</f>
        <v/>
      </c>
      <c r="BT35">
        <f>SUMPRODUCT((M_BOM[Part Name]=$A35)*M_BOM[RM_Qty_Per_Batch]*IFERROR(INDEX(PP_Grid[#Data],M_BOM[PPGridRow],72),0))</f>
        <v/>
      </c>
      <c r="BU35">
        <f>SUMPRODUCT((M_BOM[Part Name]=$A35)*M_BOM[RM_Qty_Per_Batch]*IFERROR(INDEX(PP_Grid[#Data],M_BOM[PPGridRow],73),0))</f>
        <v/>
      </c>
      <c r="BV35">
        <f>SUMPRODUCT((M_BOM[Part Name]=$A35)*M_BOM[RM_Qty_Per_Batch]*IFERROR(INDEX(PP_Grid[#Data],M_BOM[PPGridRow],74),0))</f>
        <v/>
      </c>
      <c r="BW35">
        <f>SUMPRODUCT((M_BOM[Part Name]=$A35)*M_BOM[RM_Qty_Per_Batch]*IFERROR(INDEX(PP_Grid[#Data],M_BOM[PPGridRow],75),0))</f>
        <v/>
      </c>
      <c r="BX35">
        <f>SUMPRODUCT((M_BOM[Part Name]=$A35)*M_BOM[RM_Qty_Per_Batch]*IFERROR(INDEX(PP_Grid[#Data],M_BOM[PPGridRow],76),0))</f>
        <v/>
      </c>
      <c r="BY35">
        <f>SUMPRODUCT((M_BOM[Part Name]=$A35)*M_BOM[RM_Qty_Per_Batch]*IFERROR(INDEX(PP_Grid[#Data],M_BOM[PPGridRow],77),0))</f>
        <v/>
      </c>
      <c r="BZ35">
        <f>SUMPRODUCT((M_BOM[Part Name]=$A35)*M_BOM[RM_Qty_Per_Batch]*IFERROR(INDEX(PP_Grid[#Data],M_BOM[PPGridRow],78),0))</f>
        <v/>
      </c>
      <c r="CA35">
        <f>SUMPRODUCT((M_BOM[Part Name]=$A35)*M_BOM[RM_Qty_Per_Batch]*IFERROR(INDEX(PP_Grid[#Data],M_BOM[PPGridRow],79),0))</f>
        <v/>
      </c>
      <c r="CB35">
        <f>SUMPRODUCT((M_BOM[Part Name]=$A35)*M_BOM[RM_Qty_Per_Batch]*IFERROR(INDEX(PP_Grid[#Data],M_BOM[PPGridRow],80),0))</f>
        <v/>
      </c>
      <c r="CC35">
        <f>SUMPRODUCT((M_BOM[Part Name]=$A35)*M_BOM[RM_Qty_Per_Batch]*IFERROR(INDEX(PP_Grid[#Data],M_BOM[PPGridRow],81),0))</f>
        <v/>
      </c>
      <c r="CD35">
        <f>SUMPRODUCT((M_BOM[Part Name]=$A35)*M_BOM[RM_Qty_Per_Batch]*IFERROR(INDEX(PP_Grid[#Data],M_BOM[PPGridRow],82),0))</f>
        <v/>
      </c>
      <c r="CE35">
        <f>SUMPRODUCT((M_BOM[Part Name]=$A35)*M_BOM[RM_Qty_Per_Batch]*IFERROR(INDEX(PP_Grid[#Data],M_BOM[PPGridRow],83),0))</f>
        <v/>
      </c>
      <c r="CF35">
        <f>SUMPRODUCT((M_BOM[Part Name]=$A35)*M_BOM[RM_Qty_Per_Batch]*IFERROR(INDEX(PP_Grid[#Data],M_BOM[PPGridRow],84),0))</f>
        <v/>
      </c>
      <c r="CG35">
        <f>SUMPRODUCT((M_BOM[Part Name]=$A35)*M_BOM[RM_Qty_Per_Batch]*IFERROR(INDEX(PP_Grid[#Data],M_BOM[PPGridRow],85),0))</f>
        <v/>
      </c>
      <c r="CH35">
        <f>SUMPRODUCT((M_BOM[Part Name]=$A35)*M_BOM[RM_Qty_Per_Batch]*IFERROR(INDEX(PP_Grid[#Data],M_BOM[PPGridRow],86),0))</f>
        <v/>
      </c>
      <c r="CI35">
        <f>SUMPRODUCT((M_BOM[Part Name]=$A35)*M_BOM[RM_Qty_Per_Batch]*IFERROR(INDEX(PP_Grid[#Data],M_BOM[PPGridRow],87),0))</f>
        <v/>
      </c>
      <c r="CJ35">
        <f>SUMPRODUCT((M_BOM[Part Name]=$A35)*M_BOM[RM_Qty_Per_Batch]*IFERROR(INDEX(PP_Grid[#Data],M_BOM[PPGridRow],88),0))</f>
        <v/>
      </c>
      <c r="CK35">
        <f>SUMPRODUCT((M_BOM[Part Name]=$A35)*M_BOM[RM_Qty_Per_Batch]*IFERROR(INDEX(PP_Grid[#Data],M_BOM[PPGridRow],89),0))</f>
        <v/>
      </c>
      <c r="CL35">
        <f>SUMPRODUCT((M_BOM[Part Name]=$A35)*M_BOM[RM_Qty_Per_Batch]*IFERROR(INDEX(PP_Grid[#Data],M_BOM[PPGridRow],90),0))</f>
        <v/>
      </c>
      <c r="CM35">
        <f>SUMPRODUCT((M_BOM[Part Name]=$A35)*M_BOM[RM_Qty_Per_Batch]*IFERROR(INDEX(PP_Grid[#Data],M_BOM[PPGridRow],91),0))</f>
        <v/>
      </c>
      <c r="CN35">
        <f>SUMPRODUCT((M_BOM[Part Name]=$A35)*M_BOM[RM_Qty_Per_Batch]*IFERROR(INDEX(PP_Grid[#Data],M_BOM[PPGridRow],92),0))</f>
        <v/>
      </c>
      <c r="CO35">
        <f>SUMPRODUCT((M_BOM[Part Name]=$A35)*M_BOM[RM_Qty_Per_Batch]*IFERROR(INDEX(PP_Grid[#Data],M_BOM[PPGridRow],93),0))</f>
        <v/>
      </c>
      <c r="CP35">
        <f>SUMPRODUCT((M_BOM[Part Name]=$A35)*M_BOM[RM_Qty_Per_Batch]*IFERROR(INDEX(PP_Grid[#Data],M_BOM[PPGridRow],94),0))</f>
        <v/>
      </c>
      <c r="CQ35">
        <f>SUMPRODUCT((M_BOM[Part Name]=$A35)*M_BOM[RM_Qty_Per_Batch]*IFERROR(INDEX(PP_Grid[#Data],M_BOM[PPGridRow],95),0))</f>
        <v/>
      </c>
      <c r="CR35">
        <f>SUMPRODUCT((M_BOM[Part Name]=$A35)*M_BOM[RM_Qty_Per_Batch]*IFERROR(INDEX(PP_Grid[#Data],M_BOM[PPGridRow],96),0))</f>
        <v/>
      </c>
      <c r="CS35">
        <f>SUMPRODUCT((M_BOM[Part Name]=$A35)*M_BOM[RM_Qty_Per_Batch]*IFERROR(INDEX(PP_Grid[#Data],M_BOM[PPGridRow],97),0))</f>
        <v/>
      </c>
      <c r="CT35">
        <f>SUMPRODUCT((M_BOM[Part Name]=$A35)*M_BOM[RM_Qty_Per_Batch]*IFERROR(INDEX(PP_Grid[#Data],M_BOM[PPGridRow],98),0))</f>
        <v/>
      </c>
      <c r="CU35">
        <f>SUMPRODUCT((M_BOM[Part Name]=$A35)*M_BOM[RM_Qty_Per_Batch]*IFERROR(INDEX(PP_Grid[#Data],M_BOM[PPGridRow],99),0))</f>
        <v/>
      </c>
      <c r="CV35">
        <f>SUMPRODUCT((M_BOM[Part Name]=$A35)*M_BOM[RM_Qty_Per_Batch]*IFERROR(INDEX(PP_Grid[#Data],M_BOM[PPGridRow],100),0))</f>
        <v/>
      </c>
      <c r="CW35">
        <f>SUMPRODUCT((M_BOM[Part Name]=$A35)*M_BOM[RM_Qty_Per_Batch]*IFERROR(INDEX(PP_Grid[#Data],M_BOM[PPGridRow],101),0))</f>
        <v/>
      </c>
      <c r="CX35">
        <f>SUMPRODUCT((M_BOM[Part Name]=$A35)*M_BOM[RM_Qty_Per_Batch]*IFERROR(INDEX(PP_Grid[#Data],M_BOM[PPGridRow],102),0))</f>
        <v/>
      </c>
      <c r="CY35">
        <f>SUMPRODUCT((M_BOM[Part Name]=$A35)*M_BOM[RM_Qty_Per_Batch]*IFERROR(INDEX(PP_Grid[#Data],M_BOM[PPGridRow],103),0))</f>
        <v/>
      </c>
      <c r="CZ35">
        <f>SUMPRODUCT((M_BOM[Part Name]=$A35)*M_BOM[RM_Qty_Per_Batch]*IFERROR(INDEX(PP_Grid[#Data],M_BOM[PPGridRow],104),0))</f>
        <v/>
      </c>
      <c r="DA35">
        <f>SUMPRODUCT((M_BOM[Part Name]=$A35)*M_BOM[RM_Qty_Per_Batch]*IFERROR(INDEX(PP_Grid[#Data],M_BOM[PPGridRow],105),0))</f>
        <v/>
      </c>
    </row>
    <row r="36">
      <c r="A36" t="inlineStr">
        <is>
          <t>CHEM-1770</t>
        </is>
      </c>
      <c r="B36">
        <f>SUMPRODUCT((M_BOM[Part Name]=$A36)*M_BOM[RM_Qty_Per_Batch]*IFERROR(INDEX(PP_Grid[#Data],M_BOM[PPGridRow],2),0))</f>
        <v/>
      </c>
      <c r="C36">
        <f>SUMPRODUCT((M_BOM[Part Name]=$A36)*M_BOM[RM_Qty_Per_Batch]*IFERROR(INDEX(PP_Grid[#Data],M_BOM[PPGridRow],3),0))</f>
        <v/>
      </c>
      <c r="D36">
        <f>SUMPRODUCT((M_BOM[Part Name]=$A36)*M_BOM[RM_Qty_Per_Batch]*IFERROR(INDEX(PP_Grid[#Data],M_BOM[PPGridRow],4),0))</f>
        <v/>
      </c>
      <c r="E36">
        <f>SUMPRODUCT((M_BOM[Part Name]=$A36)*M_BOM[RM_Qty_Per_Batch]*IFERROR(INDEX(PP_Grid[#Data],M_BOM[PPGridRow],5),0))</f>
        <v/>
      </c>
      <c r="F36">
        <f>SUMPRODUCT((M_BOM[Part Name]=$A36)*M_BOM[RM_Qty_Per_Batch]*IFERROR(INDEX(PP_Grid[#Data],M_BOM[PPGridRow],6),0))</f>
        <v/>
      </c>
      <c r="G36">
        <f>SUMPRODUCT((M_BOM[Part Name]=$A36)*M_BOM[RM_Qty_Per_Batch]*IFERROR(INDEX(PP_Grid[#Data],M_BOM[PPGridRow],7),0))</f>
        <v/>
      </c>
      <c r="H36">
        <f>SUMPRODUCT((M_BOM[Part Name]=$A36)*M_BOM[RM_Qty_Per_Batch]*IFERROR(INDEX(PP_Grid[#Data],M_BOM[PPGridRow],8),0))</f>
        <v/>
      </c>
      <c r="I36">
        <f>SUMPRODUCT((M_BOM[Part Name]=$A36)*M_BOM[RM_Qty_Per_Batch]*IFERROR(INDEX(PP_Grid[#Data],M_BOM[PPGridRow],9),0))</f>
        <v/>
      </c>
      <c r="J36">
        <f>SUMPRODUCT((M_BOM[Part Name]=$A36)*M_BOM[RM_Qty_Per_Batch]*IFERROR(INDEX(PP_Grid[#Data],M_BOM[PPGridRow],10),0))</f>
        <v/>
      </c>
      <c r="K36">
        <f>SUMPRODUCT((M_BOM[Part Name]=$A36)*M_BOM[RM_Qty_Per_Batch]*IFERROR(INDEX(PP_Grid[#Data],M_BOM[PPGridRow],11),0))</f>
        <v/>
      </c>
      <c r="L36">
        <f>SUMPRODUCT((M_BOM[Part Name]=$A36)*M_BOM[RM_Qty_Per_Batch]*IFERROR(INDEX(PP_Grid[#Data],M_BOM[PPGridRow],12),0))</f>
        <v/>
      </c>
      <c r="M36">
        <f>SUMPRODUCT((M_BOM[Part Name]=$A36)*M_BOM[RM_Qty_Per_Batch]*IFERROR(INDEX(PP_Grid[#Data],M_BOM[PPGridRow],13),0))</f>
        <v/>
      </c>
      <c r="N36">
        <f>SUMPRODUCT((M_BOM[Part Name]=$A36)*M_BOM[RM_Qty_Per_Batch]*IFERROR(INDEX(PP_Grid[#Data],M_BOM[PPGridRow],14),0))</f>
        <v/>
      </c>
      <c r="O36">
        <f>SUMPRODUCT((M_BOM[Part Name]=$A36)*M_BOM[RM_Qty_Per_Batch]*IFERROR(INDEX(PP_Grid[#Data],M_BOM[PPGridRow],15),0))</f>
        <v/>
      </c>
      <c r="P36">
        <f>SUMPRODUCT((M_BOM[Part Name]=$A36)*M_BOM[RM_Qty_Per_Batch]*IFERROR(INDEX(PP_Grid[#Data],M_BOM[PPGridRow],16),0))</f>
        <v/>
      </c>
      <c r="Q36">
        <f>SUMPRODUCT((M_BOM[Part Name]=$A36)*M_BOM[RM_Qty_Per_Batch]*IFERROR(INDEX(PP_Grid[#Data],M_BOM[PPGridRow],17),0))</f>
        <v/>
      </c>
      <c r="R36">
        <f>SUMPRODUCT((M_BOM[Part Name]=$A36)*M_BOM[RM_Qty_Per_Batch]*IFERROR(INDEX(PP_Grid[#Data],M_BOM[PPGridRow],18),0))</f>
        <v/>
      </c>
      <c r="S36">
        <f>SUMPRODUCT((M_BOM[Part Name]=$A36)*M_BOM[RM_Qty_Per_Batch]*IFERROR(INDEX(PP_Grid[#Data],M_BOM[PPGridRow],19),0))</f>
        <v/>
      </c>
      <c r="T36">
        <f>SUMPRODUCT((M_BOM[Part Name]=$A36)*M_BOM[RM_Qty_Per_Batch]*IFERROR(INDEX(PP_Grid[#Data],M_BOM[PPGridRow],20),0))</f>
        <v/>
      </c>
      <c r="U36">
        <f>SUMPRODUCT((M_BOM[Part Name]=$A36)*M_BOM[RM_Qty_Per_Batch]*IFERROR(INDEX(PP_Grid[#Data],M_BOM[PPGridRow],21),0))</f>
        <v/>
      </c>
      <c r="V36">
        <f>SUMPRODUCT((M_BOM[Part Name]=$A36)*M_BOM[RM_Qty_Per_Batch]*IFERROR(INDEX(PP_Grid[#Data],M_BOM[PPGridRow],22),0))</f>
        <v/>
      </c>
      <c r="W36">
        <f>SUMPRODUCT((M_BOM[Part Name]=$A36)*M_BOM[RM_Qty_Per_Batch]*IFERROR(INDEX(PP_Grid[#Data],M_BOM[PPGridRow],23),0))</f>
        <v/>
      </c>
      <c r="X36">
        <f>SUMPRODUCT((M_BOM[Part Name]=$A36)*M_BOM[RM_Qty_Per_Batch]*IFERROR(INDEX(PP_Grid[#Data],M_BOM[PPGridRow],24),0))</f>
        <v/>
      </c>
      <c r="Y36">
        <f>SUMPRODUCT((M_BOM[Part Name]=$A36)*M_BOM[RM_Qty_Per_Batch]*IFERROR(INDEX(PP_Grid[#Data],M_BOM[PPGridRow],25),0))</f>
        <v/>
      </c>
      <c r="Z36">
        <f>SUMPRODUCT((M_BOM[Part Name]=$A36)*M_BOM[RM_Qty_Per_Batch]*IFERROR(INDEX(PP_Grid[#Data],M_BOM[PPGridRow],26),0))</f>
        <v/>
      </c>
      <c r="AA36">
        <f>SUMPRODUCT((M_BOM[Part Name]=$A36)*M_BOM[RM_Qty_Per_Batch]*IFERROR(INDEX(PP_Grid[#Data],M_BOM[PPGridRow],27),0))</f>
        <v/>
      </c>
      <c r="AB36">
        <f>SUMPRODUCT((M_BOM[Part Name]=$A36)*M_BOM[RM_Qty_Per_Batch]*IFERROR(INDEX(PP_Grid[#Data],M_BOM[PPGridRow],28),0))</f>
        <v/>
      </c>
      <c r="AC36">
        <f>SUMPRODUCT((M_BOM[Part Name]=$A36)*M_BOM[RM_Qty_Per_Batch]*IFERROR(INDEX(PP_Grid[#Data],M_BOM[PPGridRow],29),0))</f>
        <v/>
      </c>
      <c r="AD36">
        <f>SUMPRODUCT((M_BOM[Part Name]=$A36)*M_BOM[RM_Qty_Per_Batch]*IFERROR(INDEX(PP_Grid[#Data],M_BOM[PPGridRow],30),0))</f>
        <v/>
      </c>
      <c r="AE36">
        <f>SUMPRODUCT((M_BOM[Part Name]=$A36)*M_BOM[RM_Qty_Per_Batch]*IFERROR(INDEX(PP_Grid[#Data],M_BOM[PPGridRow],31),0))</f>
        <v/>
      </c>
      <c r="AF36">
        <f>SUMPRODUCT((M_BOM[Part Name]=$A36)*M_BOM[RM_Qty_Per_Batch]*IFERROR(INDEX(PP_Grid[#Data],M_BOM[PPGridRow],32),0))</f>
        <v/>
      </c>
      <c r="AG36">
        <f>SUMPRODUCT((M_BOM[Part Name]=$A36)*M_BOM[RM_Qty_Per_Batch]*IFERROR(INDEX(PP_Grid[#Data],M_BOM[PPGridRow],33),0))</f>
        <v/>
      </c>
      <c r="AH36">
        <f>SUMPRODUCT((M_BOM[Part Name]=$A36)*M_BOM[RM_Qty_Per_Batch]*IFERROR(INDEX(PP_Grid[#Data],M_BOM[PPGridRow],34),0))</f>
        <v/>
      </c>
      <c r="AI36">
        <f>SUMPRODUCT((M_BOM[Part Name]=$A36)*M_BOM[RM_Qty_Per_Batch]*IFERROR(INDEX(PP_Grid[#Data],M_BOM[PPGridRow],35),0))</f>
        <v/>
      </c>
      <c r="AJ36">
        <f>SUMPRODUCT((M_BOM[Part Name]=$A36)*M_BOM[RM_Qty_Per_Batch]*IFERROR(INDEX(PP_Grid[#Data],M_BOM[PPGridRow],36),0))</f>
        <v/>
      </c>
      <c r="AK36">
        <f>SUMPRODUCT((M_BOM[Part Name]=$A36)*M_BOM[RM_Qty_Per_Batch]*IFERROR(INDEX(PP_Grid[#Data],M_BOM[PPGridRow],37),0))</f>
        <v/>
      </c>
      <c r="AL36">
        <f>SUMPRODUCT((M_BOM[Part Name]=$A36)*M_BOM[RM_Qty_Per_Batch]*IFERROR(INDEX(PP_Grid[#Data],M_BOM[PPGridRow],38),0))</f>
        <v/>
      </c>
      <c r="AM36">
        <f>SUMPRODUCT((M_BOM[Part Name]=$A36)*M_BOM[RM_Qty_Per_Batch]*IFERROR(INDEX(PP_Grid[#Data],M_BOM[PPGridRow],39),0))</f>
        <v/>
      </c>
      <c r="AN36">
        <f>SUMPRODUCT((M_BOM[Part Name]=$A36)*M_BOM[RM_Qty_Per_Batch]*IFERROR(INDEX(PP_Grid[#Data],M_BOM[PPGridRow],40),0))</f>
        <v/>
      </c>
      <c r="AO36">
        <f>SUMPRODUCT((M_BOM[Part Name]=$A36)*M_BOM[RM_Qty_Per_Batch]*IFERROR(INDEX(PP_Grid[#Data],M_BOM[PPGridRow],41),0))</f>
        <v/>
      </c>
      <c r="AP36">
        <f>SUMPRODUCT((M_BOM[Part Name]=$A36)*M_BOM[RM_Qty_Per_Batch]*IFERROR(INDEX(PP_Grid[#Data],M_BOM[PPGridRow],42),0))</f>
        <v/>
      </c>
      <c r="AQ36">
        <f>SUMPRODUCT((M_BOM[Part Name]=$A36)*M_BOM[RM_Qty_Per_Batch]*IFERROR(INDEX(PP_Grid[#Data],M_BOM[PPGridRow],43),0))</f>
        <v/>
      </c>
      <c r="AR36">
        <f>SUMPRODUCT((M_BOM[Part Name]=$A36)*M_BOM[RM_Qty_Per_Batch]*IFERROR(INDEX(PP_Grid[#Data],M_BOM[PPGridRow],44),0))</f>
        <v/>
      </c>
      <c r="AS36">
        <f>SUMPRODUCT((M_BOM[Part Name]=$A36)*M_BOM[RM_Qty_Per_Batch]*IFERROR(INDEX(PP_Grid[#Data],M_BOM[PPGridRow],45),0))</f>
        <v/>
      </c>
      <c r="AT36">
        <f>SUMPRODUCT((M_BOM[Part Name]=$A36)*M_BOM[RM_Qty_Per_Batch]*IFERROR(INDEX(PP_Grid[#Data],M_BOM[PPGridRow],46),0))</f>
        <v/>
      </c>
      <c r="AU36">
        <f>SUMPRODUCT((M_BOM[Part Name]=$A36)*M_BOM[RM_Qty_Per_Batch]*IFERROR(INDEX(PP_Grid[#Data],M_BOM[PPGridRow],47),0))</f>
        <v/>
      </c>
      <c r="AV36">
        <f>SUMPRODUCT((M_BOM[Part Name]=$A36)*M_BOM[RM_Qty_Per_Batch]*IFERROR(INDEX(PP_Grid[#Data],M_BOM[PPGridRow],48),0))</f>
        <v/>
      </c>
      <c r="AW36">
        <f>SUMPRODUCT((M_BOM[Part Name]=$A36)*M_BOM[RM_Qty_Per_Batch]*IFERROR(INDEX(PP_Grid[#Data],M_BOM[PPGridRow],49),0))</f>
        <v/>
      </c>
      <c r="AX36">
        <f>SUMPRODUCT((M_BOM[Part Name]=$A36)*M_BOM[RM_Qty_Per_Batch]*IFERROR(INDEX(PP_Grid[#Data],M_BOM[PPGridRow],50),0))</f>
        <v/>
      </c>
      <c r="AY36">
        <f>SUMPRODUCT((M_BOM[Part Name]=$A36)*M_BOM[RM_Qty_Per_Batch]*IFERROR(INDEX(PP_Grid[#Data],M_BOM[PPGridRow],51),0))</f>
        <v/>
      </c>
      <c r="AZ36">
        <f>SUMPRODUCT((M_BOM[Part Name]=$A36)*M_BOM[RM_Qty_Per_Batch]*IFERROR(INDEX(PP_Grid[#Data],M_BOM[PPGridRow],52),0))</f>
        <v/>
      </c>
      <c r="BA36">
        <f>SUMPRODUCT((M_BOM[Part Name]=$A36)*M_BOM[RM_Qty_Per_Batch]*IFERROR(INDEX(PP_Grid[#Data],M_BOM[PPGridRow],53),0))</f>
        <v/>
      </c>
      <c r="BB36">
        <f>SUMPRODUCT((M_BOM[Part Name]=$A36)*M_BOM[RM_Qty_Per_Batch]*IFERROR(INDEX(PP_Grid[#Data],M_BOM[PPGridRow],54),0))</f>
        <v/>
      </c>
      <c r="BC36">
        <f>SUMPRODUCT((M_BOM[Part Name]=$A36)*M_BOM[RM_Qty_Per_Batch]*IFERROR(INDEX(PP_Grid[#Data],M_BOM[PPGridRow],55),0))</f>
        <v/>
      </c>
      <c r="BD36">
        <f>SUMPRODUCT((M_BOM[Part Name]=$A36)*M_BOM[RM_Qty_Per_Batch]*IFERROR(INDEX(PP_Grid[#Data],M_BOM[PPGridRow],56),0))</f>
        <v/>
      </c>
      <c r="BE36">
        <f>SUMPRODUCT((M_BOM[Part Name]=$A36)*M_BOM[RM_Qty_Per_Batch]*IFERROR(INDEX(PP_Grid[#Data],M_BOM[PPGridRow],57),0))</f>
        <v/>
      </c>
      <c r="BF36">
        <f>SUMPRODUCT((M_BOM[Part Name]=$A36)*M_BOM[RM_Qty_Per_Batch]*IFERROR(INDEX(PP_Grid[#Data],M_BOM[PPGridRow],58),0))</f>
        <v/>
      </c>
      <c r="BG36">
        <f>SUMPRODUCT((M_BOM[Part Name]=$A36)*M_BOM[RM_Qty_Per_Batch]*IFERROR(INDEX(PP_Grid[#Data],M_BOM[PPGridRow],59),0))</f>
        <v/>
      </c>
      <c r="BH36">
        <f>SUMPRODUCT((M_BOM[Part Name]=$A36)*M_BOM[RM_Qty_Per_Batch]*IFERROR(INDEX(PP_Grid[#Data],M_BOM[PPGridRow],60),0))</f>
        <v/>
      </c>
      <c r="BI36">
        <f>SUMPRODUCT((M_BOM[Part Name]=$A36)*M_BOM[RM_Qty_Per_Batch]*IFERROR(INDEX(PP_Grid[#Data],M_BOM[PPGridRow],61),0))</f>
        <v/>
      </c>
      <c r="BJ36">
        <f>SUMPRODUCT((M_BOM[Part Name]=$A36)*M_BOM[RM_Qty_Per_Batch]*IFERROR(INDEX(PP_Grid[#Data],M_BOM[PPGridRow],62),0))</f>
        <v/>
      </c>
      <c r="BK36">
        <f>SUMPRODUCT((M_BOM[Part Name]=$A36)*M_BOM[RM_Qty_Per_Batch]*IFERROR(INDEX(PP_Grid[#Data],M_BOM[PPGridRow],63),0))</f>
        <v/>
      </c>
      <c r="BL36">
        <f>SUMPRODUCT((M_BOM[Part Name]=$A36)*M_BOM[RM_Qty_Per_Batch]*IFERROR(INDEX(PP_Grid[#Data],M_BOM[PPGridRow],64),0))</f>
        <v/>
      </c>
      <c r="BM36">
        <f>SUMPRODUCT((M_BOM[Part Name]=$A36)*M_BOM[RM_Qty_Per_Batch]*IFERROR(INDEX(PP_Grid[#Data],M_BOM[PPGridRow],65),0))</f>
        <v/>
      </c>
      <c r="BN36">
        <f>SUMPRODUCT((M_BOM[Part Name]=$A36)*M_BOM[RM_Qty_Per_Batch]*IFERROR(INDEX(PP_Grid[#Data],M_BOM[PPGridRow],66),0))</f>
        <v/>
      </c>
      <c r="BO36">
        <f>SUMPRODUCT((M_BOM[Part Name]=$A36)*M_BOM[RM_Qty_Per_Batch]*IFERROR(INDEX(PP_Grid[#Data],M_BOM[PPGridRow],67),0))</f>
        <v/>
      </c>
      <c r="BP36">
        <f>SUMPRODUCT((M_BOM[Part Name]=$A36)*M_BOM[RM_Qty_Per_Batch]*IFERROR(INDEX(PP_Grid[#Data],M_BOM[PPGridRow],68),0))</f>
        <v/>
      </c>
      <c r="BQ36">
        <f>SUMPRODUCT((M_BOM[Part Name]=$A36)*M_BOM[RM_Qty_Per_Batch]*IFERROR(INDEX(PP_Grid[#Data],M_BOM[PPGridRow],69),0))</f>
        <v/>
      </c>
      <c r="BR36">
        <f>SUMPRODUCT((M_BOM[Part Name]=$A36)*M_BOM[RM_Qty_Per_Batch]*IFERROR(INDEX(PP_Grid[#Data],M_BOM[PPGridRow],70),0))</f>
        <v/>
      </c>
      <c r="BS36">
        <f>SUMPRODUCT((M_BOM[Part Name]=$A36)*M_BOM[RM_Qty_Per_Batch]*IFERROR(INDEX(PP_Grid[#Data],M_BOM[PPGridRow],71),0))</f>
        <v/>
      </c>
      <c r="BT36">
        <f>SUMPRODUCT((M_BOM[Part Name]=$A36)*M_BOM[RM_Qty_Per_Batch]*IFERROR(INDEX(PP_Grid[#Data],M_BOM[PPGridRow],72),0))</f>
        <v/>
      </c>
      <c r="BU36">
        <f>SUMPRODUCT((M_BOM[Part Name]=$A36)*M_BOM[RM_Qty_Per_Batch]*IFERROR(INDEX(PP_Grid[#Data],M_BOM[PPGridRow],73),0))</f>
        <v/>
      </c>
      <c r="BV36">
        <f>SUMPRODUCT((M_BOM[Part Name]=$A36)*M_BOM[RM_Qty_Per_Batch]*IFERROR(INDEX(PP_Grid[#Data],M_BOM[PPGridRow],74),0))</f>
        <v/>
      </c>
      <c r="BW36">
        <f>SUMPRODUCT((M_BOM[Part Name]=$A36)*M_BOM[RM_Qty_Per_Batch]*IFERROR(INDEX(PP_Grid[#Data],M_BOM[PPGridRow],75),0))</f>
        <v/>
      </c>
      <c r="BX36">
        <f>SUMPRODUCT((M_BOM[Part Name]=$A36)*M_BOM[RM_Qty_Per_Batch]*IFERROR(INDEX(PP_Grid[#Data],M_BOM[PPGridRow],76),0))</f>
        <v/>
      </c>
      <c r="BY36">
        <f>SUMPRODUCT((M_BOM[Part Name]=$A36)*M_BOM[RM_Qty_Per_Batch]*IFERROR(INDEX(PP_Grid[#Data],M_BOM[PPGridRow],77),0))</f>
        <v/>
      </c>
      <c r="BZ36">
        <f>SUMPRODUCT((M_BOM[Part Name]=$A36)*M_BOM[RM_Qty_Per_Batch]*IFERROR(INDEX(PP_Grid[#Data],M_BOM[PPGridRow],78),0))</f>
        <v/>
      </c>
      <c r="CA36">
        <f>SUMPRODUCT((M_BOM[Part Name]=$A36)*M_BOM[RM_Qty_Per_Batch]*IFERROR(INDEX(PP_Grid[#Data],M_BOM[PPGridRow],79),0))</f>
        <v/>
      </c>
      <c r="CB36">
        <f>SUMPRODUCT((M_BOM[Part Name]=$A36)*M_BOM[RM_Qty_Per_Batch]*IFERROR(INDEX(PP_Grid[#Data],M_BOM[PPGridRow],80),0))</f>
        <v/>
      </c>
      <c r="CC36">
        <f>SUMPRODUCT((M_BOM[Part Name]=$A36)*M_BOM[RM_Qty_Per_Batch]*IFERROR(INDEX(PP_Grid[#Data],M_BOM[PPGridRow],81),0))</f>
        <v/>
      </c>
      <c r="CD36">
        <f>SUMPRODUCT((M_BOM[Part Name]=$A36)*M_BOM[RM_Qty_Per_Batch]*IFERROR(INDEX(PP_Grid[#Data],M_BOM[PPGridRow],82),0))</f>
        <v/>
      </c>
      <c r="CE36">
        <f>SUMPRODUCT((M_BOM[Part Name]=$A36)*M_BOM[RM_Qty_Per_Batch]*IFERROR(INDEX(PP_Grid[#Data],M_BOM[PPGridRow],83),0))</f>
        <v/>
      </c>
      <c r="CF36">
        <f>SUMPRODUCT((M_BOM[Part Name]=$A36)*M_BOM[RM_Qty_Per_Batch]*IFERROR(INDEX(PP_Grid[#Data],M_BOM[PPGridRow],84),0))</f>
        <v/>
      </c>
      <c r="CG36">
        <f>SUMPRODUCT((M_BOM[Part Name]=$A36)*M_BOM[RM_Qty_Per_Batch]*IFERROR(INDEX(PP_Grid[#Data],M_BOM[PPGridRow],85),0))</f>
        <v/>
      </c>
      <c r="CH36">
        <f>SUMPRODUCT((M_BOM[Part Name]=$A36)*M_BOM[RM_Qty_Per_Batch]*IFERROR(INDEX(PP_Grid[#Data],M_BOM[PPGridRow],86),0))</f>
        <v/>
      </c>
      <c r="CI36">
        <f>SUMPRODUCT((M_BOM[Part Name]=$A36)*M_BOM[RM_Qty_Per_Batch]*IFERROR(INDEX(PP_Grid[#Data],M_BOM[PPGridRow],87),0))</f>
        <v/>
      </c>
      <c r="CJ36">
        <f>SUMPRODUCT((M_BOM[Part Name]=$A36)*M_BOM[RM_Qty_Per_Batch]*IFERROR(INDEX(PP_Grid[#Data],M_BOM[PPGridRow],88),0))</f>
        <v/>
      </c>
      <c r="CK36">
        <f>SUMPRODUCT((M_BOM[Part Name]=$A36)*M_BOM[RM_Qty_Per_Batch]*IFERROR(INDEX(PP_Grid[#Data],M_BOM[PPGridRow],89),0))</f>
        <v/>
      </c>
      <c r="CL36">
        <f>SUMPRODUCT((M_BOM[Part Name]=$A36)*M_BOM[RM_Qty_Per_Batch]*IFERROR(INDEX(PP_Grid[#Data],M_BOM[PPGridRow],90),0))</f>
        <v/>
      </c>
      <c r="CM36">
        <f>SUMPRODUCT((M_BOM[Part Name]=$A36)*M_BOM[RM_Qty_Per_Batch]*IFERROR(INDEX(PP_Grid[#Data],M_BOM[PPGridRow],91),0))</f>
        <v/>
      </c>
      <c r="CN36">
        <f>SUMPRODUCT((M_BOM[Part Name]=$A36)*M_BOM[RM_Qty_Per_Batch]*IFERROR(INDEX(PP_Grid[#Data],M_BOM[PPGridRow],92),0))</f>
        <v/>
      </c>
      <c r="CO36">
        <f>SUMPRODUCT((M_BOM[Part Name]=$A36)*M_BOM[RM_Qty_Per_Batch]*IFERROR(INDEX(PP_Grid[#Data],M_BOM[PPGridRow],93),0))</f>
        <v/>
      </c>
      <c r="CP36">
        <f>SUMPRODUCT((M_BOM[Part Name]=$A36)*M_BOM[RM_Qty_Per_Batch]*IFERROR(INDEX(PP_Grid[#Data],M_BOM[PPGridRow],94),0))</f>
        <v/>
      </c>
      <c r="CQ36">
        <f>SUMPRODUCT((M_BOM[Part Name]=$A36)*M_BOM[RM_Qty_Per_Batch]*IFERROR(INDEX(PP_Grid[#Data],M_BOM[PPGridRow],95),0))</f>
        <v/>
      </c>
      <c r="CR36">
        <f>SUMPRODUCT((M_BOM[Part Name]=$A36)*M_BOM[RM_Qty_Per_Batch]*IFERROR(INDEX(PP_Grid[#Data],M_BOM[PPGridRow],96),0))</f>
        <v/>
      </c>
      <c r="CS36">
        <f>SUMPRODUCT((M_BOM[Part Name]=$A36)*M_BOM[RM_Qty_Per_Batch]*IFERROR(INDEX(PP_Grid[#Data],M_BOM[PPGridRow],97),0))</f>
        <v/>
      </c>
      <c r="CT36">
        <f>SUMPRODUCT((M_BOM[Part Name]=$A36)*M_BOM[RM_Qty_Per_Batch]*IFERROR(INDEX(PP_Grid[#Data],M_BOM[PPGridRow],98),0))</f>
        <v/>
      </c>
      <c r="CU36">
        <f>SUMPRODUCT((M_BOM[Part Name]=$A36)*M_BOM[RM_Qty_Per_Batch]*IFERROR(INDEX(PP_Grid[#Data],M_BOM[PPGridRow],99),0))</f>
        <v/>
      </c>
      <c r="CV36">
        <f>SUMPRODUCT((M_BOM[Part Name]=$A36)*M_BOM[RM_Qty_Per_Batch]*IFERROR(INDEX(PP_Grid[#Data],M_BOM[PPGridRow],100),0))</f>
        <v/>
      </c>
      <c r="CW36">
        <f>SUMPRODUCT((M_BOM[Part Name]=$A36)*M_BOM[RM_Qty_Per_Batch]*IFERROR(INDEX(PP_Grid[#Data],M_BOM[PPGridRow],101),0))</f>
        <v/>
      </c>
      <c r="CX36">
        <f>SUMPRODUCT((M_BOM[Part Name]=$A36)*M_BOM[RM_Qty_Per_Batch]*IFERROR(INDEX(PP_Grid[#Data],M_BOM[PPGridRow],102),0))</f>
        <v/>
      </c>
      <c r="CY36">
        <f>SUMPRODUCT((M_BOM[Part Name]=$A36)*M_BOM[RM_Qty_Per_Batch]*IFERROR(INDEX(PP_Grid[#Data],M_BOM[PPGridRow],103),0))</f>
        <v/>
      </c>
      <c r="CZ36">
        <f>SUMPRODUCT((M_BOM[Part Name]=$A36)*M_BOM[RM_Qty_Per_Batch]*IFERROR(INDEX(PP_Grid[#Data],M_BOM[PPGridRow],104),0))</f>
        <v/>
      </c>
      <c r="DA36">
        <f>SUMPRODUCT((M_BOM[Part Name]=$A36)*M_BOM[RM_Qty_Per_Batch]*IFERROR(INDEX(PP_Grid[#Data],M_BOM[PPGridRow],105),0))</f>
        <v/>
      </c>
    </row>
    <row r="37">
      <c r="A37" t="inlineStr">
        <is>
          <t>CHEM-1020</t>
        </is>
      </c>
      <c r="B37">
        <f>SUMPRODUCT((M_BOM[Part Name]=$A37)*M_BOM[RM_Qty_Per_Batch]*IFERROR(INDEX(PP_Grid[#Data],M_BOM[PPGridRow],2),0))</f>
        <v/>
      </c>
      <c r="C37">
        <f>SUMPRODUCT((M_BOM[Part Name]=$A37)*M_BOM[RM_Qty_Per_Batch]*IFERROR(INDEX(PP_Grid[#Data],M_BOM[PPGridRow],3),0))</f>
        <v/>
      </c>
      <c r="D37">
        <f>SUMPRODUCT((M_BOM[Part Name]=$A37)*M_BOM[RM_Qty_Per_Batch]*IFERROR(INDEX(PP_Grid[#Data],M_BOM[PPGridRow],4),0))</f>
        <v/>
      </c>
      <c r="E37">
        <f>SUMPRODUCT((M_BOM[Part Name]=$A37)*M_BOM[RM_Qty_Per_Batch]*IFERROR(INDEX(PP_Grid[#Data],M_BOM[PPGridRow],5),0))</f>
        <v/>
      </c>
      <c r="F37">
        <f>SUMPRODUCT((M_BOM[Part Name]=$A37)*M_BOM[RM_Qty_Per_Batch]*IFERROR(INDEX(PP_Grid[#Data],M_BOM[PPGridRow],6),0))</f>
        <v/>
      </c>
      <c r="G37">
        <f>SUMPRODUCT((M_BOM[Part Name]=$A37)*M_BOM[RM_Qty_Per_Batch]*IFERROR(INDEX(PP_Grid[#Data],M_BOM[PPGridRow],7),0))</f>
        <v/>
      </c>
      <c r="H37">
        <f>SUMPRODUCT((M_BOM[Part Name]=$A37)*M_BOM[RM_Qty_Per_Batch]*IFERROR(INDEX(PP_Grid[#Data],M_BOM[PPGridRow],8),0))</f>
        <v/>
      </c>
      <c r="I37">
        <f>SUMPRODUCT((M_BOM[Part Name]=$A37)*M_BOM[RM_Qty_Per_Batch]*IFERROR(INDEX(PP_Grid[#Data],M_BOM[PPGridRow],9),0))</f>
        <v/>
      </c>
      <c r="J37">
        <f>SUMPRODUCT((M_BOM[Part Name]=$A37)*M_BOM[RM_Qty_Per_Batch]*IFERROR(INDEX(PP_Grid[#Data],M_BOM[PPGridRow],10),0))</f>
        <v/>
      </c>
      <c r="K37">
        <f>SUMPRODUCT((M_BOM[Part Name]=$A37)*M_BOM[RM_Qty_Per_Batch]*IFERROR(INDEX(PP_Grid[#Data],M_BOM[PPGridRow],11),0))</f>
        <v/>
      </c>
      <c r="L37">
        <f>SUMPRODUCT((M_BOM[Part Name]=$A37)*M_BOM[RM_Qty_Per_Batch]*IFERROR(INDEX(PP_Grid[#Data],M_BOM[PPGridRow],12),0))</f>
        <v/>
      </c>
      <c r="M37">
        <f>SUMPRODUCT((M_BOM[Part Name]=$A37)*M_BOM[RM_Qty_Per_Batch]*IFERROR(INDEX(PP_Grid[#Data],M_BOM[PPGridRow],13),0))</f>
        <v/>
      </c>
      <c r="N37">
        <f>SUMPRODUCT((M_BOM[Part Name]=$A37)*M_BOM[RM_Qty_Per_Batch]*IFERROR(INDEX(PP_Grid[#Data],M_BOM[PPGridRow],14),0))</f>
        <v/>
      </c>
      <c r="O37">
        <f>SUMPRODUCT((M_BOM[Part Name]=$A37)*M_BOM[RM_Qty_Per_Batch]*IFERROR(INDEX(PP_Grid[#Data],M_BOM[PPGridRow],15),0))</f>
        <v/>
      </c>
      <c r="P37">
        <f>SUMPRODUCT((M_BOM[Part Name]=$A37)*M_BOM[RM_Qty_Per_Batch]*IFERROR(INDEX(PP_Grid[#Data],M_BOM[PPGridRow],16),0))</f>
        <v/>
      </c>
      <c r="Q37">
        <f>SUMPRODUCT((M_BOM[Part Name]=$A37)*M_BOM[RM_Qty_Per_Batch]*IFERROR(INDEX(PP_Grid[#Data],M_BOM[PPGridRow],17),0))</f>
        <v/>
      </c>
      <c r="R37">
        <f>SUMPRODUCT((M_BOM[Part Name]=$A37)*M_BOM[RM_Qty_Per_Batch]*IFERROR(INDEX(PP_Grid[#Data],M_BOM[PPGridRow],18),0))</f>
        <v/>
      </c>
      <c r="S37">
        <f>SUMPRODUCT((M_BOM[Part Name]=$A37)*M_BOM[RM_Qty_Per_Batch]*IFERROR(INDEX(PP_Grid[#Data],M_BOM[PPGridRow],19),0))</f>
        <v/>
      </c>
      <c r="T37">
        <f>SUMPRODUCT((M_BOM[Part Name]=$A37)*M_BOM[RM_Qty_Per_Batch]*IFERROR(INDEX(PP_Grid[#Data],M_BOM[PPGridRow],20),0))</f>
        <v/>
      </c>
      <c r="U37">
        <f>SUMPRODUCT((M_BOM[Part Name]=$A37)*M_BOM[RM_Qty_Per_Batch]*IFERROR(INDEX(PP_Grid[#Data],M_BOM[PPGridRow],21),0))</f>
        <v/>
      </c>
      <c r="V37">
        <f>SUMPRODUCT((M_BOM[Part Name]=$A37)*M_BOM[RM_Qty_Per_Batch]*IFERROR(INDEX(PP_Grid[#Data],M_BOM[PPGridRow],22),0))</f>
        <v/>
      </c>
      <c r="W37">
        <f>SUMPRODUCT((M_BOM[Part Name]=$A37)*M_BOM[RM_Qty_Per_Batch]*IFERROR(INDEX(PP_Grid[#Data],M_BOM[PPGridRow],23),0))</f>
        <v/>
      </c>
      <c r="X37">
        <f>SUMPRODUCT((M_BOM[Part Name]=$A37)*M_BOM[RM_Qty_Per_Batch]*IFERROR(INDEX(PP_Grid[#Data],M_BOM[PPGridRow],24),0))</f>
        <v/>
      </c>
      <c r="Y37">
        <f>SUMPRODUCT((M_BOM[Part Name]=$A37)*M_BOM[RM_Qty_Per_Batch]*IFERROR(INDEX(PP_Grid[#Data],M_BOM[PPGridRow],25),0))</f>
        <v/>
      </c>
      <c r="Z37">
        <f>SUMPRODUCT((M_BOM[Part Name]=$A37)*M_BOM[RM_Qty_Per_Batch]*IFERROR(INDEX(PP_Grid[#Data],M_BOM[PPGridRow],26),0))</f>
        <v/>
      </c>
      <c r="AA37">
        <f>SUMPRODUCT((M_BOM[Part Name]=$A37)*M_BOM[RM_Qty_Per_Batch]*IFERROR(INDEX(PP_Grid[#Data],M_BOM[PPGridRow],27),0))</f>
        <v/>
      </c>
      <c r="AB37">
        <f>SUMPRODUCT((M_BOM[Part Name]=$A37)*M_BOM[RM_Qty_Per_Batch]*IFERROR(INDEX(PP_Grid[#Data],M_BOM[PPGridRow],28),0))</f>
        <v/>
      </c>
      <c r="AC37">
        <f>SUMPRODUCT((M_BOM[Part Name]=$A37)*M_BOM[RM_Qty_Per_Batch]*IFERROR(INDEX(PP_Grid[#Data],M_BOM[PPGridRow],29),0))</f>
        <v/>
      </c>
      <c r="AD37">
        <f>SUMPRODUCT((M_BOM[Part Name]=$A37)*M_BOM[RM_Qty_Per_Batch]*IFERROR(INDEX(PP_Grid[#Data],M_BOM[PPGridRow],30),0))</f>
        <v/>
      </c>
      <c r="AE37">
        <f>SUMPRODUCT((M_BOM[Part Name]=$A37)*M_BOM[RM_Qty_Per_Batch]*IFERROR(INDEX(PP_Grid[#Data],M_BOM[PPGridRow],31),0))</f>
        <v/>
      </c>
      <c r="AF37">
        <f>SUMPRODUCT((M_BOM[Part Name]=$A37)*M_BOM[RM_Qty_Per_Batch]*IFERROR(INDEX(PP_Grid[#Data],M_BOM[PPGridRow],32),0))</f>
        <v/>
      </c>
      <c r="AG37">
        <f>SUMPRODUCT((M_BOM[Part Name]=$A37)*M_BOM[RM_Qty_Per_Batch]*IFERROR(INDEX(PP_Grid[#Data],M_BOM[PPGridRow],33),0))</f>
        <v/>
      </c>
      <c r="AH37">
        <f>SUMPRODUCT((M_BOM[Part Name]=$A37)*M_BOM[RM_Qty_Per_Batch]*IFERROR(INDEX(PP_Grid[#Data],M_BOM[PPGridRow],34),0))</f>
        <v/>
      </c>
      <c r="AI37">
        <f>SUMPRODUCT((M_BOM[Part Name]=$A37)*M_BOM[RM_Qty_Per_Batch]*IFERROR(INDEX(PP_Grid[#Data],M_BOM[PPGridRow],35),0))</f>
        <v/>
      </c>
      <c r="AJ37">
        <f>SUMPRODUCT((M_BOM[Part Name]=$A37)*M_BOM[RM_Qty_Per_Batch]*IFERROR(INDEX(PP_Grid[#Data],M_BOM[PPGridRow],36),0))</f>
        <v/>
      </c>
      <c r="AK37">
        <f>SUMPRODUCT((M_BOM[Part Name]=$A37)*M_BOM[RM_Qty_Per_Batch]*IFERROR(INDEX(PP_Grid[#Data],M_BOM[PPGridRow],37),0))</f>
        <v/>
      </c>
      <c r="AL37">
        <f>SUMPRODUCT((M_BOM[Part Name]=$A37)*M_BOM[RM_Qty_Per_Batch]*IFERROR(INDEX(PP_Grid[#Data],M_BOM[PPGridRow],38),0))</f>
        <v/>
      </c>
      <c r="AM37">
        <f>SUMPRODUCT((M_BOM[Part Name]=$A37)*M_BOM[RM_Qty_Per_Batch]*IFERROR(INDEX(PP_Grid[#Data],M_BOM[PPGridRow],39),0))</f>
        <v/>
      </c>
      <c r="AN37">
        <f>SUMPRODUCT((M_BOM[Part Name]=$A37)*M_BOM[RM_Qty_Per_Batch]*IFERROR(INDEX(PP_Grid[#Data],M_BOM[PPGridRow],40),0))</f>
        <v/>
      </c>
      <c r="AO37">
        <f>SUMPRODUCT((M_BOM[Part Name]=$A37)*M_BOM[RM_Qty_Per_Batch]*IFERROR(INDEX(PP_Grid[#Data],M_BOM[PPGridRow],41),0))</f>
        <v/>
      </c>
      <c r="AP37">
        <f>SUMPRODUCT((M_BOM[Part Name]=$A37)*M_BOM[RM_Qty_Per_Batch]*IFERROR(INDEX(PP_Grid[#Data],M_BOM[PPGridRow],42),0))</f>
        <v/>
      </c>
      <c r="AQ37">
        <f>SUMPRODUCT((M_BOM[Part Name]=$A37)*M_BOM[RM_Qty_Per_Batch]*IFERROR(INDEX(PP_Grid[#Data],M_BOM[PPGridRow],43),0))</f>
        <v/>
      </c>
      <c r="AR37">
        <f>SUMPRODUCT((M_BOM[Part Name]=$A37)*M_BOM[RM_Qty_Per_Batch]*IFERROR(INDEX(PP_Grid[#Data],M_BOM[PPGridRow],44),0))</f>
        <v/>
      </c>
      <c r="AS37">
        <f>SUMPRODUCT((M_BOM[Part Name]=$A37)*M_BOM[RM_Qty_Per_Batch]*IFERROR(INDEX(PP_Grid[#Data],M_BOM[PPGridRow],45),0))</f>
        <v/>
      </c>
      <c r="AT37">
        <f>SUMPRODUCT((M_BOM[Part Name]=$A37)*M_BOM[RM_Qty_Per_Batch]*IFERROR(INDEX(PP_Grid[#Data],M_BOM[PPGridRow],46),0))</f>
        <v/>
      </c>
      <c r="AU37">
        <f>SUMPRODUCT((M_BOM[Part Name]=$A37)*M_BOM[RM_Qty_Per_Batch]*IFERROR(INDEX(PP_Grid[#Data],M_BOM[PPGridRow],47),0))</f>
        <v/>
      </c>
      <c r="AV37">
        <f>SUMPRODUCT((M_BOM[Part Name]=$A37)*M_BOM[RM_Qty_Per_Batch]*IFERROR(INDEX(PP_Grid[#Data],M_BOM[PPGridRow],48),0))</f>
        <v/>
      </c>
      <c r="AW37">
        <f>SUMPRODUCT((M_BOM[Part Name]=$A37)*M_BOM[RM_Qty_Per_Batch]*IFERROR(INDEX(PP_Grid[#Data],M_BOM[PPGridRow],49),0))</f>
        <v/>
      </c>
      <c r="AX37">
        <f>SUMPRODUCT((M_BOM[Part Name]=$A37)*M_BOM[RM_Qty_Per_Batch]*IFERROR(INDEX(PP_Grid[#Data],M_BOM[PPGridRow],50),0))</f>
        <v/>
      </c>
      <c r="AY37">
        <f>SUMPRODUCT((M_BOM[Part Name]=$A37)*M_BOM[RM_Qty_Per_Batch]*IFERROR(INDEX(PP_Grid[#Data],M_BOM[PPGridRow],51),0))</f>
        <v/>
      </c>
      <c r="AZ37">
        <f>SUMPRODUCT((M_BOM[Part Name]=$A37)*M_BOM[RM_Qty_Per_Batch]*IFERROR(INDEX(PP_Grid[#Data],M_BOM[PPGridRow],52),0))</f>
        <v/>
      </c>
      <c r="BA37">
        <f>SUMPRODUCT((M_BOM[Part Name]=$A37)*M_BOM[RM_Qty_Per_Batch]*IFERROR(INDEX(PP_Grid[#Data],M_BOM[PPGridRow],53),0))</f>
        <v/>
      </c>
      <c r="BB37">
        <f>SUMPRODUCT((M_BOM[Part Name]=$A37)*M_BOM[RM_Qty_Per_Batch]*IFERROR(INDEX(PP_Grid[#Data],M_BOM[PPGridRow],54),0))</f>
        <v/>
      </c>
      <c r="BC37">
        <f>SUMPRODUCT((M_BOM[Part Name]=$A37)*M_BOM[RM_Qty_Per_Batch]*IFERROR(INDEX(PP_Grid[#Data],M_BOM[PPGridRow],55),0))</f>
        <v/>
      </c>
      <c r="BD37">
        <f>SUMPRODUCT((M_BOM[Part Name]=$A37)*M_BOM[RM_Qty_Per_Batch]*IFERROR(INDEX(PP_Grid[#Data],M_BOM[PPGridRow],56),0))</f>
        <v/>
      </c>
      <c r="BE37">
        <f>SUMPRODUCT((M_BOM[Part Name]=$A37)*M_BOM[RM_Qty_Per_Batch]*IFERROR(INDEX(PP_Grid[#Data],M_BOM[PPGridRow],57),0))</f>
        <v/>
      </c>
      <c r="BF37">
        <f>SUMPRODUCT((M_BOM[Part Name]=$A37)*M_BOM[RM_Qty_Per_Batch]*IFERROR(INDEX(PP_Grid[#Data],M_BOM[PPGridRow],58),0))</f>
        <v/>
      </c>
      <c r="BG37">
        <f>SUMPRODUCT((M_BOM[Part Name]=$A37)*M_BOM[RM_Qty_Per_Batch]*IFERROR(INDEX(PP_Grid[#Data],M_BOM[PPGridRow],59),0))</f>
        <v/>
      </c>
      <c r="BH37">
        <f>SUMPRODUCT((M_BOM[Part Name]=$A37)*M_BOM[RM_Qty_Per_Batch]*IFERROR(INDEX(PP_Grid[#Data],M_BOM[PPGridRow],60),0))</f>
        <v/>
      </c>
      <c r="BI37">
        <f>SUMPRODUCT((M_BOM[Part Name]=$A37)*M_BOM[RM_Qty_Per_Batch]*IFERROR(INDEX(PP_Grid[#Data],M_BOM[PPGridRow],61),0))</f>
        <v/>
      </c>
      <c r="BJ37">
        <f>SUMPRODUCT((M_BOM[Part Name]=$A37)*M_BOM[RM_Qty_Per_Batch]*IFERROR(INDEX(PP_Grid[#Data],M_BOM[PPGridRow],62),0))</f>
        <v/>
      </c>
      <c r="BK37">
        <f>SUMPRODUCT((M_BOM[Part Name]=$A37)*M_BOM[RM_Qty_Per_Batch]*IFERROR(INDEX(PP_Grid[#Data],M_BOM[PPGridRow],63),0))</f>
        <v/>
      </c>
      <c r="BL37">
        <f>SUMPRODUCT((M_BOM[Part Name]=$A37)*M_BOM[RM_Qty_Per_Batch]*IFERROR(INDEX(PP_Grid[#Data],M_BOM[PPGridRow],64),0))</f>
        <v/>
      </c>
      <c r="BM37">
        <f>SUMPRODUCT((M_BOM[Part Name]=$A37)*M_BOM[RM_Qty_Per_Batch]*IFERROR(INDEX(PP_Grid[#Data],M_BOM[PPGridRow],65),0))</f>
        <v/>
      </c>
      <c r="BN37">
        <f>SUMPRODUCT((M_BOM[Part Name]=$A37)*M_BOM[RM_Qty_Per_Batch]*IFERROR(INDEX(PP_Grid[#Data],M_BOM[PPGridRow],66),0))</f>
        <v/>
      </c>
      <c r="BO37">
        <f>SUMPRODUCT((M_BOM[Part Name]=$A37)*M_BOM[RM_Qty_Per_Batch]*IFERROR(INDEX(PP_Grid[#Data],M_BOM[PPGridRow],67),0))</f>
        <v/>
      </c>
      <c r="BP37">
        <f>SUMPRODUCT((M_BOM[Part Name]=$A37)*M_BOM[RM_Qty_Per_Batch]*IFERROR(INDEX(PP_Grid[#Data],M_BOM[PPGridRow],68),0))</f>
        <v/>
      </c>
      <c r="BQ37">
        <f>SUMPRODUCT((M_BOM[Part Name]=$A37)*M_BOM[RM_Qty_Per_Batch]*IFERROR(INDEX(PP_Grid[#Data],M_BOM[PPGridRow],69),0))</f>
        <v/>
      </c>
      <c r="BR37">
        <f>SUMPRODUCT((M_BOM[Part Name]=$A37)*M_BOM[RM_Qty_Per_Batch]*IFERROR(INDEX(PP_Grid[#Data],M_BOM[PPGridRow],70),0))</f>
        <v/>
      </c>
      <c r="BS37">
        <f>SUMPRODUCT((M_BOM[Part Name]=$A37)*M_BOM[RM_Qty_Per_Batch]*IFERROR(INDEX(PP_Grid[#Data],M_BOM[PPGridRow],71),0))</f>
        <v/>
      </c>
      <c r="BT37">
        <f>SUMPRODUCT((M_BOM[Part Name]=$A37)*M_BOM[RM_Qty_Per_Batch]*IFERROR(INDEX(PP_Grid[#Data],M_BOM[PPGridRow],72),0))</f>
        <v/>
      </c>
      <c r="BU37">
        <f>SUMPRODUCT((M_BOM[Part Name]=$A37)*M_BOM[RM_Qty_Per_Batch]*IFERROR(INDEX(PP_Grid[#Data],M_BOM[PPGridRow],73),0))</f>
        <v/>
      </c>
      <c r="BV37">
        <f>SUMPRODUCT((M_BOM[Part Name]=$A37)*M_BOM[RM_Qty_Per_Batch]*IFERROR(INDEX(PP_Grid[#Data],M_BOM[PPGridRow],74),0))</f>
        <v/>
      </c>
      <c r="BW37">
        <f>SUMPRODUCT((M_BOM[Part Name]=$A37)*M_BOM[RM_Qty_Per_Batch]*IFERROR(INDEX(PP_Grid[#Data],M_BOM[PPGridRow],75),0))</f>
        <v/>
      </c>
      <c r="BX37">
        <f>SUMPRODUCT((M_BOM[Part Name]=$A37)*M_BOM[RM_Qty_Per_Batch]*IFERROR(INDEX(PP_Grid[#Data],M_BOM[PPGridRow],76),0))</f>
        <v/>
      </c>
      <c r="BY37">
        <f>SUMPRODUCT((M_BOM[Part Name]=$A37)*M_BOM[RM_Qty_Per_Batch]*IFERROR(INDEX(PP_Grid[#Data],M_BOM[PPGridRow],77),0))</f>
        <v/>
      </c>
      <c r="BZ37">
        <f>SUMPRODUCT((M_BOM[Part Name]=$A37)*M_BOM[RM_Qty_Per_Batch]*IFERROR(INDEX(PP_Grid[#Data],M_BOM[PPGridRow],78),0))</f>
        <v/>
      </c>
      <c r="CA37">
        <f>SUMPRODUCT((M_BOM[Part Name]=$A37)*M_BOM[RM_Qty_Per_Batch]*IFERROR(INDEX(PP_Grid[#Data],M_BOM[PPGridRow],79),0))</f>
        <v/>
      </c>
      <c r="CB37">
        <f>SUMPRODUCT((M_BOM[Part Name]=$A37)*M_BOM[RM_Qty_Per_Batch]*IFERROR(INDEX(PP_Grid[#Data],M_BOM[PPGridRow],80),0))</f>
        <v/>
      </c>
      <c r="CC37">
        <f>SUMPRODUCT((M_BOM[Part Name]=$A37)*M_BOM[RM_Qty_Per_Batch]*IFERROR(INDEX(PP_Grid[#Data],M_BOM[PPGridRow],81),0))</f>
        <v/>
      </c>
      <c r="CD37">
        <f>SUMPRODUCT((M_BOM[Part Name]=$A37)*M_BOM[RM_Qty_Per_Batch]*IFERROR(INDEX(PP_Grid[#Data],M_BOM[PPGridRow],82),0))</f>
        <v/>
      </c>
      <c r="CE37">
        <f>SUMPRODUCT((M_BOM[Part Name]=$A37)*M_BOM[RM_Qty_Per_Batch]*IFERROR(INDEX(PP_Grid[#Data],M_BOM[PPGridRow],83),0))</f>
        <v/>
      </c>
      <c r="CF37">
        <f>SUMPRODUCT((M_BOM[Part Name]=$A37)*M_BOM[RM_Qty_Per_Batch]*IFERROR(INDEX(PP_Grid[#Data],M_BOM[PPGridRow],84),0))</f>
        <v/>
      </c>
      <c r="CG37">
        <f>SUMPRODUCT((M_BOM[Part Name]=$A37)*M_BOM[RM_Qty_Per_Batch]*IFERROR(INDEX(PP_Grid[#Data],M_BOM[PPGridRow],85),0))</f>
        <v/>
      </c>
      <c r="CH37">
        <f>SUMPRODUCT((M_BOM[Part Name]=$A37)*M_BOM[RM_Qty_Per_Batch]*IFERROR(INDEX(PP_Grid[#Data],M_BOM[PPGridRow],86),0))</f>
        <v/>
      </c>
      <c r="CI37">
        <f>SUMPRODUCT((M_BOM[Part Name]=$A37)*M_BOM[RM_Qty_Per_Batch]*IFERROR(INDEX(PP_Grid[#Data],M_BOM[PPGridRow],87),0))</f>
        <v/>
      </c>
      <c r="CJ37">
        <f>SUMPRODUCT((M_BOM[Part Name]=$A37)*M_BOM[RM_Qty_Per_Batch]*IFERROR(INDEX(PP_Grid[#Data],M_BOM[PPGridRow],88),0))</f>
        <v/>
      </c>
      <c r="CK37">
        <f>SUMPRODUCT((M_BOM[Part Name]=$A37)*M_BOM[RM_Qty_Per_Batch]*IFERROR(INDEX(PP_Grid[#Data],M_BOM[PPGridRow],89),0))</f>
        <v/>
      </c>
      <c r="CL37">
        <f>SUMPRODUCT((M_BOM[Part Name]=$A37)*M_BOM[RM_Qty_Per_Batch]*IFERROR(INDEX(PP_Grid[#Data],M_BOM[PPGridRow],90),0))</f>
        <v/>
      </c>
      <c r="CM37">
        <f>SUMPRODUCT((M_BOM[Part Name]=$A37)*M_BOM[RM_Qty_Per_Batch]*IFERROR(INDEX(PP_Grid[#Data],M_BOM[PPGridRow],91),0))</f>
        <v/>
      </c>
      <c r="CN37">
        <f>SUMPRODUCT((M_BOM[Part Name]=$A37)*M_BOM[RM_Qty_Per_Batch]*IFERROR(INDEX(PP_Grid[#Data],M_BOM[PPGridRow],92),0))</f>
        <v/>
      </c>
      <c r="CO37">
        <f>SUMPRODUCT((M_BOM[Part Name]=$A37)*M_BOM[RM_Qty_Per_Batch]*IFERROR(INDEX(PP_Grid[#Data],M_BOM[PPGridRow],93),0))</f>
        <v/>
      </c>
      <c r="CP37">
        <f>SUMPRODUCT((M_BOM[Part Name]=$A37)*M_BOM[RM_Qty_Per_Batch]*IFERROR(INDEX(PP_Grid[#Data],M_BOM[PPGridRow],94),0))</f>
        <v/>
      </c>
      <c r="CQ37">
        <f>SUMPRODUCT((M_BOM[Part Name]=$A37)*M_BOM[RM_Qty_Per_Batch]*IFERROR(INDEX(PP_Grid[#Data],M_BOM[PPGridRow],95),0))</f>
        <v/>
      </c>
      <c r="CR37">
        <f>SUMPRODUCT((M_BOM[Part Name]=$A37)*M_BOM[RM_Qty_Per_Batch]*IFERROR(INDEX(PP_Grid[#Data],M_BOM[PPGridRow],96),0))</f>
        <v/>
      </c>
      <c r="CS37">
        <f>SUMPRODUCT((M_BOM[Part Name]=$A37)*M_BOM[RM_Qty_Per_Batch]*IFERROR(INDEX(PP_Grid[#Data],M_BOM[PPGridRow],97),0))</f>
        <v/>
      </c>
      <c r="CT37">
        <f>SUMPRODUCT((M_BOM[Part Name]=$A37)*M_BOM[RM_Qty_Per_Batch]*IFERROR(INDEX(PP_Grid[#Data],M_BOM[PPGridRow],98),0))</f>
        <v/>
      </c>
      <c r="CU37">
        <f>SUMPRODUCT((M_BOM[Part Name]=$A37)*M_BOM[RM_Qty_Per_Batch]*IFERROR(INDEX(PP_Grid[#Data],M_BOM[PPGridRow],99),0))</f>
        <v/>
      </c>
      <c r="CV37">
        <f>SUMPRODUCT((M_BOM[Part Name]=$A37)*M_BOM[RM_Qty_Per_Batch]*IFERROR(INDEX(PP_Grid[#Data],M_BOM[PPGridRow],100),0))</f>
        <v/>
      </c>
      <c r="CW37">
        <f>SUMPRODUCT((M_BOM[Part Name]=$A37)*M_BOM[RM_Qty_Per_Batch]*IFERROR(INDEX(PP_Grid[#Data],M_BOM[PPGridRow],101),0))</f>
        <v/>
      </c>
      <c r="CX37">
        <f>SUMPRODUCT((M_BOM[Part Name]=$A37)*M_BOM[RM_Qty_Per_Batch]*IFERROR(INDEX(PP_Grid[#Data],M_BOM[PPGridRow],102),0))</f>
        <v/>
      </c>
      <c r="CY37">
        <f>SUMPRODUCT((M_BOM[Part Name]=$A37)*M_BOM[RM_Qty_Per_Batch]*IFERROR(INDEX(PP_Grid[#Data],M_BOM[PPGridRow],103),0))</f>
        <v/>
      </c>
      <c r="CZ37">
        <f>SUMPRODUCT((M_BOM[Part Name]=$A37)*M_BOM[RM_Qty_Per_Batch]*IFERROR(INDEX(PP_Grid[#Data],M_BOM[PPGridRow],104),0))</f>
        <v/>
      </c>
      <c r="DA37">
        <f>SUMPRODUCT((M_BOM[Part Name]=$A37)*M_BOM[RM_Qty_Per_Batch]*IFERROR(INDEX(PP_Grid[#Data],M_BOM[PPGridRow],105),0))</f>
        <v/>
      </c>
    </row>
    <row r="38">
      <c r="A38" t="inlineStr">
        <is>
          <t>Ester Film</t>
        </is>
      </c>
      <c r="B38">
        <f>SUMPRODUCT((M_BOM[Part Name]=$A38)*M_BOM[RM_Qty_Per_Batch]*IFERROR(INDEX(PP_Grid[#Data],M_BOM[PPGridRow],2),0))</f>
        <v/>
      </c>
      <c r="C38">
        <f>SUMPRODUCT((M_BOM[Part Name]=$A38)*M_BOM[RM_Qty_Per_Batch]*IFERROR(INDEX(PP_Grid[#Data],M_BOM[PPGridRow],3),0))</f>
        <v/>
      </c>
      <c r="D38">
        <f>SUMPRODUCT((M_BOM[Part Name]=$A38)*M_BOM[RM_Qty_Per_Batch]*IFERROR(INDEX(PP_Grid[#Data],M_BOM[PPGridRow],4),0))</f>
        <v/>
      </c>
      <c r="E38">
        <f>SUMPRODUCT((M_BOM[Part Name]=$A38)*M_BOM[RM_Qty_Per_Batch]*IFERROR(INDEX(PP_Grid[#Data],M_BOM[PPGridRow],5),0))</f>
        <v/>
      </c>
      <c r="F38">
        <f>SUMPRODUCT((M_BOM[Part Name]=$A38)*M_BOM[RM_Qty_Per_Batch]*IFERROR(INDEX(PP_Grid[#Data],M_BOM[PPGridRow],6),0))</f>
        <v/>
      </c>
      <c r="G38">
        <f>SUMPRODUCT((M_BOM[Part Name]=$A38)*M_BOM[RM_Qty_Per_Batch]*IFERROR(INDEX(PP_Grid[#Data],M_BOM[PPGridRow],7),0))</f>
        <v/>
      </c>
      <c r="H38">
        <f>SUMPRODUCT((M_BOM[Part Name]=$A38)*M_BOM[RM_Qty_Per_Batch]*IFERROR(INDEX(PP_Grid[#Data],M_BOM[PPGridRow],8),0))</f>
        <v/>
      </c>
      <c r="I38">
        <f>SUMPRODUCT((M_BOM[Part Name]=$A38)*M_BOM[RM_Qty_Per_Batch]*IFERROR(INDEX(PP_Grid[#Data],M_BOM[PPGridRow],9),0))</f>
        <v/>
      </c>
      <c r="J38">
        <f>SUMPRODUCT((M_BOM[Part Name]=$A38)*M_BOM[RM_Qty_Per_Batch]*IFERROR(INDEX(PP_Grid[#Data],M_BOM[PPGridRow],10),0))</f>
        <v/>
      </c>
      <c r="K38">
        <f>SUMPRODUCT((M_BOM[Part Name]=$A38)*M_BOM[RM_Qty_Per_Batch]*IFERROR(INDEX(PP_Grid[#Data],M_BOM[PPGridRow],11),0))</f>
        <v/>
      </c>
      <c r="L38">
        <f>SUMPRODUCT((M_BOM[Part Name]=$A38)*M_BOM[RM_Qty_Per_Batch]*IFERROR(INDEX(PP_Grid[#Data],M_BOM[PPGridRow],12),0))</f>
        <v/>
      </c>
      <c r="M38">
        <f>SUMPRODUCT((M_BOM[Part Name]=$A38)*M_BOM[RM_Qty_Per_Batch]*IFERROR(INDEX(PP_Grid[#Data],M_BOM[PPGridRow],13),0))</f>
        <v/>
      </c>
      <c r="N38">
        <f>SUMPRODUCT((M_BOM[Part Name]=$A38)*M_BOM[RM_Qty_Per_Batch]*IFERROR(INDEX(PP_Grid[#Data],M_BOM[PPGridRow],14),0))</f>
        <v/>
      </c>
      <c r="O38">
        <f>SUMPRODUCT((M_BOM[Part Name]=$A38)*M_BOM[RM_Qty_Per_Batch]*IFERROR(INDEX(PP_Grid[#Data],M_BOM[PPGridRow],15),0))</f>
        <v/>
      </c>
      <c r="P38">
        <f>SUMPRODUCT((M_BOM[Part Name]=$A38)*M_BOM[RM_Qty_Per_Batch]*IFERROR(INDEX(PP_Grid[#Data],M_BOM[PPGridRow],16),0))</f>
        <v/>
      </c>
      <c r="Q38">
        <f>SUMPRODUCT((M_BOM[Part Name]=$A38)*M_BOM[RM_Qty_Per_Batch]*IFERROR(INDEX(PP_Grid[#Data],M_BOM[PPGridRow],17),0))</f>
        <v/>
      </c>
      <c r="R38">
        <f>SUMPRODUCT((M_BOM[Part Name]=$A38)*M_BOM[RM_Qty_Per_Batch]*IFERROR(INDEX(PP_Grid[#Data],M_BOM[PPGridRow],18),0))</f>
        <v/>
      </c>
      <c r="S38">
        <f>SUMPRODUCT((M_BOM[Part Name]=$A38)*M_BOM[RM_Qty_Per_Batch]*IFERROR(INDEX(PP_Grid[#Data],M_BOM[PPGridRow],19),0))</f>
        <v/>
      </c>
      <c r="T38">
        <f>SUMPRODUCT((M_BOM[Part Name]=$A38)*M_BOM[RM_Qty_Per_Batch]*IFERROR(INDEX(PP_Grid[#Data],M_BOM[PPGridRow],20),0))</f>
        <v/>
      </c>
      <c r="U38">
        <f>SUMPRODUCT((M_BOM[Part Name]=$A38)*M_BOM[RM_Qty_Per_Batch]*IFERROR(INDEX(PP_Grid[#Data],M_BOM[PPGridRow],21),0))</f>
        <v/>
      </c>
      <c r="V38">
        <f>SUMPRODUCT((M_BOM[Part Name]=$A38)*M_BOM[RM_Qty_Per_Batch]*IFERROR(INDEX(PP_Grid[#Data],M_BOM[PPGridRow],22),0))</f>
        <v/>
      </c>
      <c r="W38">
        <f>SUMPRODUCT((M_BOM[Part Name]=$A38)*M_BOM[RM_Qty_Per_Batch]*IFERROR(INDEX(PP_Grid[#Data],M_BOM[PPGridRow],23),0))</f>
        <v/>
      </c>
      <c r="X38">
        <f>SUMPRODUCT((M_BOM[Part Name]=$A38)*M_BOM[RM_Qty_Per_Batch]*IFERROR(INDEX(PP_Grid[#Data],M_BOM[PPGridRow],24),0))</f>
        <v/>
      </c>
      <c r="Y38">
        <f>SUMPRODUCT((M_BOM[Part Name]=$A38)*M_BOM[RM_Qty_Per_Batch]*IFERROR(INDEX(PP_Grid[#Data],M_BOM[PPGridRow],25),0))</f>
        <v/>
      </c>
      <c r="Z38">
        <f>SUMPRODUCT((M_BOM[Part Name]=$A38)*M_BOM[RM_Qty_Per_Batch]*IFERROR(INDEX(PP_Grid[#Data],M_BOM[PPGridRow],26),0))</f>
        <v/>
      </c>
      <c r="AA38">
        <f>SUMPRODUCT((M_BOM[Part Name]=$A38)*M_BOM[RM_Qty_Per_Batch]*IFERROR(INDEX(PP_Grid[#Data],M_BOM[PPGridRow],27),0))</f>
        <v/>
      </c>
      <c r="AB38">
        <f>SUMPRODUCT((M_BOM[Part Name]=$A38)*M_BOM[RM_Qty_Per_Batch]*IFERROR(INDEX(PP_Grid[#Data],M_BOM[PPGridRow],28),0))</f>
        <v/>
      </c>
      <c r="AC38">
        <f>SUMPRODUCT((M_BOM[Part Name]=$A38)*M_BOM[RM_Qty_Per_Batch]*IFERROR(INDEX(PP_Grid[#Data],M_BOM[PPGridRow],29),0))</f>
        <v/>
      </c>
      <c r="AD38">
        <f>SUMPRODUCT((M_BOM[Part Name]=$A38)*M_BOM[RM_Qty_Per_Batch]*IFERROR(INDEX(PP_Grid[#Data],M_BOM[PPGridRow],30),0))</f>
        <v/>
      </c>
      <c r="AE38">
        <f>SUMPRODUCT((M_BOM[Part Name]=$A38)*M_BOM[RM_Qty_Per_Batch]*IFERROR(INDEX(PP_Grid[#Data],M_BOM[PPGridRow],31),0))</f>
        <v/>
      </c>
      <c r="AF38">
        <f>SUMPRODUCT((M_BOM[Part Name]=$A38)*M_BOM[RM_Qty_Per_Batch]*IFERROR(INDEX(PP_Grid[#Data],M_BOM[PPGridRow],32),0))</f>
        <v/>
      </c>
      <c r="AG38">
        <f>SUMPRODUCT((M_BOM[Part Name]=$A38)*M_BOM[RM_Qty_Per_Batch]*IFERROR(INDEX(PP_Grid[#Data],M_BOM[PPGridRow],33),0))</f>
        <v/>
      </c>
      <c r="AH38">
        <f>SUMPRODUCT((M_BOM[Part Name]=$A38)*M_BOM[RM_Qty_Per_Batch]*IFERROR(INDEX(PP_Grid[#Data],M_BOM[PPGridRow],34),0))</f>
        <v/>
      </c>
      <c r="AI38">
        <f>SUMPRODUCT((M_BOM[Part Name]=$A38)*M_BOM[RM_Qty_Per_Batch]*IFERROR(INDEX(PP_Grid[#Data],M_BOM[PPGridRow],35),0))</f>
        <v/>
      </c>
      <c r="AJ38">
        <f>SUMPRODUCT((M_BOM[Part Name]=$A38)*M_BOM[RM_Qty_Per_Batch]*IFERROR(INDEX(PP_Grid[#Data],M_BOM[PPGridRow],36),0))</f>
        <v/>
      </c>
      <c r="AK38">
        <f>SUMPRODUCT((M_BOM[Part Name]=$A38)*M_BOM[RM_Qty_Per_Batch]*IFERROR(INDEX(PP_Grid[#Data],M_BOM[PPGridRow],37),0))</f>
        <v/>
      </c>
      <c r="AL38">
        <f>SUMPRODUCT((M_BOM[Part Name]=$A38)*M_BOM[RM_Qty_Per_Batch]*IFERROR(INDEX(PP_Grid[#Data],M_BOM[PPGridRow],38),0))</f>
        <v/>
      </c>
      <c r="AM38">
        <f>SUMPRODUCT((M_BOM[Part Name]=$A38)*M_BOM[RM_Qty_Per_Batch]*IFERROR(INDEX(PP_Grid[#Data],M_BOM[PPGridRow],39),0))</f>
        <v/>
      </c>
      <c r="AN38">
        <f>SUMPRODUCT((M_BOM[Part Name]=$A38)*M_BOM[RM_Qty_Per_Batch]*IFERROR(INDEX(PP_Grid[#Data],M_BOM[PPGridRow],40),0))</f>
        <v/>
      </c>
      <c r="AO38">
        <f>SUMPRODUCT((M_BOM[Part Name]=$A38)*M_BOM[RM_Qty_Per_Batch]*IFERROR(INDEX(PP_Grid[#Data],M_BOM[PPGridRow],41),0))</f>
        <v/>
      </c>
      <c r="AP38">
        <f>SUMPRODUCT((M_BOM[Part Name]=$A38)*M_BOM[RM_Qty_Per_Batch]*IFERROR(INDEX(PP_Grid[#Data],M_BOM[PPGridRow],42),0))</f>
        <v/>
      </c>
      <c r="AQ38">
        <f>SUMPRODUCT((M_BOM[Part Name]=$A38)*M_BOM[RM_Qty_Per_Batch]*IFERROR(INDEX(PP_Grid[#Data],M_BOM[PPGridRow],43),0))</f>
        <v/>
      </c>
      <c r="AR38">
        <f>SUMPRODUCT((M_BOM[Part Name]=$A38)*M_BOM[RM_Qty_Per_Batch]*IFERROR(INDEX(PP_Grid[#Data],M_BOM[PPGridRow],44),0))</f>
        <v/>
      </c>
      <c r="AS38">
        <f>SUMPRODUCT((M_BOM[Part Name]=$A38)*M_BOM[RM_Qty_Per_Batch]*IFERROR(INDEX(PP_Grid[#Data],M_BOM[PPGridRow],45),0))</f>
        <v/>
      </c>
      <c r="AT38">
        <f>SUMPRODUCT((M_BOM[Part Name]=$A38)*M_BOM[RM_Qty_Per_Batch]*IFERROR(INDEX(PP_Grid[#Data],M_BOM[PPGridRow],46),0))</f>
        <v/>
      </c>
      <c r="AU38">
        <f>SUMPRODUCT((M_BOM[Part Name]=$A38)*M_BOM[RM_Qty_Per_Batch]*IFERROR(INDEX(PP_Grid[#Data],M_BOM[PPGridRow],47),0))</f>
        <v/>
      </c>
      <c r="AV38">
        <f>SUMPRODUCT((M_BOM[Part Name]=$A38)*M_BOM[RM_Qty_Per_Batch]*IFERROR(INDEX(PP_Grid[#Data],M_BOM[PPGridRow],48),0))</f>
        <v/>
      </c>
      <c r="AW38">
        <f>SUMPRODUCT((M_BOM[Part Name]=$A38)*M_BOM[RM_Qty_Per_Batch]*IFERROR(INDEX(PP_Grid[#Data],M_BOM[PPGridRow],49),0))</f>
        <v/>
      </c>
      <c r="AX38">
        <f>SUMPRODUCT((M_BOM[Part Name]=$A38)*M_BOM[RM_Qty_Per_Batch]*IFERROR(INDEX(PP_Grid[#Data],M_BOM[PPGridRow],50),0))</f>
        <v/>
      </c>
      <c r="AY38">
        <f>SUMPRODUCT((M_BOM[Part Name]=$A38)*M_BOM[RM_Qty_Per_Batch]*IFERROR(INDEX(PP_Grid[#Data],M_BOM[PPGridRow],51),0))</f>
        <v/>
      </c>
      <c r="AZ38">
        <f>SUMPRODUCT((M_BOM[Part Name]=$A38)*M_BOM[RM_Qty_Per_Batch]*IFERROR(INDEX(PP_Grid[#Data],M_BOM[PPGridRow],52),0))</f>
        <v/>
      </c>
      <c r="BA38">
        <f>SUMPRODUCT((M_BOM[Part Name]=$A38)*M_BOM[RM_Qty_Per_Batch]*IFERROR(INDEX(PP_Grid[#Data],M_BOM[PPGridRow],53),0))</f>
        <v/>
      </c>
      <c r="BB38">
        <f>SUMPRODUCT((M_BOM[Part Name]=$A38)*M_BOM[RM_Qty_Per_Batch]*IFERROR(INDEX(PP_Grid[#Data],M_BOM[PPGridRow],54),0))</f>
        <v/>
      </c>
      <c r="BC38">
        <f>SUMPRODUCT((M_BOM[Part Name]=$A38)*M_BOM[RM_Qty_Per_Batch]*IFERROR(INDEX(PP_Grid[#Data],M_BOM[PPGridRow],55),0))</f>
        <v/>
      </c>
      <c r="BD38">
        <f>SUMPRODUCT((M_BOM[Part Name]=$A38)*M_BOM[RM_Qty_Per_Batch]*IFERROR(INDEX(PP_Grid[#Data],M_BOM[PPGridRow],56),0))</f>
        <v/>
      </c>
      <c r="BE38">
        <f>SUMPRODUCT((M_BOM[Part Name]=$A38)*M_BOM[RM_Qty_Per_Batch]*IFERROR(INDEX(PP_Grid[#Data],M_BOM[PPGridRow],57),0))</f>
        <v/>
      </c>
      <c r="BF38">
        <f>SUMPRODUCT((M_BOM[Part Name]=$A38)*M_BOM[RM_Qty_Per_Batch]*IFERROR(INDEX(PP_Grid[#Data],M_BOM[PPGridRow],58),0))</f>
        <v/>
      </c>
      <c r="BG38">
        <f>SUMPRODUCT((M_BOM[Part Name]=$A38)*M_BOM[RM_Qty_Per_Batch]*IFERROR(INDEX(PP_Grid[#Data],M_BOM[PPGridRow],59),0))</f>
        <v/>
      </c>
      <c r="BH38">
        <f>SUMPRODUCT((M_BOM[Part Name]=$A38)*M_BOM[RM_Qty_Per_Batch]*IFERROR(INDEX(PP_Grid[#Data],M_BOM[PPGridRow],60),0))</f>
        <v/>
      </c>
      <c r="BI38">
        <f>SUMPRODUCT((M_BOM[Part Name]=$A38)*M_BOM[RM_Qty_Per_Batch]*IFERROR(INDEX(PP_Grid[#Data],M_BOM[PPGridRow],61),0))</f>
        <v/>
      </c>
      <c r="BJ38">
        <f>SUMPRODUCT((M_BOM[Part Name]=$A38)*M_BOM[RM_Qty_Per_Batch]*IFERROR(INDEX(PP_Grid[#Data],M_BOM[PPGridRow],62),0))</f>
        <v/>
      </c>
      <c r="BK38">
        <f>SUMPRODUCT((M_BOM[Part Name]=$A38)*M_BOM[RM_Qty_Per_Batch]*IFERROR(INDEX(PP_Grid[#Data],M_BOM[PPGridRow],63),0))</f>
        <v/>
      </c>
      <c r="BL38">
        <f>SUMPRODUCT((M_BOM[Part Name]=$A38)*M_BOM[RM_Qty_Per_Batch]*IFERROR(INDEX(PP_Grid[#Data],M_BOM[PPGridRow],64),0))</f>
        <v/>
      </c>
      <c r="BM38">
        <f>SUMPRODUCT((M_BOM[Part Name]=$A38)*M_BOM[RM_Qty_Per_Batch]*IFERROR(INDEX(PP_Grid[#Data],M_BOM[PPGridRow],65),0))</f>
        <v/>
      </c>
      <c r="BN38">
        <f>SUMPRODUCT((M_BOM[Part Name]=$A38)*M_BOM[RM_Qty_Per_Batch]*IFERROR(INDEX(PP_Grid[#Data],M_BOM[PPGridRow],66),0))</f>
        <v/>
      </c>
      <c r="BO38">
        <f>SUMPRODUCT((M_BOM[Part Name]=$A38)*M_BOM[RM_Qty_Per_Batch]*IFERROR(INDEX(PP_Grid[#Data],M_BOM[PPGridRow],67),0))</f>
        <v/>
      </c>
      <c r="BP38">
        <f>SUMPRODUCT((M_BOM[Part Name]=$A38)*M_BOM[RM_Qty_Per_Batch]*IFERROR(INDEX(PP_Grid[#Data],M_BOM[PPGridRow],68),0))</f>
        <v/>
      </c>
      <c r="BQ38">
        <f>SUMPRODUCT((M_BOM[Part Name]=$A38)*M_BOM[RM_Qty_Per_Batch]*IFERROR(INDEX(PP_Grid[#Data],M_BOM[PPGridRow],69),0))</f>
        <v/>
      </c>
      <c r="BR38">
        <f>SUMPRODUCT((M_BOM[Part Name]=$A38)*M_BOM[RM_Qty_Per_Batch]*IFERROR(INDEX(PP_Grid[#Data],M_BOM[PPGridRow],70),0))</f>
        <v/>
      </c>
      <c r="BS38">
        <f>SUMPRODUCT((M_BOM[Part Name]=$A38)*M_BOM[RM_Qty_Per_Batch]*IFERROR(INDEX(PP_Grid[#Data],M_BOM[PPGridRow],71),0))</f>
        <v/>
      </c>
      <c r="BT38">
        <f>SUMPRODUCT((M_BOM[Part Name]=$A38)*M_BOM[RM_Qty_Per_Batch]*IFERROR(INDEX(PP_Grid[#Data],M_BOM[PPGridRow],72),0))</f>
        <v/>
      </c>
      <c r="BU38">
        <f>SUMPRODUCT((M_BOM[Part Name]=$A38)*M_BOM[RM_Qty_Per_Batch]*IFERROR(INDEX(PP_Grid[#Data],M_BOM[PPGridRow],73),0))</f>
        <v/>
      </c>
      <c r="BV38">
        <f>SUMPRODUCT((M_BOM[Part Name]=$A38)*M_BOM[RM_Qty_Per_Batch]*IFERROR(INDEX(PP_Grid[#Data],M_BOM[PPGridRow],74),0))</f>
        <v/>
      </c>
      <c r="BW38">
        <f>SUMPRODUCT((M_BOM[Part Name]=$A38)*M_BOM[RM_Qty_Per_Batch]*IFERROR(INDEX(PP_Grid[#Data],M_BOM[PPGridRow],75),0))</f>
        <v/>
      </c>
      <c r="BX38">
        <f>SUMPRODUCT((M_BOM[Part Name]=$A38)*M_BOM[RM_Qty_Per_Batch]*IFERROR(INDEX(PP_Grid[#Data],M_BOM[PPGridRow],76),0))</f>
        <v/>
      </c>
      <c r="BY38">
        <f>SUMPRODUCT((M_BOM[Part Name]=$A38)*M_BOM[RM_Qty_Per_Batch]*IFERROR(INDEX(PP_Grid[#Data],M_BOM[PPGridRow],77),0))</f>
        <v/>
      </c>
      <c r="BZ38">
        <f>SUMPRODUCT((M_BOM[Part Name]=$A38)*M_BOM[RM_Qty_Per_Batch]*IFERROR(INDEX(PP_Grid[#Data],M_BOM[PPGridRow],78),0))</f>
        <v/>
      </c>
      <c r="CA38">
        <f>SUMPRODUCT((M_BOM[Part Name]=$A38)*M_BOM[RM_Qty_Per_Batch]*IFERROR(INDEX(PP_Grid[#Data],M_BOM[PPGridRow],79),0))</f>
        <v/>
      </c>
      <c r="CB38">
        <f>SUMPRODUCT((M_BOM[Part Name]=$A38)*M_BOM[RM_Qty_Per_Batch]*IFERROR(INDEX(PP_Grid[#Data],M_BOM[PPGridRow],80),0))</f>
        <v/>
      </c>
      <c r="CC38">
        <f>SUMPRODUCT((M_BOM[Part Name]=$A38)*M_BOM[RM_Qty_Per_Batch]*IFERROR(INDEX(PP_Grid[#Data],M_BOM[PPGridRow],81),0))</f>
        <v/>
      </c>
      <c r="CD38">
        <f>SUMPRODUCT((M_BOM[Part Name]=$A38)*M_BOM[RM_Qty_Per_Batch]*IFERROR(INDEX(PP_Grid[#Data],M_BOM[PPGridRow],82),0))</f>
        <v/>
      </c>
      <c r="CE38">
        <f>SUMPRODUCT((M_BOM[Part Name]=$A38)*M_BOM[RM_Qty_Per_Batch]*IFERROR(INDEX(PP_Grid[#Data],M_BOM[PPGridRow],83),0))</f>
        <v/>
      </c>
      <c r="CF38">
        <f>SUMPRODUCT((M_BOM[Part Name]=$A38)*M_BOM[RM_Qty_Per_Batch]*IFERROR(INDEX(PP_Grid[#Data],M_BOM[PPGridRow],84),0))</f>
        <v/>
      </c>
      <c r="CG38">
        <f>SUMPRODUCT((M_BOM[Part Name]=$A38)*M_BOM[RM_Qty_Per_Batch]*IFERROR(INDEX(PP_Grid[#Data],M_BOM[PPGridRow],85),0))</f>
        <v/>
      </c>
      <c r="CH38">
        <f>SUMPRODUCT((M_BOM[Part Name]=$A38)*M_BOM[RM_Qty_Per_Batch]*IFERROR(INDEX(PP_Grid[#Data],M_BOM[PPGridRow],86),0))</f>
        <v/>
      </c>
      <c r="CI38">
        <f>SUMPRODUCT((M_BOM[Part Name]=$A38)*M_BOM[RM_Qty_Per_Batch]*IFERROR(INDEX(PP_Grid[#Data],M_BOM[PPGridRow],87),0))</f>
        <v/>
      </c>
      <c r="CJ38">
        <f>SUMPRODUCT((M_BOM[Part Name]=$A38)*M_BOM[RM_Qty_Per_Batch]*IFERROR(INDEX(PP_Grid[#Data],M_BOM[PPGridRow],88),0))</f>
        <v/>
      </c>
      <c r="CK38">
        <f>SUMPRODUCT((M_BOM[Part Name]=$A38)*M_BOM[RM_Qty_Per_Batch]*IFERROR(INDEX(PP_Grid[#Data],M_BOM[PPGridRow],89),0))</f>
        <v/>
      </c>
      <c r="CL38">
        <f>SUMPRODUCT((M_BOM[Part Name]=$A38)*M_BOM[RM_Qty_Per_Batch]*IFERROR(INDEX(PP_Grid[#Data],M_BOM[PPGridRow],90),0))</f>
        <v/>
      </c>
      <c r="CM38">
        <f>SUMPRODUCT((M_BOM[Part Name]=$A38)*M_BOM[RM_Qty_Per_Batch]*IFERROR(INDEX(PP_Grid[#Data],M_BOM[PPGridRow],91),0))</f>
        <v/>
      </c>
      <c r="CN38">
        <f>SUMPRODUCT((M_BOM[Part Name]=$A38)*M_BOM[RM_Qty_Per_Batch]*IFERROR(INDEX(PP_Grid[#Data],M_BOM[PPGridRow],92),0))</f>
        <v/>
      </c>
      <c r="CO38">
        <f>SUMPRODUCT((M_BOM[Part Name]=$A38)*M_BOM[RM_Qty_Per_Batch]*IFERROR(INDEX(PP_Grid[#Data],M_BOM[PPGridRow],93),0))</f>
        <v/>
      </c>
      <c r="CP38">
        <f>SUMPRODUCT((M_BOM[Part Name]=$A38)*M_BOM[RM_Qty_Per_Batch]*IFERROR(INDEX(PP_Grid[#Data],M_BOM[PPGridRow],94),0))</f>
        <v/>
      </c>
      <c r="CQ38">
        <f>SUMPRODUCT((M_BOM[Part Name]=$A38)*M_BOM[RM_Qty_Per_Batch]*IFERROR(INDEX(PP_Grid[#Data],M_BOM[PPGridRow],95),0))</f>
        <v/>
      </c>
      <c r="CR38">
        <f>SUMPRODUCT((M_BOM[Part Name]=$A38)*M_BOM[RM_Qty_Per_Batch]*IFERROR(INDEX(PP_Grid[#Data],M_BOM[PPGridRow],96),0))</f>
        <v/>
      </c>
      <c r="CS38">
        <f>SUMPRODUCT((M_BOM[Part Name]=$A38)*M_BOM[RM_Qty_Per_Batch]*IFERROR(INDEX(PP_Grid[#Data],M_BOM[PPGridRow],97),0))</f>
        <v/>
      </c>
      <c r="CT38">
        <f>SUMPRODUCT((M_BOM[Part Name]=$A38)*M_BOM[RM_Qty_Per_Batch]*IFERROR(INDEX(PP_Grid[#Data],M_BOM[PPGridRow],98),0))</f>
        <v/>
      </c>
      <c r="CU38">
        <f>SUMPRODUCT((M_BOM[Part Name]=$A38)*M_BOM[RM_Qty_Per_Batch]*IFERROR(INDEX(PP_Grid[#Data],M_BOM[PPGridRow],99),0))</f>
        <v/>
      </c>
      <c r="CV38">
        <f>SUMPRODUCT((M_BOM[Part Name]=$A38)*M_BOM[RM_Qty_Per_Batch]*IFERROR(INDEX(PP_Grid[#Data],M_BOM[PPGridRow],100),0))</f>
        <v/>
      </c>
      <c r="CW38">
        <f>SUMPRODUCT((M_BOM[Part Name]=$A38)*M_BOM[RM_Qty_Per_Batch]*IFERROR(INDEX(PP_Grid[#Data],M_BOM[PPGridRow],101),0))</f>
        <v/>
      </c>
      <c r="CX38">
        <f>SUMPRODUCT((M_BOM[Part Name]=$A38)*M_BOM[RM_Qty_Per_Batch]*IFERROR(INDEX(PP_Grid[#Data],M_BOM[PPGridRow],102),0))</f>
        <v/>
      </c>
      <c r="CY38">
        <f>SUMPRODUCT((M_BOM[Part Name]=$A38)*M_BOM[RM_Qty_Per_Batch]*IFERROR(INDEX(PP_Grid[#Data],M_BOM[PPGridRow],103),0))</f>
        <v/>
      </c>
      <c r="CZ38">
        <f>SUMPRODUCT((M_BOM[Part Name]=$A38)*M_BOM[RM_Qty_Per_Batch]*IFERROR(INDEX(PP_Grid[#Data],M_BOM[PPGridRow],104),0))</f>
        <v/>
      </c>
      <c r="DA38">
        <f>SUMPRODUCT((M_BOM[Part Name]=$A38)*M_BOM[RM_Qty_Per_Batch]*IFERROR(INDEX(PP_Grid[#Data],M_BOM[PPGridRow],105),0))</f>
        <v/>
      </c>
    </row>
    <row r="39">
      <c r="A39" t="inlineStr">
        <is>
          <t>PP Film</t>
        </is>
      </c>
      <c r="B39">
        <f>SUMPRODUCT((M_BOM[Part Name]=$A39)*M_BOM[RM_Qty_Per_Batch]*IFERROR(INDEX(PP_Grid[#Data],M_BOM[PPGridRow],2),0))</f>
        <v/>
      </c>
      <c r="C39">
        <f>SUMPRODUCT((M_BOM[Part Name]=$A39)*M_BOM[RM_Qty_Per_Batch]*IFERROR(INDEX(PP_Grid[#Data],M_BOM[PPGridRow],3),0))</f>
        <v/>
      </c>
      <c r="D39">
        <f>SUMPRODUCT((M_BOM[Part Name]=$A39)*M_BOM[RM_Qty_Per_Batch]*IFERROR(INDEX(PP_Grid[#Data],M_BOM[PPGridRow],4),0))</f>
        <v/>
      </c>
      <c r="E39">
        <f>SUMPRODUCT((M_BOM[Part Name]=$A39)*M_BOM[RM_Qty_Per_Batch]*IFERROR(INDEX(PP_Grid[#Data],M_BOM[PPGridRow],5),0))</f>
        <v/>
      </c>
      <c r="F39">
        <f>SUMPRODUCT((M_BOM[Part Name]=$A39)*M_BOM[RM_Qty_Per_Batch]*IFERROR(INDEX(PP_Grid[#Data],M_BOM[PPGridRow],6),0))</f>
        <v/>
      </c>
      <c r="G39">
        <f>SUMPRODUCT((M_BOM[Part Name]=$A39)*M_BOM[RM_Qty_Per_Batch]*IFERROR(INDEX(PP_Grid[#Data],M_BOM[PPGridRow],7),0))</f>
        <v/>
      </c>
      <c r="H39">
        <f>SUMPRODUCT((M_BOM[Part Name]=$A39)*M_BOM[RM_Qty_Per_Batch]*IFERROR(INDEX(PP_Grid[#Data],M_BOM[PPGridRow],8),0))</f>
        <v/>
      </c>
      <c r="I39">
        <f>SUMPRODUCT((M_BOM[Part Name]=$A39)*M_BOM[RM_Qty_Per_Batch]*IFERROR(INDEX(PP_Grid[#Data],M_BOM[PPGridRow],9),0))</f>
        <v/>
      </c>
      <c r="J39">
        <f>SUMPRODUCT((M_BOM[Part Name]=$A39)*M_BOM[RM_Qty_Per_Batch]*IFERROR(INDEX(PP_Grid[#Data],M_BOM[PPGridRow],10),0))</f>
        <v/>
      </c>
      <c r="K39">
        <f>SUMPRODUCT((M_BOM[Part Name]=$A39)*M_BOM[RM_Qty_Per_Batch]*IFERROR(INDEX(PP_Grid[#Data],M_BOM[PPGridRow],11),0))</f>
        <v/>
      </c>
      <c r="L39">
        <f>SUMPRODUCT((M_BOM[Part Name]=$A39)*M_BOM[RM_Qty_Per_Batch]*IFERROR(INDEX(PP_Grid[#Data],M_BOM[PPGridRow],12),0))</f>
        <v/>
      </c>
      <c r="M39">
        <f>SUMPRODUCT((M_BOM[Part Name]=$A39)*M_BOM[RM_Qty_Per_Batch]*IFERROR(INDEX(PP_Grid[#Data],M_BOM[PPGridRow],13),0))</f>
        <v/>
      </c>
      <c r="N39">
        <f>SUMPRODUCT((M_BOM[Part Name]=$A39)*M_BOM[RM_Qty_Per_Batch]*IFERROR(INDEX(PP_Grid[#Data],M_BOM[PPGridRow],14),0))</f>
        <v/>
      </c>
      <c r="O39">
        <f>SUMPRODUCT((M_BOM[Part Name]=$A39)*M_BOM[RM_Qty_Per_Batch]*IFERROR(INDEX(PP_Grid[#Data],M_BOM[PPGridRow],15),0))</f>
        <v/>
      </c>
      <c r="P39">
        <f>SUMPRODUCT((M_BOM[Part Name]=$A39)*M_BOM[RM_Qty_Per_Batch]*IFERROR(INDEX(PP_Grid[#Data],M_BOM[PPGridRow],16),0))</f>
        <v/>
      </c>
      <c r="Q39">
        <f>SUMPRODUCT((M_BOM[Part Name]=$A39)*M_BOM[RM_Qty_Per_Batch]*IFERROR(INDEX(PP_Grid[#Data],M_BOM[PPGridRow],17),0))</f>
        <v/>
      </c>
      <c r="R39">
        <f>SUMPRODUCT((M_BOM[Part Name]=$A39)*M_BOM[RM_Qty_Per_Batch]*IFERROR(INDEX(PP_Grid[#Data],M_BOM[PPGridRow],18),0))</f>
        <v/>
      </c>
      <c r="S39">
        <f>SUMPRODUCT((M_BOM[Part Name]=$A39)*M_BOM[RM_Qty_Per_Batch]*IFERROR(INDEX(PP_Grid[#Data],M_BOM[PPGridRow],19),0))</f>
        <v/>
      </c>
      <c r="T39">
        <f>SUMPRODUCT((M_BOM[Part Name]=$A39)*M_BOM[RM_Qty_Per_Batch]*IFERROR(INDEX(PP_Grid[#Data],M_BOM[PPGridRow],20),0))</f>
        <v/>
      </c>
      <c r="U39">
        <f>SUMPRODUCT((M_BOM[Part Name]=$A39)*M_BOM[RM_Qty_Per_Batch]*IFERROR(INDEX(PP_Grid[#Data],M_BOM[PPGridRow],21),0))</f>
        <v/>
      </c>
      <c r="V39">
        <f>SUMPRODUCT((M_BOM[Part Name]=$A39)*M_BOM[RM_Qty_Per_Batch]*IFERROR(INDEX(PP_Grid[#Data],M_BOM[PPGridRow],22),0))</f>
        <v/>
      </c>
      <c r="W39">
        <f>SUMPRODUCT((M_BOM[Part Name]=$A39)*M_BOM[RM_Qty_Per_Batch]*IFERROR(INDEX(PP_Grid[#Data],M_BOM[PPGridRow],23),0))</f>
        <v/>
      </c>
      <c r="X39">
        <f>SUMPRODUCT((M_BOM[Part Name]=$A39)*M_BOM[RM_Qty_Per_Batch]*IFERROR(INDEX(PP_Grid[#Data],M_BOM[PPGridRow],24),0))</f>
        <v/>
      </c>
      <c r="Y39">
        <f>SUMPRODUCT((M_BOM[Part Name]=$A39)*M_BOM[RM_Qty_Per_Batch]*IFERROR(INDEX(PP_Grid[#Data],M_BOM[PPGridRow],25),0))</f>
        <v/>
      </c>
      <c r="Z39">
        <f>SUMPRODUCT((M_BOM[Part Name]=$A39)*M_BOM[RM_Qty_Per_Batch]*IFERROR(INDEX(PP_Grid[#Data],M_BOM[PPGridRow],26),0))</f>
        <v/>
      </c>
      <c r="AA39">
        <f>SUMPRODUCT((M_BOM[Part Name]=$A39)*M_BOM[RM_Qty_Per_Batch]*IFERROR(INDEX(PP_Grid[#Data],M_BOM[PPGridRow],27),0))</f>
        <v/>
      </c>
      <c r="AB39">
        <f>SUMPRODUCT((M_BOM[Part Name]=$A39)*M_BOM[RM_Qty_Per_Batch]*IFERROR(INDEX(PP_Grid[#Data],M_BOM[PPGridRow],28),0))</f>
        <v/>
      </c>
      <c r="AC39">
        <f>SUMPRODUCT((M_BOM[Part Name]=$A39)*M_BOM[RM_Qty_Per_Batch]*IFERROR(INDEX(PP_Grid[#Data],M_BOM[PPGridRow],29),0))</f>
        <v/>
      </c>
      <c r="AD39">
        <f>SUMPRODUCT((M_BOM[Part Name]=$A39)*M_BOM[RM_Qty_Per_Batch]*IFERROR(INDEX(PP_Grid[#Data],M_BOM[PPGridRow],30),0))</f>
        <v/>
      </c>
      <c r="AE39">
        <f>SUMPRODUCT((M_BOM[Part Name]=$A39)*M_BOM[RM_Qty_Per_Batch]*IFERROR(INDEX(PP_Grid[#Data],M_BOM[PPGridRow],31),0))</f>
        <v/>
      </c>
      <c r="AF39">
        <f>SUMPRODUCT((M_BOM[Part Name]=$A39)*M_BOM[RM_Qty_Per_Batch]*IFERROR(INDEX(PP_Grid[#Data],M_BOM[PPGridRow],32),0))</f>
        <v/>
      </c>
      <c r="AG39">
        <f>SUMPRODUCT((M_BOM[Part Name]=$A39)*M_BOM[RM_Qty_Per_Batch]*IFERROR(INDEX(PP_Grid[#Data],M_BOM[PPGridRow],33),0))</f>
        <v/>
      </c>
      <c r="AH39">
        <f>SUMPRODUCT((M_BOM[Part Name]=$A39)*M_BOM[RM_Qty_Per_Batch]*IFERROR(INDEX(PP_Grid[#Data],M_BOM[PPGridRow],34),0))</f>
        <v/>
      </c>
      <c r="AI39">
        <f>SUMPRODUCT((M_BOM[Part Name]=$A39)*M_BOM[RM_Qty_Per_Batch]*IFERROR(INDEX(PP_Grid[#Data],M_BOM[PPGridRow],35),0))</f>
        <v/>
      </c>
      <c r="AJ39">
        <f>SUMPRODUCT((M_BOM[Part Name]=$A39)*M_BOM[RM_Qty_Per_Batch]*IFERROR(INDEX(PP_Grid[#Data],M_BOM[PPGridRow],36),0))</f>
        <v/>
      </c>
      <c r="AK39">
        <f>SUMPRODUCT((M_BOM[Part Name]=$A39)*M_BOM[RM_Qty_Per_Batch]*IFERROR(INDEX(PP_Grid[#Data],M_BOM[PPGridRow],37),0))</f>
        <v/>
      </c>
      <c r="AL39">
        <f>SUMPRODUCT((M_BOM[Part Name]=$A39)*M_BOM[RM_Qty_Per_Batch]*IFERROR(INDEX(PP_Grid[#Data],M_BOM[PPGridRow],38),0))</f>
        <v/>
      </c>
      <c r="AM39">
        <f>SUMPRODUCT((M_BOM[Part Name]=$A39)*M_BOM[RM_Qty_Per_Batch]*IFERROR(INDEX(PP_Grid[#Data],M_BOM[PPGridRow],39),0))</f>
        <v/>
      </c>
      <c r="AN39">
        <f>SUMPRODUCT((M_BOM[Part Name]=$A39)*M_BOM[RM_Qty_Per_Batch]*IFERROR(INDEX(PP_Grid[#Data],M_BOM[PPGridRow],40),0))</f>
        <v/>
      </c>
      <c r="AO39">
        <f>SUMPRODUCT((M_BOM[Part Name]=$A39)*M_BOM[RM_Qty_Per_Batch]*IFERROR(INDEX(PP_Grid[#Data],M_BOM[PPGridRow],41),0))</f>
        <v/>
      </c>
      <c r="AP39">
        <f>SUMPRODUCT((M_BOM[Part Name]=$A39)*M_BOM[RM_Qty_Per_Batch]*IFERROR(INDEX(PP_Grid[#Data],M_BOM[PPGridRow],42),0))</f>
        <v/>
      </c>
      <c r="AQ39">
        <f>SUMPRODUCT((M_BOM[Part Name]=$A39)*M_BOM[RM_Qty_Per_Batch]*IFERROR(INDEX(PP_Grid[#Data],M_BOM[PPGridRow],43),0))</f>
        <v/>
      </c>
      <c r="AR39">
        <f>SUMPRODUCT((M_BOM[Part Name]=$A39)*M_BOM[RM_Qty_Per_Batch]*IFERROR(INDEX(PP_Grid[#Data],M_BOM[PPGridRow],44),0))</f>
        <v/>
      </c>
      <c r="AS39">
        <f>SUMPRODUCT((M_BOM[Part Name]=$A39)*M_BOM[RM_Qty_Per_Batch]*IFERROR(INDEX(PP_Grid[#Data],M_BOM[PPGridRow],45),0))</f>
        <v/>
      </c>
      <c r="AT39">
        <f>SUMPRODUCT((M_BOM[Part Name]=$A39)*M_BOM[RM_Qty_Per_Batch]*IFERROR(INDEX(PP_Grid[#Data],M_BOM[PPGridRow],46),0))</f>
        <v/>
      </c>
      <c r="AU39">
        <f>SUMPRODUCT((M_BOM[Part Name]=$A39)*M_BOM[RM_Qty_Per_Batch]*IFERROR(INDEX(PP_Grid[#Data],M_BOM[PPGridRow],47),0))</f>
        <v/>
      </c>
      <c r="AV39">
        <f>SUMPRODUCT((M_BOM[Part Name]=$A39)*M_BOM[RM_Qty_Per_Batch]*IFERROR(INDEX(PP_Grid[#Data],M_BOM[PPGridRow],48),0))</f>
        <v/>
      </c>
      <c r="AW39">
        <f>SUMPRODUCT((M_BOM[Part Name]=$A39)*M_BOM[RM_Qty_Per_Batch]*IFERROR(INDEX(PP_Grid[#Data],M_BOM[PPGridRow],49),0))</f>
        <v/>
      </c>
      <c r="AX39">
        <f>SUMPRODUCT((M_BOM[Part Name]=$A39)*M_BOM[RM_Qty_Per_Batch]*IFERROR(INDEX(PP_Grid[#Data],M_BOM[PPGridRow],50),0))</f>
        <v/>
      </c>
      <c r="AY39">
        <f>SUMPRODUCT((M_BOM[Part Name]=$A39)*M_BOM[RM_Qty_Per_Batch]*IFERROR(INDEX(PP_Grid[#Data],M_BOM[PPGridRow],51),0))</f>
        <v/>
      </c>
      <c r="AZ39">
        <f>SUMPRODUCT((M_BOM[Part Name]=$A39)*M_BOM[RM_Qty_Per_Batch]*IFERROR(INDEX(PP_Grid[#Data],M_BOM[PPGridRow],52),0))</f>
        <v/>
      </c>
      <c r="BA39">
        <f>SUMPRODUCT((M_BOM[Part Name]=$A39)*M_BOM[RM_Qty_Per_Batch]*IFERROR(INDEX(PP_Grid[#Data],M_BOM[PPGridRow],53),0))</f>
        <v/>
      </c>
      <c r="BB39">
        <f>SUMPRODUCT((M_BOM[Part Name]=$A39)*M_BOM[RM_Qty_Per_Batch]*IFERROR(INDEX(PP_Grid[#Data],M_BOM[PPGridRow],54),0))</f>
        <v/>
      </c>
      <c r="BC39">
        <f>SUMPRODUCT((M_BOM[Part Name]=$A39)*M_BOM[RM_Qty_Per_Batch]*IFERROR(INDEX(PP_Grid[#Data],M_BOM[PPGridRow],55),0))</f>
        <v/>
      </c>
      <c r="BD39">
        <f>SUMPRODUCT((M_BOM[Part Name]=$A39)*M_BOM[RM_Qty_Per_Batch]*IFERROR(INDEX(PP_Grid[#Data],M_BOM[PPGridRow],56),0))</f>
        <v/>
      </c>
      <c r="BE39">
        <f>SUMPRODUCT((M_BOM[Part Name]=$A39)*M_BOM[RM_Qty_Per_Batch]*IFERROR(INDEX(PP_Grid[#Data],M_BOM[PPGridRow],57),0))</f>
        <v/>
      </c>
      <c r="BF39">
        <f>SUMPRODUCT((M_BOM[Part Name]=$A39)*M_BOM[RM_Qty_Per_Batch]*IFERROR(INDEX(PP_Grid[#Data],M_BOM[PPGridRow],58),0))</f>
        <v/>
      </c>
      <c r="BG39">
        <f>SUMPRODUCT((M_BOM[Part Name]=$A39)*M_BOM[RM_Qty_Per_Batch]*IFERROR(INDEX(PP_Grid[#Data],M_BOM[PPGridRow],59),0))</f>
        <v/>
      </c>
      <c r="BH39">
        <f>SUMPRODUCT((M_BOM[Part Name]=$A39)*M_BOM[RM_Qty_Per_Batch]*IFERROR(INDEX(PP_Grid[#Data],M_BOM[PPGridRow],60),0))</f>
        <v/>
      </c>
      <c r="BI39">
        <f>SUMPRODUCT((M_BOM[Part Name]=$A39)*M_BOM[RM_Qty_Per_Batch]*IFERROR(INDEX(PP_Grid[#Data],M_BOM[PPGridRow],61),0))</f>
        <v/>
      </c>
      <c r="BJ39">
        <f>SUMPRODUCT((M_BOM[Part Name]=$A39)*M_BOM[RM_Qty_Per_Batch]*IFERROR(INDEX(PP_Grid[#Data],M_BOM[PPGridRow],62),0))</f>
        <v/>
      </c>
      <c r="BK39">
        <f>SUMPRODUCT((M_BOM[Part Name]=$A39)*M_BOM[RM_Qty_Per_Batch]*IFERROR(INDEX(PP_Grid[#Data],M_BOM[PPGridRow],63),0))</f>
        <v/>
      </c>
      <c r="BL39">
        <f>SUMPRODUCT((M_BOM[Part Name]=$A39)*M_BOM[RM_Qty_Per_Batch]*IFERROR(INDEX(PP_Grid[#Data],M_BOM[PPGridRow],64),0))</f>
        <v/>
      </c>
      <c r="BM39">
        <f>SUMPRODUCT((M_BOM[Part Name]=$A39)*M_BOM[RM_Qty_Per_Batch]*IFERROR(INDEX(PP_Grid[#Data],M_BOM[PPGridRow],65),0))</f>
        <v/>
      </c>
      <c r="BN39">
        <f>SUMPRODUCT((M_BOM[Part Name]=$A39)*M_BOM[RM_Qty_Per_Batch]*IFERROR(INDEX(PP_Grid[#Data],M_BOM[PPGridRow],66),0))</f>
        <v/>
      </c>
      <c r="BO39">
        <f>SUMPRODUCT((M_BOM[Part Name]=$A39)*M_BOM[RM_Qty_Per_Batch]*IFERROR(INDEX(PP_Grid[#Data],M_BOM[PPGridRow],67),0))</f>
        <v/>
      </c>
      <c r="BP39">
        <f>SUMPRODUCT((M_BOM[Part Name]=$A39)*M_BOM[RM_Qty_Per_Batch]*IFERROR(INDEX(PP_Grid[#Data],M_BOM[PPGridRow],68),0))</f>
        <v/>
      </c>
      <c r="BQ39">
        <f>SUMPRODUCT((M_BOM[Part Name]=$A39)*M_BOM[RM_Qty_Per_Batch]*IFERROR(INDEX(PP_Grid[#Data],M_BOM[PPGridRow],69),0))</f>
        <v/>
      </c>
      <c r="BR39">
        <f>SUMPRODUCT((M_BOM[Part Name]=$A39)*M_BOM[RM_Qty_Per_Batch]*IFERROR(INDEX(PP_Grid[#Data],M_BOM[PPGridRow],70),0))</f>
        <v/>
      </c>
      <c r="BS39">
        <f>SUMPRODUCT((M_BOM[Part Name]=$A39)*M_BOM[RM_Qty_Per_Batch]*IFERROR(INDEX(PP_Grid[#Data],M_BOM[PPGridRow],71),0))</f>
        <v/>
      </c>
      <c r="BT39">
        <f>SUMPRODUCT((M_BOM[Part Name]=$A39)*M_BOM[RM_Qty_Per_Batch]*IFERROR(INDEX(PP_Grid[#Data],M_BOM[PPGridRow],72),0))</f>
        <v/>
      </c>
      <c r="BU39">
        <f>SUMPRODUCT((M_BOM[Part Name]=$A39)*M_BOM[RM_Qty_Per_Batch]*IFERROR(INDEX(PP_Grid[#Data],M_BOM[PPGridRow],73),0))</f>
        <v/>
      </c>
      <c r="BV39">
        <f>SUMPRODUCT((M_BOM[Part Name]=$A39)*M_BOM[RM_Qty_Per_Batch]*IFERROR(INDEX(PP_Grid[#Data],M_BOM[PPGridRow],74),0))</f>
        <v/>
      </c>
      <c r="BW39">
        <f>SUMPRODUCT((M_BOM[Part Name]=$A39)*M_BOM[RM_Qty_Per_Batch]*IFERROR(INDEX(PP_Grid[#Data],M_BOM[PPGridRow],75),0))</f>
        <v/>
      </c>
      <c r="BX39">
        <f>SUMPRODUCT((M_BOM[Part Name]=$A39)*M_BOM[RM_Qty_Per_Batch]*IFERROR(INDEX(PP_Grid[#Data],M_BOM[PPGridRow],76),0))</f>
        <v/>
      </c>
      <c r="BY39">
        <f>SUMPRODUCT((M_BOM[Part Name]=$A39)*M_BOM[RM_Qty_Per_Batch]*IFERROR(INDEX(PP_Grid[#Data],M_BOM[PPGridRow],77),0))</f>
        <v/>
      </c>
      <c r="BZ39">
        <f>SUMPRODUCT((M_BOM[Part Name]=$A39)*M_BOM[RM_Qty_Per_Batch]*IFERROR(INDEX(PP_Grid[#Data],M_BOM[PPGridRow],78),0))</f>
        <v/>
      </c>
      <c r="CA39">
        <f>SUMPRODUCT((M_BOM[Part Name]=$A39)*M_BOM[RM_Qty_Per_Batch]*IFERROR(INDEX(PP_Grid[#Data],M_BOM[PPGridRow],79),0))</f>
        <v/>
      </c>
      <c r="CB39">
        <f>SUMPRODUCT((M_BOM[Part Name]=$A39)*M_BOM[RM_Qty_Per_Batch]*IFERROR(INDEX(PP_Grid[#Data],M_BOM[PPGridRow],80),0))</f>
        <v/>
      </c>
      <c r="CC39">
        <f>SUMPRODUCT((M_BOM[Part Name]=$A39)*M_BOM[RM_Qty_Per_Batch]*IFERROR(INDEX(PP_Grid[#Data],M_BOM[PPGridRow],81),0))</f>
        <v/>
      </c>
      <c r="CD39">
        <f>SUMPRODUCT((M_BOM[Part Name]=$A39)*M_BOM[RM_Qty_Per_Batch]*IFERROR(INDEX(PP_Grid[#Data],M_BOM[PPGridRow],82),0))</f>
        <v/>
      </c>
      <c r="CE39">
        <f>SUMPRODUCT((M_BOM[Part Name]=$A39)*M_BOM[RM_Qty_Per_Batch]*IFERROR(INDEX(PP_Grid[#Data],M_BOM[PPGridRow],83),0))</f>
        <v/>
      </c>
      <c r="CF39">
        <f>SUMPRODUCT((M_BOM[Part Name]=$A39)*M_BOM[RM_Qty_Per_Batch]*IFERROR(INDEX(PP_Grid[#Data],M_BOM[PPGridRow],84),0))</f>
        <v/>
      </c>
      <c r="CG39">
        <f>SUMPRODUCT((M_BOM[Part Name]=$A39)*M_BOM[RM_Qty_Per_Batch]*IFERROR(INDEX(PP_Grid[#Data],M_BOM[PPGridRow],85),0))</f>
        <v/>
      </c>
      <c r="CH39">
        <f>SUMPRODUCT((M_BOM[Part Name]=$A39)*M_BOM[RM_Qty_Per_Batch]*IFERROR(INDEX(PP_Grid[#Data],M_BOM[PPGridRow],86),0))</f>
        <v/>
      </c>
      <c r="CI39">
        <f>SUMPRODUCT((M_BOM[Part Name]=$A39)*M_BOM[RM_Qty_Per_Batch]*IFERROR(INDEX(PP_Grid[#Data],M_BOM[PPGridRow],87),0))</f>
        <v/>
      </c>
      <c r="CJ39">
        <f>SUMPRODUCT((M_BOM[Part Name]=$A39)*M_BOM[RM_Qty_Per_Batch]*IFERROR(INDEX(PP_Grid[#Data],M_BOM[PPGridRow],88),0))</f>
        <v/>
      </c>
      <c r="CK39">
        <f>SUMPRODUCT((M_BOM[Part Name]=$A39)*M_BOM[RM_Qty_Per_Batch]*IFERROR(INDEX(PP_Grid[#Data],M_BOM[PPGridRow],89),0))</f>
        <v/>
      </c>
      <c r="CL39">
        <f>SUMPRODUCT((M_BOM[Part Name]=$A39)*M_BOM[RM_Qty_Per_Batch]*IFERROR(INDEX(PP_Grid[#Data],M_BOM[PPGridRow],90),0))</f>
        <v/>
      </c>
      <c r="CM39">
        <f>SUMPRODUCT((M_BOM[Part Name]=$A39)*M_BOM[RM_Qty_Per_Batch]*IFERROR(INDEX(PP_Grid[#Data],M_BOM[PPGridRow],91),0))</f>
        <v/>
      </c>
      <c r="CN39">
        <f>SUMPRODUCT((M_BOM[Part Name]=$A39)*M_BOM[RM_Qty_Per_Batch]*IFERROR(INDEX(PP_Grid[#Data],M_BOM[PPGridRow],92),0))</f>
        <v/>
      </c>
      <c r="CO39">
        <f>SUMPRODUCT((M_BOM[Part Name]=$A39)*M_BOM[RM_Qty_Per_Batch]*IFERROR(INDEX(PP_Grid[#Data],M_BOM[PPGridRow],93),0))</f>
        <v/>
      </c>
      <c r="CP39">
        <f>SUMPRODUCT((M_BOM[Part Name]=$A39)*M_BOM[RM_Qty_Per_Batch]*IFERROR(INDEX(PP_Grid[#Data],M_BOM[PPGridRow],94),0))</f>
        <v/>
      </c>
      <c r="CQ39">
        <f>SUMPRODUCT((M_BOM[Part Name]=$A39)*M_BOM[RM_Qty_Per_Batch]*IFERROR(INDEX(PP_Grid[#Data],M_BOM[PPGridRow],95),0))</f>
        <v/>
      </c>
      <c r="CR39">
        <f>SUMPRODUCT((M_BOM[Part Name]=$A39)*M_BOM[RM_Qty_Per_Batch]*IFERROR(INDEX(PP_Grid[#Data],M_BOM[PPGridRow],96),0))</f>
        <v/>
      </c>
      <c r="CS39">
        <f>SUMPRODUCT((M_BOM[Part Name]=$A39)*M_BOM[RM_Qty_Per_Batch]*IFERROR(INDEX(PP_Grid[#Data],M_BOM[PPGridRow],97),0))</f>
        <v/>
      </c>
      <c r="CT39">
        <f>SUMPRODUCT((M_BOM[Part Name]=$A39)*M_BOM[RM_Qty_Per_Batch]*IFERROR(INDEX(PP_Grid[#Data],M_BOM[PPGridRow],98),0))</f>
        <v/>
      </c>
      <c r="CU39">
        <f>SUMPRODUCT((M_BOM[Part Name]=$A39)*M_BOM[RM_Qty_Per_Batch]*IFERROR(INDEX(PP_Grid[#Data],M_BOM[PPGridRow],99),0))</f>
        <v/>
      </c>
      <c r="CV39">
        <f>SUMPRODUCT((M_BOM[Part Name]=$A39)*M_BOM[RM_Qty_Per_Batch]*IFERROR(INDEX(PP_Grid[#Data],M_BOM[PPGridRow],100),0))</f>
        <v/>
      </c>
      <c r="CW39">
        <f>SUMPRODUCT((M_BOM[Part Name]=$A39)*M_BOM[RM_Qty_Per_Batch]*IFERROR(INDEX(PP_Grid[#Data],M_BOM[PPGridRow],101),0))</f>
        <v/>
      </c>
      <c r="CX39">
        <f>SUMPRODUCT((M_BOM[Part Name]=$A39)*M_BOM[RM_Qty_Per_Batch]*IFERROR(INDEX(PP_Grid[#Data],M_BOM[PPGridRow],102),0))</f>
        <v/>
      </c>
      <c r="CY39">
        <f>SUMPRODUCT((M_BOM[Part Name]=$A39)*M_BOM[RM_Qty_Per_Batch]*IFERROR(INDEX(PP_Grid[#Data],M_BOM[PPGridRow],103),0))</f>
        <v/>
      </c>
      <c r="CZ39">
        <f>SUMPRODUCT((M_BOM[Part Name]=$A39)*M_BOM[RM_Qty_Per_Batch]*IFERROR(INDEX(PP_Grid[#Data],M_BOM[PPGridRow],104),0))</f>
        <v/>
      </c>
      <c r="DA39">
        <f>SUMPRODUCT((M_BOM[Part Name]=$A39)*M_BOM[RM_Qty_Per_Batch]*IFERROR(INDEX(PP_Grid[#Data],M_BOM[PPGridRow],105),0))</f>
        <v/>
      </c>
    </row>
    <row r="40">
      <c r="A40" t="inlineStr">
        <is>
          <t>5SN</t>
        </is>
      </c>
      <c r="B40">
        <f>SUMPRODUCT((M_BOM[Part Name]=$A40)*M_BOM[RM_Qty_Per_Batch]*IFERROR(INDEX(PP_Grid[#Data],M_BOM[PPGridRow],2),0))</f>
        <v/>
      </c>
      <c r="C40">
        <f>SUMPRODUCT((M_BOM[Part Name]=$A40)*M_BOM[RM_Qty_Per_Batch]*IFERROR(INDEX(PP_Grid[#Data],M_BOM[PPGridRow],3),0))</f>
        <v/>
      </c>
      <c r="D40">
        <f>SUMPRODUCT((M_BOM[Part Name]=$A40)*M_BOM[RM_Qty_Per_Batch]*IFERROR(INDEX(PP_Grid[#Data],M_BOM[PPGridRow],4),0))</f>
        <v/>
      </c>
      <c r="E40">
        <f>SUMPRODUCT((M_BOM[Part Name]=$A40)*M_BOM[RM_Qty_Per_Batch]*IFERROR(INDEX(PP_Grid[#Data],M_BOM[PPGridRow],5),0))</f>
        <v/>
      </c>
      <c r="F40">
        <f>SUMPRODUCT((M_BOM[Part Name]=$A40)*M_BOM[RM_Qty_Per_Batch]*IFERROR(INDEX(PP_Grid[#Data],M_BOM[PPGridRow],6),0))</f>
        <v/>
      </c>
      <c r="G40">
        <f>SUMPRODUCT((M_BOM[Part Name]=$A40)*M_BOM[RM_Qty_Per_Batch]*IFERROR(INDEX(PP_Grid[#Data],M_BOM[PPGridRow],7),0))</f>
        <v/>
      </c>
      <c r="H40">
        <f>SUMPRODUCT((M_BOM[Part Name]=$A40)*M_BOM[RM_Qty_Per_Batch]*IFERROR(INDEX(PP_Grid[#Data],M_BOM[PPGridRow],8),0))</f>
        <v/>
      </c>
      <c r="I40">
        <f>SUMPRODUCT((M_BOM[Part Name]=$A40)*M_BOM[RM_Qty_Per_Batch]*IFERROR(INDEX(PP_Grid[#Data],M_BOM[PPGridRow],9),0))</f>
        <v/>
      </c>
      <c r="J40">
        <f>SUMPRODUCT((M_BOM[Part Name]=$A40)*M_BOM[RM_Qty_Per_Batch]*IFERROR(INDEX(PP_Grid[#Data],M_BOM[PPGridRow],10),0))</f>
        <v/>
      </c>
      <c r="K40">
        <f>SUMPRODUCT((M_BOM[Part Name]=$A40)*M_BOM[RM_Qty_Per_Batch]*IFERROR(INDEX(PP_Grid[#Data],M_BOM[PPGridRow],11),0))</f>
        <v/>
      </c>
      <c r="L40">
        <f>SUMPRODUCT((M_BOM[Part Name]=$A40)*M_BOM[RM_Qty_Per_Batch]*IFERROR(INDEX(PP_Grid[#Data],M_BOM[PPGridRow],12),0))</f>
        <v/>
      </c>
      <c r="M40">
        <f>SUMPRODUCT((M_BOM[Part Name]=$A40)*M_BOM[RM_Qty_Per_Batch]*IFERROR(INDEX(PP_Grid[#Data],M_BOM[PPGridRow],13),0))</f>
        <v/>
      </c>
      <c r="N40">
        <f>SUMPRODUCT((M_BOM[Part Name]=$A40)*M_BOM[RM_Qty_Per_Batch]*IFERROR(INDEX(PP_Grid[#Data],M_BOM[PPGridRow],14),0))</f>
        <v/>
      </c>
      <c r="O40">
        <f>SUMPRODUCT((M_BOM[Part Name]=$A40)*M_BOM[RM_Qty_Per_Batch]*IFERROR(INDEX(PP_Grid[#Data],M_BOM[PPGridRow],15),0))</f>
        <v/>
      </c>
      <c r="P40">
        <f>SUMPRODUCT((M_BOM[Part Name]=$A40)*M_BOM[RM_Qty_Per_Batch]*IFERROR(INDEX(PP_Grid[#Data],M_BOM[PPGridRow],16),0))</f>
        <v/>
      </c>
      <c r="Q40">
        <f>SUMPRODUCT((M_BOM[Part Name]=$A40)*M_BOM[RM_Qty_Per_Batch]*IFERROR(INDEX(PP_Grid[#Data],M_BOM[PPGridRow],17),0))</f>
        <v/>
      </c>
      <c r="R40">
        <f>SUMPRODUCT((M_BOM[Part Name]=$A40)*M_BOM[RM_Qty_Per_Batch]*IFERROR(INDEX(PP_Grid[#Data],M_BOM[PPGridRow],18),0))</f>
        <v/>
      </c>
      <c r="S40">
        <f>SUMPRODUCT((M_BOM[Part Name]=$A40)*M_BOM[RM_Qty_Per_Batch]*IFERROR(INDEX(PP_Grid[#Data],M_BOM[PPGridRow],19),0))</f>
        <v/>
      </c>
      <c r="T40">
        <f>SUMPRODUCT((M_BOM[Part Name]=$A40)*M_BOM[RM_Qty_Per_Batch]*IFERROR(INDEX(PP_Grid[#Data],M_BOM[PPGridRow],20),0))</f>
        <v/>
      </c>
      <c r="U40">
        <f>SUMPRODUCT((M_BOM[Part Name]=$A40)*M_BOM[RM_Qty_Per_Batch]*IFERROR(INDEX(PP_Grid[#Data],M_BOM[PPGridRow],21),0))</f>
        <v/>
      </c>
      <c r="V40">
        <f>SUMPRODUCT((M_BOM[Part Name]=$A40)*M_BOM[RM_Qty_Per_Batch]*IFERROR(INDEX(PP_Grid[#Data],M_BOM[PPGridRow],22),0))</f>
        <v/>
      </c>
      <c r="W40">
        <f>SUMPRODUCT((M_BOM[Part Name]=$A40)*M_BOM[RM_Qty_Per_Batch]*IFERROR(INDEX(PP_Grid[#Data],M_BOM[PPGridRow],23),0))</f>
        <v/>
      </c>
      <c r="X40">
        <f>SUMPRODUCT((M_BOM[Part Name]=$A40)*M_BOM[RM_Qty_Per_Batch]*IFERROR(INDEX(PP_Grid[#Data],M_BOM[PPGridRow],24),0))</f>
        <v/>
      </c>
      <c r="Y40">
        <f>SUMPRODUCT((M_BOM[Part Name]=$A40)*M_BOM[RM_Qty_Per_Batch]*IFERROR(INDEX(PP_Grid[#Data],M_BOM[PPGridRow],25),0))</f>
        <v/>
      </c>
      <c r="Z40">
        <f>SUMPRODUCT((M_BOM[Part Name]=$A40)*M_BOM[RM_Qty_Per_Batch]*IFERROR(INDEX(PP_Grid[#Data],M_BOM[PPGridRow],26),0))</f>
        <v/>
      </c>
      <c r="AA40">
        <f>SUMPRODUCT((M_BOM[Part Name]=$A40)*M_BOM[RM_Qty_Per_Batch]*IFERROR(INDEX(PP_Grid[#Data],M_BOM[PPGridRow],27),0))</f>
        <v/>
      </c>
      <c r="AB40">
        <f>SUMPRODUCT((M_BOM[Part Name]=$A40)*M_BOM[RM_Qty_Per_Batch]*IFERROR(INDEX(PP_Grid[#Data],M_BOM[PPGridRow],28),0))</f>
        <v/>
      </c>
      <c r="AC40">
        <f>SUMPRODUCT((M_BOM[Part Name]=$A40)*M_BOM[RM_Qty_Per_Batch]*IFERROR(INDEX(PP_Grid[#Data],M_BOM[PPGridRow],29),0))</f>
        <v/>
      </c>
      <c r="AD40">
        <f>SUMPRODUCT((M_BOM[Part Name]=$A40)*M_BOM[RM_Qty_Per_Batch]*IFERROR(INDEX(PP_Grid[#Data],M_BOM[PPGridRow],30),0))</f>
        <v/>
      </c>
      <c r="AE40">
        <f>SUMPRODUCT((M_BOM[Part Name]=$A40)*M_BOM[RM_Qty_Per_Batch]*IFERROR(INDEX(PP_Grid[#Data],M_BOM[PPGridRow],31),0))</f>
        <v/>
      </c>
      <c r="AF40">
        <f>SUMPRODUCT((M_BOM[Part Name]=$A40)*M_BOM[RM_Qty_Per_Batch]*IFERROR(INDEX(PP_Grid[#Data],M_BOM[PPGridRow],32),0))</f>
        <v/>
      </c>
      <c r="AG40">
        <f>SUMPRODUCT((M_BOM[Part Name]=$A40)*M_BOM[RM_Qty_Per_Batch]*IFERROR(INDEX(PP_Grid[#Data],M_BOM[PPGridRow],33),0))</f>
        <v/>
      </c>
      <c r="AH40">
        <f>SUMPRODUCT((M_BOM[Part Name]=$A40)*M_BOM[RM_Qty_Per_Batch]*IFERROR(INDEX(PP_Grid[#Data],M_BOM[PPGridRow],34),0))</f>
        <v/>
      </c>
      <c r="AI40">
        <f>SUMPRODUCT((M_BOM[Part Name]=$A40)*M_BOM[RM_Qty_Per_Batch]*IFERROR(INDEX(PP_Grid[#Data],M_BOM[PPGridRow],35),0))</f>
        <v/>
      </c>
      <c r="AJ40">
        <f>SUMPRODUCT((M_BOM[Part Name]=$A40)*M_BOM[RM_Qty_Per_Batch]*IFERROR(INDEX(PP_Grid[#Data],M_BOM[PPGridRow],36),0))</f>
        <v/>
      </c>
      <c r="AK40">
        <f>SUMPRODUCT((M_BOM[Part Name]=$A40)*M_BOM[RM_Qty_Per_Batch]*IFERROR(INDEX(PP_Grid[#Data],M_BOM[PPGridRow],37),0))</f>
        <v/>
      </c>
      <c r="AL40">
        <f>SUMPRODUCT((M_BOM[Part Name]=$A40)*M_BOM[RM_Qty_Per_Batch]*IFERROR(INDEX(PP_Grid[#Data],M_BOM[PPGridRow],38),0))</f>
        <v/>
      </c>
      <c r="AM40">
        <f>SUMPRODUCT((M_BOM[Part Name]=$A40)*M_BOM[RM_Qty_Per_Batch]*IFERROR(INDEX(PP_Grid[#Data],M_BOM[PPGridRow],39),0))</f>
        <v/>
      </c>
      <c r="AN40">
        <f>SUMPRODUCT((M_BOM[Part Name]=$A40)*M_BOM[RM_Qty_Per_Batch]*IFERROR(INDEX(PP_Grid[#Data],M_BOM[PPGridRow],40),0))</f>
        <v/>
      </c>
      <c r="AO40">
        <f>SUMPRODUCT((M_BOM[Part Name]=$A40)*M_BOM[RM_Qty_Per_Batch]*IFERROR(INDEX(PP_Grid[#Data],M_BOM[PPGridRow],41),0))</f>
        <v/>
      </c>
      <c r="AP40">
        <f>SUMPRODUCT((M_BOM[Part Name]=$A40)*M_BOM[RM_Qty_Per_Batch]*IFERROR(INDEX(PP_Grid[#Data],M_BOM[PPGridRow],42),0))</f>
        <v/>
      </c>
      <c r="AQ40">
        <f>SUMPRODUCT((M_BOM[Part Name]=$A40)*M_BOM[RM_Qty_Per_Batch]*IFERROR(INDEX(PP_Grid[#Data],M_BOM[PPGridRow],43),0))</f>
        <v/>
      </c>
      <c r="AR40">
        <f>SUMPRODUCT((M_BOM[Part Name]=$A40)*M_BOM[RM_Qty_Per_Batch]*IFERROR(INDEX(PP_Grid[#Data],M_BOM[PPGridRow],44),0))</f>
        <v/>
      </c>
      <c r="AS40">
        <f>SUMPRODUCT((M_BOM[Part Name]=$A40)*M_BOM[RM_Qty_Per_Batch]*IFERROR(INDEX(PP_Grid[#Data],M_BOM[PPGridRow],45),0))</f>
        <v/>
      </c>
      <c r="AT40">
        <f>SUMPRODUCT((M_BOM[Part Name]=$A40)*M_BOM[RM_Qty_Per_Batch]*IFERROR(INDEX(PP_Grid[#Data],M_BOM[PPGridRow],46),0))</f>
        <v/>
      </c>
      <c r="AU40">
        <f>SUMPRODUCT((M_BOM[Part Name]=$A40)*M_BOM[RM_Qty_Per_Batch]*IFERROR(INDEX(PP_Grid[#Data],M_BOM[PPGridRow],47),0))</f>
        <v/>
      </c>
      <c r="AV40">
        <f>SUMPRODUCT((M_BOM[Part Name]=$A40)*M_BOM[RM_Qty_Per_Batch]*IFERROR(INDEX(PP_Grid[#Data],M_BOM[PPGridRow],48),0))</f>
        <v/>
      </c>
      <c r="AW40">
        <f>SUMPRODUCT((M_BOM[Part Name]=$A40)*M_BOM[RM_Qty_Per_Batch]*IFERROR(INDEX(PP_Grid[#Data],M_BOM[PPGridRow],49),0))</f>
        <v/>
      </c>
      <c r="AX40">
        <f>SUMPRODUCT((M_BOM[Part Name]=$A40)*M_BOM[RM_Qty_Per_Batch]*IFERROR(INDEX(PP_Grid[#Data],M_BOM[PPGridRow],50),0))</f>
        <v/>
      </c>
      <c r="AY40">
        <f>SUMPRODUCT((M_BOM[Part Name]=$A40)*M_BOM[RM_Qty_Per_Batch]*IFERROR(INDEX(PP_Grid[#Data],M_BOM[PPGridRow],51),0))</f>
        <v/>
      </c>
      <c r="AZ40">
        <f>SUMPRODUCT((M_BOM[Part Name]=$A40)*M_BOM[RM_Qty_Per_Batch]*IFERROR(INDEX(PP_Grid[#Data],M_BOM[PPGridRow],52),0))</f>
        <v/>
      </c>
      <c r="BA40">
        <f>SUMPRODUCT((M_BOM[Part Name]=$A40)*M_BOM[RM_Qty_Per_Batch]*IFERROR(INDEX(PP_Grid[#Data],M_BOM[PPGridRow],53),0))</f>
        <v/>
      </c>
      <c r="BB40">
        <f>SUMPRODUCT((M_BOM[Part Name]=$A40)*M_BOM[RM_Qty_Per_Batch]*IFERROR(INDEX(PP_Grid[#Data],M_BOM[PPGridRow],54),0))</f>
        <v/>
      </c>
      <c r="BC40">
        <f>SUMPRODUCT((M_BOM[Part Name]=$A40)*M_BOM[RM_Qty_Per_Batch]*IFERROR(INDEX(PP_Grid[#Data],M_BOM[PPGridRow],55),0))</f>
        <v/>
      </c>
      <c r="BD40">
        <f>SUMPRODUCT((M_BOM[Part Name]=$A40)*M_BOM[RM_Qty_Per_Batch]*IFERROR(INDEX(PP_Grid[#Data],M_BOM[PPGridRow],56),0))</f>
        <v/>
      </c>
      <c r="BE40">
        <f>SUMPRODUCT((M_BOM[Part Name]=$A40)*M_BOM[RM_Qty_Per_Batch]*IFERROR(INDEX(PP_Grid[#Data],M_BOM[PPGridRow],57),0))</f>
        <v/>
      </c>
      <c r="BF40">
        <f>SUMPRODUCT((M_BOM[Part Name]=$A40)*M_BOM[RM_Qty_Per_Batch]*IFERROR(INDEX(PP_Grid[#Data],M_BOM[PPGridRow],58),0))</f>
        <v/>
      </c>
      <c r="BG40">
        <f>SUMPRODUCT((M_BOM[Part Name]=$A40)*M_BOM[RM_Qty_Per_Batch]*IFERROR(INDEX(PP_Grid[#Data],M_BOM[PPGridRow],59),0))</f>
        <v/>
      </c>
      <c r="BH40">
        <f>SUMPRODUCT((M_BOM[Part Name]=$A40)*M_BOM[RM_Qty_Per_Batch]*IFERROR(INDEX(PP_Grid[#Data],M_BOM[PPGridRow],60),0))</f>
        <v/>
      </c>
      <c r="BI40">
        <f>SUMPRODUCT((M_BOM[Part Name]=$A40)*M_BOM[RM_Qty_Per_Batch]*IFERROR(INDEX(PP_Grid[#Data],M_BOM[PPGridRow],61),0))</f>
        <v/>
      </c>
      <c r="BJ40">
        <f>SUMPRODUCT((M_BOM[Part Name]=$A40)*M_BOM[RM_Qty_Per_Batch]*IFERROR(INDEX(PP_Grid[#Data],M_BOM[PPGridRow],62),0))</f>
        <v/>
      </c>
      <c r="BK40">
        <f>SUMPRODUCT((M_BOM[Part Name]=$A40)*M_BOM[RM_Qty_Per_Batch]*IFERROR(INDEX(PP_Grid[#Data],M_BOM[PPGridRow],63),0))</f>
        <v/>
      </c>
      <c r="BL40">
        <f>SUMPRODUCT((M_BOM[Part Name]=$A40)*M_BOM[RM_Qty_Per_Batch]*IFERROR(INDEX(PP_Grid[#Data],M_BOM[PPGridRow],64),0))</f>
        <v/>
      </c>
      <c r="BM40">
        <f>SUMPRODUCT((M_BOM[Part Name]=$A40)*M_BOM[RM_Qty_Per_Batch]*IFERROR(INDEX(PP_Grid[#Data],M_BOM[PPGridRow],65),0))</f>
        <v/>
      </c>
      <c r="BN40">
        <f>SUMPRODUCT((M_BOM[Part Name]=$A40)*M_BOM[RM_Qty_Per_Batch]*IFERROR(INDEX(PP_Grid[#Data],M_BOM[PPGridRow],66),0))</f>
        <v/>
      </c>
      <c r="BO40">
        <f>SUMPRODUCT((M_BOM[Part Name]=$A40)*M_BOM[RM_Qty_Per_Batch]*IFERROR(INDEX(PP_Grid[#Data],M_BOM[PPGridRow],67),0))</f>
        <v/>
      </c>
      <c r="BP40">
        <f>SUMPRODUCT((M_BOM[Part Name]=$A40)*M_BOM[RM_Qty_Per_Batch]*IFERROR(INDEX(PP_Grid[#Data],M_BOM[PPGridRow],68),0))</f>
        <v/>
      </c>
      <c r="BQ40">
        <f>SUMPRODUCT((M_BOM[Part Name]=$A40)*M_BOM[RM_Qty_Per_Batch]*IFERROR(INDEX(PP_Grid[#Data],M_BOM[PPGridRow],69),0))</f>
        <v/>
      </c>
      <c r="BR40">
        <f>SUMPRODUCT((M_BOM[Part Name]=$A40)*M_BOM[RM_Qty_Per_Batch]*IFERROR(INDEX(PP_Grid[#Data],M_BOM[PPGridRow],70),0))</f>
        <v/>
      </c>
      <c r="BS40">
        <f>SUMPRODUCT((M_BOM[Part Name]=$A40)*M_BOM[RM_Qty_Per_Batch]*IFERROR(INDEX(PP_Grid[#Data],M_BOM[PPGridRow],71),0))</f>
        <v/>
      </c>
      <c r="BT40">
        <f>SUMPRODUCT((M_BOM[Part Name]=$A40)*M_BOM[RM_Qty_Per_Batch]*IFERROR(INDEX(PP_Grid[#Data],M_BOM[PPGridRow],72),0))</f>
        <v/>
      </c>
      <c r="BU40">
        <f>SUMPRODUCT((M_BOM[Part Name]=$A40)*M_BOM[RM_Qty_Per_Batch]*IFERROR(INDEX(PP_Grid[#Data],M_BOM[PPGridRow],73),0))</f>
        <v/>
      </c>
      <c r="BV40">
        <f>SUMPRODUCT((M_BOM[Part Name]=$A40)*M_BOM[RM_Qty_Per_Batch]*IFERROR(INDEX(PP_Grid[#Data],M_BOM[PPGridRow],74),0))</f>
        <v/>
      </c>
      <c r="BW40">
        <f>SUMPRODUCT((M_BOM[Part Name]=$A40)*M_BOM[RM_Qty_Per_Batch]*IFERROR(INDEX(PP_Grid[#Data],M_BOM[PPGridRow],75),0))</f>
        <v/>
      </c>
      <c r="BX40">
        <f>SUMPRODUCT((M_BOM[Part Name]=$A40)*M_BOM[RM_Qty_Per_Batch]*IFERROR(INDEX(PP_Grid[#Data],M_BOM[PPGridRow],76),0))</f>
        <v/>
      </c>
      <c r="BY40">
        <f>SUMPRODUCT((M_BOM[Part Name]=$A40)*M_BOM[RM_Qty_Per_Batch]*IFERROR(INDEX(PP_Grid[#Data],M_BOM[PPGridRow],77),0))</f>
        <v/>
      </c>
      <c r="BZ40">
        <f>SUMPRODUCT((M_BOM[Part Name]=$A40)*M_BOM[RM_Qty_Per_Batch]*IFERROR(INDEX(PP_Grid[#Data],M_BOM[PPGridRow],78),0))</f>
        <v/>
      </c>
      <c r="CA40">
        <f>SUMPRODUCT((M_BOM[Part Name]=$A40)*M_BOM[RM_Qty_Per_Batch]*IFERROR(INDEX(PP_Grid[#Data],M_BOM[PPGridRow],79),0))</f>
        <v/>
      </c>
      <c r="CB40">
        <f>SUMPRODUCT((M_BOM[Part Name]=$A40)*M_BOM[RM_Qty_Per_Batch]*IFERROR(INDEX(PP_Grid[#Data],M_BOM[PPGridRow],80),0))</f>
        <v/>
      </c>
      <c r="CC40">
        <f>SUMPRODUCT((M_BOM[Part Name]=$A40)*M_BOM[RM_Qty_Per_Batch]*IFERROR(INDEX(PP_Grid[#Data],M_BOM[PPGridRow],81),0))</f>
        <v/>
      </c>
      <c r="CD40">
        <f>SUMPRODUCT((M_BOM[Part Name]=$A40)*M_BOM[RM_Qty_Per_Batch]*IFERROR(INDEX(PP_Grid[#Data],M_BOM[PPGridRow],82),0))</f>
        <v/>
      </c>
      <c r="CE40">
        <f>SUMPRODUCT((M_BOM[Part Name]=$A40)*M_BOM[RM_Qty_Per_Batch]*IFERROR(INDEX(PP_Grid[#Data],M_BOM[PPGridRow],83),0))</f>
        <v/>
      </c>
      <c r="CF40">
        <f>SUMPRODUCT((M_BOM[Part Name]=$A40)*M_BOM[RM_Qty_Per_Batch]*IFERROR(INDEX(PP_Grid[#Data],M_BOM[PPGridRow],84),0))</f>
        <v/>
      </c>
      <c r="CG40">
        <f>SUMPRODUCT((M_BOM[Part Name]=$A40)*M_BOM[RM_Qty_Per_Batch]*IFERROR(INDEX(PP_Grid[#Data],M_BOM[PPGridRow],85),0))</f>
        <v/>
      </c>
      <c r="CH40">
        <f>SUMPRODUCT((M_BOM[Part Name]=$A40)*M_BOM[RM_Qty_Per_Batch]*IFERROR(INDEX(PP_Grid[#Data],M_BOM[PPGridRow],86),0))</f>
        <v/>
      </c>
      <c r="CI40">
        <f>SUMPRODUCT((M_BOM[Part Name]=$A40)*M_BOM[RM_Qty_Per_Batch]*IFERROR(INDEX(PP_Grid[#Data],M_BOM[PPGridRow],87),0))</f>
        <v/>
      </c>
      <c r="CJ40">
        <f>SUMPRODUCT((M_BOM[Part Name]=$A40)*M_BOM[RM_Qty_Per_Batch]*IFERROR(INDEX(PP_Grid[#Data],M_BOM[PPGridRow],88),0))</f>
        <v/>
      </c>
      <c r="CK40">
        <f>SUMPRODUCT((M_BOM[Part Name]=$A40)*M_BOM[RM_Qty_Per_Batch]*IFERROR(INDEX(PP_Grid[#Data],M_BOM[PPGridRow],89),0))</f>
        <v/>
      </c>
      <c r="CL40">
        <f>SUMPRODUCT((M_BOM[Part Name]=$A40)*M_BOM[RM_Qty_Per_Batch]*IFERROR(INDEX(PP_Grid[#Data],M_BOM[PPGridRow],90),0))</f>
        <v/>
      </c>
      <c r="CM40">
        <f>SUMPRODUCT((M_BOM[Part Name]=$A40)*M_BOM[RM_Qty_Per_Batch]*IFERROR(INDEX(PP_Grid[#Data],M_BOM[PPGridRow],91),0))</f>
        <v/>
      </c>
      <c r="CN40">
        <f>SUMPRODUCT((M_BOM[Part Name]=$A40)*M_BOM[RM_Qty_Per_Batch]*IFERROR(INDEX(PP_Grid[#Data],M_BOM[PPGridRow],92),0))</f>
        <v/>
      </c>
      <c r="CO40">
        <f>SUMPRODUCT((M_BOM[Part Name]=$A40)*M_BOM[RM_Qty_Per_Batch]*IFERROR(INDEX(PP_Grid[#Data],M_BOM[PPGridRow],93),0))</f>
        <v/>
      </c>
      <c r="CP40">
        <f>SUMPRODUCT((M_BOM[Part Name]=$A40)*M_BOM[RM_Qty_Per_Batch]*IFERROR(INDEX(PP_Grid[#Data],M_BOM[PPGridRow],94),0))</f>
        <v/>
      </c>
      <c r="CQ40">
        <f>SUMPRODUCT((M_BOM[Part Name]=$A40)*M_BOM[RM_Qty_Per_Batch]*IFERROR(INDEX(PP_Grid[#Data],M_BOM[PPGridRow],95),0))</f>
        <v/>
      </c>
      <c r="CR40">
        <f>SUMPRODUCT((M_BOM[Part Name]=$A40)*M_BOM[RM_Qty_Per_Batch]*IFERROR(INDEX(PP_Grid[#Data],M_BOM[PPGridRow],96),0))</f>
        <v/>
      </c>
      <c r="CS40">
        <f>SUMPRODUCT((M_BOM[Part Name]=$A40)*M_BOM[RM_Qty_Per_Batch]*IFERROR(INDEX(PP_Grid[#Data],M_BOM[PPGridRow],97),0))</f>
        <v/>
      </c>
      <c r="CT40">
        <f>SUMPRODUCT((M_BOM[Part Name]=$A40)*M_BOM[RM_Qty_Per_Batch]*IFERROR(INDEX(PP_Grid[#Data],M_BOM[PPGridRow],98),0))</f>
        <v/>
      </c>
      <c r="CU40">
        <f>SUMPRODUCT((M_BOM[Part Name]=$A40)*M_BOM[RM_Qty_Per_Batch]*IFERROR(INDEX(PP_Grid[#Data],M_BOM[PPGridRow],99),0))</f>
        <v/>
      </c>
      <c r="CV40">
        <f>SUMPRODUCT((M_BOM[Part Name]=$A40)*M_BOM[RM_Qty_Per_Batch]*IFERROR(INDEX(PP_Grid[#Data],M_BOM[PPGridRow],100),0))</f>
        <v/>
      </c>
      <c r="CW40">
        <f>SUMPRODUCT((M_BOM[Part Name]=$A40)*M_BOM[RM_Qty_Per_Batch]*IFERROR(INDEX(PP_Grid[#Data],M_BOM[PPGridRow],101),0))</f>
        <v/>
      </c>
      <c r="CX40">
        <f>SUMPRODUCT((M_BOM[Part Name]=$A40)*M_BOM[RM_Qty_Per_Batch]*IFERROR(INDEX(PP_Grid[#Data],M_BOM[PPGridRow],102),0))</f>
        <v/>
      </c>
      <c r="CY40">
        <f>SUMPRODUCT((M_BOM[Part Name]=$A40)*M_BOM[RM_Qty_Per_Batch]*IFERROR(INDEX(PP_Grid[#Data],M_BOM[PPGridRow],103),0))</f>
        <v/>
      </c>
      <c r="CZ40">
        <f>SUMPRODUCT((M_BOM[Part Name]=$A40)*M_BOM[RM_Qty_Per_Batch]*IFERROR(INDEX(PP_Grid[#Data],M_BOM[PPGridRow],104),0))</f>
        <v/>
      </c>
      <c r="DA40">
        <f>SUMPRODUCT((M_BOM[Part Name]=$A40)*M_BOM[RM_Qty_Per_Batch]*IFERROR(INDEX(PP_Grid[#Data],M_BOM[PPGridRow],105),0))</f>
        <v/>
      </c>
    </row>
    <row r="41">
      <c r="A41" t="inlineStr">
        <is>
          <t>1JN</t>
        </is>
      </c>
      <c r="B41">
        <f>SUMPRODUCT((M_BOM[Part Name]=$A41)*M_BOM[RM_Qty_Per_Batch]*IFERROR(INDEX(PP_Grid[#Data],M_BOM[PPGridRow],2),0))</f>
        <v/>
      </c>
      <c r="C41">
        <f>SUMPRODUCT((M_BOM[Part Name]=$A41)*M_BOM[RM_Qty_Per_Batch]*IFERROR(INDEX(PP_Grid[#Data],M_BOM[PPGridRow],3),0))</f>
        <v/>
      </c>
      <c r="D41">
        <f>SUMPRODUCT((M_BOM[Part Name]=$A41)*M_BOM[RM_Qty_Per_Batch]*IFERROR(INDEX(PP_Grid[#Data],M_BOM[PPGridRow],4),0))</f>
        <v/>
      </c>
      <c r="E41">
        <f>SUMPRODUCT((M_BOM[Part Name]=$A41)*M_BOM[RM_Qty_Per_Batch]*IFERROR(INDEX(PP_Grid[#Data],M_BOM[PPGridRow],5),0))</f>
        <v/>
      </c>
      <c r="F41">
        <f>SUMPRODUCT((M_BOM[Part Name]=$A41)*M_BOM[RM_Qty_Per_Batch]*IFERROR(INDEX(PP_Grid[#Data],M_BOM[PPGridRow],6),0))</f>
        <v/>
      </c>
      <c r="G41">
        <f>SUMPRODUCT((M_BOM[Part Name]=$A41)*M_BOM[RM_Qty_Per_Batch]*IFERROR(INDEX(PP_Grid[#Data],M_BOM[PPGridRow],7),0))</f>
        <v/>
      </c>
      <c r="H41">
        <f>SUMPRODUCT((M_BOM[Part Name]=$A41)*M_BOM[RM_Qty_Per_Batch]*IFERROR(INDEX(PP_Grid[#Data],M_BOM[PPGridRow],8),0))</f>
        <v/>
      </c>
      <c r="I41">
        <f>SUMPRODUCT((M_BOM[Part Name]=$A41)*M_BOM[RM_Qty_Per_Batch]*IFERROR(INDEX(PP_Grid[#Data],M_BOM[PPGridRow],9),0))</f>
        <v/>
      </c>
      <c r="J41">
        <f>SUMPRODUCT((M_BOM[Part Name]=$A41)*M_BOM[RM_Qty_Per_Batch]*IFERROR(INDEX(PP_Grid[#Data],M_BOM[PPGridRow],10),0))</f>
        <v/>
      </c>
      <c r="K41">
        <f>SUMPRODUCT((M_BOM[Part Name]=$A41)*M_BOM[RM_Qty_Per_Batch]*IFERROR(INDEX(PP_Grid[#Data],M_BOM[PPGridRow],11),0))</f>
        <v/>
      </c>
      <c r="L41">
        <f>SUMPRODUCT((M_BOM[Part Name]=$A41)*M_BOM[RM_Qty_Per_Batch]*IFERROR(INDEX(PP_Grid[#Data],M_BOM[PPGridRow],12),0))</f>
        <v/>
      </c>
      <c r="M41">
        <f>SUMPRODUCT((M_BOM[Part Name]=$A41)*M_BOM[RM_Qty_Per_Batch]*IFERROR(INDEX(PP_Grid[#Data],M_BOM[PPGridRow],13),0))</f>
        <v/>
      </c>
      <c r="N41">
        <f>SUMPRODUCT((M_BOM[Part Name]=$A41)*M_BOM[RM_Qty_Per_Batch]*IFERROR(INDEX(PP_Grid[#Data],M_BOM[PPGridRow],14),0))</f>
        <v/>
      </c>
      <c r="O41">
        <f>SUMPRODUCT((M_BOM[Part Name]=$A41)*M_BOM[RM_Qty_Per_Batch]*IFERROR(INDEX(PP_Grid[#Data],M_BOM[PPGridRow],15),0))</f>
        <v/>
      </c>
      <c r="P41">
        <f>SUMPRODUCT((M_BOM[Part Name]=$A41)*M_BOM[RM_Qty_Per_Batch]*IFERROR(INDEX(PP_Grid[#Data],M_BOM[PPGridRow],16),0))</f>
        <v/>
      </c>
      <c r="Q41">
        <f>SUMPRODUCT((M_BOM[Part Name]=$A41)*M_BOM[RM_Qty_Per_Batch]*IFERROR(INDEX(PP_Grid[#Data],M_BOM[PPGridRow],17),0))</f>
        <v/>
      </c>
      <c r="R41">
        <f>SUMPRODUCT((M_BOM[Part Name]=$A41)*M_BOM[RM_Qty_Per_Batch]*IFERROR(INDEX(PP_Grid[#Data],M_BOM[PPGridRow],18),0))</f>
        <v/>
      </c>
      <c r="S41">
        <f>SUMPRODUCT((M_BOM[Part Name]=$A41)*M_BOM[RM_Qty_Per_Batch]*IFERROR(INDEX(PP_Grid[#Data],M_BOM[PPGridRow],19),0))</f>
        <v/>
      </c>
      <c r="T41">
        <f>SUMPRODUCT((M_BOM[Part Name]=$A41)*M_BOM[RM_Qty_Per_Batch]*IFERROR(INDEX(PP_Grid[#Data],M_BOM[PPGridRow],20),0))</f>
        <v/>
      </c>
      <c r="U41">
        <f>SUMPRODUCT((M_BOM[Part Name]=$A41)*M_BOM[RM_Qty_Per_Batch]*IFERROR(INDEX(PP_Grid[#Data],M_BOM[PPGridRow],21),0))</f>
        <v/>
      </c>
      <c r="V41">
        <f>SUMPRODUCT((M_BOM[Part Name]=$A41)*M_BOM[RM_Qty_Per_Batch]*IFERROR(INDEX(PP_Grid[#Data],M_BOM[PPGridRow],22),0))</f>
        <v/>
      </c>
      <c r="W41">
        <f>SUMPRODUCT((M_BOM[Part Name]=$A41)*M_BOM[RM_Qty_Per_Batch]*IFERROR(INDEX(PP_Grid[#Data],M_BOM[PPGridRow],23),0))</f>
        <v/>
      </c>
      <c r="X41">
        <f>SUMPRODUCT((M_BOM[Part Name]=$A41)*M_BOM[RM_Qty_Per_Batch]*IFERROR(INDEX(PP_Grid[#Data],M_BOM[PPGridRow],24),0))</f>
        <v/>
      </c>
      <c r="Y41">
        <f>SUMPRODUCT((M_BOM[Part Name]=$A41)*M_BOM[RM_Qty_Per_Batch]*IFERROR(INDEX(PP_Grid[#Data],M_BOM[PPGridRow],25),0))</f>
        <v/>
      </c>
      <c r="Z41">
        <f>SUMPRODUCT((M_BOM[Part Name]=$A41)*M_BOM[RM_Qty_Per_Batch]*IFERROR(INDEX(PP_Grid[#Data],M_BOM[PPGridRow],26),0))</f>
        <v/>
      </c>
      <c r="AA41">
        <f>SUMPRODUCT((M_BOM[Part Name]=$A41)*M_BOM[RM_Qty_Per_Batch]*IFERROR(INDEX(PP_Grid[#Data],M_BOM[PPGridRow],27),0))</f>
        <v/>
      </c>
      <c r="AB41">
        <f>SUMPRODUCT((M_BOM[Part Name]=$A41)*M_BOM[RM_Qty_Per_Batch]*IFERROR(INDEX(PP_Grid[#Data],M_BOM[PPGridRow],28),0))</f>
        <v/>
      </c>
      <c r="AC41">
        <f>SUMPRODUCT((M_BOM[Part Name]=$A41)*M_BOM[RM_Qty_Per_Batch]*IFERROR(INDEX(PP_Grid[#Data],M_BOM[PPGridRow],29),0))</f>
        <v/>
      </c>
      <c r="AD41">
        <f>SUMPRODUCT((M_BOM[Part Name]=$A41)*M_BOM[RM_Qty_Per_Batch]*IFERROR(INDEX(PP_Grid[#Data],M_BOM[PPGridRow],30),0))</f>
        <v/>
      </c>
      <c r="AE41">
        <f>SUMPRODUCT((M_BOM[Part Name]=$A41)*M_BOM[RM_Qty_Per_Batch]*IFERROR(INDEX(PP_Grid[#Data],M_BOM[PPGridRow],31),0))</f>
        <v/>
      </c>
      <c r="AF41">
        <f>SUMPRODUCT((M_BOM[Part Name]=$A41)*M_BOM[RM_Qty_Per_Batch]*IFERROR(INDEX(PP_Grid[#Data],M_BOM[PPGridRow],32),0))</f>
        <v/>
      </c>
      <c r="AG41">
        <f>SUMPRODUCT((M_BOM[Part Name]=$A41)*M_BOM[RM_Qty_Per_Batch]*IFERROR(INDEX(PP_Grid[#Data],M_BOM[PPGridRow],33),0))</f>
        <v/>
      </c>
      <c r="AH41">
        <f>SUMPRODUCT((M_BOM[Part Name]=$A41)*M_BOM[RM_Qty_Per_Batch]*IFERROR(INDEX(PP_Grid[#Data],M_BOM[PPGridRow],34),0))</f>
        <v/>
      </c>
      <c r="AI41">
        <f>SUMPRODUCT((M_BOM[Part Name]=$A41)*M_BOM[RM_Qty_Per_Batch]*IFERROR(INDEX(PP_Grid[#Data],M_BOM[PPGridRow],35),0))</f>
        <v/>
      </c>
      <c r="AJ41">
        <f>SUMPRODUCT((M_BOM[Part Name]=$A41)*M_BOM[RM_Qty_Per_Batch]*IFERROR(INDEX(PP_Grid[#Data],M_BOM[PPGridRow],36),0))</f>
        <v/>
      </c>
      <c r="AK41">
        <f>SUMPRODUCT((M_BOM[Part Name]=$A41)*M_BOM[RM_Qty_Per_Batch]*IFERROR(INDEX(PP_Grid[#Data],M_BOM[PPGridRow],37),0))</f>
        <v/>
      </c>
      <c r="AL41">
        <f>SUMPRODUCT((M_BOM[Part Name]=$A41)*M_BOM[RM_Qty_Per_Batch]*IFERROR(INDEX(PP_Grid[#Data],M_BOM[PPGridRow],38),0))</f>
        <v/>
      </c>
      <c r="AM41">
        <f>SUMPRODUCT((M_BOM[Part Name]=$A41)*M_BOM[RM_Qty_Per_Batch]*IFERROR(INDEX(PP_Grid[#Data],M_BOM[PPGridRow],39),0))</f>
        <v/>
      </c>
      <c r="AN41">
        <f>SUMPRODUCT((M_BOM[Part Name]=$A41)*M_BOM[RM_Qty_Per_Batch]*IFERROR(INDEX(PP_Grid[#Data],M_BOM[PPGridRow],40),0))</f>
        <v/>
      </c>
      <c r="AO41">
        <f>SUMPRODUCT((M_BOM[Part Name]=$A41)*M_BOM[RM_Qty_Per_Batch]*IFERROR(INDEX(PP_Grid[#Data],M_BOM[PPGridRow],41),0))</f>
        <v/>
      </c>
      <c r="AP41">
        <f>SUMPRODUCT((M_BOM[Part Name]=$A41)*M_BOM[RM_Qty_Per_Batch]*IFERROR(INDEX(PP_Grid[#Data],M_BOM[PPGridRow],42),0))</f>
        <v/>
      </c>
      <c r="AQ41">
        <f>SUMPRODUCT((M_BOM[Part Name]=$A41)*M_BOM[RM_Qty_Per_Batch]*IFERROR(INDEX(PP_Grid[#Data],M_BOM[PPGridRow],43),0))</f>
        <v/>
      </c>
      <c r="AR41">
        <f>SUMPRODUCT((M_BOM[Part Name]=$A41)*M_BOM[RM_Qty_Per_Batch]*IFERROR(INDEX(PP_Grid[#Data],M_BOM[PPGridRow],44),0))</f>
        <v/>
      </c>
      <c r="AS41">
        <f>SUMPRODUCT((M_BOM[Part Name]=$A41)*M_BOM[RM_Qty_Per_Batch]*IFERROR(INDEX(PP_Grid[#Data],M_BOM[PPGridRow],45),0))</f>
        <v/>
      </c>
      <c r="AT41">
        <f>SUMPRODUCT((M_BOM[Part Name]=$A41)*M_BOM[RM_Qty_Per_Batch]*IFERROR(INDEX(PP_Grid[#Data],M_BOM[PPGridRow],46),0))</f>
        <v/>
      </c>
      <c r="AU41">
        <f>SUMPRODUCT((M_BOM[Part Name]=$A41)*M_BOM[RM_Qty_Per_Batch]*IFERROR(INDEX(PP_Grid[#Data],M_BOM[PPGridRow],47),0))</f>
        <v/>
      </c>
      <c r="AV41">
        <f>SUMPRODUCT((M_BOM[Part Name]=$A41)*M_BOM[RM_Qty_Per_Batch]*IFERROR(INDEX(PP_Grid[#Data],M_BOM[PPGridRow],48),0))</f>
        <v/>
      </c>
      <c r="AW41">
        <f>SUMPRODUCT((M_BOM[Part Name]=$A41)*M_BOM[RM_Qty_Per_Batch]*IFERROR(INDEX(PP_Grid[#Data],M_BOM[PPGridRow],49),0))</f>
        <v/>
      </c>
      <c r="AX41">
        <f>SUMPRODUCT((M_BOM[Part Name]=$A41)*M_BOM[RM_Qty_Per_Batch]*IFERROR(INDEX(PP_Grid[#Data],M_BOM[PPGridRow],50),0))</f>
        <v/>
      </c>
      <c r="AY41">
        <f>SUMPRODUCT((M_BOM[Part Name]=$A41)*M_BOM[RM_Qty_Per_Batch]*IFERROR(INDEX(PP_Grid[#Data],M_BOM[PPGridRow],51),0))</f>
        <v/>
      </c>
      <c r="AZ41">
        <f>SUMPRODUCT((M_BOM[Part Name]=$A41)*M_BOM[RM_Qty_Per_Batch]*IFERROR(INDEX(PP_Grid[#Data],M_BOM[PPGridRow],52),0))</f>
        <v/>
      </c>
      <c r="BA41">
        <f>SUMPRODUCT((M_BOM[Part Name]=$A41)*M_BOM[RM_Qty_Per_Batch]*IFERROR(INDEX(PP_Grid[#Data],M_BOM[PPGridRow],53),0))</f>
        <v/>
      </c>
      <c r="BB41">
        <f>SUMPRODUCT((M_BOM[Part Name]=$A41)*M_BOM[RM_Qty_Per_Batch]*IFERROR(INDEX(PP_Grid[#Data],M_BOM[PPGridRow],54),0))</f>
        <v/>
      </c>
      <c r="BC41">
        <f>SUMPRODUCT((M_BOM[Part Name]=$A41)*M_BOM[RM_Qty_Per_Batch]*IFERROR(INDEX(PP_Grid[#Data],M_BOM[PPGridRow],55),0))</f>
        <v/>
      </c>
      <c r="BD41">
        <f>SUMPRODUCT((M_BOM[Part Name]=$A41)*M_BOM[RM_Qty_Per_Batch]*IFERROR(INDEX(PP_Grid[#Data],M_BOM[PPGridRow],56),0))</f>
        <v/>
      </c>
      <c r="BE41">
        <f>SUMPRODUCT((M_BOM[Part Name]=$A41)*M_BOM[RM_Qty_Per_Batch]*IFERROR(INDEX(PP_Grid[#Data],M_BOM[PPGridRow],57),0))</f>
        <v/>
      </c>
      <c r="BF41">
        <f>SUMPRODUCT((M_BOM[Part Name]=$A41)*M_BOM[RM_Qty_Per_Batch]*IFERROR(INDEX(PP_Grid[#Data],M_BOM[PPGridRow],58),0))</f>
        <v/>
      </c>
      <c r="BG41">
        <f>SUMPRODUCT((M_BOM[Part Name]=$A41)*M_BOM[RM_Qty_Per_Batch]*IFERROR(INDEX(PP_Grid[#Data],M_BOM[PPGridRow],59),0))</f>
        <v/>
      </c>
      <c r="BH41">
        <f>SUMPRODUCT((M_BOM[Part Name]=$A41)*M_BOM[RM_Qty_Per_Batch]*IFERROR(INDEX(PP_Grid[#Data],M_BOM[PPGridRow],60),0))</f>
        <v/>
      </c>
      <c r="BI41">
        <f>SUMPRODUCT((M_BOM[Part Name]=$A41)*M_BOM[RM_Qty_Per_Batch]*IFERROR(INDEX(PP_Grid[#Data],M_BOM[PPGridRow],61),0))</f>
        <v/>
      </c>
      <c r="BJ41">
        <f>SUMPRODUCT((M_BOM[Part Name]=$A41)*M_BOM[RM_Qty_Per_Batch]*IFERROR(INDEX(PP_Grid[#Data],M_BOM[PPGridRow],62),0))</f>
        <v/>
      </c>
      <c r="BK41">
        <f>SUMPRODUCT((M_BOM[Part Name]=$A41)*M_BOM[RM_Qty_Per_Batch]*IFERROR(INDEX(PP_Grid[#Data],M_BOM[PPGridRow],63),0))</f>
        <v/>
      </c>
      <c r="BL41">
        <f>SUMPRODUCT((M_BOM[Part Name]=$A41)*M_BOM[RM_Qty_Per_Batch]*IFERROR(INDEX(PP_Grid[#Data],M_BOM[PPGridRow],64),0))</f>
        <v/>
      </c>
      <c r="BM41">
        <f>SUMPRODUCT((M_BOM[Part Name]=$A41)*M_BOM[RM_Qty_Per_Batch]*IFERROR(INDEX(PP_Grid[#Data],M_BOM[PPGridRow],65),0))</f>
        <v/>
      </c>
      <c r="BN41">
        <f>SUMPRODUCT((M_BOM[Part Name]=$A41)*M_BOM[RM_Qty_Per_Batch]*IFERROR(INDEX(PP_Grid[#Data],M_BOM[PPGridRow],66),0))</f>
        <v/>
      </c>
      <c r="BO41">
        <f>SUMPRODUCT((M_BOM[Part Name]=$A41)*M_BOM[RM_Qty_Per_Batch]*IFERROR(INDEX(PP_Grid[#Data],M_BOM[PPGridRow],67),0))</f>
        <v/>
      </c>
      <c r="BP41">
        <f>SUMPRODUCT((M_BOM[Part Name]=$A41)*M_BOM[RM_Qty_Per_Batch]*IFERROR(INDEX(PP_Grid[#Data],M_BOM[PPGridRow],68),0))</f>
        <v/>
      </c>
      <c r="BQ41">
        <f>SUMPRODUCT((M_BOM[Part Name]=$A41)*M_BOM[RM_Qty_Per_Batch]*IFERROR(INDEX(PP_Grid[#Data],M_BOM[PPGridRow],69),0))</f>
        <v/>
      </c>
      <c r="BR41">
        <f>SUMPRODUCT((M_BOM[Part Name]=$A41)*M_BOM[RM_Qty_Per_Batch]*IFERROR(INDEX(PP_Grid[#Data],M_BOM[PPGridRow],70),0))</f>
        <v/>
      </c>
      <c r="BS41">
        <f>SUMPRODUCT((M_BOM[Part Name]=$A41)*M_BOM[RM_Qty_Per_Batch]*IFERROR(INDEX(PP_Grid[#Data],M_BOM[PPGridRow],71),0))</f>
        <v/>
      </c>
      <c r="BT41">
        <f>SUMPRODUCT((M_BOM[Part Name]=$A41)*M_BOM[RM_Qty_Per_Batch]*IFERROR(INDEX(PP_Grid[#Data],M_BOM[PPGridRow],72),0))</f>
        <v/>
      </c>
      <c r="BU41">
        <f>SUMPRODUCT((M_BOM[Part Name]=$A41)*M_BOM[RM_Qty_Per_Batch]*IFERROR(INDEX(PP_Grid[#Data],M_BOM[PPGridRow],73),0))</f>
        <v/>
      </c>
      <c r="BV41">
        <f>SUMPRODUCT((M_BOM[Part Name]=$A41)*M_BOM[RM_Qty_Per_Batch]*IFERROR(INDEX(PP_Grid[#Data],M_BOM[PPGridRow],74),0))</f>
        <v/>
      </c>
      <c r="BW41">
        <f>SUMPRODUCT((M_BOM[Part Name]=$A41)*M_BOM[RM_Qty_Per_Batch]*IFERROR(INDEX(PP_Grid[#Data],M_BOM[PPGridRow],75),0))</f>
        <v/>
      </c>
      <c r="BX41">
        <f>SUMPRODUCT((M_BOM[Part Name]=$A41)*M_BOM[RM_Qty_Per_Batch]*IFERROR(INDEX(PP_Grid[#Data],M_BOM[PPGridRow],76),0))</f>
        <v/>
      </c>
      <c r="BY41">
        <f>SUMPRODUCT((M_BOM[Part Name]=$A41)*M_BOM[RM_Qty_Per_Batch]*IFERROR(INDEX(PP_Grid[#Data],M_BOM[PPGridRow],77),0))</f>
        <v/>
      </c>
      <c r="BZ41">
        <f>SUMPRODUCT((M_BOM[Part Name]=$A41)*M_BOM[RM_Qty_Per_Batch]*IFERROR(INDEX(PP_Grid[#Data],M_BOM[PPGridRow],78),0))</f>
        <v/>
      </c>
      <c r="CA41">
        <f>SUMPRODUCT((M_BOM[Part Name]=$A41)*M_BOM[RM_Qty_Per_Batch]*IFERROR(INDEX(PP_Grid[#Data],M_BOM[PPGridRow],79),0))</f>
        <v/>
      </c>
      <c r="CB41">
        <f>SUMPRODUCT((M_BOM[Part Name]=$A41)*M_BOM[RM_Qty_Per_Batch]*IFERROR(INDEX(PP_Grid[#Data],M_BOM[PPGridRow],80),0))</f>
        <v/>
      </c>
      <c r="CC41">
        <f>SUMPRODUCT((M_BOM[Part Name]=$A41)*M_BOM[RM_Qty_Per_Batch]*IFERROR(INDEX(PP_Grid[#Data],M_BOM[PPGridRow],81),0))</f>
        <v/>
      </c>
      <c r="CD41">
        <f>SUMPRODUCT((M_BOM[Part Name]=$A41)*M_BOM[RM_Qty_Per_Batch]*IFERROR(INDEX(PP_Grid[#Data],M_BOM[PPGridRow],82),0))</f>
        <v/>
      </c>
      <c r="CE41">
        <f>SUMPRODUCT((M_BOM[Part Name]=$A41)*M_BOM[RM_Qty_Per_Batch]*IFERROR(INDEX(PP_Grid[#Data],M_BOM[PPGridRow],83),0))</f>
        <v/>
      </c>
      <c r="CF41">
        <f>SUMPRODUCT((M_BOM[Part Name]=$A41)*M_BOM[RM_Qty_Per_Batch]*IFERROR(INDEX(PP_Grid[#Data],M_BOM[PPGridRow],84),0))</f>
        <v/>
      </c>
      <c r="CG41">
        <f>SUMPRODUCT((M_BOM[Part Name]=$A41)*M_BOM[RM_Qty_Per_Batch]*IFERROR(INDEX(PP_Grid[#Data],M_BOM[PPGridRow],85),0))</f>
        <v/>
      </c>
      <c r="CH41">
        <f>SUMPRODUCT((M_BOM[Part Name]=$A41)*M_BOM[RM_Qty_Per_Batch]*IFERROR(INDEX(PP_Grid[#Data],M_BOM[PPGridRow],86),0))</f>
        <v/>
      </c>
      <c r="CI41">
        <f>SUMPRODUCT((M_BOM[Part Name]=$A41)*M_BOM[RM_Qty_Per_Batch]*IFERROR(INDEX(PP_Grid[#Data],M_BOM[PPGridRow],87),0))</f>
        <v/>
      </c>
      <c r="CJ41">
        <f>SUMPRODUCT((M_BOM[Part Name]=$A41)*M_BOM[RM_Qty_Per_Batch]*IFERROR(INDEX(PP_Grid[#Data],M_BOM[PPGridRow],88),0))</f>
        <v/>
      </c>
      <c r="CK41">
        <f>SUMPRODUCT((M_BOM[Part Name]=$A41)*M_BOM[RM_Qty_Per_Batch]*IFERROR(INDEX(PP_Grid[#Data],M_BOM[PPGridRow],89),0))</f>
        <v/>
      </c>
      <c r="CL41">
        <f>SUMPRODUCT((M_BOM[Part Name]=$A41)*M_BOM[RM_Qty_Per_Batch]*IFERROR(INDEX(PP_Grid[#Data],M_BOM[PPGridRow],90),0))</f>
        <v/>
      </c>
      <c r="CM41">
        <f>SUMPRODUCT((M_BOM[Part Name]=$A41)*M_BOM[RM_Qty_Per_Batch]*IFERROR(INDEX(PP_Grid[#Data],M_BOM[PPGridRow],91),0))</f>
        <v/>
      </c>
      <c r="CN41">
        <f>SUMPRODUCT((M_BOM[Part Name]=$A41)*M_BOM[RM_Qty_Per_Batch]*IFERROR(INDEX(PP_Grid[#Data],M_BOM[PPGridRow],92),0))</f>
        <v/>
      </c>
      <c r="CO41">
        <f>SUMPRODUCT((M_BOM[Part Name]=$A41)*M_BOM[RM_Qty_Per_Batch]*IFERROR(INDEX(PP_Grid[#Data],M_BOM[PPGridRow],93),0))</f>
        <v/>
      </c>
      <c r="CP41">
        <f>SUMPRODUCT((M_BOM[Part Name]=$A41)*M_BOM[RM_Qty_Per_Batch]*IFERROR(INDEX(PP_Grid[#Data],M_BOM[PPGridRow],94),0))</f>
        <v/>
      </c>
      <c r="CQ41">
        <f>SUMPRODUCT((M_BOM[Part Name]=$A41)*M_BOM[RM_Qty_Per_Batch]*IFERROR(INDEX(PP_Grid[#Data],M_BOM[PPGridRow],95),0))</f>
        <v/>
      </c>
      <c r="CR41">
        <f>SUMPRODUCT((M_BOM[Part Name]=$A41)*M_BOM[RM_Qty_Per_Batch]*IFERROR(INDEX(PP_Grid[#Data],M_BOM[PPGridRow],96),0))</f>
        <v/>
      </c>
      <c r="CS41">
        <f>SUMPRODUCT((M_BOM[Part Name]=$A41)*M_BOM[RM_Qty_Per_Batch]*IFERROR(INDEX(PP_Grid[#Data],M_BOM[PPGridRow],97),0))</f>
        <v/>
      </c>
      <c r="CT41">
        <f>SUMPRODUCT((M_BOM[Part Name]=$A41)*M_BOM[RM_Qty_Per_Batch]*IFERROR(INDEX(PP_Grid[#Data],M_BOM[PPGridRow],98),0))</f>
        <v/>
      </c>
      <c r="CU41">
        <f>SUMPRODUCT((M_BOM[Part Name]=$A41)*M_BOM[RM_Qty_Per_Batch]*IFERROR(INDEX(PP_Grid[#Data],M_BOM[PPGridRow],99),0))</f>
        <v/>
      </c>
      <c r="CV41">
        <f>SUMPRODUCT((M_BOM[Part Name]=$A41)*M_BOM[RM_Qty_Per_Batch]*IFERROR(INDEX(PP_Grid[#Data],M_BOM[PPGridRow],100),0))</f>
        <v/>
      </c>
      <c r="CW41">
        <f>SUMPRODUCT((M_BOM[Part Name]=$A41)*M_BOM[RM_Qty_Per_Batch]*IFERROR(INDEX(PP_Grid[#Data],M_BOM[PPGridRow],101),0))</f>
        <v/>
      </c>
      <c r="CX41">
        <f>SUMPRODUCT((M_BOM[Part Name]=$A41)*M_BOM[RM_Qty_Per_Batch]*IFERROR(INDEX(PP_Grid[#Data],M_BOM[PPGridRow],102),0))</f>
        <v/>
      </c>
      <c r="CY41">
        <f>SUMPRODUCT((M_BOM[Part Name]=$A41)*M_BOM[RM_Qty_Per_Batch]*IFERROR(INDEX(PP_Grid[#Data],M_BOM[PPGridRow],103),0))</f>
        <v/>
      </c>
      <c r="CZ41">
        <f>SUMPRODUCT((M_BOM[Part Name]=$A41)*M_BOM[RM_Qty_Per_Batch]*IFERROR(INDEX(PP_Grid[#Data],M_BOM[PPGridRow],104),0))</f>
        <v/>
      </c>
      <c r="DA41">
        <f>SUMPRODUCT((M_BOM[Part Name]=$A41)*M_BOM[RM_Qty_Per_Batch]*IFERROR(INDEX(PP_Grid[#Data],M_BOM[PPGridRow],105),0))</f>
        <v/>
      </c>
    </row>
    <row r="42">
      <c r="A42" t="inlineStr">
        <is>
          <t>V03</t>
        </is>
      </c>
      <c r="B42">
        <f>SUMPRODUCT((M_BOM[Part Name]=$A42)*M_BOM[RM_Qty_Per_Batch]*IFERROR(INDEX(PP_Grid[#Data],M_BOM[PPGridRow],2),0))</f>
        <v/>
      </c>
      <c r="C42">
        <f>SUMPRODUCT((M_BOM[Part Name]=$A42)*M_BOM[RM_Qty_Per_Batch]*IFERROR(INDEX(PP_Grid[#Data],M_BOM[PPGridRow],3),0))</f>
        <v/>
      </c>
      <c r="D42">
        <f>SUMPRODUCT((M_BOM[Part Name]=$A42)*M_BOM[RM_Qty_Per_Batch]*IFERROR(INDEX(PP_Grid[#Data],M_BOM[PPGridRow],4),0))</f>
        <v/>
      </c>
      <c r="E42">
        <f>SUMPRODUCT((M_BOM[Part Name]=$A42)*M_BOM[RM_Qty_Per_Batch]*IFERROR(INDEX(PP_Grid[#Data],M_BOM[PPGridRow],5),0))</f>
        <v/>
      </c>
      <c r="F42">
        <f>SUMPRODUCT((M_BOM[Part Name]=$A42)*M_BOM[RM_Qty_Per_Batch]*IFERROR(INDEX(PP_Grid[#Data],M_BOM[PPGridRow],6),0))</f>
        <v/>
      </c>
      <c r="G42">
        <f>SUMPRODUCT((M_BOM[Part Name]=$A42)*M_BOM[RM_Qty_Per_Batch]*IFERROR(INDEX(PP_Grid[#Data],M_BOM[PPGridRow],7),0))</f>
        <v/>
      </c>
      <c r="H42">
        <f>SUMPRODUCT((M_BOM[Part Name]=$A42)*M_BOM[RM_Qty_Per_Batch]*IFERROR(INDEX(PP_Grid[#Data],M_BOM[PPGridRow],8),0))</f>
        <v/>
      </c>
      <c r="I42">
        <f>SUMPRODUCT((M_BOM[Part Name]=$A42)*M_BOM[RM_Qty_Per_Batch]*IFERROR(INDEX(PP_Grid[#Data],M_BOM[PPGridRow],9),0))</f>
        <v/>
      </c>
      <c r="J42">
        <f>SUMPRODUCT((M_BOM[Part Name]=$A42)*M_BOM[RM_Qty_Per_Batch]*IFERROR(INDEX(PP_Grid[#Data],M_BOM[PPGridRow],10),0))</f>
        <v/>
      </c>
      <c r="K42">
        <f>SUMPRODUCT((M_BOM[Part Name]=$A42)*M_BOM[RM_Qty_Per_Batch]*IFERROR(INDEX(PP_Grid[#Data],M_BOM[PPGridRow],11),0))</f>
        <v/>
      </c>
      <c r="L42">
        <f>SUMPRODUCT((M_BOM[Part Name]=$A42)*M_BOM[RM_Qty_Per_Batch]*IFERROR(INDEX(PP_Grid[#Data],M_BOM[PPGridRow],12),0))</f>
        <v/>
      </c>
      <c r="M42">
        <f>SUMPRODUCT((M_BOM[Part Name]=$A42)*M_BOM[RM_Qty_Per_Batch]*IFERROR(INDEX(PP_Grid[#Data],M_BOM[PPGridRow],13),0))</f>
        <v/>
      </c>
      <c r="N42">
        <f>SUMPRODUCT((M_BOM[Part Name]=$A42)*M_BOM[RM_Qty_Per_Batch]*IFERROR(INDEX(PP_Grid[#Data],M_BOM[PPGridRow],14),0))</f>
        <v/>
      </c>
      <c r="O42">
        <f>SUMPRODUCT((M_BOM[Part Name]=$A42)*M_BOM[RM_Qty_Per_Batch]*IFERROR(INDEX(PP_Grid[#Data],M_BOM[PPGridRow],15),0))</f>
        <v/>
      </c>
      <c r="P42">
        <f>SUMPRODUCT((M_BOM[Part Name]=$A42)*M_BOM[RM_Qty_Per_Batch]*IFERROR(INDEX(PP_Grid[#Data],M_BOM[PPGridRow],16),0))</f>
        <v/>
      </c>
      <c r="Q42">
        <f>SUMPRODUCT((M_BOM[Part Name]=$A42)*M_BOM[RM_Qty_Per_Batch]*IFERROR(INDEX(PP_Grid[#Data],M_BOM[PPGridRow],17),0))</f>
        <v/>
      </c>
      <c r="R42">
        <f>SUMPRODUCT((M_BOM[Part Name]=$A42)*M_BOM[RM_Qty_Per_Batch]*IFERROR(INDEX(PP_Grid[#Data],M_BOM[PPGridRow],18),0))</f>
        <v/>
      </c>
      <c r="S42">
        <f>SUMPRODUCT((M_BOM[Part Name]=$A42)*M_BOM[RM_Qty_Per_Batch]*IFERROR(INDEX(PP_Grid[#Data],M_BOM[PPGridRow],19),0))</f>
        <v/>
      </c>
      <c r="T42">
        <f>SUMPRODUCT((M_BOM[Part Name]=$A42)*M_BOM[RM_Qty_Per_Batch]*IFERROR(INDEX(PP_Grid[#Data],M_BOM[PPGridRow],20),0))</f>
        <v/>
      </c>
      <c r="U42">
        <f>SUMPRODUCT((M_BOM[Part Name]=$A42)*M_BOM[RM_Qty_Per_Batch]*IFERROR(INDEX(PP_Grid[#Data],M_BOM[PPGridRow],21),0))</f>
        <v/>
      </c>
      <c r="V42">
        <f>SUMPRODUCT((M_BOM[Part Name]=$A42)*M_BOM[RM_Qty_Per_Batch]*IFERROR(INDEX(PP_Grid[#Data],M_BOM[PPGridRow],22),0))</f>
        <v/>
      </c>
      <c r="W42">
        <f>SUMPRODUCT((M_BOM[Part Name]=$A42)*M_BOM[RM_Qty_Per_Batch]*IFERROR(INDEX(PP_Grid[#Data],M_BOM[PPGridRow],23),0))</f>
        <v/>
      </c>
      <c r="X42">
        <f>SUMPRODUCT((M_BOM[Part Name]=$A42)*M_BOM[RM_Qty_Per_Batch]*IFERROR(INDEX(PP_Grid[#Data],M_BOM[PPGridRow],24),0))</f>
        <v/>
      </c>
      <c r="Y42">
        <f>SUMPRODUCT((M_BOM[Part Name]=$A42)*M_BOM[RM_Qty_Per_Batch]*IFERROR(INDEX(PP_Grid[#Data],M_BOM[PPGridRow],25),0))</f>
        <v/>
      </c>
      <c r="Z42">
        <f>SUMPRODUCT((M_BOM[Part Name]=$A42)*M_BOM[RM_Qty_Per_Batch]*IFERROR(INDEX(PP_Grid[#Data],M_BOM[PPGridRow],26),0))</f>
        <v/>
      </c>
      <c r="AA42">
        <f>SUMPRODUCT((M_BOM[Part Name]=$A42)*M_BOM[RM_Qty_Per_Batch]*IFERROR(INDEX(PP_Grid[#Data],M_BOM[PPGridRow],27),0))</f>
        <v/>
      </c>
      <c r="AB42">
        <f>SUMPRODUCT((M_BOM[Part Name]=$A42)*M_BOM[RM_Qty_Per_Batch]*IFERROR(INDEX(PP_Grid[#Data],M_BOM[PPGridRow],28),0))</f>
        <v/>
      </c>
      <c r="AC42">
        <f>SUMPRODUCT((M_BOM[Part Name]=$A42)*M_BOM[RM_Qty_Per_Batch]*IFERROR(INDEX(PP_Grid[#Data],M_BOM[PPGridRow],29),0))</f>
        <v/>
      </c>
      <c r="AD42">
        <f>SUMPRODUCT((M_BOM[Part Name]=$A42)*M_BOM[RM_Qty_Per_Batch]*IFERROR(INDEX(PP_Grid[#Data],M_BOM[PPGridRow],30),0))</f>
        <v/>
      </c>
      <c r="AE42">
        <f>SUMPRODUCT((M_BOM[Part Name]=$A42)*M_BOM[RM_Qty_Per_Batch]*IFERROR(INDEX(PP_Grid[#Data],M_BOM[PPGridRow],31),0))</f>
        <v/>
      </c>
      <c r="AF42">
        <f>SUMPRODUCT((M_BOM[Part Name]=$A42)*M_BOM[RM_Qty_Per_Batch]*IFERROR(INDEX(PP_Grid[#Data],M_BOM[PPGridRow],32),0))</f>
        <v/>
      </c>
      <c r="AG42">
        <f>SUMPRODUCT((M_BOM[Part Name]=$A42)*M_BOM[RM_Qty_Per_Batch]*IFERROR(INDEX(PP_Grid[#Data],M_BOM[PPGridRow],33),0))</f>
        <v/>
      </c>
      <c r="AH42">
        <f>SUMPRODUCT((M_BOM[Part Name]=$A42)*M_BOM[RM_Qty_Per_Batch]*IFERROR(INDEX(PP_Grid[#Data],M_BOM[PPGridRow],34),0))</f>
        <v/>
      </c>
      <c r="AI42">
        <f>SUMPRODUCT((M_BOM[Part Name]=$A42)*M_BOM[RM_Qty_Per_Batch]*IFERROR(INDEX(PP_Grid[#Data],M_BOM[PPGridRow],35),0))</f>
        <v/>
      </c>
      <c r="AJ42">
        <f>SUMPRODUCT((M_BOM[Part Name]=$A42)*M_BOM[RM_Qty_Per_Batch]*IFERROR(INDEX(PP_Grid[#Data],M_BOM[PPGridRow],36),0))</f>
        <v/>
      </c>
      <c r="AK42">
        <f>SUMPRODUCT((M_BOM[Part Name]=$A42)*M_BOM[RM_Qty_Per_Batch]*IFERROR(INDEX(PP_Grid[#Data],M_BOM[PPGridRow],37),0))</f>
        <v/>
      </c>
      <c r="AL42">
        <f>SUMPRODUCT((M_BOM[Part Name]=$A42)*M_BOM[RM_Qty_Per_Batch]*IFERROR(INDEX(PP_Grid[#Data],M_BOM[PPGridRow],38),0))</f>
        <v/>
      </c>
      <c r="AM42">
        <f>SUMPRODUCT((M_BOM[Part Name]=$A42)*M_BOM[RM_Qty_Per_Batch]*IFERROR(INDEX(PP_Grid[#Data],M_BOM[PPGridRow],39),0))</f>
        <v/>
      </c>
      <c r="AN42">
        <f>SUMPRODUCT((M_BOM[Part Name]=$A42)*M_BOM[RM_Qty_Per_Batch]*IFERROR(INDEX(PP_Grid[#Data],M_BOM[PPGridRow],40),0))</f>
        <v/>
      </c>
      <c r="AO42">
        <f>SUMPRODUCT((M_BOM[Part Name]=$A42)*M_BOM[RM_Qty_Per_Batch]*IFERROR(INDEX(PP_Grid[#Data],M_BOM[PPGridRow],41),0))</f>
        <v/>
      </c>
      <c r="AP42">
        <f>SUMPRODUCT((M_BOM[Part Name]=$A42)*M_BOM[RM_Qty_Per_Batch]*IFERROR(INDEX(PP_Grid[#Data],M_BOM[PPGridRow],42),0))</f>
        <v/>
      </c>
      <c r="AQ42">
        <f>SUMPRODUCT((M_BOM[Part Name]=$A42)*M_BOM[RM_Qty_Per_Batch]*IFERROR(INDEX(PP_Grid[#Data],M_BOM[PPGridRow],43),0))</f>
        <v/>
      </c>
      <c r="AR42">
        <f>SUMPRODUCT((M_BOM[Part Name]=$A42)*M_BOM[RM_Qty_Per_Batch]*IFERROR(INDEX(PP_Grid[#Data],M_BOM[PPGridRow],44),0))</f>
        <v/>
      </c>
      <c r="AS42">
        <f>SUMPRODUCT((M_BOM[Part Name]=$A42)*M_BOM[RM_Qty_Per_Batch]*IFERROR(INDEX(PP_Grid[#Data],M_BOM[PPGridRow],45),0))</f>
        <v/>
      </c>
      <c r="AT42">
        <f>SUMPRODUCT((M_BOM[Part Name]=$A42)*M_BOM[RM_Qty_Per_Batch]*IFERROR(INDEX(PP_Grid[#Data],M_BOM[PPGridRow],46),0))</f>
        <v/>
      </c>
      <c r="AU42">
        <f>SUMPRODUCT((M_BOM[Part Name]=$A42)*M_BOM[RM_Qty_Per_Batch]*IFERROR(INDEX(PP_Grid[#Data],M_BOM[PPGridRow],47),0))</f>
        <v/>
      </c>
      <c r="AV42">
        <f>SUMPRODUCT((M_BOM[Part Name]=$A42)*M_BOM[RM_Qty_Per_Batch]*IFERROR(INDEX(PP_Grid[#Data],M_BOM[PPGridRow],48),0))</f>
        <v/>
      </c>
      <c r="AW42">
        <f>SUMPRODUCT((M_BOM[Part Name]=$A42)*M_BOM[RM_Qty_Per_Batch]*IFERROR(INDEX(PP_Grid[#Data],M_BOM[PPGridRow],49),0))</f>
        <v/>
      </c>
      <c r="AX42">
        <f>SUMPRODUCT((M_BOM[Part Name]=$A42)*M_BOM[RM_Qty_Per_Batch]*IFERROR(INDEX(PP_Grid[#Data],M_BOM[PPGridRow],50),0))</f>
        <v/>
      </c>
      <c r="AY42">
        <f>SUMPRODUCT((M_BOM[Part Name]=$A42)*M_BOM[RM_Qty_Per_Batch]*IFERROR(INDEX(PP_Grid[#Data],M_BOM[PPGridRow],51),0))</f>
        <v/>
      </c>
      <c r="AZ42">
        <f>SUMPRODUCT((M_BOM[Part Name]=$A42)*M_BOM[RM_Qty_Per_Batch]*IFERROR(INDEX(PP_Grid[#Data],M_BOM[PPGridRow],52),0))</f>
        <v/>
      </c>
      <c r="BA42">
        <f>SUMPRODUCT((M_BOM[Part Name]=$A42)*M_BOM[RM_Qty_Per_Batch]*IFERROR(INDEX(PP_Grid[#Data],M_BOM[PPGridRow],53),0))</f>
        <v/>
      </c>
      <c r="BB42">
        <f>SUMPRODUCT((M_BOM[Part Name]=$A42)*M_BOM[RM_Qty_Per_Batch]*IFERROR(INDEX(PP_Grid[#Data],M_BOM[PPGridRow],54),0))</f>
        <v/>
      </c>
      <c r="BC42">
        <f>SUMPRODUCT((M_BOM[Part Name]=$A42)*M_BOM[RM_Qty_Per_Batch]*IFERROR(INDEX(PP_Grid[#Data],M_BOM[PPGridRow],55),0))</f>
        <v/>
      </c>
      <c r="BD42">
        <f>SUMPRODUCT((M_BOM[Part Name]=$A42)*M_BOM[RM_Qty_Per_Batch]*IFERROR(INDEX(PP_Grid[#Data],M_BOM[PPGridRow],56),0))</f>
        <v/>
      </c>
      <c r="BE42">
        <f>SUMPRODUCT((M_BOM[Part Name]=$A42)*M_BOM[RM_Qty_Per_Batch]*IFERROR(INDEX(PP_Grid[#Data],M_BOM[PPGridRow],57),0))</f>
        <v/>
      </c>
      <c r="BF42">
        <f>SUMPRODUCT((M_BOM[Part Name]=$A42)*M_BOM[RM_Qty_Per_Batch]*IFERROR(INDEX(PP_Grid[#Data],M_BOM[PPGridRow],58),0))</f>
        <v/>
      </c>
      <c r="BG42">
        <f>SUMPRODUCT((M_BOM[Part Name]=$A42)*M_BOM[RM_Qty_Per_Batch]*IFERROR(INDEX(PP_Grid[#Data],M_BOM[PPGridRow],59),0))</f>
        <v/>
      </c>
      <c r="BH42">
        <f>SUMPRODUCT((M_BOM[Part Name]=$A42)*M_BOM[RM_Qty_Per_Batch]*IFERROR(INDEX(PP_Grid[#Data],M_BOM[PPGridRow],60),0))</f>
        <v/>
      </c>
      <c r="BI42">
        <f>SUMPRODUCT((M_BOM[Part Name]=$A42)*M_BOM[RM_Qty_Per_Batch]*IFERROR(INDEX(PP_Grid[#Data],M_BOM[PPGridRow],61),0))</f>
        <v/>
      </c>
      <c r="BJ42">
        <f>SUMPRODUCT((M_BOM[Part Name]=$A42)*M_BOM[RM_Qty_Per_Batch]*IFERROR(INDEX(PP_Grid[#Data],M_BOM[PPGridRow],62),0))</f>
        <v/>
      </c>
      <c r="BK42">
        <f>SUMPRODUCT((M_BOM[Part Name]=$A42)*M_BOM[RM_Qty_Per_Batch]*IFERROR(INDEX(PP_Grid[#Data],M_BOM[PPGridRow],63),0))</f>
        <v/>
      </c>
      <c r="BL42">
        <f>SUMPRODUCT((M_BOM[Part Name]=$A42)*M_BOM[RM_Qty_Per_Batch]*IFERROR(INDEX(PP_Grid[#Data],M_BOM[PPGridRow],64),0))</f>
        <v/>
      </c>
      <c r="BM42">
        <f>SUMPRODUCT((M_BOM[Part Name]=$A42)*M_BOM[RM_Qty_Per_Batch]*IFERROR(INDEX(PP_Grid[#Data],M_BOM[PPGridRow],65),0))</f>
        <v/>
      </c>
      <c r="BN42">
        <f>SUMPRODUCT((M_BOM[Part Name]=$A42)*M_BOM[RM_Qty_Per_Batch]*IFERROR(INDEX(PP_Grid[#Data],M_BOM[PPGridRow],66),0))</f>
        <v/>
      </c>
      <c r="BO42">
        <f>SUMPRODUCT((M_BOM[Part Name]=$A42)*M_BOM[RM_Qty_Per_Batch]*IFERROR(INDEX(PP_Grid[#Data],M_BOM[PPGridRow],67),0))</f>
        <v/>
      </c>
      <c r="BP42">
        <f>SUMPRODUCT((M_BOM[Part Name]=$A42)*M_BOM[RM_Qty_Per_Batch]*IFERROR(INDEX(PP_Grid[#Data],M_BOM[PPGridRow],68),0))</f>
        <v/>
      </c>
      <c r="BQ42">
        <f>SUMPRODUCT((M_BOM[Part Name]=$A42)*M_BOM[RM_Qty_Per_Batch]*IFERROR(INDEX(PP_Grid[#Data],M_BOM[PPGridRow],69),0))</f>
        <v/>
      </c>
      <c r="BR42">
        <f>SUMPRODUCT((M_BOM[Part Name]=$A42)*M_BOM[RM_Qty_Per_Batch]*IFERROR(INDEX(PP_Grid[#Data],M_BOM[PPGridRow],70),0))</f>
        <v/>
      </c>
      <c r="BS42">
        <f>SUMPRODUCT((M_BOM[Part Name]=$A42)*M_BOM[RM_Qty_Per_Batch]*IFERROR(INDEX(PP_Grid[#Data],M_BOM[PPGridRow],71),0))</f>
        <v/>
      </c>
      <c r="BT42">
        <f>SUMPRODUCT((M_BOM[Part Name]=$A42)*M_BOM[RM_Qty_Per_Batch]*IFERROR(INDEX(PP_Grid[#Data],M_BOM[PPGridRow],72),0))</f>
        <v/>
      </c>
      <c r="BU42">
        <f>SUMPRODUCT((M_BOM[Part Name]=$A42)*M_BOM[RM_Qty_Per_Batch]*IFERROR(INDEX(PP_Grid[#Data],M_BOM[PPGridRow],73),0))</f>
        <v/>
      </c>
      <c r="BV42">
        <f>SUMPRODUCT((M_BOM[Part Name]=$A42)*M_BOM[RM_Qty_Per_Batch]*IFERROR(INDEX(PP_Grid[#Data],M_BOM[PPGridRow],74),0))</f>
        <v/>
      </c>
      <c r="BW42">
        <f>SUMPRODUCT((M_BOM[Part Name]=$A42)*M_BOM[RM_Qty_Per_Batch]*IFERROR(INDEX(PP_Grid[#Data],M_BOM[PPGridRow],75),0))</f>
        <v/>
      </c>
      <c r="BX42">
        <f>SUMPRODUCT((M_BOM[Part Name]=$A42)*M_BOM[RM_Qty_Per_Batch]*IFERROR(INDEX(PP_Grid[#Data],M_BOM[PPGridRow],76),0))</f>
        <v/>
      </c>
      <c r="BY42">
        <f>SUMPRODUCT((M_BOM[Part Name]=$A42)*M_BOM[RM_Qty_Per_Batch]*IFERROR(INDEX(PP_Grid[#Data],M_BOM[PPGridRow],77),0))</f>
        <v/>
      </c>
      <c r="BZ42">
        <f>SUMPRODUCT((M_BOM[Part Name]=$A42)*M_BOM[RM_Qty_Per_Batch]*IFERROR(INDEX(PP_Grid[#Data],M_BOM[PPGridRow],78),0))</f>
        <v/>
      </c>
      <c r="CA42">
        <f>SUMPRODUCT((M_BOM[Part Name]=$A42)*M_BOM[RM_Qty_Per_Batch]*IFERROR(INDEX(PP_Grid[#Data],M_BOM[PPGridRow],79),0))</f>
        <v/>
      </c>
      <c r="CB42">
        <f>SUMPRODUCT((M_BOM[Part Name]=$A42)*M_BOM[RM_Qty_Per_Batch]*IFERROR(INDEX(PP_Grid[#Data],M_BOM[PPGridRow],80),0))</f>
        <v/>
      </c>
      <c r="CC42">
        <f>SUMPRODUCT((M_BOM[Part Name]=$A42)*M_BOM[RM_Qty_Per_Batch]*IFERROR(INDEX(PP_Grid[#Data],M_BOM[PPGridRow],81),0))</f>
        <v/>
      </c>
      <c r="CD42">
        <f>SUMPRODUCT((M_BOM[Part Name]=$A42)*M_BOM[RM_Qty_Per_Batch]*IFERROR(INDEX(PP_Grid[#Data],M_BOM[PPGridRow],82),0))</f>
        <v/>
      </c>
      <c r="CE42">
        <f>SUMPRODUCT((M_BOM[Part Name]=$A42)*M_BOM[RM_Qty_Per_Batch]*IFERROR(INDEX(PP_Grid[#Data],M_BOM[PPGridRow],83),0))</f>
        <v/>
      </c>
      <c r="CF42">
        <f>SUMPRODUCT((M_BOM[Part Name]=$A42)*M_BOM[RM_Qty_Per_Batch]*IFERROR(INDEX(PP_Grid[#Data],M_BOM[PPGridRow],84),0))</f>
        <v/>
      </c>
      <c r="CG42">
        <f>SUMPRODUCT((M_BOM[Part Name]=$A42)*M_BOM[RM_Qty_Per_Batch]*IFERROR(INDEX(PP_Grid[#Data],M_BOM[PPGridRow],85),0))</f>
        <v/>
      </c>
      <c r="CH42">
        <f>SUMPRODUCT((M_BOM[Part Name]=$A42)*M_BOM[RM_Qty_Per_Batch]*IFERROR(INDEX(PP_Grid[#Data],M_BOM[PPGridRow],86),0))</f>
        <v/>
      </c>
      <c r="CI42">
        <f>SUMPRODUCT((M_BOM[Part Name]=$A42)*M_BOM[RM_Qty_Per_Batch]*IFERROR(INDEX(PP_Grid[#Data],M_BOM[PPGridRow],87),0))</f>
        <v/>
      </c>
      <c r="CJ42">
        <f>SUMPRODUCT((M_BOM[Part Name]=$A42)*M_BOM[RM_Qty_Per_Batch]*IFERROR(INDEX(PP_Grid[#Data],M_BOM[PPGridRow],88),0))</f>
        <v/>
      </c>
      <c r="CK42">
        <f>SUMPRODUCT((M_BOM[Part Name]=$A42)*M_BOM[RM_Qty_Per_Batch]*IFERROR(INDEX(PP_Grid[#Data],M_BOM[PPGridRow],89),0))</f>
        <v/>
      </c>
      <c r="CL42">
        <f>SUMPRODUCT((M_BOM[Part Name]=$A42)*M_BOM[RM_Qty_Per_Batch]*IFERROR(INDEX(PP_Grid[#Data],M_BOM[PPGridRow],90),0))</f>
        <v/>
      </c>
      <c r="CM42">
        <f>SUMPRODUCT((M_BOM[Part Name]=$A42)*M_BOM[RM_Qty_Per_Batch]*IFERROR(INDEX(PP_Grid[#Data],M_BOM[PPGridRow],91),0))</f>
        <v/>
      </c>
      <c r="CN42">
        <f>SUMPRODUCT((M_BOM[Part Name]=$A42)*M_BOM[RM_Qty_Per_Batch]*IFERROR(INDEX(PP_Grid[#Data],M_BOM[PPGridRow],92),0))</f>
        <v/>
      </c>
      <c r="CO42">
        <f>SUMPRODUCT((M_BOM[Part Name]=$A42)*M_BOM[RM_Qty_Per_Batch]*IFERROR(INDEX(PP_Grid[#Data],M_BOM[PPGridRow],93),0))</f>
        <v/>
      </c>
      <c r="CP42">
        <f>SUMPRODUCT((M_BOM[Part Name]=$A42)*M_BOM[RM_Qty_Per_Batch]*IFERROR(INDEX(PP_Grid[#Data],M_BOM[PPGridRow],94),0))</f>
        <v/>
      </c>
      <c r="CQ42">
        <f>SUMPRODUCT((M_BOM[Part Name]=$A42)*M_BOM[RM_Qty_Per_Batch]*IFERROR(INDEX(PP_Grid[#Data],M_BOM[PPGridRow],95),0))</f>
        <v/>
      </c>
      <c r="CR42">
        <f>SUMPRODUCT((M_BOM[Part Name]=$A42)*M_BOM[RM_Qty_Per_Batch]*IFERROR(INDEX(PP_Grid[#Data],M_BOM[PPGridRow],96),0))</f>
        <v/>
      </c>
      <c r="CS42">
        <f>SUMPRODUCT((M_BOM[Part Name]=$A42)*M_BOM[RM_Qty_Per_Batch]*IFERROR(INDEX(PP_Grid[#Data],M_BOM[PPGridRow],97),0))</f>
        <v/>
      </c>
      <c r="CT42">
        <f>SUMPRODUCT((M_BOM[Part Name]=$A42)*M_BOM[RM_Qty_Per_Batch]*IFERROR(INDEX(PP_Grid[#Data],M_BOM[PPGridRow],98),0))</f>
        <v/>
      </c>
      <c r="CU42">
        <f>SUMPRODUCT((M_BOM[Part Name]=$A42)*M_BOM[RM_Qty_Per_Batch]*IFERROR(INDEX(PP_Grid[#Data],M_BOM[PPGridRow],99),0))</f>
        <v/>
      </c>
      <c r="CV42">
        <f>SUMPRODUCT((M_BOM[Part Name]=$A42)*M_BOM[RM_Qty_Per_Batch]*IFERROR(INDEX(PP_Grid[#Data],M_BOM[PPGridRow],100),0))</f>
        <v/>
      </c>
      <c r="CW42">
        <f>SUMPRODUCT((M_BOM[Part Name]=$A42)*M_BOM[RM_Qty_Per_Batch]*IFERROR(INDEX(PP_Grid[#Data],M_BOM[PPGridRow],101),0))</f>
        <v/>
      </c>
      <c r="CX42">
        <f>SUMPRODUCT((M_BOM[Part Name]=$A42)*M_BOM[RM_Qty_Per_Batch]*IFERROR(INDEX(PP_Grid[#Data],M_BOM[PPGridRow],102),0))</f>
        <v/>
      </c>
      <c r="CY42">
        <f>SUMPRODUCT((M_BOM[Part Name]=$A42)*M_BOM[RM_Qty_Per_Batch]*IFERROR(INDEX(PP_Grid[#Data],M_BOM[PPGridRow],103),0))</f>
        <v/>
      </c>
      <c r="CZ42">
        <f>SUMPRODUCT((M_BOM[Part Name]=$A42)*M_BOM[RM_Qty_Per_Batch]*IFERROR(INDEX(PP_Grid[#Data],M_BOM[PPGridRow],104),0))</f>
        <v/>
      </c>
      <c r="DA42">
        <f>SUMPRODUCT((M_BOM[Part Name]=$A42)*M_BOM[RM_Qty_Per_Batch]*IFERROR(INDEX(PP_Grid[#Data],M_BOM[PPGridRow],105),0))</f>
        <v/>
      </c>
    </row>
    <row r="43">
      <c r="A43" t="inlineStr">
        <is>
          <t>V19</t>
        </is>
      </c>
      <c r="B43">
        <f>SUMPRODUCT((M_BOM[Part Name]=$A43)*M_BOM[RM_Qty_Per_Batch]*IFERROR(INDEX(PP_Grid[#Data],M_BOM[PPGridRow],2),0))</f>
        <v/>
      </c>
      <c r="C43">
        <f>SUMPRODUCT((M_BOM[Part Name]=$A43)*M_BOM[RM_Qty_Per_Batch]*IFERROR(INDEX(PP_Grid[#Data],M_BOM[PPGridRow],3),0))</f>
        <v/>
      </c>
      <c r="D43">
        <f>SUMPRODUCT((M_BOM[Part Name]=$A43)*M_BOM[RM_Qty_Per_Batch]*IFERROR(INDEX(PP_Grid[#Data],M_BOM[PPGridRow],4),0))</f>
        <v/>
      </c>
      <c r="E43">
        <f>SUMPRODUCT((M_BOM[Part Name]=$A43)*M_BOM[RM_Qty_Per_Batch]*IFERROR(INDEX(PP_Grid[#Data],M_BOM[PPGridRow],5),0))</f>
        <v/>
      </c>
      <c r="F43">
        <f>SUMPRODUCT((M_BOM[Part Name]=$A43)*M_BOM[RM_Qty_Per_Batch]*IFERROR(INDEX(PP_Grid[#Data],M_BOM[PPGridRow],6),0))</f>
        <v/>
      </c>
      <c r="G43">
        <f>SUMPRODUCT((M_BOM[Part Name]=$A43)*M_BOM[RM_Qty_Per_Batch]*IFERROR(INDEX(PP_Grid[#Data],M_BOM[PPGridRow],7),0))</f>
        <v/>
      </c>
      <c r="H43">
        <f>SUMPRODUCT((M_BOM[Part Name]=$A43)*M_BOM[RM_Qty_Per_Batch]*IFERROR(INDEX(PP_Grid[#Data],M_BOM[PPGridRow],8),0))</f>
        <v/>
      </c>
      <c r="I43">
        <f>SUMPRODUCT((M_BOM[Part Name]=$A43)*M_BOM[RM_Qty_Per_Batch]*IFERROR(INDEX(PP_Grid[#Data],M_BOM[PPGridRow],9),0))</f>
        <v/>
      </c>
      <c r="J43">
        <f>SUMPRODUCT((M_BOM[Part Name]=$A43)*M_BOM[RM_Qty_Per_Batch]*IFERROR(INDEX(PP_Grid[#Data],M_BOM[PPGridRow],10),0))</f>
        <v/>
      </c>
      <c r="K43">
        <f>SUMPRODUCT((M_BOM[Part Name]=$A43)*M_BOM[RM_Qty_Per_Batch]*IFERROR(INDEX(PP_Grid[#Data],M_BOM[PPGridRow],11),0))</f>
        <v/>
      </c>
      <c r="L43">
        <f>SUMPRODUCT((M_BOM[Part Name]=$A43)*M_BOM[RM_Qty_Per_Batch]*IFERROR(INDEX(PP_Grid[#Data],M_BOM[PPGridRow],12),0))</f>
        <v/>
      </c>
      <c r="M43">
        <f>SUMPRODUCT((M_BOM[Part Name]=$A43)*M_BOM[RM_Qty_Per_Batch]*IFERROR(INDEX(PP_Grid[#Data],M_BOM[PPGridRow],13),0))</f>
        <v/>
      </c>
      <c r="N43">
        <f>SUMPRODUCT((M_BOM[Part Name]=$A43)*M_BOM[RM_Qty_Per_Batch]*IFERROR(INDEX(PP_Grid[#Data],M_BOM[PPGridRow],14),0))</f>
        <v/>
      </c>
      <c r="O43">
        <f>SUMPRODUCT((M_BOM[Part Name]=$A43)*M_BOM[RM_Qty_Per_Batch]*IFERROR(INDEX(PP_Grid[#Data],M_BOM[PPGridRow],15),0))</f>
        <v/>
      </c>
      <c r="P43">
        <f>SUMPRODUCT((M_BOM[Part Name]=$A43)*M_BOM[RM_Qty_Per_Batch]*IFERROR(INDEX(PP_Grid[#Data],M_BOM[PPGridRow],16),0))</f>
        <v/>
      </c>
      <c r="Q43">
        <f>SUMPRODUCT((M_BOM[Part Name]=$A43)*M_BOM[RM_Qty_Per_Batch]*IFERROR(INDEX(PP_Grid[#Data],M_BOM[PPGridRow],17),0))</f>
        <v/>
      </c>
      <c r="R43">
        <f>SUMPRODUCT((M_BOM[Part Name]=$A43)*M_BOM[RM_Qty_Per_Batch]*IFERROR(INDEX(PP_Grid[#Data],M_BOM[PPGridRow],18),0))</f>
        <v/>
      </c>
      <c r="S43">
        <f>SUMPRODUCT((M_BOM[Part Name]=$A43)*M_BOM[RM_Qty_Per_Batch]*IFERROR(INDEX(PP_Grid[#Data],M_BOM[PPGridRow],19),0))</f>
        <v/>
      </c>
      <c r="T43">
        <f>SUMPRODUCT((M_BOM[Part Name]=$A43)*M_BOM[RM_Qty_Per_Batch]*IFERROR(INDEX(PP_Grid[#Data],M_BOM[PPGridRow],20),0))</f>
        <v/>
      </c>
      <c r="U43">
        <f>SUMPRODUCT((M_BOM[Part Name]=$A43)*M_BOM[RM_Qty_Per_Batch]*IFERROR(INDEX(PP_Grid[#Data],M_BOM[PPGridRow],21),0))</f>
        <v/>
      </c>
      <c r="V43">
        <f>SUMPRODUCT((M_BOM[Part Name]=$A43)*M_BOM[RM_Qty_Per_Batch]*IFERROR(INDEX(PP_Grid[#Data],M_BOM[PPGridRow],22),0))</f>
        <v/>
      </c>
      <c r="W43">
        <f>SUMPRODUCT((M_BOM[Part Name]=$A43)*M_BOM[RM_Qty_Per_Batch]*IFERROR(INDEX(PP_Grid[#Data],M_BOM[PPGridRow],23),0))</f>
        <v/>
      </c>
      <c r="X43">
        <f>SUMPRODUCT((M_BOM[Part Name]=$A43)*M_BOM[RM_Qty_Per_Batch]*IFERROR(INDEX(PP_Grid[#Data],M_BOM[PPGridRow],24),0))</f>
        <v/>
      </c>
      <c r="Y43">
        <f>SUMPRODUCT((M_BOM[Part Name]=$A43)*M_BOM[RM_Qty_Per_Batch]*IFERROR(INDEX(PP_Grid[#Data],M_BOM[PPGridRow],25),0))</f>
        <v/>
      </c>
      <c r="Z43">
        <f>SUMPRODUCT((M_BOM[Part Name]=$A43)*M_BOM[RM_Qty_Per_Batch]*IFERROR(INDEX(PP_Grid[#Data],M_BOM[PPGridRow],26),0))</f>
        <v/>
      </c>
      <c r="AA43">
        <f>SUMPRODUCT((M_BOM[Part Name]=$A43)*M_BOM[RM_Qty_Per_Batch]*IFERROR(INDEX(PP_Grid[#Data],M_BOM[PPGridRow],27),0))</f>
        <v/>
      </c>
      <c r="AB43">
        <f>SUMPRODUCT((M_BOM[Part Name]=$A43)*M_BOM[RM_Qty_Per_Batch]*IFERROR(INDEX(PP_Grid[#Data],M_BOM[PPGridRow],28),0))</f>
        <v/>
      </c>
      <c r="AC43">
        <f>SUMPRODUCT((M_BOM[Part Name]=$A43)*M_BOM[RM_Qty_Per_Batch]*IFERROR(INDEX(PP_Grid[#Data],M_BOM[PPGridRow],29),0))</f>
        <v/>
      </c>
      <c r="AD43">
        <f>SUMPRODUCT((M_BOM[Part Name]=$A43)*M_BOM[RM_Qty_Per_Batch]*IFERROR(INDEX(PP_Grid[#Data],M_BOM[PPGridRow],30),0))</f>
        <v/>
      </c>
      <c r="AE43">
        <f>SUMPRODUCT((M_BOM[Part Name]=$A43)*M_BOM[RM_Qty_Per_Batch]*IFERROR(INDEX(PP_Grid[#Data],M_BOM[PPGridRow],31),0))</f>
        <v/>
      </c>
      <c r="AF43">
        <f>SUMPRODUCT((M_BOM[Part Name]=$A43)*M_BOM[RM_Qty_Per_Batch]*IFERROR(INDEX(PP_Grid[#Data],M_BOM[PPGridRow],32),0))</f>
        <v/>
      </c>
      <c r="AG43">
        <f>SUMPRODUCT((M_BOM[Part Name]=$A43)*M_BOM[RM_Qty_Per_Batch]*IFERROR(INDEX(PP_Grid[#Data],M_BOM[PPGridRow],33),0))</f>
        <v/>
      </c>
      <c r="AH43">
        <f>SUMPRODUCT((M_BOM[Part Name]=$A43)*M_BOM[RM_Qty_Per_Batch]*IFERROR(INDEX(PP_Grid[#Data],M_BOM[PPGridRow],34),0))</f>
        <v/>
      </c>
      <c r="AI43">
        <f>SUMPRODUCT((M_BOM[Part Name]=$A43)*M_BOM[RM_Qty_Per_Batch]*IFERROR(INDEX(PP_Grid[#Data],M_BOM[PPGridRow],35),0))</f>
        <v/>
      </c>
      <c r="AJ43">
        <f>SUMPRODUCT((M_BOM[Part Name]=$A43)*M_BOM[RM_Qty_Per_Batch]*IFERROR(INDEX(PP_Grid[#Data],M_BOM[PPGridRow],36),0))</f>
        <v/>
      </c>
      <c r="AK43">
        <f>SUMPRODUCT((M_BOM[Part Name]=$A43)*M_BOM[RM_Qty_Per_Batch]*IFERROR(INDEX(PP_Grid[#Data],M_BOM[PPGridRow],37),0))</f>
        <v/>
      </c>
      <c r="AL43">
        <f>SUMPRODUCT((M_BOM[Part Name]=$A43)*M_BOM[RM_Qty_Per_Batch]*IFERROR(INDEX(PP_Grid[#Data],M_BOM[PPGridRow],38),0))</f>
        <v/>
      </c>
      <c r="AM43">
        <f>SUMPRODUCT((M_BOM[Part Name]=$A43)*M_BOM[RM_Qty_Per_Batch]*IFERROR(INDEX(PP_Grid[#Data],M_BOM[PPGridRow],39),0))</f>
        <v/>
      </c>
      <c r="AN43">
        <f>SUMPRODUCT((M_BOM[Part Name]=$A43)*M_BOM[RM_Qty_Per_Batch]*IFERROR(INDEX(PP_Grid[#Data],M_BOM[PPGridRow],40),0))</f>
        <v/>
      </c>
      <c r="AO43">
        <f>SUMPRODUCT((M_BOM[Part Name]=$A43)*M_BOM[RM_Qty_Per_Batch]*IFERROR(INDEX(PP_Grid[#Data],M_BOM[PPGridRow],41),0))</f>
        <v/>
      </c>
      <c r="AP43">
        <f>SUMPRODUCT((M_BOM[Part Name]=$A43)*M_BOM[RM_Qty_Per_Batch]*IFERROR(INDEX(PP_Grid[#Data],M_BOM[PPGridRow],42),0))</f>
        <v/>
      </c>
      <c r="AQ43">
        <f>SUMPRODUCT((M_BOM[Part Name]=$A43)*M_BOM[RM_Qty_Per_Batch]*IFERROR(INDEX(PP_Grid[#Data],M_BOM[PPGridRow],43),0))</f>
        <v/>
      </c>
      <c r="AR43">
        <f>SUMPRODUCT((M_BOM[Part Name]=$A43)*M_BOM[RM_Qty_Per_Batch]*IFERROR(INDEX(PP_Grid[#Data],M_BOM[PPGridRow],44),0))</f>
        <v/>
      </c>
      <c r="AS43">
        <f>SUMPRODUCT((M_BOM[Part Name]=$A43)*M_BOM[RM_Qty_Per_Batch]*IFERROR(INDEX(PP_Grid[#Data],M_BOM[PPGridRow],45),0))</f>
        <v/>
      </c>
      <c r="AT43">
        <f>SUMPRODUCT((M_BOM[Part Name]=$A43)*M_BOM[RM_Qty_Per_Batch]*IFERROR(INDEX(PP_Grid[#Data],M_BOM[PPGridRow],46),0))</f>
        <v/>
      </c>
      <c r="AU43">
        <f>SUMPRODUCT((M_BOM[Part Name]=$A43)*M_BOM[RM_Qty_Per_Batch]*IFERROR(INDEX(PP_Grid[#Data],M_BOM[PPGridRow],47),0))</f>
        <v/>
      </c>
      <c r="AV43">
        <f>SUMPRODUCT((M_BOM[Part Name]=$A43)*M_BOM[RM_Qty_Per_Batch]*IFERROR(INDEX(PP_Grid[#Data],M_BOM[PPGridRow],48),0))</f>
        <v/>
      </c>
      <c r="AW43">
        <f>SUMPRODUCT((M_BOM[Part Name]=$A43)*M_BOM[RM_Qty_Per_Batch]*IFERROR(INDEX(PP_Grid[#Data],M_BOM[PPGridRow],49),0))</f>
        <v/>
      </c>
      <c r="AX43">
        <f>SUMPRODUCT((M_BOM[Part Name]=$A43)*M_BOM[RM_Qty_Per_Batch]*IFERROR(INDEX(PP_Grid[#Data],M_BOM[PPGridRow],50),0))</f>
        <v/>
      </c>
      <c r="AY43">
        <f>SUMPRODUCT((M_BOM[Part Name]=$A43)*M_BOM[RM_Qty_Per_Batch]*IFERROR(INDEX(PP_Grid[#Data],M_BOM[PPGridRow],51),0))</f>
        <v/>
      </c>
      <c r="AZ43">
        <f>SUMPRODUCT((M_BOM[Part Name]=$A43)*M_BOM[RM_Qty_Per_Batch]*IFERROR(INDEX(PP_Grid[#Data],M_BOM[PPGridRow],52),0))</f>
        <v/>
      </c>
      <c r="BA43">
        <f>SUMPRODUCT((M_BOM[Part Name]=$A43)*M_BOM[RM_Qty_Per_Batch]*IFERROR(INDEX(PP_Grid[#Data],M_BOM[PPGridRow],53),0))</f>
        <v/>
      </c>
      <c r="BB43">
        <f>SUMPRODUCT((M_BOM[Part Name]=$A43)*M_BOM[RM_Qty_Per_Batch]*IFERROR(INDEX(PP_Grid[#Data],M_BOM[PPGridRow],54),0))</f>
        <v/>
      </c>
      <c r="BC43">
        <f>SUMPRODUCT((M_BOM[Part Name]=$A43)*M_BOM[RM_Qty_Per_Batch]*IFERROR(INDEX(PP_Grid[#Data],M_BOM[PPGridRow],55),0))</f>
        <v/>
      </c>
      <c r="BD43">
        <f>SUMPRODUCT((M_BOM[Part Name]=$A43)*M_BOM[RM_Qty_Per_Batch]*IFERROR(INDEX(PP_Grid[#Data],M_BOM[PPGridRow],56),0))</f>
        <v/>
      </c>
      <c r="BE43">
        <f>SUMPRODUCT((M_BOM[Part Name]=$A43)*M_BOM[RM_Qty_Per_Batch]*IFERROR(INDEX(PP_Grid[#Data],M_BOM[PPGridRow],57),0))</f>
        <v/>
      </c>
      <c r="BF43">
        <f>SUMPRODUCT((M_BOM[Part Name]=$A43)*M_BOM[RM_Qty_Per_Batch]*IFERROR(INDEX(PP_Grid[#Data],M_BOM[PPGridRow],58),0))</f>
        <v/>
      </c>
      <c r="BG43">
        <f>SUMPRODUCT((M_BOM[Part Name]=$A43)*M_BOM[RM_Qty_Per_Batch]*IFERROR(INDEX(PP_Grid[#Data],M_BOM[PPGridRow],59),0))</f>
        <v/>
      </c>
      <c r="BH43">
        <f>SUMPRODUCT((M_BOM[Part Name]=$A43)*M_BOM[RM_Qty_Per_Batch]*IFERROR(INDEX(PP_Grid[#Data],M_BOM[PPGridRow],60),0))</f>
        <v/>
      </c>
      <c r="BI43">
        <f>SUMPRODUCT((M_BOM[Part Name]=$A43)*M_BOM[RM_Qty_Per_Batch]*IFERROR(INDEX(PP_Grid[#Data],M_BOM[PPGridRow],61),0))</f>
        <v/>
      </c>
      <c r="BJ43">
        <f>SUMPRODUCT((M_BOM[Part Name]=$A43)*M_BOM[RM_Qty_Per_Batch]*IFERROR(INDEX(PP_Grid[#Data],M_BOM[PPGridRow],62),0))</f>
        <v/>
      </c>
      <c r="BK43">
        <f>SUMPRODUCT((M_BOM[Part Name]=$A43)*M_BOM[RM_Qty_Per_Batch]*IFERROR(INDEX(PP_Grid[#Data],M_BOM[PPGridRow],63),0))</f>
        <v/>
      </c>
      <c r="BL43">
        <f>SUMPRODUCT((M_BOM[Part Name]=$A43)*M_BOM[RM_Qty_Per_Batch]*IFERROR(INDEX(PP_Grid[#Data],M_BOM[PPGridRow],64),0))</f>
        <v/>
      </c>
      <c r="BM43">
        <f>SUMPRODUCT((M_BOM[Part Name]=$A43)*M_BOM[RM_Qty_Per_Batch]*IFERROR(INDEX(PP_Grid[#Data],M_BOM[PPGridRow],65),0))</f>
        <v/>
      </c>
      <c r="BN43">
        <f>SUMPRODUCT((M_BOM[Part Name]=$A43)*M_BOM[RM_Qty_Per_Batch]*IFERROR(INDEX(PP_Grid[#Data],M_BOM[PPGridRow],66),0))</f>
        <v/>
      </c>
      <c r="BO43">
        <f>SUMPRODUCT((M_BOM[Part Name]=$A43)*M_BOM[RM_Qty_Per_Batch]*IFERROR(INDEX(PP_Grid[#Data],M_BOM[PPGridRow],67),0))</f>
        <v/>
      </c>
      <c r="BP43">
        <f>SUMPRODUCT((M_BOM[Part Name]=$A43)*M_BOM[RM_Qty_Per_Batch]*IFERROR(INDEX(PP_Grid[#Data],M_BOM[PPGridRow],68),0))</f>
        <v/>
      </c>
      <c r="BQ43">
        <f>SUMPRODUCT((M_BOM[Part Name]=$A43)*M_BOM[RM_Qty_Per_Batch]*IFERROR(INDEX(PP_Grid[#Data],M_BOM[PPGridRow],69),0))</f>
        <v/>
      </c>
      <c r="BR43">
        <f>SUMPRODUCT((M_BOM[Part Name]=$A43)*M_BOM[RM_Qty_Per_Batch]*IFERROR(INDEX(PP_Grid[#Data],M_BOM[PPGridRow],70),0))</f>
        <v/>
      </c>
      <c r="BS43">
        <f>SUMPRODUCT((M_BOM[Part Name]=$A43)*M_BOM[RM_Qty_Per_Batch]*IFERROR(INDEX(PP_Grid[#Data],M_BOM[PPGridRow],71),0))</f>
        <v/>
      </c>
      <c r="BT43">
        <f>SUMPRODUCT((M_BOM[Part Name]=$A43)*M_BOM[RM_Qty_Per_Batch]*IFERROR(INDEX(PP_Grid[#Data],M_BOM[PPGridRow],72),0))</f>
        <v/>
      </c>
      <c r="BU43">
        <f>SUMPRODUCT((M_BOM[Part Name]=$A43)*M_BOM[RM_Qty_Per_Batch]*IFERROR(INDEX(PP_Grid[#Data],M_BOM[PPGridRow],73),0))</f>
        <v/>
      </c>
      <c r="BV43">
        <f>SUMPRODUCT((M_BOM[Part Name]=$A43)*M_BOM[RM_Qty_Per_Batch]*IFERROR(INDEX(PP_Grid[#Data],M_BOM[PPGridRow],74),0))</f>
        <v/>
      </c>
      <c r="BW43">
        <f>SUMPRODUCT((M_BOM[Part Name]=$A43)*M_BOM[RM_Qty_Per_Batch]*IFERROR(INDEX(PP_Grid[#Data],M_BOM[PPGridRow],75),0))</f>
        <v/>
      </c>
      <c r="BX43">
        <f>SUMPRODUCT((M_BOM[Part Name]=$A43)*M_BOM[RM_Qty_Per_Batch]*IFERROR(INDEX(PP_Grid[#Data],M_BOM[PPGridRow],76),0))</f>
        <v/>
      </c>
      <c r="BY43">
        <f>SUMPRODUCT((M_BOM[Part Name]=$A43)*M_BOM[RM_Qty_Per_Batch]*IFERROR(INDEX(PP_Grid[#Data],M_BOM[PPGridRow],77),0))</f>
        <v/>
      </c>
      <c r="BZ43">
        <f>SUMPRODUCT((M_BOM[Part Name]=$A43)*M_BOM[RM_Qty_Per_Batch]*IFERROR(INDEX(PP_Grid[#Data],M_BOM[PPGridRow],78),0))</f>
        <v/>
      </c>
      <c r="CA43">
        <f>SUMPRODUCT((M_BOM[Part Name]=$A43)*M_BOM[RM_Qty_Per_Batch]*IFERROR(INDEX(PP_Grid[#Data],M_BOM[PPGridRow],79),0))</f>
        <v/>
      </c>
      <c r="CB43">
        <f>SUMPRODUCT((M_BOM[Part Name]=$A43)*M_BOM[RM_Qty_Per_Batch]*IFERROR(INDEX(PP_Grid[#Data],M_BOM[PPGridRow],80),0))</f>
        <v/>
      </c>
      <c r="CC43">
        <f>SUMPRODUCT((M_BOM[Part Name]=$A43)*M_BOM[RM_Qty_Per_Batch]*IFERROR(INDEX(PP_Grid[#Data],M_BOM[PPGridRow],81),0))</f>
        <v/>
      </c>
      <c r="CD43">
        <f>SUMPRODUCT((M_BOM[Part Name]=$A43)*M_BOM[RM_Qty_Per_Batch]*IFERROR(INDEX(PP_Grid[#Data],M_BOM[PPGridRow],82),0))</f>
        <v/>
      </c>
      <c r="CE43">
        <f>SUMPRODUCT((M_BOM[Part Name]=$A43)*M_BOM[RM_Qty_Per_Batch]*IFERROR(INDEX(PP_Grid[#Data],M_BOM[PPGridRow],83),0))</f>
        <v/>
      </c>
      <c r="CF43">
        <f>SUMPRODUCT((M_BOM[Part Name]=$A43)*M_BOM[RM_Qty_Per_Batch]*IFERROR(INDEX(PP_Grid[#Data],M_BOM[PPGridRow],84),0))</f>
        <v/>
      </c>
      <c r="CG43">
        <f>SUMPRODUCT((M_BOM[Part Name]=$A43)*M_BOM[RM_Qty_Per_Batch]*IFERROR(INDEX(PP_Grid[#Data],M_BOM[PPGridRow],85),0))</f>
        <v/>
      </c>
      <c r="CH43">
        <f>SUMPRODUCT((M_BOM[Part Name]=$A43)*M_BOM[RM_Qty_Per_Batch]*IFERROR(INDEX(PP_Grid[#Data],M_BOM[PPGridRow],86),0))</f>
        <v/>
      </c>
      <c r="CI43">
        <f>SUMPRODUCT((M_BOM[Part Name]=$A43)*M_BOM[RM_Qty_Per_Batch]*IFERROR(INDEX(PP_Grid[#Data],M_BOM[PPGridRow],87),0))</f>
        <v/>
      </c>
      <c r="CJ43">
        <f>SUMPRODUCT((M_BOM[Part Name]=$A43)*M_BOM[RM_Qty_Per_Batch]*IFERROR(INDEX(PP_Grid[#Data],M_BOM[PPGridRow],88),0))</f>
        <v/>
      </c>
      <c r="CK43">
        <f>SUMPRODUCT((M_BOM[Part Name]=$A43)*M_BOM[RM_Qty_Per_Batch]*IFERROR(INDEX(PP_Grid[#Data],M_BOM[PPGridRow],89),0))</f>
        <v/>
      </c>
      <c r="CL43">
        <f>SUMPRODUCT((M_BOM[Part Name]=$A43)*M_BOM[RM_Qty_Per_Batch]*IFERROR(INDEX(PP_Grid[#Data],M_BOM[PPGridRow],90),0))</f>
        <v/>
      </c>
      <c r="CM43">
        <f>SUMPRODUCT((M_BOM[Part Name]=$A43)*M_BOM[RM_Qty_Per_Batch]*IFERROR(INDEX(PP_Grid[#Data],M_BOM[PPGridRow],91),0))</f>
        <v/>
      </c>
      <c r="CN43">
        <f>SUMPRODUCT((M_BOM[Part Name]=$A43)*M_BOM[RM_Qty_Per_Batch]*IFERROR(INDEX(PP_Grid[#Data],M_BOM[PPGridRow],92),0))</f>
        <v/>
      </c>
      <c r="CO43">
        <f>SUMPRODUCT((M_BOM[Part Name]=$A43)*M_BOM[RM_Qty_Per_Batch]*IFERROR(INDEX(PP_Grid[#Data],M_BOM[PPGridRow],93),0))</f>
        <v/>
      </c>
      <c r="CP43">
        <f>SUMPRODUCT((M_BOM[Part Name]=$A43)*M_BOM[RM_Qty_Per_Batch]*IFERROR(INDEX(PP_Grid[#Data],M_BOM[PPGridRow],94),0))</f>
        <v/>
      </c>
      <c r="CQ43">
        <f>SUMPRODUCT((M_BOM[Part Name]=$A43)*M_BOM[RM_Qty_Per_Batch]*IFERROR(INDEX(PP_Grid[#Data],M_BOM[PPGridRow],95),0))</f>
        <v/>
      </c>
      <c r="CR43">
        <f>SUMPRODUCT((M_BOM[Part Name]=$A43)*M_BOM[RM_Qty_Per_Batch]*IFERROR(INDEX(PP_Grid[#Data],M_BOM[PPGridRow],96),0))</f>
        <v/>
      </c>
      <c r="CS43">
        <f>SUMPRODUCT((M_BOM[Part Name]=$A43)*M_BOM[RM_Qty_Per_Batch]*IFERROR(INDEX(PP_Grid[#Data],M_BOM[PPGridRow],97),0))</f>
        <v/>
      </c>
      <c r="CT43">
        <f>SUMPRODUCT((M_BOM[Part Name]=$A43)*M_BOM[RM_Qty_Per_Batch]*IFERROR(INDEX(PP_Grid[#Data],M_BOM[PPGridRow],98),0))</f>
        <v/>
      </c>
      <c r="CU43">
        <f>SUMPRODUCT((M_BOM[Part Name]=$A43)*M_BOM[RM_Qty_Per_Batch]*IFERROR(INDEX(PP_Grid[#Data],M_BOM[PPGridRow],99),0))</f>
        <v/>
      </c>
      <c r="CV43">
        <f>SUMPRODUCT((M_BOM[Part Name]=$A43)*M_BOM[RM_Qty_Per_Batch]*IFERROR(INDEX(PP_Grid[#Data],M_BOM[PPGridRow],100),0))</f>
        <v/>
      </c>
      <c r="CW43">
        <f>SUMPRODUCT((M_BOM[Part Name]=$A43)*M_BOM[RM_Qty_Per_Batch]*IFERROR(INDEX(PP_Grid[#Data],M_BOM[PPGridRow],101),0))</f>
        <v/>
      </c>
      <c r="CX43">
        <f>SUMPRODUCT((M_BOM[Part Name]=$A43)*M_BOM[RM_Qty_Per_Batch]*IFERROR(INDEX(PP_Grid[#Data],M_BOM[PPGridRow],102),0))</f>
        <v/>
      </c>
      <c r="CY43">
        <f>SUMPRODUCT((M_BOM[Part Name]=$A43)*M_BOM[RM_Qty_Per_Batch]*IFERROR(INDEX(PP_Grid[#Data],M_BOM[PPGridRow],103),0))</f>
        <v/>
      </c>
      <c r="CZ43">
        <f>SUMPRODUCT((M_BOM[Part Name]=$A43)*M_BOM[RM_Qty_Per_Batch]*IFERROR(INDEX(PP_Grid[#Data],M_BOM[PPGridRow],104),0))</f>
        <v/>
      </c>
      <c r="DA43">
        <f>SUMPRODUCT((M_BOM[Part Name]=$A43)*M_BOM[RM_Qty_Per_Batch]*IFERROR(INDEX(PP_Grid[#Data],M_BOM[PPGridRow],105),0))</f>
        <v/>
      </c>
    </row>
    <row r="44">
      <c r="A44" t="inlineStr">
        <is>
          <t>3TP</t>
        </is>
      </c>
      <c r="B44">
        <f>SUMPRODUCT((M_BOM[Part Name]=$A44)*M_BOM[RM_Qty_Per_Batch]*IFERROR(INDEX(PP_Grid[#Data],M_BOM[PPGridRow],2),0))</f>
        <v/>
      </c>
      <c r="C44">
        <f>SUMPRODUCT((M_BOM[Part Name]=$A44)*M_BOM[RM_Qty_Per_Batch]*IFERROR(INDEX(PP_Grid[#Data],M_BOM[PPGridRow],3),0))</f>
        <v/>
      </c>
      <c r="D44">
        <f>SUMPRODUCT((M_BOM[Part Name]=$A44)*M_BOM[RM_Qty_Per_Batch]*IFERROR(INDEX(PP_Grid[#Data],M_BOM[PPGridRow],4),0))</f>
        <v/>
      </c>
      <c r="E44">
        <f>SUMPRODUCT((M_BOM[Part Name]=$A44)*M_BOM[RM_Qty_Per_Batch]*IFERROR(INDEX(PP_Grid[#Data],M_BOM[PPGridRow],5),0))</f>
        <v/>
      </c>
      <c r="F44">
        <f>SUMPRODUCT((M_BOM[Part Name]=$A44)*M_BOM[RM_Qty_Per_Batch]*IFERROR(INDEX(PP_Grid[#Data],M_BOM[PPGridRow],6),0))</f>
        <v/>
      </c>
      <c r="G44">
        <f>SUMPRODUCT((M_BOM[Part Name]=$A44)*M_BOM[RM_Qty_Per_Batch]*IFERROR(INDEX(PP_Grid[#Data],M_BOM[PPGridRow],7),0))</f>
        <v/>
      </c>
      <c r="H44">
        <f>SUMPRODUCT((M_BOM[Part Name]=$A44)*M_BOM[RM_Qty_Per_Batch]*IFERROR(INDEX(PP_Grid[#Data],M_BOM[PPGridRow],8),0))</f>
        <v/>
      </c>
      <c r="I44">
        <f>SUMPRODUCT((M_BOM[Part Name]=$A44)*M_BOM[RM_Qty_Per_Batch]*IFERROR(INDEX(PP_Grid[#Data],M_BOM[PPGridRow],9),0))</f>
        <v/>
      </c>
      <c r="J44">
        <f>SUMPRODUCT((M_BOM[Part Name]=$A44)*M_BOM[RM_Qty_Per_Batch]*IFERROR(INDEX(PP_Grid[#Data],M_BOM[PPGridRow],10),0))</f>
        <v/>
      </c>
      <c r="K44">
        <f>SUMPRODUCT((M_BOM[Part Name]=$A44)*M_BOM[RM_Qty_Per_Batch]*IFERROR(INDEX(PP_Grid[#Data],M_BOM[PPGridRow],11),0))</f>
        <v/>
      </c>
      <c r="L44">
        <f>SUMPRODUCT((M_BOM[Part Name]=$A44)*M_BOM[RM_Qty_Per_Batch]*IFERROR(INDEX(PP_Grid[#Data],M_BOM[PPGridRow],12),0))</f>
        <v/>
      </c>
      <c r="M44">
        <f>SUMPRODUCT((M_BOM[Part Name]=$A44)*M_BOM[RM_Qty_Per_Batch]*IFERROR(INDEX(PP_Grid[#Data],M_BOM[PPGridRow],13),0))</f>
        <v/>
      </c>
      <c r="N44">
        <f>SUMPRODUCT((M_BOM[Part Name]=$A44)*M_BOM[RM_Qty_Per_Batch]*IFERROR(INDEX(PP_Grid[#Data],M_BOM[PPGridRow],14),0))</f>
        <v/>
      </c>
      <c r="O44">
        <f>SUMPRODUCT((M_BOM[Part Name]=$A44)*M_BOM[RM_Qty_Per_Batch]*IFERROR(INDEX(PP_Grid[#Data],M_BOM[PPGridRow],15),0))</f>
        <v/>
      </c>
      <c r="P44">
        <f>SUMPRODUCT((M_BOM[Part Name]=$A44)*M_BOM[RM_Qty_Per_Batch]*IFERROR(INDEX(PP_Grid[#Data],M_BOM[PPGridRow],16),0))</f>
        <v/>
      </c>
      <c r="Q44">
        <f>SUMPRODUCT((M_BOM[Part Name]=$A44)*M_BOM[RM_Qty_Per_Batch]*IFERROR(INDEX(PP_Grid[#Data],M_BOM[PPGridRow],17),0))</f>
        <v/>
      </c>
      <c r="R44">
        <f>SUMPRODUCT((M_BOM[Part Name]=$A44)*M_BOM[RM_Qty_Per_Batch]*IFERROR(INDEX(PP_Grid[#Data],M_BOM[PPGridRow],18),0))</f>
        <v/>
      </c>
      <c r="S44">
        <f>SUMPRODUCT((M_BOM[Part Name]=$A44)*M_BOM[RM_Qty_Per_Batch]*IFERROR(INDEX(PP_Grid[#Data],M_BOM[PPGridRow],19),0))</f>
        <v/>
      </c>
      <c r="T44">
        <f>SUMPRODUCT((M_BOM[Part Name]=$A44)*M_BOM[RM_Qty_Per_Batch]*IFERROR(INDEX(PP_Grid[#Data],M_BOM[PPGridRow],20),0))</f>
        <v/>
      </c>
      <c r="U44">
        <f>SUMPRODUCT((M_BOM[Part Name]=$A44)*M_BOM[RM_Qty_Per_Batch]*IFERROR(INDEX(PP_Grid[#Data],M_BOM[PPGridRow],21),0))</f>
        <v/>
      </c>
      <c r="V44">
        <f>SUMPRODUCT((M_BOM[Part Name]=$A44)*M_BOM[RM_Qty_Per_Batch]*IFERROR(INDEX(PP_Grid[#Data],M_BOM[PPGridRow],22),0))</f>
        <v/>
      </c>
      <c r="W44">
        <f>SUMPRODUCT((M_BOM[Part Name]=$A44)*M_BOM[RM_Qty_Per_Batch]*IFERROR(INDEX(PP_Grid[#Data],M_BOM[PPGridRow],23),0))</f>
        <v/>
      </c>
      <c r="X44">
        <f>SUMPRODUCT((M_BOM[Part Name]=$A44)*M_BOM[RM_Qty_Per_Batch]*IFERROR(INDEX(PP_Grid[#Data],M_BOM[PPGridRow],24),0))</f>
        <v/>
      </c>
      <c r="Y44">
        <f>SUMPRODUCT((M_BOM[Part Name]=$A44)*M_BOM[RM_Qty_Per_Batch]*IFERROR(INDEX(PP_Grid[#Data],M_BOM[PPGridRow],25),0))</f>
        <v/>
      </c>
      <c r="Z44">
        <f>SUMPRODUCT((M_BOM[Part Name]=$A44)*M_BOM[RM_Qty_Per_Batch]*IFERROR(INDEX(PP_Grid[#Data],M_BOM[PPGridRow],26),0))</f>
        <v/>
      </c>
      <c r="AA44">
        <f>SUMPRODUCT((M_BOM[Part Name]=$A44)*M_BOM[RM_Qty_Per_Batch]*IFERROR(INDEX(PP_Grid[#Data],M_BOM[PPGridRow],27),0))</f>
        <v/>
      </c>
      <c r="AB44">
        <f>SUMPRODUCT((M_BOM[Part Name]=$A44)*M_BOM[RM_Qty_Per_Batch]*IFERROR(INDEX(PP_Grid[#Data],M_BOM[PPGridRow],28),0))</f>
        <v/>
      </c>
      <c r="AC44">
        <f>SUMPRODUCT((M_BOM[Part Name]=$A44)*M_BOM[RM_Qty_Per_Batch]*IFERROR(INDEX(PP_Grid[#Data],M_BOM[PPGridRow],29),0))</f>
        <v/>
      </c>
      <c r="AD44">
        <f>SUMPRODUCT((M_BOM[Part Name]=$A44)*M_BOM[RM_Qty_Per_Batch]*IFERROR(INDEX(PP_Grid[#Data],M_BOM[PPGridRow],30),0))</f>
        <v/>
      </c>
      <c r="AE44">
        <f>SUMPRODUCT((M_BOM[Part Name]=$A44)*M_BOM[RM_Qty_Per_Batch]*IFERROR(INDEX(PP_Grid[#Data],M_BOM[PPGridRow],31),0))</f>
        <v/>
      </c>
      <c r="AF44">
        <f>SUMPRODUCT((M_BOM[Part Name]=$A44)*M_BOM[RM_Qty_Per_Batch]*IFERROR(INDEX(PP_Grid[#Data],M_BOM[PPGridRow],32),0))</f>
        <v/>
      </c>
      <c r="AG44">
        <f>SUMPRODUCT((M_BOM[Part Name]=$A44)*M_BOM[RM_Qty_Per_Batch]*IFERROR(INDEX(PP_Grid[#Data],M_BOM[PPGridRow],33),0))</f>
        <v/>
      </c>
      <c r="AH44">
        <f>SUMPRODUCT((M_BOM[Part Name]=$A44)*M_BOM[RM_Qty_Per_Batch]*IFERROR(INDEX(PP_Grid[#Data],M_BOM[PPGridRow],34),0))</f>
        <v/>
      </c>
      <c r="AI44">
        <f>SUMPRODUCT((M_BOM[Part Name]=$A44)*M_BOM[RM_Qty_Per_Batch]*IFERROR(INDEX(PP_Grid[#Data],M_BOM[PPGridRow],35),0))</f>
        <v/>
      </c>
      <c r="AJ44">
        <f>SUMPRODUCT((M_BOM[Part Name]=$A44)*M_BOM[RM_Qty_Per_Batch]*IFERROR(INDEX(PP_Grid[#Data],M_BOM[PPGridRow],36),0))</f>
        <v/>
      </c>
      <c r="AK44">
        <f>SUMPRODUCT((M_BOM[Part Name]=$A44)*M_BOM[RM_Qty_Per_Batch]*IFERROR(INDEX(PP_Grid[#Data],M_BOM[PPGridRow],37),0))</f>
        <v/>
      </c>
      <c r="AL44">
        <f>SUMPRODUCT((M_BOM[Part Name]=$A44)*M_BOM[RM_Qty_Per_Batch]*IFERROR(INDEX(PP_Grid[#Data],M_BOM[PPGridRow],38),0))</f>
        <v/>
      </c>
      <c r="AM44">
        <f>SUMPRODUCT((M_BOM[Part Name]=$A44)*M_BOM[RM_Qty_Per_Batch]*IFERROR(INDEX(PP_Grid[#Data],M_BOM[PPGridRow],39),0))</f>
        <v/>
      </c>
      <c r="AN44">
        <f>SUMPRODUCT((M_BOM[Part Name]=$A44)*M_BOM[RM_Qty_Per_Batch]*IFERROR(INDEX(PP_Grid[#Data],M_BOM[PPGridRow],40),0))</f>
        <v/>
      </c>
      <c r="AO44">
        <f>SUMPRODUCT((M_BOM[Part Name]=$A44)*M_BOM[RM_Qty_Per_Batch]*IFERROR(INDEX(PP_Grid[#Data],M_BOM[PPGridRow],41),0))</f>
        <v/>
      </c>
      <c r="AP44">
        <f>SUMPRODUCT((M_BOM[Part Name]=$A44)*M_BOM[RM_Qty_Per_Batch]*IFERROR(INDEX(PP_Grid[#Data],M_BOM[PPGridRow],42),0))</f>
        <v/>
      </c>
      <c r="AQ44">
        <f>SUMPRODUCT((M_BOM[Part Name]=$A44)*M_BOM[RM_Qty_Per_Batch]*IFERROR(INDEX(PP_Grid[#Data],M_BOM[PPGridRow],43),0))</f>
        <v/>
      </c>
      <c r="AR44">
        <f>SUMPRODUCT((M_BOM[Part Name]=$A44)*M_BOM[RM_Qty_Per_Batch]*IFERROR(INDEX(PP_Grid[#Data],M_BOM[PPGridRow],44),0))</f>
        <v/>
      </c>
      <c r="AS44">
        <f>SUMPRODUCT((M_BOM[Part Name]=$A44)*M_BOM[RM_Qty_Per_Batch]*IFERROR(INDEX(PP_Grid[#Data],M_BOM[PPGridRow],45),0))</f>
        <v/>
      </c>
      <c r="AT44">
        <f>SUMPRODUCT((M_BOM[Part Name]=$A44)*M_BOM[RM_Qty_Per_Batch]*IFERROR(INDEX(PP_Grid[#Data],M_BOM[PPGridRow],46),0))</f>
        <v/>
      </c>
      <c r="AU44">
        <f>SUMPRODUCT((M_BOM[Part Name]=$A44)*M_BOM[RM_Qty_Per_Batch]*IFERROR(INDEX(PP_Grid[#Data],M_BOM[PPGridRow],47),0))</f>
        <v/>
      </c>
      <c r="AV44">
        <f>SUMPRODUCT((M_BOM[Part Name]=$A44)*M_BOM[RM_Qty_Per_Batch]*IFERROR(INDEX(PP_Grid[#Data],M_BOM[PPGridRow],48),0))</f>
        <v/>
      </c>
      <c r="AW44">
        <f>SUMPRODUCT((M_BOM[Part Name]=$A44)*M_BOM[RM_Qty_Per_Batch]*IFERROR(INDEX(PP_Grid[#Data],M_BOM[PPGridRow],49),0))</f>
        <v/>
      </c>
      <c r="AX44">
        <f>SUMPRODUCT((M_BOM[Part Name]=$A44)*M_BOM[RM_Qty_Per_Batch]*IFERROR(INDEX(PP_Grid[#Data],M_BOM[PPGridRow],50),0))</f>
        <v/>
      </c>
      <c r="AY44">
        <f>SUMPRODUCT((M_BOM[Part Name]=$A44)*M_BOM[RM_Qty_Per_Batch]*IFERROR(INDEX(PP_Grid[#Data],M_BOM[PPGridRow],51),0))</f>
        <v/>
      </c>
      <c r="AZ44">
        <f>SUMPRODUCT((M_BOM[Part Name]=$A44)*M_BOM[RM_Qty_Per_Batch]*IFERROR(INDEX(PP_Grid[#Data],M_BOM[PPGridRow],52),0))</f>
        <v/>
      </c>
      <c r="BA44">
        <f>SUMPRODUCT((M_BOM[Part Name]=$A44)*M_BOM[RM_Qty_Per_Batch]*IFERROR(INDEX(PP_Grid[#Data],M_BOM[PPGridRow],53),0))</f>
        <v/>
      </c>
      <c r="BB44">
        <f>SUMPRODUCT((M_BOM[Part Name]=$A44)*M_BOM[RM_Qty_Per_Batch]*IFERROR(INDEX(PP_Grid[#Data],M_BOM[PPGridRow],54),0))</f>
        <v/>
      </c>
      <c r="BC44">
        <f>SUMPRODUCT((M_BOM[Part Name]=$A44)*M_BOM[RM_Qty_Per_Batch]*IFERROR(INDEX(PP_Grid[#Data],M_BOM[PPGridRow],55),0))</f>
        <v/>
      </c>
      <c r="BD44">
        <f>SUMPRODUCT((M_BOM[Part Name]=$A44)*M_BOM[RM_Qty_Per_Batch]*IFERROR(INDEX(PP_Grid[#Data],M_BOM[PPGridRow],56),0))</f>
        <v/>
      </c>
      <c r="BE44">
        <f>SUMPRODUCT((M_BOM[Part Name]=$A44)*M_BOM[RM_Qty_Per_Batch]*IFERROR(INDEX(PP_Grid[#Data],M_BOM[PPGridRow],57),0))</f>
        <v/>
      </c>
      <c r="BF44">
        <f>SUMPRODUCT((M_BOM[Part Name]=$A44)*M_BOM[RM_Qty_Per_Batch]*IFERROR(INDEX(PP_Grid[#Data],M_BOM[PPGridRow],58),0))</f>
        <v/>
      </c>
      <c r="BG44">
        <f>SUMPRODUCT((M_BOM[Part Name]=$A44)*M_BOM[RM_Qty_Per_Batch]*IFERROR(INDEX(PP_Grid[#Data],M_BOM[PPGridRow],59),0))</f>
        <v/>
      </c>
      <c r="BH44">
        <f>SUMPRODUCT((M_BOM[Part Name]=$A44)*M_BOM[RM_Qty_Per_Batch]*IFERROR(INDEX(PP_Grid[#Data],M_BOM[PPGridRow],60),0))</f>
        <v/>
      </c>
      <c r="BI44">
        <f>SUMPRODUCT((M_BOM[Part Name]=$A44)*M_BOM[RM_Qty_Per_Batch]*IFERROR(INDEX(PP_Grid[#Data],M_BOM[PPGridRow],61),0))</f>
        <v/>
      </c>
      <c r="BJ44">
        <f>SUMPRODUCT((M_BOM[Part Name]=$A44)*M_BOM[RM_Qty_Per_Batch]*IFERROR(INDEX(PP_Grid[#Data],M_BOM[PPGridRow],62),0))</f>
        <v/>
      </c>
      <c r="BK44">
        <f>SUMPRODUCT((M_BOM[Part Name]=$A44)*M_BOM[RM_Qty_Per_Batch]*IFERROR(INDEX(PP_Grid[#Data],M_BOM[PPGridRow],63),0))</f>
        <v/>
      </c>
      <c r="BL44">
        <f>SUMPRODUCT((M_BOM[Part Name]=$A44)*M_BOM[RM_Qty_Per_Batch]*IFERROR(INDEX(PP_Grid[#Data],M_BOM[PPGridRow],64),0))</f>
        <v/>
      </c>
      <c r="BM44">
        <f>SUMPRODUCT((M_BOM[Part Name]=$A44)*M_BOM[RM_Qty_Per_Batch]*IFERROR(INDEX(PP_Grid[#Data],M_BOM[PPGridRow],65),0))</f>
        <v/>
      </c>
      <c r="BN44">
        <f>SUMPRODUCT((M_BOM[Part Name]=$A44)*M_BOM[RM_Qty_Per_Batch]*IFERROR(INDEX(PP_Grid[#Data],M_BOM[PPGridRow],66),0))</f>
        <v/>
      </c>
      <c r="BO44">
        <f>SUMPRODUCT((M_BOM[Part Name]=$A44)*M_BOM[RM_Qty_Per_Batch]*IFERROR(INDEX(PP_Grid[#Data],M_BOM[PPGridRow],67),0))</f>
        <v/>
      </c>
      <c r="BP44">
        <f>SUMPRODUCT((M_BOM[Part Name]=$A44)*M_BOM[RM_Qty_Per_Batch]*IFERROR(INDEX(PP_Grid[#Data],M_BOM[PPGridRow],68),0))</f>
        <v/>
      </c>
      <c r="BQ44">
        <f>SUMPRODUCT((M_BOM[Part Name]=$A44)*M_BOM[RM_Qty_Per_Batch]*IFERROR(INDEX(PP_Grid[#Data],M_BOM[PPGridRow],69),0))</f>
        <v/>
      </c>
      <c r="BR44">
        <f>SUMPRODUCT((M_BOM[Part Name]=$A44)*M_BOM[RM_Qty_Per_Batch]*IFERROR(INDEX(PP_Grid[#Data],M_BOM[PPGridRow],70),0))</f>
        <v/>
      </c>
      <c r="BS44">
        <f>SUMPRODUCT((M_BOM[Part Name]=$A44)*M_BOM[RM_Qty_Per_Batch]*IFERROR(INDEX(PP_Grid[#Data],M_BOM[PPGridRow],71),0))</f>
        <v/>
      </c>
      <c r="BT44">
        <f>SUMPRODUCT((M_BOM[Part Name]=$A44)*M_BOM[RM_Qty_Per_Batch]*IFERROR(INDEX(PP_Grid[#Data],M_BOM[PPGridRow],72),0))</f>
        <v/>
      </c>
      <c r="BU44">
        <f>SUMPRODUCT((M_BOM[Part Name]=$A44)*M_BOM[RM_Qty_Per_Batch]*IFERROR(INDEX(PP_Grid[#Data],M_BOM[PPGridRow],73),0))</f>
        <v/>
      </c>
      <c r="BV44">
        <f>SUMPRODUCT((M_BOM[Part Name]=$A44)*M_BOM[RM_Qty_Per_Batch]*IFERROR(INDEX(PP_Grid[#Data],M_BOM[PPGridRow],74),0))</f>
        <v/>
      </c>
      <c r="BW44">
        <f>SUMPRODUCT((M_BOM[Part Name]=$A44)*M_BOM[RM_Qty_Per_Batch]*IFERROR(INDEX(PP_Grid[#Data],M_BOM[PPGridRow],75),0))</f>
        <v/>
      </c>
      <c r="BX44">
        <f>SUMPRODUCT((M_BOM[Part Name]=$A44)*M_BOM[RM_Qty_Per_Batch]*IFERROR(INDEX(PP_Grid[#Data],M_BOM[PPGridRow],76),0))</f>
        <v/>
      </c>
      <c r="BY44">
        <f>SUMPRODUCT((M_BOM[Part Name]=$A44)*M_BOM[RM_Qty_Per_Batch]*IFERROR(INDEX(PP_Grid[#Data],M_BOM[PPGridRow],77),0))</f>
        <v/>
      </c>
      <c r="BZ44">
        <f>SUMPRODUCT((M_BOM[Part Name]=$A44)*M_BOM[RM_Qty_Per_Batch]*IFERROR(INDEX(PP_Grid[#Data],M_BOM[PPGridRow],78),0))</f>
        <v/>
      </c>
      <c r="CA44">
        <f>SUMPRODUCT((M_BOM[Part Name]=$A44)*M_BOM[RM_Qty_Per_Batch]*IFERROR(INDEX(PP_Grid[#Data],M_BOM[PPGridRow],79),0))</f>
        <v/>
      </c>
      <c r="CB44">
        <f>SUMPRODUCT((M_BOM[Part Name]=$A44)*M_BOM[RM_Qty_Per_Batch]*IFERROR(INDEX(PP_Grid[#Data],M_BOM[PPGridRow],80),0))</f>
        <v/>
      </c>
      <c r="CC44">
        <f>SUMPRODUCT((M_BOM[Part Name]=$A44)*M_BOM[RM_Qty_Per_Batch]*IFERROR(INDEX(PP_Grid[#Data],M_BOM[PPGridRow],81),0))</f>
        <v/>
      </c>
      <c r="CD44">
        <f>SUMPRODUCT((M_BOM[Part Name]=$A44)*M_BOM[RM_Qty_Per_Batch]*IFERROR(INDEX(PP_Grid[#Data],M_BOM[PPGridRow],82),0))</f>
        <v/>
      </c>
      <c r="CE44">
        <f>SUMPRODUCT((M_BOM[Part Name]=$A44)*M_BOM[RM_Qty_Per_Batch]*IFERROR(INDEX(PP_Grid[#Data],M_BOM[PPGridRow],83),0))</f>
        <v/>
      </c>
      <c r="CF44">
        <f>SUMPRODUCT((M_BOM[Part Name]=$A44)*M_BOM[RM_Qty_Per_Batch]*IFERROR(INDEX(PP_Grid[#Data],M_BOM[PPGridRow],84),0))</f>
        <v/>
      </c>
      <c r="CG44">
        <f>SUMPRODUCT((M_BOM[Part Name]=$A44)*M_BOM[RM_Qty_Per_Batch]*IFERROR(INDEX(PP_Grid[#Data],M_BOM[PPGridRow],85),0))</f>
        <v/>
      </c>
      <c r="CH44">
        <f>SUMPRODUCT((M_BOM[Part Name]=$A44)*M_BOM[RM_Qty_Per_Batch]*IFERROR(INDEX(PP_Grid[#Data],M_BOM[PPGridRow],86),0))</f>
        <v/>
      </c>
      <c r="CI44">
        <f>SUMPRODUCT((M_BOM[Part Name]=$A44)*M_BOM[RM_Qty_Per_Batch]*IFERROR(INDEX(PP_Grid[#Data],M_BOM[PPGridRow],87),0))</f>
        <v/>
      </c>
      <c r="CJ44">
        <f>SUMPRODUCT((M_BOM[Part Name]=$A44)*M_BOM[RM_Qty_Per_Batch]*IFERROR(INDEX(PP_Grid[#Data],M_BOM[PPGridRow],88),0))</f>
        <v/>
      </c>
      <c r="CK44">
        <f>SUMPRODUCT((M_BOM[Part Name]=$A44)*M_BOM[RM_Qty_Per_Batch]*IFERROR(INDEX(PP_Grid[#Data],M_BOM[PPGridRow],89),0))</f>
        <v/>
      </c>
      <c r="CL44">
        <f>SUMPRODUCT((M_BOM[Part Name]=$A44)*M_BOM[RM_Qty_Per_Batch]*IFERROR(INDEX(PP_Grid[#Data],M_BOM[PPGridRow],90),0))</f>
        <v/>
      </c>
      <c r="CM44">
        <f>SUMPRODUCT((M_BOM[Part Name]=$A44)*M_BOM[RM_Qty_Per_Batch]*IFERROR(INDEX(PP_Grid[#Data],M_BOM[PPGridRow],91),0))</f>
        <v/>
      </c>
      <c r="CN44">
        <f>SUMPRODUCT((M_BOM[Part Name]=$A44)*M_BOM[RM_Qty_Per_Batch]*IFERROR(INDEX(PP_Grid[#Data],M_BOM[PPGridRow],92),0))</f>
        <v/>
      </c>
      <c r="CO44">
        <f>SUMPRODUCT((M_BOM[Part Name]=$A44)*M_BOM[RM_Qty_Per_Batch]*IFERROR(INDEX(PP_Grid[#Data],M_BOM[PPGridRow],93),0))</f>
        <v/>
      </c>
      <c r="CP44">
        <f>SUMPRODUCT((M_BOM[Part Name]=$A44)*M_BOM[RM_Qty_Per_Batch]*IFERROR(INDEX(PP_Grid[#Data],M_BOM[PPGridRow],94),0))</f>
        <v/>
      </c>
      <c r="CQ44">
        <f>SUMPRODUCT((M_BOM[Part Name]=$A44)*M_BOM[RM_Qty_Per_Batch]*IFERROR(INDEX(PP_Grid[#Data],M_BOM[PPGridRow],95),0))</f>
        <v/>
      </c>
      <c r="CR44">
        <f>SUMPRODUCT((M_BOM[Part Name]=$A44)*M_BOM[RM_Qty_Per_Batch]*IFERROR(INDEX(PP_Grid[#Data],M_BOM[PPGridRow],96),0))</f>
        <v/>
      </c>
      <c r="CS44">
        <f>SUMPRODUCT((M_BOM[Part Name]=$A44)*M_BOM[RM_Qty_Per_Batch]*IFERROR(INDEX(PP_Grid[#Data],M_BOM[PPGridRow],97),0))</f>
        <v/>
      </c>
      <c r="CT44">
        <f>SUMPRODUCT((M_BOM[Part Name]=$A44)*M_BOM[RM_Qty_Per_Batch]*IFERROR(INDEX(PP_Grid[#Data],M_BOM[PPGridRow],98),0))</f>
        <v/>
      </c>
      <c r="CU44">
        <f>SUMPRODUCT((M_BOM[Part Name]=$A44)*M_BOM[RM_Qty_Per_Batch]*IFERROR(INDEX(PP_Grid[#Data],M_BOM[PPGridRow],99),0))</f>
        <v/>
      </c>
      <c r="CV44">
        <f>SUMPRODUCT((M_BOM[Part Name]=$A44)*M_BOM[RM_Qty_Per_Batch]*IFERROR(INDEX(PP_Grid[#Data],M_BOM[PPGridRow],100),0))</f>
        <v/>
      </c>
      <c r="CW44">
        <f>SUMPRODUCT((M_BOM[Part Name]=$A44)*M_BOM[RM_Qty_Per_Batch]*IFERROR(INDEX(PP_Grid[#Data],M_BOM[PPGridRow],101),0))</f>
        <v/>
      </c>
      <c r="CX44">
        <f>SUMPRODUCT((M_BOM[Part Name]=$A44)*M_BOM[RM_Qty_Per_Batch]*IFERROR(INDEX(PP_Grid[#Data],M_BOM[PPGridRow],102),0))</f>
        <v/>
      </c>
      <c r="CY44">
        <f>SUMPRODUCT((M_BOM[Part Name]=$A44)*M_BOM[RM_Qty_Per_Batch]*IFERROR(INDEX(PP_Grid[#Data],M_BOM[PPGridRow],103),0))</f>
        <v/>
      </c>
      <c r="CZ44">
        <f>SUMPRODUCT((M_BOM[Part Name]=$A44)*M_BOM[RM_Qty_Per_Batch]*IFERROR(INDEX(PP_Grid[#Data],M_BOM[PPGridRow],104),0))</f>
        <v/>
      </c>
      <c r="DA44">
        <f>SUMPRODUCT((M_BOM[Part Name]=$A44)*M_BOM[RM_Qty_Per_Batch]*IFERROR(INDEX(PP_Grid[#Data],M_BOM[PPGridRow],105),0))</f>
        <v/>
      </c>
    </row>
    <row r="45">
      <c r="A45" t="inlineStr">
        <is>
          <t>A043</t>
        </is>
      </c>
      <c r="B45">
        <f>SUMPRODUCT((M_BOM[Part Name]=$A45)*M_BOM[RM_Qty_Per_Batch]*IFERROR(INDEX(PP_Grid[#Data],M_BOM[PPGridRow],2),0))</f>
        <v/>
      </c>
      <c r="C45">
        <f>SUMPRODUCT((M_BOM[Part Name]=$A45)*M_BOM[RM_Qty_Per_Batch]*IFERROR(INDEX(PP_Grid[#Data],M_BOM[PPGridRow],3),0))</f>
        <v/>
      </c>
      <c r="D45">
        <f>SUMPRODUCT((M_BOM[Part Name]=$A45)*M_BOM[RM_Qty_Per_Batch]*IFERROR(INDEX(PP_Grid[#Data],M_BOM[PPGridRow],4),0))</f>
        <v/>
      </c>
      <c r="E45">
        <f>SUMPRODUCT((M_BOM[Part Name]=$A45)*M_BOM[RM_Qty_Per_Batch]*IFERROR(INDEX(PP_Grid[#Data],M_BOM[PPGridRow],5),0))</f>
        <v/>
      </c>
      <c r="F45">
        <f>SUMPRODUCT((M_BOM[Part Name]=$A45)*M_BOM[RM_Qty_Per_Batch]*IFERROR(INDEX(PP_Grid[#Data],M_BOM[PPGridRow],6),0))</f>
        <v/>
      </c>
      <c r="G45">
        <f>SUMPRODUCT((M_BOM[Part Name]=$A45)*M_BOM[RM_Qty_Per_Batch]*IFERROR(INDEX(PP_Grid[#Data],M_BOM[PPGridRow],7),0))</f>
        <v/>
      </c>
      <c r="H45">
        <f>SUMPRODUCT((M_BOM[Part Name]=$A45)*M_BOM[RM_Qty_Per_Batch]*IFERROR(INDEX(PP_Grid[#Data],M_BOM[PPGridRow],8),0))</f>
        <v/>
      </c>
      <c r="I45">
        <f>SUMPRODUCT((M_BOM[Part Name]=$A45)*M_BOM[RM_Qty_Per_Batch]*IFERROR(INDEX(PP_Grid[#Data],M_BOM[PPGridRow],9),0))</f>
        <v/>
      </c>
      <c r="J45">
        <f>SUMPRODUCT((M_BOM[Part Name]=$A45)*M_BOM[RM_Qty_Per_Batch]*IFERROR(INDEX(PP_Grid[#Data],M_BOM[PPGridRow],10),0))</f>
        <v/>
      </c>
      <c r="K45">
        <f>SUMPRODUCT((M_BOM[Part Name]=$A45)*M_BOM[RM_Qty_Per_Batch]*IFERROR(INDEX(PP_Grid[#Data],M_BOM[PPGridRow],11),0))</f>
        <v/>
      </c>
      <c r="L45">
        <f>SUMPRODUCT((M_BOM[Part Name]=$A45)*M_BOM[RM_Qty_Per_Batch]*IFERROR(INDEX(PP_Grid[#Data],M_BOM[PPGridRow],12),0))</f>
        <v/>
      </c>
      <c r="M45">
        <f>SUMPRODUCT((M_BOM[Part Name]=$A45)*M_BOM[RM_Qty_Per_Batch]*IFERROR(INDEX(PP_Grid[#Data],M_BOM[PPGridRow],13),0))</f>
        <v/>
      </c>
      <c r="N45">
        <f>SUMPRODUCT((M_BOM[Part Name]=$A45)*M_BOM[RM_Qty_Per_Batch]*IFERROR(INDEX(PP_Grid[#Data],M_BOM[PPGridRow],14),0))</f>
        <v/>
      </c>
      <c r="O45">
        <f>SUMPRODUCT((M_BOM[Part Name]=$A45)*M_BOM[RM_Qty_Per_Batch]*IFERROR(INDEX(PP_Grid[#Data],M_BOM[PPGridRow],15),0))</f>
        <v/>
      </c>
      <c r="P45">
        <f>SUMPRODUCT((M_BOM[Part Name]=$A45)*M_BOM[RM_Qty_Per_Batch]*IFERROR(INDEX(PP_Grid[#Data],M_BOM[PPGridRow],16),0))</f>
        <v/>
      </c>
      <c r="Q45">
        <f>SUMPRODUCT((M_BOM[Part Name]=$A45)*M_BOM[RM_Qty_Per_Batch]*IFERROR(INDEX(PP_Grid[#Data],M_BOM[PPGridRow],17),0))</f>
        <v/>
      </c>
      <c r="R45">
        <f>SUMPRODUCT((M_BOM[Part Name]=$A45)*M_BOM[RM_Qty_Per_Batch]*IFERROR(INDEX(PP_Grid[#Data],M_BOM[PPGridRow],18),0))</f>
        <v/>
      </c>
      <c r="S45">
        <f>SUMPRODUCT((M_BOM[Part Name]=$A45)*M_BOM[RM_Qty_Per_Batch]*IFERROR(INDEX(PP_Grid[#Data],M_BOM[PPGridRow],19),0))</f>
        <v/>
      </c>
      <c r="T45">
        <f>SUMPRODUCT((M_BOM[Part Name]=$A45)*M_BOM[RM_Qty_Per_Batch]*IFERROR(INDEX(PP_Grid[#Data],M_BOM[PPGridRow],20),0))</f>
        <v/>
      </c>
      <c r="U45">
        <f>SUMPRODUCT((M_BOM[Part Name]=$A45)*M_BOM[RM_Qty_Per_Batch]*IFERROR(INDEX(PP_Grid[#Data],M_BOM[PPGridRow],21),0))</f>
        <v/>
      </c>
      <c r="V45">
        <f>SUMPRODUCT((M_BOM[Part Name]=$A45)*M_BOM[RM_Qty_Per_Batch]*IFERROR(INDEX(PP_Grid[#Data],M_BOM[PPGridRow],22),0))</f>
        <v/>
      </c>
      <c r="W45">
        <f>SUMPRODUCT((M_BOM[Part Name]=$A45)*M_BOM[RM_Qty_Per_Batch]*IFERROR(INDEX(PP_Grid[#Data],M_BOM[PPGridRow],23),0))</f>
        <v/>
      </c>
      <c r="X45">
        <f>SUMPRODUCT((M_BOM[Part Name]=$A45)*M_BOM[RM_Qty_Per_Batch]*IFERROR(INDEX(PP_Grid[#Data],M_BOM[PPGridRow],24),0))</f>
        <v/>
      </c>
      <c r="Y45">
        <f>SUMPRODUCT((M_BOM[Part Name]=$A45)*M_BOM[RM_Qty_Per_Batch]*IFERROR(INDEX(PP_Grid[#Data],M_BOM[PPGridRow],25),0))</f>
        <v/>
      </c>
      <c r="Z45">
        <f>SUMPRODUCT((M_BOM[Part Name]=$A45)*M_BOM[RM_Qty_Per_Batch]*IFERROR(INDEX(PP_Grid[#Data],M_BOM[PPGridRow],26),0))</f>
        <v/>
      </c>
      <c r="AA45">
        <f>SUMPRODUCT((M_BOM[Part Name]=$A45)*M_BOM[RM_Qty_Per_Batch]*IFERROR(INDEX(PP_Grid[#Data],M_BOM[PPGridRow],27),0))</f>
        <v/>
      </c>
      <c r="AB45">
        <f>SUMPRODUCT((M_BOM[Part Name]=$A45)*M_BOM[RM_Qty_Per_Batch]*IFERROR(INDEX(PP_Grid[#Data],M_BOM[PPGridRow],28),0))</f>
        <v/>
      </c>
      <c r="AC45">
        <f>SUMPRODUCT((M_BOM[Part Name]=$A45)*M_BOM[RM_Qty_Per_Batch]*IFERROR(INDEX(PP_Grid[#Data],M_BOM[PPGridRow],29),0))</f>
        <v/>
      </c>
      <c r="AD45">
        <f>SUMPRODUCT((M_BOM[Part Name]=$A45)*M_BOM[RM_Qty_Per_Batch]*IFERROR(INDEX(PP_Grid[#Data],M_BOM[PPGridRow],30),0))</f>
        <v/>
      </c>
      <c r="AE45">
        <f>SUMPRODUCT((M_BOM[Part Name]=$A45)*M_BOM[RM_Qty_Per_Batch]*IFERROR(INDEX(PP_Grid[#Data],M_BOM[PPGridRow],31),0))</f>
        <v/>
      </c>
      <c r="AF45">
        <f>SUMPRODUCT((M_BOM[Part Name]=$A45)*M_BOM[RM_Qty_Per_Batch]*IFERROR(INDEX(PP_Grid[#Data],M_BOM[PPGridRow],32),0))</f>
        <v/>
      </c>
      <c r="AG45">
        <f>SUMPRODUCT((M_BOM[Part Name]=$A45)*M_BOM[RM_Qty_Per_Batch]*IFERROR(INDEX(PP_Grid[#Data],M_BOM[PPGridRow],33),0))</f>
        <v/>
      </c>
      <c r="AH45">
        <f>SUMPRODUCT((M_BOM[Part Name]=$A45)*M_BOM[RM_Qty_Per_Batch]*IFERROR(INDEX(PP_Grid[#Data],M_BOM[PPGridRow],34),0))</f>
        <v/>
      </c>
      <c r="AI45">
        <f>SUMPRODUCT((M_BOM[Part Name]=$A45)*M_BOM[RM_Qty_Per_Batch]*IFERROR(INDEX(PP_Grid[#Data],M_BOM[PPGridRow],35),0))</f>
        <v/>
      </c>
      <c r="AJ45">
        <f>SUMPRODUCT((M_BOM[Part Name]=$A45)*M_BOM[RM_Qty_Per_Batch]*IFERROR(INDEX(PP_Grid[#Data],M_BOM[PPGridRow],36),0))</f>
        <v/>
      </c>
      <c r="AK45">
        <f>SUMPRODUCT((M_BOM[Part Name]=$A45)*M_BOM[RM_Qty_Per_Batch]*IFERROR(INDEX(PP_Grid[#Data],M_BOM[PPGridRow],37),0))</f>
        <v/>
      </c>
      <c r="AL45">
        <f>SUMPRODUCT((M_BOM[Part Name]=$A45)*M_BOM[RM_Qty_Per_Batch]*IFERROR(INDEX(PP_Grid[#Data],M_BOM[PPGridRow],38),0))</f>
        <v/>
      </c>
      <c r="AM45">
        <f>SUMPRODUCT((M_BOM[Part Name]=$A45)*M_BOM[RM_Qty_Per_Batch]*IFERROR(INDEX(PP_Grid[#Data],M_BOM[PPGridRow],39),0))</f>
        <v/>
      </c>
      <c r="AN45">
        <f>SUMPRODUCT((M_BOM[Part Name]=$A45)*M_BOM[RM_Qty_Per_Batch]*IFERROR(INDEX(PP_Grid[#Data],M_BOM[PPGridRow],40),0))</f>
        <v/>
      </c>
      <c r="AO45">
        <f>SUMPRODUCT((M_BOM[Part Name]=$A45)*M_BOM[RM_Qty_Per_Batch]*IFERROR(INDEX(PP_Grid[#Data],M_BOM[PPGridRow],41),0))</f>
        <v/>
      </c>
      <c r="AP45">
        <f>SUMPRODUCT((M_BOM[Part Name]=$A45)*M_BOM[RM_Qty_Per_Batch]*IFERROR(INDEX(PP_Grid[#Data],M_BOM[PPGridRow],42),0))</f>
        <v/>
      </c>
      <c r="AQ45">
        <f>SUMPRODUCT((M_BOM[Part Name]=$A45)*M_BOM[RM_Qty_Per_Batch]*IFERROR(INDEX(PP_Grid[#Data],M_BOM[PPGridRow],43),0))</f>
        <v/>
      </c>
      <c r="AR45">
        <f>SUMPRODUCT((M_BOM[Part Name]=$A45)*M_BOM[RM_Qty_Per_Batch]*IFERROR(INDEX(PP_Grid[#Data],M_BOM[PPGridRow],44),0))</f>
        <v/>
      </c>
      <c r="AS45">
        <f>SUMPRODUCT((M_BOM[Part Name]=$A45)*M_BOM[RM_Qty_Per_Batch]*IFERROR(INDEX(PP_Grid[#Data],M_BOM[PPGridRow],45),0))</f>
        <v/>
      </c>
      <c r="AT45">
        <f>SUMPRODUCT((M_BOM[Part Name]=$A45)*M_BOM[RM_Qty_Per_Batch]*IFERROR(INDEX(PP_Grid[#Data],M_BOM[PPGridRow],46),0))</f>
        <v/>
      </c>
      <c r="AU45">
        <f>SUMPRODUCT((M_BOM[Part Name]=$A45)*M_BOM[RM_Qty_Per_Batch]*IFERROR(INDEX(PP_Grid[#Data],M_BOM[PPGridRow],47),0))</f>
        <v/>
      </c>
      <c r="AV45">
        <f>SUMPRODUCT((M_BOM[Part Name]=$A45)*M_BOM[RM_Qty_Per_Batch]*IFERROR(INDEX(PP_Grid[#Data],M_BOM[PPGridRow],48),0))</f>
        <v/>
      </c>
      <c r="AW45">
        <f>SUMPRODUCT((M_BOM[Part Name]=$A45)*M_BOM[RM_Qty_Per_Batch]*IFERROR(INDEX(PP_Grid[#Data],M_BOM[PPGridRow],49),0))</f>
        <v/>
      </c>
      <c r="AX45">
        <f>SUMPRODUCT((M_BOM[Part Name]=$A45)*M_BOM[RM_Qty_Per_Batch]*IFERROR(INDEX(PP_Grid[#Data],M_BOM[PPGridRow],50),0))</f>
        <v/>
      </c>
      <c r="AY45">
        <f>SUMPRODUCT((M_BOM[Part Name]=$A45)*M_BOM[RM_Qty_Per_Batch]*IFERROR(INDEX(PP_Grid[#Data],M_BOM[PPGridRow],51),0))</f>
        <v/>
      </c>
      <c r="AZ45">
        <f>SUMPRODUCT((M_BOM[Part Name]=$A45)*M_BOM[RM_Qty_Per_Batch]*IFERROR(INDEX(PP_Grid[#Data],M_BOM[PPGridRow],52),0))</f>
        <v/>
      </c>
      <c r="BA45">
        <f>SUMPRODUCT((M_BOM[Part Name]=$A45)*M_BOM[RM_Qty_Per_Batch]*IFERROR(INDEX(PP_Grid[#Data],M_BOM[PPGridRow],53),0))</f>
        <v/>
      </c>
      <c r="BB45">
        <f>SUMPRODUCT((M_BOM[Part Name]=$A45)*M_BOM[RM_Qty_Per_Batch]*IFERROR(INDEX(PP_Grid[#Data],M_BOM[PPGridRow],54),0))</f>
        <v/>
      </c>
      <c r="BC45">
        <f>SUMPRODUCT((M_BOM[Part Name]=$A45)*M_BOM[RM_Qty_Per_Batch]*IFERROR(INDEX(PP_Grid[#Data],M_BOM[PPGridRow],55),0))</f>
        <v/>
      </c>
      <c r="BD45">
        <f>SUMPRODUCT((M_BOM[Part Name]=$A45)*M_BOM[RM_Qty_Per_Batch]*IFERROR(INDEX(PP_Grid[#Data],M_BOM[PPGridRow],56),0))</f>
        <v/>
      </c>
      <c r="BE45">
        <f>SUMPRODUCT((M_BOM[Part Name]=$A45)*M_BOM[RM_Qty_Per_Batch]*IFERROR(INDEX(PP_Grid[#Data],M_BOM[PPGridRow],57),0))</f>
        <v/>
      </c>
      <c r="BF45">
        <f>SUMPRODUCT((M_BOM[Part Name]=$A45)*M_BOM[RM_Qty_Per_Batch]*IFERROR(INDEX(PP_Grid[#Data],M_BOM[PPGridRow],58),0))</f>
        <v/>
      </c>
      <c r="BG45">
        <f>SUMPRODUCT((M_BOM[Part Name]=$A45)*M_BOM[RM_Qty_Per_Batch]*IFERROR(INDEX(PP_Grid[#Data],M_BOM[PPGridRow],59),0))</f>
        <v/>
      </c>
      <c r="BH45">
        <f>SUMPRODUCT((M_BOM[Part Name]=$A45)*M_BOM[RM_Qty_Per_Batch]*IFERROR(INDEX(PP_Grid[#Data],M_BOM[PPGridRow],60),0))</f>
        <v/>
      </c>
      <c r="BI45">
        <f>SUMPRODUCT((M_BOM[Part Name]=$A45)*M_BOM[RM_Qty_Per_Batch]*IFERROR(INDEX(PP_Grid[#Data],M_BOM[PPGridRow],61),0))</f>
        <v/>
      </c>
      <c r="BJ45">
        <f>SUMPRODUCT((M_BOM[Part Name]=$A45)*M_BOM[RM_Qty_Per_Batch]*IFERROR(INDEX(PP_Grid[#Data],M_BOM[PPGridRow],62),0))</f>
        <v/>
      </c>
      <c r="BK45">
        <f>SUMPRODUCT((M_BOM[Part Name]=$A45)*M_BOM[RM_Qty_Per_Batch]*IFERROR(INDEX(PP_Grid[#Data],M_BOM[PPGridRow],63),0))</f>
        <v/>
      </c>
      <c r="BL45">
        <f>SUMPRODUCT((M_BOM[Part Name]=$A45)*M_BOM[RM_Qty_Per_Batch]*IFERROR(INDEX(PP_Grid[#Data],M_BOM[PPGridRow],64),0))</f>
        <v/>
      </c>
      <c r="BM45">
        <f>SUMPRODUCT((M_BOM[Part Name]=$A45)*M_BOM[RM_Qty_Per_Batch]*IFERROR(INDEX(PP_Grid[#Data],M_BOM[PPGridRow],65),0))</f>
        <v/>
      </c>
      <c r="BN45">
        <f>SUMPRODUCT((M_BOM[Part Name]=$A45)*M_BOM[RM_Qty_Per_Batch]*IFERROR(INDEX(PP_Grid[#Data],M_BOM[PPGridRow],66),0))</f>
        <v/>
      </c>
      <c r="BO45">
        <f>SUMPRODUCT((M_BOM[Part Name]=$A45)*M_BOM[RM_Qty_Per_Batch]*IFERROR(INDEX(PP_Grid[#Data],M_BOM[PPGridRow],67),0))</f>
        <v/>
      </c>
      <c r="BP45">
        <f>SUMPRODUCT((M_BOM[Part Name]=$A45)*M_BOM[RM_Qty_Per_Batch]*IFERROR(INDEX(PP_Grid[#Data],M_BOM[PPGridRow],68),0))</f>
        <v/>
      </c>
      <c r="BQ45">
        <f>SUMPRODUCT((M_BOM[Part Name]=$A45)*M_BOM[RM_Qty_Per_Batch]*IFERROR(INDEX(PP_Grid[#Data],M_BOM[PPGridRow],69),0))</f>
        <v/>
      </c>
      <c r="BR45">
        <f>SUMPRODUCT((M_BOM[Part Name]=$A45)*M_BOM[RM_Qty_Per_Batch]*IFERROR(INDEX(PP_Grid[#Data],M_BOM[PPGridRow],70),0))</f>
        <v/>
      </c>
      <c r="BS45">
        <f>SUMPRODUCT((M_BOM[Part Name]=$A45)*M_BOM[RM_Qty_Per_Batch]*IFERROR(INDEX(PP_Grid[#Data],M_BOM[PPGridRow],71),0))</f>
        <v/>
      </c>
      <c r="BT45">
        <f>SUMPRODUCT((M_BOM[Part Name]=$A45)*M_BOM[RM_Qty_Per_Batch]*IFERROR(INDEX(PP_Grid[#Data],M_BOM[PPGridRow],72),0))</f>
        <v/>
      </c>
      <c r="BU45">
        <f>SUMPRODUCT((M_BOM[Part Name]=$A45)*M_BOM[RM_Qty_Per_Batch]*IFERROR(INDEX(PP_Grid[#Data],M_BOM[PPGridRow],73),0))</f>
        <v/>
      </c>
      <c r="BV45">
        <f>SUMPRODUCT((M_BOM[Part Name]=$A45)*M_BOM[RM_Qty_Per_Batch]*IFERROR(INDEX(PP_Grid[#Data],M_BOM[PPGridRow],74),0))</f>
        <v/>
      </c>
      <c r="BW45">
        <f>SUMPRODUCT((M_BOM[Part Name]=$A45)*M_BOM[RM_Qty_Per_Batch]*IFERROR(INDEX(PP_Grid[#Data],M_BOM[PPGridRow],75),0))</f>
        <v/>
      </c>
      <c r="BX45">
        <f>SUMPRODUCT((M_BOM[Part Name]=$A45)*M_BOM[RM_Qty_Per_Batch]*IFERROR(INDEX(PP_Grid[#Data],M_BOM[PPGridRow],76),0))</f>
        <v/>
      </c>
      <c r="BY45">
        <f>SUMPRODUCT((M_BOM[Part Name]=$A45)*M_BOM[RM_Qty_Per_Batch]*IFERROR(INDEX(PP_Grid[#Data],M_BOM[PPGridRow],77),0))</f>
        <v/>
      </c>
      <c r="BZ45">
        <f>SUMPRODUCT((M_BOM[Part Name]=$A45)*M_BOM[RM_Qty_Per_Batch]*IFERROR(INDEX(PP_Grid[#Data],M_BOM[PPGridRow],78),0))</f>
        <v/>
      </c>
      <c r="CA45">
        <f>SUMPRODUCT((M_BOM[Part Name]=$A45)*M_BOM[RM_Qty_Per_Batch]*IFERROR(INDEX(PP_Grid[#Data],M_BOM[PPGridRow],79),0))</f>
        <v/>
      </c>
      <c r="CB45">
        <f>SUMPRODUCT((M_BOM[Part Name]=$A45)*M_BOM[RM_Qty_Per_Batch]*IFERROR(INDEX(PP_Grid[#Data],M_BOM[PPGridRow],80),0))</f>
        <v/>
      </c>
      <c r="CC45">
        <f>SUMPRODUCT((M_BOM[Part Name]=$A45)*M_BOM[RM_Qty_Per_Batch]*IFERROR(INDEX(PP_Grid[#Data],M_BOM[PPGridRow],81),0))</f>
        <v/>
      </c>
      <c r="CD45">
        <f>SUMPRODUCT((M_BOM[Part Name]=$A45)*M_BOM[RM_Qty_Per_Batch]*IFERROR(INDEX(PP_Grid[#Data],M_BOM[PPGridRow],82),0))</f>
        <v/>
      </c>
      <c r="CE45">
        <f>SUMPRODUCT((M_BOM[Part Name]=$A45)*M_BOM[RM_Qty_Per_Batch]*IFERROR(INDEX(PP_Grid[#Data],M_BOM[PPGridRow],83),0))</f>
        <v/>
      </c>
      <c r="CF45">
        <f>SUMPRODUCT((M_BOM[Part Name]=$A45)*M_BOM[RM_Qty_Per_Batch]*IFERROR(INDEX(PP_Grid[#Data],M_BOM[PPGridRow],84),0))</f>
        <v/>
      </c>
      <c r="CG45">
        <f>SUMPRODUCT((M_BOM[Part Name]=$A45)*M_BOM[RM_Qty_Per_Batch]*IFERROR(INDEX(PP_Grid[#Data],M_BOM[PPGridRow],85),0))</f>
        <v/>
      </c>
      <c r="CH45">
        <f>SUMPRODUCT((M_BOM[Part Name]=$A45)*M_BOM[RM_Qty_Per_Batch]*IFERROR(INDEX(PP_Grid[#Data],M_BOM[PPGridRow],86),0))</f>
        <v/>
      </c>
      <c r="CI45">
        <f>SUMPRODUCT((M_BOM[Part Name]=$A45)*M_BOM[RM_Qty_Per_Batch]*IFERROR(INDEX(PP_Grid[#Data],M_BOM[PPGridRow],87),0))</f>
        <v/>
      </c>
      <c r="CJ45">
        <f>SUMPRODUCT((M_BOM[Part Name]=$A45)*M_BOM[RM_Qty_Per_Batch]*IFERROR(INDEX(PP_Grid[#Data],M_BOM[PPGridRow],88),0))</f>
        <v/>
      </c>
      <c r="CK45">
        <f>SUMPRODUCT((M_BOM[Part Name]=$A45)*M_BOM[RM_Qty_Per_Batch]*IFERROR(INDEX(PP_Grid[#Data],M_BOM[PPGridRow],89),0))</f>
        <v/>
      </c>
      <c r="CL45">
        <f>SUMPRODUCT((M_BOM[Part Name]=$A45)*M_BOM[RM_Qty_Per_Batch]*IFERROR(INDEX(PP_Grid[#Data],M_BOM[PPGridRow],90),0))</f>
        <v/>
      </c>
      <c r="CM45">
        <f>SUMPRODUCT((M_BOM[Part Name]=$A45)*M_BOM[RM_Qty_Per_Batch]*IFERROR(INDEX(PP_Grid[#Data],M_BOM[PPGridRow],91),0))</f>
        <v/>
      </c>
      <c r="CN45">
        <f>SUMPRODUCT((M_BOM[Part Name]=$A45)*M_BOM[RM_Qty_Per_Batch]*IFERROR(INDEX(PP_Grid[#Data],M_BOM[PPGridRow],92),0))</f>
        <v/>
      </c>
      <c r="CO45">
        <f>SUMPRODUCT((M_BOM[Part Name]=$A45)*M_BOM[RM_Qty_Per_Batch]*IFERROR(INDEX(PP_Grid[#Data],M_BOM[PPGridRow],93),0))</f>
        <v/>
      </c>
      <c r="CP45">
        <f>SUMPRODUCT((M_BOM[Part Name]=$A45)*M_BOM[RM_Qty_Per_Batch]*IFERROR(INDEX(PP_Grid[#Data],M_BOM[PPGridRow],94),0))</f>
        <v/>
      </c>
      <c r="CQ45">
        <f>SUMPRODUCT((M_BOM[Part Name]=$A45)*M_BOM[RM_Qty_Per_Batch]*IFERROR(INDEX(PP_Grid[#Data],M_BOM[PPGridRow],95),0))</f>
        <v/>
      </c>
      <c r="CR45">
        <f>SUMPRODUCT((M_BOM[Part Name]=$A45)*M_BOM[RM_Qty_Per_Batch]*IFERROR(INDEX(PP_Grid[#Data],M_BOM[PPGridRow],96),0))</f>
        <v/>
      </c>
      <c r="CS45">
        <f>SUMPRODUCT((M_BOM[Part Name]=$A45)*M_BOM[RM_Qty_Per_Batch]*IFERROR(INDEX(PP_Grid[#Data],M_BOM[PPGridRow],97),0))</f>
        <v/>
      </c>
      <c r="CT45">
        <f>SUMPRODUCT((M_BOM[Part Name]=$A45)*M_BOM[RM_Qty_Per_Batch]*IFERROR(INDEX(PP_Grid[#Data],M_BOM[PPGridRow],98),0))</f>
        <v/>
      </c>
      <c r="CU45">
        <f>SUMPRODUCT((M_BOM[Part Name]=$A45)*M_BOM[RM_Qty_Per_Batch]*IFERROR(INDEX(PP_Grid[#Data],M_BOM[PPGridRow],99),0))</f>
        <v/>
      </c>
      <c r="CV45">
        <f>SUMPRODUCT((M_BOM[Part Name]=$A45)*M_BOM[RM_Qty_Per_Batch]*IFERROR(INDEX(PP_Grid[#Data],M_BOM[PPGridRow],100),0))</f>
        <v/>
      </c>
      <c r="CW45">
        <f>SUMPRODUCT((M_BOM[Part Name]=$A45)*M_BOM[RM_Qty_Per_Batch]*IFERROR(INDEX(PP_Grid[#Data],M_BOM[PPGridRow],101),0))</f>
        <v/>
      </c>
      <c r="CX45">
        <f>SUMPRODUCT((M_BOM[Part Name]=$A45)*M_BOM[RM_Qty_Per_Batch]*IFERROR(INDEX(PP_Grid[#Data],M_BOM[PPGridRow],102),0))</f>
        <v/>
      </c>
      <c r="CY45">
        <f>SUMPRODUCT((M_BOM[Part Name]=$A45)*M_BOM[RM_Qty_Per_Batch]*IFERROR(INDEX(PP_Grid[#Data],M_BOM[PPGridRow],103),0))</f>
        <v/>
      </c>
      <c r="CZ45">
        <f>SUMPRODUCT((M_BOM[Part Name]=$A45)*M_BOM[RM_Qty_Per_Batch]*IFERROR(INDEX(PP_Grid[#Data],M_BOM[PPGridRow],104),0))</f>
        <v/>
      </c>
      <c r="DA45">
        <f>SUMPRODUCT((M_BOM[Part Name]=$A45)*M_BOM[RM_Qty_Per_Batch]*IFERROR(INDEX(PP_Grid[#Data],M_BOM[PPGridRow],105),0))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Part Name</t>
        </is>
      </c>
      <c r="B1" s="5" t="inlineStr">
        <is>
          <t>2026-W01</t>
        </is>
      </c>
      <c r="C1" s="5" t="inlineStr">
        <is>
          <t>2026-W02</t>
        </is>
      </c>
      <c r="D1" s="5" t="inlineStr">
        <is>
          <t>2026-W03</t>
        </is>
      </c>
      <c r="E1" s="5" t="inlineStr">
        <is>
          <t>2026-W04</t>
        </is>
      </c>
      <c r="F1" s="5" t="inlineStr">
        <is>
          <t>2026-W05</t>
        </is>
      </c>
      <c r="G1" s="5" t="inlineStr">
        <is>
          <t>2026-W06</t>
        </is>
      </c>
      <c r="H1" s="5" t="inlineStr">
        <is>
          <t>2026-W07</t>
        </is>
      </c>
      <c r="I1" s="5" t="inlineStr">
        <is>
          <t>2026-W08</t>
        </is>
      </c>
      <c r="J1" s="5" t="inlineStr">
        <is>
          <t>2026-W09</t>
        </is>
      </c>
      <c r="K1" s="5" t="inlineStr">
        <is>
          <t>2026-W10</t>
        </is>
      </c>
      <c r="L1" s="5" t="inlineStr">
        <is>
          <t>2026-W11</t>
        </is>
      </c>
      <c r="M1" s="5" t="inlineStr">
        <is>
          <t>2026-W12</t>
        </is>
      </c>
      <c r="N1" s="5" t="inlineStr">
        <is>
          <t>2026-W13</t>
        </is>
      </c>
      <c r="O1" s="5" t="inlineStr">
        <is>
          <t>2026-W14</t>
        </is>
      </c>
      <c r="P1" s="5" t="inlineStr">
        <is>
          <t>2026-W15</t>
        </is>
      </c>
      <c r="Q1" s="5" t="inlineStr">
        <is>
          <t>2026-W16</t>
        </is>
      </c>
      <c r="R1" s="5" t="inlineStr">
        <is>
          <t>2026-W17</t>
        </is>
      </c>
      <c r="S1" s="5" t="inlineStr">
        <is>
          <t>2026-W18</t>
        </is>
      </c>
      <c r="T1" s="5" t="inlineStr">
        <is>
          <t>2026-W19</t>
        </is>
      </c>
      <c r="U1" s="5" t="inlineStr">
        <is>
          <t>2026-W20</t>
        </is>
      </c>
      <c r="V1" s="5" t="inlineStr">
        <is>
          <t>2026-W21</t>
        </is>
      </c>
      <c r="W1" s="5" t="inlineStr">
        <is>
          <t>2026-W22</t>
        </is>
      </c>
      <c r="X1" s="5" t="inlineStr">
        <is>
          <t>2026-W23</t>
        </is>
      </c>
      <c r="Y1" s="5" t="inlineStr">
        <is>
          <t>2026-W24</t>
        </is>
      </c>
      <c r="Z1" s="5" t="inlineStr">
        <is>
          <t>2026-W25</t>
        </is>
      </c>
      <c r="AA1" s="5" t="inlineStr">
        <is>
          <t>2026-W26</t>
        </is>
      </c>
      <c r="AB1" s="5" t="inlineStr">
        <is>
          <t>2026-W27</t>
        </is>
      </c>
      <c r="AC1" s="5" t="inlineStr">
        <is>
          <t>2026-W28</t>
        </is>
      </c>
      <c r="AD1" s="5" t="inlineStr">
        <is>
          <t>2026-W29</t>
        </is>
      </c>
      <c r="AE1" s="5" t="inlineStr">
        <is>
          <t>2026-W30</t>
        </is>
      </c>
      <c r="AF1" s="5" t="inlineStr">
        <is>
          <t>2026-W31</t>
        </is>
      </c>
      <c r="AG1" s="5" t="inlineStr">
        <is>
          <t>2026-W32</t>
        </is>
      </c>
      <c r="AH1" s="5" t="inlineStr">
        <is>
          <t>2026-W33</t>
        </is>
      </c>
      <c r="AI1" s="5" t="inlineStr">
        <is>
          <t>2026-W34</t>
        </is>
      </c>
      <c r="AJ1" s="5" t="inlineStr">
        <is>
          <t>2026-W35</t>
        </is>
      </c>
      <c r="AK1" s="5" t="inlineStr">
        <is>
          <t>2026-W36</t>
        </is>
      </c>
      <c r="AL1" s="5" t="inlineStr">
        <is>
          <t>2026-W37</t>
        </is>
      </c>
      <c r="AM1" s="5" t="inlineStr">
        <is>
          <t>2026-W38</t>
        </is>
      </c>
      <c r="AN1" s="5" t="inlineStr">
        <is>
          <t>2026-W39</t>
        </is>
      </c>
      <c r="AO1" s="5" t="inlineStr">
        <is>
          <t>2026-W40</t>
        </is>
      </c>
      <c r="AP1" s="5" t="inlineStr">
        <is>
          <t>2026-W41</t>
        </is>
      </c>
      <c r="AQ1" s="5" t="inlineStr">
        <is>
          <t>2026-W42</t>
        </is>
      </c>
      <c r="AR1" s="5" t="inlineStr">
        <is>
          <t>2026-W43</t>
        </is>
      </c>
      <c r="AS1" s="5" t="inlineStr">
        <is>
          <t>2026-W44</t>
        </is>
      </c>
      <c r="AT1" s="5" t="inlineStr">
        <is>
          <t>2026-W45</t>
        </is>
      </c>
      <c r="AU1" s="5" t="inlineStr">
        <is>
          <t>2026-W46</t>
        </is>
      </c>
      <c r="AV1" s="5" t="inlineStr">
        <is>
          <t>2026-W47</t>
        </is>
      </c>
      <c r="AW1" s="5" t="inlineStr">
        <is>
          <t>2026-W48</t>
        </is>
      </c>
      <c r="AX1" s="5" t="inlineStr">
        <is>
          <t>2026-W49</t>
        </is>
      </c>
      <c r="AY1" s="5" t="inlineStr">
        <is>
          <t>2026-W50</t>
        </is>
      </c>
      <c r="AZ1" s="5" t="inlineStr">
        <is>
          <t>2026-W51</t>
        </is>
      </c>
      <c r="BA1" s="5" t="inlineStr">
        <is>
          <t>2026-W52</t>
        </is>
      </c>
      <c r="BB1" s="5" t="inlineStr">
        <is>
          <t>2027-W01</t>
        </is>
      </c>
      <c r="BC1" s="5" t="inlineStr">
        <is>
          <t>2027-W02</t>
        </is>
      </c>
      <c r="BD1" s="5" t="inlineStr">
        <is>
          <t>2027-W03</t>
        </is>
      </c>
      <c r="BE1" s="5" t="inlineStr">
        <is>
          <t>2027-W04</t>
        </is>
      </c>
      <c r="BF1" s="5" t="inlineStr">
        <is>
          <t>2027-W05</t>
        </is>
      </c>
      <c r="BG1" s="5" t="inlineStr">
        <is>
          <t>2027-W06</t>
        </is>
      </c>
      <c r="BH1" s="5" t="inlineStr">
        <is>
          <t>2027-W07</t>
        </is>
      </c>
      <c r="BI1" s="5" t="inlineStr">
        <is>
          <t>2027-W08</t>
        </is>
      </c>
      <c r="BJ1" s="5" t="inlineStr">
        <is>
          <t>2027-W09</t>
        </is>
      </c>
      <c r="BK1" s="5" t="inlineStr">
        <is>
          <t>2027-W10</t>
        </is>
      </c>
      <c r="BL1" s="5" t="inlineStr">
        <is>
          <t>2027-W11</t>
        </is>
      </c>
      <c r="BM1" s="5" t="inlineStr">
        <is>
          <t>2027-W12</t>
        </is>
      </c>
      <c r="BN1" s="5" t="inlineStr">
        <is>
          <t>2027-W13</t>
        </is>
      </c>
      <c r="BO1" s="5" t="inlineStr">
        <is>
          <t>2027-W14</t>
        </is>
      </c>
      <c r="BP1" s="5" t="inlineStr">
        <is>
          <t>2027-W15</t>
        </is>
      </c>
      <c r="BQ1" s="5" t="inlineStr">
        <is>
          <t>2027-W16</t>
        </is>
      </c>
      <c r="BR1" s="5" t="inlineStr">
        <is>
          <t>2027-W17</t>
        </is>
      </c>
      <c r="BS1" s="5" t="inlineStr">
        <is>
          <t>2027-W18</t>
        </is>
      </c>
      <c r="BT1" s="5" t="inlineStr">
        <is>
          <t>2027-W19</t>
        </is>
      </c>
      <c r="BU1" s="5" t="inlineStr">
        <is>
          <t>2027-W20</t>
        </is>
      </c>
      <c r="BV1" s="5" t="inlineStr">
        <is>
          <t>2027-W21</t>
        </is>
      </c>
      <c r="BW1" s="5" t="inlineStr">
        <is>
          <t>2027-W22</t>
        </is>
      </c>
      <c r="BX1" s="5" t="inlineStr">
        <is>
          <t>2027-W23</t>
        </is>
      </c>
      <c r="BY1" s="5" t="inlineStr">
        <is>
          <t>2027-W24</t>
        </is>
      </c>
      <c r="BZ1" s="5" t="inlineStr">
        <is>
          <t>2027-W25</t>
        </is>
      </c>
      <c r="CA1" s="5" t="inlineStr">
        <is>
          <t>2027-W26</t>
        </is>
      </c>
      <c r="CB1" s="5" t="inlineStr">
        <is>
          <t>2027-W27</t>
        </is>
      </c>
      <c r="CC1" s="5" t="inlineStr">
        <is>
          <t>2027-W28</t>
        </is>
      </c>
      <c r="CD1" s="5" t="inlineStr">
        <is>
          <t>2027-W29</t>
        </is>
      </c>
      <c r="CE1" s="5" t="inlineStr">
        <is>
          <t>2027-W30</t>
        </is>
      </c>
      <c r="CF1" s="5" t="inlineStr">
        <is>
          <t>2027-W31</t>
        </is>
      </c>
      <c r="CG1" s="5" t="inlineStr">
        <is>
          <t>2027-W32</t>
        </is>
      </c>
      <c r="CH1" s="5" t="inlineStr">
        <is>
          <t>2027-W33</t>
        </is>
      </c>
      <c r="CI1" s="5" t="inlineStr">
        <is>
          <t>2027-W34</t>
        </is>
      </c>
      <c r="CJ1" s="5" t="inlineStr">
        <is>
          <t>2027-W35</t>
        </is>
      </c>
      <c r="CK1" s="5" t="inlineStr">
        <is>
          <t>2027-W36</t>
        </is>
      </c>
      <c r="CL1" s="5" t="inlineStr">
        <is>
          <t>2027-W37</t>
        </is>
      </c>
      <c r="CM1" s="5" t="inlineStr">
        <is>
          <t>2027-W38</t>
        </is>
      </c>
      <c r="CN1" s="5" t="inlineStr">
        <is>
          <t>2027-W39</t>
        </is>
      </c>
      <c r="CO1" s="5" t="inlineStr">
        <is>
          <t>2027-W40</t>
        </is>
      </c>
      <c r="CP1" s="5" t="inlineStr">
        <is>
          <t>2027-W41</t>
        </is>
      </c>
      <c r="CQ1" s="5" t="inlineStr">
        <is>
          <t>2027-W42</t>
        </is>
      </c>
      <c r="CR1" s="5" t="inlineStr">
        <is>
          <t>2027-W43</t>
        </is>
      </c>
      <c r="CS1" s="5" t="inlineStr">
        <is>
          <t>2027-W44</t>
        </is>
      </c>
      <c r="CT1" s="5" t="inlineStr">
        <is>
          <t>2027-W45</t>
        </is>
      </c>
      <c r="CU1" s="5" t="inlineStr">
        <is>
          <t>2027-W46</t>
        </is>
      </c>
      <c r="CV1" s="5" t="inlineStr">
        <is>
          <t>2027-W47</t>
        </is>
      </c>
      <c r="CW1" s="5" t="inlineStr">
        <is>
          <t>2027-W48</t>
        </is>
      </c>
      <c r="CX1" s="5" t="inlineStr">
        <is>
          <t>2027-W49</t>
        </is>
      </c>
      <c r="CY1" s="5" t="inlineStr">
        <is>
          <t>2027-W50</t>
        </is>
      </c>
      <c r="CZ1" s="5" t="inlineStr">
        <is>
          <t>2027-W51</t>
        </is>
      </c>
      <c r="DA1" s="5" t="inlineStr">
        <is>
          <t>2027-W52</t>
        </is>
      </c>
    </row>
    <row r="2">
      <c r="A2" t="inlineStr">
        <is>
          <t>CHEM-1250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CHEM-1670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CHEM-1700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CHEM-1420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CHEM-1530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CHEM-1540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CHEM-1690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CHEM-1720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CHEM-1440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4HL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1EK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7CL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9RN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CHEM-1400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CHEM-1570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CHEM-1650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CHEM-1660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CHEM-1600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CHEM-1280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CHEM-1240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0JN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CHEM-1760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Original Towel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CHEM-1200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CHEM-1830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CHEM-1680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CHEM-1820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CHEM-1840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TDJ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CHEM-1730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CHEM-1430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CHEM-1480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CHEM-1560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CHEM-1510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CHEM-1770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CHEM-1020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Ester Film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PP Film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5SN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1JN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V03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V19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3TP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A043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Part Name</t>
        </is>
      </c>
      <c r="B1" s="5" t="inlineStr">
        <is>
          <t>2026-W01</t>
        </is>
      </c>
      <c r="C1" s="5" t="inlineStr">
        <is>
          <t>2026-W02</t>
        </is>
      </c>
      <c r="D1" s="5" t="inlineStr">
        <is>
          <t>2026-W03</t>
        </is>
      </c>
      <c r="E1" s="5" t="inlineStr">
        <is>
          <t>2026-W04</t>
        </is>
      </c>
      <c r="F1" s="5" t="inlineStr">
        <is>
          <t>2026-W05</t>
        </is>
      </c>
      <c r="G1" s="5" t="inlineStr">
        <is>
          <t>2026-W06</t>
        </is>
      </c>
      <c r="H1" s="5" t="inlineStr">
        <is>
          <t>2026-W07</t>
        </is>
      </c>
      <c r="I1" s="5" t="inlineStr">
        <is>
          <t>2026-W08</t>
        </is>
      </c>
      <c r="J1" s="5" t="inlineStr">
        <is>
          <t>2026-W09</t>
        </is>
      </c>
      <c r="K1" s="5" t="inlineStr">
        <is>
          <t>2026-W10</t>
        </is>
      </c>
      <c r="L1" s="5" t="inlineStr">
        <is>
          <t>2026-W11</t>
        </is>
      </c>
      <c r="M1" s="5" t="inlineStr">
        <is>
          <t>2026-W12</t>
        </is>
      </c>
      <c r="N1" s="5" t="inlineStr">
        <is>
          <t>2026-W13</t>
        </is>
      </c>
      <c r="O1" s="5" t="inlineStr">
        <is>
          <t>2026-W14</t>
        </is>
      </c>
      <c r="P1" s="5" t="inlineStr">
        <is>
          <t>2026-W15</t>
        </is>
      </c>
      <c r="Q1" s="5" t="inlineStr">
        <is>
          <t>2026-W16</t>
        </is>
      </c>
      <c r="R1" s="5" t="inlineStr">
        <is>
          <t>2026-W17</t>
        </is>
      </c>
      <c r="S1" s="5" t="inlineStr">
        <is>
          <t>2026-W18</t>
        </is>
      </c>
      <c r="T1" s="5" t="inlineStr">
        <is>
          <t>2026-W19</t>
        </is>
      </c>
      <c r="U1" s="5" t="inlineStr">
        <is>
          <t>2026-W20</t>
        </is>
      </c>
      <c r="V1" s="5" t="inlineStr">
        <is>
          <t>2026-W21</t>
        </is>
      </c>
      <c r="W1" s="5" t="inlineStr">
        <is>
          <t>2026-W22</t>
        </is>
      </c>
      <c r="X1" s="5" t="inlineStr">
        <is>
          <t>2026-W23</t>
        </is>
      </c>
      <c r="Y1" s="5" t="inlineStr">
        <is>
          <t>2026-W24</t>
        </is>
      </c>
      <c r="Z1" s="5" t="inlineStr">
        <is>
          <t>2026-W25</t>
        </is>
      </c>
      <c r="AA1" s="5" t="inlineStr">
        <is>
          <t>2026-W26</t>
        </is>
      </c>
      <c r="AB1" s="5" t="inlineStr">
        <is>
          <t>2026-W27</t>
        </is>
      </c>
      <c r="AC1" s="5" t="inlineStr">
        <is>
          <t>2026-W28</t>
        </is>
      </c>
      <c r="AD1" s="5" t="inlineStr">
        <is>
          <t>2026-W29</t>
        </is>
      </c>
      <c r="AE1" s="5" t="inlineStr">
        <is>
          <t>2026-W30</t>
        </is>
      </c>
      <c r="AF1" s="5" t="inlineStr">
        <is>
          <t>2026-W31</t>
        </is>
      </c>
      <c r="AG1" s="5" t="inlineStr">
        <is>
          <t>2026-W32</t>
        </is>
      </c>
      <c r="AH1" s="5" t="inlineStr">
        <is>
          <t>2026-W33</t>
        </is>
      </c>
      <c r="AI1" s="5" t="inlineStr">
        <is>
          <t>2026-W34</t>
        </is>
      </c>
      <c r="AJ1" s="5" t="inlineStr">
        <is>
          <t>2026-W35</t>
        </is>
      </c>
      <c r="AK1" s="5" t="inlineStr">
        <is>
          <t>2026-W36</t>
        </is>
      </c>
      <c r="AL1" s="5" t="inlineStr">
        <is>
          <t>2026-W37</t>
        </is>
      </c>
      <c r="AM1" s="5" t="inlineStr">
        <is>
          <t>2026-W38</t>
        </is>
      </c>
      <c r="AN1" s="5" t="inlineStr">
        <is>
          <t>2026-W39</t>
        </is>
      </c>
      <c r="AO1" s="5" t="inlineStr">
        <is>
          <t>2026-W40</t>
        </is>
      </c>
      <c r="AP1" s="5" t="inlineStr">
        <is>
          <t>2026-W41</t>
        </is>
      </c>
      <c r="AQ1" s="5" t="inlineStr">
        <is>
          <t>2026-W42</t>
        </is>
      </c>
      <c r="AR1" s="5" t="inlineStr">
        <is>
          <t>2026-W43</t>
        </is>
      </c>
      <c r="AS1" s="5" t="inlineStr">
        <is>
          <t>2026-W44</t>
        </is>
      </c>
      <c r="AT1" s="5" t="inlineStr">
        <is>
          <t>2026-W45</t>
        </is>
      </c>
      <c r="AU1" s="5" t="inlineStr">
        <is>
          <t>2026-W46</t>
        </is>
      </c>
      <c r="AV1" s="5" t="inlineStr">
        <is>
          <t>2026-W47</t>
        </is>
      </c>
      <c r="AW1" s="5" t="inlineStr">
        <is>
          <t>2026-W48</t>
        </is>
      </c>
      <c r="AX1" s="5" t="inlineStr">
        <is>
          <t>2026-W49</t>
        </is>
      </c>
      <c r="AY1" s="5" t="inlineStr">
        <is>
          <t>2026-W50</t>
        </is>
      </c>
      <c r="AZ1" s="5" t="inlineStr">
        <is>
          <t>2026-W51</t>
        </is>
      </c>
      <c r="BA1" s="5" t="inlineStr">
        <is>
          <t>2026-W52</t>
        </is>
      </c>
      <c r="BB1" s="5" t="inlineStr">
        <is>
          <t>2027-W01</t>
        </is>
      </c>
      <c r="BC1" s="5" t="inlineStr">
        <is>
          <t>2027-W02</t>
        </is>
      </c>
      <c r="BD1" s="5" t="inlineStr">
        <is>
          <t>2027-W03</t>
        </is>
      </c>
      <c r="BE1" s="5" t="inlineStr">
        <is>
          <t>2027-W04</t>
        </is>
      </c>
      <c r="BF1" s="5" t="inlineStr">
        <is>
          <t>2027-W05</t>
        </is>
      </c>
      <c r="BG1" s="5" t="inlineStr">
        <is>
          <t>2027-W06</t>
        </is>
      </c>
      <c r="BH1" s="5" t="inlineStr">
        <is>
          <t>2027-W07</t>
        </is>
      </c>
      <c r="BI1" s="5" t="inlineStr">
        <is>
          <t>2027-W08</t>
        </is>
      </c>
      <c r="BJ1" s="5" t="inlineStr">
        <is>
          <t>2027-W09</t>
        </is>
      </c>
      <c r="BK1" s="5" t="inlineStr">
        <is>
          <t>2027-W10</t>
        </is>
      </c>
      <c r="BL1" s="5" t="inlineStr">
        <is>
          <t>2027-W11</t>
        </is>
      </c>
      <c r="BM1" s="5" t="inlineStr">
        <is>
          <t>2027-W12</t>
        </is>
      </c>
      <c r="BN1" s="5" t="inlineStr">
        <is>
          <t>2027-W13</t>
        </is>
      </c>
      <c r="BO1" s="5" t="inlineStr">
        <is>
          <t>2027-W14</t>
        </is>
      </c>
      <c r="BP1" s="5" t="inlineStr">
        <is>
          <t>2027-W15</t>
        </is>
      </c>
      <c r="BQ1" s="5" t="inlineStr">
        <is>
          <t>2027-W16</t>
        </is>
      </c>
      <c r="BR1" s="5" t="inlineStr">
        <is>
          <t>2027-W17</t>
        </is>
      </c>
      <c r="BS1" s="5" t="inlineStr">
        <is>
          <t>2027-W18</t>
        </is>
      </c>
      <c r="BT1" s="5" t="inlineStr">
        <is>
          <t>2027-W19</t>
        </is>
      </c>
      <c r="BU1" s="5" t="inlineStr">
        <is>
          <t>2027-W20</t>
        </is>
      </c>
      <c r="BV1" s="5" t="inlineStr">
        <is>
          <t>2027-W21</t>
        </is>
      </c>
      <c r="BW1" s="5" t="inlineStr">
        <is>
          <t>2027-W22</t>
        </is>
      </c>
      <c r="BX1" s="5" t="inlineStr">
        <is>
          <t>2027-W23</t>
        </is>
      </c>
      <c r="BY1" s="5" t="inlineStr">
        <is>
          <t>2027-W24</t>
        </is>
      </c>
      <c r="BZ1" s="5" t="inlineStr">
        <is>
          <t>2027-W25</t>
        </is>
      </c>
      <c r="CA1" s="5" t="inlineStr">
        <is>
          <t>2027-W26</t>
        </is>
      </c>
      <c r="CB1" s="5" t="inlineStr">
        <is>
          <t>2027-W27</t>
        </is>
      </c>
      <c r="CC1" s="5" t="inlineStr">
        <is>
          <t>2027-W28</t>
        </is>
      </c>
      <c r="CD1" s="5" t="inlineStr">
        <is>
          <t>2027-W29</t>
        </is>
      </c>
      <c r="CE1" s="5" t="inlineStr">
        <is>
          <t>2027-W30</t>
        </is>
      </c>
      <c r="CF1" s="5" t="inlineStr">
        <is>
          <t>2027-W31</t>
        </is>
      </c>
      <c r="CG1" s="5" t="inlineStr">
        <is>
          <t>2027-W32</t>
        </is>
      </c>
      <c r="CH1" s="5" t="inlineStr">
        <is>
          <t>2027-W33</t>
        </is>
      </c>
      <c r="CI1" s="5" t="inlineStr">
        <is>
          <t>2027-W34</t>
        </is>
      </c>
      <c r="CJ1" s="5" t="inlineStr">
        <is>
          <t>2027-W35</t>
        </is>
      </c>
      <c r="CK1" s="5" t="inlineStr">
        <is>
          <t>2027-W36</t>
        </is>
      </c>
      <c r="CL1" s="5" t="inlineStr">
        <is>
          <t>2027-W37</t>
        </is>
      </c>
      <c r="CM1" s="5" t="inlineStr">
        <is>
          <t>2027-W38</t>
        </is>
      </c>
      <c r="CN1" s="5" t="inlineStr">
        <is>
          <t>2027-W39</t>
        </is>
      </c>
      <c r="CO1" s="5" t="inlineStr">
        <is>
          <t>2027-W40</t>
        </is>
      </c>
      <c r="CP1" s="5" t="inlineStr">
        <is>
          <t>2027-W41</t>
        </is>
      </c>
      <c r="CQ1" s="5" t="inlineStr">
        <is>
          <t>2027-W42</t>
        </is>
      </c>
      <c r="CR1" s="5" t="inlineStr">
        <is>
          <t>2027-W43</t>
        </is>
      </c>
      <c r="CS1" s="5" t="inlineStr">
        <is>
          <t>2027-W44</t>
        </is>
      </c>
      <c r="CT1" s="5" t="inlineStr">
        <is>
          <t>2027-W45</t>
        </is>
      </c>
      <c r="CU1" s="5" t="inlineStr">
        <is>
          <t>2027-W46</t>
        </is>
      </c>
      <c r="CV1" s="5" t="inlineStr">
        <is>
          <t>2027-W47</t>
        </is>
      </c>
      <c r="CW1" s="5" t="inlineStr">
        <is>
          <t>2027-W48</t>
        </is>
      </c>
      <c r="CX1" s="5" t="inlineStr">
        <is>
          <t>2027-W49</t>
        </is>
      </c>
      <c r="CY1" s="5" t="inlineStr">
        <is>
          <t>2027-W50</t>
        </is>
      </c>
      <c r="CZ1" s="5" t="inlineStr">
        <is>
          <t>2027-W51</t>
        </is>
      </c>
      <c r="DA1" s="5" t="inlineStr">
        <is>
          <t>2027-W52</t>
        </is>
      </c>
    </row>
    <row r="2">
      <c r="A2" t="inlineStr">
        <is>
          <t>CHEM-1250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CHEM-1670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CHEM-1700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CHEM-1420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CHEM-1530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CHEM-1540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CHEM-1690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CHEM-1720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CHEM-1440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4HL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1EK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7CL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9RN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CHEM-1400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CHEM-1570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CHEM-1650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CHEM-1660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CHEM-1600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CHEM-1280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CHEM-1240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0JN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CHEM-1760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Original Towel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CHEM-1200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CHEM-1830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CHEM-1680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CHEM-1820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CHEM-1840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TDJ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CHEM-1730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CHEM-1430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CHEM-1480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CHEM-1560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CHEM-1510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CHEM-1770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CHEM-1020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Ester Film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PP Film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5SN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1JN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V03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V19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3TP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A043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5" t="inlineStr">
        <is>
          <t>Part Name</t>
        </is>
      </c>
      <c r="B1" s="5" t="inlineStr">
        <is>
          <t>Date</t>
        </is>
      </c>
      <c r="C1" s="5" t="inlineStr">
        <is>
          <t>WeekIndex</t>
        </is>
      </c>
      <c r="D1" s="5" t="inlineStr">
        <is>
          <t>Self_Qty</t>
        </is>
      </c>
    </row>
    <row r="2">
      <c r="A2" t="inlineStr">
        <is>
          <t>(ダミー行、削除不可)</t>
        </is>
      </c>
      <c r="B2" s="22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5" t="inlineStr">
        <is>
          <t>Part Name</t>
        </is>
      </c>
      <c r="B1" s="5" t="inlineStr">
        <is>
          <t>Date</t>
        </is>
      </c>
      <c r="C1" s="5" t="inlineStr">
        <is>
          <t>WeekIndex</t>
        </is>
      </c>
      <c r="D1" s="5" t="inlineStr">
        <is>
          <t>TTAF_Qty</t>
        </is>
      </c>
    </row>
    <row r="2">
      <c r="A2" t="inlineStr">
        <is>
          <t>(ダミー行、削除不可)</t>
        </is>
      </c>
      <c r="B2" s="22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2026-07-30T09:39:53Z</dcterms:created>
  <dcterms:modified xsi:type="dcterms:W3CDTF">2026-07-30T09:39:55Z</dcterms:modified>
</cp:coreProperties>
</file>